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E6735A79-98CB-4DF8-9A0C-477C2DE165DC}" xr6:coauthVersionLast="47" xr6:coauthVersionMax="47" xr10:uidLastSave="{00000000-0000-0000-0000-000000000000}"/>
  <bookViews>
    <workbookView xWindow="-120" yWindow="-120" windowWidth="29040" windowHeight="15840" tabRatio="607" xr2:uid="{9BF9244C-4F36-4EF8-B922-EEC7C90BB948}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</sheets>
  <definedNames>
    <definedName name="_xlnm._FilterDatabase" localSheetId="0" hidden="1">'Ser-18'!$A$1:$R$5844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0">'Ser-18'!$B$1:$R$1297</definedName>
    <definedName name="DatosExternos_13" localSheetId="0">'Ser-18'!$B$1:$R$1591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'Ser-18'!$A$1:$R$3</definedName>
    <definedName name="DatosExternos_19" localSheetId="1">'PRUEBA FILTRO'!$A$4:$M$490</definedName>
    <definedName name="DatosExternos_19" localSheetId="0">'Ser-18'!$A$1:$R$8</definedName>
    <definedName name="DatosExternos_2" localSheetId="0">'Ser-18'!#REF!</definedName>
    <definedName name="DatosExternos_20" localSheetId="1">'PRUEBA FILTRO'!$A$4:$Q$594</definedName>
    <definedName name="DatosExternos_20" localSheetId="0">'Ser-18'!$A$1:$R$18</definedName>
    <definedName name="DatosExternos_21" localSheetId="1">'PRUEBA FILTRO'!$A$4:$M$716</definedName>
    <definedName name="DatosExternos_21" localSheetId="0">'Ser-18'!$A$1:$R$28</definedName>
    <definedName name="DatosExternos_22" localSheetId="1">'PRUEBA FILTRO'!$A$4:$Q$869</definedName>
    <definedName name="DatosExternos_22" localSheetId="0">'Ser-18'!$A$1:$R$41</definedName>
    <definedName name="DatosExternos_23" localSheetId="1">'PRUEBA FILTRO'!$A$4:$M$1064</definedName>
    <definedName name="DatosExternos_23" localSheetId="0">'Ser-18'!$A$1:$R$73</definedName>
    <definedName name="DatosExternos_24" localSheetId="1">'PRUEBA FILTRO'!$A$4:$Q$1300</definedName>
    <definedName name="DatosExternos_24" localSheetId="0">'Ser-18'!$A$1:$R$143</definedName>
    <definedName name="DatosExternos_25" localSheetId="1">'PRUEBA FILTRO'!$A$4:$M$1574</definedName>
    <definedName name="DatosExternos_25" localSheetId="0">'Ser-18'!$A$1:$R$215</definedName>
    <definedName name="DatosExternos_26" localSheetId="0">'Ser-18'!$A$1:$M$1126</definedName>
    <definedName name="DatosExternos_27" localSheetId="0">'Ser-18'!$A$1:$N$1300</definedName>
    <definedName name="DatosExternos_28" localSheetId="0">'Ser-18'!$A$1:$M$1512</definedName>
    <definedName name="DatosExternos_29" localSheetId="0">'Ser-18'!$A$1:$R$1786</definedName>
    <definedName name="DatosExternos_3" localSheetId="0">'Ser-18'!#REF!</definedName>
    <definedName name="DatosExternos_30" localSheetId="0">'Ser-18'!$A$1:$R$2169</definedName>
    <definedName name="DatosExternos_31" localSheetId="0">'Ser-18'!$A$1:$M$2663</definedName>
    <definedName name="DatosExternos_32" localSheetId="0">'Ser-18'!$A$1:$N$3283</definedName>
    <definedName name="DatosExternos_33" localSheetId="0">'Ser-18'!$A$1:$R$3989</definedName>
    <definedName name="DatosExternos_34" localSheetId="0">'Ser-18'!$A$1:$M$4834</definedName>
    <definedName name="DatosExternos_35" localSheetId="0">'Ser-18'!$A$1:$N$5844</definedName>
    <definedName name="DatosExternos_4" localSheetId="0">'Ser-18'!#REF!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Hes!$A$2:$A$434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811" i="1" l="1"/>
  <c r="L5810" i="1"/>
  <c r="L5809" i="1"/>
  <c r="L5808" i="1"/>
  <c r="L5805" i="1"/>
  <c r="L5804" i="1"/>
  <c r="L5803" i="1"/>
  <c r="L5800" i="1"/>
  <c r="L5799" i="1"/>
  <c r="L5798" i="1"/>
  <c r="L5797" i="1"/>
  <c r="L5796" i="1"/>
  <c r="L5795" i="1"/>
  <c r="L5793" i="1"/>
  <c r="L5792" i="1"/>
  <c r="L5791" i="1"/>
  <c r="L5788" i="1"/>
  <c r="L5787" i="1"/>
  <c r="L5786" i="1"/>
  <c r="L5785" i="1"/>
  <c r="L5784" i="1"/>
  <c r="L5783" i="1"/>
  <c r="L5782" i="1"/>
  <c r="L5781" i="1"/>
  <c r="L5780" i="1"/>
  <c r="L5779" i="1"/>
  <c r="L5778" i="1"/>
  <c r="L5777" i="1"/>
  <c r="L5776" i="1"/>
  <c r="L5775" i="1"/>
  <c r="L5774" i="1"/>
  <c r="L5773" i="1"/>
  <c r="L5772" i="1"/>
  <c r="L5771" i="1"/>
  <c r="L5770" i="1"/>
  <c r="L5769" i="1"/>
  <c r="L5768" i="1"/>
  <c r="L5767" i="1"/>
  <c r="L5766" i="1"/>
  <c r="L5765" i="1"/>
  <c r="L5764" i="1"/>
  <c r="L5763" i="1"/>
  <c r="L5759" i="1"/>
  <c r="L5758" i="1"/>
  <c r="L5757" i="1"/>
  <c r="L5756" i="1"/>
  <c r="L5755" i="1"/>
  <c r="L5754" i="1"/>
  <c r="L5753" i="1"/>
  <c r="L5752" i="1"/>
  <c r="L5751" i="1"/>
  <c r="L5750" i="1"/>
  <c r="L5749" i="1"/>
  <c r="L5748" i="1"/>
  <c r="L5747" i="1"/>
  <c r="L5746" i="1"/>
  <c r="L5745" i="1"/>
  <c r="L5744" i="1"/>
  <c r="L5743" i="1"/>
  <c r="L5742" i="1"/>
  <c r="L5741" i="1"/>
  <c r="L5740" i="1"/>
  <c r="L5739" i="1"/>
  <c r="L5738" i="1"/>
  <c r="L5737" i="1"/>
  <c r="L5736" i="1"/>
  <c r="L5735" i="1"/>
  <c r="L5734" i="1"/>
  <c r="L5733" i="1"/>
  <c r="L5732" i="1"/>
  <c r="L5731" i="1"/>
  <c r="L5730" i="1"/>
  <c r="L5729" i="1"/>
  <c r="L5728" i="1"/>
  <c r="L5727" i="1"/>
  <c r="L5726" i="1"/>
  <c r="L5724" i="1"/>
  <c r="L5723" i="1"/>
  <c r="L5722" i="1"/>
  <c r="L5721" i="1"/>
  <c r="L5716" i="1"/>
  <c r="L5704" i="1"/>
  <c r="L5699" i="1"/>
  <c r="L5698" i="1"/>
  <c r="L5697" i="1"/>
  <c r="L5696" i="1"/>
  <c r="L5695" i="1"/>
  <c r="L5694" i="1"/>
  <c r="L5693" i="1"/>
  <c r="L5692" i="1"/>
  <c r="L5691" i="1"/>
  <c r="L5690" i="1"/>
  <c r="L5689" i="1"/>
  <c r="L5688" i="1"/>
  <c r="L5687" i="1"/>
  <c r="L5686" i="1"/>
  <c r="L5685" i="1"/>
  <c r="L5684" i="1"/>
  <c r="L5683" i="1"/>
  <c r="L5682" i="1"/>
  <c r="L5681" i="1"/>
  <c r="L5680" i="1"/>
  <c r="L5679" i="1"/>
  <c r="L5678" i="1"/>
  <c r="L5677" i="1"/>
  <c r="L5676" i="1"/>
  <c r="L5675" i="1"/>
  <c r="L5674" i="1"/>
  <c r="L5673" i="1"/>
  <c r="L5672" i="1"/>
  <c r="L5671" i="1"/>
  <c r="L5670" i="1"/>
  <c r="L5669" i="1"/>
  <c r="L5668" i="1"/>
  <c r="L5667" i="1"/>
  <c r="L5666" i="1"/>
  <c r="L5665" i="1"/>
  <c r="L5664" i="1"/>
  <c r="L5663" i="1"/>
  <c r="L5662" i="1"/>
  <c r="L5661" i="1"/>
  <c r="L5660" i="1"/>
  <c r="L5659" i="1"/>
  <c r="L5658" i="1"/>
  <c r="L5657" i="1"/>
  <c r="L5656" i="1"/>
  <c r="L5655" i="1"/>
  <c r="L5654" i="1"/>
  <c r="L5653" i="1"/>
  <c r="L5652" i="1"/>
  <c r="L5651" i="1"/>
  <c r="L5650" i="1"/>
  <c r="L5649" i="1"/>
  <c r="L5648" i="1"/>
  <c r="L5647" i="1"/>
  <c r="L5646" i="1"/>
  <c r="L5645" i="1"/>
  <c r="L5644" i="1"/>
  <c r="L5643" i="1"/>
  <c r="L5642" i="1"/>
  <c r="L5641" i="1"/>
  <c r="L5640" i="1"/>
  <c r="L5639" i="1"/>
  <c r="L5638" i="1"/>
  <c r="L5637" i="1"/>
  <c r="L5636" i="1"/>
  <c r="L5635" i="1"/>
  <c r="L5634" i="1"/>
  <c r="L5633" i="1"/>
  <c r="L5632" i="1"/>
  <c r="L5631" i="1"/>
  <c r="L5630" i="1"/>
  <c r="L5629" i="1"/>
  <c r="L5628" i="1"/>
  <c r="L5627" i="1"/>
  <c r="L5626" i="1"/>
  <c r="L5625" i="1"/>
  <c r="L5624" i="1"/>
  <c r="L5623" i="1"/>
  <c r="L5622" i="1"/>
  <c r="L5621" i="1"/>
  <c r="L5620" i="1"/>
  <c r="L5619" i="1"/>
  <c r="L5618" i="1"/>
  <c r="L5617" i="1"/>
  <c r="L5616" i="1"/>
  <c r="L5615" i="1"/>
  <c r="L5614" i="1"/>
  <c r="L5613" i="1"/>
  <c r="L5612" i="1"/>
  <c r="L5611" i="1"/>
  <c r="L5610" i="1"/>
  <c r="L5609" i="1"/>
  <c r="L5608" i="1"/>
  <c r="L5607" i="1"/>
  <c r="L5606" i="1"/>
  <c r="L5605" i="1"/>
  <c r="L5604" i="1"/>
  <c r="L5603" i="1"/>
  <c r="L5602" i="1"/>
  <c r="L5601" i="1"/>
  <c r="L5600" i="1"/>
  <c r="L5599" i="1"/>
  <c r="L5598" i="1"/>
  <c r="L5597" i="1"/>
  <c r="L5596" i="1"/>
  <c r="L5595" i="1"/>
  <c r="L5594" i="1"/>
  <c r="L5593" i="1"/>
  <c r="L5592" i="1"/>
  <c r="L5591" i="1"/>
  <c r="L5590" i="1"/>
  <c r="L5589" i="1"/>
  <c r="L5588" i="1"/>
  <c r="L5587" i="1"/>
  <c r="L5586" i="1"/>
  <c r="L5585" i="1"/>
  <c r="L5584" i="1"/>
  <c r="L5583" i="1"/>
  <c r="L5582" i="1"/>
  <c r="L5581" i="1"/>
  <c r="L5580" i="1"/>
  <c r="L5579" i="1"/>
  <c r="L5578" i="1"/>
  <c r="L5577" i="1"/>
  <c r="L5576" i="1"/>
  <c r="L5575" i="1"/>
  <c r="L5574" i="1"/>
  <c r="L5573" i="1"/>
  <c r="L5572" i="1"/>
  <c r="L5571" i="1"/>
  <c r="L5570" i="1"/>
  <c r="L5569" i="1"/>
  <c r="L5568" i="1"/>
  <c r="L5567" i="1"/>
  <c r="L5566" i="1"/>
  <c r="L5565" i="1"/>
  <c r="L5564" i="1"/>
  <c r="L5563" i="1"/>
  <c r="L5562" i="1"/>
  <c r="L5561" i="1"/>
  <c r="L5560" i="1"/>
  <c r="L5559" i="1"/>
  <c r="L5558" i="1"/>
  <c r="L5557" i="1"/>
  <c r="L5556" i="1"/>
  <c r="L5555" i="1"/>
  <c r="L5554" i="1"/>
  <c r="L5553" i="1"/>
  <c r="L5552" i="1"/>
  <c r="L5551" i="1"/>
  <c r="L5550" i="1"/>
  <c r="L5549" i="1"/>
  <c r="L5548" i="1"/>
  <c r="L5547" i="1"/>
  <c r="L5546" i="1"/>
  <c r="L5545" i="1"/>
  <c r="L5543" i="1"/>
  <c r="L5533" i="1"/>
  <c r="L5532" i="1"/>
  <c r="L5531" i="1"/>
  <c r="L5527" i="1"/>
  <c r="L5526" i="1"/>
  <c r="L5525" i="1"/>
  <c r="L5524" i="1"/>
  <c r="L5523" i="1"/>
  <c r="L5522" i="1"/>
  <c r="L5521" i="1"/>
  <c r="L5520" i="1"/>
  <c r="L5519" i="1"/>
  <c r="L5518" i="1"/>
  <c r="L5517" i="1"/>
  <c r="L5516" i="1"/>
  <c r="L5515" i="1"/>
  <c r="L5514" i="1"/>
  <c r="L5513" i="1"/>
  <c r="L5512" i="1"/>
  <c r="L5511" i="1"/>
  <c r="L5510" i="1"/>
  <c r="L5509" i="1"/>
  <c r="L5508" i="1"/>
  <c r="L5507" i="1"/>
  <c r="L5506" i="1"/>
  <c r="L5505" i="1"/>
  <c r="L5504" i="1"/>
  <c r="L5503" i="1"/>
  <c r="L5502" i="1"/>
  <c r="L5501" i="1"/>
  <c r="L5500" i="1"/>
  <c r="L5487" i="1"/>
  <c r="L5483" i="1"/>
  <c r="L5482" i="1"/>
  <c r="L5481" i="1"/>
  <c r="L5480" i="1"/>
  <c r="L5479" i="1"/>
  <c r="L5478" i="1"/>
  <c r="L5477" i="1"/>
  <c r="L5476" i="1"/>
  <c r="L5475" i="1"/>
  <c r="L5474" i="1"/>
  <c r="L5473" i="1"/>
  <c r="L5472" i="1"/>
  <c r="L5471" i="1"/>
  <c r="L5457" i="1"/>
  <c r="L5456" i="1"/>
  <c r="L5455" i="1"/>
  <c r="L5454" i="1"/>
  <c r="L5453" i="1"/>
  <c r="L5452" i="1"/>
  <c r="L5451" i="1"/>
  <c r="L5448" i="1"/>
  <c r="L5447" i="1"/>
  <c r="L5446" i="1"/>
  <c r="L5445" i="1"/>
  <c r="L5444" i="1"/>
  <c r="L5443" i="1"/>
  <c r="L5442" i="1"/>
  <c r="L5441" i="1"/>
  <c r="L5440" i="1"/>
  <c r="L5439" i="1"/>
  <c r="L5438" i="1"/>
  <c r="L5437" i="1"/>
  <c r="L5436" i="1"/>
  <c r="L5435" i="1"/>
  <c r="L5434" i="1"/>
  <c r="L5433" i="1"/>
  <c r="L5432" i="1"/>
  <c r="L5431" i="1"/>
  <c r="L5430" i="1"/>
  <c r="L5429" i="1"/>
  <c r="L5428" i="1"/>
  <c r="L5427" i="1"/>
  <c r="L5426" i="1"/>
  <c r="L5425" i="1"/>
  <c r="L5424" i="1"/>
  <c r="L5423" i="1"/>
  <c r="L5422" i="1"/>
  <c r="L5421" i="1"/>
  <c r="L5420" i="1"/>
  <c r="L5419" i="1"/>
  <c r="L5418" i="1"/>
  <c r="L5417" i="1"/>
  <c r="L5416" i="1"/>
  <c r="L5415" i="1"/>
  <c r="L5414" i="1"/>
  <c r="L5413" i="1"/>
  <c r="L5410" i="1"/>
  <c r="L5409" i="1"/>
  <c r="L5408" i="1"/>
  <c r="L5407" i="1"/>
  <c r="L5406" i="1"/>
  <c r="L5405" i="1"/>
  <c r="L5404" i="1"/>
  <c r="L5403" i="1"/>
  <c r="L5402" i="1"/>
  <c r="L5401" i="1"/>
  <c r="L5400" i="1"/>
  <c r="L5399" i="1"/>
  <c r="L5398" i="1"/>
  <c r="L5397" i="1"/>
  <c r="L5396" i="1"/>
  <c r="L5395" i="1"/>
  <c r="L5394" i="1"/>
  <c r="L5393" i="1"/>
  <c r="L5392" i="1"/>
  <c r="L5391" i="1"/>
  <c r="L5390" i="1"/>
  <c r="L5389" i="1"/>
  <c r="L5388" i="1"/>
  <c r="L5385" i="1"/>
  <c r="L5384" i="1"/>
  <c r="L5383" i="1"/>
  <c r="L5382" i="1"/>
  <c r="L5381" i="1"/>
  <c r="L5380" i="1"/>
  <c r="L5379" i="1"/>
  <c r="L5378" i="1"/>
  <c r="L5377" i="1"/>
  <c r="L5376" i="1"/>
  <c r="L5375" i="1"/>
  <c r="L5374" i="1"/>
  <c r="L5373" i="1"/>
  <c r="L5372" i="1"/>
  <c r="L5371" i="1"/>
  <c r="L5370" i="1"/>
  <c r="L5369" i="1"/>
  <c r="L5368" i="1"/>
  <c r="L5367" i="1"/>
  <c r="L5366" i="1"/>
  <c r="L5365" i="1"/>
  <c r="L5364" i="1"/>
  <c r="L5363" i="1"/>
  <c r="L5362" i="1"/>
  <c r="L5361" i="1"/>
  <c r="L5360" i="1"/>
  <c r="L5359" i="1"/>
  <c r="L5338" i="1"/>
  <c r="L5337" i="1"/>
  <c r="L5336" i="1"/>
  <c r="L5335" i="1"/>
  <c r="L5334" i="1"/>
  <c r="L5333" i="1"/>
  <c r="L5332" i="1"/>
  <c r="L5331" i="1"/>
  <c r="L5330" i="1"/>
  <c r="L5329" i="1"/>
  <c r="L5328" i="1"/>
  <c r="L5327" i="1"/>
  <c r="L5326" i="1"/>
  <c r="L5325" i="1"/>
  <c r="L5324" i="1"/>
  <c r="L5323" i="1"/>
  <c r="L5322" i="1"/>
  <c r="L5321" i="1"/>
  <c r="L5320" i="1"/>
  <c r="L5319" i="1"/>
  <c r="L5318" i="1"/>
  <c r="L5317" i="1"/>
  <c r="L5316" i="1"/>
  <c r="L5315" i="1"/>
  <c r="L5314" i="1"/>
  <c r="L5313" i="1"/>
  <c r="L5312" i="1"/>
  <c r="L5311" i="1"/>
  <c r="L5310" i="1"/>
  <c r="L5309" i="1"/>
  <c r="L5308" i="1"/>
  <c r="L5307" i="1"/>
  <c r="L5306" i="1"/>
  <c r="L5305" i="1"/>
  <c r="L5304" i="1"/>
  <c r="L5303" i="1"/>
  <c r="L5302" i="1"/>
  <c r="L5301" i="1"/>
  <c r="L5300" i="1"/>
  <c r="L5299" i="1"/>
  <c r="L5298" i="1"/>
  <c r="L5297" i="1"/>
  <c r="L5296" i="1"/>
  <c r="L5295" i="1"/>
  <c r="L5294" i="1"/>
  <c r="L5293" i="1"/>
  <c r="L5292" i="1"/>
  <c r="L5291" i="1"/>
  <c r="L5290" i="1"/>
  <c r="L5289" i="1"/>
  <c r="L5288" i="1"/>
  <c r="L5287" i="1"/>
  <c r="L5286" i="1"/>
  <c r="L5285" i="1"/>
  <c r="L5284" i="1"/>
  <c r="L5283" i="1"/>
  <c r="L5282" i="1"/>
  <c r="L5281" i="1"/>
  <c r="L5280" i="1"/>
  <c r="L5277" i="1"/>
  <c r="L5275" i="1"/>
  <c r="L5272" i="1"/>
  <c r="L5271" i="1"/>
  <c r="L5270" i="1"/>
  <c r="L5269" i="1"/>
  <c r="L5268" i="1"/>
  <c r="L5267" i="1"/>
  <c r="L5260" i="1"/>
  <c r="L5259" i="1"/>
  <c r="L5258" i="1"/>
  <c r="L5257" i="1"/>
  <c r="L5256" i="1"/>
  <c r="L5255" i="1"/>
  <c r="L5254" i="1"/>
  <c r="L5253" i="1"/>
  <c r="L5252" i="1"/>
  <c r="L5251" i="1"/>
  <c r="L5250" i="1"/>
  <c r="L5249" i="1"/>
  <c r="L5248" i="1"/>
  <c r="L5247" i="1"/>
  <c r="L5245" i="1"/>
  <c r="L5244" i="1"/>
  <c r="L5243" i="1"/>
  <c r="L5242" i="1"/>
  <c r="L5241" i="1"/>
  <c r="L5240" i="1"/>
  <c r="L5239" i="1"/>
  <c r="L5237" i="1"/>
  <c r="L5236" i="1"/>
  <c r="L5235" i="1"/>
  <c r="L5234" i="1"/>
  <c r="L5233" i="1"/>
  <c r="L5232" i="1"/>
  <c r="L5231" i="1"/>
  <c r="L5228" i="1"/>
  <c r="L5227" i="1"/>
  <c r="L5226" i="1"/>
  <c r="L5214" i="1"/>
  <c r="L5213" i="1"/>
  <c r="L5212" i="1"/>
  <c r="L5211" i="1"/>
  <c r="L5210" i="1"/>
  <c r="L5209" i="1"/>
  <c r="L5208" i="1"/>
  <c r="L5207" i="1"/>
  <c r="L5206" i="1"/>
  <c r="L5205" i="1"/>
  <c r="L5204" i="1"/>
  <c r="L5203" i="1"/>
  <c r="L5202" i="1"/>
  <c r="L5201" i="1"/>
  <c r="L5200" i="1"/>
  <c r="L5199" i="1"/>
  <c r="L5198" i="1"/>
  <c r="L5197" i="1"/>
  <c r="L5196" i="1"/>
  <c r="L5195" i="1"/>
  <c r="L5194" i="1"/>
  <c r="L5193" i="1"/>
  <c r="L5192" i="1"/>
  <c r="L5191" i="1"/>
  <c r="L5190" i="1"/>
  <c r="L5189" i="1"/>
  <c r="L5188" i="1"/>
  <c r="L5187" i="1"/>
  <c r="L5184" i="1"/>
  <c r="L5180" i="1"/>
  <c r="L5179" i="1"/>
  <c r="L5178" i="1"/>
  <c r="L5174" i="1"/>
  <c r="L5168" i="1"/>
  <c r="L5165" i="1"/>
  <c r="L5163" i="1"/>
  <c r="L5162" i="1"/>
  <c r="L5161" i="1"/>
  <c r="L5160" i="1"/>
  <c r="L5159" i="1"/>
  <c r="L5158" i="1"/>
  <c r="L5157" i="1"/>
  <c r="L5156" i="1"/>
  <c r="L5155" i="1"/>
  <c r="L5154" i="1"/>
  <c r="L5153" i="1"/>
  <c r="L5152" i="1"/>
  <c r="L5151" i="1"/>
  <c r="L5150" i="1"/>
  <c r="L5149" i="1"/>
  <c r="L5148" i="1"/>
  <c r="L5147" i="1"/>
  <c r="L5146" i="1"/>
  <c r="L5145" i="1"/>
  <c r="L5144" i="1"/>
  <c r="L5137" i="1"/>
  <c r="L5136" i="1"/>
  <c r="L5135" i="1"/>
  <c r="L5134" i="1"/>
  <c r="L5128" i="1"/>
  <c r="L5127" i="1"/>
  <c r="L5126" i="1"/>
  <c r="L5125" i="1"/>
  <c r="L5124" i="1"/>
  <c r="L5123" i="1"/>
  <c r="L5122" i="1"/>
  <c r="L5121" i="1"/>
  <c r="L5120" i="1"/>
  <c r="L5119" i="1"/>
  <c r="L5118" i="1"/>
  <c r="L5117" i="1"/>
  <c r="L5116" i="1"/>
  <c r="L5115" i="1"/>
  <c r="L5114" i="1"/>
  <c r="L5113" i="1"/>
  <c r="L5112" i="1"/>
  <c r="L5111" i="1"/>
  <c r="L5110" i="1"/>
  <c r="L5109" i="1"/>
  <c r="L5108" i="1"/>
  <c r="L5107" i="1"/>
  <c r="L5106" i="1"/>
  <c r="L5105" i="1"/>
  <c r="L5104" i="1"/>
  <c r="L5103" i="1"/>
  <c r="L5102" i="1"/>
  <c r="L5101" i="1"/>
  <c r="L5100" i="1"/>
  <c r="L5099" i="1"/>
  <c r="L5098" i="1"/>
  <c r="L5097" i="1"/>
  <c r="L5096" i="1"/>
  <c r="L5095" i="1"/>
  <c r="L5094" i="1"/>
  <c r="L5093" i="1"/>
  <c r="L5092" i="1"/>
  <c r="L5091" i="1"/>
  <c r="L5090" i="1"/>
  <c r="L5089" i="1"/>
  <c r="L5088" i="1"/>
  <c r="L5087" i="1"/>
  <c r="L5086" i="1"/>
  <c r="L5085" i="1"/>
  <c r="L5084" i="1"/>
  <c r="L5083" i="1"/>
  <c r="L5082" i="1"/>
  <c r="L5081" i="1"/>
  <c r="L5080" i="1"/>
  <c r="L5079" i="1"/>
  <c r="L5078" i="1"/>
  <c r="L5077" i="1"/>
  <c r="L5076" i="1"/>
  <c r="L5075" i="1"/>
  <c r="L5074" i="1"/>
  <c r="L5073" i="1"/>
  <c r="L5072" i="1"/>
  <c r="L5071" i="1"/>
  <c r="L5070" i="1"/>
  <c r="L5069" i="1"/>
  <c r="L5068" i="1"/>
  <c r="L5067" i="1"/>
  <c r="L5066" i="1"/>
  <c r="L5065" i="1"/>
  <c r="L5064" i="1"/>
  <c r="L5063" i="1"/>
  <c r="L5062" i="1"/>
  <c r="L5061" i="1"/>
  <c r="L5060" i="1"/>
  <c r="L5059" i="1"/>
  <c r="L5058" i="1"/>
  <c r="L5057" i="1"/>
  <c r="L5056" i="1"/>
  <c r="L5055" i="1"/>
  <c r="L5054" i="1"/>
  <c r="L5053" i="1"/>
  <c r="L5052" i="1"/>
  <c r="L5051" i="1"/>
  <c r="L5050" i="1"/>
  <c r="L5049" i="1"/>
  <c r="L5048" i="1"/>
  <c r="L5047" i="1"/>
  <c r="L5046" i="1"/>
  <c r="L5045" i="1"/>
  <c r="L5044" i="1"/>
  <c r="L5043" i="1"/>
  <c r="L5042" i="1"/>
  <c r="L5041" i="1"/>
  <c r="L5040" i="1"/>
  <c r="L5039" i="1"/>
  <c r="L5037" i="1"/>
  <c r="L5036" i="1"/>
  <c r="L5035" i="1"/>
  <c r="L5028" i="1"/>
  <c r="L5021" i="1"/>
  <c r="L5019" i="1"/>
  <c r="L5018" i="1"/>
  <c r="L5017" i="1"/>
  <c r="L5016" i="1"/>
  <c r="L5015" i="1"/>
  <c r="L5014" i="1"/>
  <c r="L5013" i="1"/>
  <c r="L5012" i="1"/>
  <c r="L5011" i="1"/>
  <c r="L5010" i="1"/>
  <c r="L5009" i="1"/>
  <c r="L5008" i="1"/>
  <c r="L5007" i="1"/>
  <c r="L5006" i="1"/>
  <c r="L5005" i="1"/>
  <c r="L5004" i="1"/>
  <c r="L5003" i="1"/>
  <c r="L5002" i="1"/>
  <c r="L5001" i="1"/>
  <c r="L4998" i="1"/>
  <c r="L4997" i="1"/>
  <c r="L4996" i="1"/>
  <c r="L4995" i="1"/>
  <c r="L4994" i="1"/>
  <c r="L4993" i="1"/>
  <c r="L4992" i="1"/>
  <c r="L4991" i="1"/>
  <c r="L4990" i="1"/>
  <c r="L4989" i="1"/>
  <c r="L4988" i="1"/>
  <c r="L4987" i="1"/>
  <c r="L4986" i="1"/>
  <c r="L4985" i="1"/>
  <c r="L4984" i="1"/>
  <c r="L4983" i="1"/>
  <c r="L4982" i="1"/>
  <c r="L4981" i="1"/>
  <c r="L4980" i="1"/>
  <c r="L4979" i="1"/>
  <c r="L4978" i="1"/>
  <c r="L4977" i="1"/>
  <c r="L4976" i="1"/>
  <c r="L4975" i="1"/>
  <c r="L4974" i="1"/>
  <c r="L4973" i="1"/>
  <c r="L4972" i="1"/>
  <c r="L4971" i="1"/>
  <c r="L4970" i="1"/>
  <c r="L4969" i="1"/>
  <c r="L4968" i="1"/>
  <c r="L4967" i="1"/>
  <c r="L4966" i="1"/>
  <c r="L4965" i="1"/>
  <c r="L4964" i="1"/>
  <c r="L4963" i="1"/>
  <c r="L4962" i="1"/>
  <c r="L4961" i="1"/>
  <c r="L4960" i="1"/>
  <c r="L4959" i="1"/>
  <c r="L4958" i="1"/>
  <c r="L4957" i="1"/>
  <c r="L4956" i="1"/>
  <c r="L4955" i="1"/>
  <c r="L4954" i="1"/>
  <c r="L4953" i="1"/>
  <c r="L4952" i="1"/>
  <c r="L4951" i="1"/>
  <c r="L4950" i="1"/>
  <c r="L4949" i="1"/>
  <c r="L4948" i="1"/>
  <c r="L4947" i="1"/>
  <c r="L4946" i="1"/>
  <c r="L4945" i="1"/>
  <c r="L4944" i="1"/>
  <c r="L4943" i="1"/>
  <c r="L4942" i="1"/>
  <c r="L4941" i="1"/>
  <c r="L4940" i="1"/>
  <c r="L4939" i="1"/>
  <c r="L4938" i="1"/>
  <c r="L4937" i="1"/>
  <c r="L4936" i="1"/>
  <c r="L4935" i="1"/>
  <c r="L4934" i="1"/>
  <c r="L4933" i="1"/>
  <c r="L4932" i="1"/>
  <c r="L4931" i="1"/>
  <c r="L4930" i="1"/>
  <c r="L4929" i="1"/>
  <c r="L4928" i="1"/>
  <c r="L4927" i="1"/>
  <c r="L4926" i="1"/>
  <c r="L4925" i="1"/>
  <c r="L4924" i="1"/>
  <c r="L4923" i="1"/>
  <c r="L4922" i="1"/>
  <c r="L4921" i="1"/>
  <c r="L4920" i="1"/>
  <c r="L4919" i="1"/>
  <c r="L4918" i="1"/>
  <c r="L4917" i="1"/>
  <c r="L4916" i="1"/>
  <c r="L4915" i="1"/>
  <c r="L4914" i="1"/>
  <c r="L4913" i="1"/>
  <c r="L4912" i="1"/>
  <c r="L4911" i="1"/>
  <c r="L4910" i="1"/>
  <c r="L4909" i="1"/>
  <c r="L4908" i="1"/>
  <c r="L4907" i="1"/>
  <c r="L4906" i="1"/>
  <c r="L4905" i="1"/>
  <c r="L4904" i="1"/>
  <c r="L4903" i="1"/>
  <c r="L4902" i="1"/>
  <c r="L4901" i="1"/>
  <c r="L4900" i="1"/>
  <c r="L4899" i="1"/>
  <c r="L4898" i="1"/>
  <c r="L4897" i="1"/>
  <c r="L4896" i="1"/>
  <c r="L4895" i="1"/>
  <c r="L4894" i="1"/>
  <c r="L4893" i="1"/>
  <c r="L4892" i="1"/>
  <c r="L4891" i="1"/>
  <c r="L4890" i="1"/>
  <c r="L4889" i="1"/>
  <c r="L4888" i="1"/>
  <c r="L4887" i="1"/>
  <c r="L4886" i="1"/>
  <c r="L4885" i="1"/>
  <c r="L4884" i="1"/>
  <c r="L4883" i="1"/>
  <c r="L4882" i="1"/>
  <c r="L4881" i="1"/>
  <c r="L4880" i="1"/>
  <c r="L4879" i="1"/>
  <c r="L4878" i="1"/>
  <c r="L4877" i="1"/>
  <c r="L4876" i="1"/>
  <c r="L4875" i="1"/>
  <c r="L4874" i="1"/>
  <c r="L4873" i="1"/>
  <c r="L4872" i="1"/>
  <c r="L4871" i="1"/>
  <c r="L4870" i="1"/>
  <c r="L4869" i="1"/>
  <c r="L4868" i="1"/>
  <c r="L4867" i="1"/>
  <c r="L4866" i="1"/>
  <c r="L4865" i="1"/>
  <c r="L4864" i="1"/>
  <c r="L4863" i="1"/>
  <c r="L4862" i="1"/>
  <c r="L4861" i="1"/>
  <c r="L4860" i="1"/>
  <c r="L4859" i="1"/>
  <c r="L4858" i="1"/>
  <c r="L4857" i="1"/>
  <c r="L4856" i="1"/>
  <c r="L4855" i="1"/>
  <c r="L4854" i="1"/>
  <c r="L4853" i="1"/>
  <c r="L4852" i="1"/>
  <c r="L4851" i="1"/>
  <c r="L4850" i="1"/>
  <c r="L4849" i="1"/>
  <c r="L4848" i="1"/>
  <c r="L4847" i="1"/>
  <c r="L4846" i="1"/>
  <c r="L4845" i="1"/>
  <c r="L4844" i="1"/>
  <c r="L4843" i="1"/>
  <c r="L4842" i="1"/>
  <c r="L4841" i="1"/>
  <c r="L4840" i="1"/>
  <c r="L4839" i="1"/>
  <c r="L4838" i="1"/>
  <c r="L4837" i="1"/>
  <c r="L4836" i="1"/>
  <c r="L4835" i="1"/>
  <c r="L4834" i="1"/>
  <c r="L4833" i="1"/>
  <c r="L4832" i="1"/>
  <c r="L4831" i="1"/>
  <c r="L4830" i="1"/>
  <c r="L4829" i="1"/>
  <c r="L4828" i="1"/>
  <c r="L4827" i="1"/>
  <c r="L4826" i="1"/>
  <c r="L4825" i="1"/>
  <c r="L4824" i="1"/>
  <c r="L4823" i="1"/>
  <c r="L4822" i="1"/>
  <c r="L4821" i="1"/>
  <c r="L4820" i="1"/>
  <c r="L4819" i="1"/>
  <c r="L4818" i="1"/>
  <c r="L4817" i="1"/>
  <c r="L4816" i="1"/>
  <c r="L4815" i="1"/>
  <c r="L4814" i="1"/>
  <c r="L4813" i="1"/>
  <c r="L4812" i="1"/>
  <c r="L4811" i="1"/>
  <c r="L4810" i="1"/>
  <c r="L4809" i="1"/>
  <c r="L4808" i="1"/>
  <c r="L4807" i="1"/>
  <c r="L4806" i="1"/>
  <c r="L4805" i="1"/>
  <c r="L4804" i="1"/>
  <c r="L4803" i="1"/>
  <c r="L4802" i="1"/>
  <c r="L4801" i="1"/>
  <c r="L4800" i="1"/>
  <c r="L4799" i="1"/>
  <c r="L4798" i="1"/>
  <c r="L4797" i="1"/>
  <c r="L4796" i="1"/>
  <c r="L4795" i="1"/>
  <c r="L4794" i="1"/>
  <c r="L4793" i="1"/>
  <c r="L4792" i="1"/>
  <c r="L4791" i="1"/>
  <c r="L4790" i="1"/>
  <c r="L4789" i="1"/>
  <c r="L4788" i="1"/>
  <c r="L4787" i="1"/>
  <c r="L4786" i="1"/>
  <c r="L4785" i="1"/>
  <c r="L4784" i="1"/>
  <c r="L4783" i="1"/>
  <c r="L4782" i="1"/>
  <c r="L4781" i="1"/>
  <c r="L4780" i="1"/>
  <c r="L4779" i="1"/>
  <c r="L4778" i="1"/>
  <c r="L4777" i="1"/>
  <c r="L4776" i="1"/>
  <c r="L4775" i="1"/>
  <c r="L4774" i="1"/>
  <c r="L4773" i="1"/>
  <c r="L4772" i="1"/>
  <c r="L4771" i="1"/>
  <c r="L4770" i="1"/>
  <c r="L4769" i="1"/>
  <c r="L4768" i="1"/>
  <c r="L4767" i="1"/>
  <c r="L4766" i="1"/>
  <c r="L4765" i="1"/>
  <c r="L4764" i="1"/>
  <c r="L4763" i="1"/>
  <c r="L4762" i="1"/>
  <c r="L4761" i="1"/>
  <c r="L4760" i="1"/>
  <c r="L4759" i="1"/>
  <c r="L4758" i="1"/>
  <c r="L4757" i="1"/>
  <c r="L4756" i="1"/>
  <c r="L4755" i="1"/>
  <c r="L4751" i="1"/>
  <c r="L4750" i="1"/>
  <c r="L4749" i="1"/>
  <c r="L4748" i="1"/>
  <c r="L4747" i="1"/>
  <c r="L4746" i="1"/>
  <c r="L4745" i="1"/>
  <c r="L4744" i="1"/>
  <c r="L4743" i="1"/>
  <c r="L4742" i="1"/>
  <c r="L4741" i="1"/>
  <c r="L4740" i="1"/>
  <c r="L4739" i="1"/>
  <c r="L4738" i="1"/>
  <c r="L4737" i="1"/>
  <c r="L4736" i="1"/>
  <c r="L4735" i="1"/>
  <c r="L4734" i="1"/>
  <c r="L4733" i="1"/>
  <c r="L4732" i="1"/>
  <c r="L4731" i="1"/>
  <c r="L4730" i="1"/>
  <c r="L4729" i="1"/>
  <c r="L4728" i="1"/>
  <c r="L4727" i="1"/>
  <c r="L4726" i="1"/>
  <c r="L4725" i="1"/>
  <c r="L4724" i="1"/>
  <c r="L4723" i="1"/>
  <c r="L4722" i="1"/>
  <c r="L4721" i="1"/>
  <c r="L4720" i="1"/>
  <c r="L4719" i="1"/>
  <c r="L4718" i="1"/>
  <c r="L4717" i="1"/>
  <c r="L4716" i="1"/>
  <c r="L4715" i="1"/>
  <c r="L4714" i="1"/>
  <c r="L4713" i="1"/>
  <c r="L4712" i="1"/>
  <c r="L4711" i="1"/>
  <c r="L4710" i="1"/>
  <c r="L4709" i="1"/>
  <c r="L4708" i="1"/>
  <c r="L4707" i="1"/>
  <c r="L4706" i="1"/>
  <c r="L4705" i="1"/>
  <c r="L4704" i="1"/>
  <c r="L4703" i="1"/>
  <c r="L4702" i="1"/>
  <c r="L4701" i="1"/>
  <c r="L4700" i="1"/>
  <c r="L4699" i="1"/>
  <c r="L4698" i="1"/>
  <c r="L4697" i="1"/>
  <c r="L4696" i="1"/>
  <c r="L4695" i="1"/>
  <c r="L4694" i="1"/>
  <c r="L4693" i="1"/>
  <c r="L4692" i="1"/>
  <c r="L4691" i="1"/>
  <c r="L4690" i="1"/>
  <c r="L4689" i="1"/>
  <c r="L4688" i="1"/>
  <c r="L4687" i="1"/>
  <c r="L4686" i="1"/>
  <c r="L4685" i="1"/>
  <c r="L4684" i="1"/>
  <c r="L4679" i="1"/>
  <c r="L4678" i="1"/>
  <c r="L4677" i="1"/>
  <c r="L4676" i="1"/>
  <c r="L4675" i="1"/>
  <c r="L4674" i="1"/>
  <c r="L4673" i="1"/>
  <c r="L4672" i="1"/>
  <c r="L4671" i="1"/>
  <c r="L4670" i="1"/>
  <c r="L4669" i="1"/>
  <c r="L4668" i="1"/>
  <c r="L4667" i="1"/>
  <c r="L4661" i="1"/>
  <c r="L4660" i="1"/>
  <c r="L4659" i="1"/>
  <c r="L4658" i="1"/>
  <c r="L4657" i="1"/>
  <c r="L4656" i="1"/>
  <c r="L4655" i="1"/>
  <c r="L4654" i="1"/>
  <c r="L4653" i="1"/>
  <c r="L4652" i="1"/>
  <c r="L4651" i="1"/>
  <c r="L4650" i="1"/>
  <c r="L4649" i="1"/>
  <c r="L4648" i="1"/>
  <c r="L4647" i="1"/>
  <c r="L4646" i="1"/>
  <c r="L4645" i="1"/>
  <c r="L4644" i="1"/>
  <c r="L4643" i="1"/>
  <c r="L4642" i="1"/>
  <c r="L4641" i="1"/>
  <c r="L4640" i="1"/>
  <c r="L4639" i="1"/>
  <c r="L4638" i="1"/>
  <c r="L4637" i="1"/>
  <c r="L4636" i="1"/>
  <c r="L4635" i="1"/>
  <c r="L4634" i="1"/>
  <c r="L4633" i="1"/>
  <c r="L4632" i="1"/>
  <c r="L4631" i="1"/>
  <c r="L4630" i="1"/>
  <c r="L4629" i="1"/>
  <c r="L4628" i="1"/>
  <c r="L4627" i="1"/>
  <c r="L4626" i="1"/>
  <c r="L4625" i="1"/>
  <c r="L4624" i="1"/>
  <c r="L4623" i="1"/>
  <c r="L4622" i="1"/>
  <c r="L4621" i="1"/>
  <c r="L4620" i="1"/>
  <c r="L4619" i="1"/>
  <c r="L4618" i="1"/>
  <c r="L4617" i="1"/>
  <c r="L4616" i="1"/>
  <c r="L4615" i="1"/>
  <c r="L4614" i="1"/>
  <c r="L4613" i="1"/>
  <c r="L4612" i="1"/>
  <c r="L4611" i="1"/>
  <c r="L4610" i="1"/>
  <c r="L4609" i="1"/>
  <c r="L4608" i="1"/>
  <c r="L4607" i="1"/>
  <c r="L4606" i="1"/>
  <c r="L4605" i="1"/>
  <c r="L4604" i="1"/>
  <c r="L4603" i="1"/>
  <c r="L4602" i="1"/>
  <c r="L4601" i="1"/>
  <c r="L4600" i="1"/>
  <c r="L4599" i="1"/>
  <c r="L4598" i="1"/>
  <c r="L4597" i="1"/>
  <c r="L4596" i="1"/>
  <c r="L4595" i="1"/>
  <c r="L4594" i="1"/>
  <c r="L4593" i="1"/>
  <c r="L4592" i="1"/>
  <c r="L4591" i="1"/>
  <c r="L4590" i="1"/>
  <c r="L4589" i="1"/>
  <c r="L4588" i="1"/>
  <c r="L4587" i="1"/>
  <c r="L4586" i="1"/>
  <c r="L4585" i="1"/>
  <c r="L4584" i="1"/>
  <c r="L4583" i="1"/>
  <c r="L4582" i="1"/>
  <c r="L4581" i="1"/>
  <c r="L4580" i="1"/>
  <c r="L4579" i="1"/>
  <c r="L4578" i="1"/>
  <c r="L4577" i="1"/>
  <c r="L4576" i="1"/>
  <c r="L4575" i="1"/>
  <c r="L4574" i="1"/>
  <c r="L4573" i="1"/>
  <c r="L4572" i="1"/>
  <c r="L4571" i="1"/>
  <c r="L4570" i="1"/>
  <c r="L4569" i="1"/>
  <c r="L4568" i="1"/>
  <c r="L4567" i="1"/>
  <c r="L4566" i="1"/>
  <c r="L4565" i="1"/>
  <c r="L4564" i="1"/>
  <c r="L4563" i="1"/>
  <c r="L4562" i="1"/>
  <c r="L4552" i="1"/>
  <c r="L4551" i="1"/>
  <c r="L4550" i="1"/>
  <c r="L4549" i="1"/>
  <c r="L4548" i="1"/>
  <c r="L4547" i="1"/>
  <c r="L4546" i="1"/>
  <c r="L4545" i="1"/>
  <c r="L4544" i="1"/>
  <c r="L4543" i="1"/>
  <c r="L4542" i="1"/>
  <c r="L4541" i="1"/>
  <c r="L4540" i="1"/>
  <c r="L4539" i="1"/>
  <c r="L4538" i="1"/>
  <c r="L4537" i="1"/>
  <c r="L4536" i="1"/>
  <c r="L4535" i="1"/>
  <c r="L4534" i="1"/>
  <c r="L4533" i="1"/>
  <c r="L4532" i="1"/>
  <c r="L4531" i="1"/>
  <c r="L4530" i="1"/>
  <c r="L4529" i="1"/>
  <c r="L4528" i="1"/>
  <c r="L4527" i="1"/>
  <c r="L4526" i="1"/>
  <c r="L4525" i="1"/>
  <c r="L4524" i="1"/>
  <c r="L4523" i="1"/>
  <c r="L4522" i="1"/>
  <c r="L4521" i="1"/>
  <c r="L4519" i="1"/>
  <c r="L4518" i="1"/>
  <c r="L4517" i="1"/>
  <c r="L4516" i="1"/>
  <c r="L4515" i="1"/>
  <c r="L4514" i="1"/>
  <c r="L4513" i="1"/>
  <c r="L4512" i="1"/>
  <c r="L4511" i="1"/>
  <c r="L4510" i="1"/>
  <c r="L4509" i="1"/>
  <c r="L4508" i="1"/>
  <c r="L4507" i="1"/>
  <c r="L4506" i="1"/>
  <c r="L4505" i="1"/>
  <c r="L4504" i="1"/>
  <c r="L4503" i="1"/>
  <c r="L4502" i="1"/>
  <c r="L4501" i="1"/>
  <c r="L4500" i="1"/>
  <c r="L4499" i="1"/>
  <c r="L4498" i="1"/>
  <c r="L4497" i="1"/>
  <c r="L4496" i="1"/>
  <c r="L4495" i="1"/>
  <c r="L4494" i="1"/>
  <c r="L4493" i="1"/>
  <c r="L4492" i="1"/>
  <c r="L4491" i="1"/>
  <c r="L4490" i="1"/>
  <c r="L4489" i="1"/>
  <c r="L4488" i="1"/>
  <c r="L4487" i="1"/>
  <c r="L4486" i="1"/>
  <c r="L4485" i="1"/>
  <c r="L4484" i="1"/>
  <c r="L4483" i="1"/>
  <c r="L4482" i="1"/>
  <c r="L4481" i="1"/>
  <c r="L4480" i="1"/>
  <c r="L4479" i="1"/>
  <c r="L4478" i="1"/>
  <c r="L4477" i="1"/>
  <c r="L4476" i="1"/>
  <c r="L4475" i="1"/>
  <c r="L4474" i="1"/>
  <c r="L4473" i="1"/>
  <c r="L4472" i="1"/>
  <c r="L4471" i="1"/>
  <c r="L4470" i="1"/>
  <c r="L4469" i="1"/>
  <c r="L4466" i="1"/>
  <c r="L4465" i="1"/>
  <c r="L4464" i="1"/>
  <c r="L4463" i="1"/>
  <c r="L4462" i="1"/>
  <c r="L4461" i="1"/>
  <c r="L4460" i="1"/>
  <c r="L4459" i="1"/>
  <c r="L4458" i="1"/>
  <c r="L4457" i="1"/>
  <c r="L4456" i="1"/>
  <c r="L4455" i="1"/>
  <c r="L4454" i="1"/>
  <c r="L4453" i="1"/>
  <c r="L4452" i="1"/>
  <c r="L4451" i="1"/>
  <c r="L4450" i="1"/>
  <c r="L4449" i="1"/>
  <c r="L4448" i="1"/>
  <c r="L4447" i="1"/>
  <c r="L4446" i="1"/>
  <c r="L4445" i="1"/>
  <c r="L4444" i="1"/>
  <c r="L4443" i="1"/>
  <c r="L4442" i="1"/>
  <c r="L4441" i="1"/>
  <c r="L4440" i="1"/>
  <c r="L4439" i="1"/>
  <c r="L4438" i="1"/>
  <c r="L4437" i="1"/>
  <c r="L4436" i="1"/>
  <c r="L4435" i="1"/>
  <c r="L4434" i="1"/>
  <c r="L4433" i="1"/>
  <c r="L4432" i="1"/>
  <c r="L4431" i="1"/>
  <c r="L4430" i="1"/>
  <c r="L4429" i="1"/>
  <c r="L4428" i="1"/>
  <c r="L4427" i="1"/>
  <c r="L4426" i="1"/>
  <c r="L4425" i="1"/>
  <c r="L4424" i="1"/>
  <c r="L4423" i="1"/>
  <c r="L4422" i="1"/>
  <c r="L4421" i="1"/>
  <c r="L4420" i="1"/>
  <c r="L4419" i="1"/>
  <c r="L4418" i="1"/>
  <c r="L4417" i="1"/>
  <c r="L4416" i="1"/>
  <c r="L4415" i="1"/>
  <c r="L4414" i="1"/>
  <c r="L4413" i="1"/>
  <c r="L4412" i="1"/>
  <c r="L4411" i="1"/>
  <c r="L4410" i="1"/>
  <c r="L4409" i="1"/>
  <c r="L4408" i="1"/>
  <c r="L4407" i="1"/>
  <c r="L4406" i="1"/>
  <c r="L4405" i="1"/>
  <c r="L4404" i="1"/>
  <c r="L4403" i="1"/>
  <c r="L4402" i="1"/>
  <c r="L4401" i="1"/>
  <c r="L4400" i="1"/>
  <c r="L4399" i="1"/>
  <c r="L4398" i="1"/>
  <c r="L4397" i="1"/>
  <c r="L4396" i="1"/>
  <c r="L4395" i="1"/>
  <c r="L4394" i="1"/>
  <c r="L4393" i="1"/>
  <c r="L4392" i="1"/>
  <c r="L4391" i="1"/>
  <c r="L4387" i="1"/>
  <c r="L4382" i="1"/>
  <c r="L4381" i="1"/>
  <c r="L4380" i="1"/>
  <c r="L4379" i="1"/>
  <c r="L4378" i="1"/>
  <c r="L4377" i="1"/>
  <c r="L4368" i="1"/>
  <c r="L4367" i="1"/>
  <c r="L4366" i="1"/>
  <c r="L4365" i="1"/>
  <c r="L4364" i="1"/>
  <c r="L4363" i="1"/>
  <c r="L4362" i="1"/>
  <c r="L4361" i="1"/>
  <c r="L4360" i="1"/>
  <c r="L4358" i="1"/>
  <c r="L4357" i="1"/>
  <c r="L4356" i="1"/>
  <c r="L4355" i="1"/>
  <c r="L4354" i="1"/>
  <c r="L4353" i="1"/>
  <c r="L4352" i="1"/>
  <c r="L4351" i="1"/>
  <c r="L4339" i="1"/>
  <c r="L4338" i="1"/>
  <c r="L4337" i="1"/>
  <c r="L4336" i="1"/>
  <c r="L4335" i="1"/>
  <c r="L4334" i="1"/>
  <c r="L4333" i="1"/>
  <c r="L4332" i="1"/>
  <c r="L4331" i="1"/>
  <c r="L4330" i="1"/>
  <c r="L4329" i="1"/>
  <c r="L4328" i="1"/>
  <c r="L4327" i="1"/>
  <c r="L4326" i="1"/>
  <c r="L4325" i="1"/>
  <c r="L4321" i="1"/>
  <c r="L4320" i="1"/>
  <c r="L4319" i="1"/>
  <c r="L4318" i="1"/>
  <c r="L4317" i="1"/>
  <c r="L4316" i="1"/>
  <c r="L4315" i="1"/>
  <c r="L4314" i="1"/>
  <c r="L4313" i="1"/>
  <c r="L4312" i="1"/>
  <c r="L4311" i="1"/>
  <c r="L4310" i="1"/>
  <c r="L4309" i="1"/>
  <c r="L4308" i="1"/>
  <c r="L4307" i="1"/>
  <c r="L4306" i="1"/>
  <c r="L4305" i="1"/>
  <c r="L4304" i="1"/>
  <c r="L4303" i="1"/>
  <c r="L4299" i="1"/>
  <c r="L4296" i="1"/>
  <c r="L4295" i="1"/>
  <c r="L4294" i="1"/>
  <c r="L4293" i="1"/>
  <c r="L4292" i="1"/>
  <c r="L4291" i="1"/>
  <c r="L4290" i="1"/>
  <c r="L4289" i="1"/>
  <c r="L4288" i="1"/>
  <c r="L4287" i="1"/>
  <c r="L4286" i="1"/>
  <c r="L4285" i="1"/>
  <c r="L4284" i="1"/>
  <c r="L4283" i="1"/>
  <c r="L4282" i="1"/>
  <c r="L4281" i="1"/>
  <c r="L4280" i="1"/>
  <c r="L4279" i="1"/>
  <c r="L4278" i="1"/>
  <c r="L4277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L4152" i="1"/>
  <c r="L4151" i="1"/>
  <c r="L4150" i="1"/>
  <c r="L4149" i="1"/>
  <c r="L4148" i="1"/>
  <c r="L4147" i="1"/>
  <c r="L4146" i="1"/>
  <c r="L4145" i="1"/>
  <c r="L4144" i="1"/>
  <c r="L4143" i="1"/>
  <c r="L4142" i="1"/>
  <c r="L4141" i="1"/>
  <c r="L4140" i="1"/>
  <c r="L4139" i="1"/>
  <c r="L4138" i="1"/>
  <c r="L4137" i="1"/>
  <c r="L4136" i="1"/>
  <c r="L4135" i="1"/>
  <c r="L4134" i="1"/>
  <c r="L4133" i="1"/>
  <c r="L4132" i="1"/>
  <c r="L4131" i="1"/>
  <c r="L4130" i="1"/>
  <c r="L4129" i="1"/>
  <c r="L4128" i="1"/>
  <c r="L4127" i="1"/>
  <c r="L4126" i="1"/>
  <c r="L4125" i="1"/>
  <c r="L4124" i="1"/>
  <c r="L4123" i="1"/>
  <c r="L4122" i="1"/>
  <c r="L4121" i="1"/>
  <c r="L4120" i="1"/>
  <c r="L4119" i="1"/>
  <c r="L4118" i="1"/>
  <c r="L4117" i="1"/>
  <c r="L4116" i="1"/>
  <c r="L4115" i="1"/>
  <c r="L4114" i="1"/>
  <c r="L4113" i="1"/>
  <c r="L4112" i="1"/>
  <c r="L4111" i="1"/>
  <c r="L4110" i="1"/>
  <c r="L4109" i="1"/>
  <c r="L4108" i="1"/>
  <c r="L4107" i="1"/>
  <c r="L4106" i="1"/>
  <c r="L4105" i="1"/>
  <c r="L4104" i="1"/>
  <c r="L4103" i="1"/>
  <c r="L4102" i="1"/>
  <c r="L4101" i="1"/>
  <c r="L4100" i="1"/>
  <c r="L4099" i="1"/>
  <c r="L4098" i="1"/>
  <c r="L4097" i="1"/>
  <c r="L4096" i="1"/>
  <c r="L4095" i="1"/>
  <c r="L4094" i="1"/>
  <c r="L4093" i="1"/>
  <c r="L4092" i="1"/>
  <c r="L4091" i="1"/>
  <c r="L4090" i="1"/>
  <c r="L4089" i="1"/>
  <c r="L4088" i="1"/>
  <c r="L4078" i="1"/>
  <c r="L4076" i="1"/>
  <c r="L4075" i="1"/>
  <c r="L4074" i="1"/>
  <c r="L4073" i="1"/>
  <c r="L4072" i="1"/>
  <c r="L4071" i="1"/>
  <c r="L4070" i="1"/>
  <c r="L4069" i="1"/>
  <c r="L4068" i="1"/>
  <c r="L4067" i="1"/>
  <c r="L4066" i="1"/>
  <c r="L4065" i="1"/>
  <c r="L4064" i="1"/>
  <c r="L4063" i="1"/>
  <c r="L4062" i="1"/>
  <c r="L4061" i="1"/>
  <c r="L4060" i="1"/>
  <c r="L4059" i="1"/>
  <c r="L4058" i="1"/>
  <c r="L4057" i="1"/>
  <c r="L4056" i="1"/>
  <c r="L4055" i="1"/>
  <c r="L4054" i="1"/>
  <c r="L4053" i="1"/>
  <c r="L4052" i="1"/>
  <c r="L4051" i="1"/>
  <c r="L4050" i="1"/>
  <c r="L4049" i="1"/>
  <c r="L4048" i="1"/>
  <c r="L4047" i="1"/>
  <c r="L4046" i="1"/>
  <c r="L4041" i="1"/>
  <c r="L4039" i="1"/>
  <c r="L4038" i="1"/>
  <c r="L4037" i="1"/>
  <c r="L4036" i="1"/>
  <c r="L4035" i="1"/>
  <c r="L4034" i="1"/>
  <c r="L4033" i="1"/>
  <c r="L4032" i="1"/>
  <c r="L4031" i="1"/>
  <c r="L4030" i="1"/>
  <c r="L4029" i="1"/>
  <c r="L4028" i="1"/>
  <c r="L4027" i="1"/>
  <c r="L4026" i="1"/>
  <c r="L4025" i="1"/>
  <c r="L4024" i="1"/>
  <c r="L4023" i="1"/>
  <c r="L4022" i="1"/>
  <c r="L4021" i="1"/>
  <c r="L4020" i="1"/>
  <c r="L4019" i="1"/>
  <c r="L4018" i="1"/>
  <c r="L4017" i="1"/>
  <c r="L4016" i="1"/>
  <c r="L4015" i="1"/>
  <c r="L4014" i="1"/>
  <c r="L4013" i="1"/>
  <c r="L4012" i="1"/>
  <c r="L4011" i="1"/>
  <c r="L4010" i="1"/>
  <c r="L4009" i="1"/>
  <c r="L4008" i="1"/>
  <c r="L4007" i="1"/>
  <c r="L4006" i="1"/>
  <c r="L4005" i="1"/>
  <c r="L4004" i="1"/>
  <c r="L4000" i="1"/>
  <c r="L3999" i="1"/>
  <c r="L3998" i="1"/>
  <c r="L3997" i="1"/>
  <c r="L3996" i="1"/>
  <c r="L3995" i="1"/>
  <c r="L3994" i="1"/>
  <c r="L3993" i="1"/>
  <c r="L3992" i="1"/>
  <c r="L3991" i="1"/>
  <c r="L3989" i="1"/>
  <c r="L3985" i="1"/>
  <c r="L3983" i="1"/>
  <c r="L3982" i="1"/>
  <c r="L3981" i="1"/>
  <c r="L3973" i="1"/>
  <c r="L3971" i="1"/>
  <c r="L3969" i="1"/>
  <c r="L3967" i="1"/>
  <c r="L3966" i="1"/>
  <c r="L3965" i="1"/>
  <c r="L3955" i="1"/>
  <c r="L3954" i="1"/>
  <c r="L3953" i="1"/>
  <c r="L3952" i="1"/>
  <c r="L3951" i="1"/>
  <c r="L3950" i="1"/>
  <c r="L3949" i="1"/>
  <c r="L3948" i="1"/>
  <c r="L3947" i="1"/>
  <c r="L3946" i="1"/>
  <c r="L3945" i="1"/>
  <c r="L3944" i="1"/>
  <c r="L3943" i="1"/>
  <c r="L3942" i="1"/>
  <c r="L3941" i="1"/>
  <c r="L3940" i="1"/>
  <c r="L3939" i="1"/>
  <c r="L3938" i="1"/>
  <c r="L3937" i="1"/>
  <c r="L3936" i="1"/>
  <c r="L3935" i="1"/>
  <c r="L3934" i="1"/>
  <c r="L3933" i="1"/>
  <c r="L3932" i="1"/>
  <c r="L3931" i="1"/>
  <c r="L3930" i="1"/>
  <c r="L3929" i="1"/>
  <c r="L3928" i="1"/>
  <c r="L3927" i="1"/>
  <c r="L3926" i="1"/>
  <c r="L3925" i="1"/>
  <c r="L3924" i="1"/>
  <c r="L3923" i="1"/>
  <c r="L3922" i="1"/>
  <c r="L3921" i="1"/>
  <c r="L3920" i="1"/>
  <c r="L3919" i="1"/>
  <c r="L3918" i="1"/>
  <c r="L3917" i="1"/>
  <c r="L3916" i="1"/>
  <c r="L3915" i="1"/>
  <c r="L3914" i="1"/>
  <c r="L3913" i="1"/>
  <c r="L3912" i="1"/>
  <c r="L3911" i="1"/>
  <c r="L3910" i="1"/>
  <c r="L3909" i="1"/>
  <c r="L3908" i="1"/>
  <c r="L3907" i="1"/>
  <c r="L3906" i="1"/>
  <c r="L3905" i="1"/>
  <c r="L3904" i="1"/>
  <c r="L3903" i="1"/>
  <c r="L3902" i="1"/>
  <c r="L3901" i="1"/>
  <c r="L3900" i="1"/>
  <c r="L3899" i="1"/>
  <c r="L3898" i="1"/>
  <c r="L3897" i="1"/>
  <c r="L3896" i="1"/>
  <c r="L3895" i="1"/>
  <c r="L3894" i="1"/>
  <c r="L3893" i="1"/>
  <c r="L3892" i="1"/>
  <c r="L3891" i="1"/>
  <c r="L3890" i="1"/>
  <c r="L3889" i="1"/>
  <c r="L3888" i="1"/>
  <c r="L3887" i="1"/>
  <c r="L3886" i="1"/>
  <c r="L3885" i="1"/>
  <c r="L3884" i="1"/>
  <c r="L3883" i="1"/>
  <c r="L3882" i="1"/>
  <c r="L3881" i="1"/>
  <c r="L3880" i="1"/>
  <c r="L3879" i="1"/>
  <c r="L3878" i="1"/>
  <c r="L3877" i="1"/>
  <c r="L3876" i="1"/>
  <c r="L3875" i="1"/>
  <c r="L3874" i="1"/>
  <c r="L3873" i="1"/>
  <c r="L3872" i="1"/>
  <c r="L3871" i="1"/>
  <c r="L3870" i="1"/>
  <c r="L3869" i="1"/>
  <c r="L3868" i="1"/>
  <c r="L3867" i="1"/>
  <c r="L3866" i="1"/>
  <c r="L3865" i="1"/>
  <c r="L3864" i="1"/>
  <c r="L3863" i="1"/>
  <c r="L3862" i="1"/>
  <c r="L3861" i="1"/>
  <c r="L3860" i="1"/>
  <c r="L3859" i="1"/>
  <c r="L3858" i="1"/>
  <c r="L3857" i="1"/>
  <c r="L3856" i="1"/>
  <c r="L3855" i="1"/>
  <c r="L3854" i="1"/>
  <c r="L3853" i="1"/>
  <c r="L3852" i="1"/>
  <c r="L3851" i="1"/>
  <c r="L3850" i="1"/>
  <c r="L3849" i="1"/>
  <c r="L3848" i="1"/>
  <c r="L3847" i="1"/>
  <c r="L3846" i="1"/>
  <c r="L3845" i="1"/>
  <c r="L3844" i="1"/>
  <c r="L3843" i="1"/>
  <c r="L3842" i="1"/>
  <c r="L3841" i="1"/>
  <c r="L3840" i="1"/>
  <c r="L3839" i="1"/>
  <c r="L3838" i="1"/>
  <c r="L3837" i="1"/>
  <c r="L3836" i="1"/>
  <c r="L3835" i="1"/>
  <c r="L3834" i="1"/>
  <c r="L3830" i="1"/>
  <c r="L3829" i="1"/>
  <c r="L3828" i="1"/>
  <c r="L3827" i="1"/>
  <c r="L3826" i="1"/>
  <c r="L3825" i="1"/>
  <c r="L3824" i="1"/>
  <c r="L3823" i="1"/>
  <c r="L3822" i="1"/>
  <c r="L3821" i="1"/>
  <c r="L3814" i="1"/>
  <c r="L3813" i="1"/>
  <c r="L3812" i="1"/>
  <c r="L3811" i="1"/>
  <c r="L3810" i="1"/>
  <c r="L3809" i="1"/>
  <c r="L3808" i="1"/>
  <c r="L3807" i="1"/>
  <c r="L3806" i="1"/>
  <c r="L3805" i="1"/>
  <c r="L3804" i="1"/>
  <c r="L3803" i="1"/>
  <c r="L3801" i="1"/>
  <c r="L3800" i="1"/>
  <c r="L3799" i="1"/>
  <c r="L3798" i="1"/>
  <c r="L3797" i="1"/>
  <c r="L3796" i="1"/>
  <c r="L3795" i="1"/>
  <c r="L3794" i="1"/>
  <c r="L3793" i="1"/>
  <c r="L3792" i="1"/>
  <c r="L3791" i="1"/>
  <c r="L3790" i="1"/>
  <c r="L3789" i="1"/>
  <c r="L3788" i="1"/>
  <c r="L3787" i="1"/>
  <c r="L3786" i="1"/>
  <c r="L3785" i="1"/>
  <c r="L3784" i="1"/>
  <c r="L3783" i="1"/>
  <c r="L3782" i="1"/>
  <c r="L3777" i="1"/>
  <c r="L3771" i="1"/>
  <c r="L3770" i="1"/>
  <c r="L3769" i="1"/>
  <c r="L3768" i="1"/>
  <c r="L3762" i="1"/>
  <c r="L3761" i="1"/>
  <c r="L3760" i="1"/>
  <c r="L3759" i="1"/>
  <c r="L3758" i="1"/>
  <c r="L3757" i="1"/>
  <c r="L3756" i="1"/>
  <c r="L3755" i="1"/>
  <c r="L3754" i="1"/>
  <c r="L3753" i="1"/>
  <c r="L3752" i="1"/>
  <c r="L3751" i="1"/>
  <c r="L3750" i="1"/>
  <c r="L3748" i="1"/>
  <c r="L3746" i="1"/>
  <c r="L3745" i="1"/>
  <c r="L3744" i="1"/>
  <c r="L3743" i="1"/>
  <c r="L3742" i="1"/>
  <c r="L3741" i="1"/>
  <c r="L3740" i="1"/>
  <c r="L3739" i="1"/>
  <c r="L3738" i="1"/>
  <c r="L3737" i="1"/>
  <c r="L3736" i="1"/>
  <c r="L3735" i="1"/>
  <c r="L3734" i="1"/>
  <c r="L3733" i="1"/>
  <c r="L3732" i="1"/>
  <c r="L3731" i="1"/>
  <c r="L3730" i="1"/>
  <c r="L3729" i="1"/>
  <c r="L3728" i="1"/>
  <c r="L3727" i="1"/>
  <c r="L3726" i="1"/>
  <c r="L3725" i="1"/>
  <c r="L3724" i="1"/>
  <c r="L3723" i="1"/>
  <c r="L3722" i="1"/>
  <c r="L3721" i="1"/>
  <c r="L3720" i="1"/>
  <c r="L3719" i="1"/>
  <c r="L3718" i="1"/>
  <c r="L3717" i="1"/>
  <c r="L3716" i="1"/>
  <c r="L3715" i="1"/>
  <c r="L3714" i="1"/>
  <c r="L3713" i="1"/>
  <c r="L3712" i="1"/>
  <c r="L3711" i="1"/>
  <c r="L3710" i="1"/>
  <c r="L3709" i="1"/>
  <c r="L3705" i="1"/>
  <c r="L3704" i="1"/>
  <c r="L3703" i="1"/>
  <c r="L3702" i="1"/>
  <c r="L3701" i="1"/>
  <c r="L3700" i="1"/>
  <c r="L3699" i="1"/>
  <c r="L3698" i="1"/>
  <c r="L3683" i="1"/>
  <c r="L3682" i="1"/>
  <c r="L3681" i="1"/>
  <c r="L3680" i="1"/>
  <c r="L3678" i="1"/>
  <c r="L3677" i="1"/>
  <c r="L3676" i="1"/>
  <c r="L3675" i="1"/>
  <c r="L3674" i="1"/>
  <c r="L3673" i="1"/>
  <c r="L3672" i="1"/>
  <c r="L3671" i="1"/>
  <c r="L3670" i="1"/>
  <c r="L3669" i="1"/>
  <c r="L3668" i="1"/>
  <c r="L3667" i="1"/>
  <c r="L3666" i="1"/>
  <c r="L3665" i="1"/>
  <c r="L3664" i="1"/>
  <c r="L3663" i="1"/>
  <c r="L3662" i="1"/>
  <c r="L3661" i="1"/>
  <c r="L3660" i="1"/>
  <c r="L3648" i="1"/>
  <c r="L3643" i="1"/>
  <c r="L3641" i="1"/>
  <c r="L3629" i="1"/>
  <c r="L3628" i="1"/>
  <c r="L3627" i="1"/>
  <c r="L3626" i="1"/>
  <c r="L3625" i="1"/>
  <c r="L3624" i="1"/>
  <c r="L3623" i="1"/>
  <c r="L3622" i="1"/>
  <c r="L3621" i="1"/>
  <c r="L3620" i="1"/>
  <c r="L3619" i="1"/>
  <c r="L3618" i="1"/>
  <c r="L3617" i="1"/>
  <c r="L3616" i="1"/>
  <c r="L3615" i="1"/>
  <c r="L3614" i="1"/>
  <c r="L3613" i="1"/>
  <c r="L3612" i="1"/>
  <c r="L3611" i="1"/>
  <c r="L3610" i="1"/>
  <c r="L3609" i="1"/>
  <c r="L3608" i="1"/>
  <c r="L3607" i="1"/>
  <c r="L3606" i="1"/>
  <c r="L3605" i="1"/>
  <c r="L3604" i="1"/>
  <c r="L3603" i="1"/>
  <c r="L3602" i="1"/>
  <c r="L3601" i="1"/>
  <c r="L3600" i="1"/>
  <c r="L3599" i="1"/>
  <c r="L3598" i="1"/>
  <c r="L3597" i="1"/>
  <c r="L3596" i="1"/>
  <c r="L3595" i="1"/>
  <c r="L3594" i="1"/>
  <c r="L3593" i="1"/>
  <c r="L3592" i="1"/>
  <c r="L3591" i="1"/>
  <c r="L3590" i="1"/>
  <c r="L3589" i="1"/>
  <c r="L3588" i="1"/>
  <c r="L3587" i="1"/>
  <c r="L3586" i="1"/>
  <c r="L3585" i="1"/>
  <c r="L3584" i="1"/>
  <c r="L3583" i="1"/>
  <c r="L3582" i="1"/>
  <c r="L3581" i="1"/>
  <c r="L3580" i="1"/>
  <c r="L3579" i="1"/>
  <c r="L3578" i="1"/>
  <c r="L3577" i="1"/>
  <c r="L3576" i="1"/>
  <c r="L3575" i="1"/>
  <c r="L3574" i="1"/>
  <c r="L3573" i="1"/>
  <c r="L3572" i="1"/>
  <c r="L3571" i="1"/>
  <c r="L3570" i="1"/>
  <c r="L3569" i="1"/>
  <c r="L3568" i="1"/>
  <c r="L3567" i="1"/>
  <c r="L3566" i="1"/>
  <c r="L3565" i="1"/>
  <c r="L3564" i="1"/>
  <c r="L3563" i="1"/>
  <c r="L3562" i="1"/>
  <c r="L3561" i="1"/>
  <c r="L3560" i="1"/>
  <c r="L3559" i="1"/>
  <c r="L3558" i="1"/>
  <c r="L3557" i="1"/>
  <c r="L3556" i="1"/>
  <c r="L3555" i="1"/>
  <c r="L3554" i="1"/>
  <c r="L3553" i="1"/>
  <c r="L3552" i="1"/>
  <c r="L3551" i="1"/>
  <c r="L3550" i="1"/>
  <c r="L3549" i="1"/>
  <c r="L3548" i="1"/>
  <c r="L3547" i="1"/>
  <c r="L3546" i="1"/>
  <c r="L3545" i="1"/>
  <c r="L3544" i="1"/>
  <c r="L3543" i="1"/>
  <c r="L3542" i="1"/>
  <c r="L3541" i="1"/>
  <c r="L3540" i="1"/>
  <c r="L3539" i="1"/>
  <c r="L3538" i="1"/>
  <c r="L3537" i="1"/>
  <c r="L3536" i="1"/>
  <c r="L3535" i="1"/>
  <c r="L3534" i="1"/>
  <c r="L3533" i="1"/>
  <c r="L3532" i="1"/>
  <c r="L3531" i="1"/>
  <c r="L3530" i="1"/>
  <c r="L3529" i="1"/>
  <c r="L3528" i="1"/>
  <c r="L3527" i="1"/>
  <c r="L3526" i="1"/>
  <c r="L3525" i="1"/>
  <c r="L3524" i="1"/>
  <c r="L3523" i="1"/>
  <c r="L3522" i="1"/>
  <c r="L3521" i="1"/>
  <c r="L3520" i="1"/>
  <c r="L3519" i="1"/>
  <c r="L3518" i="1"/>
  <c r="L3517" i="1"/>
  <c r="L3516" i="1"/>
  <c r="L3515" i="1"/>
  <c r="L3514" i="1"/>
  <c r="L3513" i="1"/>
  <c r="L3512" i="1"/>
  <c r="L3511" i="1"/>
  <c r="L3510" i="1"/>
  <c r="L3509" i="1"/>
  <c r="L3508" i="1"/>
  <c r="L3507" i="1"/>
  <c r="L3506" i="1"/>
  <c r="L3505" i="1"/>
  <c r="L3504" i="1"/>
  <c r="L3503" i="1"/>
  <c r="L3502" i="1"/>
  <c r="L3501" i="1"/>
  <c r="L3500" i="1"/>
  <c r="L3499" i="1"/>
  <c r="L3498" i="1"/>
  <c r="L3497" i="1"/>
  <c r="L3496" i="1"/>
  <c r="L3495" i="1"/>
  <c r="L3494" i="1"/>
  <c r="L3493" i="1"/>
  <c r="L3492" i="1"/>
  <c r="L3491" i="1"/>
  <c r="L3490" i="1"/>
  <c r="L3489" i="1"/>
  <c r="L3488" i="1"/>
  <c r="L3487" i="1"/>
  <c r="L3486" i="1"/>
  <c r="L3485" i="1"/>
  <c r="L3484" i="1"/>
  <c r="L3483" i="1"/>
  <c r="L3482" i="1"/>
  <c r="L3481" i="1"/>
  <c r="L3480" i="1"/>
  <c r="L3479" i="1"/>
  <c r="L3478" i="1"/>
  <c r="L3477" i="1"/>
  <c r="L3476" i="1"/>
  <c r="L3475" i="1"/>
  <c r="L3474" i="1"/>
  <c r="L3473" i="1"/>
  <c r="L3472" i="1"/>
  <c r="L3471" i="1"/>
  <c r="L3470" i="1"/>
  <c r="L3469" i="1"/>
  <c r="L3468" i="1"/>
  <c r="L3467" i="1"/>
  <c r="L3466" i="1"/>
  <c r="L3465" i="1"/>
  <c r="L3464" i="1"/>
  <c r="L3462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41" i="1"/>
  <c r="L3139" i="1"/>
  <c r="L3138" i="1"/>
  <c r="L3137" i="1"/>
  <c r="L3135" i="1"/>
  <c r="L3133" i="1"/>
  <c r="L3132" i="1"/>
  <c r="L3131" i="1"/>
  <c r="L3130" i="1"/>
  <c r="L3129" i="1"/>
  <c r="L3128" i="1"/>
  <c r="L3127" i="1"/>
  <c r="L3126" i="1"/>
  <c r="L3116" i="1"/>
  <c r="L3114" i="1"/>
  <c r="L3111" i="1"/>
  <c r="L3110" i="1"/>
  <c r="L3109" i="1"/>
  <c r="L3108" i="1"/>
  <c r="L3107" i="1"/>
  <c r="L3106" i="1"/>
  <c r="L3099" i="1"/>
  <c r="L3098" i="1"/>
  <c r="L3097" i="1"/>
  <c r="L3096" i="1"/>
  <c r="L3095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56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68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22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4" i="1"/>
  <c r="L2373" i="1"/>
  <c r="L2372" i="1"/>
  <c r="L2371" i="1"/>
  <c r="L2370" i="1"/>
  <c r="L2369" i="1"/>
  <c r="L2362" i="1"/>
  <c r="L2359" i="1"/>
  <c r="L2358" i="1"/>
  <c r="L2357" i="1"/>
  <c r="L2356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1" i="1"/>
  <c r="L2275" i="1"/>
  <c r="L2274" i="1"/>
  <c r="L2273" i="1"/>
  <c r="L2272" i="1"/>
  <c r="L2271" i="1"/>
  <c r="L2269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2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0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6" i="1"/>
  <c r="L2115" i="1"/>
  <c r="L2114" i="1"/>
  <c r="L2113" i="1"/>
  <c r="L2112" i="1"/>
  <c r="L2111" i="1"/>
  <c r="L2110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78" i="1"/>
  <c r="L1677" i="1"/>
  <c r="L1676" i="1"/>
  <c r="L1675" i="1"/>
  <c r="L1674" i="1"/>
  <c r="L1673" i="1"/>
  <c r="L1672" i="1"/>
  <c r="L1670" i="1"/>
  <c r="L1669" i="1"/>
  <c r="L1668" i="1"/>
  <c r="L1667" i="1"/>
  <c r="L1666" i="1"/>
  <c r="L1665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0" i="1"/>
  <c r="L1608" i="1"/>
  <c r="L1607" i="1"/>
  <c r="L1606" i="1"/>
  <c r="L1605" i="1"/>
  <c r="L160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1" i="1"/>
  <c r="L1510" i="1"/>
  <c r="L1509" i="1"/>
  <c r="L1505" i="1"/>
  <c r="L1504" i="1"/>
  <c r="L1503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299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09" i="1"/>
  <c r="L1208" i="1"/>
  <c r="L1207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2" i="1"/>
  <c r="L1091" i="1"/>
  <c r="L1090" i="1"/>
  <c r="L1089" i="1"/>
  <c r="L1088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48" i="1"/>
  <c r="L1046" i="1"/>
  <c r="L1044" i="1"/>
  <c r="L1042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49" i="1"/>
  <c r="L448" i="1"/>
  <c r="L447" i="1"/>
  <c r="L446" i="1"/>
  <c r="L445" i="1"/>
  <c r="L444" i="1"/>
  <c r="L443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0" i="1"/>
  <c r="L389" i="1"/>
  <c r="L388" i="1"/>
  <c r="L387" i="1"/>
  <c r="L386" i="1"/>
  <c r="L385" i="1"/>
  <c r="L384" i="1"/>
  <c r="L383" i="1"/>
  <c r="L382" i="1"/>
  <c r="L381" i="1"/>
  <c r="L380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2" i="1"/>
  <c r="L210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7" i="1"/>
  <c r="L96" i="1"/>
  <c r="L95" i="1"/>
  <c r="L94" i="1"/>
  <c r="L93" i="1"/>
  <c r="L92" i="1"/>
  <c r="L88" i="1"/>
  <c r="L85" i="1"/>
  <c r="L82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39" i="1"/>
  <c r="L38" i="1"/>
  <c r="L37" i="1"/>
  <c r="L36" i="1"/>
  <c r="L35" i="1"/>
  <c r="L34" i="1"/>
  <c r="L33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5842" i="1"/>
  <c r="K5841" i="1"/>
  <c r="K5840" i="1"/>
  <c r="K5839" i="1"/>
  <c r="K5838" i="1"/>
  <c r="K5837" i="1"/>
  <c r="K5836" i="1"/>
  <c r="K5835" i="1"/>
  <c r="K5834" i="1"/>
  <c r="K5833" i="1"/>
  <c r="K5832" i="1"/>
  <c r="K5831" i="1"/>
  <c r="K5830" i="1"/>
  <c r="K5829" i="1"/>
  <c r="K5828" i="1"/>
  <c r="K5827" i="1"/>
  <c r="K5826" i="1"/>
  <c r="K5825" i="1"/>
  <c r="K5824" i="1"/>
  <c r="K5823" i="1"/>
  <c r="K5822" i="1"/>
  <c r="K5821" i="1"/>
  <c r="K5820" i="1"/>
  <c r="K5819" i="1"/>
  <c r="K5818" i="1"/>
  <c r="K5817" i="1"/>
  <c r="K5816" i="1"/>
  <c r="K5815" i="1"/>
  <c r="K5814" i="1"/>
  <c r="K5813" i="1"/>
  <c r="K5812" i="1"/>
  <c r="K5811" i="1"/>
  <c r="K5810" i="1"/>
  <c r="K5809" i="1"/>
  <c r="K5808" i="1"/>
  <c r="K5807" i="1"/>
  <c r="K5806" i="1"/>
  <c r="K5805" i="1"/>
  <c r="K5804" i="1"/>
  <c r="K5803" i="1"/>
  <c r="K5802" i="1"/>
  <c r="K5801" i="1"/>
  <c r="K5800" i="1"/>
  <c r="K5799" i="1"/>
  <c r="K5798" i="1"/>
  <c r="K5797" i="1"/>
  <c r="K5796" i="1"/>
  <c r="K5795" i="1"/>
  <c r="K5794" i="1"/>
  <c r="K5793" i="1"/>
  <c r="K5792" i="1"/>
  <c r="K5791" i="1"/>
  <c r="K5790" i="1"/>
  <c r="K5789" i="1"/>
  <c r="K5788" i="1"/>
  <c r="K5787" i="1"/>
  <c r="K5786" i="1"/>
  <c r="K5785" i="1"/>
  <c r="K5784" i="1"/>
  <c r="K5783" i="1"/>
  <c r="K5782" i="1"/>
  <c r="K5781" i="1"/>
  <c r="K5780" i="1"/>
  <c r="K5779" i="1"/>
  <c r="K5778" i="1"/>
  <c r="K5777" i="1"/>
  <c r="K5776" i="1"/>
  <c r="K5775" i="1"/>
  <c r="K5774" i="1"/>
  <c r="K5773" i="1"/>
  <c r="K5772" i="1"/>
  <c r="K5771" i="1"/>
  <c r="K5770" i="1"/>
  <c r="K5769" i="1"/>
  <c r="K5768" i="1"/>
  <c r="K5767" i="1"/>
  <c r="K5766" i="1"/>
  <c r="K5765" i="1"/>
  <c r="K5764" i="1"/>
  <c r="K5763" i="1"/>
  <c r="K5762" i="1"/>
  <c r="K5761" i="1"/>
  <c r="K5760" i="1"/>
  <c r="K5759" i="1"/>
  <c r="K5758" i="1"/>
  <c r="K5757" i="1"/>
  <c r="K5756" i="1"/>
  <c r="K5755" i="1"/>
  <c r="K5754" i="1"/>
  <c r="K5753" i="1"/>
  <c r="K5752" i="1"/>
  <c r="K5751" i="1"/>
  <c r="K5750" i="1"/>
  <c r="K5749" i="1"/>
  <c r="K5748" i="1"/>
  <c r="K5747" i="1"/>
  <c r="K5746" i="1"/>
  <c r="K5745" i="1"/>
  <c r="K5744" i="1"/>
  <c r="K5743" i="1"/>
  <c r="K5742" i="1"/>
  <c r="K5741" i="1"/>
  <c r="K5740" i="1"/>
  <c r="K5739" i="1"/>
  <c r="K5738" i="1"/>
  <c r="K5737" i="1"/>
  <c r="K5736" i="1"/>
  <c r="K5735" i="1"/>
  <c r="K5734" i="1"/>
  <c r="K5733" i="1"/>
  <c r="K5732" i="1"/>
  <c r="K5731" i="1"/>
  <c r="K5730" i="1"/>
  <c r="K5729" i="1"/>
  <c r="K5728" i="1"/>
  <c r="K5727" i="1"/>
  <c r="K5726" i="1"/>
  <c r="K5725" i="1"/>
  <c r="K5724" i="1"/>
  <c r="K5723" i="1"/>
  <c r="K5722" i="1"/>
  <c r="K5721" i="1"/>
  <c r="K5720" i="1"/>
  <c r="K5719" i="1"/>
  <c r="K5718" i="1"/>
  <c r="K5717" i="1"/>
  <c r="K5716" i="1"/>
  <c r="K5715" i="1"/>
  <c r="K5714" i="1"/>
  <c r="K5713" i="1"/>
  <c r="K5712" i="1"/>
  <c r="K5711" i="1"/>
  <c r="K5710" i="1"/>
  <c r="K5709" i="1"/>
  <c r="K5708" i="1"/>
  <c r="K5707" i="1"/>
  <c r="K5706" i="1"/>
  <c r="K5705" i="1"/>
  <c r="K5704" i="1"/>
  <c r="K5703" i="1"/>
  <c r="K5702" i="1"/>
  <c r="K5701" i="1"/>
  <c r="K5700" i="1"/>
  <c r="K5699" i="1"/>
  <c r="K5698" i="1"/>
  <c r="K5697" i="1"/>
  <c r="K5696" i="1"/>
  <c r="K5695" i="1"/>
  <c r="K5694" i="1"/>
  <c r="K5693" i="1"/>
  <c r="K5692" i="1"/>
  <c r="K5691" i="1"/>
  <c r="K5690" i="1"/>
  <c r="K5689" i="1"/>
  <c r="K5688" i="1"/>
  <c r="K5687" i="1"/>
  <c r="K5686" i="1"/>
  <c r="K5685" i="1"/>
  <c r="K5684" i="1"/>
  <c r="K5683" i="1"/>
  <c r="K5682" i="1"/>
  <c r="K5681" i="1"/>
  <c r="K5680" i="1"/>
  <c r="K5679" i="1"/>
  <c r="K5678" i="1"/>
  <c r="K5677" i="1"/>
  <c r="K5676" i="1"/>
  <c r="K5675" i="1"/>
  <c r="K5674" i="1"/>
  <c r="K5673" i="1"/>
  <c r="K5672" i="1"/>
  <c r="K5671" i="1"/>
  <c r="K5670" i="1"/>
  <c r="K5669" i="1"/>
  <c r="K5668" i="1"/>
  <c r="K5667" i="1"/>
  <c r="K5666" i="1"/>
  <c r="K5665" i="1"/>
  <c r="K5664" i="1"/>
  <c r="K5663" i="1"/>
  <c r="K5662" i="1"/>
  <c r="K5661" i="1"/>
  <c r="K5660" i="1"/>
  <c r="K5659" i="1"/>
  <c r="K5658" i="1"/>
  <c r="K5657" i="1"/>
  <c r="K5656" i="1"/>
  <c r="K5655" i="1"/>
  <c r="K5654" i="1"/>
  <c r="K5653" i="1"/>
  <c r="K5652" i="1"/>
  <c r="K5651" i="1"/>
  <c r="K5650" i="1"/>
  <c r="K5649" i="1"/>
  <c r="K5648" i="1"/>
  <c r="K5647" i="1"/>
  <c r="K5646" i="1"/>
  <c r="K5645" i="1"/>
  <c r="K5644" i="1"/>
  <c r="K5643" i="1"/>
  <c r="K5642" i="1"/>
  <c r="K5641" i="1"/>
  <c r="K5640" i="1"/>
  <c r="K5639" i="1"/>
  <c r="K5638" i="1"/>
  <c r="K5637" i="1"/>
  <c r="K5636" i="1"/>
  <c r="K5635" i="1"/>
  <c r="K5634" i="1"/>
  <c r="K5633" i="1"/>
  <c r="K5632" i="1"/>
  <c r="K5631" i="1"/>
  <c r="K5630" i="1"/>
  <c r="K5629" i="1"/>
  <c r="K5628" i="1"/>
  <c r="K5627" i="1"/>
  <c r="K5626" i="1"/>
  <c r="K5625" i="1"/>
  <c r="K5624" i="1"/>
  <c r="K5623" i="1"/>
  <c r="K5622" i="1"/>
  <c r="K5621" i="1"/>
  <c r="K5620" i="1"/>
  <c r="K5619" i="1"/>
  <c r="K5618" i="1"/>
  <c r="K5617" i="1"/>
  <c r="K5616" i="1"/>
  <c r="K5615" i="1"/>
  <c r="K5614" i="1"/>
  <c r="K5613" i="1"/>
  <c r="K5612" i="1"/>
  <c r="K5611" i="1"/>
  <c r="K5610" i="1"/>
  <c r="K5609" i="1"/>
  <c r="K5608" i="1"/>
  <c r="K5607" i="1"/>
  <c r="K5606" i="1"/>
  <c r="K5605" i="1"/>
  <c r="K5604" i="1"/>
  <c r="K5603" i="1"/>
  <c r="K5602" i="1"/>
  <c r="K5601" i="1"/>
  <c r="K5600" i="1"/>
  <c r="K5599" i="1"/>
  <c r="K5598" i="1"/>
  <c r="K5597" i="1"/>
  <c r="K5596" i="1"/>
  <c r="K5595" i="1"/>
  <c r="K5594" i="1"/>
  <c r="K5593" i="1"/>
  <c r="K5592" i="1"/>
  <c r="K5591" i="1"/>
  <c r="K5590" i="1"/>
  <c r="K5589" i="1"/>
  <c r="K5588" i="1"/>
  <c r="K5587" i="1"/>
  <c r="K5586" i="1"/>
  <c r="K5585" i="1"/>
  <c r="K5584" i="1"/>
  <c r="K5583" i="1"/>
  <c r="K5582" i="1"/>
  <c r="K5581" i="1"/>
  <c r="K5580" i="1"/>
  <c r="K5579" i="1"/>
  <c r="K5578" i="1"/>
  <c r="K5577" i="1"/>
  <c r="K5576" i="1"/>
  <c r="K5575" i="1"/>
  <c r="K5574" i="1"/>
  <c r="K5573" i="1"/>
  <c r="K5572" i="1"/>
  <c r="K5571" i="1"/>
  <c r="K5570" i="1"/>
  <c r="K5569" i="1"/>
  <c r="K5568" i="1"/>
  <c r="K5567" i="1"/>
  <c r="K5566" i="1"/>
  <c r="K5565" i="1"/>
  <c r="K5564" i="1"/>
  <c r="K5563" i="1"/>
  <c r="K5562" i="1"/>
  <c r="K5561" i="1"/>
  <c r="K5560" i="1"/>
  <c r="K5559" i="1"/>
  <c r="K5558" i="1"/>
  <c r="K5557" i="1"/>
  <c r="K5556" i="1"/>
  <c r="K5555" i="1"/>
  <c r="K5554" i="1"/>
  <c r="K5553" i="1"/>
  <c r="K5552" i="1"/>
  <c r="K5551" i="1"/>
  <c r="K5550" i="1"/>
  <c r="K5549" i="1"/>
  <c r="K5548" i="1"/>
  <c r="K5547" i="1"/>
  <c r="K5546" i="1"/>
  <c r="K5545" i="1"/>
  <c r="K5544" i="1"/>
  <c r="K5543" i="1"/>
  <c r="K5542" i="1"/>
  <c r="K5541" i="1"/>
  <c r="K5540" i="1"/>
  <c r="K5539" i="1"/>
  <c r="K5538" i="1"/>
  <c r="K5537" i="1"/>
  <c r="K5536" i="1"/>
  <c r="K5535" i="1"/>
  <c r="K5534" i="1"/>
  <c r="K5533" i="1"/>
  <c r="K5532" i="1"/>
  <c r="K5531" i="1"/>
  <c r="K5530" i="1"/>
  <c r="K5529" i="1"/>
  <c r="K5528" i="1"/>
  <c r="K5527" i="1"/>
  <c r="K5526" i="1"/>
  <c r="K5525" i="1"/>
  <c r="K5524" i="1"/>
  <c r="K5523" i="1"/>
  <c r="K5522" i="1"/>
  <c r="K5521" i="1"/>
  <c r="K5520" i="1"/>
  <c r="K5519" i="1"/>
  <c r="K5518" i="1"/>
  <c r="K5517" i="1"/>
  <c r="K5516" i="1"/>
  <c r="K5515" i="1"/>
  <c r="K5514" i="1"/>
  <c r="K5513" i="1"/>
  <c r="K5512" i="1"/>
  <c r="K5511" i="1"/>
  <c r="K5510" i="1"/>
  <c r="K5509" i="1"/>
  <c r="K5508" i="1"/>
  <c r="K5507" i="1"/>
  <c r="K5506" i="1"/>
  <c r="K5505" i="1"/>
  <c r="K5504" i="1"/>
  <c r="K5503" i="1"/>
  <c r="K5502" i="1"/>
  <c r="K5501" i="1"/>
  <c r="K5500" i="1"/>
  <c r="K5499" i="1"/>
  <c r="K5498" i="1"/>
  <c r="K5497" i="1"/>
  <c r="K5496" i="1"/>
  <c r="K5495" i="1"/>
  <c r="K5494" i="1"/>
  <c r="K5493" i="1"/>
  <c r="K5492" i="1"/>
  <c r="K5491" i="1"/>
  <c r="K5490" i="1"/>
  <c r="K5489" i="1"/>
  <c r="K5488" i="1"/>
  <c r="K5487" i="1"/>
  <c r="K5486" i="1"/>
  <c r="K5485" i="1"/>
  <c r="K5484" i="1"/>
  <c r="K5483" i="1"/>
  <c r="K5482" i="1"/>
  <c r="K5481" i="1"/>
  <c r="K5480" i="1"/>
  <c r="K5479" i="1"/>
  <c r="K5478" i="1"/>
  <c r="K5477" i="1"/>
  <c r="K5476" i="1"/>
  <c r="K5475" i="1"/>
  <c r="K5474" i="1"/>
  <c r="K5473" i="1"/>
  <c r="K5472" i="1"/>
  <c r="K5471" i="1"/>
  <c r="K5470" i="1"/>
  <c r="K5469" i="1"/>
  <c r="K5468" i="1"/>
  <c r="K5467" i="1"/>
  <c r="K5466" i="1"/>
  <c r="K5465" i="1"/>
  <c r="K5464" i="1"/>
  <c r="K5463" i="1"/>
  <c r="K5462" i="1"/>
  <c r="K5461" i="1"/>
  <c r="K5460" i="1"/>
  <c r="K5459" i="1"/>
  <c r="K5458" i="1"/>
  <c r="K5457" i="1"/>
  <c r="K5456" i="1"/>
  <c r="K5455" i="1"/>
  <c r="K5454" i="1"/>
  <c r="K5453" i="1"/>
  <c r="K5452" i="1"/>
  <c r="K5451" i="1"/>
  <c r="K5450" i="1"/>
  <c r="K5449" i="1"/>
  <c r="K5448" i="1"/>
  <c r="K5447" i="1"/>
  <c r="K5446" i="1"/>
  <c r="K5445" i="1"/>
  <c r="K5444" i="1"/>
  <c r="K5443" i="1"/>
  <c r="K5442" i="1"/>
  <c r="K5441" i="1"/>
  <c r="K5440" i="1"/>
  <c r="K5439" i="1"/>
  <c r="K5438" i="1"/>
  <c r="K5437" i="1"/>
  <c r="K5436" i="1"/>
  <c r="K5435" i="1"/>
  <c r="K5434" i="1"/>
  <c r="K5433" i="1"/>
  <c r="K5432" i="1"/>
  <c r="K5431" i="1"/>
  <c r="K5430" i="1"/>
  <c r="K5429" i="1"/>
  <c r="K5428" i="1"/>
  <c r="K5427" i="1"/>
  <c r="K5426" i="1"/>
  <c r="K5425" i="1"/>
  <c r="K5424" i="1"/>
  <c r="K5423" i="1"/>
  <c r="K5422" i="1"/>
  <c r="K5421" i="1"/>
  <c r="K5420" i="1"/>
  <c r="K5419" i="1"/>
  <c r="K5418" i="1"/>
  <c r="K5417" i="1"/>
  <c r="K5416" i="1"/>
  <c r="K5415" i="1"/>
  <c r="K5414" i="1"/>
  <c r="K5413" i="1"/>
  <c r="K5412" i="1"/>
  <c r="K5411" i="1"/>
  <c r="K5410" i="1"/>
  <c r="K5409" i="1"/>
  <c r="K5408" i="1"/>
  <c r="K5407" i="1"/>
  <c r="K5406" i="1"/>
  <c r="K5405" i="1"/>
  <c r="K5404" i="1"/>
  <c r="K5403" i="1"/>
  <c r="K5402" i="1"/>
  <c r="K5401" i="1"/>
  <c r="K5400" i="1"/>
  <c r="K5399" i="1"/>
  <c r="K5398" i="1"/>
  <c r="K5397" i="1"/>
  <c r="K5396" i="1"/>
  <c r="K5395" i="1"/>
  <c r="K5394" i="1"/>
  <c r="K5393" i="1"/>
  <c r="K5392" i="1"/>
  <c r="K5391" i="1"/>
  <c r="K5390" i="1"/>
  <c r="K5389" i="1"/>
  <c r="K5388" i="1"/>
  <c r="K5387" i="1"/>
  <c r="K5386" i="1"/>
  <c r="K5385" i="1"/>
  <c r="K5384" i="1"/>
  <c r="K5383" i="1"/>
  <c r="K5382" i="1"/>
  <c r="K5381" i="1"/>
  <c r="K5380" i="1"/>
  <c r="K5379" i="1"/>
  <c r="K5378" i="1"/>
  <c r="K5377" i="1"/>
  <c r="K5376" i="1"/>
  <c r="K5375" i="1"/>
  <c r="K5374" i="1"/>
  <c r="K5373" i="1"/>
  <c r="K5372" i="1"/>
  <c r="K5371" i="1"/>
  <c r="K5370" i="1"/>
  <c r="K5369" i="1"/>
  <c r="K5368" i="1"/>
  <c r="K5367" i="1"/>
  <c r="K5366" i="1"/>
  <c r="K5365" i="1"/>
  <c r="K5364" i="1"/>
  <c r="K5363" i="1"/>
  <c r="K5362" i="1"/>
  <c r="K5361" i="1"/>
  <c r="K5360" i="1"/>
  <c r="K5359" i="1"/>
  <c r="K5358" i="1"/>
  <c r="K5357" i="1"/>
  <c r="K5356" i="1"/>
  <c r="K5355" i="1"/>
  <c r="K5354" i="1"/>
  <c r="K5353" i="1"/>
  <c r="K5352" i="1"/>
  <c r="K5351" i="1"/>
  <c r="K5350" i="1"/>
  <c r="K5349" i="1"/>
  <c r="K5348" i="1"/>
  <c r="K5347" i="1"/>
  <c r="K5346" i="1"/>
  <c r="K5345" i="1"/>
  <c r="K5344" i="1"/>
  <c r="K5343" i="1"/>
  <c r="K5342" i="1"/>
  <c r="K5341" i="1"/>
  <c r="K5340" i="1"/>
  <c r="K5339" i="1"/>
  <c r="K5338" i="1"/>
  <c r="K5337" i="1"/>
  <c r="K5336" i="1"/>
  <c r="K5335" i="1"/>
  <c r="K5334" i="1"/>
  <c r="K5333" i="1"/>
  <c r="K5332" i="1"/>
  <c r="K5331" i="1"/>
  <c r="K5330" i="1"/>
  <c r="K5329" i="1"/>
  <c r="K5328" i="1"/>
  <c r="K5327" i="1"/>
  <c r="K5326" i="1"/>
  <c r="K5325" i="1"/>
  <c r="K5324" i="1"/>
  <c r="K5323" i="1"/>
  <c r="K5322" i="1"/>
  <c r="K5321" i="1"/>
  <c r="K5320" i="1"/>
  <c r="K5319" i="1"/>
  <c r="K5318" i="1"/>
  <c r="K5317" i="1"/>
  <c r="K5316" i="1"/>
  <c r="K5315" i="1"/>
  <c r="K5314" i="1"/>
  <c r="K5313" i="1"/>
  <c r="K5312" i="1"/>
  <c r="K5311" i="1"/>
  <c r="K5310" i="1"/>
  <c r="K5309" i="1"/>
  <c r="K5308" i="1"/>
  <c r="K5307" i="1"/>
  <c r="K5306" i="1"/>
  <c r="K5305" i="1"/>
  <c r="K5304" i="1"/>
  <c r="K5303" i="1"/>
  <c r="K5302" i="1"/>
  <c r="K5301" i="1"/>
  <c r="K5300" i="1"/>
  <c r="K5299" i="1"/>
  <c r="K5298" i="1"/>
  <c r="K5297" i="1"/>
  <c r="K5296" i="1"/>
  <c r="K5295" i="1"/>
  <c r="K5294" i="1"/>
  <c r="K5293" i="1"/>
  <c r="K5292" i="1"/>
  <c r="K5291" i="1"/>
  <c r="K5290" i="1"/>
  <c r="K5289" i="1"/>
  <c r="K5288" i="1"/>
  <c r="K5287" i="1"/>
  <c r="K5286" i="1"/>
  <c r="K5285" i="1"/>
  <c r="K5284" i="1"/>
  <c r="K5283" i="1"/>
  <c r="K5282" i="1"/>
  <c r="K5281" i="1"/>
  <c r="K5280" i="1"/>
  <c r="K5279" i="1"/>
  <c r="K5278" i="1"/>
  <c r="K5277" i="1"/>
  <c r="K5276" i="1"/>
  <c r="K5275" i="1"/>
  <c r="K5274" i="1"/>
  <c r="K5273" i="1"/>
  <c r="K5272" i="1"/>
  <c r="K5271" i="1"/>
  <c r="K5270" i="1"/>
  <c r="K5269" i="1"/>
  <c r="K5268" i="1"/>
  <c r="K5267" i="1"/>
  <c r="K5266" i="1"/>
  <c r="K5265" i="1"/>
  <c r="K5264" i="1"/>
  <c r="K5263" i="1"/>
  <c r="K5262" i="1"/>
  <c r="K5261" i="1"/>
  <c r="K5260" i="1"/>
  <c r="K5259" i="1"/>
  <c r="K5258" i="1"/>
  <c r="K5257" i="1"/>
  <c r="K5256" i="1"/>
  <c r="K5255" i="1"/>
  <c r="K5254" i="1"/>
  <c r="K5253" i="1"/>
  <c r="K5252" i="1"/>
  <c r="K5251" i="1"/>
  <c r="K5250" i="1"/>
  <c r="K5249" i="1"/>
  <c r="K5248" i="1"/>
  <c r="K5247" i="1"/>
  <c r="K5246" i="1"/>
  <c r="K5245" i="1"/>
  <c r="K5244" i="1"/>
  <c r="K5243" i="1"/>
  <c r="K5242" i="1"/>
  <c r="K5241" i="1"/>
  <c r="K5240" i="1"/>
  <c r="K5239" i="1"/>
  <c r="K5238" i="1"/>
  <c r="K5237" i="1"/>
  <c r="K5236" i="1"/>
  <c r="K5235" i="1"/>
  <c r="K5234" i="1"/>
  <c r="K5233" i="1"/>
  <c r="K5232" i="1"/>
  <c r="K5231" i="1"/>
  <c r="K5230" i="1"/>
  <c r="K5229" i="1"/>
  <c r="K5228" i="1"/>
  <c r="K5227" i="1"/>
  <c r="K5226" i="1"/>
  <c r="K5225" i="1"/>
  <c r="K5224" i="1"/>
  <c r="K5223" i="1"/>
  <c r="K5222" i="1"/>
  <c r="K5221" i="1"/>
  <c r="K5220" i="1"/>
  <c r="K5219" i="1"/>
  <c r="K5218" i="1"/>
  <c r="K5217" i="1"/>
  <c r="K5216" i="1"/>
  <c r="K5215" i="1"/>
  <c r="K5214" i="1"/>
  <c r="K5213" i="1"/>
  <c r="K5212" i="1"/>
  <c r="K5211" i="1"/>
  <c r="K5210" i="1"/>
  <c r="K5209" i="1"/>
  <c r="K5208" i="1"/>
  <c r="K5207" i="1"/>
  <c r="K5206" i="1"/>
  <c r="K5205" i="1"/>
  <c r="K5204" i="1"/>
  <c r="K5203" i="1"/>
  <c r="K5202" i="1"/>
  <c r="K5201" i="1"/>
  <c r="K5200" i="1"/>
  <c r="K5199" i="1"/>
  <c r="K5198" i="1"/>
  <c r="K5197" i="1"/>
  <c r="K5196" i="1"/>
  <c r="K5195" i="1"/>
  <c r="K5194" i="1"/>
  <c r="K5193" i="1"/>
  <c r="K5192" i="1"/>
  <c r="K5191" i="1"/>
  <c r="K5190" i="1"/>
  <c r="K5189" i="1"/>
  <c r="K5188" i="1"/>
  <c r="K5187" i="1"/>
  <c r="K5186" i="1"/>
  <c r="K5185" i="1"/>
  <c r="K5184" i="1"/>
  <c r="K5183" i="1"/>
  <c r="K5182" i="1"/>
  <c r="K5181" i="1"/>
  <c r="K5180" i="1"/>
  <c r="K5179" i="1"/>
  <c r="K5178" i="1"/>
  <c r="K5177" i="1"/>
  <c r="K5176" i="1"/>
  <c r="K5175" i="1"/>
  <c r="K5174" i="1"/>
  <c r="K5173" i="1"/>
  <c r="K5172" i="1"/>
  <c r="K5171" i="1"/>
  <c r="K5170" i="1"/>
  <c r="K5169" i="1"/>
  <c r="K5168" i="1"/>
  <c r="K5167" i="1"/>
  <c r="K5166" i="1"/>
  <c r="K5165" i="1"/>
  <c r="K5164" i="1"/>
  <c r="K5163" i="1"/>
  <c r="K5162" i="1"/>
  <c r="K5161" i="1"/>
  <c r="K5160" i="1"/>
  <c r="K5159" i="1"/>
  <c r="K5158" i="1"/>
  <c r="K5157" i="1"/>
  <c r="K5156" i="1"/>
  <c r="K5155" i="1"/>
  <c r="K5154" i="1"/>
  <c r="K5153" i="1"/>
  <c r="K5152" i="1"/>
  <c r="K5151" i="1"/>
  <c r="K5150" i="1"/>
  <c r="K5149" i="1"/>
  <c r="K5148" i="1"/>
  <c r="K5147" i="1"/>
  <c r="K5146" i="1"/>
  <c r="K5145" i="1"/>
  <c r="K5144" i="1"/>
  <c r="K5143" i="1"/>
  <c r="K5142" i="1"/>
  <c r="K5141" i="1"/>
  <c r="K5140" i="1"/>
  <c r="K5139" i="1"/>
  <c r="K5138" i="1"/>
  <c r="K5137" i="1"/>
  <c r="K5136" i="1"/>
  <c r="K5135" i="1"/>
  <c r="K5134" i="1"/>
  <c r="K5133" i="1"/>
  <c r="K5132" i="1"/>
  <c r="K5131" i="1"/>
  <c r="K5130" i="1"/>
  <c r="K5129" i="1"/>
  <c r="K5128" i="1"/>
  <c r="K5127" i="1"/>
  <c r="K5126" i="1"/>
  <c r="K5125" i="1"/>
  <c r="K5124" i="1"/>
  <c r="K5123" i="1"/>
  <c r="K5122" i="1"/>
  <c r="K5121" i="1"/>
  <c r="K5120" i="1"/>
  <c r="K5119" i="1"/>
  <c r="K5118" i="1"/>
  <c r="K5117" i="1"/>
  <c r="K5116" i="1"/>
  <c r="K5115" i="1"/>
  <c r="K5114" i="1"/>
  <c r="K5113" i="1"/>
  <c r="K5112" i="1"/>
  <c r="K5111" i="1"/>
  <c r="K5110" i="1"/>
  <c r="K5109" i="1"/>
  <c r="K5108" i="1"/>
  <c r="K5107" i="1"/>
  <c r="K5106" i="1"/>
  <c r="K5105" i="1"/>
  <c r="K5104" i="1"/>
  <c r="K5103" i="1"/>
  <c r="K5102" i="1"/>
  <c r="K5101" i="1"/>
  <c r="K5100" i="1"/>
  <c r="K5099" i="1"/>
  <c r="K5098" i="1"/>
  <c r="K5097" i="1"/>
  <c r="K5096" i="1"/>
  <c r="K5095" i="1"/>
  <c r="K5094" i="1"/>
  <c r="K5093" i="1"/>
  <c r="K5092" i="1"/>
  <c r="K5091" i="1"/>
  <c r="K5090" i="1"/>
  <c r="K5089" i="1"/>
  <c r="K5088" i="1"/>
  <c r="K5087" i="1"/>
  <c r="K5086" i="1"/>
  <c r="K5085" i="1"/>
  <c r="K5084" i="1"/>
  <c r="K5083" i="1"/>
  <c r="K5082" i="1"/>
  <c r="K5081" i="1"/>
  <c r="K5080" i="1"/>
  <c r="K5079" i="1"/>
  <c r="K5078" i="1"/>
  <c r="K5077" i="1"/>
  <c r="K5076" i="1"/>
  <c r="K5075" i="1"/>
  <c r="K5074" i="1"/>
  <c r="K5073" i="1"/>
  <c r="K5072" i="1"/>
  <c r="K5071" i="1"/>
  <c r="K5070" i="1"/>
  <c r="K5069" i="1"/>
  <c r="K5068" i="1"/>
  <c r="K5067" i="1"/>
  <c r="K5066" i="1"/>
  <c r="K5065" i="1"/>
  <c r="K5064" i="1"/>
  <c r="K5063" i="1"/>
  <c r="K5062" i="1"/>
  <c r="K5061" i="1"/>
  <c r="K5060" i="1"/>
  <c r="K5059" i="1"/>
  <c r="K5058" i="1"/>
  <c r="K5057" i="1"/>
  <c r="K5056" i="1"/>
  <c r="K5055" i="1"/>
  <c r="K5054" i="1"/>
  <c r="K5053" i="1"/>
  <c r="K5052" i="1"/>
  <c r="K5051" i="1"/>
  <c r="K5050" i="1"/>
  <c r="K5049" i="1"/>
  <c r="K5048" i="1"/>
  <c r="K5047" i="1"/>
  <c r="K5046" i="1"/>
  <c r="K5045" i="1"/>
  <c r="K5044" i="1"/>
  <c r="K5043" i="1"/>
  <c r="K5042" i="1"/>
  <c r="K5041" i="1"/>
  <c r="K5040" i="1"/>
  <c r="K5039" i="1"/>
  <c r="K5038" i="1"/>
  <c r="K5037" i="1"/>
  <c r="K5036" i="1"/>
  <c r="K5035" i="1"/>
  <c r="K5034" i="1"/>
  <c r="K5033" i="1"/>
  <c r="K5032" i="1"/>
  <c r="K5031" i="1"/>
  <c r="K5030" i="1"/>
  <c r="K5029" i="1"/>
  <c r="K5028" i="1"/>
  <c r="K5027" i="1"/>
  <c r="K5026" i="1"/>
  <c r="K5025" i="1"/>
  <c r="K5024" i="1"/>
  <c r="K5023" i="1"/>
  <c r="K5022" i="1"/>
  <c r="K5021" i="1"/>
  <c r="K5020" i="1"/>
  <c r="K5019" i="1"/>
  <c r="K5018" i="1"/>
  <c r="K5017" i="1"/>
  <c r="K5016" i="1"/>
  <c r="K5015" i="1"/>
  <c r="K5014" i="1"/>
  <c r="K5013" i="1"/>
  <c r="K5012" i="1"/>
  <c r="K5011" i="1"/>
  <c r="K5010" i="1"/>
  <c r="K5009" i="1"/>
  <c r="K5008" i="1"/>
  <c r="K5007" i="1"/>
  <c r="K5006" i="1"/>
  <c r="K5005" i="1"/>
  <c r="K5004" i="1"/>
  <c r="K5003" i="1"/>
  <c r="K5002" i="1"/>
  <c r="K5001" i="1"/>
  <c r="K5000" i="1"/>
  <c r="K4999" i="1"/>
  <c r="K4998" i="1"/>
  <c r="K4997" i="1"/>
  <c r="K4996" i="1"/>
  <c r="K4995" i="1"/>
  <c r="K4994" i="1"/>
  <c r="K4993" i="1"/>
  <c r="K4992" i="1"/>
  <c r="K4991" i="1"/>
  <c r="K4990" i="1"/>
  <c r="K4989" i="1"/>
  <c r="K4988" i="1"/>
  <c r="K4987" i="1"/>
  <c r="K4986" i="1"/>
  <c r="K4985" i="1"/>
  <c r="K4984" i="1"/>
  <c r="K4983" i="1"/>
  <c r="K4982" i="1"/>
  <c r="K4981" i="1"/>
  <c r="K4980" i="1"/>
  <c r="K4979" i="1"/>
  <c r="K4978" i="1"/>
  <c r="K4977" i="1"/>
  <c r="K4976" i="1"/>
  <c r="K4975" i="1"/>
  <c r="K4974" i="1"/>
  <c r="K4973" i="1"/>
  <c r="K4972" i="1"/>
  <c r="K4971" i="1"/>
  <c r="K4970" i="1"/>
  <c r="K4969" i="1"/>
  <c r="K4968" i="1"/>
  <c r="K4967" i="1"/>
  <c r="K4966" i="1"/>
  <c r="K4965" i="1"/>
  <c r="K4964" i="1"/>
  <c r="K4963" i="1"/>
  <c r="K4962" i="1"/>
  <c r="K4961" i="1"/>
  <c r="K4960" i="1"/>
  <c r="K4959" i="1"/>
  <c r="K4958" i="1"/>
  <c r="K4957" i="1"/>
  <c r="K4956" i="1"/>
  <c r="K4955" i="1"/>
  <c r="K4954" i="1"/>
  <c r="K4953" i="1"/>
  <c r="K4952" i="1"/>
  <c r="K4951" i="1"/>
  <c r="K4950" i="1"/>
  <c r="K4949" i="1"/>
  <c r="K4948" i="1"/>
  <c r="K4947" i="1"/>
  <c r="K4946" i="1"/>
  <c r="K4945" i="1"/>
  <c r="K4944" i="1"/>
  <c r="K4943" i="1"/>
  <c r="K4942" i="1"/>
  <c r="K4941" i="1"/>
  <c r="K4940" i="1"/>
  <c r="K4939" i="1"/>
  <c r="K4938" i="1"/>
  <c r="K4937" i="1"/>
  <c r="K4936" i="1"/>
  <c r="K4935" i="1"/>
  <c r="K4934" i="1"/>
  <c r="K4933" i="1"/>
  <c r="K4932" i="1"/>
  <c r="K4931" i="1"/>
  <c r="K4930" i="1"/>
  <c r="K4929" i="1"/>
  <c r="K4928" i="1"/>
  <c r="K4927" i="1"/>
  <c r="K4926" i="1"/>
  <c r="K4925" i="1"/>
  <c r="K4924" i="1"/>
  <c r="K4923" i="1"/>
  <c r="K4922" i="1"/>
  <c r="K4921" i="1"/>
  <c r="K4920" i="1"/>
  <c r="K4919" i="1"/>
  <c r="K4918" i="1"/>
  <c r="K4917" i="1"/>
  <c r="K4916" i="1"/>
  <c r="K4915" i="1"/>
  <c r="K4914" i="1"/>
  <c r="K4913" i="1"/>
  <c r="K4912" i="1"/>
  <c r="K4911" i="1"/>
  <c r="K4910" i="1"/>
  <c r="K4909" i="1"/>
  <c r="K4908" i="1"/>
  <c r="K4907" i="1"/>
  <c r="K4906" i="1"/>
  <c r="K4905" i="1"/>
  <c r="K4904" i="1"/>
  <c r="K4903" i="1"/>
  <c r="K4902" i="1"/>
  <c r="K4901" i="1"/>
  <c r="K4900" i="1"/>
  <c r="K4899" i="1"/>
  <c r="K4898" i="1"/>
  <c r="K4897" i="1"/>
  <c r="K4896" i="1"/>
  <c r="K4895" i="1"/>
  <c r="K4894" i="1"/>
  <c r="K4893" i="1"/>
  <c r="K4892" i="1"/>
  <c r="K4891" i="1"/>
  <c r="K4890" i="1"/>
  <c r="K4889" i="1"/>
  <c r="K4888" i="1"/>
  <c r="K4887" i="1"/>
  <c r="K4886" i="1"/>
  <c r="K4885" i="1"/>
  <c r="K4884" i="1"/>
  <c r="K4883" i="1"/>
  <c r="K4882" i="1"/>
  <c r="K4881" i="1"/>
  <c r="K4880" i="1"/>
  <c r="K4879" i="1"/>
  <c r="K4878" i="1"/>
  <c r="K4877" i="1"/>
  <c r="K4876" i="1"/>
  <c r="K4875" i="1"/>
  <c r="K4874" i="1"/>
  <c r="K4873" i="1"/>
  <c r="K4872" i="1"/>
  <c r="K4871" i="1"/>
  <c r="K4870" i="1"/>
  <c r="K4869" i="1"/>
  <c r="K4868" i="1"/>
  <c r="K4867" i="1"/>
  <c r="K4866" i="1"/>
  <c r="K4865" i="1"/>
  <c r="K4864" i="1"/>
  <c r="K4863" i="1"/>
  <c r="K4862" i="1"/>
  <c r="K4861" i="1"/>
  <c r="K4860" i="1"/>
  <c r="K4859" i="1"/>
  <c r="K4858" i="1"/>
  <c r="K4857" i="1"/>
  <c r="K4856" i="1"/>
  <c r="K4855" i="1"/>
  <c r="K4854" i="1"/>
  <c r="K4853" i="1"/>
  <c r="K4852" i="1"/>
  <c r="K4851" i="1"/>
  <c r="K4850" i="1"/>
  <c r="K4849" i="1"/>
  <c r="K4848" i="1"/>
  <c r="K4847" i="1"/>
  <c r="K4846" i="1"/>
  <c r="K4845" i="1"/>
  <c r="K4844" i="1"/>
  <c r="K4843" i="1"/>
  <c r="K4842" i="1"/>
  <c r="K4841" i="1"/>
  <c r="K4840" i="1"/>
  <c r="K4839" i="1"/>
  <c r="K4838" i="1"/>
  <c r="K4837" i="1"/>
  <c r="K4836" i="1"/>
  <c r="K4835" i="1"/>
  <c r="K4834" i="1"/>
  <c r="K4833" i="1"/>
  <c r="K4832" i="1"/>
  <c r="K4831" i="1"/>
  <c r="K4830" i="1"/>
  <c r="K4829" i="1"/>
  <c r="K4828" i="1"/>
  <c r="K4827" i="1"/>
  <c r="K4826" i="1"/>
  <c r="K4825" i="1"/>
  <c r="K4824" i="1"/>
  <c r="K4823" i="1"/>
  <c r="K4822" i="1"/>
  <c r="K4821" i="1"/>
  <c r="K4820" i="1"/>
  <c r="K4819" i="1"/>
  <c r="K4818" i="1"/>
  <c r="K4817" i="1"/>
  <c r="K4816" i="1"/>
  <c r="K4815" i="1"/>
  <c r="K4814" i="1"/>
  <c r="K4813" i="1"/>
  <c r="K4812" i="1"/>
  <c r="K4811" i="1"/>
  <c r="K4810" i="1"/>
  <c r="K4809" i="1"/>
  <c r="K4808" i="1"/>
  <c r="K4807" i="1"/>
  <c r="K4806" i="1"/>
  <c r="K4805" i="1"/>
  <c r="K4804" i="1"/>
  <c r="K4803" i="1"/>
  <c r="K4802" i="1"/>
  <c r="K4801" i="1"/>
  <c r="K4800" i="1"/>
  <c r="K4799" i="1"/>
  <c r="K4798" i="1"/>
  <c r="K4797" i="1"/>
  <c r="K4796" i="1"/>
  <c r="K4795" i="1"/>
  <c r="K4794" i="1"/>
  <c r="K4793" i="1"/>
  <c r="K4792" i="1"/>
  <c r="K4791" i="1"/>
  <c r="K4790" i="1"/>
  <c r="K4789" i="1"/>
  <c r="K4788" i="1"/>
  <c r="K4787" i="1"/>
  <c r="K4786" i="1"/>
  <c r="K4785" i="1"/>
  <c r="K4784" i="1"/>
  <c r="K4783" i="1"/>
  <c r="K4782" i="1"/>
  <c r="K4781" i="1"/>
  <c r="K4780" i="1"/>
  <c r="K4779" i="1"/>
  <c r="K4778" i="1"/>
  <c r="K4777" i="1"/>
  <c r="K4776" i="1"/>
  <c r="K4775" i="1"/>
  <c r="K4774" i="1"/>
  <c r="K4773" i="1"/>
  <c r="K4772" i="1"/>
  <c r="K4771" i="1"/>
  <c r="K4770" i="1"/>
  <c r="K4769" i="1"/>
  <c r="K4768" i="1"/>
  <c r="K4767" i="1"/>
  <c r="K4766" i="1"/>
  <c r="K4765" i="1"/>
  <c r="K4764" i="1"/>
  <c r="K4763" i="1"/>
  <c r="K4762" i="1"/>
  <c r="K4761" i="1"/>
  <c r="K4760" i="1"/>
  <c r="K4759" i="1"/>
  <c r="K4758" i="1"/>
  <c r="K4757" i="1"/>
  <c r="K4756" i="1"/>
  <c r="K4755" i="1"/>
  <c r="K4754" i="1"/>
  <c r="K4753" i="1"/>
  <c r="K4752" i="1"/>
  <c r="K4751" i="1"/>
  <c r="K4750" i="1"/>
  <c r="K4749" i="1"/>
  <c r="K4748" i="1"/>
  <c r="K4747" i="1"/>
  <c r="K4746" i="1"/>
  <c r="K4745" i="1"/>
  <c r="K4744" i="1"/>
  <c r="K4743" i="1"/>
  <c r="K4742" i="1"/>
  <c r="K4741" i="1"/>
  <c r="K4740" i="1"/>
  <c r="K4739" i="1"/>
  <c r="K4738" i="1"/>
  <c r="K4737" i="1"/>
  <c r="K4736" i="1"/>
  <c r="K4735" i="1"/>
  <c r="K4734" i="1"/>
  <c r="K4733" i="1"/>
  <c r="K4732" i="1"/>
  <c r="K4731" i="1"/>
  <c r="K4730" i="1"/>
  <c r="K4729" i="1"/>
  <c r="K4728" i="1"/>
  <c r="K4727" i="1"/>
  <c r="K4726" i="1"/>
  <c r="K4725" i="1"/>
  <c r="K4724" i="1"/>
  <c r="K4723" i="1"/>
  <c r="K4722" i="1"/>
  <c r="K4721" i="1"/>
  <c r="K4720" i="1"/>
  <c r="K4719" i="1"/>
  <c r="K4718" i="1"/>
  <c r="K4717" i="1"/>
  <c r="K4716" i="1"/>
  <c r="K4715" i="1"/>
  <c r="K4714" i="1"/>
  <c r="K4713" i="1"/>
  <c r="K4712" i="1"/>
  <c r="K4711" i="1"/>
  <c r="K4710" i="1"/>
  <c r="K4709" i="1"/>
  <c r="K4708" i="1"/>
  <c r="K4707" i="1"/>
  <c r="K4706" i="1"/>
  <c r="K4705" i="1"/>
  <c r="K4704" i="1"/>
  <c r="K4703" i="1"/>
  <c r="K4702" i="1"/>
  <c r="K4701" i="1"/>
  <c r="K4700" i="1"/>
  <c r="K4699" i="1"/>
  <c r="K4698" i="1"/>
  <c r="K4697" i="1"/>
  <c r="K4696" i="1"/>
  <c r="K4695" i="1"/>
  <c r="K4694" i="1"/>
  <c r="K4693" i="1"/>
  <c r="K4692" i="1"/>
  <c r="K4691" i="1"/>
  <c r="K4690" i="1"/>
  <c r="K4689" i="1"/>
  <c r="K4688" i="1"/>
  <c r="K4687" i="1"/>
  <c r="K4686" i="1"/>
  <c r="K4685" i="1"/>
  <c r="K4684" i="1"/>
  <c r="K4683" i="1"/>
  <c r="K4682" i="1"/>
  <c r="K4681" i="1"/>
  <c r="K4680" i="1"/>
  <c r="K4679" i="1"/>
  <c r="K4678" i="1"/>
  <c r="K4677" i="1"/>
  <c r="K4676" i="1"/>
  <c r="K4675" i="1"/>
  <c r="K4674" i="1"/>
  <c r="K4673" i="1"/>
  <c r="K4672" i="1"/>
  <c r="K4671" i="1"/>
  <c r="K4670" i="1"/>
  <c r="K4669" i="1"/>
  <c r="K4668" i="1"/>
  <c r="K4667" i="1"/>
  <c r="K4666" i="1"/>
  <c r="K4665" i="1"/>
  <c r="K4664" i="1"/>
  <c r="K4663" i="1"/>
  <c r="K4662" i="1"/>
  <c r="K4661" i="1"/>
  <c r="K4660" i="1"/>
  <c r="K4659" i="1"/>
  <c r="K4658" i="1"/>
  <c r="K4657" i="1"/>
  <c r="K4656" i="1"/>
  <c r="K4655" i="1"/>
  <c r="K4654" i="1"/>
  <c r="K4653" i="1"/>
  <c r="K4652" i="1"/>
  <c r="K4651" i="1"/>
  <c r="K4650" i="1"/>
  <c r="K4649" i="1"/>
  <c r="K4648" i="1"/>
  <c r="K4647" i="1"/>
  <c r="K4646" i="1"/>
  <c r="K4645" i="1"/>
  <c r="K4644" i="1"/>
  <c r="K4643" i="1"/>
  <c r="K4642" i="1"/>
  <c r="K4641" i="1"/>
  <c r="K4640" i="1"/>
  <c r="K4639" i="1"/>
  <c r="K4638" i="1"/>
  <c r="K4637" i="1"/>
  <c r="K4636" i="1"/>
  <c r="K4635" i="1"/>
  <c r="K4634" i="1"/>
  <c r="K4633" i="1"/>
  <c r="K4632" i="1"/>
  <c r="K4631" i="1"/>
  <c r="K4630" i="1"/>
  <c r="K4629" i="1"/>
  <c r="K4628" i="1"/>
  <c r="K4627" i="1"/>
  <c r="K4626" i="1"/>
  <c r="K4625" i="1"/>
  <c r="K4624" i="1"/>
  <c r="K4623" i="1"/>
  <c r="K4622" i="1"/>
  <c r="K4621" i="1"/>
  <c r="K4620" i="1"/>
  <c r="K4619" i="1"/>
  <c r="K4618" i="1"/>
  <c r="K4617" i="1"/>
  <c r="K4616" i="1"/>
  <c r="K4615" i="1"/>
  <c r="K4614" i="1"/>
  <c r="K4613" i="1"/>
  <c r="K4612" i="1"/>
  <c r="K4611" i="1"/>
  <c r="K4610" i="1"/>
  <c r="K4609" i="1"/>
  <c r="K4608" i="1"/>
  <c r="K4607" i="1"/>
  <c r="K4606" i="1"/>
  <c r="K4605" i="1"/>
  <c r="K4604" i="1"/>
  <c r="K4603" i="1"/>
  <c r="K4602" i="1"/>
  <c r="K4601" i="1"/>
  <c r="K4600" i="1"/>
  <c r="K4599" i="1"/>
  <c r="K4598" i="1"/>
  <c r="K4597" i="1"/>
  <c r="K4596" i="1"/>
  <c r="K4595" i="1"/>
  <c r="K4594" i="1"/>
  <c r="K4593" i="1"/>
  <c r="K4592" i="1"/>
  <c r="K4591" i="1"/>
  <c r="K4590" i="1"/>
  <c r="K4589" i="1"/>
  <c r="K4588" i="1"/>
  <c r="K4587" i="1"/>
  <c r="K4586" i="1"/>
  <c r="K4585" i="1"/>
  <c r="K4584" i="1"/>
  <c r="K4583" i="1"/>
  <c r="K4582" i="1"/>
  <c r="K4581" i="1"/>
  <c r="K4580" i="1"/>
  <c r="K4579" i="1"/>
  <c r="K4578" i="1"/>
  <c r="K4577" i="1"/>
  <c r="K4576" i="1"/>
  <c r="K4575" i="1"/>
  <c r="K4574" i="1"/>
  <c r="K4573" i="1"/>
  <c r="K4572" i="1"/>
  <c r="K4571" i="1"/>
  <c r="K4570" i="1"/>
  <c r="K4569" i="1"/>
  <c r="K4568" i="1"/>
  <c r="K4567" i="1"/>
  <c r="K4566" i="1"/>
  <c r="K4565" i="1"/>
  <c r="K4564" i="1"/>
  <c r="K4563" i="1"/>
  <c r="K4562" i="1"/>
  <c r="K4561" i="1"/>
  <c r="K4560" i="1"/>
  <c r="K4559" i="1"/>
  <c r="K4558" i="1"/>
  <c r="K4557" i="1"/>
  <c r="K4556" i="1"/>
  <c r="K4555" i="1"/>
  <c r="K4554" i="1"/>
  <c r="K4553" i="1"/>
  <c r="K4552" i="1"/>
  <c r="K4551" i="1"/>
  <c r="K4550" i="1"/>
  <c r="K4549" i="1"/>
  <c r="K4548" i="1"/>
  <c r="K4547" i="1"/>
  <c r="K4546" i="1"/>
  <c r="K4545" i="1"/>
  <c r="K4544" i="1"/>
  <c r="K4543" i="1"/>
  <c r="K4542" i="1"/>
  <c r="K4541" i="1"/>
  <c r="K4540" i="1"/>
  <c r="K4539" i="1"/>
  <c r="K4538" i="1"/>
  <c r="K4537" i="1"/>
  <c r="K4536" i="1"/>
  <c r="K4535" i="1"/>
  <c r="K4534" i="1"/>
  <c r="K4533" i="1"/>
  <c r="K4532" i="1"/>
  <c r="K4531" i="1"/>
  <c r="K4530" i="1"/>
  <c r="K4529" i="1"/>
  <c r="K4528" i="1"/>
  <c r="K4527" i="1"/>
  <c r="K4526" i="1"/>
  <c r="K4525" i="1"/>
  <c r="K4524" i="1"/>
  <c r="K4523" i="1"/>
  <c r="K4522" i="1"/>
  <c r="K4521" i="1"/>
  <c r="K4520" i="1"/>
  <c r="K4519" i="1"/>
  <c r="K4518" i="1"/>
  <c r="K4517" i="1"/>
  <c r="K4516" i="1"/>
  <c r="K4515" i="1"/>
  <c r="K4514" i="1"/>
  <c r="K4513" i="1"/>
  <c r="K4512" i="1"/>
  <c r="K4511" i="1"/>
  <c r="K4510" i="1"/>
  <c r="K4509" i="1"/>
  <c r="K4508" i="1"/>
  <c r="K4507" i="1"/>
  <c r="K4506" i="1"/>
  <c r="K4505" i="1"/>
  <c r="K4504" i="1"/>
  <c r="K4503" i="1"/>
  <c r="K4502" i="1"/>
  <c r="K4501" i="1"/>
  <c r="K4500" i="1"/>
  <c r="K4499" i="1"/>
  <c r="K4498" i="1"/>
  <c r="K4497" i="1"/>
  <c r="K4496" i="1"/>
  <c r="K4495" i="1"/>
  <c r="K4494" i="1"/>
  <c r="K4493" i="1"/>
  <c r="K4492" i="1"/>
  <c r="K4491" i="1"/>
  <c r="K4490" i="1"/>
  <c r="K4489" i="1"/>
  <c r="K4488" i="1"/>
  <c r="K4487" i="1"/>
  <c r="K4486" i="1"/>
  <c r="K4485" i="1"/>
  <c r="K4484" i="1"/>
  <c r="K4483" i="1"/>
  <c r="K4482" i="1"/>
  <c r="K4481" i="1"/>
  <c r="K4480" i="1"/>
  <c r="K4479" i="1"/>
  <c r="K4478" i="1"/>
  <c r="K4477" i="1"/>
  <c r="K4476" i="1"/>
  <c r="K4475" i="1"/>
  <c r="K4474" i="1"/>
  <c r="K4473" i="1"/>
  <c r="K4472" i="1"/>
  <c r="K4471" i="1"/>
  <c r="K4470" i="1"/>
  <c r="K4469" i="1"/>
  <c r="K4468" i="1"/>
  <c r="K4467" i="1"/>
  <c r="K4466" i="1"/>
  <c r="K4465" i="1"/>
  <c r="K4464" i="1"/>
  <c r="K4463" i="1"/>
  <c r="K4462" i="1"/>
  <c r="K4461" i="1"/>
  <c r="K4460" i="1"/>
  <c r="K4459" i="1"/>
  <c r="K4458" i="1"/>
  <c r="K4457" i="1"/>
  <c r="K4456" i="1"/>
  <c r="K4455" i="1"/>
  <c r="K4454" i="1"/>
  <c r="K4453" i="1"/>
  <c r="K4452" i="1"/>
  <c r="K4451" i="1"/>
  <c r="K4450" i="1"/>
  <c r="K4449" i="1"/>
  <c r="K4448" i="1"/>
  <c r="K4447" i="1"/>
  <c r="K4446" i="1"/>
  <c r="K4445" i="1"/>
  <c r="K4444" i="1"/>
  <c r="K4443" i="1"/>
  <c r="K4442" i="1"/>
  <c r="K4441" i="1"/>
  <c r="K4440" i="1"/>
  <c r="K4439" i="1"/>
  <c r="K4438" i="1"/>
  <c r="K4437" i="1"/>
  <c r="K4436" i="1"/>
  <c r="K4435" i="1"/>
  <c r="K4434" i="1"/>
  <c r="K4433" i="1"/>
  <c r="K4432" i="1"/>
  <c r="K4431" i="1"/>
  <c r="K4430" i="1"/>
  <c r="K4429" i="1"/>
  <c r="K4428" i="1"/>
  <c r="K4427" i="1"/>
  <c r="K4426" i="1"/>
  <c r="K4425" i="1"/>
  <c r="K4424" i="1"/>
  <c r="K4423" i="1"/>
  <c r="K4422" i="1"/>
  <c r="K4421" i="1"/>
  <c r="K4420" i="1"/>
  <c r="K4419" i="1"/>
  <c r="K4418" i="1"/>
  <c r="K4417" i="1"/>
  <c r="K4416" i="1"/>
  <c r="K4415" i="1"/>
  <c r="K4414" i="1"/>
  <c r="K4413" i="1"/>
  <c r="K4412" i="1"/>
  <c r="K4411" i="1"/>
  <c r="K4410" i="1"/>
  <c r="K4409" i="1"/>
  <c r="K4408" i="1"/>
  <c r="K4407" i="1"/>
  <c r="K4406" i="1"/>
  <c r="K4405" i="1"/>
  <c r="K4404" i="1"/>
  <c r="K4403" i="1"/>
  <c r="K4402" i="1"/>
  <c r="K4401" i="1"/>
  <c r="K4400" i="1"/>
  <c r="K4399" i="1"/>
  <c r="K4398" i="1"/>
  <c r="K4397" i="1"/>
  <c r="K4396" i="1"/>
  <c r="K4395" i="1"/>
  <c r="K4394" i="1"/>
  <c r="K4393" i="1"/>
  <c r="K4392" i="1"/>
  <c r="K4391" i="1"/>
  <c r="K4390" i="1"/>
  <c r="K4389" i="1"/>
  <c r="K4388" i="1"/>
  <c r="K4387" i="1"/>
  <c r="K4386" i="1"/>
  <c r="K4385" i="1"/>
  <c r="K4384" i="1"/>
  <c r="K4383" i="1"/>
  <c r="K4382" i="1"/>
  <c r="K4381" i="1"/>
  <c r="K4380" i="1"/>
  <c r="K4379" i="1"/>
  <c r="K4378" i="1"/>
  <c r="K4377" i="1"/>
  <c r="K4376" i="1"/>
  <c r="K4375" i="1"/>
  <c r="K4374" i="1"/>
  <c r="K4373" i="1"/>
  <c r="K4372" i="1"/>
  <c r="K4371" i="1"/>
  <c r="K4370" i="1"/>
  <c r="K4369" i="1"/>
  <c r="K4368" i="1"/>
  <c r="K4367" i="1"/>
  <c r="K4366" i="1"/>
  <c r="K4365" i="1"/>
  <c r="K4364" i="1"/>
  <c r="K4363" i="1"/>
  <c r="K4362" i="1"/>
  <c r="K4361" i="1"/>
  <c r="K4360" i="1"/>
  <c r="K4359" i="1"/>
  <c r="K4358" i="1"/>
  <c r="K4357" i="1"/>
  <c r="K4356" i="1"/>
  <c r="K4355" i="1"/>
  <c r="K4354" i="1"/>
  <c r="K4353" i="1"/>
  <c r="K4352" i="1"/>
  <c r="K4351" i="1"/>
  <c r="K4350" i="1"/>
  <c r="K4349" i="1"/>
  <c r="K4348" i="1"/>
  <c r="K4347" i="1"/>
  <c r="K4346" i="1"/>
  <c r="K4345" i="1"/>
  <c r="K4344" i="1"/>
  <c r="K4343" i="1"/>
  <c r="K4342" i="1"/>
  <c r="K4341" i="1"/>
  <c r="K4340" i="1"/>
  <c r="K4339" i="1"/>
  <c r="K4338" i="1"/>
  <c r="K4337" i="1"/>
  <c r="K4336" i="1"/>
  <c r="K4335" i="1"/>
  <c r="K4334" i="1"/>
  <c r="K4333" i="1"/>
  <c r="K4332" i="1"/>
  <c r="K4331" i="1"/>
  <c r="K4330" i="1"/>
  <c r="K4329" i="1"/>
  <c r="K4328" i="1"/>
  <c r="K4327" i="1"/>
  <c r="K4326" i="1"/>
  <c r="K4325" i="1"/>
  <c r="K4324" i="1"/>
  <c r="K4323" i="1"/>
  <c r="K4322" i="1"/>
  <c r="K4321" i="1"/>
  <c r="K4320" i="1"/>
  <c r="K4319" i="1"/>
  <c r="K4318" i="1"/>
  <c r="K4317" i="1"/>
  <c r="K4316" i="1"/>
  <c r="K4315" i="1"/>
  <c r="K4314" i="1"/>
  <c r="K4313" i="1"/>
  <c r="K4312" i="1"/>
  <c r="K4311" i="1"/>
  <c r="K4310" i="1"/>
  <c r="K4309" i="1"/>
  <c r="K4308" i="1"/>
  <c r="K4307" i="1"/>
  <c r="K4306" i="1"/>
  <c r="K4305" i="1"/>
  <c r="K4304" i="1"/>
  <c r="K4303" i="1"/>
  <c r="K4302" i="1"/>
  <c r="K4301" i="1"/>
  <c r="K4300" i="1"/>
  <c r="K4299" i="1"/>
  <c r="K4298" i="1"/>
  <c r="K4297" i="1"/>
  <c r="K4296" i="1"/>
  <c r="K4295" i="1"/>
  <c r="K4294" i="1"/>
  <c r="K4293" i="1"/>
  <c r="K4292" i="1"/>
  <c r="K4291" i="1"/>
  <c r="K4290" i="1"/>
  <c r="K4289" i="1"/>
  <c r="K4288" i="1"/>
  <c r="K4287" i="1"/>
  <c r="K4286" i="1"/>
  <c r="K4285" i="1"/>
  <c r="K4284" i="1"/>
  <c r="K4283" i="1"/>
  <c r="K4282" i="1"/>
  <c r="K4281" i="1"/>
  <c r="K4280" i="1"/>
  <c r="K4279" i="1"/>
  <c r="K4278" i="1"/>
  <c r="K4277" i="1"/>
  <c r="K4276" i="1"/>
  <c r="K4275" i="1"/>
  <c r="K4274" i="1"/>
  <c r="K4273" i="1"/>
  <c r="K4272" i="1"/>
  <c r="K4271" i="1"/>
  <c r="K4270" i="1"/>
  <c r="K4269" i="1"/>
  <c r="K4268" i="1"/>
  <c r="K4267" i="1"/>
  <c r="K4266" i="1"/>
  <c r="K4265" i="1"/>
  <c r="K4264" i="1"/>
  <c r="K4263" i="1"/>
  <c r="K4262" i="1"/>
  <c r="K4261" i="1"/>
  <c r="K4260" i="1"/>
  <c r="K4259" i="1"/>
  <c r="K4258" i="1"/>
  <c r="K4257" i="1"/>
  <c r="K4256" i="1"/>
  <c r="K4255" i="1"/>
  <c r="K4254" i="1"/>
  <c r="K4253" i="1"/>
  <c r="K4252" i="1"/>
  <c r="K4251" i="1"/>
  <c r="K4250" i="1"/>
  <c r="K4249" i="1"/>
  <c r="K4248" i="1"/>
  <c r="K4247" i="1"/>
  <c r="K4246" i="1"/>
  <c r="K4245" i="1"/>
  <c r="K4244" i="1"/>
  <c r="K4243" i="1"/>
  <c r="K4242" i="1"/>
  <c r="K4241" i="1"/>
  <c r="K4240" i="1"/>
  <c r="K4239" i="1"/>
  <c r="K4238" i="1"/>
  <c r="K4237" i="1"/>
  <c r="K4236" i="1"/>
  <c r="K4235" i="1"/>
  <c r="K4234" i="1"/>
  <c r="K4233" i="1"/>
  <c r="K4232" i="1"/>
  <c r="K4231" i="1"/>
  <c r="K4230" i="1"/>
  <c r="K4229" i="1"/>
  <c r="K4228" i="1"/>
  <c r="K4227" i="1"/>
  <c r="K4226" i="1"/>
  <c r="K4225" i="1"/>
  <c r="K4224" i="1"/>
  <c r="K4223" i="1"/>
  <c r="K4222" i="1"/>
  <c r="K4221" i="1"/>
  <c r="K4220" i="1"/>
  <c r="K4219" i="1"/>
  <c r="K4218" i="1"/>
  <c r="K4217" i="1"/>
  <c r="K4216" i="1"/>
  <c r="K4215" i="1"/>
  <c r="K4214" i="1"/>
  <c r="K4213" i="1"/>
  <c r="K4212" i="1"/>
  <c r="K4211" i="1"/>
  <c r="K4210" i="1"/>
  <c r="K4209" i="1"/>
  <c r="K4208" i="1"/>
  <c r="K4207" i="1"/>
  <c r="K4206" i="1"/>
  <c r="K4205" i="1"/>
  <c r="K4204" i="1"/>
  <c r="K4203" i="1"/>
  <c r="K4202" i="1"/>
  <c r="K4201" i="1"/>
  <c r="K4200" i="1"/>
  <c r="K4199" i="1"/>
  <c r="K4198" i="1"/>
  <c r="K4197" i="1"/>
  <c r="K4196" i="1"/>
  <c r="K4195" i="1"/>
  <c r="K4194" i="1"/>
  <c r="K4193" i="1"/>
  <c r="K4192" i="1"/>
  <c r="K4191" i="1"/>
  <c r="K4190" i="1"/>
  <c r="K4189" i="1"/>
  <c r="K4188" i="1"/>
  <c r="K4187" i="1"/>
  <c r="K4186" i="1"/>
  <c r="K4185" i="1"/>
  <c r="K4184" i="1"/>
  <c r="K4183" i="1"/>
  <c r="K4182" i="1"/>
  <c r="K4181" i="1"/>
  <c r="K4180" i="1"/>
  <c r="K4179" i="1"/>
  <c r="K4178" i="1"/>
  <c r="K4177" i="1"/>
  <c r="K4176" i="1"/>
  <c r="K4175" i="1"/>
  <c r="K4174" i="1"/>
  <c r="K4173" i="1"/>
  <c r="K4172" i="1"/>
  <c r="K4171" i="1"/>
  <c r="K4170" i="1"/>
  <c r="K4169" i="1"/>
  <c r="K4168" i="1"/>
  <c r="K4167" i="1"/>
  <c r="K4166" i="1"/>
  <c r="K4165" i="1"/>
  <c r="K4164" i="1"/>
  <c r="K4163" i="1"/>
  <c r="K4162" i="1"/>
  <c r="K4161" i="1"/>
  <c r="K4160" i="1"/>
  <c r="K4159" i="1"/>
  <c r="K4158" i="1"/>
  <c r="K4157" i="1"/>
  <c r="K4156" i="1"/>
  <c r="K4155" i="1"/>
  <c r="K4154" i="1"/>
  <c r="K4153" i="1"/>
  <c r="K4152" i="1"/>
  <c r="K4151" i="1"/>
  <c r="K4150" i="1"/>
  <c r="K4149" i="1"/>
  <c r="K4148" i="1"/>
  <c r="K4147" i="1"/>
  <c r="K4146" i="1"/>
  <c r="K4145" i="1"/>
  <c r="K4144" i="1"/>
  <c r="K4143" i="1"/>
  <c r="K4142" i="1"/>
  <c r="K4141" i="1"/>
  <c r="K4140" i="1"/>
  <c r="K4139" i="1"/>
  <c r="K4138" i="1"/>
  <c r="K4137" i="1"/>
  <c r="K4136" i="1"/>
  <c r="K4135" i="1"/>
  <c r="K4134" i="1"/>
  <c r="K4133" i="1"/>
  <c r="K4132" i="1"/>
  <c r="K4131" i="1"/>
  <c r="K4130" i="1"/>
  <c r="K4129" i="1"/>
  <c r="K4128" i="1"/>
  <c r="K4127" i="1"/>
  <c r="K4126" i="1"/>
  <c r="K4125" i="1"/>
  <c r="K4124" i="1"/>
  <c r="K4123" i="1"/>
  <c r="K4122" i="1"/>
  <c r="K4121" i="1"/>
  <c r="K4120" i="1"/>
  <c r="K4119" i="1"/>
  <c r="K4118" i="1"/>
  <c r="K4117" i="1"/>
  <c r="K4116" i="1"/>
  <c r="K4115" i="1"/>
  <c r="K4114" i="1"/>
  <c r="K4113" i="1"/>
  <c r="K4112" i="1"/>
  <c r="K4111" i="1"/>
  <c r="K4110" i="1"/>
  <c r="K4109" i="1"/>
  <c r="K4108" i="1"/>
  <c r="K4107" i="1"/>
  <c r="K4106" i="1"/>
  <c r="K4105" i="1"/>
  <c r="K4104" i="1"/>
  <c r="K4103" i="1"/>
  <c r="K4102" i="1"/>
  <c r="K4101" i="1"/>
  <c r="K4100" i="1"/>
  <c r="K4099" i="1"/>
  <c r="K4098" i="1"/>
  <c r="K4097" i="1"/>
  <c r="K4096" i="1"/>
  <c r="K4095" i="1"/>
  <c r="K4094" i="1"/>
  <c r="K4093" i="1"/>
  <c r="K4092" i="1"/>
  <c r="K4091" i="1"/>
  <c r="K4090" i="1"/>
  <c r="K4089" i="1"/>
  <c r="K4088" i="1"/>
  <c r="K4087" i="1"/>
  <c r="K4086" i="1"/>
  <c r="K4085" i="1"/>
  <c r="K4084" i="1"/>
  <c r="K4083" i="1"/>
  <c r="K4082" i="1"/>
  <c r="K4081" i="1"/>
  <c r="K4080" i="1"/>
  <c r="K4079" i="1"/>
  <c r="K4078" i="1"/>
  <c r="K4077" i="1"/>
  <c r="K4076" i="1"/>
  <c r="K4075" i="1"/>
  <c r="K4074" i="1"/>
  <c r="K4073" i="1"/>
  <c r="K4072" i="1"/>
  <c r="K4071" i="1"/>
  <c r="K4070" i="1"/>
  <c r="K4069" i="1"/>
  <c r="K4068" i="1"/>
  <c r="K4067" i="1"/>
  <c r="K4066" i="1"/>
  <c r="K4065" i="1"/>
  <c r="K4064" i="1"/>
  <c r="K4063" i="1"/>
  <c r="K4062" i="1"/>
  <c r="K4061" i="1"/>
  <c r="K4060" i="1"/>
  <c r="K4059" i="1"/>
  <c r="K4058" i="1"/>
  <c r="K4057" i="1"/>
  <c r="K4056" i="1"/>
  <c r="K4055" i="1"/>
  <c r="K4054" i="1"/>
  <c r="K4053" i="1"/>
  <c r="K4052" i="1"/>
  <c r="K4051" i="1"/>
  <c r="K4050" i="1"/>
  <c r="K4049" i="1"/>
  <c r="K4048" i="1"/>
  <c r="K4047" i="1"/>
  <c r="K4046" i="1"/>
  <c r="K4045" i="1"/>
  <c r="K4044" i="1"/>
  <c r="K4043" i="1"/>
  <c r="K4042" i="1"/>
  <c r="K4041" i="1"/>
  <c r="K4040" i="1"/>
  <c r="K4039" i="1"/>
  <c r="K4038" i="1"/>
  <c r="K4037" i="1"/>
  <c r="K4036" i="1"/>
  <c r="K4035" i="1"/>
  <c r="K4034" i="1"/>
  <c r="K4033" i="1"/>
  <c r="K4032" i="1"/>
  <c r="K4031" i="1"/>
  <c r="K4030" i="1"/>
  <c r="K4029" i="1"/>
  <c r="K4028" i="1"/>
  <c r="K4027" i="1"/>
  <c r="K4026" i="1"/>
  <c r="K4025" i="1"/>
  <c r="K4024" i="1"/>
  <c r="K4023" i="1"/>
  <c r="K4022" i="1"/>
  <c r="K4021" i="1"/>
  <c r="K4020" i="1"/>
  <c r="K4019" i="1"/>
  <c r="K4018" i="1"/>
  <c r="K4017" i="1"/>
  <c r="K4016" i="1"/>
  <c r="K4015" i="1"/>
  <c r="K4014" i="1"/>
  <c r="K4013" i="1"/>
  <c r="K4012" i="1"/>
  <c r="K4011" i="1"/>
  <c r="K4010" i="1"/>
  <c r="K4009" i="1"/>
  <c r="K4008" i="1"/>
  <c r="K4007" i="1"/>
  <c r="K4006" i="1"/>
  <c r="K4005" i="1"/>
  <c r="K4004" i="1"/>
  <c r="K4003" i="1"/>
  <c r="K4002" i="1"/>
  <c r="K4001" i="1"/>
  <c r="K4000" i="1"/>
  <c r="K3999" i="1"/>
  <c r="K3998" i="1"/>
  <c r="K3997" i="1"/>
  <c r="K3996" i="1"/>
  <c r="K3995" i="1"/>
  <c r="K3994" i="1"/>
  <c r="K3993" i="1"/>
  <c r="K3992" i="1"/>
  <c r="K3991" i="1"/>
  <c r="K3990" i="1"/>
  <c r="K3989" i="1"/>
  <c r="K3988" i="1"/>
  <c r="K3987" i="1"/>
  <c r="K3986" i="1"/>
  <c r="K3985" i="1"/>
  <c r="K3984" i="1"/>
  <c r="K3983" i="1"/>
  <c r="K3982" i="1"/>
  <c r="K3981" i="1"/>
  <c r="K3980" i="1"/>
  <c r="K3979" i="1"/>
  <c r="K3978" i="1"/>
  <c r="K3977" i="1"/>
  <c r="K3976" i="1"/>
  <c r="K3975" i="1"/>
  <c r="K3974" i="1"/>
  <c r="K3973" i="1"/>
  <c r="K3972" i="1"/>
  <c r="K3971" i="1"/>
  <c r="K3970" i="1"/>
  <c r="K3969" i="1"/>
  <c r="K3968" i="1"/>
  <c r="K3967" i="1"/>
  <c r="K3966" i="1"/>
  <c r="K3965" i="1"/>
  <c r="K3964" i="1"/>
  <c r="K3963" i="1"/>
  <c r="K3962" i="1"/>
  <c r="K3961" i="1"/>
  <c r="K3960" i="1"/>
  <c r="K3959" i="1"/>
  <c r="K3958" i="1"/>
  <c r="K3957" i="1"/>
  <c r="K3956" i="1"/>
  <c r="K3955" i="1"/>
  <c r="K3954" i="1"/>
  <c r="K3953" i="1"/>
  <c r="K3952" i="1"/>
  <c r="K3951" i="1"/>
  <c r="K3950" i="1"/>
  <c r="K3949" i="1"/>
  <c r="K3948" i="1"/>
  <c r="K3947" i="1"/>
  <c r="K3946" i="1"/>
  <c r="K3945" i="1"/>
  <c r="K3944" i="1"/>
  <c r="K3943" i="1"/>
  <c r="K3942" i="1"/>
  <c r="K3941" i="1"/>
  <c r="K3940" i="1"/>
  <c r="K3939" i="1"/>
  <c r="K3938" i="1"/>
  <c r="K3937" i="1"/>
  <c r="K3936" i="1"/>
  <c r="K3935" i="1"/>
  <c r="K3934" i="1"/>
  <c r="K3933" i="1"/>
  <c r="K3932" i="1"/>
  <c r="K3931" i="1"/>
  <c r="K3930" i="1"/>
  <c r="K3929" i="1"/>
  <c r="K3928" i="1"/>
  <c r="K3927" i="1"/>
  <c r="K3926" i="1"/>
  <c r="K3925" i="1"/>
  <c r="K3924" i="1"/>
  <c r="K3923" i="1"/>
  <c r="K3922" i="1"/>
  <c r="K3921" i="1"/>
  <c r="K3920" i="1"/>
  <c r="K3919" i="1"/>
  <c r="K3918" i="1"/>
  <c r="K3917" i="1"/>
  <c r="K3916" i="1"/>
  <c r="K3915" i="1"/>
  <c r="K3914" i="1"/>
  <c r="K3913" i="1"/>
  <c r="K3912" i="1"/>
  <c r="K3911" i="1"/>
  <c r="K3910" i="1"/>
  <c r="K3909" i="1"/>
  <c r="K3908" i="1"/>
  <c r="K3907" i="1"/>
  <c r="K3906" i="1"/>
  <c r="K3905" i="1"/>
  <c r="K3904" i="1"/>
  <c r="K3903" i="1"/>
  <c r="K3902" i="1"/>
  <c r="K3901" i="1"/>
  <c r="K3900" i="1"/>
  <c r="K3899" i="1"/>
  <c r="K3898" i="1"/>
  <c r="K3897" i="1"/>
  <c r="K3896" i="1"/>
  <c r="K3895" i="1"/>
  <c r="K3894" i="1"/>
  <c r="K3893" i="1"/>
  <c r="K3892" i="1"/>
  <c r="K3891" i="1"/>
  <c r="K3890" i="1"/>
  <c r="K3889" i="1"/>
  <c r="K3888" i="1"/>
  <c r="K3887" i="1"/>
  <c r="K3886" i="1"/>
  <c r="K3885" i="1"/>
  <c r="K3884" i="1"/>
  <c r="K3883" i="1"/>
  <c r="K3882" i="1"/>
  <c r="K3881" i="1"/>
  <c r="K3880" i="1"/>
  <c r="K3879" i="1"/>
  <c r="K3878" i="1"/>
  <c r="K3877" i="1"/>
  <c r="K3876" i="1"/>
  <c r="K3875" i="1"/>
  <c r="K3874" i="1"/>
  <c r="K3873" i="1"/>
  <c r="K3872" i="1"/>
  <c r="K3871" i="1"/>
  <c r="K3870" i="1"/>
  <c r="K3869" i="1"/>
  <c r="K3868" i="1"/>
  <c r="K3867" i="1"/>
  <c r="K3866" i="1"/>
  <c r="K3865" i="1"/>
  <c r="K3864" i="1"/>
  <c r="K3863" i="1"/>
  <c r="K3862" i="1"/>
  <c r="K3861" i="1"/>
  <c r="K3860" i="1"/>
  <c r="K3859" i="1"/>
  <c r="K3858" i="1"/>
  <c r="K3857" i="1"/>
  <c r="K3856" i="1"/>
  <c r="K3855" i="1"/>
  <c r="K3854" i="1"/>
  <c r="K3853" i="1"/>
  <c r="K3852" i="1"/>
  <c r="K3851" i="1"/>
  <c r="K3850" i="1"/>
  <c r="K3849" i="1"/>
  <c r="K3848" i="1"/>
  <c r="K3847" i="1"/>
  <c r="K3846" i="1"/>
  <c r="K3845" i="1"/>
  <c r="K3844" i="1"/>
  <c r="K3843" i="1"/>
  <c r="K3842" i="1"/>
  <c r="K3841" i="1"/>
  <c r="K3840" i="1"/>
  <c r="K3839" i="1"/>
  <c r="K3838" i="1"/>
  <c r="K3837" i="1"/>
  <c r="K3836" i="1"/>
  <c r="K3835" i="1"/>
  <c r="K3834" i="1"/>
  <c r="K3833" i="1"/>
  <c r="K3832" i="1"/>
  <c r="K3831" i="1"/>
  <c r="K3830" i="1"/>
  <c r="K3829" i="1"/>
  <c r="K3828" i="1"/>
  <c r="K3827" i="1"/>
  <c r="K3826" i="1"/>
  <c r="K3825" i="1"/>
  <c r="K3824" i="1"/>
  <c r="K3823" i="1"/>
  <c r="K3822" i="1"/>
  <c r="K3821" i="1"/>
  <c r="K3820" i="1"/>
  <c r="K3819" i="1"/>
  <c r="K3818" i="1"/>
  <c r="K3817" i="1"/>
  <c r="K3816" i="1"/>
  <c r="K3815" i="1"/>
  <c r="K3814" i="1"/>
  <c r="K3813" i="1"/>
  <c r="K3812" i="1"/>
  <c r="K3811" i="1"/>
  <c r="K3810" i="1"/>
  <c r="K3809" i="1"/>
  <c r="K3808" i="1"/>
  <c r="K3807" i="1"/>
  <c r="K3806" i="1"/>
  <c r="K3805" i="1"/>
  <c r="K3804" i="1"/>
  <c r="K3803" i="1"/>
  <c r="K3802" i="1"/>
  <c r="K3801" i="1"/>
  <c r="K3800" i="1"/>
  <c r="K3799" i="1"/>
  <c r="K3798" i="1"/>
  <c r="K3797" i="1"/>
  <c r="K3796" i="1"/>
  <c r="K3795" i="1"/>
  <c r="K3794" i="1"/>
  <c r="K3793" i="1"/>
  <c r="K3792" i="1"/>
  <c r="K3791" i="1"/>
  <c r="K3790" i="1"/>
  <c r="K3789" i="1"/>
  <c r="K3788" i="1"/>
  <c r="K3787" i="1"/>
  <c r="K3786" i="1"/>
  <c r="K3785" i="1"/>
  <c r="K3784" i="1"/>
  <c r="K3783" i="1"/>
  <c r="K3782" i="1"/>
  <c r="K3781" i="1"/>
  <c r="K3780" i="1"/>
  <c r="K3779" i="1"/>
  <c r="K3778" i="1"/>
  <c r="K3777" i="1"/>
  <c r="K3776" i="1"/>
  <c r="K3775" i="1"/>
  <c r="K3774" i="1"/>
  <c r="K3773" i="1"/>
  <c r="K3772" i="1"/>
  <c r="K3771" i="1"/>
  <c r="K3770" i="1"/>
  <c r="K3769" i="1"/>
  <c r="K3768" i="1"/>
  <c r="K3767" i="1"/>
  <c r="K3766" i="1"/>
  <c r="K3765" i="1"/>
  <c r="K3764" i="1"/>
  <c r="K3763" i="1"/>
  <c r="K3762" i="1"/>
  <c r="K3761" i="1"/>
  <c r="K3760" i="1"/>
  <c r="K3759" i="1"/>
  <c r="K3758" i="1"/>
  <c r="K3757" i="1"/>
  <c r="K3756" i="1"/>
  <c r="K3755" i="1"/>
  <c r="K3754" i="1"/>
  <c r="K3753" i="1"/>
  <c r="K3752" i="1"/>
  <c r="K3751" i="1"/>
  <c r="K3750" i="1"/>
  <c r="K3749" i="1"/>
  <c r="K3748" i="1"/>
  <c r="K3747" i="1"/>
  <c r="K3746" i="1"/>
  <c r="K3745" i="1"/>
  <c r="K3744" i="1"/>
  <c r="K3743" i="1"/>
  <c r="K3742" i="1"/>
  <c r="K3741" i="1"/>
  <c r="K3740" i="1"/>
  <c r="K3739" i="1"/>
  <c r="K3738" i="1"/>
  <c r="K3737" i="1"/>
  <c r="K3736" i="1"/>
  <c r="K3735" i="1"/>
  <c r="K3734" i="1"/>
  <c r="K3733" i="1"/>
  <c r="K3732" i="1"/>
  <c r="K3731" i="1"/>
  <c r="K3730" i="1"/>
  <c r="K3729" i="1"/>
  <c r="K3728" i="1"/>
  <c r="K3727" i="1"/>
  <c r="K3726" i="1"/>
  <c r="K3725" i="1"/>
  <c r="K3724" i="1"/>
  <c r="K3723" i="1"/>
  <c r="K3722" i="1"/>
  <c r="K3721" i="1"/>
  <c r="K3720" i="1"/>
  <c r="K3719" i="1"/>
  <c r="K3718" i="1"/>
  <c r="K3717" i="1"/>
  <c r="K3716" i="1"/>
  <c r="K3715" i="1"/>
  <c r="K3714" i="1"/>
  <c r="K3713" i="1"/>
  <c r="K3712" i="1"/>
  <c r="K3711" i="1"/>
  <c r="K3710" i="1"/>
  <c r="K3709" i="1"/>
  <c r="K3708" i="1"/>
  <c r="K3707" i="1"/>
  <c r="K3706" i="1"/>
  <c r="K3705" i="1"/>
  <c r="K3704" i="1"/>
  <c r="K3703" i="1"/>
  <c r="K3702" i="1"/>
  <c r="K3701" i="1"/>
  <c r="K3700" i="1"/>
  <c r="K3699" i="1"/>
  <c r="K3698" i="1"/>
  <c r="K3697" i="1"/>
  <c r="K3696" i="1"/>
  <c r="K3695" i="1"/>
  <c r="K3694" i="1"/>
  <c r="K3693" i="1"/>
  <c r="K3692" i="1"/>
  <c r="K3691" i="1"/>
  <c r="K3690" i="1"/>
  <c r="K3689" i="1"/>
  <c r="K3688" i="1"/>
  <c r="K3687" i="1"/>
  <c r="K3686" i="1"/>
  <c r="K3685" i="1"/>
  <c r="K3684" i="1"/>
  <c r="K3683" i="1"/>
  <c r="K3682" i="1"/>
  <c r="K3681" i="1"/>
  <c r="K3680" i="1"/>
  <c r="K3679" i="1"/>
  <c r="K3678" i="1"/>
  <c r="K3677" i="1"/>
  <c r="K3676" i="1"/>
  <c r="K3675" i="1"/>
  <c r="K3674" i="1"/>
  <c r="K3673" i="1"/>
  <c r="K3672" i="1"/>
  <c r="K3671" i="1"/>
  <c r="K3670" i="1"/>
  <c r="K3669" i="1"/>
  <c r="K3668" i="1"/>
  <c r="K3667" i="1"/>
  <c r="K3666" i="1"/>
  <c r="K3665" i="1"/>
  <c r="K3664" i="1"/>
  <c r="K3663" i="1"/>
  <c r="K3662" i="1"/>
  <c r="K3661" i="1"/>
  <c r="K3660" i="1"/>
  <c r="K3659" i="1"/>
  <c r="K3658" i="1"/>
  <c r="K3657" i="1"/>
  <c r="K3656" i="1"/>
  <c r="K3655" i="1"/>
  <c r="K3654" i="1"/>
  <c r="K3653" i="1"/>
  <c r="K3652" i="1"/>
  <c r="K3651" i="1"/>
  <c r="K3650" i="1"/>
  <c r="K3649" i="1"/>
  <c r="K3648" i="1"/>
  <c r="K3647" i="1"/>
  <c r="K3646" i="1"/>
  <c r="K3645" i="1"/>
  <c r="K3644" i="1"/>
  <c r="K3643" i="1"/>
  <c r="K3642" i="1"/>
  <c r="K3641" i="1"/>
  <c r="K3640" i="1"/>
  <c r="K3639" i="1"/>
  <c r="K3638" i="1"/>
  <c r="K3637" i="1"/>
  <c r="K3636" i="1"/>
  <c r="K3635" i="1"/>
  <c r="K3634" i="1"/>
  <c r="K3633" i="1"/>
  <c r="K3632" i="1"/>
  <c r="K3631" i="1"/>
  <c r="K3630" i="1"/>
  <c r="K3629" i="1"/>
  <c r="K3628" i="1"/>
  <c r="K3627" i="1"/>
  <c r="K3626" i="1"/>
  <c r="K3625" i="1"/>
  <c r="K3624" i="1"/>
  <c r="K3623" i="1"/>
  <c r="K3622" i="1"/>
  <c r="K3621" i="1"/>
  <c r="K3620" i="1"/>
  <c r="K3619" i="1"/>
  <c r="K3618" i="1"/>
  <c r="K3617" i="1"/>
  <c r="K3616" i="1"/>
  <c r="K3615" i="1"/>
  <c r="K3614" i="1"/>
  <c r="K3613" i="1"/>
  <c r="K3612" i="1"/>
  <c r="K3611" i="1"/>
  <c r="K3610" i="1"/>
  <c r="K3609" i="1"/>
  <c r="K3608" i="1"/>
  <c r="K3607" i="1"/>
  <c r="K3606" i="1"/>
  <c r="K3605" i="1"/>
  <c r="K3604" i="1"/>
  <c r="K3603" i="1"/>
  <c r="K3602" i="1"/>
  <c r="K3601" i="1"/>
  <c r="K3600" i="1"/>
  <c r="K3599" i="1"/>
  <c r="K3598" i="1"/>
  <c r="K3597" i="1"/>
  <c r="K3596" i="1"/>
  <c r="K3595" i="1"/>
  <c r="K3594" i="1"/>
  <c r="K3593" i="1"/>
  <c r="K3592" i="1"/>
  <c r="K3591" i="1"/>
  <c r="K3590" i="1"/>
  <c r="K3589" i="1"/>
  <c r="K3588" i="1"/>
  <c r="K3587" i="1"/>
  <c r="K3586" i="1"/>
  <c r="K3585" i="1"/>
  <c r="K3584" i="1"/>
  <c r="K3583" i="1"/>
  <c r="K3582" i="1"/>
  <c r="K3581" i="1"/>
  <c r="K3580" i="1"/>
  <c r="K3579" i="1"/>
  <c r="K3578" i="1"/>
  <c r="K3577" i="1"/>
  <c r="K3576" i="1"/>
  <c r="K3575" i="1"/>
  <c r="K3574" i="1"/>
  <c r="K3573" i="1"/>
  <c r="K3572" i="1"/>
  <c r="K3571" i="1"/>
  <c r="K3570" i="1"/>
  <c r="K3569" i="1"/>
  <c r="K3568" i="1"/>
  <c r="K3567" i="1"/>
  <c r="K3566" i="1"/>
  <c r="K3565" i="1"/>
  <c r="K3564" i="1"/>
  <c r="K3563" i="1"/>
  <c r="K3562" i="1"/>
  <c r="K3561" i="1"/>
  <c r="K3560" i="1"/>
  <c r="K3559" i="1"/>
  <c r="K3558" i="1"/>
  <c r="K3557" i="1"/>
  <c r="K3556" i="1"/>
  <c r="K3555" i="1"/>
  <c r="K3554" i="1"/>
  <c r="K3553" i="1"/>
  <c r="K3552" i="1"/>
  <c r="K3551" i="1"/>
  <c r="K3550" i="1"/>
  <c r="K3549" i="1"/>
  <c r="K3548" i="1"/>
  <c r="K3547" i="1"/>
  <c r="K3546" i="1"/>
  <c r="K3545" i="1"/>
  <c r="K3544" i="1"/>
  <c r="K3543" i="1"/>
  <c r="K3542" i="1"/>
  <c r="K3541" i="1"/>
  <c r="K3540" i="1"/>
  <c r="K3539" i="1"/>
  <c r="K3538" i="1"/>
  <c r="K3537" i="1"/>
  <c r="K3536" i="1"/>
  <c r="K3535" i="1"/>
  <c r="K3534" i="1"/>
  <c r="K3533" i="1"/>
  <c r="K3532" i="1"/>
  <c r="K3531" i="1"/>
  <c r="K3530" i="1"/>
  <c r="K3529" i="1"/>
  <c r="K3528" i="1"/>
  <c r="K3527" i="1"/>
  <c r="K3526" i="1"/>
  <c r="K3525" i="1"/>
  <c r="K3524" i="1"/>
  <c r="K3523" i="1"/>
  <c r="K3522" i="1"/>
  <c r="K3521" i="1"/>
  <c r="K3520" i="1"/>
  <c r="K3519" i="1"/>
  <c r="K3518" i="1"/>
  <c r="K3517" i="1"/>
  <c r="K3516" i="1"/>
  <c r="K3515" i="1"/>
  <c r="K3514" i="1"/>
  <c r="K3513" i="1"/>
  <c r="K3512" i="1"/>
  <c r="K3511" i="1"/>
  <c r="K3510" i="1"/>
  <c r="K3509" i="1"/>
  <c r="K3508" i="1"/>
  <c r="K3507" i="1"/>
  <c r="K3506" i="1"/>
  <c r="K3505" i="1"/>
  <c r="K3504" i="1"/>
  <c r="K3503" i="1"/>
  <c r="K3502" i="1"/>
  <c r="K3501" i="1"/>
  <c r="K3500" i="1"/>
  <c r="K3499" i="1"/>
  <c r="K3498" i="1"/>
  <c r="K3497" i="1"/>
  <c r="K3496" i="1"/>
  <c r="K3495" i="1"/>
  <c r="K3494" i="1"/>
  <c r="K3493" i="1"/>
  <c r="K3492" i="1"/>
  <c r="K3491" i="1"/>
  <c r="K3490" i="1"/>
  <c r="K3489" i="1"/>
  <c r="K3488" i="1"/>
  <c r="K3487" i="1"/>
  <c r="K3486" i="1"/>
  <c r="K3485" i="1"/>
  <c r="K3484" i="1"/>
  <c r="K3483" i="1"/>
  <c r="K3482" i="1"/>
  <c r="K3481" i="1"/>
  <c r="K3480" i="1"/>
  <c r="K3479" i="1"/>
  <c r="K3478" i="1"/>
  <c r="K3477" i="1"/>
  <c r="K3476" i="1"/>
  <c r="K3475" i="1"/>
  <c r="K3474" i="1"/>
  <c r="K3473" i="1"/>
  <c r="K3472" i="1"/>
  <c r="K3471" i="1"/>
  <c r="K3470" i="1"/>
  <c r="K3469" i="1"/>
  <c r="K3468" i="1"/>
  <c r="K3467" i="1"/>
  <c r="K3466" i="1"/>
  <c r="K3465" i="1"/>
  <c r="K3464" i="1"/>
  <c r="K3463" i="1"/>
  <c r="K3462" i="1"/>
  <c r="K3461" i="1"/>
  <c r="K3460" i="1"/>
  <c r="K3459" i="1"/>
  <c r="K3458" i="1"/>
  <c r="K3457" i="1"/>
  <c r="K3456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xr16:uid="{0885AF54-1BF5-4CFC-87A4-EDEDC3427FE5}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xr16:uid="{12F7E79A-66F4-42C1-AA73-E4FE8E181BB4}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xr16:uid="{DAFFA59D-2028-4494-8320-21411AB57D8F}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xr16:uid="{61FFD04D-726B-4F6A-80BF-6D6C94ABC49D}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xr16:uid="{155029CC-2B2C-49EE-8EF0-D12721DB84C2}" name="Ser-18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xr16:uid="{0C3B3701-7E59-4FA6-ACF3-FD6D5006BF10}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xr16:uid="{E9170335-FF52-42CB-883D-FF501FE8D517}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xr16:uid="{D5417486-E6A8-4E09-8BF5-2EAC29A33968}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2" xr16:uid="{53CBBFDF-D3D1-40D5-96C4-1225D6436290}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xr16:uid="{80DCFABD-6BC7-4726-BDE1-816C96C74B2A}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xr16:uid="{BCA75C2F-C5FA-481E-A090-00E2AC6CF7B0}" name="Ser-181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xr16:uid="{56E39315-3EB4-4291-A088-35219C3FC2C2}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xr16:uid="{76E909B5-E4B2-4A9F-A341-32AA962C4A5F}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xr16:uid="{0B3681EC-9915-4C4B-B84A-AB54C3403F62}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xr16:uid="{485AAE71-7EFB-4BE3-A804-D3C0846606E3}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xr16:uid="{4FB42F1B-EE0A-466A-ADF0-09456D4F6AC7}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xr16:uid="{A3A62690-1AA4-49C2-BE88-90AB0A327188}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xr16:uid="{B3799B44-DE33-49E4-82D6-12E15CB424E3}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xr16:uid="{A7F4E78E-FA2E-492C-9132-D066C0E58C70}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3" xr16:uid="{520FA035-26CF-45B6-84FD-6DC2AA5DA52E}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xr16:uid="{65BD9E01-14BF-441E-87FD-D95D453654C7}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xr16:uid="{0F974C58-2AB2-49AE-ABE5-2E0842FD50BA}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xr16:uid="{2CF49BEF-1C51-4CFB-9079-4DA9D480AE54}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xr16:uid="{BE530AE4-2680-4CA3-9F64-A4B0A374E435}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xr16:uid="{5B4F8CED-E8DE-4028-B78D-C905D2B0834E}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xr16:uid="{9A5B817E-E503-4B2E-8D82-D22B3E5E42CC}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xr16:uid="{319D31D2-33B4-4F2B-944B-29FEF25C9143}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xr16:uid="{E108D7F7-59BA-44AF-ACDF-2560A8CB1ED5}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xr16:uid="{DD2EAF6E-11C1-4E95-84D6-7F692936FB5B}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<sst xmlns="http://schemas.openxmlformats.org/spreadsheetml/2006/main" count="40840" uniqueCount="2024">
  <si>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</si>
  <si>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</si>
  <si>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</si>
  <si>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</si>
  <si>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</si>
  <si>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</si>
  <si>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</si>
  <si>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</si>
  <si>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</si>
  <si>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</si>
  <si>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</si>
  <si>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</si>
  <si>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</si>
  <si>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</si>
  <si>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</si>
  <si>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</si>
  <si>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</si>
  <si>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</si>
  <si>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</si>
  <si>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</si>
  <si>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</si>
  <si>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</si>
  <si>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</si>
  <si>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</si>
  <si>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</si>
  <si>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</si>
  <si>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</si>
  <si>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</si>
  <si>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</si>
  <si>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</si>
  <si>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</si>
  <si>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</si>
  <si>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</si>
  <si>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</si>
  <si>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</si>
  <si>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</si>
  <si>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</si>
  <si>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</si>
  <si>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</si>
  <si>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</si>
  <si>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</si>
  <si>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</si>
  <si>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</si>
  <si>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</si>
  <si>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</si>
  <si>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</si>
  <si>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</si>
  <si>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</si>
  <si>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</si>
  <si>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</si>
  <si>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</si>
  <si>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</si>
  <si>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</si>
  <si>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</si>
  <si>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</si>
  <si>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</si>
  <si>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</si>
  <si>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</si>
  <si>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</si>
  <si>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</si>
  <si>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</si>
  <si>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</si>
  <si>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</si>
  <si>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</si>
  <si>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</si>
  <si>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</si>
  <si>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</si>
  <si>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</si>
  <si>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</si>
  <si>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</si>
  <si>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</si>
  <si>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</si>
  <si>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</si>
  <si>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</si>
  <si>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</si>
  <si>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</si>
  <si>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</si>
  <si>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</si>
  <si>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</si>
  <si>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</si>
  <si>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</si>
  <si>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</si>
  <si>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</si>
  <si>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</si>
  <si>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</si>
  <si>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</si>
  <si>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</si>
  <si>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</si>
  <si>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</si>
  <si>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</si>
  <si>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</si>
  <si>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</si>
  <si>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</si>
  <si>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</si>
  <si>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</si>
  <si>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</si>
  <si>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</si>
  <si>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</si>
  <si>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</si>
  <si>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</si>
  <si>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</si>
  <si>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</si>
  <si>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</si>
  <si>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</si>
  <si>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</si>
  <si>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</si>
  <si>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</si>
  <si>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</si>
  <si>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</si>
  <si>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</si>
  <si>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</si>
  <si>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</si>
  <si>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</si>
  <si>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</si>
  <si>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</si>
  <si>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</si>
  <si>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</si>
  <si>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</si>
  <si>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</si>
  <si>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</si>
  <si>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</si>
  <si>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</si>
  <si>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</si>
  <si>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</si>
  <si>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</si>
  <si>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</si>
  <si>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</si>
  <si>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</si>
  <si>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</si>
  <si>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</si>
  <si>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</si>
  <si>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</si>
  <si>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</si>
  <si>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</si>
  <si>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</si>
  <si>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</si>
  <si>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</si>
  <si>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</si>
  <si>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</si>
  <si>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</si>
  <si>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</si>
  <si>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</si>
  <si>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</si>
  <si>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</si>
  <si>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</si>
  <si>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</si>
  <si>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</si>
  <si>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</si>
  <si>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</si>
  <si>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</si>
  <si>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</si>
  <si>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</si>
  <si>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</si>
  <si>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</si>
  <si>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</si>
  <si>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</si>
  <si>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</si>
  <si>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</si>
  <si>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</si>
  <si>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</si>
  <si>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</si>
  <si>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</si>
  <si>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</si>
  <si>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</si>
  <si>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</si>
  <si>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</si>
  <si>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</si>
  <si>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</si>
  <si>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</si>
  <si>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</si>
  <si>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</si>
  <si>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</si>
  <si>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</si>
  <si>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</si>
  <si>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</si>
  <si>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</si>
  <si>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</si>
  <si>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</si>
  <si>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</si>
  <si>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</si>
  <si>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</si>
  <si>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</si>
  <si>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</si>
  <si>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</si>
  <si>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</si>
  <si>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</si>
  <si>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</si>
  <si>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</si>
  <si>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</si>
  <si>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</si>
  <si>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</si>
  <si>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</si>
  <si>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</si>
  <si>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</si>
  <si>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</si>
  <si>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</si>
  <si>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</si>
  <si>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</si>
  <si>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</si>
  <si>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</si>
  <si>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</si>
  <si>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</si>
  <si>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</si>
  <si>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</si>
  <si>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</si>
  <si>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</si>
  <si>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</si>
  <si>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</si>
  <si>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</si>
  <si>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</si>
  <si>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</si>
  <si>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</si>
  <si>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</si>
  <si>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</si>
  <si>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</si>
  <si>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</si>
  <si>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</si>
  <si>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</si>
  <si>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</si>
  <si>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</si>
  <si>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</si>
  <si>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</si>
  <si>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</si>
  <si>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</si>
  <si>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</si>
  <si>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</si>
  <si>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</si>
  <si>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</si>
  <si>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</si>
  <si>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</si>
  <si>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</si>
  <si>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</si>
  <si>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</si>
  <si>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</si>
  <si>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</si>
  <si>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</si>
  <si>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</si>
  <si>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</si>
  <si>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</si>
  <si>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</si>
  <si>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</si>
  <si>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</si>
  <si>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</si>
  <si>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</si>
  <si>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</si>
  <si>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</si>
  <si>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</si>
  <si>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</si>
  <si>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</si>
  <si>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</si>
  <si>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</si>
  <si>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</si>
  <si>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</si>
  <si>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</si>
  <si>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</si>
  <si>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</si>
  <si>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</si>
  <si>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</si>
  <si>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</si>
  <si>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</si>
  <si>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</si>
  <si>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</si>
  <si>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</si>
  <si>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</si>
  <si>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</si>
  <si>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</si>
  <si>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</si>
  <si>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</si>
  <si>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</si>
  <si>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</si>
  <si>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</si>
  <si>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</si>
  <si>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</si>
  <si>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</si>
  <si>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</si>
  <si>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</si>
  <si>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</si>
  <si>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</si>
  <si>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</si>
  <si>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</si>
  <si>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</si>
  <si>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</si>
  <si>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</si>
  <si>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</si>
  <si>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</si>
  <si>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</si>
  <si>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</si>
  <si>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</si>
  <si>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</si>
  <si>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</si>
  <si>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</si>
  <si>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</si>
  <si>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</si>
  <si>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</si>
  <si>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</si>
  <si>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</si>
  <si>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</si>
  <si>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</si>
  <si>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</si>
  <si>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</si>
  <si>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</si>
  <si>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</si>
  <si>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</si>
  <si>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</si>
  <si>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</si>
  <si>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</si>
  <si>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</si>
  <si>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</si>
  <si>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</si>
  <si>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</si>
  <si>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</si>
  <si>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</si>
  <si>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</si>
  <si>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</si>
  <si>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</si>
  <si>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</si>
  <si>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</si>
  <si>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</si>
  <si>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</si>
  <si>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</si>
  <si>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</si>
  <si>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</si>
  <si>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</si>
  <si>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</si>
  <si>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</si>
  <si>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</si>
  <si>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</si>
  <si>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</si>
  <si>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</si>
  <si>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</si>
  <si>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</si>
  <si>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</si>
  <si>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</si>
  <si>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</si>
  <si>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</si>
  <si>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</si>
  <si>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</si>
  <si>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</si>
  <si>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</si>
  <si>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</si>
  <si>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</si>
  <si>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</si>
  <si>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</si>
  <si>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</si>
  <si>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</si>
  <si>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</si>
  <si>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</si>
  <si>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</si>
  <si>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</si>
  <si>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</si>
  <si>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</si>
  <si>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</si>
  <si>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</si>
  <si>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</si>
  <si>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</si>
  <si>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</si>
  <si>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</si>
  <si>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</si>
  <si>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</si>
  <si>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</si>
  <si>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</si>
  <si>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</si>
  <si>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</si>
  <si>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</si>
  <si>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</si>
  <si>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</si>
  <si>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</si>
  <si>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</si>
  <si>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</si>
  <si>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</si>
  <si>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</si>
  <si>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</si>
  <si>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</si>
  <si>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</si>
  <si>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</si>
  <si>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</si>
  <si>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</si>
  <si>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</si>
  <si>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</si>
  <si>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</si>
  <si>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</si>
  <si>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</si>
  <si>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</si>
  <si>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</si>
  <si>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</si>
  <si>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</si>
  <si>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</si>
  <si>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</si>
  <si>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</si>
  <si>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</si>
  <si>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</si>
  <si>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</si>
  <si>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</si>
  <si>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</si>
  <si>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</si>
  <si>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</si>
  <si>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</si>
  <si>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</si>
  <si>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</si>
  <si>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</si>
  <si>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</si>
  <si>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</si>
  <si>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</si>
  <si>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</si>
  <si>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</si>
  <si>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</si>
  <si>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</si>
  <si>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</si>
  <si>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</si>
  <si>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</si>
  <si>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</si>
  <si>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</si>
  <si>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</si>
  <si>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</si>
  <si>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</si>
  <si>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</si>
  <si>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</si>
  <si>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</si>
  <si>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</si>
  <si>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</si>
  <si>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</si>
  <si>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</si>
  <si>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</si>
  <si>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</si>
  <si>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</si>
  <si>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</si>
  <si>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</si>
  <si>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</si>
  <si>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</si>
  <si>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</si>
  <si>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</si>
  <si>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</si>
  <si>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</si>
  <si>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</si>
  <si>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</si>
  <si>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</si>
  <si>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</si>
  <si>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</si>
  <si>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</si>
  <si>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</si>
  <si>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</si>
  <si>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</si>
  <si>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</si>
  <si>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</si>
  <si>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</si>
  <si>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</si>
  <si>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</si>
  <si>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</si>
  <si>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</si>
  <si>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</si>
  <si>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</si>
  <si>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</si>
  <si>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</si>
  <si>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</si>
  <si>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</si>
  <si>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</si>
  <si>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</si>
  <si>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</si>
  <si>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</si>
  <si>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</si>
  <si>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</si>
  <si>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</si>
  <si>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</si>
  <si>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</si>
  <si>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</si>
  <si>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</si>
  <si>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</si>
  <si>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</si>
  <si>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</si>
  <si>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</si>
  <si>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</si>
  <si>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</si>
  <si>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</si>
  <si>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</si>
  <si>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</si>
  <si>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</si>
  <si>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</si>
  <si>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</si>
  <si>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</si>
  <si>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</si>
  <si>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</si>
  <si>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</si>
  <si>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</si>
  <si>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</si>
  <si>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</si>
  <si>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</si>
  <si>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</si>
  <si>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</si>
  <si>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</si>
  <si>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</si>
  <si>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</si>
  <si>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</si>
  <si>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</si>
  <si>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</si>
  <si>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</si>
  <si>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</si>
  <si>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</si>
  <si>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</si>
  <si>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</si>
  <si>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</si>
  <si>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</si>
  <si>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</si>
  <si>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</si>
  <si>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</si>
  <si>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</si>
  <si>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</si>
  <si>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EMP.DE LOS FERROC.DEL ESTADO</t>
  </si>
  <si>
    <t>Total Cliente:      25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</si>
  <si>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</si>
  <si>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</si>
  <si>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</si>
  <si>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</si>
  <si>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</si>
  <si>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</si>
  <si>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</si>
  <si>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2460-786-AG23</t>
  </si>
  <si>
    <t>I.MUNICIPALIDAD DE PROVIDENC</t>
  </si>
  <si>
    <t>Total Cliente:      39</t>
  </si>
  <si>
    <t>Total Cliente:      15</t>
  </si>
  <si>
    <t>MUTUAL DE SEGURIDAD C.CH.C.</t>
  </si>
  <si>
    <t>SEGUN INFORME DE VENDEDOR</t>
  </si>
  <si>
    <t>Total Cliente:      53</t>
  </si>
  <si>
    <t>POR CENTRO COSTO NOMBRE</t>
  </si>
  <si>
    <t>Total Cliente:       6</t>
  </si>
  <si>
    <t>UNIVERSIDAD MAYOR S.A</t>
  </si>
  <si>
    <t>UNIVERSIDAD SAN SEBASTIAN</t>
  </si>
  <si>
    <t>Total Cliente:      18</t>
  </si>
  <si>
    <t>UNIVERSIDAD DEL DESARROLLO</t>
  </si>
  <si>
    <t>ESVAL S.A.</t>
  </si>
  <si>
    <t>SOUTH PACIFIC MOTOR CHILE SP</t>
  </si>
  <si>
    <t>EOLICA MONTE REDONDO SPA</t>
  </si>
  <si>
    <t>ASTARA LOGISTICA CHILE SPA.</t>
  </si>
  <si>
    <t>Total Cliente:      27</t>
  </si>
  <si>
    <t>Total Cliente:      10</t>
  </si>
  <si>
    <t>Total Cliente:      21</t>
  </si>
  <si>
    <t>KOMATSU HOLDINGS SOUTH AMERI</t>
  </si>
  <si>
    <t>MOLYMETNOS S.A</t>
  </si>
  <si>
    <t>Total Cliente:       7</t>
  </si>
  <si>
    <t>SAN-7285</t>
  </si>
  <si>
    <t>DP WORLD SAN ANTONIO S.A.</t>
  </si>
  <si>
    <t>SAN-7313</t>
  </si>
  <si>
    <t>MEGAMEDIA SA</t>
  </si>
  <si>
    <t>AGUAS ARAUCANIA S.A.</t>
  </si>
  <si>
    <t>LABORATORIOS ANDROMACO S.A</t>
  </si>
  <si>
    <t>Total Cliente:      13</t>
  </si>
  <si>
    <t>MATRIZ IDEAS S.A.</t>
  </si>
  <si>
    <t>HIDROELECTRICA LA CONFLUENCI</t>
  </si>
  <si>
    <t>ANASAC AMBIENTAL S.A</t>
  </si>
  <si>
    <t>AGUASIN SPA</t>
  </si>
  <si>
    <t>SEGUN RELACION ENVIADA X VENDEDOR</t>
  </si>
  <si>
    <t>RHEEM CHILE SA.</t>
  </si>
  <si>
    <t>INFORME ENVIADO POR VENDEDOR</t>
  </si>
  <si>
    <t>AGUAS DE ANTOFAGASTA S.A.</t>
  </si>
  <si>
    <t>SOCIEDAD CONCESIONARIA NUEVO</t>
  </si>
  <si>
    <t>RED ELECTRICA CHILE SPA</t>
  </si>
  <si>
    <t>BEBIDAS ECUSA SPA</t>
  </si>
  <si>
    <t>OF. SANTIAGO</t>
  </si>
  <si>
    <t>ACCIONA AIRPORT SERVICES CHI</t>
  </si>
  <si>
    <t>SK INDUSTRIAL S.A.</t>
  </si>
  <si>
    <t>2 FRAS. UNA POR CASA MATRIZ Y OTRA POR O</t>
  </si>
  <si>
    <t>COMERCIAL KAYSER LTDA</t>
  </si>
  <si>
    <t>SAAM LOGISTICS S.A</t>
  </si>
  <si>
    <t>SEGUN INFROMACION DE VENDEDOR GUIA X OC</t>
  </si>
  <si>
    <t>SOCIEDAD GNL MEJILLONES S.A</t>
  </si>
  <si>
    <t>FACT X CUENTA GASTO Y CATEGORIA ENTREGA</t>
  </si>
  <si>
    <t>SAMSONITE CHILE S.A</t>
  </si>
  <si>
    <t>JEANS BLUE SPA</t>
  </si>
  <si>
    <t>Total Cliente:      17</t>
  </si>
  <si>
    <t>COMERCIAL ECCSA CHILE S.A.</t>
  </si>
  <si>
    <t>CONPAX VALKO ARRIGONI INFRAE</t>
  </si>
  <si>
    <t>NELES CHILE SPA.</t>
  </si>
  <si>
    <t>S/N</t>
  </si>
  <si>
    <t>KOMATSU CUMMINS CHILE LTDA.</t>
  </si>
  <si>
    <t>SEGUN INFORME DE VENDEDOR X FAMILIA</t>
  </si>
  <si>
    <t>SOFTYS SA</t>
  </si>
  <si>
    <t>FRESENIUS KABI CHILE LTDA.</t>
  </si>
  <si>
    <t>Total Cliente:      14</t>
  </si>
  <si>
    <t>SIEMENS LARGE DRIVES S.A.</t>
  </si>
  <si>
    <t>CONSORCIO TALABRE S.A.</t>
  </si>
  <si>
    <t>RECETARIO MAGISTRAL ENDOVENO</t>
  </si>
  <si>
    <t>SOTRASER</t>
  </si>
  <si>
    <t>AURA INGENIERIA S.A</t>
  </si>
  <si>
    <t>Total Cliente:      30</t>
  </si>
  <si>
    <t>ESMAX DISTRIBUCION SPA</t>
  </si>
  <si>
    <t>SERVIMAQ S.A.</t>
  </si>
  <si>
    <t>L-OREAL CHILE S.A.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</si>
  <si>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</si>
  <si>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</si>
  <si>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</si>
  <si>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</si>
  <si>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</si>
  <si>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</si>
  <si>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UC-00783768</t>
  </si>
  <si>
    <t>UC-00784084</t>
  </si>
  <si>
    <t>TROTTER S.A.</t>
  </si>
  <si>
    <t>COMERCIAL ECCSA S.A.</t>
  </si>
  <si>
    <t>B.BOSCH S.A.</t>
  </si>
  <si>
    <t>R Y Q INGENIERIA S.A.</t>
  </si>
  <si>
    <t>FLUOR CHILE INGENIERIA Y CON</t>
  </si>
  <si>
    <t>FORESTAL ARAUCO S.A.</t>
  </si>
  <si>
    <t>SERVICIOS EQUIFAX CHILE LTDA</t>
  </si>
  <si>
    <t>SOC.INDUSTRIAL ROMERAL S.A.</t>
  </si>
  <si>
    <t>FABRICA DE ENVASES PLASTICOS</t>
  </si>
  <si>
    <t>EMPRESAS AQUACHILE S.A.</t>
  </si>
  <si>
    <t>SOREPA SPA</t>
  </si>
  <si>
    <t>TRANSFORMADORES TUSAN S.A.</t>
  </si>
  <si>
    <t>ING. Y CONST.MAS ERRAZURIZ L</t>
  </si>
  <si>
    <t>FACTURAR SEGUN INFORME DEL VENDEDOR</t>
  </si>
  <si>
    <t>ENGIE ENERGIA CHILE S.A.</t>
  </si>
  <si>
    <t>SERVICIOS MARITIMOS Y TRANSP</t>
  </si>
  <si>
    <t>FACTURA X OC Y CC INDIVIDUAL</t>
  </si>
  <si>
    <t>EDIPAC SPA</t>
  </si>
  <si>
    <t>ENVASES IMPRESOS SPA.</t>
  </si>
  <si>
    <t>EMPRESAS C.M.P.C. S.A.</t>
  </si>
  <si>
    <t>NESTLE CHILE S.A.</t>
  </si>
  <si>
    <t>CAP.S.A.</t>
  </si>
  <si>
    <t>2302-257</t>
  </si>
  <si>
    <t>FERROSTAAL CHILE S.A.C.</t>
  </si>
  <si>
    <t>FORESTAL MININCO SPA</t>
  </si>
  <si>
    <t>FINNING CHILE S.A.</t>
  </si>
  <si>
    <t>LABORATORIO SANDERSON S.A.</t>
  </si>
  <si>
    <t>FACTURAR POR RUT LOS DIAS 20 DE CADA MES</t>
  </si>
  <si>
    <t>LABORATORIOS RECALCINE S.A.</t>
  </si>
  <si>
    <t>INGENIERIA Y CONST. SIGDO KO</t>
  </si>
  <si>
    <t>PROA S.A.</t>
  </si>
  <si>
    <t>CELULOSA ARAUCO Y CONSTITUCI</t>
  </si>
  <si>
    <t>MOLIBDENOS Y METALES S.A.</t>
  </si>
  <si>
    <t>EVERCRISP SNACK PRODUCTOS DE</t>
  </si>
  <si>
    <t>M411821697</t>
  </si>
  <si>
    <t>M411785094</t>
  </si>
  <si>
    <t>M411811718</t>
  </si>
  <si>
    <t>CMPC MADERAS SPA</t>
  </si>
  <si>
    <t>COLBUN S.A.</t>
  </si>
  <si>
    <t>MADERAS ARAUCO S.A.</t>
  </si>
  <si>
    <t>SOFTYS CHILE SPA.</t>
  </si>
  <si>
    <t>CMPC PULP SPA</t>
  </si>
  <si>
    <t>Total Cliente:      23</t>
  </si>
  <si>
    <t>Total Cliente:      76</t>
  </si>
  <si>
    <t>TANNER SERVICIOS FINANCIEROS</t>
  </si>
  <si>
    <t>VITAPRO S.A</t>
  </si>
  <si>
    <t>FERROCARRIL DEL PACIFICO S.A</t>
  </si>
  <si>
    <t>005-892</t>
  </si>
  <si>
    <t>CONST.MENA Y OVALLE S.A</t>
  </si>
  <si>
    <t>005-891</t>
  </si>
  <si>
    <t>ELECTRO ANDINA S.A</t>
  </si>
  <si>
    <t>CARTULINAS C.M.P.C. SPA</t>
  </si>
  <si>
    <t>FERROCARRILES DEL SUR S.A</t>
  </si>
  <si>
    <t>TRENES METROPOLITANOS S.A</t>
  </si>
  <si>
    <t>CHILEXPRESS S.A.</t>
  </si>
  <si>
    <t>CMPC PAPELES S.A</t>
  </si>
  <si>
    <t>EFE VALPARAISO S.A</t>
  </si>
  <si>
    <t>1156456-4-CM23</t>
  </si>
  <si>
    <t>DESARROLLOS TECNOLOGICOS S.A</t>
  </si>
  <si>
    <t>ELECNOR CHILE S.A.</t>
  </si>
  <si>
    <t>P-15.913</t>
  </si>
  <si>
    <t>P-15.914</t>
  </si>
  <si>
    <t>SERVICIOS Y PROYECTOS AMBIEN</t>
  </si>
  <si>
    <t>MASISA  S.A</t>
  </si>
  <si>
    <t>KOMATSU CHILE S.A.</t>
  </si>
  <si>
    <t>DISTRIBUIDORA CUMMINS CHILE</t>
  </si>
  <si>
    <t>PAPELES CORDILLERA SPA</t>
  </si>
  <si>
    <t>Total Cliente:      44</t>
  </si>
  <si>
    <t>202309-12379</t>
  </si>
  <si>
    <t>EMPRESAS LA POLAR S.A.</t>
  </si>
  <si>
    <t>EMPRESAS LIPIGAS S.A.</t>
  </si>
  <si>
    <t>BLUE EXPRESS S.A</t>
  </si>
  <si>
    <t>HALDEMAN MINING COMPANY S.A.</t>
  </si>
  <si>
    <t>HIDROELECTRICA LA HIGUERA  S</t>
  </si>
  <si>
    <t>PTO.MONT CAF310723</t>
  </si>
  <si>
    <t>BCI SEGUROS GENERALES S.A.</t>
  </si>
  <si>
    <t>PTO.MONT PAPE27093</t>
  </si>
  <si>
    <t>PTO.MONT ASEO27092</t>
  </si>
  <si>
    <t>METLIFE CHILE SEGUROS DE VID</t>
  </si>
  <si>
    <t>36621-0000017289</t>
  </si>
  <si>
    <t>36621-0000017237</t>
  </si>
  <si>
    <t>KOMATSU CUMMINS CHILE ARRIEN</t>
  </si>
  <si>
    <t>COMERCIAL CCU S.A.</t>
  </si>
  <si>
    <t>EMP.SERV.EXT.ASOC.CHILENA DE</t>
  </si>
  <si>
    <t>DE ACUERDO A INFORME QUE ENVIA VENDEDOR</t>
  </si>
  <si>
    <t>AQUAGESTION S.A.</t>
  </si>
  <si>
    <t>Observaciones</t>
  </si>
  <si>
    <t xml:space="preserve"> </t>
  </si>
  <si>
    <t>HES O NO</t>
  </si>
  <si>
    <t>LLeva Hes</t>
  </si>
  <si>
    <t>Nombre Vend.</t>
  </si>
  <si>
    <t>AGUAS ANDINAS S.A</t>
  </si>
  <si>
    <t>2460-850-AG23</t>
  </si>
  <si>
    <t>UNIVERSIDAD ADOLFO IBANEZ</t>
  </si>
  <si>
    <t>FUNDACION C.M.P.C.</t>
  </si>
  <si>
    <t>Total Cliente:      34</t>
  </si>
  <si>
    <t>VIAL Y VIVES - DSD S.A</t>
  </si>
  <si>
    <t>SAN-7385</t>
  </si>
  <si>
    <t>Total Cliente:      36</t>
  </si>
  <si>
    <t>EDIF-000863</t>
  </si>
  <si>
    <t>ECHEVERRIA IZQUIERDO EDIFICA</t>
  </si>
  <si>
    <t>CONSORCIO CONSULTOR R&amp;Q - CO</t>
  </si>
  <si>
    <t>AGUAGESTION CAPACITACION SA</t>
  </si>
  <si>
    <t>CONSORCIO TNT VIAL Y VIVES-D</t>
  </si>
  <si>
    <t>INFORE SEGU VENDEDOR</t>
  </si>
  <si>
    <t>SIEMENS ENERGY SPA</t>
  </si>
  <si>
    <t>FALABELLA Y TECN.COORPORATIV</t>
  </si>
  <si>
    <t>COMERCIAL PATAGONA LTDA</t>
  </si>
  <si>
    <t>INVERMAR S.A.</t>
  </si>
  <si>
    <t>UC-00785273</t>
  </si>
  <si>
    <t>UC-00785248</t>
  </si>
  <si>
    <t>UC-00785612</t>
  </si>
  <si>
    <t>UC-00785997</t>
  </si>
  <si>
    <t>UC-00785998</t>
  </si>
  <si>
    <t>TRANSPORTE MARITIMO CHILOE A</t>
  </si>
  <si>
    <t>Total Cliente:      47</t>
  </si>
  <si>
    <t>MEIC041489</t>
  </si>
  <si>
    <t>IMA INDUSTRIAL SPA</t>
  </si>
  <si>
    <t>C-HERRERA</t>
  </si>
  <si>
    <t>LABORATORIOS SAVAL S.A.</t>
  </si>
  <si>
    <t>M411818538</t>
  </si>
  <si>
    <t>NTT CHILE SPA.</t>
  </si>
  <si>
    <t>TRANSBANK S.A.</t>
  </si>
  <si>
    <t>005-900</t>
  </si>
  <si>
    <t>306-1301</t>
  </si>
  <si>
    <t>Total Cliente:      55</t>
  </si>
  <si>
    <t>P-80.0032.0276</t>
  </si>
  <si>
    <t>P-80.0032.0283</t>
  </si>
  <si>
    <t>P-80.0033.0061</t>
  </si>
  <si>
    <t>P-15.916</t>
  </si>
  <si>
    <t>P-15.920</t>
  </si>
  <si>
    <t>SK BERGE LUXURY SPA</t>
  </si>
  <si>
    <t>INVERSIONES VISTA NORTE S.A</t>
  </si>
  <si>
    <t>NAVIERA AUSTRAL S.A</t>
  </si>
  <si>
    <t>FACTURAR GUIAS SEGUN PEDIDO</t>
  </si>
  <si>
    <t>MARICELA ASTUDILLO</t>
  </si>
  <si>
    <t>GUACOLDA ENERGIA SPA</t>
  </si>
  <si>
    <t>AVICOLA VALLE CENTRAL SPA</t>
  </si>
  <si>
    <t>ODC 4030484706</t>
  </si>
  <si>
    <t>UC-00785646</t>
  </si>
  <si>
    <t>UC-00776355</t>
  </si>
  <si>
    <t>UC-00783331</t>
  </si>
  <si>
    <t>UC-00785569</t>
  </si>
  <si>
    <t>UC-00786526</t>
  </si>
  <si>
    <t>UC-00786590</t>
  </si>
  <si>
    <t>UC-00786554</t>
  </si>
  <si>
    <t>CAM CHILE SPA</t>
  </si>
  <si>
    <t>FERROCARRIL DE ARICA A LA PA</t>
  </si>
  <si>
    <t>Falta Ingresar</t>
  </si>
  <si>
    <t>Ingresada</t>
  </si>
  <si>
    <t>Facturacion</t>
  </si>
  <si>
    <t>Periodo</t>
  </si>
  <si>
    <t>R.U.T.</t>
  </si>
  <si>
    <t>CCosto</t>
  </si>
  <si>
    <t>4500327876-1069496</t>
  </si>
  <si>
    <t>4500327877-1070242</t>
  </si>
  <si>
    <t>4500327912-1071053</t>
  </si>
  <si>
    <t>4500328200-1070929</t>
  </si>
  <si>
    <t>4500328195-1070929</t>
  </si>
  <si>
    <t>4500327913-1071180</t>
  </si>
  <si>
    <t>4500327914-1071180</t>
  </si>
  <si>
    <t>4500328202-1071015</t>
  </si>
  <si>
    <t>4500328198-1071015</t>
  </si>
  <si>
    <t>4500328196-1070934</t>
  </si>
  <si>
    <t>4500328201-1070934</t>
  </si>
  <si>
    <t>4500328197-1070998</t>
  </si>
  <si>
    <t>4500328199-1071183</t>
  </si>
  <si>
    <t>4500328232-1071405</t>
  </si>
  <si>
    <t>Total Cliente:      70</t>
  </si>
  <si>
    <t>PEDIDOS WEB - PEDIDOS NO WEB.JUNTOS</t>
  </si>
  <si>
    <t>FUNDACION CHILE</t>
  </si>
  <si>
    <t>UNA FACT. POR LA WEB Y OTRA FACT. POR C/</t>
  </si>
  <si>
    <t>MINERA HMC S.A..</t>
  </si>
  <si>
    <t>POR ORDEN DE COMPRA SEGUN INFORME VENDED</t>
  </si>
  <si>
    <t>ENGIE GAS CHILE SPA</t>
  </si>
  <si>
    <t>MARKOS FERNANDEZ</t>
  </si>
  <si>
    <t>SAN-7546</t>
  </si>
  <si>
    <t>AGUAS MAGALLANES S.A.</t>
  </si>
  <si>
    <t>Total Cliente:      50</t>
  </si>
  <si>
    <t>EDIF-001866</t>
  </si>
  <si>
    <t>LIRA-GARNHAM Y COMPAï¿½IA LTDA</t>
  </si>
  <si>
    <t>SERVICIOS DE INGENIERIA IMA</t>
  </si>
  <si>
    <t>CENTRAL TERMOELï¾CTRICA ANDIN</t>
  </si>
  <si>
    <t>HD23001371</t>
  </si>
  <si>
    <t>VEOLIA SOLUCIONES AMBIENTALE</t>
  </si>
  <si>
    <t>CIA MINERA PULLALLI SPA</t>
  </si>
  <si>
    <t>HESPENDIENTE</t>
  </si>
  <si>
    <t>UC-00786614</t>
  </si>
  <si>
    <t>UC-00786758</t>
  </si>
  <si>
    <t>UC-00784460</t>
  </si>
  <si>
    <t>UC-00786862</t>
  </si>
  <si>
    <t>UC-00786861</t>
  </si>
  <si>
    <t>UC-00786529</t>
  </si>
  <si>
    <t>UC-00786878</t>
  </si>
  <si>
    <t>UC-00786863</t>
  </si>
  <si>
    <t>UC-00786864</t>
  </si>
  <si>
    <t>UC-00786776</t>
  </si>
  <si>
    <t>UC-00786537</t>
  </si>
  <si>
    <t>UC-00786924</t>
  </si>
  <si>
    <t>UC-00786855</t>
  </si>
  <si>
    <t>UC-00786961</t>
  </si>
  <si>
    <t>UC-00786891</t>
  </si>
  <si>
    <t>UC-00786909</t>
  </si>
  <si>
    <t>UC-00786921</t>
  </si>
  <si>
    <t>UC-00786904</t>
  </si>
  <si>
    <t>UC-00787055</t>
  </si>
  <si>
    <t>UC-UC-00787093</t>
  </si>
  <si>
    <t>UC-00787240</t>
  </si>
  <si>
    <t>UC-00787189</t>
  </si>
  <si>
    <t>UC-00785567</t>
  </si>
  <si>
    <t>UC-00787237</t>
  </si>
  <si>
    <t>Total Cliente:      38</t>
  </si>
  <si>
    <t>COMPAï¿½IA DE SERVICIO INDUSTR</t>
  </si>
  <si>
    <t>FALABELLA S.A.</t>
  </si>
  <si>
    <t>2101-1576</t>
  </si>
  <si>
    <t>M411875766</t>
  </si>
  <si>
    <t>CPT WELLBOATS S A</t>
  </si>
  <si>
    <t>EMPRESAS GI SPA</t>
  </si>
  <si>
    <t>115656-4-CM23</t>
  </si>
  <si>
    <t>P-80.0032.0297</t>
  </si>
  <si>
    <t>P-80.0032.0300</t>
  </si>
  <si>
    <t>80.0020.1228-T2</t>
  </si>
  <si>
    <t>Total Cliente:      69</t>
  </si>
  <si>
    <t>INMOBILIARIA MALL VIï¿½A DEL M</t>
  </si>
  <si>
    <t xml:space="preserve">0           60218       </t>
  </si>
  <si>
    <t>SEGï¿½N INFORME VNED. MAX. 40 G/D</t>
  </si>
  <si>
    <t>ANALISIS AMBIENTALES S.A</t>
  </si>
  <si>
    <t>COMPAï¿½IA PISQUERA DE CHILE S</t>
  </si>
  <si>
    <t>Total General:    1412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</si>
  <si>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</si>
  <si>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</si>
  <si>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</si>
  <si>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</si>
  <si>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</si>
  <si>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</si>
  <si>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</si>
  <si>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</si>
  <si>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</si>
  <si>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CC 7-8 UNA FACT/ CC 12 X GUIA</t>
  </si>
  <si>
    <t>VANESA INFANTES</t>
  </si>
  <si>
    <t>OBRASCON HUARTE LAIN SA AG</t>
  </si>
  <si>
    <t>A-0011888-00</t>
  </si>
  <si>
    <t>ACCIONA CONSTRUCCION SA AGE</t>
  </si>
  <si>
    <t>A-009083-04</t>
  </si>
  <si>
    <t>E-MAIL/BELFOR SANT</t>
  </si>
  <si>
    <t>CONSERVADOR DE BIENES RAICES</t>
  </si>
  <si>
    <t>4500328415-1071470</t>
  </si>
  <si>
    <t>Requiere HES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</si>
  <si>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</si>
  <si>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</si>
  <si>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</si>
  <si>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</si>
  <si>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</si>
  <si>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</si>
  <si>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</si>
  <si>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</si>
  <si>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4500328772-1071950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</si>
  <si>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</si>
  <si>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</si>
  <si>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</si>
  <si>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</si>
  <si>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</si>
  <si>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</si>
  <si>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</si>
  <si>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</si>
  <si>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</si>
  <si>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</si>
  <si>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</si>
  <si>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Total Cliente:      22</t>
  </si>
  <si>
    <t>894358-15-AG23</t>
  </si>
  <si>
    <t>SERVICIO ELECTORAL</t>
  </si>
  <si>
    <t>1611-356-AG23</t>
  </si>
  <si>
    <t>SERVICIO NACIONAL DEL CONSUM</t>
  </si>
  <si>
    <t>1211-193-AG23</t>
  </si>
  <si>
    <t>SECREMINISTERIAL DE EDUC V</t>
  </si>
  <si>
    <t>4895-817-AG23</t>
  </si>
  <si>
    <t>UNIVERSIDAD DE VALPARAISO</t>
  </si>
  <si>
    <t>1413-989-AG23</t>
  </si>
  <si>
    <t>X DIRECCION REGIONAL DE GEND</t>
  </si>
  <si>
    <t>1403-1005-AG23</t>
  </si>
  <si>
    <t>GENDARMERIA DE CHILE COYHAIQ</t>
  </si>
  <si>
    <t>3416-617-CM23</t>
  </si>
  <si>
    <t>ESCUELA MILITAR</t>
  </si>
  <si>
    <t>3220-813-CM23</t>
  </si>
  <si>
    <t>COMANDANCIA EN JEFE DE LA 2D</t>
  </si>
  <si>
    <t>1602-146-AG23</t>
  </si>
  <si>
    <t>DIRECCION GRAL DE AERONAUTI</t>
  </si>
  <si>
    <t>POR ORDEN COMPRA PARCIAL</t>
  </si>
  <si>
    <t>FAMAE</t>
  </si>
  <si>
    <t>EMPRESA NACIONAL DE AERONAUT</t>
  </si>
  <si>
    <t>EMPDE LOS FERROCDEL ESTADO</t>
  </si>
  <si>
    <t>Total Cliente:      16</t>
  </si>
  <si>
    <t>740-324-CM23</t>
  </si>
  <si>
    <t>INSTITUTO DE DESARROLLO AGRO</t>
  </si>
  <si>
    <t>INSTITUTO FOMENTO PESQUERO</t>
  </si>
  <si>
    <t>2270-699-AG23</t>
  </si>
  <si>
    <t>SUBSECRETARIA DE SALUD PUBLI</t>
  </si>
  <si>
    <t>162-539-AG23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</si>
  <si>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</si>
  <si>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</si>
  <si>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</si>
  <si>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</si>
  <si>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</si>
  <si>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</si>
  <si>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1623-297-CM23</t>
  </si>
  <si>
    <t>SERVICIO DE SALUD HOSPIDE P</t>
  </si>
  <si>
    <t>1623-345-CM23</t>
  </si>
  <si>
    <t>1620-362-CM23</t>
  </si>
  <si>
    <t>SERVSALUD HOSPCHIMBARONGO</t>
  </si>
  <si>
    <t>4375-2664-CM23</t>
  </si>
  <si>
    <t>HOSPITAL GMO GRANT B DE CON</t>
  </si>
  <si>
    <t>2102-1052-AG23</t>
  </si>
  <si>
    <t>HOSPITAL LEBU</t>
  </si>
  <si>
    <t>2059-560-AG23</t>
  </si>
  <si>
    <t>SERVNACDE SALUDL HOSPITAL</t>
  </si>
  <si>
    <t>839-45-AG23</t>
  </si>
  <si>
    <t>FONDO NAC DE LA SALUD(FONA</t>
  </si>
  <si>
    <t>769-1123-AG23</t>
  </si>
  <si>
    <t>SERVICIO DE SALUD ANTOFAGAST</t>
  </si>
  <si>
    <t>1704-4069-AG23</t>
  </si>
  <si>
    <t>HOSPSAN MARTIN QUILLOTA</t>
  </si>
  <si>
    <t>1704-4134-CM23</t>
  </si>
  <si>
    <t>1704-4003-AG23</t>
  </si>
  <si>
    <t>1704-4159-AG23</t>
  </si>
  <si>
    <t>1398-1163-AG23</t>
  </si>
  <si>
    <t>SERVICIO DE SALUD O-HIGGINS</t>
  </si>
  <si>
    <t>SERVICIO DE SALUD DEL MAULE</t>
  </si>
  <si>
    <t>Total Cliente:      79</t>
  </si>
  <si>
    <t>1463-251-CM23</t>
  </si>
  <si>
    <t>HOSPITAL DE LICANTEN</t>
  </si>
  <si>
    <t>1057420-319-CM23</t>
  </si>
  <si>
    <t>HOSPITAL DE HUEPIL (SERVSAL</t>
  </si>
  <si>
    <t>1080089-605-AG23</t>
  </si>
  <si>
    <t>DIRECCIàN SERVICIO DE SALUD</t>
  </si>
  <si>
    <t>2069-8914-AG23</t>
  </si>
  <si>
    <t>SERVICIO DE SALUD METROPOLIT</t>
  </si>
  <si>
    <t>2069-8795-CM23</t>
  </si>
  <si>
    <t>1057468-198-AG23</t>
  </si>
  <si>
    <t>SERV DE SALUD METROP CENTR</t>
  </si>
  <si>
    <t>1057049-7349-CM23</t>
  </si>
  <si>
    <t>HOSPCLINICO SAN BORJA ARRIA</t>
  </si>
  <si>
    <t>CORPORACION NACIONAL DEL COB</t>
  </si>
  <si>
    <t>Total Cliente:     153</t>
  </si>
  <si>
    <t>778998-116-AG23</t>
  </si>
  <si>
    <t>REGIMIENTO LOGISTICO # 1 TOC</t>
  </si>
  <si>
    <t>1057539-11077-AG23</t>
  </si>
  <si>
    <t>HOSPITAL DE PUERTO MONTT</t>
  </si>
  <si>
    <t>548854-60-CM23</t>
  </si>
  <si>
    <t>INSTITUTO DE PREVISION SOCIA</t>
  </si>
  <si>
    <t>INTITUTO DE PREVISION SOCIAL</t>
  </si>
  <si>
    <t>958479-289-AG23</t>
  </si>
  <si>
    <t>SERVICIO DE SALUD DE MAGALLA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</si>
  <si>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</si>
  <si>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</si>
  <si>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</si>
  <si>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</si>
  <si>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</si>
  <si>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</si>
  <si>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</si>
  <si>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1218392-96-AG23</t>
  </si>
  <si>
    <t>CORPORACIàN MUNICIPAL DE CUL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</si>
  <si>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</si>
  <si>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</si>
  <si>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</si>
  <si>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</si>
  <si>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</si>
  <si>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</si>
  <si>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</si>
  <si>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</si>
  <si>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</si>
  <si>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</si>
  <si>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</si>
  <si>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</si>
  <si>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</si>
  <si>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LA IGLESIA DE JESUCRISTO DE</t>
  </si>
  <si>
    <t>COOPDE AHORRY CRED PARA E</t>
  </si>
  <si>
    <t>MARISOL RAMIREZ</t>
  </si>
  <si>
    <t>Total Cliente:      12</t>
  </si>
  <si>
    <t>FUNDACION EDUCACIONAL OPORTU</t>
  </si>
  <si>
    <t>FUNDACION ANGLO AMERICAN</t>
  </si>
  <si>
    <t>1741-786-AG23</t>
  </si>
  <si>
    <t>I MUNICIPALIDAD DE SAN MIGU</t>
  </si>
  <si>
    <t>2279-841-AG23</t>
  </si>
  <si>
    <t>IMUNICDE PUDAHUEL</t>
  </si>
  <si>
    <t>2484-1122-CM23</t>
  </si>
  <si>
    <t>CORPMUNICDE QUILICURA DPTO</t>
  </si>
  <si>
    <t>MAIL</t>
  </si>
  <si>
    <t>IMUNICIPALIDAD DE MELIPILLA</t>
  </si>
  <si>
    <t>3181-725-AG23</t>
  </si>
  <si>
    <t>I MUNICIPALIDAD MACHALI</t>
  </si>
  <si>
    <t>3780-719-AG23</t>
  </si>
  <si>
    <t>MUNICIPALIDAD DE YERBAS  BUE</t>
  </si>
  <si>
    <t>4559-599-AG23</t>
  </si>
  <si>
    <t>IMUNICIPALIDAD DE LOS ALAMO</t>
  </si>
  <si>
    <t>5060-1012-CM23</t>
  </si>
  <si>
    <t>MUNICIPALIDAD DE TEMUCO</t>
  </si>
  <si>
    <t>M-1108</t>
  </si>
  <si>
    <t>I MUNICIPALIDAD DE VITACURA</t>
  </si>
  <si>
    <t>BANCO INTERDE RECONSTRUCCIO</t>
  </si>
  <si>
    <t>EMBAJADA DE BRASIL</t>
  </si>
  <si>
    <t>MUTUAL SEGUROS DE CHILE</t>
  </si>
  <si>
    <t>CONAVICOOP</t>
  </si>
  <si>
    <t>SEGUN INFORM VENDEDOR</t>
  </si>
  <si>
    <t>CORPORACION DE EDUCACION POP</t>
  </si>
  <si>
    <t>PEDIDOS WEB - PEDIDOS NO WEBJUNTOS</t>
  </si>
  <si>
    <t>MUTUAL DE SEGURIDAD CCHC</t>
  </si>
  <si>
    <t>Total Cliente:     218</t>
  </si>
  <si>
    <t>ASOC CHILENA DE SEGURIDAD</t>
  </si>
  <si>
    <t>FUNDACION ARTURO LOPEZ PEREZ</t>
  </si>
  <si>
    <t>SEGUN INFORME VENDEDOR DEL 88 AL 199 UNA</t>
  </si>
  <si>
    <t>FUNDACION INTEGRA</t>
  </si>
  <si>
    <t>Total Cliente:     216</t>
  </si>
  <si>
    <t>CORPORACION MUNICIPDESSOC</t>
  </si>
  <si>
    <t>CORPMUNICDE PEÑALOLEN</t>
  </si>
  <si>
    <t>CORP MUNICDE SERV Y DES M</t>
  </si>
  <si>
    <t>SOCCHILENA DE AUTORES E INT</t>
  </si>
  <si>
    <t>UNACIONAL ANDRES BELLO</t>
  </si>
  <si>
    <t>UNIVERSIDAD DE LOS ANDES</t>
  </si>
  <si>
    <t>ERICK VARGAS</t>
  </si>
  <si>
    <t>LUCINDA EPUL</t>
  </si>
  <si>
    <t>Total Cliente:      31</t>
  </si>
  <si>
    <t>FUNDACION PRODEMU</t>
  </si>
  <si>
    <t>FUND INSTITUTO PROFESIONAL D</t>
  </si>
  <si>
    <t>SRA ALEJANDRA</t>
  </si>
  <si>
    <t>CORP EDUCAC N SRA DEL CA</t>
  </si>
  <si>
    <t>FUNDACION EDUCACIONAL BELEN</t>
  </si>
  <si>
    <t>Total Cliente:      26</t>
  </si>
  <si>
    <t>MAIL 02112023</t>
  </si>
  <si>
    <t>FUNDACION CMPC</t>
  </si>
  <si>
    <t>TT 03112023</t>
  </si>
  <si>
    <t>UNA FACT POR LA WEB Y OTRA FACT POR C/</t>
  </si>
  <si>
    <t>ESVAL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</si>
  <si>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</si>
  <si>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</si>
  <si>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</si>
  <si>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</si>
  <si>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</si>
  <si>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</si>
  <si>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</si>
  <si>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</si>
  <si>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SEGUN PREINFORME</t>
  </si>
  <si>
    <t>SUPER 10 SA</t>
  </si>
  <si>
    <t>10130-2086</t>
  </si>
  <si>
    <t>RVC CONSTRUCTORA LTDA</t>
  </si>
  <si>
    <t>10131-2073</t>
  </si>
  <si>
    <t>MARISIO SA</t>
  </si>
  <si>
    <t>CL026-427</t>
  </si>
  <si>
    <t>CONSTRUCTORA LONDRES LTDA</t>
  </si>
  <si>
    <t>CL024-467</t>
  </si>
  <si>
    <t>CL023-633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</si>
  <si>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</si>
  <si>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</si>
  <si>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</si>
  <si>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</si>
  <si>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</si>
  <si>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</si>
  <si>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</si>
  <si>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</si>
  <si>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</si>
  <si>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</si>
  <si>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</si>
  <si>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</si>
  <si>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</si>
  <si>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</si>
  <si>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Total Cliente:      82</t>
  </si>
  <si>
    <t>1050304351-352</t>
  </si>
  <si>
    <t>INMOBILIARIA PILARES SA</t>
  </si>
  <si>
    <t>FARMACOLOGIA EN AQUACULTURA</t>
  </si>
  <si>
    <t>ICITY SPA</t>
  </si>
  <si>
    <t>SERVIALL SA</t>
  </si>
  <si>
    <t>AGUAS NUEVAS SA</t>
  </si>
  <si>
    <t>ASTARA LOGISTICA CHILE SPA</t>
  </si>
  <si>
    <t>ENAEX SERVICIOS SA</t>
  </si>
  <si>
    <t>MARTINEZ VALDIVIESO SA</t>
  </si>
  <si>
    <t>BIODIVERSA SA</t>
  </si>
  <si>
    <t>ANDREA ROJAS</t>
  </si>
  <si>
    <t>CINDY TORREBLANCA</t>
  </si>
  <si>
    <t>ELBA PINO</t>
  </si>
  <si>
    <t>COMERCIALIZADORA SKECHERS CH</t>
  </si>
  <si>
    <t>Total Cliente:      37</t>
  </si>
  <si>
    <t>VT73-180</t>
  </si>
  <si>
    <t>CONSTRUCTORA E INMOBILIARIA</t>
  </si>
  <si>
    <t>CLF63-1573</t>
  </si>
  <si>
    <t>AMAPU74-358</t>
  </si>
  <si>
    <t>POR FAMILIA</t>
  </si>
  <si>
    <t>ALEJANDRA GALAN</t>
  </si>
  <si>
    <t>SERV AGRICOLAS OPPENHEIMER</t>
  </si>
  <si>
    <t>BERLIAM SPA</t>
  </si>
  <si>
    <t>VERISURE CHILE SPA</t>
  </si>
  <si>
    <t>SOCIEDAD COMERCIAL EXPRESS S</t>
  </si>
  <si>
    <t>ADMDE CREDITO Y COBRANZAS G</t>
  </si>
  <si>
    <t>DEPORTES SPARTA SPA</t>
  </si>
  <si>
    <t>Total Cliente:      20</t>
  </si>
  <si>
    <t>FRUTICOLA OLMUE SPA</t>
  </si>
  <si>
    <t>NAZAR SA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</si>
  <si>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</si>
  <si>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</si>
  <si>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</si>
  <si>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</si>
  <si>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</si>
  <si>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</si>
  <si>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</si>
  <si>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</si>
  <si>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</si>
  <si>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</si>
  <si>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</si>
  <si>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EBSA SA</t>
  </si>
  <si>
    <t>KAREN DONOSO</t>
  </si>
  <si>
    <t>SERVICIOS AGROINDUSTSUBSOLE</t>
  </si>
  <si>
    <t>MADAM TUSAN SPA</t>
  </si>
  <si>
    <t>AMANCAY SPA</t>
  </si>
  <si>
    <t>MEGA ARCHIVOS SA</t>
  </si>
  <si>
    <t>OPERACIONES INTEGRALES CHACA</t>
  </si>
  <si>
    <t>OLITEL LTDA</t>
  </si>
  <si>
    <t>SAN-7557</t>
  </si>
  <si>
    <t>DP WORLD SAN ANTONIO SA</t>
  </si>
  <si>
    <t>SAN-7586</t>
  </si>
  <si>
    <t>C0148-1352</t>
  </si>
  <si>
    <t>CONSTRUCTORA COPAHUE SPA</t>
  </si>
  <si>
    <t>C0148-1354</t>
  </si>
  <si>
    <t>C0143-1684</t>
  </si>
  <si>
    <t>ATCO-SABINCO SA</t>
  </si>
  <si>
    <t>PINTURAS TRICOLOR SA</t>
  </si>
  <si>
    <t>DESARROLLOS MINEROS AURA SPA</t>
  </si>
  <si>
    <t>SALESLAND CHILE SPA</t>
  </si>
  <si>
    <t>ASESORIAS LARRAIN VIAL LTDA</t>
  </si>
  <si>
    <t>VELTIS SPA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</si>
  <si>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</si>
  <si>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</si>
  <si>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</si>
  <si>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</si>
  <si>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</si>
  <si>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</si>
  <si>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</si>
  <si>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</si>
  <si>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</si>
  <si>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</si>
  <si>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</si>
  <si>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TAX ANDES CONSULTING CHILE S</t>
  </si>
  <si>
    <t>MATRIZ IDEAS SA</t>
  </si>
  <si>
    <t>RESITER INDUSTRIAL SA</t>
  </si>
  <si>
    <t>ICAFAL GESTION SA</t>
  </si>
  <si>
    <t>ASESORIAS SCHULTZ CARRASCO Y</t>
  </si>
  <si>
    <t>C101-PC003991</t>
  </si>
  <si>
    <t>PIQUES Y TUNELES METRO SA</t>
  </si>
  <si>
    <t>ANASAC AMBIENTAL SA</t>
  </si>
  <si>
    <t>EMPRESA DE SOLUCIONES MINERA</t>
  </si>
  <si>
    <t>CONSORCIO CRUZ &amp; DAVILA - ZA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</si>
  <si>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</si>
  <si>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</si>
  <si>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</si>
  <si>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</si>
  <si>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</si>
  <si>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</si>
  <si>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</si>
  <si>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</si>
  <si>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</si>
  <si>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</si>
  <si>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</si>
  <si>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</si>
  <si>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</si>
  <si>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</si>
  <si>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</si>
  <si>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</si>
  <si>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</si>
  <si>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</si>
  <si>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</si>
  <si>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</si>
  <si>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</si>
  <si>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Total Cliente:      29</t>
  </si>
  <si>
    <t>SOCIEDAD DE CREDITOS AUTOMOT</t>
  </si>
  <si>
    <t>TRANSELEC SA</t>
  </si>
  <si>
    <t>COMERCIALIZADORA MERCADO PUB</t>
  </si>
  <si>
    <t>BIOLED SPA</t>
  </si>
  <si>
    <t>COLGRAM SA</t>
  </si>
  <si>
    <t>Total Cliente:      65</t>
  </si>
  <si>
    <t>23004186-OP</t>
  </si>
  <si>
    <t>MINERA FLORIDA LTDA</t>
  </si>
  <si>
    <t>23004013-OP</t>
  </si>
  <si>
    <t>CASINO DE LA BAHIA SA</t>
  </si>
  <si>
    <t>CASINO DEL MAR SA</t>
  </si>
  <si>
    <t>LATAM CAR GROUP SPA</t>
  </si>
  <si>
    <t>CENTRO DE ENTRENAMIENTO KAUF</t>
  </si>
  <si>
    <t>SAMEX SPA</t>
  </si>
  <si>
    <t>SK INDUSTRIAL SA</t>
  </si>
  <si>
    <t>ENVASES PLµSTICOS TCNICOS S</t>
  </si>
  <si>
    <t>1057440-7727-SE23</t>
  </si>
  <si>
    <t>VTA NACIONALES E INTERN ONLI</t>
  </si>
  <si>
    <t>1979-3445-SE23</t>
  </si>
  <si>
    <t>1057417-9700-SE23</t>
  </si>
  <si>
    <t>1216071-327-SE23</t>
  </si>
  <si>
    <t>110-322</t>
  </si>
  <si>
    <t>INGENIERÖA Y CONSTRUCCIàN FU</t>
  </si>
  <si>
    <t>2 FRAS UNA POR CASA MATRIZ Y OTRA POR O</t>
  </si>
  <si>
    <t>SAAM LOGISTICS SA</t>
  </si>
  <si>
    <t>HYUNDAI VEHICULOS COMERCIALE</t>
  </si>
  <si>
    <t>ADMIN DE FONDOS DE PENSIONES</t>
  </si>
  <si>
    <t>SOCIEDAD COMERCIAL DE RPTOS</t>
  </si>
  <si>
    <t>Total Cliente:      49</t>
  </si>
  <si>
    <t>GNL QUINTERO SA</t>
  </si>
  <si>
    <t>OPERADORA CAITAN SPA</t>
  </si>
  <si>
    <t>CG007-374</t>
  </si>
  <si>
    <t>CONSTRUCTORA ROMERAL SPA</t>
  </si>
  <si>
    <t>CG007-376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</si>
  <si>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</si>
  <si>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</si>
  <si>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</si>
  <si>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</si>
  <si>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</si>
  <si>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</si>
  <si>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</si>
  <si>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</si>
  <si>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</si>
  <si>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</si>
  <si>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</si>
  <si>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</si>
  <si>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</si>
  <si>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</si>
  <si>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</si>
  <si>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</si>
  <si>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PREUNIVERSITARIO PEDRO DE VA</t>
  </si>
  <si>
    <t>WOOD CHILE LIMITADA -</t>
  </si>
  <si>
    <t>POR RUT AL CENTRO DE COSTO</t>
  </si>
  <si>
    <t>PARQUES DE CHILE SPA</t>
  </si>
  <si>
    <t>JONATHAN MALIO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</si>
  <si>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</si>
  <si>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</si>
  <si>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</si>
  <si>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</si>
  <si>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</si>
  <si>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</si>
  <si>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</si>
  <si>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</si>
  <si>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SOCCONCESIONARIA RUTA DEL E</t>
  </si>
  <si>
    <t>NELES CHILE SPA</t>
  </si>
  <si>
    <t>JDC-B-862</t>
  </si>
  <si>
    <t>CONSTRUCTORA NAHMIAS LTDA</t>
  </si>
  <si>
    <t>B-436</t>
  </si>
  <si>
    <t>CITIC CAFETERIA SPA</t>
  </si>
  <si>
    <t>COMERCIAL K SPA</t>
  </si>
  <si>
    <t>DISEÑADOR DE COCIN</t>
  </si>
  <si>
    <t>BANCHILE CORREDORES DE SEGUR</t>
  </si>
  <si>
    <t>ADMDE VENTAS AL DETALLE LTD</t>
  </si>
  <si>
    <t>KOMATSU CUMMINS CHILE LTDA</t>
  </si>
  <si>
    <t>Total Cliente:      24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</si>
  <si>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</si>
  <si>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</si>
  <si>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</si>
  <si>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</si>
  <si>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</si>
  <si>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</si>
  <si>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</si>
  <si>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</si>
  <si>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</si>
  <si>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</si>
  <si>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</si>
  <si>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</si>
  <si>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</si>
  <si>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</si>
  <si>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</si>
  <si>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</si>
  <si>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</si>
  <si>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</si>
  <si>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</si>
  <si>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Total Cliente:      28</t>
  </si>
  <si>
    <t>HD23001533</t>
  </si>
  <si>
    <t>LIEBHERR CHILE SPA</t>
  </si>
  <si>
    <t>PROCESADORA DE ALIMENTOS DEL</t>
  </si>
  <si>
    <t>FRESENIUS KABI CHILE LTDA</t>
  </si>
  <si>
    <t>MOTORES DE LOS ANDES VEHICUL</t>
  </si>
  <si>
    <t>RECURSOS EXTERNOS LTDA</t>
  </si>
  <si>
    <t>EMPRESA CONSTRUCTORA ISLA GR</t>
  </si>
  <si>
    <t>INNOMOTICS SA</t>
  </si>
  <si>
    <t>AG10325950</t>
  </si>
  <si>
    <t>LABORATORIO CHILE SA</t>
  </si>
  <si>
    <t>SERVICIOS INTEGRALES AGUILAR</t>
  </si>
  <si>
    <t>AGENCADUANA FELIPE SERRANO</t>
  </si>
  <si>
    <t>LOPEZ Y ORELLANA LTDA</t>
  </si>
  <si>
    <t>CONSORCIO TALABRE SA</t>
  </si>
  <si>
    <t>COMERCIALIZADORA Y PRODUCTOR</t>
  </si>
  <si>
    <t>SCIENTIFIC GAMES CHILE SPA</t>
  </si>
  <si>
    <t>STLI SPA</t>
  </si>
  <si>
    <t>MINERA TRES VALLES SPA</t>
  </si>
  <si>
    <t>ORAFTI CHILE SA</t>
  </si>
  <si>
    <t>JUAN GUTIERREZ</t>
  </si>
  <si>
    <t>JUAN WENZEL</t>
  </si>
  <si>
    <t>RGIS CHILE LTDA</t>
  </si>
  <si>
    <t>ESTACIONAMIENTOS CENTRO SA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</si>
  <si>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</si>
  <si>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</si>
  <si>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</si>
  <si>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</si>
  <si>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</si>
  <si>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</si>
  <si>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</si>
  <si>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</si>
  <si>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</si>
  <si>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INGRAM MICRO CHILE SA</t>
  </si>
  <si>
    <t>PO281093</t>
  </si>
  <si>
    <t>SCHENKER CHILE SA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</si>
  <si>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</si>
  <si>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</si>
  <si>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</si>
  <si>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</si>
  <si>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</si>
  <si>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</si>
  <si>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</si>
  <si>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</si>
  <si>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</si>
  <si>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</si>
  <si>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</si>
  <si>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</si>
  <si>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BIARRITZ SPA</t>
  </si>
  <si>
    <t>CENTRO DE ESTUDIO VIÑA DEL M</t>
  </si>
  <si>
    <t>OC-02908837</t>
  </si>
  <si>
    <t>SOCDE ALIMENTACION CASINO E</t>
  </si>
  <si>
    <t>OC-02908628</t>
  </si>
  <si>
    <t>MASTERFOODS CHILE ALIMENTOS</t>
  </si>
  <si>
    <t>TRANSPANDINA REFRESCOS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</si>
  <si>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</si>
  <si>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</si>
  <si>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</si>
  <si>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</si>
  <si>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</si>
  <si>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IMPLEMENTOS SA</t>
  </si>
  <si>
    <t>INNOVY TECNOLOGIA EMPRESARI</t>
  </si>
  <si>
    <t>WESTFIRE SUDAMERICA SPA</t>
  </si>
  <si>
    <t>RECURSOS PORTUARIOS Y ESTIBA</t>
  </si>
  <si>
    <t>BUSES BIO BIO SPA</t>
  </si>
  <si>
    <t>DE ACUERDO A RELACION ENTREGADA POR CLIE</t>
  </si>
  <si>
    <t>MALETAS CHILE SPA</t>
  </si>
  <si>
    <t>KIA CHILE SPA</t>
  </si>
  <si>
    <t>SEGUN INFORME DE VENDEDOR-REALCION DE GU</t>
  </si>
  <si>
    <t>S Q M  SALAR SA</t>
  </si>
  <si>
    <t>Total Cliente:      48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</si>
  <si>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</si>
  <si>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</si>
  <si>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</si>
  <si>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</si>
  <si>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</si>
  <si>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</si>
  <si>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</si>
  <si>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SOCCONTRACTUAL MINERA CAROL</t>
  </si>
  <si>
    <t>AGROSPEC SA</t>
  </si>
  <si>
    <t>SOCIEDAD ALBERTO SARTORI Y C</t>
  </si>
  <si>
    <t>L-OREAL CHILE SA</t>
  </si>
  <si>
    <t>Total Cliente:     142</t>
  </si>
  <si>
    <t>SOC COMERCIAL Y EDITORIAL S</t>
  </si>
  <si>
    <t>ESMAX RED LTDA</t>
  </si>
  <si>
    <t>P-445</t>
  </si>
  <si>
    <t>CONSTRUCTORA AVELLANEDA SPA</t>
  </si>
  <si>
    <t>P-760</t>
  </si>
  <si>
    <t>P-940</t>
  </si>
  <si>
    <t>P-947</t>
  </si>
  <si>
    <t>SOCINGENIERIA-CONSTRUCCION</t>
  </si>
  <si>
    <t>INGENERIA Y CONSTRUCCION INC</t>
  </si>
  <si>
    <t>SOQUIMICH COMERCIAL SA</t>
  </si>
  <si>
    <t>CONSTRUCTORA EL SAUCE SA</t>
  </si>
  <si>
    <t>SEGUN INFORME VENDEDOR CON OC</t>
  </si>
  <si>
    <t>FABIOLA</t>
  </si>
  <si>
    <t>AUTOMOTRIZ CORDILLERA SA</t>
  </si>
  <si>
    <t>Total Cliente:      56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</si>
  <si>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</si>
  <si>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</si>
  <si>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</si>
  <si>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</si>
  <si>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</si>
  <si>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</si>
  <si>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</si>
  <si>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</si>
  <si>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</si>
  <si>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</si>
  <si>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ARTDEPORTIVOS BELSPORT SA</t>
  </si>
  <si>
    <t>Total Cliente:      66</t>
  </si>
  <si>
    <t>DRS INGENIERIA Y GESTION LIM</t>
  </si>
  <si>
    <t>OC169888</t>
  </si>
  <si>
    <t>MINERA LAS CENIZAS SA</t>
  </si>
  <si>
    <t>OC169896</t>
  </si>
  <si>
    <t>OC169908</t>
  </si>
  <si>
    <t>CONSTRUCTORA BELFI INCOLUR L</t>
  </si>
  <si>
    <t>INSTITUTO PROF DE PROVIDENC</t>
  </si>
  <si>
    <t>BASF CHILE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</si>
  <si>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</si>
  <si>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</si>
  <si>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</si>
  <si>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</si>
  <si>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</si>
  <si>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</si>
  <si>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</si>
  <si>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</si>
  <si>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</si>
  <si>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</si>
  <si>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</si>
  <si>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ALSTOM CHILE SA</t>
  </si>
  <si>
    <t>CESMEC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</si>
  <si>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</si>
  <si>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</si>
  <si>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</si>
  <si>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</si>
  <si>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</si>
  <si>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</si>
  <si>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</si>
  <si>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CALAMA</t>
  </si>
  <si>
    <t>RENDIC HERMANOS SA</t>
  </si>
  <si>
    <t>Total Cliente:     133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</si>
  <si>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</si>
  <si>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</si>
  <si>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</si>
  <si>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</si>
  <si>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</si>
  <si>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</si>
  <si>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</si>
  <si>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</si>
  <si>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</si>
  <si>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</si>
  <si>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</si>
  <si>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</si>
  <si>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</si>
  <si>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</si>
  <si>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</si>
  <si>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UC-00787621</t>
  </si>
  <si>
    <t>UC-00787599</t>
  </si>
  <si>
    <t>UC-00787623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</si>
  <si>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</si>
  <si>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</si>
  <si>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</si>
  <si>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</si>
  <si>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</si>
  <si>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</si>
  <si>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</si>
  <si>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</si>
  <si>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</si>
  <si>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</si>
  <si>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</si>
  <si>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</si>
  <si>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</si>
  <si>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</si>
  <si>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</si>
  <si>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UC-00788072</t>
  </si>
  <si>
    <t>UC-00788009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</si>
  <si>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</si>
  <si>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</si>
  <si>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</si>
  <si>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</si>
  <si>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</si>
  <si>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</si>
  <si>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</si>
  <si>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</si>
  <si>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</si>
  <si>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</si>
  <si>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</si>
  <si>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</si>
  <si>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UC-00788217</t>
  </si>
  <si>
    <t>UC-00787604</t>
  </si>
  <si>
    <t>UC-00787757</t>
  </si>
  <si>
    <t>UC-00788135</t>
  </si>
  <si>
    <t>UC-00787945</t>
  </si>
  <si>
    <t>UC-00788335</t>
  </si>
  <si>
    <t>UC-00788416</t>
  </si>
  <si>
    <t>UC-00788273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</si>
  <si>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</si>
  <si>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</si>
  <si>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</si>
  <si>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</si>
  <si>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</si>
  <si>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</si>
  <si>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</si>
  <si>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</si>
  <si>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</si>
  <si>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</si>
  <si>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Total Cliente:      63</t>
  </si>
  <si>
    <t>TROTTER SA</t>
  </si>
  <si>
    <t>COOPAGRICOLA PISQUERA DE EL</t>
  </si>
  <si>
    <t>SOPRAVAL SPA</t>
  </si>
  <si>
    <t>SRTA SOFIA NUÑEZ</t>
  </si>
  <si>
    <t>REDLAND SCHOOL</t>
  </si>
  <si>
    <t>SOCDE INSTRUCCION PRIMARIA</t>
  </si>
  <si>
    <t>Total Cliente:      46</t>
  </si>
  <si>
    <t>OBSERVATORIO EUROPEO AUSTRAL</t>
  </si>
  <si>
    <t>DERCOCENTER SPA (DCC)</t>
  </si>
  <si>
    <t>CARMEN RANGEL</t>
  </si>
  <si>
    <t>CARSA</t>
  </si>
  <si>
    <t>Total Cliente:      87</t>
  </si>
  <si>
    <t>GERARDO</t>
  </si>
  <si>
    <t>SEDUC SPA Y COMPAÑIA CPA</t>
  </si>
  <si>
    <t>COMERCIAL ECCSA SA</t>
  </si>
  <si>
    <t>Total Cliente:      60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</si>
  <si>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</si>
  <si>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</si>
  <si>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</si>
  <si>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</si>
  <si>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</si>
  <si>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</si>
  <si>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</si>
  <si>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ABASTECEDORA DEL COMERCIO  L</t>
  </si>
  <si>
    <t>RRHHKATERINE MOL</t>
  </si>
  <si>
    <t>INDDE ALIMENTOS DOS EN UNO</t>
  </si>
  <si>
    <t>KATERINE MOLINA</t>
  </si>
  <si>
    <t>MINERA LO VALDES LTDA</t>
  </si>
  <si>
    <t>HILTI CHILE LTDA</t>
  </si>
  <si>
    <t>LINCOLN INTERNATIONAL ACAD S</t>
  </si>
  <si>
    <t>BRUNO FRITSCH SA</t>
  </si>
  <si>
    <t>R Y Q INGENIERIA SA</t>
  </si>
  <si>
    <t>IMPORTADORA Y EXP ESTADO LI</t>
  </si>
  <si>
    <t>ALBEMARLE LIMITADA</t>
  </si>
  <si>
    <t>CASA DE ESTUDIOS PEDRO DE VA</t>
  </si>
  <si>
    <t>FORESTAL ARAUCO SA</t>
  </si>
  <si>
    <t>COMPAÑIA DE SERVICIO INDUSTR</t>
  </si>
  <si>
    <t>VIÑA CONO SUR SA</t>
  </si>
  <si>
    <t>C-ALM-2275-2300</t>
  </si>
  <si>
    <t>CONSTRUCTORA ALMAGRO SA</t>
  </si>
  <si>
    <t>TRANSFORMADORES TUSAN SA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</si>
  <si>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</si>
  <si>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</si>
  <si>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</si>
  <si>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</si>
  <si>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</si>
  <si>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</si>
  <si>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</si>
  <si>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</si>
  <si>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</si>
  <si>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COMERDE ARTPROTY SEGINM</t>
  </si>
  <si>
    <t>VINILIT SA</t>
  </si>
  <si>
    <t>ALEJANDRA ESCUDERO</t>
  </si>
  <si>
    <t>EMPRESAS PENTA SA</t>
  </si>
  <si>
    <t>DIRECTV CHILE TELEVISION LIM</t>
  </si>
  <si>
    <t>JORGE PIDDO Y CIA LTDA</t>
  </si>
  <si>
    <t>ENGIE ENERGIA CHILE SA</t>
  </si>
  <si>
    <t>EDIFENEAOF312</t>
  </si>
  <si>
    <t>AGDE ADUANA CLAUDIO POLLMAN</t>
  </si>
  <si>
    <t>054-1019</t>
  </si>
  <si>
    <t>ICAFAL INGENIERIA Y CONSTRUC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</si>
  <si>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</si>
  <si>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</si>
  <si>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</si>
  <si>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</si>
  <si>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</si>
  <si>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</si>
  <si>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</si>
  <si>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</si>
  <si>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</si>
  <si>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C389-294</t>
  </si>
  <si>
    <t>EMPRESA CONSTRUCTORA SIGRO S</t>
  </si>
  <si>
    <t>LIMAGRAIN CHILE LTDA</t>
  </si>
  <si>
    <t>ENVASES IMPRESOS SPA</t>
  </si>
  <si>
    <t>EXPORTADORA UNIFRUTTI TRADER</t>
  </si>
  <si>
    <t>4900001742-1192</t>
  </si>
  <si>
    <t>VINEDOS FAMILIA CHADWICK SPA</t>
  </si>
  <si>
    <t>LA SERENA</t>
  </si>
  <si>
    <t>RODAMENDEZ LIMITADA</t>
  </si>
  <si>
    <t>TALCA</t>
  </si>
  <si>
    <t>TEMUCO</t>
  </si>
  <si>
    <t>CHILLAN</t>
  </si>
  <si>
    <t>SAN MIGUEL</t>
  </si>
  <si>
    <t>PUERTO MONTT</t>
  </si>
  <si>
    <t>VALDIVIA</t>
  </si>
  <si>
    <t>OSORNO</t>
  </si>
  <si>
    <t>CURICO</t>
  </si>
  <si>
    <t>LOS ANGELES</t>
  </si>
  <si>
    <t>EMPRESA DE RESIDUOS RESITER</t>
  </si>
  <si>
    <t>Total Cliente:      33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</si>
  <si>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</si>
  <si>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</si>
  <si>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</si>
  <si>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</si>
  <si>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</si>
  <si>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</si>
  <si>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</si>
  <si>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</si>
  <si>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</si>
  <si>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</si>
  <si>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</si>
  <si>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</si>
  <si>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</si>
  <si>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</si>
  <si>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</si>
  <si>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VIÑA SAN PEDRO TARAPACA SA</t>
  </si>
  <si>
    <t>EMBOTELLADORA ANDINA SA</t>
  </si>
  <si>
    <t>CAPSA</t>
  </si>
  <si>
    <t>2302-375</t>
  </si>
  <si>
    <t>FERROSTAAL CHILE SAC</t>
  </si>
  <si>
    <t>2002-2547</t>
  </si>
  <si>
    <t>2201-60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</si>
  <si>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</si>
  <si>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</si>
  <si>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</si>
  <si>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</si>
  <si>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</si>
  <si>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</si>
  <si>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QUIÑENCO SA</t>
  </si>
  <si>
    <t>INCHALAM SA</t>
  </si>
  <si>
    <t>RHEEM CHILENA SPA</t>
  </si>
  <si>
    <t>EMPRESA NACIONAL DE ENERGIA</t>
  </si>
  <si>
    <t>POR CADA GUIA EMITIDA UNA FACTURA INDIVI</t>
  </si>
  <si>
    <t>SAAM SA</t>
  </si>
  <si>
    <t>INSTITUTO DE DIAGNOSTICO SA</t>
  </si>
  <si>
    <t>FACTURA X CADA GD Y OC-CC</t>
  </si>
  <si>
    <t>DIMACOFI SA</t>
  </si>
  <si>
    <t>LABORATORIOS MAVER SA</t>
  </si>
  <si>
    <t>WENCO SA</t>
  </si>
  <si>
    <t>ACEROS AZA SA</t>
  </si>
  <si>
    <t>VIÑA UNDURRAGA SA</t>
  </si>
  <si>
    <t>KAUFMANN SA VEHICULOS MOTOR</t>
  </si>
  <si>
    <t>Total Cliente:     164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</si>
  <si>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</si>
  <si>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</si>
  <si>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</si>
  <si>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</si>
  <si>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</si>
  <si>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</si>
  <si>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</si>
  <si>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2310 000329</t>
  </si>
  <si>
    <t>3M CHILE SA</t>
  </si>
  <si>
    <t>2310 000330</t>
  </si>
  <si>
    <t>CHILENA DE MOLDEADOS SPA</t>
  </si>
  <si>
    <t>LABORATORIOS DAVIS SA</t>
  </si>
  <si>
    <t>AON RISK SERVICES (CHILE) CO</t>
  </si>
  <si>
    <t>OCCIDENTAL CHEMICAL CHILE LT</t>
  </si>
  <si>
    <t>MICROSYSTEM SA</t>
  </si>
  <si>
    <t>DE ACUERDO INFORME VENDEDOR</t>
  </si>
  <si>
    <t>DERCO SPA (DSPA)</t>
  </si>
  <si>
    <t>CECILIA VERGARA</t>
  </si>
  <si>
    <t>AES ANDES SA</t>
  </si>
  <si>
    <t>SHELLEY LARA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</si>
  <si>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</si>
  <si>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</si>
  <si>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</si>
  <si>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</si>
  <si>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</si>
  <si>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</si>
  <si>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</si>
  <si>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</si>
  <si>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</si>
  <si>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</si>
  <si>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</si>
  <si>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</si>
  <si>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</si>
  <si>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COMPAÑIA SIDERURGICA HUACHIP</t>
  </si>
  <si>
    <t>RENTA NACIONAL CIASEGUROS D</t>
  </si>
  <si>
    <t>W128687</t>
  </si>
  <si>
    <t>SANDVIK CHILE SA</t>
  </si>
  <si>
    <t>W128864</t>
  </si>
  <si>
    <t>W128826</t>
  </si>
  <si>
    <t>W128849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</si>
  <si>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</si>
  <si>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</si>
  <si>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</si>
  <si>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</si>
  <si>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</si>
  <si>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</si>
  <si>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</si>
  <si>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</si>
  <si>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</si>
  <si>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</si>
  <si>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</si>
  <si>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</si>
  <si>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</si>
  <si>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</si>
  <si>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INMOBILIARIA PARQUES Y JARDI</t>
  </si>
  <si>
    <t>ABENGOA CHILE SA</t>
  </si>
  <si>
    <t>SOFTYS CHILE SpA</t>
  </si>
  <si>
    <t>SOFTYS CHILE SPA</t>
  </si>
  <si>
    <t>SCANIA CHILE SA</t>
  </si>
  <si>
    <t>TRECK SA</t>
  </si>
  <si>
    <t>CAMCHILE SPA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</si>
  <si>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</si>
  <si>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</si>
  <si>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</si>
  <si>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</si>
  <si>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</si>
  <si>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</si>
  <si>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</si>
  <si>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</si>
  <si>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</si>
  <si>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</si>
  <si>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</si>
  <si>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</si>
  <si>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</si>
  <si>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</si>
  <si>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</si>
  <si>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</si>
  <si>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</si>
  <si>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</si>
  <si>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</si>
  <si>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</si>
  <si>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</si>
  <si>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</si>
  <si>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</si>
  <si>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</si>
  <si>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</si>
  <si>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</si>
  <si>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</si>
  <si>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</si>
  <si>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</si>
  <si>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</si>
  <si>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</si>
  <si>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</si>
  <si>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S Q M  NITRATOS SA</t>
  </si>
  <si>
    <t>VANESSA TAPIA</t>
  </si>
  <si>
    <t>MINERA VALLE CENTRAL SA</t>
  </si>
  <si>
    <t>BARBARA VALDERRAMA</t>
  </si>
  <si>
    <t>EXPORTADORA SUBSOLE SA</t>
  </si>
  <si>
    <t>ALVI SUPERMERCADOS MAYORISTA</t>
  </si>
  <si>
    <t>INSTITUTO PROFESIONAL AIEP</t>
  </si>
  <si>
    <t>DITTBORN Y UNZUETA SA</t>
  </si>
  <si>
    <t>STEWARD SA</t>
  </si>
  <si>
    <t>SOCOFIN SA</t>
  </si>
  <si>
    <t>COMCAIT SA</t>
  </si>
  <si>
    <t>POR OC Y CC Y FACT X LA PAGASIGNAR OC</t>
  </si>
  <si>
    <t>G4P-8004875514-1</t>
  </si>
  <si>
    <t>PROCTER &amp; GAMBLE CHILE LTDA</t>
  </si>
  <si>
    <t>BUREAU VERITAS CHILE SA</t>
  </si>
  <si>
    <t>BLUE EXPRESS LOGISTICA SA</t>
  </si>
  <si>
    <t>Total Cliente:      35</t>
  </si>
  <si>
    <t>BATA CHILE SA</t>
  </si>
  <si>
    <t>Total Cliente:     183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</si>
  <si>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</si>
  <si>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</si>
  <si>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</si>
  <si>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</si>
  <si>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</si>
  <si>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</si>
  <si>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</si>
  <si>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</si>
  <si>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</si>
  <si>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ENTEL SERVICIOS EMPRESARIALE</t>
  </si>
  <si>
    <t>VITAPRO SA</t>
  </si>
  <si>
    <t>FERROCARRIL DEL PACIFICO SA</t>
  </si>
  <si>
    <t>MONEDA SA ADMGENERAL DE F</t>
  </si>
  <si>
    <t>COAGRA SA</t>
  </si>
  <si>
    <t>306-1352</t>
  </si>
  <si>
    <t>CONSTMENA Y OVALLE SA</t>
  </si>
  <si>
    <t>MATERIALES Y SOLUCIONES SA</t>
  </si>
  <si>
    <t>CONSTRUCTORA VAIN LTDA</t>
  </si>
  <si>
    <t>DOM SPA</t>
  </si>
  <si>
    <t>IMPRESORA STOCK</t>
  </si>
  <si>
    <t>SERVICIO DE CONTROL DE CREDI</t>
  </si>
  <si>
    <t>MONDELEZ CHILE SA</t>
  </si>
  <si>
    <t>PACIFICO CABLE SPA</t>
  </si>
  <si>
    <t>QUINTEC DISTRIBUCION SA</t>
  </si>
  <si>
    <t>THYSSENKRUPP ELEVADORES SA</t>
  </si>
  <si>
    <t>CARTULINAS CMPC SPA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</si>
  <si>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</si>
  <si>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</si>
  <si>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</si>
  <si>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</si>
  <si>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</si>
  <si>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</si>
  <si>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</si>
  <si>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</si>
  <si>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</si>
  <si>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</si>
  <si>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</si>
  <si>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</si>
  <si>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</si>
  <si>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</si>
  <si>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</si>
  <si>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</si>
  <si>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</si>
  <si>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</si>
  <si>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</si>
  <si>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</si>
  <si>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</si>
  <si>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</si>
  <si>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</si>
  <si>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</si>
  <si>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</si>
  <si>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</si>
  <si>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</si>
  <si>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SODIMAC SA</t>
  </si>
  <si>
    <t>AVANT SERVICIOS INTEGRALES S</t>
  </si>
  <si>
    <t>BERNARDITA CARVACH</t>
  </si>
  <si>
    <t>LIQUIDACION</t>
  </si>
  <si>
    <t>EMAIL NOV 7-2023</t>
  </si>
  <si>
    <t>VIÑA MORANDE SA</t>
  </si>
  <si>
    <t>EMAIL NOV 7/2023</t>
  </si>
  <si>
    <t>SGS MINERALS SA</t>
  </si>
  <si>
    <t>OTRACO CHILE SA</t>
  </si>
  <si>
    <t>CLS00851160</t>
  </si>
  <si>
    <t>SHERWIN WILLIAMS CHILE SA</t>
  </si>
  <si>
    <t>CLS00850639</t>
  </si>
  <si>
    <t>CLS00851808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</si>
  <si>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</si>
  <si>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</si>
  <si>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</si>
  <si>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</si>
  <si>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</si>
  <si>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</si>
  <si>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</si>
  <si>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NEXUS PAYMENT SYSTEMS SPA</t>
  </si>
  <si>
    <t>NUCLEO PAISAJISMO  SA</t>
  </si>
  <si>
    <t>APL LOGISTICS CHILE</t>
  </si>
  <si>
    <t>ADECCO RECURSOS HUMANOS SA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</si>
  <si>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</si>
  <si>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</si>
  <si>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</si>
  <si>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</si>
  <si>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</si>
  <si>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</si>
  <si>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</si>
  <si>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</si>
  <si>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</si>
  <si>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PEDIDO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</si>
  <si>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</si>
  <si>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</si>
  <si>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</si>
  <si>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</si>
  <si>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</si>
  <si>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</si>
  <si>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</si>
  <si>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</si>
  <si>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 45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</si>
  <si>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</si>
  <si>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</si>
  <si>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</si>
  <si>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</si>
  <si>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</si>
  <si>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</si>
  <si>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AB053000</t>
  </si>
  <si>
    <t>AMECO CHILE SA</t>
  </si>
  <si>
    <t>AB053008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</si>
  <si>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</si>
  <si>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</si>
  <si>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</si>
  <si>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</si>
  <si>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</si>
  <si>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</si>
  <si>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</si>
  <si>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</si>
  <si>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</si>
  <si>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</si>
  <si>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</si>
  <si>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</si>
  <si>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</si>
  <si>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</si>
  <si>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</si>
  <si>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</si>
  <si>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</si>
  <si>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</si>
  <si>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PRODUCTOS TORRE SPA</t>
  </si>
  <si>
    <t>EMPRESAS LA POLAR SA</t>
  </si>
  <si>
    <t>RUTA DEL MAIPO SOCCONCESION</t>
  </si>
  <si>
    <t>229/2023</t>
  </si>
  <si>
    <t>COLEGIO SAN NICOLAS DIACONO</t>
  </si>
  <si>
    <t>GARMENDIA MACUS SA</t>
  </si>
  <si>
    <t>SONEPAR CHILE SA</t>
  </si>
  <si>
    <t>FACTURA POR GUIA MENSIONANDO OC</t>
  </si>
  <si>
    <t>COMERCIALIZADORA DITEC AUTOM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</si>
  <si>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</si>
  <si>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</si>
  <si>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</si>
  <si>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</si>
  <si>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</si>
  <si>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</si>
  <si>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</si>
  <si>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CERVECERIA AUSTRAL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</si>
  <si>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</si>
  <si>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</si>
  <si>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</si>
  <si>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</si>
  <si>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</si>
  <si>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</si>
  <si>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</si>
  <si>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</si>
  <si>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</si>
  <si>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</si>
  <si>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</si>
  <si>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</si>
  <si>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EMPRESAS LIPIGAS SA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</si>
  <si>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</si>
  <si>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</si>
  <si>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</si>
  <si>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</si>
  <si>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</si>
  <si>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</si>
  <si>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</si>
  <si>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FESTO SA</t>
  </si>
  <si>
    <t>MARCELA JEREZ</t>
  </si>
  <si>
    <t>LARRAINVIAL ASSET MANAGEMENT</t>
  </si>
  <si>
    <t>CODEPACK SA</t>
  </si>
  <si>
    <t>ALEXANDRA</t>
  </si>
  <si>
    <t>SOUTHERN TECHNOLOGY GROUP LT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</si>
  <si>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</si>
  <si>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</si>
  <si>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</si>
  <si>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</si>
  <si>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</si>
  <si>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</si>
  <si>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</si>
  <si>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</si>
  <si>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</si>
  <si>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</si>
  <si>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</si>
  <si>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</si>
  <si>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</si>
  <si>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</si>
  <si>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</si>
  <si>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</si>
  <si>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</si>
  <si>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</si>
  <si>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</si>
  <si>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</si>
  <si>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</si>
  <si>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</si>
  <si>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</si>
  <si>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</si>
  <si>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</si>
  <si>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</si>
  <si>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</si>
  <si>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</si>
  <si>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</si>
  <si>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</si>
  <si>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</si>
  <si>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</si>
  <si>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</si>
  <si>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</si>
  <si>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</si>
  <si>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</si>
  <si>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</si>
  <si>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</si>
  <si>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</si>
  <si>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</si>
  <si>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</si>
  <si>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</si>
  <si>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</si>
  <si>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</si>
  <si>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</si>
  <si>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</si>
  <si>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</si>
  <si>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</si>
  <si>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</si>
  <si>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</si>
  <si>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</si>
  <si>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</si>
  <si>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</si>
  <si>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</si>
  <si>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</si>
  <si>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</si>
  <si>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</si>
  <si>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</si>
  <si>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</si>
  <si>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</si>
  <si>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</si>
  <si>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</si>
  <si>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</si>
  <si>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</si>
  <si>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</si>
  <si>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</si>
  <si>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</si>
  <si>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</si>
  <si>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</si>
  <si>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</si>
  <si>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</si>
  <si>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</si>
  <si>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</si>
  <si>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</si>
  <si>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</si>
  <si>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</si>
  <si>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</si>
  <si>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</si>
  <si>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</si>
  <si>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</si>
  <si>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Total Cliente:      77</t>
  </si>
  <si>
    <t>BANCO CENTRAL DE CHILE</t>
  </si>
  <si>
    <t>BANCO RIPLEY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</si>
  <si>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</si>
  <si>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</si>
  <si>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</si>
  <si>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</si>
  <si>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</si>
  <si>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</si>
  <si>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</si>
  <si>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</si>
  <si>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</si>
  <si>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</si>
  <si>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</si>
  <si>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</si>
  <si>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</si>
  <si>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</si>
  <si>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</si>
  <si>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</si>
  <si>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</si>
  <si>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</si>
  <si>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36621-0000017677</t>
  </si>
  <si>
    <t>36621-0000017642</t>
  </si>
  <si>
    <t>36621-0000017872</t>
  </si>
  <si>
    <t>36621-0000017880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</si>
  <si>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</si>
  <si>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</si>
  <si>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</si>
  <si>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</si>
  <si>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</si>
  <si>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</si>
  <si>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</si>
  <si>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</si>
  <si>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</si>
  <si>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</si>
  <si>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</si>
  <si>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</si>
  <si>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</si>
  <si>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</si>
  <si>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</si>
  <si>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</si>
  <si>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</si>
  <si>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EMPRESA DE MONTAJES Y PROYEC</t>
  </si>
  <si>
    <t>EMPSERVEXTASOCCHILENA DE</t>
  </si>
  <si>
    <t>10200-364</t>
  </si>
  <si>
    <t>EMPRESA CONSTRUCTORA CEMENTA</t>
  </si>
  <si>
    <t>10400-815</t>
  </si>
  <si>
    <t>10400-816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</si>
  <si>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</si>
  <si>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</si>
  <si>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</si>
  <si>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</si>
  <si>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</si>
  <si>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</si>
  <si>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</si>
  <si>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</si>
  <si>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</si>
  <si>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</si>
  <si>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COMPAÑIA PISQUERA DE CHILE S</t>
  </si>
  <si>
    <t>AQUAGESTION SA</t>
  </si>
  <si>
    <t>ANDREA PONCE</t>
  </si>
  <si>
    <t>COAGRA AGROINDUSTRIAL SA</t>
  </si>
  <si>
    <t>OPERACIONES INTEGRALES ISLA</t>
  </si>
  <si>
    <t>NAVIERA AUSTRAL SA</t>
  </si>
  <si>
    <t>CASINO GRAN LOS ANGELES SA</t>
  </si>
  <si>
    <t>Total General:    5214</t>
  </si>
  <si>
    <t>Estado Hes</t>
  </si>
  <si>
    <t>xxxxxxxxxxxx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</si>
</sst>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8" fillId="0" borderId="0" xfId="0" applyFont="1" applyAlignment="1">
      <alignment horizontal="left" vertical="center" wrapText="1"/>
    </xf>
    <xf numFmtId="0" fontId="8" fillId="7" borderId="0" xfId="0" applyFont="1" applyFill="1" applyAlignment="1">
      <alignment horizontal="right" vertical="center" wrapText="1"/>
    </xf>
    <xf numFmtId="0" fontId="8" fillId="7" borderId="0" xfId="0" applyFont="1" applyFill="1" applyAlignment="1">
      <alignment horizontal="left" vertical="center" wrapText="1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3" xr16:uid="{D2592865-BCC8-42D5-BFE6-5FF53D1A6253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5" connectionId="20" xr16:uid="{E212F9F4-3CC8-4D65-AC04-7AD26E9917A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2" connectionId="16" xr16:uid="{1FA087F2-705B-4AB4-AF3E-6D16C3B0C9C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8" connectionId="12" xr16:uid="{9816D81D-BE6D-42E6-86DF-69270733309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8" xr16:uid="{8F113582-9C1F-4CD8-B6D5-E31A925E134B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1" xr16:uid="{86B6CFB8-D870-4B41-BB06-01AA7692BFE5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0" connectionId="14" xr16:uid="{2BF381EA-FFCA-48E6-BEF4-4FA1B3936D66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6" connectionId="10" xr16:uid="{7105A3AB-17A6-422A-91F5-FFD4D5A762D7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9" connectionId="13" xr16:uid="{0F27ADD4-3E13-49C9-B314-FB243B1E9DDA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5" xr16:uid="{DEA61DFB-BB30-4F36-8A13-66BCD3CCA175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29" xr16:uid="{A8CDD640-24C4-4901-9A63-BD3D1AC69D9D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1" connectionId="15" xr16:uid="{76AD0DC2-73FC-48CD-841F-8850E21D9A86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3" connectionId="17" xr16:uid="{D070CC69-86BB-4F5C-A055-07E14E7512C9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4" xr16:uid="{899F9BC0-9C40-467F-82FB-45DBE6CE71A9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6" xr16:uid="{AE006CC7-CB87-43EB-95D7-7F65E79AB988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4" connectionId="19" xr16:uid="{15EA7AF3-90F6-45DD-AF3C-3C5644F99C6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7" connectionId="11" xr16:uid="{36696DB5-79C9-4AD6-9F54-7D91DF93D59F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7" xr16:uid="{382CDAF9-57D5-4372-BEE3-A0F4E5892458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9" connectionId="26" xr16:uid="{9656185D-B2BD-4308-B7DC-8B76B6381D1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4" connectionId="7" xr16:uid="{5B89A935-4477-440A-AB69-BCB48C61CE75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5" connectionId="9" xr16:uid="{92BD88C6-4A29-463F-9A31-BB141D73EBED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0" connectionId="28" xr16:uid="{3A784026-B0D2-41BB-BB9C-D70661739C64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3" connectionId="5" xr16:uid="{1E10B2FE-E681-44AE-B806-C4DAED4DA6C3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5" connectionId="21" xr16:uid="{90C8FB72-D665-4DCC-8CA2-3BDDC8C79D91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7" connectionId="18" xr16:uid="{3D3E3DDC-0FB6-4A6E-8FD7-FCCC599FFAAB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1" connectionId="30" xr16:uid="{06D45F3A-F3ED-4CC0-BB94-FC102DFD8CCD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8" connectionId="24" xr16:uid="{D8ECCE30-D015-4031-9858-F5D0D74FB619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2" connectionId="32" xr16:uid="{CB52539F-C953-449D-8A4D-5FA6E9EB4EFB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6" connectionId="22" xr16:uid="{1E398766-D4ED-4990-9EE2-5EE343F9D1E2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8.xml"/><Relationship Id="rId3" Type="http://schemas.openxmlformats.org/officeDocument/2006/relationships/queryTable" Target="../queryTables/queryTable23.xml"/><Relationship Id="rId7" Type="http://schemas.openxmlformats.org/officeDocument/2006/relationships/queryTable" Target="../queryTables/queryTable27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11" Type="http://schemas.openxmlformats.org/officeDocument/2006/relationships/queryTable" Target="../queryTables/queryTable31.xml"/><Relationship Id="rId5" Type="http://schemas.openxmlformats.org/officeDocument/2006/relationships/queryTable" Target="../queryTables/queryTable25.xml"/><Relationship Id="rId10" Type="http://schemas.openxmlformats.org/officeDocument/2006/relationships/queryTable" Target="../queryTables/queryTable30.xml"/><Relationship Id="rId4" Type="http://schemas.openxmlformats.org/officeDocument/2006/relationships/queryTable" Target="../queryTables/queryTable24.xml"/><Relationship Id="rId9" Type="http://schemas.openxmlformats.org/officeDocument/2006/relationships/queryTable" Target="../queryTables/query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>
    <tabColor rgb="FFEE404C"/>
  </sheetPr>
  <dimension ref="A1:R5844"/>
  <sheetViews>
    <sheetView tabSelected="1" topLeftCell="H1" zoomScaleNormal="100" workbookViewId="0">
      <pane ySplit="1" topLeftCell="A5" activePane="bottomLeft" state="frozenSplit"/>
      <selection pane="bottomLeft" activeCell="M11" sqref="M11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42578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style="5" bestFit="1" customWidth="1"/>
    <col min="15" max="15" width="9" style="5" bestFit="1" customWidth="1"/>
    <col min="16" max="16" width="11" style="5" bestFit="1" customWidth="1"/>
    <col min="17" max="17" width="10" style="5" bestFit="1" customWidth="1"/>
    <col min="18" max="18" width="11" style="5" bestFit="1" customWidth="1"/>
  </cols>
  <sheetData>
    <row r="1" spans="1:18" s="10" customFormat="1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2022</v>
      </c>
      <c r="L1" s="6" t="s">
        <v>680</v>
      </c>
      <c r="M1" s="6" t="s">
        <v>493</v>
      </c>
      <c r="N1" s="9" t="s">
        <v>841</v>
      </c>
      <c r="O1" s="9" t="s">
        <v>489</v>
      </c>
      <c r="P1" s="9" t="s">
        <v>490</v>
      </c>
      <c r="Q1" s="9" t="s">
        <v>491</v>
      </c>
      <c r="R1" s="9" t="s">
        <v>492</v>
      </c>
    </row>
    <row r="2" spans="1:18" x14ac:dyDescent="0.25">
      <c r="A2" t="s">
        <v>832</v>
      </c>
      <c r="B2" t="s">
        <v>494</v>
      </c>
      <c r="C2">
        <v>59059340</v>
      </c>
      <c r="D2">
        <v>4</v>
      </c>
      <c r="E2" t="s">
        <v>833</v>
      </c>
      <c r="F2" t="s">
        <v>834</v>
      </c>
      <c r="G2" s="1">
        <v>45232</v>
      </c>
      <c r="H2">
        <v>5411110</v>
      </c>
      <c r="I2">
        <v>30</v>
      </c>
      <c r="J2" t="s">
        <v>315</v>
      </c>
      <c r="K2" t="str">
        <f>IFERROR(IF(AND(VLOOKUP($C2,Hes!$A:$B, 1, FALSE), $M2&lt;&gt;" "), "Ingresada", "Falta Ingresar"), " ")</f>
        <v xml:space="preserve"> </v>
      </c>
      <c r="L2" s="4" t="str">
        <f>IFERROR(VLOOKUP($C2,Observaciones!$A:$B,2,FALSE)," ")</f>
        <v>MANUAL XOC Y CC</v>
      </c>
      <c r="M2" t="s">
        <v>681</v>
      </c>
      <c r="O2" s="5">
        <v>30820434</v>
      </c>
      <c r="P2" s="5">
        <v>865596</v>
      </c>
      <c r="Q2" s="5">
        <v>164463</v>
      </c>
      <c r="R2" s="5">
        <v>1030059</v>
      </c>
    </row>
    <row r="3" spans="1:18" x14ac:dyDescent="0.25">
      <c r="F3" t="s">
        <v>495</v>
      </c>
      <c r="K3" t="str">
        <f>IFERROR(IF(AND(VLOOKUP($C3,Hes!$A:$B, 1, FALSE), $M3&lt;&gt;" "), "Ingresada", "Falta Ingresar"), " ")</f>
        <v xml:space="preserve"> </v>
      </c>
      <c r="L3" s="4" t="str">
        <f>IFERROR(VLOOKUP($C3,Observaciones!$A:$B,2,FALSE)," ")</f>
        <v xml:space="preserve"> </v>
      </c>
      <c r="M3" t="s">
        <v>681</v>
      </c>
      <c r="P3" s="5">
        <v>865596</v>
      </c>
      <c r="Q3" s="5">
        <v>164463</v>
      </c>
      <c r="R3" s="5">
        <v>1030059</v>
      </c>
    </row>
    <row r="4" spans="1:18" x14ac:dyDescent="0.25">
      <c r="A4" t="s">
        <v>496</v>
      </c>
      <c r="B4" t="s">
        <v>494</v>
      </c>
      <c r="C4">
        <v>59069860</v>
      </c>
      <c r="D4">
        <v>9</v>
      </c>
      <c r="E4" t="s">
        <v>835</v>
      </c>
      <c r="F4" t="s">
        <v>836</v>
      </c>
      <c r="G4" s="1">
        <v>45234</v>
      </c>
      <c r="H4">
        <v>5411808</v>
      </c>
      <c r="I4">
        <v>368</v>
      </c>
      <c r="J4" t="s">
        <v>360</v>
      </c>
      <c r="K4" t="str">
        <f>IFERROR(IF(AND(VLOOKUP($C4,Hes!$A:$B, 1, FALSE), $M4&lt;&gt;" "), "Ingresada", "Falta Ingresar"), " ")</f>
        <v xml:space="preserve"> </v>
      </c>
      <c r="L4" s="4" t="str">
        <f>IFERROR(VLOOKUP($C4,Observaciones!$A:$B,2,FALSE)," ")</f>
        <v xml:space="preserve"> </v>
      </c>
      <c r="M4" t="s">
        <v>681</v>
      </c>
      <c r="O4" s="5">
        <v>30836137</v>
      </c>
      <c r="P4" s="5">
        <v>145855</v>
      </c>
      <c r="Q4" s="5">
        <v>27712</v>
      </c>
      <c r="R4" s="5">
        <v>173567</v>
      </c>
    </row>
    <row r="5" spans="1:18" x14ac:dyDescent="0.25">
      <c r="A5" t="s">
        <v>496</v>
      </c>
      <c r="B5" t="s">
        <v>494</v>
      </c>
      <c r="C5">
        <v>59069860</v>
      </c>
      <c r="D5">
        <v>3</v>
      </c>
      <c r="E5" t="s">
        <v>837</v>
      </c>
      <c r="F5" t="s">
        <v>836</v>
      </c>
      <c r="G5" s="1">
        <v>45238</v>
      </c>
      <c r="H5">
        <v>5414518</v>
      </c>
      <c r="I5">
        <v>368</v>
      </c>
      <c r="J5" t="s">
        <v>360</v>
      </c>
      <c r="K5" t="str">
        <f>IFERROR(IF(AND(VLOOKUP($C5,Hes!$A:$B, 1, FALSE), $M5&lt;&gt;" "), "Ingresada", "Falta Ingresar"), " ")</f>
        <v xml:space="preserve"> </v>
      </c>
      <c r="L5" s="4" t="str">
        <f>IFERROR(VLOOKUP($C5,Observaciones!$A:$B,2,FALSE)," ")</f>
        <v xml:space="preserve"> </v>
      </c>
      <c r="M5" t="s">
        <v>681</v>
      </c>
      <c r="O5" s="5">
        <v>30853490</v>
      </c>
      <c r="P5" s="5">
        <v>312373</v>
      </c>
      <c r="Q5" s="5">
        <v>59351</v>
      </c>
      <c r="R5" s="5">
        <v>371724</v>
      </c>
    </row>
    <row r="6" spans="1:18" x14ac:dyDescent="0.25">
      <c r="F6" t="s">
        <v>497</v>
      </c>
      <c r="K6" t="str">
        <f>IFERROR(IF(AND(VLOOKUP($C6,Hes!$A:$B, 1, FALSE), $M6&lt;&gt;" "), "Ingresada", "Falta Ingresar"), " ")</f>
        <v xml:space="preserve"> </v>
      </c>
      <c r="L6" s="4" t="str">
        <f>IFERROR(VLOOKUP($C6,Observaciones!$A:$B,2,FALSE)," ")</f>
        <v xml:space="preserve"> </v>
      </c>
      <c r="M6" t="s">
        <v>681</v>
      </c>
      <c r="P6" s="5">
        <v>458228</v>
      </c>
      <c r="Q6" s="5">
        <v>87063</v>
      </c>
      <c r="R6" s="5">
        <v>545291</v>
      </c>
    </row>
    <row r="7" spans="1:18" x14ac:dyDescent="0.25">
      <c r="A7" t="s">
        <v>501</v>
      </c>
      <c r="B7" t="s">
        <v>494</v>
      </c>
      <c r="C7">
        <v>60306045</v>
      </c>
      <c r="D7">
        <v>0</v>
      </c>
      <c r="E7" t="s">
        <v>838</v>
      </c>
      <c r="F7" t="s">
        <v>839</v>
      </c>
      <c r="G7" s="1">
        <v>45238</v>
      </c>
      <c r="H7">
        <v>5415700</v>
      </c>
      <c r="I7">
        <v>144</v>
      </c>
      <c r="J7" t="s">
        <v>117</v>
      </c>
      <c r="K7" t="str">
        <f>IFERROR(IF(AND(VLOOKUP($C7,Hes!$A:$B, 1, FALSE), $M7&lt;&gt;" "), "Ingresada", "Falta Ingresar"), " ")</f>
        <v xml:space="preserve"> </v>
      </c>
      <c r="L7" s="4" t="str">
        <f>IFERROR(VLOOKUP($C7,Observaciones!$A:$B,2,FALSE)," ")</f>
        <v xml:space="preserve"> </v>
      </c>
      <c r="M7" t="s">
        <v>681</v>
      </c>
      <c r="O7" s="5">
        <v>30865424</v>
      </c>
      <c r="P7" s="5">
        <v>144600</v>
      </c>
      <c r="Q7" s="5">
        <v>27474</v>
      </c>
      <c r="R7" s="5">
        <v>172074</v>
      </c>
    </row>
    <row r="8" spans="1:18" x14ac:dyDescent="0.25">
      <c r="F8" t="s">
        <v>495</v>
      </c>
      <c r="K8" t="str">
        <f>IFERROR(IF(AND(VLOOKUP($C8,Hes!$A:$B, 1, FALSE), $M8&lt;&gt;" "), "Ingresada", "Falta Ingresar"), " ")</f>
        <v xml:space="preserve"> </v>
      </c>
      <c r="L8" s="4" t="str">
        <f>IFERROR(VLOOKUP($C8,Observaciones!$A:$B,2,FALSE)," ")</f>
        <v xml:space="preserve"> </v>
      </c>
      <c r="M8" t="s">
        <v>681</v>
      </c>
      <c r="P8" s="5">
        <v>144600</v>
      </c>
      <c r="Q8" s="5">
        <v>27474</v>
      </c>
      <c r="R8" s="5">
        <v>172074</v>
      </c>
    </row>
    <row r="9" spans="1:18" x14ac:dyDescent="0.25">
      <c r="A9" t="s">
        <v>503</v>
      </c>
      <c r="B9" t="s">
        <v>494</v>
      </c>
      <c r="C9">
        <v>60503000</v>
      </c>
      <c r="D9">
        <v>4246</v>
      </c>
      <c r="E9" t="s">
        <v>840</v>
      </c>
      <c r="F9" t="s">
        <v>504</v>
      </c>
      <c r="G9" s="1">
        <v>45231</v>
      </c>
      <c r="H9">
        <v>5410650</v>
      </c>
      <c r="I9">
        <v>50</v>
      </c>
      <c r="J9" t="s">
        <v>376</v>
      </c>
      <c r="K9" s="8" t="str">
        <f>IFERROR(IF(AND(VLOOKUP($C9,Hes!$A:$B, 1, FALSE), $M9&lt;&gt;" "), "Ingresada", "Falta Ingresar"), " ")</f>
        <v>Falta Ingresar</v>
      </c>
      <c r="L9" s="4" t="str">
        <f>IFERROR(VLOOKUP($C9,Observaciones!$A:$B,2,FALSE)," ")</f>
        <v>FACT LO INGRESADO</v>
      </c>
      <c r="M9" t="s">
        <v>681</v>
      </c>
      <c r="N9" s="5" t="s">
        <v>841</v>
      </c>
      <c r="O9" s="5">
        <v>30846764</v>
      </c>
      <c r="P9" s="5">
        <v>138654</v>
      </c>
      <c r="Q9" s="5">
        <v>26344</v>
      </c>
      <c r="R9" s="5">
        <v>164998</v>
      </c>
    </row>
    <row r="10" spans="1:18" x14ac:dyDescent="0.25">
      <c r="A10" t="s">
        <v>503</v>
      </c>
      <c r="B10" t="s">
        <v>494</v>
      </c>
      <c r="C10">
        <v>60503000</v>
      </c>
      <c r="D10">
        <v>135</v>
      </c>
      <c r="E10" t="s">
        <v>842</v>
      </c>
      <c r="F10" t="s">
        <v>504</v>
      </c>
      <c r="G10" s="1">
        <v>45232</v>
      </c>
      <c r="H10">
        <v>5410953</v>
      </c>
      <c r="I10">
        <v>50</v>
      </c>
      <c r="J10" t="s">
        <v>376</v>
      </c>
      <c r="K10" s="8" t="str">
        <f>IFERROR(IF(AND(VLOOKUP($C10,Hes!$A:$B, 1, FALSE), $M10&lt;&gt;" "), "Ingresada", "Falta Ingresar"), " ")</f>
        <v>Falta Ingresar</v>
      </c>
      <c r="L10" s="4" t="str">
        <f>IFERROR(VLOOKUP($C10,Observaciones!$A:$B,2,FALSE)," ")</f>
        <v>FACT LO INGRESADO</v>
      </c>
      <c r="M10" t="s">
        <v>681</v>
      </c>
      <c r="N10" s="5" t="s">
        <v>841</v>
      </c>
      <c r="O10" s="5">
        <v>30846761</v>
      </c>
      <c r="P10" s="5">
        <v>22352</v>
      </c>
      <c r="Q10" s="5">
        <v>4247</v>
      </c>
      <c r="R10" s="5">
        <v>26599</v>
      </c>
    </row>
    <row r="11" spans="1:18" x14ac:dyDescent="0.25">
      <c r="A11" t="s">
        <v>503</v>
      </c>
      <c r="B11" t="s">
        <v>494</v>
      </c>
      <c r="C11">
        <v>60503000</v>
      </c>
      <c r="D11">
        <v>100</v>
      </c>
      <c r="E11" t="s">
        <v>843</v>
      </c>
      <c r="F11" t="s">
        <v>504</v>
      </c>
      <c r="G11" s="1">
        <v>45232</v>
      </c>
      <c r="H11">
        <v>5411224</v>
      </c>
      <c r="I11">
        <v>50</v>
      </c>
      <c r="J11" t="s">
        <v>376</v>
      </c>
      <c r="K11" s="7" t="str">
        <f>IFERROR(IF(AND(VLOOKUP($C11,Hes!$A:$B, 1, FALSE), $M11&lt;&gt;" "), "Ingresada", "Falta Ingresar"), " ")</f>
        <v>Ingresada</v>
      </c>
      <c r="L11" s="4" t="str">
        <f>IFERROR(VLOOKUP($C11,Observaciones!$A:$B,2,FALSE)," ")</f>
        <v>FACT LO INGRESADO</v>
      </c>
      <c r="M11">
        <v>5000509188</v>
      </c>
      <c r="N11" s="5" t="s">
        <v>841</v>
      </c>
      <c r="O11" s="5">
        <v>30848088</v>
      </c>
      <c r="P11" s="5">
        <v>44438</v>
      </c>
      <c r="Q11" s="5">
        <v>8443</v>
      </c>
      <c r="R11" s="5">
        <v>52881</v>
      </c>
    </row>
    <row r="12" spans="1:18" x14ac:dyDescent="0.25">
      <c r="A12" t="s">
        <v>503</v>
      </c>
      <c r="B12" t="s">
        <v>494</v>
      </c>
      <c r="C12">
        <v>60503000</v>
      </c>
      <c r="D12">
        <v>6412</v>
      </c>
      <c r="E12" t="s">
        <v>844</v>
      </c>
      <c r="F12" t="s">
        <v>504</v>
      </c>
      <c r="G12" s="1">
        <v>45233</v>
      </c>
      <c r="H12">
        <v>5411258</v>
      </c>
      <c r="I12">
        <v>50</v>
      </c>
      <c r="J12" t="s">
        <v>376</v>
      </c>
      <c r="K12" s="8" t="str">
        <f>IFERROR(IF(AND(VLOOKUP($C12,Hes!$A:$B, 1, FALSE), $M12&lt;&gt;" "), "Ingresada", "Falta Ingresar"), " ")</f>
        <v>Falta Ingresar</v>
      </c>
      <c r="L12" s="4" t="str">
        <f>IFERROR(VLOOKUP($C12,Observaciones!$A:$B,2,FALSE)," ")</f>
        <v>FACT LO INGRESADO</v>
      </c>
      <c r="M12" t="s">
        <v>681</v>
      </c>
      <c r="N12" s="5" t="s">
        <v>841</v>
      </c>
      <c r="O12" s="5">
        <v>30848118</v>
      </c>
      <c r="P12" s="5">
        <v>71772</v>
      </c>
      <c r="Q12" s="5">
        <v>13637</v>
      </c>
      <c r="R12" s="5">
        <v>85409</v>
      </c>
    </row>
    <row r="13" spans="1:18" x14ac:dyDescent="0.25">
      <c r="A13" t="s">
        <v>503</v>
      </c>
      <c r="B13" t="s">
        <v>494</v>
      </c>
      <c r="C13">
        <v>60503000</v>
      </c>
      <c r="D13">
        <v>6313</v>
      </c>
      <c r="E13" t="s">
        <v>845</v>
      </c>
      <c r="F13" t="s">
        <v>504</v>
      </c>
      <c r="G13" s="1">
        <v>45233</v>
      </c>
      <c r="H13">
        <v>5411281</v>
      </c>
      <c r="I13">
        <v>50</v>
      </c>
      <c r="J13" t="s">
        <v>376</v>
      </c>
      <c r="K13" s="8" t="str">
        <f>IFERROR(IF(AND(VLOOKUP($C13,Hes!$A:$B, 1, FALSE), $M13&lt;&gt;" "), "Ingresada", "Falta Ingresar"), " ")</f>
        <v>Falta Ingresar</v>
      </c>
      <c r="L13" s="4" t="str">
        <f>IFERROR(VLOOKUP($C13,Observaciones!$A:$B,2,FALSE)," ")</f>
        <v>FACT LO INGRESADO</v>
      </c>
      <c r="M13" t="s">
        <v>681</v>
      </c>
      <c r="N13" s="5" t="s">
        <v>841</v>
      </c>
      <c r="O13" s="5">
        <v>30848125</v>
      </c>
      <c r="P13" s="5">
        <v>23358</v>
      </c>
      <c r="Q13" s="5">
        <v>4438</v>
      </c>
      <c r="R13" s="5">
        <v>27796</v>
      </c>
    </row>
    <row r="14" spans="1:18" x14ac:dyDescent="0.25">
      <c r="A14" t="s">
        <v>503</v>
      </c>
      <c r="B14" t="s">
        <v>494</v>
      </c>
      <c r="C14">
        <v>60503000</v>
      </c>
      <c r="D14">
        <v>3150</v>
      </c>
      <c r="E14" t="s">
        <v>846</v>
      </c>
      <c r="F14" t="s">
        <v>504</v>
      </c>
      <c r="G14" s="1">
        <v>45233</v>
      </c>
      <c r="H14">
        <v>5411305</v>
      </c>
      <c r="I14">
        <v>50</v>
      </c>
      <c r="J14" t="s">
        <v>376</v>
      </c>
      <c r="K14" s="7" t="str">
        <f>IFERROR(IF(AND(VLOOKUP($C14,Hes!$A:$B, 1, FALSE), $M14&lt;&gt;" "), "Ingresada", "Falta Ingresar"), " ")</f>
        <v>Ingresada</v>
      </c>
      <c r="L14" s="4" t="str">
        <f>IFERROR(VLOOKUP($C14,Observaciones!$A:$B,2,FALSE)," ")</f>
        <v>FACT LO INGRESADO</v>
      </c>
      <c r="M14">
        <v>5000509012</v>
      </c>
      <c r="N14" s="5" t="s">
        <v>841</v>
      </c>
      <c r="O14" s="5">
        <v>30846739</v>
      </c>
      <c r="P14" s="5">
        <v>287734</v>
      </c>
      <c r="Q14" s="5">
        <v>54669</v>
      </c>
      <c r="R14" s="5">
        <v>342403</v>
      </c>
    </row>
    <row r="15" spans="1:18" x14ac:dyDescent="0.25">
      <c r="A15" t="s">
        <v>503</v>
      </c>
      <c r="B15" t="s">
        <v>494</v>
      </c>
      <c r="C15">
        <v>60503000</v>
      </c>
      <c r="D15">
        <v>150</v>
      </c>
      <c r="E15" t="s">
        <v>847</v>
      </c>
      <c r="F15" t="s">
        <v>504</v>
      </c>
      <c r="G15" s="1">
        <v>45233</v>
      </c>
      <c r="H15">
        <v>5411430</v>
      </c>
      <c r="I15">
        <v>50</v>
      </c>
      <c r="J15" t="s">
        <v>376</v>
      </c>
      <c r="K15" s="7" t="str">
        <f>IFERROR(IF(AND(VLOOKUP($C15,Hes!$A:$B, 1, FALSE), $M15&lt;&gt;" "), "Ingresada", "Falta Ingresar"), " ")</f>
        <v>Ingresada</v>
      </c>
      <c r="L15" s="4" t="str">
        <f>IFERROR(VLOOKUP($C15,Observaciones!$A:$B,2,FALSE)," ")</f>
        <v>FACT LO INGRESADO</v>
      </c>
      <c r="M15">
        <v>5000509105</v>
      </c>
      <c r="N15" s="5" t="s">
        <v>841</v>
      </c>
      <c r="O15" s="5">
        <v>30848107</v>
      </c>
      <c r="P15" s="5">
        <v>31144</v>
      </c>
      <c r="Q15" s="5">
        <v>5917</v>
      </c>
      <c r="R15" s="5">
        <v>37061</v>
      </c>
    </row>
    <row r="16" spans="1:18" x14ac:dyDescent="0.25">
      <c r="A16" t="s">
        <v>503</v>
      </c>
      <c r="B16" t="s">
        <v>494</v>
      </c>
      <c r="C16">
        <v>60503000</v>
      </c>
      <c r="D16">
        <v>147</v>
      </c>
      <c r="E16" t="s">
        <v>848</v>
      </c>
      <c r="F16" t="s">
        <v>504</v>
      </c>
      <c r="G16" s="1">
        <v>45236</v>
      </c>
      <c r="H16">
        <v>5412022</v>
      </c>
      <c r="I16">
        <v>50</v>
      </c>
      <c r="J16" t="s">
        <v>376</v>
      </c>
      <c r="K16" s="7" t="str">
        <f>IFERROR(IF(AND(VLOOKUP($C16,Hes!$A:$B, 1, FALSE), $M16&lt;&gt;" "), "Ingresada", "Falta Ingresar"), " ")</f>
        <v>Ingresada</v>
      </c>
      <c r="L16" s="4" t="str">
        <f>IFERROR(VLOOKUP($C16,Observaciones!$A:$B,2,FALSE)," ")</f>
        <v>FACT LO INGRESADO</v>
      </c>
      <c r="M16">
        <v>5000509149</v>
      </c>
      <c r="N16" s="5" t="s">
        <v>841</v>
      </c>
      <c r="O16" s="5">
        <v>30846684</v>
      </c>
      <c r="P16" s="5">
        <v>105744</v>
      </c>
      <c r="Q16" s="5">
        <v>20091</v>
      </c>
      <c r="R16" s="5">
        <v>125835</v>
      </c>
    </row>
    <row r="17" spans="1:18" x14ac:dyDescent="0.25">
      <c r="A17" t="s">
        <v>503</v>
      </c>
      <c r="B17" t="s">
        <v>494</v>
      </c>
      <c r="C17">
        <v>60503000</v>
      </c>
      <c r="D17">
        <v>147</v>
      </c>
      <c r="E17" t="s">
        <v>849</v>
      </c>
      <c r="F17" t="s">
        <v>504</v>
      </c>
      <c r="G17" s="1">
        <v>45236</v>
      </c>
      <c r="H17">
        <v>5412031</v>
      </c>
      <c r="I17">
        <v>50</v>
      </c>
      <c r="J17" t="s">
        <v>376</v>
      </c>
      <c r="K17" s="7" t="str">
        <f>IFERROR(IF(AND(VLOOKUP($C17,Hes!$A:$B, 1, FALSE), $M17&lt;&gt;" "), "Ingresada", "Falta Ingresar"), " ")</f>
        <v>Ingresada</v>
      </c>
      <c r="L17" s="4" t="str">
        <f>IFERROR(VLOOKUP($C17,Observaciones!$A:$B,2,FALSE)," ")</f>
        <v>FACT LO INGRESADO</v>
      </c>
      <c r="M17">
        <v>5000509151</v>
      </c>
      <c r="N17" s="5" t="s">
        <v>841</v>
      </c>
      <c r="O17" s="5">
        <v>30846725</v>
      </c>
      <c r="P17" s="5">
        <v>34454</v>
      </c>
      <c r="Q17" s="5">
        <v>6546</v>
      </c>
      <c r="R17" s="5">
        <v>41000</v>
      </c>
    </row>
    <row r="18" spans="1:18" x14ac:dyDescent="0.25">
      <c r="A18" t="s">
        <v>503</v>
      </c>
      <c r="B18" t="s">
        <v>494</v>
      </c>
      <c r="C18">
        <v>60503000</v>
      </c>
      <c r="D18">
        <v>270</v>
      </c>
      <c r="E18" t="s">
        <v>850</v>
      </c>
      <c r="F18" t="s">
        <v>504</v>
      </c>
      <c r="G18" s="1">
        <v>45236</v>
      </c>
      <c r="H18">
        <v>5412180</v>
      </c>
      <c r="I18">
        <v>50</v>
      </c>
      <c r="J18" t="s">
        <v>376</v>
      </c>
      <c r="K18" s="7" t="str">
        <f>IFERROR(IF(AND(VLOOKUP($C18,Hes!$A:$B, 1, FALSE), $M18&lt;&gt;" "), "Ingresada", "Falta Ingresar"), " ")</f>
        <v>Ingresada</v>
      </c>
      <c r="L18" s="4" t="str">
        <f>IFERROR(VLOOKUP($C18,Observaciones!$A:$B,2,FALSE)," ")</f>
        <v>FACT LO INGRESADO</v>
      </c>
      <c r="M18">
        <v>5000509151</v>
      </c>
      <c r="N18" s="5" t="s">
        <v>841</v>
      </c>
      <c r="O18" s="5">
        <v>30852624</v>
      </c>
      <c r="P18" s="5">
        <v>46716</v>
      </c>
      <c r="Q18" s="5">
        <v>8876</v>
      </c>
      <c r="R18" s="5">
        <v>55592</v>
      </c>
    </row>
    <row r="19" spans="1:18" x14ac:dyDescent="0.25">
      <c r="A19" t="s">
        <v>503</v>
      </c>
      <c r="B19" t="s">
        <v>494</v>
      </c>
      <c r="C19">
        <v>60503000</v>
      </c>
      <c r="D19">
        <v>4246</v>
      </c>
      <c r="E19" t="s">
        <v>851</v>
      </c>
      <c r="F19" t="s">
        <v>504</v>
      </c>
      <c r="G19" s="1">
        <v>45236</v>
      </c>
      <c r="H19">
        <v>5412190</v>
      </c>
      <c r="I19">
        <v>50</v>
      </c>
      <c r="J19" t="s">
        <v>376</v>
      </c>
      <c r="K19" s="8" t="str">
        <f>IFERROR(IF(AND(VLOOKUP($C19,Hes!$A:$B, 1, FALSE), $M19&lt;&gt;" "), "Ingresada", "Falta Ingresar"), " ")</f>
        <v>Falta Ingresar</v>
      </c>
      <c r="L19" s="4" t="str">
        <f>IFERROR(VLOOKUP($C19,Observaciones!$A:$B,2,FALSE)," ")</f>
        <v>FACT LO INGRESADO</v>
      </c>
      <c r="M19" t="s">
        <v>681</v>
      </c>
      <c r="N19" s="5" t="s">
        <v>841</v>
      </c>
      <c r="O19" s="5">
        <v>30852613</v>
      </c>
      <c r="P19" s="5">
        <v>31144</v>
      </c>
      <c r="Q19" s="5">
        <v>5917</v>
      </c>
      <c r="R19" s="5">
        <v>37061</v>
      </c>
    </row>
    <row r="20" spans="1:18" x14ac:dyDescent="0.25">
      <c r="A20" t="s">
        <v>503</v>
      </c>
      <c r="B20" t="s">
        <v>494</v>
      </c>
      <c r="C20">
        <v>60503000</v>
      </c>
      <c r="D20">
        <v>3177</v>
      </c>
      <c r="E20" t="s">
        <v>852</v>
      </c>
      <c r="F20" t="s">
        <v>504</v>
      </c>
      <c r="G20" s="1">
        <v>45238</v>
      </c>
      <c r="H20">
        <v>5414549</v>
      </c>
      <c r="I20">
        <v>5</v>
      </c>
      <c r="J20" t="s">
        <v>374</v>
      </c>
      <c r="K20" s="8" t="str">
        <f>IFERROR(IF(AND(VLOOKUP($C20,Hes!$A:$B, 1, FALSE), $M20&lt;&gt;" "), "Ingresada", "Falta Ingresar"), " ")</f>
        <v>Falta Ingresar</v>
      </c>
      <c r="L20" s="4" t="str">
        <f>IFERROR(VLOOKUP($C20,Observaciones!$A:$B,2,FALSE)," ")</f>
        <v>FACT LO INGRESADO</v>
      </c>
      <c r="M20" t="s">
        <v>681</v>
      </c>
      <c r="N20" s="5" t="s">
        <v>841</v>
      </c>
      <c r="O20" s="5">
        <v>30862272</v>
      </c>
      <c r="P20" s="5">
        <v>119620</v>
      </c>
      <c r="Q20" s="5">
        <v>22728</v>
      </c>
      <c r="R20" s="5">
        <v>142348</v>
      </c>
    </row>
    <row r="21" spans="1:18" x14ac:dyDescent="0.25">
      <c r="A21" t="s">
        <v>503</v>
      </c>
      <c r="B21" t="s">
        <v>494</v>
      </c>
      <c r="C21">
        <v>60503000</v>
      </c>
      <c r="D21">
        <v>3268</v>
      </c>
      <c r="E21" t="s">
        <v>853</v>
      </c>
      <c r="F21" t="s">
        <v>504</v>
      </c>
      <c r="G21" s="1">
        <v>45238</v>
      </c>
      <c r="H21">
        <v>5414659</v>
      </c>
      <c r="I21">
        <v>5</v>
      </c>
      <c r="J21" t="s">
        <v>374</v>
      </c>
      <c r="K21" s="8" t="str">
        <f>IFERROR(IF(AND(VLOOKUP($C21,Hes!$A:$B, 1, FALSE), $M21&lt;&gt;" "), "Ingresada", "Falta Ingresar"), " ")</f>
        <v>Falta Ingresar</v>
      </c>
      <c r="L21" s="4" t="str">
        <f>IFERROR(VLOOKUP($C21,Observaciones!$A:$B,2,FALSE)," ")</f>
        <v>FACT LO INGRESADO</v>
      </c>
      <c r="M21" t="s">
        <v>681</v>
      </c>
      <c r="N21" s="5" t="s">
        <v>841</v>
      </c>
      <c r="O21" s="5">
        <v>30862169</v>
      </c>
      <c r="P21" s="5">
        <v>119620</v>
      </c>
      <c r="Q21" s="5">
        <v>22728</v>
      </c>
      <c r="R21" s="5">
        <v>142348</v>
      </c>
    </row>
    <row r="22" spans="1:18" x14ac:dyDescent="0.25">
      <c r="A22" t="s">
        <v>503</v>
      </c>
      <c r="B22" t="s">
        <v>494</v>
      </c>
      <c r="C22">
        <v>60503000</v>
      </c>
      <c r="D22">
        <v>3172</v>
      </c>
      <c r="E22" t="s">
        <v>854</v>
      </c>
      <c r="F22" t="s">
        <v>504</v>
      </c>
      <c r="G22" s="1">
        <v>45238</v>
      </c>
      <c r="H22">
        <v>5414809</v>
      </c>
      <c r="I22">
        <v>5</v>
      </c>
      <c r="J22" t="s">
        <v>374</v>
      </c>
      <c r="K22" s="8" t="str">
        <f>IFERROR(IF(AND(VLOOKUP($C22,Hes!$A:$B, 1, FALSE), $M22&lt;&gt;" "), "Ingresada", "Falta Ingresar"), " ")</f>
        <v>Falta Ingresar</v>
      </c>
      <c r="L22" s="4" t="str">
        <f>IFERROR(VLOOKUP($C22,Observaciones!$A:$B,2,FALSE)," ")</f>
        <v>FACT LO INGRESADO</v>
      </c>
      <c r="M22" t="s">
        <v>681</v>
      </c>
      <c r="N22" s="5" t="s">
        <v>841</v>
      </c>
      <c r="O22" s="5">
        <v>30862190</v>
      </c>
      <c r="P22" s="5">
        <v>158550</v>
      </c>
      <c r="Q22" s="5">
        <v>30125</v>
      </c>
      <c r="R22" s="5">
        <v>188675</v>
      </c>
    </row>
    <row r="23" spans="1:18" x14ac:dyDescent="0.25">
      <c r="A23" t="s">
        <v>503</v>
      </c>
      <c r="B23" t="s">
        <v>494</v>
      </c>
      <c r="C23">
        <v>60503000</v>
      </c>
      <c r="D23">
        <v>2257</v>
      </c>
      <c r="E23" t="s">
        <v>855</v>
      </c>
      <c r="F23" t="s">
        <v>504</v>
      </c>
      <c r="G23" s="1">
        <v>45238</v>
      </c>
      <c r="H23">
        <v>5415049</v>
      </c>
      <c r="I23">
        <v>5</v>
      </c>
      <c r="J23" t="s">
        <v>374</v>
      </c>
      <c r="K23" s="8" t="str">
        <f>IFERROR(IF(AND(VLOOKUP($C23,Hes!$A:$B, 1, FALSE), $M23&lt;&gt;" "), "Ingresada", "Falta Ingresar"), " ")</f>
        <v>Falta Ingresar</v>
      </c>
      <c r="L23" s="4" t="str">
        <f>IFERROR(VLOOKUP($C23,Observaciones!$A:$B,2,FALSE)," ")</f>
        <v>FACT LO INGRESADO</v>
      </c>
      <c r="M23" t="s">
        <v>681</v>
      </c>
      <c r="N23" s="5" t="s">
        <v>841</v>
      </c>
      <c r="O23" s="5">
        <v>30863201</v>
      </c>
      <c r="P23" s="5">
        <v>25624</v>
      </c>
      <c r="Q23" s="5">
        <v>4869</v>
      </c>
      <c r="R23" s="5">
        <v>30493</v>
      </c>
    </row>
    <row r="24" spans="1:18" x14ac:dyDescent="0.25">
      <c r="A24" t="s">
        <v>503</v>
      </c>
      <c r="B24" t="s">
        <v>494</v>
      </c>
      <c r="C24">
        <v>60503000</v>
      </c>
      <c r="D24">
        <v>6153</v>
      </c>
      <c r="E24" t="s">
        <v>856</v>
      </c>
      <c r="F24" t="s">
        <v>504</v>
      </c>
      <c r="G24" s="1">
        <v>45238</v>
      </c>
      <c r="H24">
        <v>5415099</v>
      </c>
      <c r="I24">
        <v>5</v>
      </c>
      <c r="J24" t="s">
        <v>374</v>
      </c>
      <c r="K24" s="8" t="str">
        <f>IFERROR(IF(AND(VLOOKUP($C24,Hes!$A:$B, 1, FALSE), $M24&lt;&gt;" "), "Ingresada", "Falta Ingresar"), " ")</f>
        <v>Falta Ingresar</v>
      </c>
      <c r="L24" s="4" t="str">
        <f>IFERROR(VLOOKUP($C24,Observaciones!$A:$B,2,FALSE)," ")</f>
        <v>FACT LO INGRESADO</v>
      </c>
      <c r="M24" t="s">
        <v>681</v>
      </c>
      <c r="N24" s="5" t="s">
        <v>841</v>
      </c>
      <c r="O24" s="5">
        <v>30863327</v>
      </c>
      <c r="P24" s="5">
        <v>100052</v>
      </c>
      <c r="Q24" s="5">
        <v>19010</v>
      </c>
      <c r="R24" s="5">
        <v>119062</v>
      </c>
    </row>
    <row r="25" spans="1:18" x14ac:dyDescent="0.25">
      <c r="A25" t="s">
        <v>503</v>
      </c>
      <c r="B25" t="s">
        <v>494</v>
      </c>
      <c r="C25">
        <v>60503000</v>
      </c>
      <c r="D25">
        <v>6153</v>
      </c>
      <c r="E25" t="s">
        <v>857</v>
      </c>
      <c r="F25" t="s">
        <v>504</v>
      </c>
      <c r="G25" s="1">
        <v>45238</v>
      </c>
      <c r="H25">
        <v>5415112</v>
      </c>
      <c r="I25">
        <v>5</v>
      </c>
      <c r="J25" t="s">
        <v>374</v>
      </c>
      <c r="K25" s="8" t="str">
        <f>IFERROR(IF(AND(VLOOKUP($C25,Hes!$A:$B, 1, FALSE), $M25&lt;&gt;" "), "Ingresada", "Falta Ingresar"), " ")</f>
        <v>Falta Ingresar</v>
      </c>
      <c r="L25" s="4" t="str">
        <f>IFERROR(VLOOKUP($C25,Observaciones!$A:$B,2,FALSE)," ")</f>
        <v>FACT LO INGRESADO</v>
      </c>
      <c r="M25" t="s">
        <v>681</v>
      </c>
      <c r="N25" s="5" t="s">
        <v>841</v>
      </c>
      <c r="O25" s="5">
        <v>30863338</v>
      </c>
      <c r="P25" s="5">
        <v>59339</v>
      </c>
      <c r="Q25" s="5">
        <v>11274</v>
      </c>
      <c r="R25" s="5">
        <v>70613</v>
      </c>
    </row>
    <row r="26" spans="1:18" x14ac:dyDescent="0.25">
      <c r="A26" t="s">
        <v>503</v>
      </c>
      <c r="B26" t="s">
        <v>494</v>
      </c>
      <c r="C26">
        <v>60503000</v>
      </c>
      <c r="D26">
        <v>4678</v>
      </c>
      <c r="E26" t="s">
        <v>858</v>
      </c>
      <c r="F26" t="s">
        <v>504</v>
      </c>
      <c r="G26" s="1">
        <v>45238</v>
      </c>
      <c r="H26">
        <v>5415119</v>
      </c>
      <c r="I26">
        <v>5</v>
      </c>
      <c r="J26" t="s">
        <v>374</v>
      </c>
      <c r="K26" s="8" t="str">
        <f>IFERROR(IF(AND(VLOOKUP($C26,Hes!$A:$B, 1, FALSE), $M26&lt;&gt;" "), "Ingresada", "Falta Ingresar"), " ")</f>
        <v>Falta Ingresar</v>
      </c>
      <c r="L26" s="4" t="str">
        <f>IFERROR(VLOOKUP($C26,Observaciones!$A:$B,2,FALSE)," ")</f>
        <v>FACT LO INGRESADO</v>
      </c>
      <c r="M26" t="s">
        <v>681</v>
      </c>
      <c r="N26" s="5" t="s">
        <v>841</v>
      </c>
      <c r="O26" s="5">
        <v>30861883</v>
      </c>
      <c r="P26" s="5">
        <v>6960</v>
      </c>
      <c r="Q26" s="5">
        <v>1322</v>
      </c>
      <c r="R26" s="5">
        <v>8282</v>
      </c>
    </row>
    <row r="27" spans="1:18" x14ac:dyDescent="0.25">
      <c r="A27" t="s">
        <v>503</v>
      </c>
      <c r="B27" t="s">
        <v>494</v>
      </c>
      <c r="C27">
        <v>60503000</v>
      </c>
      <c r="D27">
        <v>4678</v>
      </c>
      <c r="E27" t="s">
        <v>858</v>
      </c>
      <c r="F27" t="s">
        <v>504</v>
      </c>
      <c r="G27" s="1">
        <v>45238</v>
      </c>
      <c r="H27">
        <v>5415121</v>
      </c>
      <c r="I27">
        <v>5</v>
      </c>
      <c r="J27" t="s">
        <v>374</v>
      </c>
      <c r="K27" s="8" t="str">
        <f>IFERROR(IF(AND(VLOOKUP($C27,Hes!$A:$B, 1, FALSE), $M27&lt;&gt;" "), "Ingresada", "Falta Ingresar"), " ")</f>
        <v>Falta Ingresar</v>
      </c>
      <c r="L27" s="4" t="str">
        <f>IFERROR(VLOOKUP($C27,Observaciones!$A:$B,2,FALSE)," ")</f>
        <v>FACT LO INGRESADO</v>
      </c>
      <c r="M27" t="s">
        <v>681</v>
      </c>
      <c r="N27" s="5" t="s">
        <v>841</v>
      </c>
      <c r="O27" s="5">
        <v>30861917</v>
      </c>
      <c r="P27" s="5">
        <v>6960</v>
      </c>
      <c r="Q27" s="5">
        <v>1322</v>
      </c>
      <c r="R27" s="5">
        <v>8282</v>
      </c>
    </row>
    <row r="28" spans="1:18" x14ac:dyDescent="0.25">
      <c r="A28" t="s">
        <v>503</v>
      </c>
      <c r="B28" t="s">
        <v>494</v>
      </c>
      <c r="C28">
        <v>60503000</v>
      </c>
      <c r="D28">
        <v>3145</v>
      </c>
      <c r="E28" t="s">
        <v>859</v>
      </c>
      <c r="F28" t="s">
        <v>504</v>
      </c>
      <c r="G28" s="1">
        <v>45238</v>
      </c>
      <c r="H28">
        <v>5415132</v>
      </c>
      <c r="I28">
        <v>5</v>
      </c>
      <c r="J28" t="s">
        <v>374</v>
      </c>
      <c r="K28" s="8" t="str">
        <f>IFERROR(IF(AND(VLOOKUP($C28,Hes!$A:$B, 1, FALSE), $M28&lt;&gt;" "), "Ingresada", "Falta Ingresar"), " ")</f>
        <v>Falta Ingresar</v>
      </c>
      <c r="L28" s="4" t="str">
        <f>IFERROR(VLOOKUP($C28,Observaciones!$A:$B,2,FALSE)," ")</f>
        <v>FACT LO INGRESADO</v>
      </c>
      <c r="M28" t="s">
        <v>681</v>
      </c>
      <c r="N28" s="5" t="s">
        <v>841</v>
      </c>
      <c r="O28" s="5">
        <v>30862135</v>
      </c>
      <c r="P28" s="5">
        <v>95696</v>
      </c>
      <c r="Q28" s="5">
        <v>18182</v>
      </c>
      <c r="R28" s="5">
        <v>113878</v>
      </c>
    </row>
    <row r="29" spans="1:18" x14ac:dyDescent="0.25">
      <c r="A29" t="s">
        <v>503</v>
      </c>
      <c r="B29" t="s">
        <v>494</v>
      </c>
      <c r="C29">
        <v>60503000</v>
      </c>
      <c r="D29">
        <v>2332</v>
      </c>
      <c r="E29" t="s">
        <v>860</v>
      </c>
      <c r="F29" t="s">
        <v>504</v>
      </c>
      <c r="G29" s="1">
        <v>45238</v>
      </c>
      <c r="H29">
        <v>5415147</v>
      </c>
      <c r="I29">
        <v>5</v>
      </c>
      <c r="J29" t="s">
        <v>374</v>
      </c>
      <c r="K29" s="8" t="str">
        <f>IFERROR(IF(AND(VLOOKUP($C29,Hes!$A:$B, 1, FALSE), $M29&lt;&gt;" "), "Ingresada", "Falta Ingresar"), " ")</f>
        <v>Falta Ingresar</v>
      </c>
      <c r="L29" s="4" t="str">
        <f>IFERROR(VLOOKUP($C29,Observaciones!$A:$B,2,FALSE)," ")</f>
        <v>FACT LO INGRESADO</v>
      </c>
      <c r="M29" t="s">
        <v>681</v>
      </c>
      <c r="N29" s="5" t="s">
        <v>841</v>
      </c>
      <c r="O29" s="5">
        <v>30863200</v>
      </c>
      <c r="P29" s="5">
        <v>87817</v>
      </c>
      <c r="Q29" s="5">
        <v>16685</v>
      </c>
      <c r="R29" s="5">
        <v>104502</v>
      </c>
    </row>
    <row r="30" spans="1:18" x14ac:dyDescent="0.25">
      <c r="A30" t="s">
        <v>503</v>
      </c>
      <c r="B30" t="s">
        <v>494</v>
      </c>
      <c r="C30">
        <v>60503000</v>
      </c>
      <c r="D30">
        <v>9901</v>
      </c>
      <c r="E30" t="s">
        <v>861</v>
      </c>
      <c r="F30" t="s">
        <v>504</v>
      </c>
      <c r="G30" s="1">
        <v>45238</v>
      </c>
      <c r="H30">
        <v>5415177</v>
      </c>
      <c r="I30">
        <v>5</v>
      </c>
      <c r="J30" t="s">
        <v>374</v>
      </c>
      <c r="K30" s="8" t="str">
        <f>IFERROR(IF(AND(VLOOKUP($C30,Hes!$A:$B, 1, FALSE), $M30&lt;&gt;" "), "Ingresada", "Falta Ingresar"), " ")</f>
        <v>Falta Ingresar</v>
      </c>
      <c r="L30" s="4" t="str">
        <f>IFERROR(VLOOKUP($C30,Observaciones!$A:$B,2,FALSE)," ")</f>
        <v>FACT LO INGRESADO</v>
      </c>
      <c r="M30" t="s">
        <v>681</v>
      </c>
      <c r="N30" s="5" t="s">
        <v>841</v>
      </c>
      <c r="O30" s="5">
        <v>30863268</v>
      </c>
      <c r="P30" s="5">
        <v>93084</v>
      </c>
      <c r="Q30" s="5">
        <v>17686</v>
      </c>
      <c r="R30" s="5">
        <v>110770</v>
      </c>
    </row>
    <row r="31" spans="1:18" x14ac:dyDescent="0.25">
      <c r="F31" t="s">
        <v>862</v>
      </c>
      <c r="K31" t="str">
        <f>IFERROR(IF(AND(VLOOKUP($C31,Hes!$A:$B, 1, FALSE), $M31&lt;&gt;" "), "Ingresada", "Falta Ingresar"), " ")</f>
        <v xml:space="preserve"> </v>
      </c>
      <c r="L31" s="4" t="str">
        <f>IFERROR(VLOOKUP($C31,Observaciones!$A:$B,2,FALSE)," ")</f>
        <v xml:space="preserve"> </v>
      </c>
      <c r="M31" t="s">
        <v>681</v>
      </c>
      <c r="P31" s="5">
        <v>1710832</v>
      </c>
      <c r="Q31" s="5">
        <v>325056</v>
      </c>
      <c r="R31" s="5">
        <v>2035888</v>
      </c>
    </row>
    <row r="32" spans="1:18" x14ac:dyDescent="0.25">
      <c r="A32" t="s">
        <v>503</v>
      </c>
      <c r="B32" t="s">
        <v>494</v>
      </c>
      <c r="C32">
        <v>60504000</v>
      </c>
      <c r="D32">
        <v>19</v>
      </c>
      <c r="E32" t="s">
        <v>863</v>
      </c>
      <c r="F32" t="s">
        <v>864</v>
      </c>
      <c r="G32" s="1">
        <v>45238</v>
      </c>
      <c r="H32">
        <v>5414562</v>
      </c>
      <c r="I32">
        <v>190</v>
      </c>
      <c r="J32" t="s">
        <v>400</v>
      </c>
      <c r="K32" t="str">
        <f>IFERROR(IF(AND(VLOOKUP($C32,Hes!$A:$B, 1, FALSE), $M32&lt;&gt;" "), "Ingresada", "Falta Ingresar"), " ")</f>
        <v xml:space="preserve"> </v>
      </c>
      <c r="L32" s="4" t="s">
        <v>681</v>
      </c>
      <c r="M32" t="s">
        <v>681</v>
      </c>
      <c r="O32" s="5">
        <v>30833019</v>
      </c>
      <c r="P32" s="5">
        <v>71000</v>
      </c>
      <c r="Q32" s="5">
        <v>13490</v>
      </c>
      <c r="R32" s="5">
        <v>84490</v>
      </c>
    </row>
    <row r="33" spans="1:18" x14ac:dyDescent="0.25">
      <c r="F33" t="s">
        <v>495</v>
      </c>
      <c r="K33" t="str">
        <f>IFERROR(IF(AND(VLOOKUP($C33,Hes!$A:$B, 1, FALSE), $M33&lt;&gt;" "), "Ingresada", "Falta Ingresar"), " ")</f>
        <v xml:space="preserve"> </v>
      </c>
      <c r="L33" s="4" t="str">
        <f>IFERROR(VLOOKUP($C33,Observaciones!$A:$B,2,FALSE)," ")</f>
        <v xml:space="preserve"> </v>
      </c>
      <c r="M33" t="s">
        <v>681</v>
      </c>
      <c r="P33" s="5">
        <v>71000</v>
      </c>
      <c r="Q33" s="5">
        <v>13490</v>
      </c>
      <c r="R33" s="5">
        <v>84490</v>
      </c>
    </row>
    <row r="34" spans="1:18" x14ac:dyDescent="0.25">
      <c r="A34" t="s">
        <v>496</v>
      </c>
      <c r="B34" t="s">
        <v>494</v>
      </c>
      <c r="C34">
        <v>60702000</v>
      </c>
      <c r="D34">
        <v>17</v>
      </c>
      <c r="E34" t="s">
        <v>865</v>
      </c>
      <c r="F34" t="s">
        <v>866</v>
      </c>
      <c r="G34" s="1">
        <v>45231</v>
      </c>
      <c r="H34">
        <v>5410626</v>
      </c>
      <c r="I34">
        <v>63</v>
      </c>
      <c r="J34" t="s">
        <v>170</v>
      </c>
      <c r="K34" t="str">
        <f>IFERROR(IF(AND(VLOOKUP($C34,Hes!$A:$B, 1, FALSE), $M34&lt;&gt;" "), "Ingresada", "Falta Ingresar"), " ")</f>
        <v xml:space="preserve"> </v>
      </c>
      <c r="L34" s="4" t="str">
        <f>IFERROR(VLOOKUP($C34,Observaciones!$A:$B,2,FALSE)," ")</f>
        <v>XOC Y CC</v>
      </c>
      <c r="M34" t="s">
        <v>681</v>
      </c>
      <c r="O34" s="5">
        <v>30843976</v>
      </c>
      <c r="P34" s="5">
        <v>5436</v>
      </c>
      <c r="Q34" s="5">
        <v>1033</v>
      </c>
      <c r="R34" s="5">
        <v>6469</v>
      </c>
    </row>
    <row r="35" spans="1:18" x14ac:dyDescent="0.25">
      <c r="F35" t="s">
        <v>495</v>
      </c>
      <c r="K35" t="str">
        <f>IFERROR(IF(AND(VLOOKUP($C35,Hes!$A:$B, 1, FALSE), $M35&lt;&gt;" "), "Ingresada", "Falta Ingresar"), " ")</f>
        <v xml:space="preserve"> </v>
      </c>
      <c r="L35" s="4" t="str">
        <f>IFERROR(VLOOKUP($C35,Observaciones!$A:$B,2,FALSE)," ")</f>
        <v xml:space="preserve"> </v>
      </c>
      <c r="M35" t="s">
        <v>681</v>
      </c>
      <c r="P35" s="5">
        <v>5436</v>
      </c>
      <c r="Q35" s="5">
        <v>1033</v>
      </c>
      <c r="R35" s="5">
        <v>6469</v>
      </c>
    </row>
    <row r="36" spans="1:18" x14ac:dyDescent="0.25">
      <c r="A36" t="s">
        <v>496</v>
      </c>
      <c r="B36" t="s">
        <v>502</v>
      </c>
      <c r="C36">
        <v>60901008</v>
      </c>
      <c r="D36">
        <v>0</v>
      </c>
      <c r="E36" t="s">
        <v>867</v>
      </c>
      <c r="F36" t="s">
        <v>868</v>
      </c>
      <c r="G36" s="1">
        <v>45236</v>
      </c>
      <c r="H36">
        <v>5413040</v>
      </c>
      <c r="I36">
        <v>215</v>
      </c>
      <c r="J36" t="s">
        <v>460</v>
      </c>
      <c r="K36" t="str">
        <f>IFERROR(IF(AND(VLOOKUP($C36,Hes!$A:$B, 1, FALSE), $M36&lt;&gt;" "), "Ingresada", "Falta Ingresar"), " ")</f>
        <v xml:space="preserve"> </v>
      </c>
      <c r="L36" s="4" t="str">
        <f>IFERROR(VLOOKUP($C36,Observaciones!$A:$B,2,FALSE)," ")</f>
        <v>XOC Y CC</v>
      </c>
      <c r="M36" t="s">
        <v>681</v>
      </c>
      <c r="O36" s="5">
        <v>30820073</v>
      </c>
      <c r="P36" s="5">
        <v>274794</v>
      </c>
      <c r="Q36" s="5">
        <v>52211</v>
      </c>
      <c r="R36" s="5">
        <v>327005</v>
      </c>
    </row>
    <row r="37" spans="1:18" x14ac:dyDescent="0.25">
      <c r="A37" t="s">
        <v>496</v>
      </c>
      <c r="B37" t="s">
        <v>502</v>
      </c>
      <c r="C37">
        <v>60901008</v>
      </c>
      <c r="D37">
        <v>0</v>
      </c>
      <c r="E37" t="s">
        <v>867</v>
      </c>
      <c r="F37" t="s">
        <v>868</v>
      </c>
      <c r="G37" s="1">
        <v>45237</v>
      </c>
      <c r="H37">
        <v>5413933</v>
      </c>
      <c r="I37">
        <v>215</v>
      </c>
      <c r="J37" t="s">
        <v>460</v>
      </c>
      <c r="K37" t="str">
        <f>IFERROR(IF(AND(VLOOKUP($C37,Hes!$A:$B, 1, FALSE), $M37&lt;&gt;" "), "Ingresada", "Falta Ingresar"), " ")</f>
        <v xml:space="preserve"> </v>
      </c>
      <c r="L37" s="4" t="str">
        <f>IFERROR(VLOOKUP($C37,Observaciones!$A:$B,2,FALSE)," ")</f>
        <v>XOC Y CC</v>
      </c>
      <c r="M37" t="s">
        <v>681</v>
      </c>
      <c r="O37" s="5">
        <v>30820258</v>
      </c>
      <c r="P37" s="5">
        <v>468001</v>
      </c>
      <c r="Q37" s="5">
        <v>88920</v>
      </c>
      <c r="R37" s="5">
        <v>556921</v>
      </c>
    </row>
    <row r="38" spans="1:18" x14ac:dyDescent="0.25">
      <c r="A38" t="s">
        <v>496</v>
      </c>
      <c r="B38" t="s">
        <v>502</v>
      </c>
      <c r="C38">
        <v>60901008</v>
      </c>
      <c r="D38">
        <v>0</v>
      </c>
      <c r="E38" t="s">
        <v>867</v>
      </c>
      <c r="F38" t="s">
        <v>868</v>
      </c>
      <c r="G38" s="1">
        <v>45237</v>
      </c>
      <c r="H38">
        <v>5413934</v>
      </c>
      <c r="I38">
        <v>215</v>
      </c>
      <c r="J38" t="s">
        <v>460</v>
      </c>
      <c r="K38" t="str">
        <f>IFERROR(IF(AND(VLOOKUP($C38,Hes!$A:$B, 1, FALSE), $M38&lt;&gt;" "), "Ingresada", "Falta Ingresar"), " ")</f>
        <v xml:space="preserve"> </v>
      </c>
      <c r="L38" s="4" t="str">
        <f>IFERROR(VLOOKUP($C38,Observaciones!$A:$B,2,FALSE)," ")</f>
        <v>XOC Y CC</v>
      </c>
      <c r="M38" t="s">
        <v>681</v>
      </c>
      <c r="O38" s="5">
        <v>30820258</v>
      </c>
      <c r="P38" s="5">
        <v>167842</v>
      </c>
      <c r="Q38" s="5">
        <v>31890</v>
      </c>
      <c r="R38" s="5">
        <v>199732</v>
      </c>
    </row>
    <row r="39" spans="1:18" x14ac:dyDescent="0.25">
      <c r="F39" t="s">
        <v>500</v>
      </c>
      <c r="K39" t="str">
        <f>IFERROR(IF(AND(VLOOKUP($C39,Hes!$A:$B, 1, FALSE), $M39&lt;&gt;" "), "Ingresada", "Falta Ingresar"), " ")</f>
        <v xml:space="preserve"> </v>
      </c>
      <c r="L39" s="4" t="str">
        <f>IFERROR(VLOOKUP($C39,Observaciones!$A:$B,2,FALSE)," ")</f>
        <v xml:space="preserve"> </v>
      </c>
      <c r="M39" t="s">
        <v>681</v>
      </c>
      <c r="P39" s="5">
        <v>910637</v>
      </c>
      <c r="Q39" s="5">
        <v>173021</v>
      </c>
      <c r="R39" s="5">
        <v>1083658</v>
      </c>
    </row>
    <row r="40" spans="1:18" x14ac:dyDescent="0.25">
      <c r="A40" t="s">
        <v>503</v>
      </c>
      <c r="B40" t="s">
        <v>494</v>
      </c>
      <c r="C40">
        <v>60921000</v>
      </c>
      <c r="D40">
        <v>95</v>
      </c>
      <c r="E40" t="s">
        <v>869</v>
      </c>
      <c r="F40" t="s">
        <v>870</v>
      </c>
      <c r="G40" s="1">
        <v>45232</v>
      </c>
      <c r="H40">
        <v>5410693</v>
      </c>
      <c r="I40">
        <v>372</v>
      </c>
      <c r="J40" t="s">
        <v>454</v>
      </c>
      <c r="K40" t="str">
        <f>IFERROR(IF(AND(VLOOKUP($C40,Hes!$A:$B, 1, FALSE), $M40&lt;&gt;" "), "Ingresada", "Falta Ingresar"), " ")</f>
        <v xml:space="preserve"> </v>
      </c>
      <c r="L40" s="4" t="s">
        <v>681</v>
      </c>
      <c r="M40" t="s">
        <v>681</v>
      </c>
      <c r="O40" s="5">
        <v>30835524</v>
      </c>
      <c r="P40" s="5">
        <v>140220</v>
      </c>
      <c r="Q40" s="5">
        <v>26642</v>
      </c>
      <c r="R40" s="5">
        <v>166862</v>
      </c>
    </row>
    <row r="41" spans="1:18" x14ac:dyDescent="0.25">
      <c r="F41" t="s">
        <v>495</v>
      </c>
      <c r="K41" t="str">
        <f>IFERROR(IF(AND(VLOOKUP($C41,Hes!$A:$B, 1, FALSE), $M41&lt;&gt;" "), "Ingresada", "Falta Ingresar"), " ")</f>
        <v xml:space="preserve"> </v>
      </c>
      <c r="L41" s="4" t="str">
        <f>IFERROR(VLOOKUP($C41,Observaciones!$A:$B,2,FALSE)," ")</f>
        <v xml:space="preserve"> </v>
      </c>
      <c r="M41" t="s">
        <v>681</v>
      </c>
      <c r="P41" s="5">
        <v>140220</v>
      </c>
      <c r="Q41" s="5">
        <v>26642</v>
      </c>
      <c r="R41" s="5">
        <v>166862</v>
      </c>
    </row>
    <row r="42" spans="1:18" x14ac:dyDescent="0.25">
      <c r="A42" t="s">
        <v>503</v>
      </c>
      <c r="B42" t="s">
        <v>494</v>
      </c>
      <c r="C42">
        <v>61004098</v>
      </c>
      <c r="D42">
        <v>4</v>
      </c>
      <c r="E42" t="s">
        <v>871</v>
      </c>
      <c r="F42" t="s">
        <v>872</v>
      </c>
      <c r="G42" s="1">
        <v>45234</v>
      </c>
      <c r="H42">
        <v>5411906</v>
      </c>
      <c r="I42">
        <v>140</v>
      </c>
      <c r="J42" t="s">
        <v>458</v>
      </c>
      <c r="K42" t="str">
        <f>IFERROR(IF(AND(VLOOKUP($C42,Hes!$A:$B, 1, FALSE), $M42&lt;&gt;" "), "Ingresada", "Falta Ingresar"), " ")</f>
        <v xml:space="preserve"> </v>
      </c>
      <c r="L42" s="4" t="str">
        <f>IFERROR(VLOOKUP($C42,Observaciones!$A:$B,2,FALSE)," ")</f>
        <v xml:space="preserve"> </v>
      </c>
      <c r="M42" t="s">
        <v>681</v>
      </c>
      <c r="O42" s="5">
        <v>30843831</v>
      </c>
      <c r="P42" s="5">
        <v>271200</v>
      </c>
      <c r="Q42" s="5">
        <v>51528</v>
      </c>
      <c r="R42" s="5">
        <v>322728</v>
      </c>
    </row>
    <row r="43" spans="1:18" x14ac:dyDescent="0.25">
      <c r="F43" t="s">
        <v>495</v>
      </c>
      <c r="K43" t="str">
        <f>IFERROR(IF(AND(VLOOKUP($C43,Hes!$A:$B, 1, FALSE), $M43&lt;&gt;" "), "Ingresada", "Falta Ingresar"), " ")</f>
        <v xml:space="preserve"> </v>
      </c>
      <c r="L43" s="4" t="str">
        <f>IFERROR(VLOOKUP($C43,Observaciones!$A:$B,2,FALSE)," ")</f>
        <v xml:space="preserve"> </v>
      </c>
      <c r="M43" t="s">
        <v>681</v>
      </c>
      <c r="P43" s="5">
        <v>271200</v>
      </c>
      <c r="Q43" s="5">
        <v>51528</v>
      </c>
      <c r="R43" s="5">
        <v>322728</v>
      </c>
    </row>
    <row r="44" spans="1:18" x14ac:dyDescent="0.25">
      <c r="A44" t="s">
        <v>496</v>
      </c>
      <c r="B44" t="s">
        <v>494</v>
      </c>
      <c r="C44">
        <v>61004101</v>
      </c>
      <c r="D44">
        <v>0</v>
      </c>
      <c r="E44" t="s">
        <v>873</v>
      </c>
      <c r="F44" t="s">
        <v>874</v>
      </c>
      <c r="G44" s="1">
        <v>45233</v>
      </c>
      <c r="H44">
        <v>5411697</v>
      </c>
      <c r="I44">
        <v>435</v>
      </c>
      <c r="J44" t="s">
        <v>452</v>
      </c>
      <c r="K44" t="str">
        <f>IFERROR(IF(AND(VLOOKUP($C44,Hes!$A:$B, 1, FALSE), $M44&lt;&gt;" "), "Ingresada", "Falta Ingresar"), " ")</f>
        <v xml:space="preserve"> </v>
      </c>
      <c r="L44" s="4" t="str">
        <f>IFERROR(VLOOKUP($C44,Observaciones!$A:$B,2,FALSE)," ")</f>
        <v xml:space="preserve"> </v>
      </c>
      <c r="M44" t="s">
        <v>681</v>
      </c>
      <c r="O44" s="5">
        <v>30843765</v>
      </c>
      <c r="P44" s="5">
        <v>68746</v>
      </c>
      <c r="Q44" s="5">
        <v>13062</v>
      </c>
      <c r="R44" s="5">
        <v>81808</v>
      </c>
    </row>
    <row r="45" spans="1:18" x14ac:dyDescent="0.25">
      <c r="F45" t="s">
        <v>495</v>
      </c>
      <c r="K45" t="str">
        <f>IFERROR(IF(AND(VLOOKUP($C45,Hes!$A:$B, 1, FALSE), $M45&lt;&gt;" "), "Ingresada", "Falta Ingresar"), " ")</f>
        <v xml:space="preserve"> </v>
      </c>
      <c r="L45" s="4" t="str">
        <f>IFERROR(VLOOKUP($C45,Observaciones!$A:$B,2,FALSE)," ")</f>
        <v xml:space="preserve"> </v>
      </c>
      <c r="M45" t="s">
        <v>681</v>
      </c>
      <c r="P45" s="5">
        <v>68746</v>
      </c>
      <c r="Q45" s="5">
        <v>13062</v>
      </c>
      <c r="R45" s="5">
        <v>81808</v>
      </c>
    </row>
    <row r="46" spans="1:18" x14ac:dyDescent="0.25">
      <c r="A46" t="s">
        <v>496</v>
      </c>
      <c r="B46" t="s">
        <v>494</v>
      </c>
      <c r="C46">
        <v>61101017</v>
      </c>
      <c r="D46">
        <v>0</v>
      </c>
      <c r="E46" t="s">
        <v>875</v>
      </c>
      <c r="F46" t="s">
        <v>876</v>
      </c>
      <c r="G46" s="1">
        <v>45238</v>
      </c>
      <c r="H46">
        <v>5415791</v>
      </c>
      <c r="I46">
        <v>215</v>
      </c>
      <c r="J46" t="s">
        <v>460</v>
      </c>
      <c r="K46" t="str">
        <f>IFERROR(IF(AND(VLOOKUP($C46,Hes!$A:$B, 1, FALSE), $M46&lt;&gt;" "), "Ingresada", "Falta Ingresar"), " ")</f>
        <v xml:space="preserve"> </v>
      </c>
      <c r="L46" s="4" t="str">
        <f>IFERROR(VLOOKUP($C46,Observaciones!$A:$B,2,FALSE)," ")</f>
        <v xml:space="preserve"> </v>
      </c>
      <c r="M46" t="s">
        <v>681</v>
      </c>
      <c r="O46" s="5">
        <v>30866655</v>
      </c>
      <c r="P46" s="5">
        <v>1886596</v>
      </c>
      <c r="Q46" s="5">
        <v>358453</v>
      </c>
      <c r="R46" s="5">
        <v>2245049</v>
      </c>
    </row>
    <row r="47" spans="1:18" x14ac:dyDescent="0.25">
      <c r="F47" t="s">
        <v>495</v>
      </c>
      <c r="K47" t="str">
        <f>IFERROR(IF(AND(VLOOKUP($C47,Hes!$A:$B, 1, FALSE), $M47&lt;&gt;" "), "Ingresada", "Falta Ingresar"), " ")</f>
        <v xml:space="preserve"> </v>
      </c>
      <c r="L47" s="4" t="str">
        <f>IFERROR(VLOOKUP($C47,Observaciones!$A:$B,2,FALSE)," ")</f>
        <v xml:space="preserve"> </v>
      </c>
      <c r="M47" t="s">
        <v>681</v>
      </c>
      <c r="P47" s="5">
        <v>1886596</v>
      </c>
      <c r="Q47" s="5">
        <v>358453</v>
      </c>
      <c r="R47" s="5">
        <v>2245049</v>
      </c>
    </row>
    <row r="48" spans="1:18" x14ac:dyDescent="0.25">
      <c r="A48" t="s">
        <v>496</v>
      </c>
      <c r="B48" t="s">
        <v>502</v>
      </c>
      <c r="C48">
        <v>61102021</v>
      </c>
      <c r="D48">
        <v>1</v>
      </c>
      <c r="E48" t="s">
        <v>877</v>
      </c>
      <c r="F48" t="s">
        <v>878</v>
      </c>
      <c r="G48" s="1">
        <v>45236</v>
      </c>
      <c r="H48">
        <v>5412822</v>
      </c>
      <c r="I48">
        <v>215</v>
      </c>
      <c r="J48" t="s">
        <v>460</v>
      </c>
      <c r="K48" t="str">
        <f>IFERROR(IF(AND(VLOOKUP($C48,Hes!$A:$B, 1, FALSE), $M48&lt;&gt;" "), "Ingresada", "Falta Ingresar"), " ")</f>
        <v xml:space="preserve"> </v>
      </c>
      <c r="L48" s="4" t="str">
        <f>IFERROR(VLOOKUP($C48,Observaciones!$A:$B,2,FALSE)," ")</f>
        <v xml:space="preserve"> </v>
      </c>
      <c r="M48" t="s">
        <v>681</v>
      </c>
      <c r="O48" s="5">
        <v>30854320</v>
      </c>
      <c r="P48" s="5">
        <v>1230912</v>
      </c>
      <c r="Q48" s="5">
        <v>233873</v>
      </c>
      <c r="R48" s="5">
        <v>1464785</v>
      </c>
    </row>
    <row r="49" spans="1:18" x14ac:dyDescent="0.25">
      <c r="F49" t="s">
        <v>495</v>
      </c>
      <c r="K49" t="str">
        <f>IFERROR(IF(AND(VLOOKUP($C49,Hes!$A:$B, 1, FALSE), $M49&lt;&gt;" "), "Ingresada", "Falta Ingresar"), " ")</f>
        <v xml:space="preserve"> </v>
      </c>
      <c r="L49" s="4" t="str">
        <f>IFERROR(VLOOKUP($C49,Observaciones!$A:$B,2,FALSE)," ")</f>
        <v xml:space="preserve"> </v>
      </c>
      <c r="M49" t="s">
        <v>681</v>
      </c>
      <c r="P49" s="5">
        <v>1230912</v>
      </c>
      <c r="Q49" s="5">
        <v>233873</v>
      </c>
      <c r="R49" s="5">
        <v>1464785</v>
      </c>
    </row>
    <row r="50" spans="1:18" x14ac:dyDescent="0.25">
      <c r="A50" t="s">
        <v>496</v>
      </c>
      <c r="B50" t="s">
        <v>494</v>
      </c>
      <c r="C50">
        <v>61104000</v>
      </c>
      <c r="D50">
        <v>19</v>
      </c>
      <c r="E50" t="s">
        <v>879</v>
      </c>
      <c r="F50" t="s">
        <v>880</v>
      </c>
      <c r="G50" s="1">
        <v>45232</v>
      </c>
      <c r="H50">
        <v>5410786</v>
      </c>
      <c r="I50">
        <v>372</v>
      </c>
      <c r="J50" t="s">
        <v>454</v>
      </c>
      <c r="K50" t="str">
        <f>IFERROR(IF(AND(VLOOKUP($C50,Hes!$A:$B, 1, FALSE), $M50&lt;&gt;" "), "Ingresada", "Falta Ingresar"), " ")</f>
        <v xml:space="preserve"> </v>
      </c>
      <c r="L50" s="4" t="str">
        <f>IFERROR(VLOOKUP($C50,Observaciones!$A:$B,2,FALSE)," ")</f>
        <v>XOC Y CC</v>
      </c>
      <c r="M50" t="s">
        <v>681</v>
      </c>
      <c r="O50" s="5">
        <v>30823831</v>
      </c>
      <c r="P50" s="5">
        <v>790519</v>
      </c>
      <c r="Q50" s="5">
        <v>150199</v>
      </c>
      <c r="R50" s="5">
        <v>940718</v>
      </c>
    </row>
    <row r="51" spans="1:18" x14ac:dyDescent="0.25">
      <c r="F51" t="s">
        <v>495</v>
      </c>
      <c r="K51" t="str">
        <f>IFERROR(IF(AND(VLOOKUP($C51,Hes!$A:$B, 1, FALSE), $M51&lt;&gt;" "), "Ingresada", "Falta Ingresar"), " ")</f>
        <v xml:space="preserve"> </v>
      </c>
      <c r="L51" s="4" t="str">
        <f>IFERROR(VLOOKUP($C51,Observaciones!$A:$B,2,FALSE)," ")</f>
        <v xml:space="preserve"> </v>
      </c>
      <c r="M51" t="s">
        <v>681</v>
      </c>
      <c r="P51" s="5">
        <v>790519</v>
      </c>
      <c r="Q51" s="5">
        <v>150199</v>
      </c>
      <c r="R51" s="5">
        <v>940718</v>
      </c>
    </row>
    <row r="52" spans="1:18" x14ac:dyDescent="0.25">
      <c r="A52" t="s">
        <v>881</v>
      </c>
      <c r="B52" t="s">
        <v>494</v>
      </c>
      <c r="C52">
        <v>61105000</v>
      </c>
      <c r="D52">
        <v>3</v>
      </c>
      <c r="E52">
        <v>187403</v>
      </c>
      <c r="F52" t="s">
        <v>882</v>
      </c>
      <c r="G52" s="1">
        <v>45231</v>
      </c>
      <c r="H52">
        <v>5410877</v>
      </c>
      <c r="I52">
        <v>190</v>
      </c>
      <c r="J52" t="s">
        <v>400</v>
      </c>
      <c r="K52" t="str">
        <f>IFERROR(IF(AND(VLOOKUP($C52,Hes!$A:$B, 1, FALSE), $M52&lt;&gt;" "), "Ingresada", "Falta Ingresar"), " ")</f>
        <v xml:space="preserve"> </v>
      </c>
      <c r="L52" s="4" t="str">
        <f>IFERROR(VLOOKUP($C52,Observaciones!$A:$B,2,FALSE)," ")</f>
        <v>XOC Y CC TENER CUIDADO CON LAS OC (–) YA QUE LAS TOMA TODAS SI COMIENZAN IGUAL</v>
      </c>
      <c r="M52" t="s">
        <v>681</v>
      </c>
      <c r="O52" s="5">
        <v>30808647</v>
      </c>
      <c r="P52" s="5">
        <v>44874</v>
      </c>
      <c r="Q52" s="5">
        <v>8526</v>
      </c>
      <c r="R52" s="5">
        <v>53400</v>
      </c>
    </row>
    <row r="53" spans="1:18" x14ac:dyDescent="0.25">
      <c r="F53" t="s">
        <v>495</v>
      </c>
      <c r="K53" t="str">
        <f>IFERROR(IF(AND(VLOOKUP($C53,Hes!$A:$B, 1, FALSE), $M53&lt;&gt;" "), "Ingresada", "Falta Ingresar"), " ")</f>
        <v xml:space="preserve"> </v>
      </c>
      <c r="L53" s="4" t="str">
        <f>IFERROR(VLOOKUP($C53,Observaciones!$A:$B,2,FALSE)," ")</f>
        <v xml:space="preserve"> </v>
      </c>
      <c r="M53" t="s">
        <v>681</v>
      </c>
      <c r="P53" s="5">
        <v>44874</v>
      </c>
      <c r="Q53" s="5">
        <v>8526</v>
      </c>
      <c r="R53" s="5">
        <v>53400</v>
      </c>
    </row>
    <row r="54" spans="1:18" x14ac:dyDescent="0.25">
      <c r="A54" t="s">
        <v>496</v>
      </c>
      <c r="B54" t="s">
        <v>494</v>
      </c>
      <c r="C54">
        <v>61113000</v>
      </c>
      <c r="D54">
        <v>0</v>
      </c>
      <c r="E54">
        <v>57248</v>
      </c>
      <c r="F54" t="s">
        <v>883</v>
      </c>
      <c r="G54" s="1">
        <v>45233</v>
      </c>
      <c r="H54">
        <v>5411702</v>
      </c>
      <c r="I54">
        <v>71</v>
      </c>
      <c r="J54" t="s">
        <v>250</v>
      </c>
      <c r="K54" t="str">
        <f>IFERROR(IF(AND(VLOOKUP($C54,Hes!$A:$B, 1, FALSE), $M54&lt;&gt;" "), "Ingresada", "Falta Ingresar"), " ")</f>
        <v xml:space="preserve"> </v>
      </c>
      <c r="L54" s="4" t="str">
        <f>IFERROR(VLOOKUP($C54,Observaciones!$A:$B,2,FALSE)," ")</f>
        <v xml:space="preserve"> </v>
      </c>
      <c r="M54" t="s">
        <v>681</v>
      </c>
      <c r="O54" s="5">
        <v>30837798</v>
      </c>
      <c r="P54" s="5">
        <v>376040</v>
      </c>
      <c r="Q54" s="5">
        <v>71448</v>
      </c>
      <c r="R54" s="5">
        <v>447488</v>
      </c>
    </row>
    <row r="55" spans="1:18" x14ac:dyDescent="0.25">
      <c r="A55" t="s">
        <v>496</v>
      </c>
      <c r="B55" t="s">
        <v>494</v>
      </c>
      <c r="C55">
        <v>61113000</v>
      </c>
      <c r="D55">
        <v>0</v>
      </c>
      <c r="E55">
        <v>57285</v>
      </c>
      <c r="F55" t="s">
        <v>883</v>
      </c>
      <c r="G55" s="1">
        <v>45236</v>
      </c>
      <c r="H55">
        <v>5412321</v>
      </c>
      <c r="I55">
        <v>71</v>
      </c>
      <c r="J55" t="s">
        <v>250</v>
      </c>
      <c r="K55" t="str">
        <f>IFERROR(IF(AND(VLOOKUP($C55,Hes!$A:$B, 1, FALSE), $M55&lt;&gt;" "), "Ingresada", "Falta Ingresar"), " ")</f>
        <v xml:space="preserve"> </v>
      </c>
      <c r="L55" s="4" t="str">
        <f>IFERROR(VLOOKUP($C55,Observaciones!$A:$B,2,FALSE)," ")</f>
        <v xml:space="preserve"> </v>
      </c>
      <c r="M55" t="s">
        <v>681</v>
      </c>
      <c r="O55" s="5">
        <v>30843864</v>
      </c>
      <c r="P55" s="5">
        <v>33209</v>
      </c>
      <c r="Q55" s="5">
        <v>6310</v>
      </c>
      <c r="R55" s="5">
        <v>39519</v>
      </c>
    </row>
    <row r="56" spans="1:18" x14ac:dyDescent="0.25">
      <c r="A56" t="s">
        <v>496</v>
      </c>
      <c r="B56" t="s">
        <v>494</v>
      </c>
      <c r="C56">
        <v>61113000</v>
      </c>
      <c r="D56">
        <v>0</v>
      </c>
      <c r="E56">
        <v>57228</v>
      </c>
      <c r="F56" t="s">
        <v>883</v>
      </c>
      <c r="G56" s="1">
        <v>45236</v>
      </c>
      <c r="H56">
        <v>5413829</v>
      </c>
      <c r="I56">
        <v>71</v>
      </c>
      <c r="J56" t="s">
        <v>250</v>
      </c>
      <c r="K56" t="str">
        <f>IFERROR(IF(AND(VLOOKUP($C56,Hes!$A:$B, 1, FALSE), $M56&lt;&gt;" "), "Ingresada", "Falta Ingresar"), " ")</f>
        <v xml:space="preserve"> </v>
      </c>
      <c r="L56" s="4" t="str">
        <f>IFERROR(VLOOKUP($C56,Observaciones!$A:$B,2,FALSE)," ")</f>
        <v xml:space="preserve"> </v>
      </c>
      <c r="M56" t="s">
        <v>681</v>
      </c>
      <c r="O56" s="5">
        <v>30828790</v>
      </c>
      <c r="P56" s="5">
        <v>69001</v>
      </c>
      <c r="Q56" s="5">
        <v>13110</v>
      </c>
      <c r="R56" s="5">
        <v>82111</v>
      </c>
    </row>
    <row r="57" spans="1:18" x14ac:dyDescent="0.25">
      <c r="F57" t="s">
        <v>500</v>
      </c>
      <c r="K57" t="str">
        <f>IFERROR(IF(AND(VLOOKUP($C57,Hes!$A:$B, 1, FALSE), $M57&lt;&gt;" "), "Ingresada", "Falta Ingresar"), " ")</f>
        <v xml:space="preserve"> </v>
      </c>
      <c r="L57" s="4" t="str">
        <f>IFERROR(VLOOKUP($C57,Observaciones!$A:$B,2,FALSE)," ")</f>
        <v xml:space="preserve"> </v>
      </c>
      <c r="M57" t="s">
        <v>681</v>
      </c>
      <c r="P57" s="5">
        <v>478250</v>
      </c>
      <c r="Q57" s="5">
        <v>90868</v>
      </c>
      <c r="R57" s="5">
        <v>569118</v>
      </c>
    </row>
    <row r="58" spans="1:18" x14ac:dyDescent="0.25">
      <c r="A58" t="s">
        <v>505</v>
      </c>
      <c r="B58" t="s">
        <v>494</v>
      </c>
      <c r="C58">
        <v>61216000</v>
      </c>
      <c r="D58">
        <v>64</v>
      </c>
      <c r="E58">
        <v>30850184</v>
      </c>
      <c r="F58" t="s">
        <v>884</v>
      </c>
      <c r="G58" s="1">
        <v>45233</v>
      </c>
      <c r="H58">
        <v>5411571</v>
      </c>
      <c r="I58">
        <v>14</v>
      </c>
      <c r="J58" t="s">
        <v>309</v>
      </c>
      <c r="K58" s="8" t="str">
        <f>IFERROR(IF(AND(VLOOKUP($C58,Hes!$A:$B, 1, FALSE), $M58&lt;&gt;" "), "Ingresada", "Falta Ingresar"), " ")</f>
        <v>Falta Ingresar</v>
      </c>
      <c r="L58" s="4" t="str">
        <f>IFERROR(VLOOKUP($C58,Observaciones!$A:$B,2,FALSE)," ")</f>
        <v>ESPERAR INF VENDEDOR, DEBE ENVIAR OC X CORREO</v>
      </c>
      <c r="M58" t="s">
        <v>681</v>
      </c>
      <c r="N58" s="5" t="s">
        <v>841</v>
      </c>
      <c r="O58" s="5">
        <v>30850184</v>
      </c>
      <c r="P58" s="5">
        <v>30637</v>
      </c>
      <c r="Q58" s="5">
        <v>5821</v>
      </c>
      <c r="R58" s="5">
        <v>36458</v>
      </c>
    </row>
    <row r="59" spans="1:18" x14ac:dyDescent="0.25">
      <c r="A59" t="s">
        <v>505</v>
      </c>
      <c r="B59" t="s">
        <v>494</v>
      </c>
      <c r="C59">
        <v>61216000</v>
      </c>
      <c r="D59">
        <v>26</v>
      </c>
      <c r="E59">
        <v>30850195</v>
      </c>
      <c r="F59" t="s">
        <v>884</v>
      </c>
      <c r="G59" s="1">
        <v>45233</v>
      </c>
      <c r="H59">
        <v>5411622</v>
      </c>
      <c r="I59">
        <v>14</v>
      </c>
      <c r="J59" t="s">
        <v>309</v>
      </c>
      <c r="K59" s="8" t="str">
        <f>IFERROR(IF(AND(VLOOKUP($C59,Hes!$A:$B, 1, FALSE), $M59&lt;&gt;" "), "Ingresada", "Falta Ingresar"), " ")</f>
        <v>Falta Ingresar</v>
      </c>
      <c r="L59" s="4" t="str">
        <f>IFERROR(VLOOKUP($C59,Observaciones!$A:$B,2,FALSE)," ")</f>
        <v>ESPERAR INF VENDEDOR, DEBE ENVIAR OC X CORREO</v>
      </c>
      <c r="M59" t="s">
        <v>681</v>
      </c>
      <c r="N59" s="5" t="s">
        <v>841</v>
      </c>
      <c r="O59" s="5">
        <v>30850195</v>
      </c>
      <c r="P59" s="5">
        <v>46594</v>
      </c>
      <c r="Q59" s="5">
        <v>8853</v>
      </c>
      <c r="R59" s="5">
        <v>55447</v>
      </c>
    </row>
    <row r="60" spans="1:18" x14ac:dyDescent="0.25">
      <c r="A60" t="s">
        <v>505</v>
      </c>
      <c r="B60" t="s">
        <v>494</v>
      </c>
      <c r="C60">
        <v>61216000</v>
      </c>
      <c r="D60">
        <v>64</v>
      </c>
      <c r="E60">
        <v>30850191</v>
      </c>
      <c r="F60" t="s">
        <v>884</v>
      </c>
      <c r="G60" s="1">
        <v>45233</v>
      </c>
      <c r="H60">
        <v>5411678</v>
      </c>
      <c r="I60">
        <v>14</v>
      </c>
      <c r="J60" t="s">
        <v>309</v>
      </c>
      <c r="K60" s="8" t="str">
        <f>IFERROR(IF(AND(VLOOKUP($C60,Hes!$A:$B, 1, FALSE), $M60&lt;&gt;" "), "Ingresada", "Falta Ingresar"), " ")</f>
        <v>Falta Ingresar</v>
      </c>
      <c r="L60" s="4" t="str">
        <f>IFERROR(VLOOKUP($C60,Observaciones!$A:$B,2,FALSE)," ")</f>
        <v>ESPERAR INF VENDEDOR, DEBE ENVIAR OC X CORREO</v>
      </c>
      <c r="M60" t="s">
        <v>681</v>
      </c>
      <c r="N60" s="5" t="s">
        <v>841</v>
      </c>
      <c r="O60" s="5">
        <v>30850191</v>
      </c>
      <c r="P60" s="5">
        <v>30980</v>
      </c>
      <c r="Q60" s="5">
        <v>5886</v>
      </c>
      <c r="R60" s="5">
        <v>36866</v>
      </c>
    </row>
    <row r="61" spans="1:18" x14ac:dyDescent="0.25">
      <c r="A61" t="s">
        <v>505</v>
      </c>
      <c r="B61" t="s">
        <v>494</v>
      </c>
      <c r="C61">
        <v>61216000</v>
      </c>
      <c r="D61">
        <v>90</v>
      </c>
      <c r="E61">
        <v>30851953</v>
      </c>
      <c r="F61" t="s">
        <v>884</v>
      </c>
      <c r="G61" s="1">
        <v>45233</v>
      </c>
      <c r="H61">
        <v>5411721</v>
      </c>
      <c r="I61">
        <v>14</v>
      </c>
      <c r="J61" t="s">
        <v>309</v>
      </c>
      <c r="K61" s="8" t="str">
        <f>IFERROR(IF(AND(VLOOKUP($C61,Hes!$A:$B, 1, FALSE), $M61&lt;&gt;" "), "Ingresada", "Falta Ingresar"), " ")</f>
        <v>Falta Ingresar</v>
      </c>
      <c r="L61" s="4" t="str">
        <f>IFERROR(VLOOKUP($C61,Observaciones!$A:$B,2,FALSE)," ")</f>
        <v>ESPERAR INF VENDEDOR, DEBE ENVIAR OC X CORREO</v>
      </c>
      <c r="M61" t="s">
        <v>681</v>
      </c>
      <c r="N61" s="5" t="s">
        <v>841</v>
      </c>
      <c r="O61" s="5">
        <v>30851953</v>
      </c>
      <c r="P61" s="5">
        <v>68842</v>
      </c>
      <c r="Q61" s="5">
        <v>13080</v>
      </c>
      <c r="R61" s="5">
        <v>81922</v>
      </c>
    </row>
    <row r="62" spans="1:18" x14ac:dyDescent="0.25">
      <c r="A62" t="s">
        <v>505</v>
      </c>
      <c r="B62" t="s">
        <v>494</v>
      </c>
      <c r="C62">
        <v>61216000</v>
      </c>
      <c r="D62">
        <v>90</v>
      </c>
      <c r="E62">
        <v>30852002</v>
      </c>
      <c r="F62" t="s">
        <v>884</v>
      </c>
      <c r="G62" s="1">
        <v>45236</v>
      </c>
      <c r="H62">
        <v>5412087</v>
      </c>
      <c r="I62">
        <v>14</v>
      </c>
      <c r="J62" t="s">
        <v>309</v>
      </c>
      <c r="K62" s="8" t="str">
        <f>IFERROR(IF(AND(VLOOKUP($C62,Hes!$A:$B, 1, FALSE), $M62&lt;&gt;" "), "Ingresada", "Falta Ingresar"), " ")</f>
        <v>Falta Ingresar</v>
      </c>
      <c r="L62" s="4" t="str">
        <f>IFERROR(VLOOKUP($C62,Observaciones!$A:$B,2,FALSE)," ")</f>
        <v>ESPERAR INF VENDEDOR, DEBE ENVIAR OC X CORREO</v>
      </c>
      <c r="M62" t="s">
        <v>681</v>
      </c>
      <c r="N62" s="5" t="s">
        <v>841</v>
      </c>
      <c r="O62" s="5">
        <v>30852002</v>
      </c>
      <c r="P62" s="5">
        <v>74799</v>
      </c>
      <c r="Q62" s="5">
        <v>14212</v>
      </c>
      <c r="R62" s="5">
        <v>89011</v>
      </c>
    </row>
    <row r="63" spans="1:18" x14ac:dyDescent="0.25">
      <c r="A63" t="s">
        <v>505</v>
      </c>
      <c r="B63" t="s">
        <v>494</v>
      </c>
      <c r="C63">
        <v>61216000</v>
      </c>
      <c r="D63">
        <v>44</v>
      </c>
      <c r="E63">
        <v>30852951</v>
      </c>
      <c r="F63" t="s">
        <v>884</v>
      </c>
      <c r="G63" s="1">
        <v>45236</v>
      </c>
      <c r="H63">
        <v>5412186</v>
      </c>
      <c r="I63">
        <v>14</v>
      </c>
      <c r="J63" t="s">
        <v>309</v>
      </c>
      <c r="K63" s="8" t="str">
        <f>IFERROR(IF(AND(VLOOKUP($C63,Hes!$A:$B, 1, FALSE), $M63&lt;&gt;" "), "Ingresada", "Falta Ingresar"), " ")</f>
        <v>Falta Ingresar</v>
      </c>
      <c r="L63" s="4" t="str">
        <f>IFERROR(VLOOKUP($C63,Observaciones!$A:$B,2,FALSE)," ")</f>
        <v>ESPERAR INF VENDEDOR, DEBE ENVIAR OC X CORREO</v>
      </c>
      <c r="M63" t="s">
        <v>681</v>
      </c>
      <c r="N63" s="5" t="s">
        <v>841</v>
      </c>
      <c r="O63" s="5">
        <v>30852951</v>
      </c>
      <c r="P63" s="5">
        <v>38378</v>
      </c>
      <c r="Q63" s="5">
        <v>7292</v>
      </c>
      <c r="R63" s="5">
        <v>45670</v>
      </c>
    </row>
    <row r="64" spans="1:18" x14ac:dyDescent="0.25">
      <c r="A64" t="s">
        <v>505</v>
      </c>
      <c r="B64" t="s">
        <v>494</v>
      </c>
      <c r="C64">
        <v>61216000</v>
      </c>
      <c r="D64">
        <v>44</v>
      </c>
      <c r="E64">
        <v>30853098</v>
      </c>
      <c r="F64" t="s">
        <v>884</v>
      </c>
      <c r="G64" s="1">
        <v>45236</v>
      </c>
      <c r="H64">
        <v>5412252</v>
      </c>
      <c r="I64">
        <v>14</v>
      </c>
      <c r="J64" t="s">
        <v>309</v>
      </c>
      <c r="K64" s="8" t="str">
        <f>IFERROR(IF(AND(VLOOKUP($C64,Hes!$A:$B, 1, FALSE), $M64&lt;&gt;" "), "Ingresada", "Falta Ingresar"), " ")</f>
        <v>Falta Ingresar</v>
      </c>
      <c r="L64" s="4" t="str">
        <f>IFERROR(VLOOKUP($C64,Observaciones!$A:$B,2,FALSE)," ")</f>
        <v>ESPERAR INF VENDEDOR, DEBE ENVIAR OC X CORREO</v>
      </c>
      <c r="M64" t="s">
        <v>681</v>
      </c>
      <c r="N64" s="5" t="s">
        <v>841</v>
      </c>
      <c r="O64" s="5">
        <v>30853098</v>
      </c>
      <c r="P64" s="5">
        <v>24493</v>
      </c>
      <c r="Q64" s="5">
        <v>4654</v>
      </c>
      <c r="R64" s="5">
        <v>29147</v>
      </c>
    </row>
    <row r="65" spans="1:18" x14ac:dyDescent="0.25">
      <c r="A65" t="s">
        <v>505</v>
      </c>
      <c r="B65" t="s">
        <v>494</v>
      </c>
      <c r="C65">
        <v>61216000</v>
      </c>
      <c r="D65">
        <v>44</v>
      </c>
      <c r="E65">
        <v>30853058</v>
      </c>
      <c r="F65" t="s">
        <v>884</v>
      </c>
      <c r="G65" s="1">
        <v>45236</v>
      </c>
      <c r="H65">
        <v>5412592</v>
      </c>
      <c r="I65">
        <v>14</v>
      </c>
      <c r="J65" t="s">
        <v>309</v>
      </c>
      <c r="K65" s="8" t="str">
        <f>IFERROR(IF(AND(VLOOKUP($C65,Hes!$A:$B, 1, FALSE), $M65&lt;&gt;" "), "Ingresada", "Falta Ingresar"), " ")</f>
        <v>Falta Ingresar</v>
      </c>
      <c r="L65" s="4" t="str">
        <f>IFERROR(VLOOKUP($C65,Observaciones!$A:$B,2,FALSE)," ")</f>
        <v>ESPERAR INF VENDEDOR, DEBE ENVIAR OC X CORREO</v>
      </c>
      <c r="M65" t="s">
        <v>681</v>
      </c>
      <c r="N65" s="5" t="s">
        <v>841</v>
      </c>
      <c r="O65" s="5">
        <v>30853058</v>
      </c>
      <c r="P65" s="5">
        <v>42766</v>
      </c>
      <c r="Q65" s="5">
        <v>8126</v>
      </c>
      <c r="R65" s="5">
        <v>50892</v>
      </c>
    </row>
    <row r="66" spans="1:18" x14ac:dyDescent="0.25">
      <c r="A66" t="s">
        <v>505</v>
      </c>
      <c r="B66" t="s">
        <v>494</v>
      </c>
      <c r="C66">
        <v>61216000</v>
      </c>
      <c r="D66">
        <v>9</v>
      </c>
      <c r="E66">
        <v>30862032</v>
      </c>
      <c r="F66" t="s">
        <v>884</v>
      </c>
      <c r="G66" s="1">
        <v>45237</v>
      </c>
      <c r="H66">
        <v>5414365</v>
      </c>
      <c r="I66">
        <v>178</v>
      </c>
      <c r="J66" t="s">
        <v>303</v>
      </c>
      <c r="K66" s="8" t="str">
        <f>IFERROR(IF(AND(VLOOKUP($C66,Hes!$A:$B, 1, FALSE), $M66&lt;&gt;" "), "Ingresada", "Falta Ingresar"), " ")</f>
        <v>Falta Ingresar</v>
      </c>
      <c r="L66" s="4" t="str">
        <f>IFERROR(VLOOKUP($C66,Observaciones!$A:$B,2,FALSE)," ")</f>
        <v>ESPERAR INF VENDEDOR, DEBE ENVIAR OC X CORREO</v>
      </c>
      <c r="M66" t="s">
        <v>681</v>
      </c>
      <c r="N66" s="5" t="s">
        <v>841</v>
      </c>
      <c r="O66" s="5">
        <v>30862032</v>
      </c>
      <c r="P66" s="5">
        <v>254772</v>
      </c>
      <c r="Q66" s="5">
        <v>48407</v>
      </c>
      <c r="R66" s="5">
        <v>303179</v>
      </c>
    </row>
    <row r="67" spans="1:18" x14ac:dyDescent="0.25">
      <c r="A67" t="s">
        <v>505</v>
      </c>
      <c r="B67" t="s">
        <v>494</v>
      </c>
      <c r="C67">
        <v>61216000</v>
      </c>
      <c r="D67">
        <v>10</v>
      </c>
      <c r="E67">
        <v>30862083</v>
      </c>
      <c r="F67" t="s">
        <v>884</v>
      </c>
      <c r="G67" s="1">
        <v>45238</v>
      </c>
      <c r="H67">
        <v>5414812</v>
      </c>
      <c r="I67">
        <v>178</v>
      </c>
      <c r="J67" t="s">
        <v>303</v>
      </c>
      <c r="K67" s="8" t="str">
        <f>IFERROR(IF(AND(VLOOKUP($C67,Hes!$A:$B, 1, FALSE), $M67&lt;&gt;" "), "Ingresada", "Falta Ingresar"), " ")</f>
        <v>Falta Ingresar</v>
      </c>
      <c r="L67" s="4" t="str">
        <f>IFERROR(VLOOKUP($C67,Observaciones!$A:$B,2,FALSE)," ")</f>
        <v>ESPERAR INF VENDEDOR, DEBE ENVIAR OC X CORREO</v>
      </c>
      <c r="M67" t="s">
        <v>681</v>
      </c>
      <c r="N67" s="5" t="s">
        <v>841</v>
      </c>
      <c r="O67" s="5">
        <v>30862083</v>
      </c>
      <c r="P67" s="5">
        <v>47512</v>
      </c>
      <c r="Q67" s="5">
        <v>9027</v>
      </c>
      <c r="R67" s="5">
        <v>56539</v>
      </c>
    </row>
    <row r="68" spans="1:18" x14ac:dyDescent="0.25">
      <c r="A68" t="s">
        <v>505</v>
      </c>
      <c r="B68" t="s">
        <v>494</v>
      </c>
      <c r="C68">
        <v>61216000</v>
      </c>
      <c r="D68">
        <v>8</v>
      </c>
      <c r="E68">
        <v>30862061</v>
      </c>
      <c r="F68" t="s">
        <v>884</v>
      </c>
      <c r="G68" s="1">
        <v>45238</v>
      </c>
      <c r="H68">
        <v>5415100</v>
      </c>
      <c r="I68">
        <v>178</v>
      </c>
      <c r="J68" t="s">
        <v>303</v>
      </c>
      <c r="K68" s="8" t="str">
        <f>IFERROR(IF(AND(VLOOKUP($C68,Hes!$A:$B, 1, FALSE), $M68&lt;&gt;" "), "Ingresada", "Falta Ingresar"), " ")</f>
        <v>Falta Ingresar</v>
      </c>
      <c r="L68" s="4" t="str">
        <f>IFERROR(VLOOKUP($C68,Observaciones!$A:$B,2,FALSE)," ")</f>
        <v>ESPERAR INF VENDEDOR, DEBE ENVIAR OC X CORREO</v>
      </c>
      <c r="M68" t="s">
        <v>681</v>
      </c>
      <c r="N68" s="5" t="s">
        <v>841</v>
      </c>
      <c r="O68" s="5">
        <v>30862061</v>
      </c>
      <c r="P68" s="5">
        <v>176702</v>
      </c>
      <c r="Q68" s="5">
        <v>33573</v>
      </c>
      <c r="R68" s="5">
        <v>213503</v>
      </c>
    </row>
    <row r="69" spans="1:18" x14ac:dyDescent="0.25">
      <c r="A69" t="s">
        <v>505</v>
      </c>
      <c r="B69" t="s">
        <v>494</v>
      </c>
      <c r="C69">
        <v>61216000</v>
      </c>
      <c r="D69">
        <v>10</v>
      </c>
      <c r="E69">
        <v>30865162</v>
      </c>
      <c r="F69" t="s">
        <v>884</v>
      </c>
      <c r="G69" s="1">
        <v>45238</v>
      </c>
      <c r="H69">
        <v>5415234</v>
      </c>
      <c r="I69">
        <v>178</v>
      </c>
      <c r="J69" t="s">
        <v>303</v>
      </c>
      <c r="K69" s="8" t="str">
        <f>IFERROR(IF(AND(VLOOKUP($C69,Hes!$A:$B, 1, FALSE), $M69&lt;&gt;" "), "Ingresada", "Falta Ingresar"), " ")</f>
        <v>Falta Ingresar</v>
      </c>
      <c r="L69" s="4" t="str">
        <f>IFERROR(VLOOKUP($C69,Observaciones!$A:$B,2,FALSE)," ")</f>
        <v>ESPERAR INF VENDEDOR, DEBE ENVIAR OC X CORREO</v>
      </c>
      <c r="M69" t="s">
        <v>681</v>
      </c>
      <c r="N69" s="5" t="s">
        <v>841</v>
      </c>
      <c r="O69" s="5">
        <v>30865162</v>
      </c>
      <c r="P69" s="5">
        <v>23085</v>
      </c>
      <c r="Q69" s="5">
        <v>4386</v>
      </c>
      <c r="R69" s="5">
        <v>27471</v>
      </c>
    </row>
    <row r="70" spans="1:18" x14ac:dyDescent="0.25">
      <c r="A70" t="s">
        <v>505</v>
      </c>
      <c r="B70" t="s">
        <v>494</v>
      </c>
      <c r="C70">
        <v>61216000</v>
      </c>
      <c r="D70">
        <v>91</v>
      </c>
      <c r="E70">
        <v>30865183</v>
      </c>
      <c r="F70" t="s">
        <v>884</v>
      </c>
      <c r="G70" s="1">
        <v>45238</v>
      </c>
      <c r="H70">
        <v>5415368</v>
      </c>
      <c r="I70">
        <v>178</v>
      </c>
      <c r="J70" t="s">
        <v>303</v>
      </c>
      <c r="K70" s="8" t="str">
        <f>IFERROR(IF(AND(VLOOKUP($C70,Hes!$A:$B, 1, FALSE), $M70&lt;&gt;" "), "Ingresada", "Falta Ingresar"), " ")</f>
        <v>Falta Ingresar</v>
      </c>
      <c r="L70" s="4" t="str">
        <f>IFERROR(VLOOKUP($C70,Observaciones!$A:$B,2,FALSE)," ")</f>
        <v>ESPERAR INF VENDEDOR, DEBE ENVIAR OC X CORREO</v>
      </c>
      <c r="M70" t="s">
        <v>681</v>
      </c>
      <c r="N70" s="5" t="s">
        <v>841</v>
      </c>
      <c r="O70" s="5">
        <v>30865183</v>
      </c>
      <c r="P70" s="5">
        <v>26269</v>
      </c>
      <c r="Q70" s="5">
        <v>4991</v>
      </c>
      <c r="R70" s="5">
        <v>31260</v>
      </c>
    </row>
    <row r="71" spans="1:18" x14ac:dyDescent="0.25">
      <c r="A71" t="s">
        <v>505</v>
      </c>
      <c r="B71" t="s">
        <v>494</v>
      </c>
      <c r="C71">
        <v>61216000</v>
      </c>
      <c r="D71">
        <v>91</v>
      </c>
      <c r="E71">
        <v>30865201</v>
      </c>
      <c r="F71" t="s">
        <v>884</v>
      </c>
      <c r="G71" s="1">
        <v>45238</v>
      </c>
      <c r="H71">
        <v>5415518</v>
      </c>
      <c r="I71">
        <v>178</v>
      </c>
      <c r="J71" t="s">
        <v>303</v>
      </c>
      <c r="K71" s="8" t="str">
        <f>IFERROR(IF(AND(VLOOKUP($C71,Hes!$A:$B, 1, FALSE), $M71&lt;&gt;" "), "Ingresada", "Falta Ingresar"), " ")</f>
        <v>Falta Ingresar</v>
      </c>
      <c r="L71" s="4" t="str">
        <f>IFERROR(VLOOKUP($C71,Observaciones!$A:$B,2,FALSE)," ")</f>
        <v>ESPERAR INF VENDEDOR, DEBE ENVIAR OC X CORREO</v>
      </c>
      <c r="M71" t="s">
        <v>681</v>
      </c>
      <c r="N71" s="5" t="s">
        <v>841</v>
      </c>
      <c r="O71" s="5">
        <v>30865201</v>
      </c>
      <c r="P71" s="5">
        <v>20240</v>
      </c>
      <c r="Q71" s="5">
        <v>3846</v>
      </c>
      <c r="R71" s="5">
        <v>24086</v>
      </c>
    </row>
    <row r="72" spans="1:18" x14ac:dyDescent="0.25">
      <c r="A72" t="s">
        <v>505</v>
      </c>
      <c r="B72" t="s">
        <v>494</v>
      </c>
      <c r="C72">
        <v>61216000</v>
      </c>
      <c r="D72">
        <v>10</v>
      </c>
      <c r="E72">
        <v>30865155</v>
      </c>
      <c r="F72" t="s">
        <v>884</v>
      </c>
      <c r="G72" s="1">
        <v>45238</v>
      </c>
      <c r="H72">
        <v>5415552</v>
      </c>
      <c r="I72">
        <v>178</v>
      </c>
      <c r="J72" t="s">
        <v>303</v>
      </c>
      <c r="K72" s="8" t="str">
        <f>IFERROR(IF(AND(VLOOKUP($C72,Hes!$A:$B, 1, FALSE), $M72&lt;&gt;" "), "Ingresada", "Falta Ingresar"), " ")</f>
        <v>Falta Ingresar</v>
      </c>
      <c r="L72" s="4" t="str">
        <f>IFERROR(VLOOKUP($C72,Observaciones!$A:$B,2,FALSE)," ")</f>
        <v>ESPERAR INF VENDEDOR, DEBE ENVIAR OC X CORREO</v>
      </c>
      <c r="M72" t="s">
        <v>681</v>
      </c>
      <c r="N72" s="5" t="s">
        <v>841</v>
      </c>
      <c r="O72" s="5">
        <v>30865155</v>
      </c>
      <c r="P72" s="5">
        <v>61152</v>
      </c>
      <c r="Q72" s="5">
        <v>11619</v>
      </c>
      <c r="R72" s="5">
        <v>72771</v>
      </c>
    </row>
    <row r="73" spans="1:18" x14ac:dyDescent="0.25">
      <c r="A73" t="s">
        <v>505</v>
      </c>
      <c r="B73" t="s">
        <v>494</v>
      </c>
      <c r="C73">
        <v>61216000</v>
      </c>
      <c r="D73">
        <v>15</v>
      </c>
      <c r="E73">
        <v>30865950</v>
      </c>
      <c r="F73" t="s">
        <v>884</v>
      </c>
      <c r="G73" s="1">
        <v>45238</v>
      </c>
      <c r="H73">
        <v>5415748</v>
      </c>
      <c r="I73">
        <v>178</v>
      </c>
      <c r="J73" t="s">
        <v>303</v>
      </c>
      <c r="K73" s="8" t="str">
        <f>IFERROR(IF(AND(VLOOKUP($C73,Hes!$A:$B, 1, FALSE), $M73&lt;&gt;" "), "Ingresada", "Falta Ingresar"), " ")</f>
        <v>Falta Ingresar</v>
      </c>
      <c r="L73" s="4" t="str">
        <f>IFERROR(VLOOKUP($C73,Observaciones!$A:$B,2,FALSE)," ")</f>
        <v>ESPERAR INF VENDEDOR, DEBE ENVIAR OC X CORREO</v>
      </c>
      <c r="M73" t="s">
        <v>681</v>
      </c>
      <c r="N73" s="5" t="s">
        <v>841</v>
      </c>
      <c r="O73" s="5">
        <v>30865950</v>
      </c>
      <c r="P73" s="5">
        <v>60804</v>
      </c>
      <c r="Q73" s="5">
        <v>11553</v>
      </c>
      <c r="R73" s="5">
        <v>72357</v>
      </c>
    </row>
    <row r="74" spans="1:18" x14ac:dyDescent="0.25">
      <c r="F74" t="s">
        <v>885</v>
      </c>
      <c r="K74" t="str">
        <f>IFERROR(IF(AND(VLOOKUP($C74,Hes!$A:$B, 1, FALSE), $M74&lt;&gt;" "), "Ingresada", "Falta Ingresar"), " ")</f>
        <v xml:space="preserve"> </v>
      </c>
      <c r="L74" s="4" t="str">
        <f>IFERROR(VLOOKUP($C74,Observaciones!$A:$B,2,FALSE)," ")</f>
        <v xml:space="preserve"> </v>
      </c>
      <c r="M74" t="s">
        <v>681</v>
      </c>
      <c r="P74" s="5">
        <v>1028025</v>
      </c>
      <c r="Q74" s="5">
        <v>195326</v>
      </c>
      <c r="R74" s="5">
        <v>1226579</v>
      </c>
    </row>
    <row r="75" spans="1:18" x14ac:dyDescent="0.25">
      <c r="A75" t="s">
        <v>496</v>
      </c>
      <c r="B75" t="s">
        <v>494</v>
      </c>
      <c r="C75">
        <v>61307000</v>
      </c>
      <c r="D75">
        <v>73</v>
      </c>
      <c r="E75" t="s">
        <v>886</v>
      </c>
      <c r="F75" t="s">
        <v>887</v>
      </c>
      <c r="G75" s="1">
        <v>45236</v>
      </c>
      <c r="H75">
        <v>5411931</v>
      </c>
      <c r="I75">
        <v>372</v>
      </c>
      <c r="J75" t="s">
        <v>454</v>
      </c>
      <c r="K75" t="str">
        <f>IFERROR(IF(AND(VLOOKUP($C75,Hes!$A:$B, 1, FALSE), $M75&lt;&gt;" "), "Ingresada", "Falta Ingresar"), " ")</f>
        <v xml:space="preserve"> </v>
      </c>
      <c r="L75" s="4" t="str">
        <f>IFERROR(VLOOKUP($C75,Observaciones!$A:$B,2,FALSE)," ")</f>
        <v>XOC Y CC</v>
      </c>
      <c r="M75" t="s">
        <v>681</v>
      </c>
      <c r="O75" s="5">
        <v>30851059</v>
      </c>
      <c r="P75" s="5">
        <v>33150</v>
      </c>
      <c r="Q75" s="5">
        <v>6299</v>
      </c>
      <c r="R75" s="5">
        <v>39449</v>
      </c>
    </row>
    <row r="76" spans="1:18" x14ac:dyDescent="0.25">
      <c r="A76" t="s">
        <v>496</v>
      </c>
      <c r="B76" t="s">
        <v>494</v>
      </c>
      <c r="C76">
        <v>61307000</v>
      </c>
      <c r="D76">
        <v>72</v>
      </c>
      <c r="E76" t="s">
        <v>886</v>
      </c>
      <c r="F76" t="s">
        <v>887</v>
      </c>
      <c r="G76" s="1">
        <v>45236</v>
      </c>
      <c r="H76">
        <v>5411938</v>
      </c>
      <c r="I76">
        <v>372</v>
      </c>
      <c r="J76" t="s">
        <v>454</v>
      </c>
      <c r="K76" t="str">
        <f>IFERROR(IF(AND(VLOOKUP($C76,Hes!$A:$B, 1, FALSE), $M76&lt;&gt;" "), "Ingresada", "Falta Ingresar"), " ")</f>
        <v xml:space="preserve"> </v>
      </c>
      <c r="L76" s="4" t="str">
        <f>IFERROR(VLOOKUP($C76,Observaciones!$A:$B,2,FALSE)," ")</f>
        <v>XOC Y CC</v>
      </c>
      <c r="M76" t="s">
        <v>681</v>
      </c>
      <c r="O76" s="5">
        <v>30851048</v>
      </c>
      <c r="P76" s="5">
        <v>33149</v>
      </c>
      <c r="Q76" s="5">
        <v>6298</v>
      </c>
      <c r="R76" s="5">
        <v>39447</v>
      </c>
    </row>
    <row r="77" spans="1:18" x14ac:dyDescent="0.25">
      <c r="F77" t="s">
        <v>497</v>
      </c>
      <c r="K77" t="str">
        <f>IFERROR(IF(AND(VLOOKUP($C77,Hes!$A:$B, 1, FALSE), $M77&lt;&gt;" "), "Ingresada", "Falta Ingresar"), " ")</f>
        <v xml:space="preserve"> </v>
      </c>
      <c r="L77" s="4" t="str">
        <f>IFERROR(VLOOKUP($C77,Observaciones!$A:$B,2,FALSE)," ")</f>
        <v xml:space="preserve"> </v>
      </c>
      <c r="M77" t="s">
        <v>681</v>
      </c>
      <c r="P77" s="5">
        <v>66299</v>
      </c>
      <c r="Q77" s="5">
        <v>12597</v>
      </c>
      <c r="R77" s="5">
        <v>78896</v>
      </c>
    </row>
    <row r="78" spans="1:18" x14ac:dyDescent="0.25">
      <c r="A78" t="s">
        <v>503</v>
      </c>
      <c r="B78" t="s">
        <v>508</v>
      </c>
      <c r="C78">
        <v>61310000</v>
      </c>
      <c r="D78">
        <v>0</v>
      </c>
      <c r="E78">
        <v>46886</v>
      </c>
      <c r="F78" t="s">
        <v>888</v>
      </c>
      <c r="G78" s="1">
        <v>45232</v>
      </c>
      <c r="H78">
        <v>5410695</v>
      </c>
      <c r="I78">
        <v>2</v>
      </c>
      <c r="J78" t="s">
        <v>242</v>
      </c>
      <c r="K78" t="str">
        <f>IFERROR(IF(AND(VLOOKUP($C78,Hes!$A:$B, 1, FALSE), $M78&lt;&gt;" "), "Ingresada", "Falta Ingresar"), " ")</f>
        <v xml:space="preserve"> </v>
      </c>
      <c r="L78" s="4" t="s">
        <v>681</v>
      </c>
      <c r="M78" t="s">
        <v>681</v>
      </c>
      <c r="O78" s="5">
        <v>30838383</v>
      </c>
      <c r="P78" s="5">
        <v>72125</v>
      </c>
      <c r="Q78" s="5">
        <v>13704</v>
      </c>
      <c r="R78" s="5">
        <v>85829</v>
      </c>
    </row>
    <row r="79" spans="1:18" x14ac:dyDescent="0.25">
      <c r="A79" t="s">
        <v>503</v>
      </c>
      <c r="B79" t="s">
        <v>508</v>
      </c>
      <c r="C79">
        <v>61310000</v>
      </c>
      <c r="D79">
        <v>0</v>
      </c>
      <c r="E79">
        <v>46921</v>
      </c>
      <c r="F79" t="s">
        <v>888</v>
      </c>
      <c r="G79" s="1">
        <v>45236</v>
      </c>
      <c r="H79">
        <v>5413363</v>
      </c>
      <c r="I79">
        <v>2</v>
      </c>
      <c r="J79" t="s">
        <v>242</v>
      </c>
      <c r="K79" t="str">
        <f>IFERROR(IF(AND(VLOOKUP($C79,Hes!$A:$B, 1, FALSE), $M79&lt;&gt;" "), "Ingresada", "Falta Ingresar"), " ")</f>
        <v xml:space="preserve"> </v>
      </c>
      <c r="L79" s="4" t="s">
        <v>681</v>
      </c>
      <c r="M79" t="s">
        <v>681</v>
      </c>
      <c r="O79" s="5">
        <v>30852419</v>
      </c>
      <c r="P79" s="5">
        <v>50878</v>
      </c>
      <c r="Q79" s="5">
        <v>9667</v>
      </c>
      <c r="R79" s="5">
        <v>60545</v>
      </c>
    </row>
    <row r="80" spans="1:18" x14ac:dyDescent="0.25">
      <c r="A80" t="s">
        <v>503</v>
      </c>
      <c r="B80" t="s">
        <v>508</v>
      </c>
      <c r="C80">
        <v>61310000</v>
      </c>
      <c r="D80">
        <v>3</v>
      </c>
      <c r="E80">
        <v>46908</v>
      </c>
      <c r="F80" t="s">
        <v>888</v>
      </c>
      <c r="G80" s="1">
        <v>45238</v>
      </c>
      <c r="H80">
        <v>5414650</v>
      </c>
      <c r="I80">
        <v>2</v>
      </c>
      <c r="J80" t="s">
        <v>242</v>
      </c>
      <c r="K80" t="str">
        <f>IFERROR(IF(AND(VLOOKUP($C80,Hes!$A:$B, 1, FALSE), $M80&lt;&gt;" "), "Ingresada", "Falta Ingresar"), " ")</f>
        <v xml:space="preserve"> </v>
      </c>
      <c r="L80" s="4" t="s">
        <v>681</v>
      </c>
      <c r="M80" t="s">
        <v>681</v>
      </c>
      <c r="O80" s="5">
        <v>30851065</v>
      </c>
      <c r="P80" s="5">
        <v>16178</v>
      </c>
      <c r="Q80" s="5">
        <v>3074</v>
      </c>
      <c r="R80" s="5">
        <v>19252</v>
      </c>
    </row>
    <row r="81" spans="1:18" x14ac:dyDescent="0.25">
      <c r="A81" t="s">
        <v>503</v>
      </c>
      <c r="B81" t="s">
        <v>508</v>
      </c>
      <c r="C81">
        <v>61310000</v>
      </c>
      <c r="D81">
        <v>3</v>
      </c>
      <c r="E81">
        <v>46963</v>
      </c>
      <c r="F81" t="s">
        <v>888</v>
      </c>
      <c r="G81" s="1">
        <v>45238</v>
      </c>
      <c r="H81">
        <v>5415402</v>
      </c>
      <c r="I81">
        <v>2</v>
      </c>
      <c r="J81" t="s">
        <v>242</v>
      </c>
      <c r="K81" t="str">
        <f>IFERROR(IF(AND(VLOOKUP($C81,Hes!$A:$B, 1, FALSE), $M81&lt;&gt;" "), "Ingresada", "Falta Ingresar"), " ")</f>
        <v xml:space="preserve"> </v>
      </c>
      <c r="L81" s="4" t="s">
        <v>681</v>
      </c>
      <c r="M81" t="s">
        <v>681</v>
      </c>
      <c r="O81" s="5">
        <v>30863708</v>
      </c>
      <c r="P81" s="5">
        <v>564304</v>
      </c>
      <c r="Q81" s="5">
        <v>107218</v>
      </c>
      <c r="R81" s="5">
        <v>671522</v>
      </c>
    </row>
    <row r="82" spans="1:18" x14ac:dyDescent="0.25">
      <c r="F82" t="s">
        <v>498</v>
      </c>
      <c r="K82" t="str">
        <f>IFERROR(IF(AND(VLOOKUP($C82,Hes!$A:$B, 1, FALSE), $M82&lt;&gt;" "), "Ingresada", "Falta Ingresar"), " ")</f>
        <v xml:space="preserve"> </v>
      </c>
      <c r="L82" s="4" t="str">
        <f>IFERROR(VLOOKUP($C82,Observaciones!$A:$B,2,FALSE)," ")</f>
        <v xml:space="preserve"> </v>
      </c>
      <c r="M82" t="s">
        <v>681</v>
      </c>
      <c r="P82" s="5">
        <v>703485</v>
      </c>
      <c r="Q82" s="5">
        <v>133663</v>
      </c>
      <c r="R82" s="5">
        <v>837148</v>
      </c>
    </row>
    <row r="83" spans="1:18" x14ac:dyDescent="0.25">
      <c r="A83" t="s">
        <v>503</v>
      </c>
      <c r="B83" t="s">
        <v>494</v>
      </c>
      <c r="C83">
        <v>61601000</v>
      </c>
      <c r="D83">
        <v>82</v>
      </c>
      <c r="E83" t="s">
        <v>889</v>
      </c>
      <c r="F83" t="s">
        <v>890</v>
      </c>
      <c r="G83" s="1">
        <v>45236</v>
      </c>
      <c r="H83">
        <v>5412338</v>
      </c>
      <c r="I83">
        <v>144</v>
      </c>
      <c r="J83" t="s">
        <v>117</v>
      </c>
      <c r="K83" t="str">
        <f>IFERROR(IF(AND(VLOOKUP($C83,Hes!$A:$B, 1, FALSE), $M83&lt;&gt;" "), "Ingresada", "Falta Ingresar"), " ")</f>
        <v xml:space="preserve"> </v>
      </c>
      <c r="L83" s="4" t="s">
        <v>681</v>
      </c>
      <c r="M83" t="s">
        <v>681</v>
      </c>
      <c r="O83" s="5">
        <v>30847338</v>
      </c>
      <c r="P83" s="5">
        <v>217684</v>
      </c>
      <c r="Q83" s="5">
        <v>41360</v>
      </c>
      <c r="R83" s="5">
        <v>259044</v>
      </c>
    </row>
    <row r="84" spans="1:18" x14ac:dyDescent="0.25">
      <c r="A84" t="s">
        <v>503</v>
      </c>
      <c r="B84" t="s">
        <v>494</v>
      </c>
      <c r="C84">
        <v>61601000</v>
      </c>
      <c r="D84">
        <v>47</v>
      </c>
      <c r="E84" t="s">
        <v>891</v>
      </c>
      <c r="F84" t="s">
        <v>890</v>
      </c>
      <c r="G84" s="1">
        <v>45234</v>
      </c>
      <c r="H84">
        <v>5412521</v>
      </c>
      <c r="I84">
        <v>144</v>
      </c>
      <c r="J84" t="s">
        <v>117</v>
      </c>
      <c r="K84" t="str">
        <f>IFERROR(IF(AND(VLOOKUP($C84,Hes!$A:$B, 1, FALSE), $M84&lt;&gt;" "), "Ingresada", "Falta Ingresar"), " ")</f>
        <v xml:space="preserve"> </v>
      </c>
      <c r="L84" s="4" t="s">
        <v>681</v>
      </c>
      <c r="M84" t="s">
        <v>681</v>
      </c>
      <c r="O84" s="5">
        <v>30851022</v>
      </c>
      <c r="P84" s="5">
        <v>143390</v>
      </c>
      <c r="Q84" s="5">
        <v>27244</v>
      </c>
      <c r="R84" s="5">
        <v>170634</v>
      </c>
    </row>
    <row r="85" spans="1:18" x14ac:dyDescent="0.25">
      <c r="F85" t="s">
        <v>497</v>
      </c>
      <c r="K85" t="str">
        <f>IFERROR(IF(AND(VLOOKUP($C85,Hes!$A:$B, 1, FALSE), $M85&lt;&gt;" "), "Ingresada", "Falta Ingresar"), " ")</f>
        <v xml:space="preserve"> </v>
      </c>
      <c r="L85" s="4" t="str">
        <f>IFERROR(VLOOKUP($C85,Observaciones!$A:$B,2,FALSE)," ")</f>
        <v xml:space="preserve"> </v>
      </c>
      <c r="M85" t="s">
        <v>681</v>
      </c>
      <c r="P85" s="5">
        <v>361074</v>
      </c>
      <c r="Q85" s="5">
        <v>68604</v>
      </c>
      <c r="R85" s="5">
        <v>429678</v>
      </c>
    </row>
    <row r="86" spans="1:18" x14ac:dyDescent="0.25">
      <c r="A86" t="s">
        <v>503</v>
      </c>
      <c r="B86" t="s">
        <v>509</v>
      </c>
      <c r="C86">
        <v>61602054</v>
      </c>
      <c r="D86">
        <v>0</v>
      </c>
      <c r="E86" t="s">
        <v>892</v>
      </c>
      <c r="F86" t="s">
        <v>893</v>
      </c>
      <c r="G86" s="1">
        <v>45238</v>
      </c>
      <c r="H86">
        <v>5414777</v>
      </c>
      <c r="I86">
        <v>372</v>
      </c>
      <c r="J86" t="s">
        <v>454</v>
      </c>
      <c r="K86" t="str">
        <f>IFERROR(IF(AND(VLOOKUP($C86,Hes!$A:$B, 1, FALSE), $M86&lt;&gt;" "), "Ingresada", "Falta Ingresar"), " ")</f>
        <v xml:space="preserve"> </v>
      </c>
      <c r="L86" s="4" t="s">
        <v>681</v>
      </c>
      <c r="M86" t="s">
        <v>681</v>
      </c>
      <c r="O86" s="5">
        <v>30862175</v>
      </c>
      <c r="P86" s="5">
        <v>643200</v>
      </c>
      <c r="Q86" s="5">
        <v>122208</v>
      </c>
      <c r="R86" s="5">
        <v>765408</v>
      </c>
    </row>
    <row r="87" spans="1:18" x14ac:dyDescent="0.25">
      <c r="A87" t="s">
        <v>503</v>
      </c>
      <c r="B87" t="s">
        <v>509</v>
      </c>
      <c r="C87">
        <v>61602054</v>
      </c>
      <c r="D87">
        <v>0</v>
      </c>
      <c r="E87" t="s">
        <v>894</v>
      </c>
      <c r="F87" t="s">
        <v>893</v>
      </c>
      <c r="G87" s="1">
        <v>45238</v>
      </c>
      <c r="H87">
        <v>5414778</v>
      </c>
      <c r="I87">
        <v>372</v>
      </c>
      <c r="J87" t="s">
        <v>454</v>
      </c>
      <c r="K87" t="str">
        <f>IFERROR(IF(AND(VLOOKUP($C87,Hes!$A:$B, 1, FALSE), $M87&lt;&gt;" "), "Ingresada", "Falta Ingresar"), " ")</f>
        <v xml:space="preserve"> </v>
      </c>
      <c r="L87" s="4" t="s">
        <v>681</v>
      </c>
      <c r="M87" t="s">
        <v>681</v>
      </c>
      <c r="O87" s="5">
        <v>30862150</v>
      </c>
      <c r="P87" s="5">
        <v>2632420</v>
      </c>
      <c r="Q87" s="5">
        <v>500160</v>
      </c>
      <c r="R87" s="5">
        <v>3132580</v>
      </c>
    </row>
    <row r="88" spans="1:18" x14ac:dyDescent="0.25">
      <c r="F88" t="s">
        <v>497</v>
      </c>
      <c r="K88" t="str">
        <f>IFERROR(IF(AND(VLOOKUP($C88,Hes!$A:$B, 1, FALSE), $M88&lt;&gt;" "), "Ingresada", "Falta Ingresar"), " ")</f>
        <v xml:space="preserve"> </v>
      </c>
      <c r="L88" s="4" t="str">
        <f>IFERROR(VLOOKUP($C88,Observaciones!$A:$B,2,FALSE)," ")</f>
        <v xml:space="preserve"> </v>
      </c>
      <c r="M88" t="s">
        <v>681</v>
      </c>
      <c r="P88" s="5">
        <v>3275620</v>
      </c>
      <c r="Q88" s="5">
        <v>622368</v>
      </c>
      <c r="R88" s="5">
        <v>3897988</v>
      </c>
    </row>
    <row r="89" spans="1:18" x14ac:dyDescent="0.25">
      <c r="A89" t="s">
        <v>503</v>
      </c>
      <c r="B89" t="s">
        <v>509</v>
      </c>
      <c r="C89">
        <v>61602138</v>
      </c>
      <c r="D89">
        <v>0</v>
      </c>
      <c r="E89" t="s">
        <v>895</v>
      </c>
      <c r="F89" t="s">
        <v>896</v>
      </c>
      <c r="G89" s="1">
        <v>45233</v>
      </c>
      <c r="H89">
        <v>5411652</v>
      </c>
      <c r="I89">
        <v>408</v>
      </c>
      <c r="J89" t="s">
        <v>444</v>
      </c>
      <c r="K89" t="str">
        <f>IFERROR(IF(AND(VLOOKUP($C89,Hes!$A:$B, 1, FALSE), $M89&lt;&gt;" "), "Ingresada", "Falta Ingresar"), " ")</f>
        <v xml:space="preserve"> </v>
      </c>
      <c r="L89" s="4" t="s">
        <v>681</v>
      </c>
      <c r="M89" t="s">
        <v>681</v>
      </c>
      <c r="O89" s="5">
        <v>30849934</v>
      </c>
      <c r="P89" s="5">
        <v>7241780</v>
      </c>
      <c r="Q89" s="5">
        <v>1375938</v>
      </c>
      <c r="R89" s="5">
        <v>8617718</v>
      </c>
    </row>
    <row r="90" spans="1:18" x14ac:dyDescent="0.25">
      <c r="A90" t="s">
        <v>503</v>
      </c>
      <c r="B90" t="s">
        <v>509</v>
      </c>
      <c r="C90">
        <v>61602138</v>
      </c>
      <c r="D90">
        <v>0</v>
      </c>
      <c r="E90" t="s">
        <v>897</v>
      </c>
      <c r="F90" t="s">
        <v>896</v>
      </c>
      <c r="G90" s="1">
        <v>45236</v>
      </c>
      <c r="H90">
        <v>5412970</v>
      </c>
      <c r="I90">
        <v>408</v>
      </c>
      <c r="J90" t="s">
        <v>444</v>
      </c>
      <c r="K90" t="str">
        <f>IFERROR(IF(AND(VLOOKUP($C90,Hes!$A:$B, 1, FALSE), $M90&lt;&gt;" "), "Ingresada", "Falta Ingresar"), " ")</f>
        <v xml:space="preserve"> </v>
      </c>
      <c r="L90" s="4" t="s">
        <v>681</v>
      </c>
      <c r="M90" t="s">
        <v>681</v>
      </c>
      <c r="O90" s="5">
        <v>30856329</v>
      </c>
      <c r="P90" s="5">
        <v>2007000</v>
      </c>
      <c r="Q90" s="5">
        <v>381330</v>
      </c>
      <c r="R90" s="5">
        <v>2388330</v>
      </c>
    </row>
    <row r="91" spans="1:18" x14ac:dyDescent="0.25">
      <c r="A91" t="s">
        <v>503</v>
      </c>
      <c r="B91" t="s">
        <v>509</v>
      </c>
      <c r="C91">
        <v>61602138</v>
      </c>
      <c r="D91">
        <v>0</v>
      </c>
      <c r="E91" t="s">
        <v>895</v>
      </c>
      <c r="F91" t="s">
        <v>896</v>
      </c>
      <c r="G91" s="1">
        <v>45238</v>
      </c>
      <c r="H91">
        <v>5415148</v>
      </c>
      <c r="I91">
        <v>408</v>
      </c>
      <c r="J91" t="s">
        <v>444</v>
      </c>
      <c r="K91" t="str">
        <f>IFERROR(IF(AND(VLOOKUP($C91,Hes!$A:$B, 1, FALSE), $M91&lt;&gt;" "), "Ingresada", "Falta Ingresar"), " ")</f>
        <v xml:space="preserve"> </v>
      </c>
      <c r="L91" s="4" t="s">
        <v>681</v>
      </c>
      <c r="M91" t="s">
        <v>681</v>
      </c>
      <c r="O91" s="5">
        <v>30864173</v>
      </c>
      <c r="P91" s="5">
        <v>2446220</v>
      </c>
      <c r="Q91" s="5">
        <v>464782</v>
      </c>
      <c r="R91" s="5">
        <v>2911002</v>
      </c>
    </row>
    <row r="92" spans="1:18" x14ac:dyDescent="0.25">
      <c r="F92" t="s">
        <v>500</v>
      </c>
      <c r="K92" t="str">
        <f>IFERROR(IF(AND(VLOOKUP($C92,Hes!$A:$B, 1, FALSE), $M92&lt;&gt;" "), "Ingresada", "Falta Ingresar"), " ")</f>
        <v xml:space="preserve"> </v>
      </c>
      <c r="L92" s="4" t="str">
        <f>IFERROR(VLOOKUP($C92,Observaciones!$A:$B,2,FALSE)," ")</f>
        <v xml:space="preserve"> </v>
      </c>
      <c r="M92" t="s">
        <v>681</v>
      </c>
      <c r="P92" s="5">
        <v>11695000</v>
      </c>
      <c r="Q92" s="5">
        <v>2222050</v>
      </c>
      <c r="R92" s="5">
        <v>13917050</v>
      </c>
    </row>
    <row r="93" spans="1:18" x14ac:dyDescent="0.25">
      <c r="A93" t="s">
        <v>881</v>
      </c>
      <c r="B93" t="s">
        <v>494</v>
      </c>
      <c r="C93">
        <v>61602142</v>
      </c>
      <c r="D93">
        <v>0</v>
      </c>
      <c r="E93" t="s">
        <v>898</v>
      </c>
      <c r="F93" t="s">
        <v>899</v>
      </c>
      <c r="G93" s="1">
        <v>45232</v>
      </c>
      <c r="H93">
        <v>5411130</v>
      </c>
      <c r="I93">
        <v>129</v>
      </c>
      <c r="J93" t="s">
        <v>414</v>
      </c>
      <c r="K93" t="str">
        <f>IFERROR(IF(AND(VLOOKUP($C93,Hes!$A:$B, 1, FALSE), $M93&lt;&gt;" "), "Ingresada", "Falta Ingresar"), " ")</f>
        <v xml:space="preserve"> </v>
      </c>
      <c r="L93" s="4" t="str">
        <f>IFERROR(VLOOKUP($C93,Observaciones!$A:$B,2,FALSE)," ")</f>
        <v xml:space="preserve"> </v>
      </c>
      <c r="M93" t="s">
        <v>681</v>
      </c>
      <c r="O93" s="5">
        <v>30692320</v>
      </c>
      <c r="P93" s="5">
        <v>441000</v>
      </c>
      <c r="Q93" s="5">
        <v>83790</v>
      </c>
      <c r="R93" s="5">
        <v>524790</v>
      </c>
    </row>
    <row r="94" spans="1:18" x14ac:dyDescent="0.25">
      <c r="A94" t="s">
        <v>881</v>
      </c>
      <c r="B94" t="s">
        <v>494</v>
      </c>
      <c r="C94">
        <v>61602142</v>
      </c>
      <c r="D94">
        <v>0</v>
      </c>
      <c r="E94" t="s">
        <v>900</v>
      </c>
      <c r="F94" t="s">
        <v>899</v>
      </c>
      <c r="G94" s="1">
        <v>45238</v>
      </c>
      <c r="H94">
        <v>5415026</v>
      </c>
      <c r="I94">
        <v>129</v>
      </c>
      <c r="J94" t="s">
        <v>414</v>
      </c>
      <c r="K94" t="str">
        <f>IFERROR(IF(AND(VLOOKUP($C94,Hes!$A:$B, 1, FALSE), $M94&lt;&gt;" "), "Ingresada", "Falta Ingresar"), " ")</f>
        <v xml:space="preserve"> </v>
      </c>
      <c r="L94" s="4" t="str">
        <f>IFERROR(VLOOKUP($C94,Observaciones!$A:$B,2,FALSE)," ")</f>
        <v xml:space="preserve"> </v>
      </c>
      <c r="M94" t="s">
        <v>681</v>
      </c>
      <c r="O94" s="5">
        <v>30741037</v>
      </c>
      <c r="P94" s="5">
        <v>1073307</v>
      </c>
      <c r="Q94" s="5">
        <v>203928</v>
      </c>
      <c r="R94" s="5">
        <v>1277235</v>
      </c>
    </row>
    <row r="95" spans="1:18" x14ac:dyDescent="0.25">
      <c r="F95" t="s">
        <v>497</v>
      </c>
      <c r="K95" t="str">
        <f>IFERROR(IF(AND(VLOOKUP($C95,Hes!$A:$B, 1, FALSE), $M95&lt;&gt;" "), "Ingresada", "Falta Ingresar"), " ")</f>
        <v xml:space="preserve"> </v>
      </c>
      <c r="L95" s="4" t="str">
        <f>IFERROR(VLOOKUP($C95,Observaciones!$A:$B,2,FALSE)," ")</f>
        <v xml:space="preserve"> </v>
      </c>
      <c r="M95" t="s">
        <v>681</v>
      </c>
      <c r="P95" s="5">
        <v>1514307</v>
      </c>
      <c r="Q95" s="5">
        <v>287718</v>
      </c>
      <c r="R95" s="5">
        <v>1802025</v>
      </c>
    </row>
    <row r="96" spans="1:18" x14ac:dyDescent="0.25">
      <c r="A96" t="s">
        <v>496</v>
      </c>
      <c r="B96" t="s">
        <v>502</v>
      </c>
      <c r="C96">
        <v>61602146</v>
      </c>
      <c r="D96">
        <v>1</v>
      </c>
      <c r="E96" t="s">
        <v>901</v>
      </c>
      <c r="F96" t="s">
        <v>902</v>
      </c>
      <c r="G96" s="1">
        <v>45238</v>
      </c>
      <c r="H96">
        <v>5415317</v>
      </c>
      <c r="I96">
        <v>372</v>
      </c>
      <c r="J96" t="s">
        <v>454</v>
      </c>
      <c r="K96" t="str">
        <f>IFERROR(IF(AND(VLOOKUP($C96,Hes!$A:$B, 1, FALSE), $M96&lt;&gt;" "), "Ingresada", "Falta Ingresar"), " ")</f>
        <v xml:space="preserve"> </v>
      </c>
      <c r="L96" s="4" t="str">
        <f>IFERROR(VLOOKUP($C96,Observaciones!$A:$B,2,FALSE)," ")</f>
        <v>XOC Y CC</v>
      </c>
      <c r="M96" t="s">
        <v>681</v>
      </c>
      <c r="O96" s="5">
        <v>30864334</v>
      </c>
      <c r="P96" s="5">
        <v>5481302</v>
      </c>
      <c r="Q96" s="5">
        <v>1041447</v>
      </c>
      <c r="R96" s="5">
        <v>6522749</v>
      </c>
    </row>
    <row r="97" spans="1:18" x14ac:dyDescent="0.25">
      <c r="F97" t="s">
        <v>495</v>
      </c>
      <c r="K97" t="str">
        <f>IFERROR(IF(AND(VLOOKUP($C97,Hes!$A:$B, 1, FALSE), $M97&lt;&gt;" "), "Ingresada", "Falta Ingresar"), " ")</f>
        <v xml:space="preserve"> </v>
      </c>
      <c r="L97" s="4" t="str">
        <f>IFERROR(VLOOKUP($C97,Observaciones!$A:$B,2,FALSE)," ")</f>
        <v xml:space="preserve"> </v>
      </c>
      <c r="M97" t="s">
        <v>681</v>
      </c>
      <c r="P97" s="5">
        <v>5481302</v>
      </c>
      <c r="Q97" s="5">
        <v>1041447</v>
      </c>
      <c r="R97" s="5">
        <v>6522749</v>
      </c>
    </row>
    <row r="98" spans="1:18" x14ac:dyDescent="0.25">
      <c r="A98" t="s">
        <v>503</v>
      </c>
      <c r="B98" t="s">
        <v>509</v>
      </c>
      <c r="C98">
        <v>61602189</v>
      </c>
      <c r="D98">
        <v>0</v>
      </c>
      <c r="E98" t="s">
        <v>903</v>
      </c>
      <c r="F98" t="s">
        <v>904</v>
      </c>
      <c r="G98" s="1">
        <v>45236</v>
      </c>
      <c r="H98">
        <v>5412008</v>
      </c>
      <c r="I98">
        <v>408</v>
      </c>
      <c r="J98" t="s">
        <v>444</v>
      </c>
      <c r="K98" t="str">
        <f>IFERROR(IF(AND(VLOOKUP($C98,Hes!$A:$B, 1, FALSE), $M98&lt;&gt;" "), "Ingresada", "Falta Ingresar"), " ")</f>
        <v xml:space="preserve"> </v>
      </c>
      <c r="L98" s="4" t="s">
        <v>681</v>
      </c>
      <c r="M98" t="s">
        <v>681</v>
      </c>
      <c r="O98" s="5">
        <v>30846799</v>
      </c>
      <c r="P98" s="5">
        <v>6183000</v>
      </c>
      <c r="Q98" s="5">
        <v>1174770</v>
      </c>
      <c r="R98" s="5">
        <v>7357770</v>
      </c>
    </row>
    <row r="99" spans="1:18" x14ac:dyDescent="0.25">
      <c r="A99" t="s">
        <v>503</v>
      </c>
      <c r="B99" t="s">
        <v>509</v>
      </c>
      <c r="C99">
        <v>61602189</v>
      </c>
      <c r="D99">
        <v>0</v>
      </c>
      <c r="E99" t="s">
        <v>903</v>
      </c>
      <c r="F99" t="s">
        <v>904</v>
      </c>
      <c r="G99" s="1">
        <v>45238</v>
      </c>
      <c r="H99">
        <v>5414649</v>
      </c>
      <c r="I99">
        <v>408</v>
      </c>
      <c r="J99" t="s">
        <v>444</v>
      </c>
      <c r="K99" t="str">
        <f>IFERROR(IF(AND(VLOOKUP($C99,Hes!$A:$B, 1, FALSE), $M99&lt;&gt;" "), "Ingresada", "Falta Ingresar"), " ")</f>
        <v xml:space="preserve"> </v>
      </c>
      <c r="L99" s="4" t="s">
        <v>681</v>
      </c>
      <c r="M99" t="s">
        <v>681</v>
      </c>
      <c r="O99" s="5">
        <v>30856466</v>
      </c>
      <c r="P99" s="5">
        <v>6183000</v>
      </c>
      <c r="Q99" s="5">
        <v>1174770</v>
      </c>
      <c r="R99" s="5">
        <v>7357770</v>
      </c>
    </row>
    <row r="100" spans="1:18" x14ac:dyDescent="0.25">
      <c r="F100" t="s">
        <v>497</v>
      </c>
      <c r="K100" t="str">
        <f>IFERROR(IF(AND(VLOOKUP($C100,Hes!$A:$B, 1, FALSE), $M100&lt;&gt;" "), "Ingresada", "Falta Ingresar"), " ")</f>
        <v xml:space="preserve"> </v>
      </c>
      <c r="L100" s="4" t="str">
        <f>IFERROR(VLOOKUP($C100,Observaciones!$A:$B,2,FALSE)," ")</f>
        <v xml:space="preserve"> </v>
      </c>
      <c r="M100" t="s">
        <v>681</v>
      </c>
      <c r="P100" s="5">
        <v>12366000</v>
      </c>
      <c r="Q100" s="5">
        <v>2349540</v>
      </c>
      <c r="R100" s="5">
        <v>14715540</v>
      </c>
    </row>
    <row r="101" spans="1:18" x14ac:dyDescent="0.25">
      <c r="A101" t="s">
        <v>496</v>
      </c>
      <c r="B101" t="s">
        <v>494</v>
      </c>
      <c r="C101">
        <v>61602212</v>
      </c>
      <c r="D101">
        <v>0</v>
      </c>
      <c r="E101" t="s">
        <v>905</v>
      </c>
      <c r="F101" t="s">
        <v>906</v>
      </c>
      <c r="G101" s="1">
        <v>45236</v>
      </c>
      <c r="H101">
        <v>5412029</v>
      </c>
      <c r="I101">
        <v>96</v>
      </c>
      <c r="J101" t="s">
        <v>140</v>
      </c>
      <c r="K101" t="str">
        <f>IFERROR(IF(AND(VLOOKUP($C101,Hes!$A:$B, 1, FALSE), $M101&lt;&gt;" "), "Ingresada", "Falta Ingresar"), " ")</f>
        <v xml:space="preserve"> </v>
      </c>
      <c r="L101" s="4" t="str">
        <f>IFERROR(VLOOKUP($C101,Observaciones!$A:$B,2,FALSE)," ")</f>
        <v xml:space="preserve"> </v>
      </c>
      <c r="M101" t="s">
        <v>681</v>
      </c>
      <c r="O101" s="5">
        <v>30844455</v>
      </c>
      <c r="P101" s="5">
        <v>888717</v>
      </c>
      <c r="Q101" s="5">
        <v>168856</v>
      </c>
      <c r="R101" s="5">
        <v>1057573</v>
      </c>
    </row>
    <row r="102" spans="1:18" x14ac:dyDescent="0.25">
      <c r="F102" t="s">
        <v>495</v>
      </c>
      <c r="K102" t="str">
        <f>IFERROR(IF(AND(VLOOKUP($C102,Hes!$A:$B, 1, FALSE), $M102&lt;&gt;" "), "Ingresada", "Falta Ingresar"), " ")</f>
        <v xml:space="preserve"> </v>
      </c>
      <c r="L102" s="4" t="str">
        <f>IFERROR(VLOOKUP($C102,Observaciones!$A:$B,2,FALSE)," ")</f>
        <v xml:space="preserve"> </v>
      </c>
      <c r="M102" t="s">
        <v>681</v>
      </c>
      <c r="P102" s="5">
        <v>888717</v>
      </c>
      <c r="Q102" s="5">
        <v>168856</v>
      </c>
      <c r="R102" s="5">
        <v>1057573</v>
      </c>
    </row>
    <row r="103" spans="1:18" x14ac:dyDescent="0.25">
      <c r="A103" t="s">
        <v>496</v>
      </c>
      <c r="B103" t="s">
        <v>494</v>
      </c>
      <c r="C103">
        <v>61602261</v>
      </c>
      <c r="D103">
        <v>0</v>
      </c>
      <c r="E103" t="s">
        <v>907</v>
      </c>
      <c r="F103" t="s">
        <v>908</v>
      </c>
      <c r="G103" s="1">
        <v>45238</v>
      </c>
      <c r="H103">
        <v>5415409</v>
      </c>
      <c r="I103">
        <v>215</v>
      </c>
      <c r="J103" t="s">
        <v>460</v>
      </c>
      <c r="K103" t="str">
        <f>IFERROR(IF(AND(VLOOKUP($C103,Hes!$A:$B, 1, FALSE), $M103&lt;&gt;" "), "Ingresada", "Falta Ingresar"), " ")</f>
        <v xml:space="preserve"> </v>
      </c>
      <c r="L103" s="4" t="str">
        <f>IFERROR(VLOOKUP($C103,Observaciones!$A:$B,2,FALSE)," ")</f>
        <v xml:space="preserve"> </v>
      </c>
      <c r="M103" t="s">
        <v>681</v>
      </c>
      <c r="O103" s="5">
        <v>30819873</v>
      </c>
      <c r="P103" s="5">
        <v>107018</v>
      </c>
      <c r="Q103" s="5">
        <v>20333</v>
      </c>
      <c r="R103" s="5">
        <v>127351</v>
      </c>
    </row>
    <row r="104" spans="1:18" x14ac:dyDescent="0.25">
      <c r="F104" t="s">
        <v>495</v>
      </c>
      <c r="K104" t="str">
        <f>IFERROR(IF(AND(VLOOKUP($C104,Hes!$A:$B, 1, FALSE), $M104&lt;&gt;" "), "Ingresada", "Falta Ingresar"), " ")</f>
        <v xml:space="preserve"> </v>
      </c>
      <c r="L104" s="4" t="str">
        <f>IFERROR(VLOOKUP($C104,Observaciones!$A:$B,2,FALSE)," ")</f>
        <v xml:space="preserve"> </v>
      </c>
      <c r="M104" t="s">
        <v>681</v>
      </c>
      <c r="P104" s="5">
        <v>107018</v>
      </c>
      <c r="Q104" s="5">
        <v>20333</v>
      </c>
      <c r="R104" s="5">
        <v>127351</v>
      </c>
    </row>
    <row r="105" spans="1:18" x14ac:dyDescent="0.25">
      <c r="A105" t="s">
        <v>496</v>
      </c>
      <c r="B105" t="s">
        <v>494</v>
      </c>
      <c r="C105">
        <v>61603000</v>
      </c>
      <c r="D105">
        <v>39</v>
      </c>
      <c r="E105" t="s">
        <v>909</v>
      </c>
      <c r="F105" t="s">
        <v>910</v>
      </c>
      <c r="G105" s="1">
        <v>45237</v>
      </c>
      <c r="H105">
        <v>5414125</v>
      </c>
      <c r="I105">
        <v>360</v>
      </c>
      <c r="J105" t="s">
        <v>188</v>
      </c>
      <c r="K105" t="str">
        <f>IFERROR(IF(AND(VLOOKUP($C105,Hes!$A:$B, 1, FALSE), $M105&lt;&gt;" "), "Ingresada", "Falta Ingresar"), " ")</f>
        <v xml:space="preserve"> </v>
      </c>
      <c r="L105" s="4" t="str">
        <f>IFERROR(VLOOKUP($C105,Observaciones!$A:$B,2,FALSE)," ")</f>
        <v>XOC O LLAMAR VENDEDOR</v>
      </c>
      <c r="M105" t="s">
        <v>681</v>
      </c>
      <c r="O105" s="5">
        <v>30860089</v>
      </c>
      <c r="P105" s="5">
        <v>9674</v>
      </c>
      <c r="Q105" s="5">
        <v>1838</v>
      </c>
      <c r="R105" s="5">
        <v>11512</v>
      </c>
    </row>
    <row r="106" spans="1:18" x14ac:dyDescent="0.25">
      <c r="A106" t="s">
        <v>496</v>
      </c>
      <c r="B106" t="s">
        <v>494</v>
      </c>
      <c r="C106">
        <v>61603000</v>
      </c>
      <c r="D106">
        <v>49</v>
      </c>
      <c r="E106" t="s">
        <v>909</v>
      </c>
      <c r="F106" t="s">
        <v>910</v>
      </c>
      <c r="G106" s="1">
        <v>45237</v>
      </c>
      <c r="H106">
        <v>5414264</v>
      </c>
      <c r="I106">
        <v>360</v>
      </c>
      <c r="J106" t="s">
        <v>188</v>
      </c>
      <c r="K106" t="str">
        <f>IFERROR(IF(AND(VLOOKUP($C106,Hes!$A:$B, 1, FALSE), $M106&lt;&gt;" "), "Ingresada", "Falta Ingresar"), " ")</f>
        <v xml:space="preserve"> </v>
      </c>
      <c r="L106" s="4" t="str">
        <f>IFERROR(VLOOKUP($C106,Observaciones!$A:$B,2,FALSE)," ")</f>
        <v>XOC O LLAMAR VENDEDOR</v>
      </c>
      <c r="M106" t="s">
        <v>681</v>
      </c>
      <c r="O106" s="5">
        <v>30858737</v>
      </c>
      <c r="P106" s="5">
        <v>138600</v>
      </c>
      <c r="Q106" s="5">
        <v>26334</v>
      </c>
      <c r="R106" s="5">
        <v>164934</v>
      </c>
    </row>
    <row r="107" spans="1:18" x14ac:dyDescent="0.25">
      <c r="A107" t="s">
        <v>496</v>
      </c>
      <c r="B107" t="s">
        <v>494</v>
      </c>
      <c r="C107">
        <v>61603000</v>
      </c>
      <c r="D107">
        <v>46</v>
      </c>
      <c r="E107" t="s">
        <v>909</v>
      </c>
      <c r="F107" t="s">
        <v>910</v>
      </c>
      <c r="G107" s="1">
        <v>45237</v>
      </c>
      <c r="H107">
        <v>5414491</v>
      </c>
      <c r="I107">
        <v>360</v>
      </c>
      <c r="J107" t="s">
        <v>188</v>
      </c>
      <c r="K107" t="str">
        <f>IFERROR(IF(AND(VLOOKUP($C107,Hes!$A:$B, 1, FALSE), $M107&lt;&gt;" "), "Ingresada", "Falta Ingresar"), " ")</f>
        <v xml:space="preserve"> </v>
      </c>
      <c r="L107" s="4" t="str">
        <f>IFERROR(VLOOKUP($C107,Observaciones!$A:$B,2,FALSE)," ")</f>
        <v>XOC O LLAMAR VENDEDOR</v>
      </c>
      <c r="M107" t="s">
        <v>681</v>
      </c>
      <c r="O107" s="5">
        <v>30859931</v>
      </c>
      <c r="P107" s="5">
        <v>96977</v>
      </c>
      <c r="Q107" s="5">
        <v>18426</v>
      </c>
      <c r="R107" s="5">
        <v>115403</v>
      </c>
    </row>
    <row r="108" spans="1:18" x14ac:dyDescent="0.25">
      <c r="A108" t="s">
        <v>496</v>
      </c>
      <c r="B108" t="s">
        <v>494</v>
      </c>
      <c r="C108">
        <v>61603000</v>
      </c>
      <c r="D108">
        <v>40</v>
      </c>
      <c r="E108" t="s">
        <v>909</v>
      </c>
      <c r="F108" t="s">
        <v>910</v>
      </c>
      <c r="G108" s="1">
        <v>45238</v>
      </c>
      <c r="H108">
        <v>5414776</v>
      </c>
      <c r="I108">
        <v>360</v>
      </c>
      <c r="J108" t="s">
        <v>188</v>
      </c>
      <c r="K108" t="str">
        <f>IFERROR(IF(AND(VLOOKUP($C108,Hes!$A:$B, 1, FALSE), $M108&lt;&gt;" "), "Ingresada", "Falta Ingresar"), " ")</f>
        <v xml:space="preserve"> </v>
      </c>
      <c r="L108" s="4" t="str">
        <f>IFERROR(VLOOKUP($C108,Observaciones!$A:$B,2,FALSE)," ")</f>
        <v>XOC O LLAMAR VENDEDOR</v>
      </c>
      <c r="M108" t="s">
        <v>681</v>
      </c>
      <c r="O108" s="5">
        <v>30862044</v>
      </c>
      <c r="P108" s="5">
        <v>79865</v>
      </c>
      <c r="Q108" s="5">
        <v>15174</v>
      </c>
      <c r="R108" s="5">
        <v>95039</v>
      </c>
    </row>
    <row r="109" spans="1:18" x14ac:dyDescent="0.25">
      <c r="A109" t="s">
        <v>496</v>
      </c>
      <c r="B109" t="s">
        <v>494</v>
      </c>
      <c r="C109">
        <v>61603000</v>
      </c>
      <c r="D109">
        <v>90</v>
      </c>
      <c r="E109" t="s">
        <v>909</v>
      </c>
      <c r="F109" t="s">
        <v>910</v>
      </c>
      <c r="G109" s="1">
        <v>45238</v>
      </c>
      <c r="H109">
        <v>5414826</v>
      </c>
      <c r="I109">
        <v>360</v>
      </c>
      <c r="J109" t="s">
        <v>188</v>
      </c>
      <c r="K109" t="str">
        <f>IFERROR(IF(AND(VLOOKUP($C109,Hes!$A:$B, 1, FALSE), $M109&lt;&gt;" "), "Ingresada", "Falta Ingresar"), " ")</f>
        <v xml:space="preserve"> </v>
      </c>
      <c r="L109" s="4" t="str">
        <f>IFERROR(VLOOKUP($C109,Observaciones!$A:$B,2,FALSE)," ")</f>
        <v>XOC O LLAMAR VENDEDOR</v>
      </c>
      <c r="M109" t="s">
        <v>681</v>
      </c>
      <c r="O109" s="5">
        <v>30862157</v>
      </c>
      <c r="P109" s="5">
        <v>75406</v>
      </c>
      <c r="Q109" s="5">
        <v>14327</v>
      </c>
      <c r="R109" s="5">
        <v>89733</v>
      </c>
    </row>
    <row r="110" spans="1:18" x14ac:dyDescent="0.25">
      <c r="A110" t="s">
        <v>496</v>
      </c>
      <c r="B110" t="s">
        <v>494</v>
      </c>
      <c r="C110">
        <v>61603000</v>
      </c>
      <c r="D110">
        <v>91</v>
      </c>
      <c r="E110" t="s">
        <v>909</v>
      </c>
      <c r="F110" t="s">
        <v>910</v>
      </c>
      <c r="G110" s="1">
        <v>45238</v>
      </c>
      <c r="H110">
        <v>5415042</v>
      </c>
      <c r="I110">
        <v>360</v>
      </c>
      <c r="J110" t="s">
        <v>188</v>
      </c>
      <c r="K110" t="str">
        <f>IFERROR(IF(AND(VLOOKUP($C110,Hes!$A:$B, 1, FALSE), $M110&lt;&gt;" "), "Ingresada", "Falta Ingresar"), " ")</f>
        <v xml:space="preserve"> </v>
      </c>
      <c r="L110" s="4" t="str">
        <f>IFERROR(VLOOKUP($C110,Observaciones!$A:$B,2,FALSE)," ")</f>
        <v>XOC O LLAMAR VENDEDOR</v>
      </c>
      <c r="M110" t="s">
        <v>681</v>
      </c>
      <c r="O110" s="5">
        <v>30862298</v>
      </c>
      <c r="P110" s="5">
        <v>130825</v>
      </c>
      <c r="Q110" s="5">
        <v>24857</v>
      </c>
      <c r="R110" s="5">
        <v>155682</v>
      </c>
    </row>
    <row r="111" spans="1:18" x14ac:dyDescent="0.25">
      <c r="A111" t="s">
        <v>496</v>
      </c>
      <c r="B111" t="s">
        <v>494</v>
      </c>
      <c r="C111">
        <v>61603000</v>
      </c>
      <c r="D111">
        <v>96</v>
      </c>
      <c r="E111" t="s">
        <v>909</v>
      </c>
      <c r="F111" t="s">
        <v>910</v>
      </c>
      <c r="G111" s="1">
        <v>45238</v>
      </c>
      <c r="H111">
        <v>5415086</v>
      </c>
      <c r="I111">
        <v>360</v>
      </c>
      <c r="J111" t="s">
        <v>188</v>
      </c>
      <c r="K111" t="str">
        <f>IFERROR(IF(AND(VLOOKUP($C111,Hes!$A:$B, 1, FALSE), $M111&lt;&gt;" "), "Ingresada", "Falta Ingresar"), " ")</f>
        <v xml:space="preserve"> </v>
      </c>
      <c r="L111" s="4" t="str">
        <f>IFERROR(VLOOKUP($C111,Observaciones!$A:$B,2,FALSE)," ")</f>
        <v>XOC O LLAMAR VENDEDOR</v>
      </c>
      <c r="M111" t="s">
        <v>681</v>
      </c>
      <c r="O111" s="5">
        <v>30862964</v>
      </c>
      <c r="P111" s="5">
        <v>31857</v>
      </c>
      <c r="Q111" s="5">
        <v>6053</v>
      </c>
      <c r="R111" s="5">
        <v>37910</v>
      </c>
    </row>
    <row r="112" spans="1:18" x14ac:dyDescent="0.25">
      <c r="A112" t="s">
        <v>496</v>
      </c>
      <c r="B112" t="s">
        <v>494</v>
      </c>
      <c r="C112">
        <v>61603000</v>
      </c>
      <c r="D112">
        <v>7000</v>
      </c>
      <c r="E112" t="s">
        <v>909</v>
      </c>
      <c r="F112" t="s">
        <v>910</v>
      </c>
      <c r="G112" s="1">
        <v>45238</v>
      </c>
      <c r="H112">
        <v>5415165</v>
      </c>
      <c r="I112">
        <v>360</v>
      </c>
      <c r="J112" t="s">
        <v>188</v>
      </c>
      <c r="K112" t="str">
        <f>IFERROR(IF(AND(VLOOKUP($C112,Hes!$A:$B, 1, FALSE), $M112&lt;&gt;" "), "Ingresada", "Falta Ingresar"), " ")</f>
        <v xml:space="preserve"> </v>
      </c>
      <c r="L112" s="4" t="str">
        <f>IFERROR(VLOOKUP($C112,Observaciones!$A:$B,2,FALSE)," ")</f>
        <v>XOC O LLAMAR VENDEDOR</v>
      </c>
      <c r="M112" t="s">
        <v>681</v>
      </c>
      <c r="O112" s="5">
        <v>30864286</v>
      </c>
      <c r="P112" s="5">
        <v>24148</v>
      </c>
      <c r="Q112" s="5">
        <v>4588</v>
      </c>
      <c r="R112" s="5">
        <v>28736</v>
      </c>
    </row>
    <row r="113" spans="1:18" x14ac:dyDescent="0.25">
      <c r="A113" t="s">
        <v>496</v>
      </c>
      <c r="B113" t="s">
        <v>494</v>
      </c>
      <c r="C113">
        <v>61603000</v>
      </c>
      <c r="D113">
        <v>98</v>
      </c>
      <c r="E113" t="s">
        <v>909</v>
      </c>
      <c r="F113" t="s">
        <v>910</v>
      </c>
      <c r="G113" s="1">
        <v>45238</v>
      </c>
      <c r="H113">
        <v>5415220</v>
      </c>
      <c r="I113">
        <v>360</v>
      </c>
      <c r="J113" t="s">
        <v>188</v>
      </c>
      <c r="K113" t="str">
        <f>IFERROR(IF(AND(VLOOKUP($C113,Hes!$A:$B, 1, FALSE), $M113&lt;&gt;" "), "Ingresada", "Falta Ingresar"), " ")</f>
        <v xml:space="preserve"> </v>
      </c>
      <c r="L113" s="4" t="str">
        <f>IFERROR(VLOOKUP($C113,Observaciones!$A:$B,2,FALSE)," ")</f>
        <v>XOC O LLAMAR VENDEDOR</v>
      </c>
      <c r="M113" t="s">
        <v>681</v>
      </c>
      <c r="O113" s="5">
        <v>30864530</v>
      </c>
      <c r="P113" s="5">
        <v>1590</v>
      </c>
      <c r="Q113" s="5">
        <v>302</v>
      </c>
      <c r="R113" s="5">
        <v>1892</v>
      </c>
    </row>
    <row r="114" spans="1:18" x14ac:dyDescent="0.25">
      <c r="A114" t="s">
        <v>496</v>
      </c>
      <c r="B114" t="s">
        <v>494</v>
      </c>
      <c r="C114">
        <v>61603000</v>
      </c>
      <c r="D114">
        <v>7009</v>
      </c>
      <c r="E114" t="s">
        <v>909</v>
      </c>
      <c r="F114" t="s">
        <v>910</v>
      </c>
      <c r="G114" s="1">
        <v>45238</v>
      </c>
      <c r="H114">
        <v>5415244</v>
      </c>
      <c r="I114">
        <v>360</v>
      </c>
      <c r="J114" t="s">
        <v>188</v>
      </c>
      <c r="K114" t="str">
        <f>IFERROR(IF(AND(VLOOKUP($C114,Hes!$A:$B, 1, FALSE), $M114&lt;&gt;" "), "Ingresada", "Falta Ingresar"), " ")</f>
        <v xml:space="preserve"> </v>
      </c>
      <c r="L114" s="4" t="str">
        <f>IFERROR(VLOOKUP($C114,Observaciones!$A:$B,2,FALSE)," ")</f>
        <v>XOC O LLAMAR VENDEDOR</v>
      </c>
      <c r="M114" t="s">
        <v>681</v>
      </c>
      <c r="O114" s="5">
        <v>30864347</v>
      </c>
      <c r="P114" s="5">
        <v>5679</v>
      </c>
      <c r="Q114" s="5">
        <v>1079</v>
      </c>
      <c r="R114" s="5">
        <v>6758</v>
      </c>
    </row>
    <row r="115" spans="1:18" x14ac:dyDescent="0.25">
      <c r="A115" t="s">
        <v>496</v>
      </c>
      <c r="B115" t="s">
        <v>494</v>
      </c>
      <c r="C115">
        <v>61603000</v>
      </c>
      <c r="D115">
        <v>7008</v>
      </c>
      <c r="E115" t="s">
        <v>909</v>
      </c>
      <c r="F115" t="s">
        <v>910</v>
      </c>
      <c r="G115" s="1">
        <v>45238</v>
      </c>
      <c r="H115">
        <v>5415327</v>
      </c>
      <c r="I115">
        <v>360</v>
      </c>
      <c r="J115" t="s">
        <v>188</v>
      </c>
      <c r="K115" t="str">
        <f>IFERROR(IF(AND(VLOOKUP($C115,Hes!$A:$B, 1, FALSE), $M115&lt;&gt;" "), "Ingresada", "Falta Ingresar"), " ")</f>
        <v xml:space="preserve"> </v>
      </c>
      <c r="L115" s="4" t="str">
        <f>IFERROR(VLOOKUP($C115,Observaciones!$A:$B,2,FALSE)," ")</f>
        <v>XOC O LLAMAR VENDEDOR</v>
      </c>
      <c r="M115" t="s">
        <v>681</v>
      </c>
      <c r="O115" s="5">
        <v>30864433</v>
      </c>
      <c r="P115" s="5">
        <v>32881</v>
      </c>
      <c r="Q115" s="5">
        <v>6247</v>
      </c>
      <c r="R115" s="5">
        <v>39128</v>
      </c>
    </row>
    <row r="116" spans="1:18" x14ac:dyDescent="0.25">
      <c r="A116" t="s">
        <v>496</v>
      </c>
      <c r="B116" t="s">
        <v>494</v>
      </c>
      <c r="C116">
        <v>61603000</v>
      </c>
      <c r="D116">
        <v>7010</v>
      </c>
      <c r="E116" t="s">
        <v>909</v>
      </c>
      <c r="F116" t="s">
        <v>910</v>
      </c>
      <c r="G116" s="1">
        <v>45238</v>
      </c>
      <c r="H116">
        <v>5415338</v>
      </c>
      <c r="I116">
        <v>360</v>
      </c>
      <c r="J116" t="s">
        <v>188</v>
      </c>
      <c r="K116" t="str">
        <f>IFERROR(IF(AND(VLOOKUP($C116,Hes!$A:$B, 1, FALSE), $M116&lt;&gt;" "), "Ingresada", "Falta Ingresar"), " ")</f>
        <v xml:space="preserve"> </v>
      </c>
      <c r="L116" s="4" t="str">
        <f>IFERROR(VLOOKUP($C116,Observaciones!$A:$B,2,FALSE)," ")</f>
        <v>XOC O LLAMAR VENDEDOR</v>
      </c>
      <c r="M116" t="s">
        <v>681</v>
      </c>
      <c r="O116" s="5">
        <v>30864389</v>
      </c>
      <c r="P116" s="5">
        <v>15024</v>
      </c>
      <c r="Q116" s="5">
        <v>2855</v>
      </c>
      <c r="R116" s="5">
        <v>17879</v>
      </c>
    </row>
    <row r="117" spans="1:18" x14ac:dyDescent="0.25">
      <c r="A117" t="s">
        <v>496</v>
      </c>
      <c r="B117" t="s">
        <v>494</v>
      </c>
      <c r="C117">
        <v>61603000</v>
      </c>
      <c r="D117">
        <v>97</v>
      </c>
      <c r="E117" t="s">
        <v>909</v>
      </c>
      <c r="F117" t="s">
        <v>910</v>
      </c>
      <c r="G117" s="1">
        <v>45238</v>
      </c>
      <c r="H117">
        <v>5415389</v>
      </c>
      <c r="I117">
        <v>360</v>
      </c>
      <c r="J117" t="s">
        <v>188</v>
      </c>
      <c r="K117" t="str">
        <f>IFERROR(IF(AND(VLOOKUP($C117,Hes!$A:$B, 1, FALSE), $M117&lt;&gt;" "), "Ingresada", "Falta Ingresar"), " ")</f>
        <v xml:space="preserve"> </v>
      </c>
      <c r="L117" s="4" t="str">
        <f>IFERROR(VLOOKUP($C117,Observaciones!$A:$B,2,FALSE)," ")</f>
        <v>XOC O LLAMAR VENDEDOR</v>
      </c>
      <c r="M117" t="s">
        <v>681</v>
      </c>
      <c r="O117" s="5">
        <v>30863012</v>
      </c>
      <c r="P117" s="5">
        <v>64131</v>
      </c>
      <c r="Q117" s="5">
        <v>12185</v>
      </c>
      <c r="R117" s="5">
        <v>76316</v>
      </c>
    </row>
    <row r="118" spans="1:18" x14ac:dyDescent="0.25">
      <c r="A118" t="s">
        <v>496</v>
      </c>
      <c r="B118" t="s">
        <v>494</v>
      </c>
      <c r="C118">
        <v>61603000</v>
      </c>
      <c r="D118">
        <v>95</v>
      </c>
      <c r="E118" t="s">
        <v>909</v>
      </c>
      <c r="F118" t="s">
        <v>910</v>
      </c>
      <c r="G118" s="1">
        <v>45238</v>
      </c>
      <c r="H118">
        <v>5415400</v>
      </c>
      <c r="I118">
        <v>360</v>
      </c>
      <c r="J118" t="s">
        <v>188</v>
      </c>
      <c r="K118" t="str">
        <f>IFERROR(IF(AND(VLOOKUP($C118,Hes!$A:$B, 1, FALSE), $M118&lt;&gt;" "), "Ingresada", "Falta Ingresar"), " ")</f>
        <v xml:space="preserve"> </v>
      </c>
      <c r="L118" s="4" t="str">
        <f>IFERROR(VLOOKUP($C118,Observaciones!$A:$B,2,FALSE)," ")</f>
        <v>XOC O LLAMAR VENDEDOR</v>
      </c>
      <c r="M118" t="s">
        <v>681</v>
      </c>
      <c r="O118" s="5">
        <v>30863777</v>
      </c>
      <c r="P118" s="5">
        <v>48325</v>
      </c>
      <c r="Q118" s="5">
        <v>9182</v>
      </c>
      <c r="R118" s="5">
        <v>57507</v>
      </c>
    </row>
    <row r="119" spans="1:18" x14ac:dyDescent="0.25">
      <c r="F119" t="s">
        <v>576</v>
      </c>
      <c r="K119" t="str">
        <f>IFERROR(IF(AND(VLOOKUP($C119,Hes!$A:$B, 1, FALSE), $M119&lt;&gt;" "), "Ingresada", "Falta Ingresar"), " ")</f>
        <v xml:space="preserve"> </v>
      </c>
      <c r="L119" s="4" t="str">
        <f>IFERROR(VLOOKUP($C119,Observaciones!$A:$B,2,FALSE)," ")</f>
        <v xml:space="preserve"> </v>
      </c>
      <c r="M119" t="s">
        <v>681</v>
      </c>
      <c r="P119" s="5">
        <v>754982</v>
      </c>
      <c r="Q119" s="5">
        <v>143447</v>
      </c>
      <c r="R119" s="5">
        <v>898429</v>
      </c>
    </row>
    <row r="120" spans="1:18" x14ac:dyDescent="0.25">
      <c r="A120" t="s">
        <v>496</v>
      </c>
      <c r="B120" t="s">
        <v>494</v>
      </c>
      <c r="C120">
        <v>61606200</v>
      </c>
      <c r="D120">
        <v>6</v>
      </c>
      <c r="E120" t="s">
        <v>911</v>
      </c>
      <c r="F120" t="s">
        <v>912</v>
      </c>
      <c r="G120" s="1">
        <v>45234</v>
      </c>
      <c r="H120">
        <v>5411796</v>
      </c>
      <c r="I120">
        <v>395</v>
      </c>
      <c r="J120" t="s">
        <v>450</v>
      </c>
      <c r="K120" t="str">
        <f>IFERROR(IF(AND(VLOOKUP($C120,Hes!$A:$B, 1, FALSE), $M120&lt;&gt;" "), "Ingresada", "Falta Ingresar"), " ")</f>
        <v xml:space="preserve"> </v>
      </c>
      <c r="L120" s="4" t="str">
        <f>IFERROR(VLOOKUP($C120,Observaciones!$A:$B,2,FALSE)," ")</f>
        <v>XOC Y CC</v>
      </c>
      <c r="M120" t="s">
        <v>681</v>
      </c>
      <c r="O120" s="5">
        <v>30811081</v>
      </c>
      <c r="P120" s="5">
        <v>86650</v>
      </c>
      <c r="Q120" s="5">
        <v>16464</v>
      </c>
      <c r="R120" s="5">
        <v>103114</v>
      </c>
    </row>
    <row r="121" spans="1:18" x14ac:dyDescent="0.25">
      <c r="F121" t="s">
        <v>495</v>
      </c>
      <c r="K121" t="str">
        <f>IFERROR(IF(AND(VLOOKUP($C121,Hes!$A:$B, 1, FALSE), $M121&lt;&gt;" "), "Ingresada", "Falta Ingresar"), " ")</f>
        <v xml:space="preserve"> </v>
      </c>
      <c r="L121" s="4" t="str">
        <f>IFERROR(VLOOKUP($C121,Observaciones!$A:$B,2,FALSE)," ")</f>
        <v xml:space="preserve"> </v>
      </c>
      <c r="M121" t="s">
        <v>681</v>
      </c>
      <c r="P121" s="5">
        <v>86650</v>
      </c>
      <c r="Q121" s="5">
        <v>16464</v>
      </c>
      <c r="R121" s="5">
        <v>103114</v>
      </c>
    </row>
    <row r="122" spans="1:18" x14ac:dyDescent="0.25">
      <c r="A122" t="s">
        <v>503</v>
      </c>
      <c r="B122" t="s">
        <v>509</v>
      </c>
      <c r="C122">
        <v>61606608</v>
      </c>
      <c r="D122">
        <v>1</v>
      </c>
      <c r="E122" t="s">
        <v>913</v>
      </c>
      <c r="F122" t="s">
        <v>914</v>
      </c>
      <c r="G122" s="1">
        <v>45236</v>
      </c>
      <c r="H122">
        <v>5412771</v>
      </c>
      <c r="I122">
        <v>408</v>
      </c>
      <c r="J122" t="s">
        <v>444</v>
      </c>
      <c r="K122" t="str">
        <f>IFERROR(IF(AND(VLOOKUP($C122,Hes!$A:$B, 1, FALSE), $M122&lt;&gt;" "), "Ingresada", "Falta Ingresar"), " ")</f>
        <v xml:space="preserve"> </v>
      </c>
      <c r="L122" s="4" t="str">
        <f>IFERROR(VLOOKUP($C122,Observaciones!$A:$B,2,FALSE)," ")</f>
        <v xml:space="preserve"> </v>
      </c>
      <c r="M122" t="s">
        <v>681</v>
      </c>
      <c r="O122" s="5">
        <v>30812503</v>
      </c>
      <c r="P122" s="5">
        <v>5200</v>
      </c>
      <c r="Q122" s="5">
        <v>988</v>
      </c>
      <c r="R122" s="5">
        <v>6188</v>
      </c>
    </row>
    <row r="123" spans="1:18" x14ac:dyDescent="0.25">
      <c r="A123" t="s">
        <v>503</v>
      </c>
      <c r="B123" t="s">
        <v>509</v>
      </c>
      <c r="C123">
        <v>61606608</v>
      </c>
      <c r="D123">
        <v>1</v>
      </c>
      <c r="E123" t="s">
        <v>915</v>
      </c>
      <c r="F123" t="s">
        <v>914</v>
      </c>
      <c r="G123" s="1">
        <v>45236</v>
      </c>
      <c r="H123">
        <v>5412969</v>
      </c>
      <c r="I123">
        <v>408</v>
      </c>
      <c r="J123" t="s">
        <v>444</v>
      </c>
      <c r="K123" t="str">
        <f>IFERROR(IF(AND(VLOOKUP($C123,Hes!$A:$B, 1, FALSE), $M123&lt;&gt;" "), "Ingresada", "Falta Ingresar"), " ")</f>
        <v xml:space="preserve"> </v>
      </c>
      <c r="L123" s="4" t="str">
        <f>IFERROR(VLOOKUP($C123,Observaciones!$A:$B,2,FALSE)," ")</f>
        <v xml:space="preserve"> </v>
      </c>
      <c r="M123" t="s">
        <v>681</v>
      </c>
      <c r="O123" s="5">
        <v>30855227</v>
      </c>
      <c r="P123" s="5">
        <v>1522510</v>
      </c>
      <c r="Q123" s="5">
        <v>289277</v>
      </c>
      <c r="R123" s="5">
        <v>1811787</v>
      </c>
    </row>
    <row r="124" spans="1:18" x14ac:dyDescent="0.25">
      <c r="A124" t="s">
        <v>503</v>
      </c>
      <c r="B124" t="s">
        <v>509</v>
      </c>
      <c r="C124">
        <v>61606608</v>
      </c>
      <c r="D124">
        <v>1</v>
      </c>
      <c r="E124" t="s">
        <v>916</v>
      </c>
      <c r="F124" t="s">
        <v>914</v>
      </c>
      <c r="G124" s="1">
        <v>45236</v>
      </c>
      <c r="H124">
        <v>5413011</v>
      </c>
      <c r="I124">
        <v>408</v>
      </c>
      <c r="J124" t="s">
        <v>444</v>
      </c>
      <c r="K124" t="str">
        <f>IFERROR(IF(AND(VLOOKUP($C124,Hes!$A:$B, 1, FALSE), $M124&lt;&gt;" "), "Ingresada", "Falta Ingresar"), " ")</f>
        <v xml:space="preserve"> </v>
      </c>
      <c r="L124" s="4" t="str">
        <f>IFERROR(VLOOKUP($C124,Observaciones!$A:$B,2,FALSE)," ")</f>
        <v xml:space="preserve"> </v>
      </c>
      <c r="M124" t="s">
        <v>681</v>
      </c>
      <c r="O124" s="5">
        <v>30803459</v>
      </c>
      <c r="P124" s="5">
        <v>92260</v>
      </c>
      <c r="Q124" s="5">
        <v>17529</v>
      </c>
      <c r="R124" s="5">
        <v>109789</v>
      </c>
    </row>
    <row r="125" spans="1:18" x14ac:dyDescent="0.25">
      <c r="A125" t="s">
        <v>503</v>
      </c>
      <c r="B125" t="s">
        <v>509</v>
      </c>
      <c r="C125">
        <v>61606608</v>
      </c>
      <c r="D125">
        <v>1</v>
      </c>
      <c r="E125" t="s">
        <v>917</v>
      </c>
      <c r="F125" t="s">
        <v>914</v>
      </c>
      <c r="G125" s="1">
        <v>45236</v>
      </c>
      <c r="H125">
        <v>5413014</v>
      </c>
      <c r="I125">
        <v>408</v>
      </c>
      <c r="J125" t="s">
        <v>444</v>
      </c>
      <c r="K125" t="str">
        <f>IFERROR(IF(AND(VLOOKUP($C125,Hes!$A:$B, 1, FALSE), $M125&lt;&gt;" "), "Ingresada", "Falta Ingresar"), " ")</f>
        <v xml:space="preserve"> </v>
      </c>
      <c r="L125" s="4" t="str">
        <f>IFERROR(VLOOKUP($C125,Observaciones!$A:$B,2,FALSE)," ")</f>
        <v xml:space="preserve"> </v>
      </c>
      <c r="M125" t="s">
        <v>681</v>
      </c>
      <c r="O125" s="5">
        <v>30834722</v>
      </c>
      <c r="P125" s="5">
        <v>573230</v>
      </c>
      <c r="Q125" s="5">
        <v>108914</v>
      </c>
      <c r="R125" s="5">
        <v>682144</v>
      </c>
    </row>
    <row r="126" spans="1:18" x14ac:dyDescent="0.25">
      <c r="F126" t="s">
        <v>498</v>
      </c>
      <c r="K126" t="str">
        <f>IFERROR(IF(AND(VLOOKUP($C126,Hes!$A:$B, 1, FALSE), $M126&lt;&gt;" "), "Ingresada", "Falta Ingresar"), " ")</f>
        <v xml:space="preserve"> </v>
      </c>
      <c r="L126" s="4" t="str">
        <f>IFERROR(VLOOKUP($C126,Observaciones!$A:$B,2,FALSE)," ")</f>
        <v xml:space="preserve"> </v>
      </c>
      <c r="M126" t="s">
        <v>681</v>
      </c>
      <c r="P126" s="5">
        <v>2193200</v>
      </c>
      <c r="Q126" s="5">
        <v>416708</v>
      </c>
      <c r="R126" s="5">
        <v>2609908</v>
      </c>
    </row>
    <row r="127" spans="1:18" x14ac:dyDescent="0.25">
      <c r="A127" t="s">
        <v>503</v>
      </c>
      <c r="B127" t="s">
        <v>509</v>
      </c>
      <c r="C127">
        <v>61606800</v>
      </c>
      <c r="D127">
        <v>0</v>
      </c>
      <c r="E127" t="s">
        <v>918</v>
      </c>
      <c r="F127" t="s">
        <v>919</v>
      </c>
      <c r="G127" s="1">
        <v>45236</v>
      </c>
      <c r="H127">
        <v>5413911</v>
      </c>
      <c r="I127">
        <v>408</v>
      </c>
      <c r="J127" t="s">
        <v>444</v>
      </c>
      <c r="K127" t="str">
        <f>IFERROR(IF(AND(VLOOKUP($C127,Hes!$A:$B, 1, FALSE), $M127&lt;&gt;" "), "Ingresada", "Falta Ingresar"), " ")</f>
        <v xml:space="preserve"> </v>
      </c>
      <c r="L127" s="4" t="s">
        <v>681</v>
      </c>
      <c r="M127" t="s">
        <v>681</v>
      </c>
      <c r="O127" s="5">
        <v>30851766</v>
      </c>
      <c r="P127" s="5">
        <v>103346</v>
      </c>
      <c r="Q127" s="5">
        <v>19636</v>
      </c>
      <c r="R127" s="5">
        <v>122982</v>
      </c>
    </row>
    <row r="128" spans="1:18" x14ac:dyDescent="0.25">
      <c r="F128" t="s">
        <v>495</v>
      </c>
      <c r="K128" t="str">
        <f>IFERROR(IF(AND(VLOOKUP($C128,Hes!$A:$B, 1, FALSE), $M128&lt;&gt;" "), "Ingresada", "Falta Ingresar"), " ")</f>
        <v xml:space="preserve"> </v>
      </c>
      <c r="L128" s="4" t="str">
        <f>IFERROR(VLOOKUP($C128,Observaciones!$A:$B,2,FALSE)," ")</f>
        <v xml:space="preserve"> </v>
      </c>
      <c r="M128" t="s">
        <v>681</v>
      </c>
      <c r="P128" s="5">
        <v>103346</v>
      </c>
      <c r="Q128" s="5">
        <v>19636</v>
      </c>
      <c r="R128" s="5">
        <v>122982</v>
      </c>
    </row>
    <row r="129" spans="1:18" x14ac:dyDescent="0.25">
      <c r="A129" t="s">
        <v>512</v>
      </c>
      <c r="B129" t="s">
        <v>494</v>
      </c>
      <c r="C129">
        <v>61606901</v>
      </c>
      <c r="D129">
        <v>166</v>
      </c>
      <c r="E129">
        <v>30845395</v>
      </c>
      <c r="F129" t="s">
        <v>920</v>
      </c>
      <c r="G129" s="1">
        <v>45231</v>
      </c>
      <c r="H129">
        <v>5410594</v>
      </c>
      <c r="I129">
        <v>435</v>
      </c>
      <c r="J129" t="s">
        <v>452</v>
      </c>
      <c r="K129" t="str">
        <f>IFERROR(IF(AND(VLOOKUP($C129,Hes!$A:$B, 1, FALSE), $M129&lt;&gt;" "), "Ingresada", "Falta Ingresar"), " ")</f>
        <v xml:space="preserve"> </v>
      </c>
      <c r="L129" s="4" t="str">
        <f>IFERROR(VLOOKUP($C129,Observaciones!$A:$B,2,FALSE)," ")</f>
        <v>CAROLINA COLORADO DEBE ENVIAR  OC</v>
      </c>
      <c r="M129" t="s">
        <v>681</v>
      </c>
      <c r="O129" s="5">
        <v>30845395</v>
      </c>
      <c r="P129" s="5">
        <v>348406</v>
      </c>
      <c r="Q129" s="5">
        <v>66197</v>
      </c>
      <c r="R129" s="5">
        <v>414603</v>
      </c>
    </row>
    <row r="130" spans="1:18" x14ac:dyDescent="0.25">
      <c r="A130" t="s">
        <v>512</v>
      </c>
      <c r="B130" t="s">
        <v>494</v>
      </c>
      <c r="C130">
        <v>61606901</v>
      </c>
      <c r="D130">
        <v>15</v>
      </c>
      <c r="E130">
        <v>30846400</v>
      </c>
      <c r="F130" t="s">
        <v>920</v>
      </c>
      <c r="G130" s="1">
        <v>45231</v>
      </c>
      <c r="H130">
        <v>5410597</v>
      </c>
      <c r="I130">
        <v>435</v>
      </c>
      <c r="J130" t="s">
        <v>452</v>
      </c>
      <c r="K130" t="str">
        <f>IFERROR(IF(AND(VLOOKUP($C130,Hes!$A:$B, 1, FALSE), $M130&lt;&gt;" "), "Ingresada", "Falta Ingresar"), " ")</f>
        <v xml:space="preserve"> </v>
      </c>
      <c r="L130" s="4" t="str">
        <f>IFERROR(VLOOKUP($C130,Observaciones!$A:$B,2,FALSE)," ")</f>
        <v>CAROLINA COLORADO DEBE ENVIAR  OC</v>
      </c>
      <c r="M130" t="s">
        <v>681</v>
      </c>
      <c r="O130" s="5">
        <v>30846400</v>
      </c>
      <c r="P130" s="5">
        <v>7320</v>
      </c>
      <c r="Q130" s="5">
        <v>1391</v>
      </c>
      <c r="R130" s="5">
        <v>8711</v>
      </c>
    </row>
    <row r="131" spans="1:18" x14ac:dyDescent="0.25">
      <c r="A131" t="s">
        <v>512</v>
      </c>
      <c r="B131" t="s">
        <v>494</v>
      </c>
      <c r="C131">
        <v>61606901</v>
      </c>
      <c r="D131">
        <v>169</v>
      </c>
      <c r="E131">
        <v>30846044</v>
      </c>
      <c r="F131" t="s">
        <v>920</v>
      </c>
      <c r="G131" s="1">
        <v>45231</v>
      </c>
      <c r="H131">
        <v>5410598</v>
      </c>
      <c r="I131">
        <v>435</v>
      </c>
      <c r="J131" t="s">
        <v>452</v>
      </c>
      <c r="K131" t="str">
        <f>IFERROR(IF(AND(VLOOKUP($C131,Hes!$A:$B, 1, FALSE), $M131&lt;&gt;" "), "Ingresada", "Falta Ingresar"), " ")</f>
        <v xml:space="preserve"> </v>
      </c>
      <c r="L131" s="4" t="str">
        <f>IFERROR(VLOOKUP($C131,Observaciones!$A:$B,2,FALSE)," ")</f>
        <v>CAROLINA COLORADO DEBE ENVIAR  OC</v>
      </c>
      <c r="M131" t="s">
        <v>681</v>
      </c>
      <c r="O131" s="5">
        <v>30846044</v>
      </c>
      <c r="P131" s="5">
        <v>166185</v>
      </c>
      <c r="Q131" s="5">
        <v>31575</v>
      </c>
      <c r="R131" s="5">
        <v>197760</v>
      </c>
    </row>
    <row r="132" spans="1:18" x14ac:dyDescent="0.25">
      <c r="A132" t="s">
        <v>512</v>
      </c>
      <c r="B132" t="s">
        <v>494</v>
      </c>
      <c r="C132">
        <v>61606901</v>
      </c>
      <c r="D132">
        <v>185</v>
      </c>
      <c r="E132">
        <v>30842699</v>
      </c>
      <c r="F132" t="s">
        <v>920</v>
      </c>
      <c r="G132" s="1">
        <v>45231</v>
      </c>
      <c r="H132">
        <v>5410601</v>
      </c>
      <c r="I132">
        <v>435</v>
      </c>
      <c r="J132" t="s">
        <v>452</v>
      </c>
      <c r="K132" t="str">
        <f>IFERROR(IF(AND(VLOOKUP($C132,Hes!$A:$B, 1, FALSE), $M132&lt;&gt;" "), "Ingresada", "Falta Ingresar"), " ")</f>
        <v xml:space="preserve"> </v>
      </c>
      <c r="L132" s="4" t="str">
        <f>IFERROR(VLOOKUP($C132,Observaciones!$A:$B,2,FALSE)," ")</f>
        <v>CAROLINA COLORADO DEBE ENVIAR  OC</v>
      </c>
      <c r="M132" t="s">
        <v>681</v>
      </c>
      <c r="O132" s="5">
        <v>30842699</v>
      </c>
      <c r="P132" s="5">
        <v>36964</v>
      </c>
      <c r="Q132" s="5">
        <v>7023</v>
      </c>
      <c r="R132" s="5">
        <v>43987</v>
      </c>
    </row>
    <row r="133" spans="1:18" x14ac:dyDescent="0.25">
      <c r="A133" t="s">
        <v>512</v>
      </c>
      <c r="B133" t="s">
        <v>494</v>
      </c>
      <c r="C133">
        <v>61606901</v>
      </c>
      <c r="D133">
        <v>139</v>
      </c>
      <c r="E133">
        <v>30843364</v>
      </c>
      <c r="F133" t="s">
        <v>920</v>
      </c>
      <c r="G133" s="1">
        <v>45231</v>
      </c>
      <c r="H133">
        <v>5410602</v>
      </c>
      <c r="I133">
        <v>435</v>
      </c>
      <c r="J133" t="s">
        <v>452</v>
      </c>
      <c r="K133" t="str">
        <f>IFERROR(IF(AND(VLOOKUP($C133,Hes!$A:$B, 1, FALSE), $M133&lt;&gt;" "), "Ingresada", "Falta Ingresar"), " ")</f>
        <v xml:space="preserve"> </v>
      </c>
      <c r="L133" s="4" t="str">
        <f>IFERROR(VLOOKUP($C133,Observaciones!$A:$B,2,FALSE)," ")</f>
        <v>CAROLINA COLORADO DEBE ENVIAR  OC</v>
      </c>
      <c r="M133" t="s">
        <v>681</v>
      </c>
      <c r="O133" s="5">
        <v>30843364</v>
      </c>
      <c r="P133" s="5">
        <v>35529</v>
      </c>
      <c r="Q133" s="5">
        <v>6751</v>
      </c>
      <c r="R133" s="5">
        <v>42280</v>
      </c>
    </row>
    <row r="134" spans="1:18" x14ac:dyDescent="0.25">
      <c r="A134" t="s">
        <v>512</v>
      </c>
      <c r="B134" t="s">
        <v>494</v>
      </c>
      <c r="C134">
        <v>61606901</v>
      </c>
      <c r="D134">
        <v>169</v>
      </c>
      <c r="E134">
        <v>30846047</v>
      </c>
      <c r="F134" t="s">
        <v>920</v>
      </c>
      <c r="G134" s="1">
        <v>45231</v>
      </c>
      <c r="H134">
        <v>5410605</v>
      </c>
      <c r="I134">
        <v>435</v>
      </c>
      <c r="J134" t="s">
        <v>452</v>
      </c>
      <c r="K134" t="str">
        <f>IFERROR(IF(AND(VLOOKUP($C134,Hes!$A:$B, 1, FALSE), $M134&lt;&gt;" "), "Ingresada", "Falta Ingresar"), " ")</f>
        <v xml:space="preserve"> </v>
      </c>
      <c r="L134" s="4" t="str">
        <f>IFERROR(VLOOKUP($C134,Observaciones!$A:$B,2,FALSE)," ")</f>
        <v>CAROLINA COLORADO DEBE ENVIAR  OC</v>
      </c>
      <c r="M134" t="s">
        <v>681</v>
      </c>
      <c r="O134" s="5">
        <v>30846047</v>
      </c>
      <c r="P134" s="5">
        <v>10798</v>
      </c>
      <c r="Q134" s="5">
        <v>2052</v>
      </c>
      <c r="R134" s="5">
        <v>12850</v>
      </c>
    </row>
    <row r="135" spans="1:18" x14ac:dyDescent="0.25">
      <c r="A135" t="s">
        <v>512</v>
      </c>
      <c r="B135" t="s">
        <v>494</v>
      </c>
      <c r="C135">
        <v>61606901</v>
      </c>
      <c r="D135">
        <v>180</v>
      </c>
      <c r="E135">
        <v>30841499</v>
      </c>
      <c r="F135" t="s">
        <v>920</v>
      </c>
      <c r="G135" s="1">
        <v>45231</v>
      </c>
      <c r="H135">
        <v>5410606</v>
      </c>
      <c r="I135">
        <v>435</v>
      </c>
      <c r="J135" t="s">
        <v>452</v>
      </c>
      <c r="K135" t="str">
        <f>IFERROR(IF(AND(VLOOKUP($C135,Hes!$A:$B, 1, FALSE), $M135&lt;&gt;" "), "Ingresada", "Falta Ingresar"), " ")</f>
        <v xml:space="preserve"> </v>
      </c>
      <c r="L135" s="4" t="str">
        <f>IFERROR(VLOOKUP($C135,Observaciones!$A:$B,2,FALSE)," ")</f>
        <v>CAROLINA COLORADO DEBE ENVIAR  OC</v>
      </c>
      <c r="M135" t="s">
        <v>681</v>
      </c>
      <c r="O135" s="5">
        <v>30841499</v>
      </c>
      <c r="P135" s="5">
        <v>62639</v>
      </c>
      <c r="Q135" s="5">
        <v>11901</v>
      </c>
      <c r="R135" s="5">
        <v>74540</v>
      </c>
    </row>
    <row r="136" spans="1:18" x14ac:dyDescent="0.25">
      <c r="A136" t="s">
        <v>512</v>
      </c>
      <c r="B136" t="s">
        <v>494</v>
      </c>
      <c r="C136">
        <v>61606901</v>
      </c>
      <c r="D136">
        <v>192</v>
      </c>
      <c r="E136">
        <v>30841585</v>
      </c>
      <c r="F136" t="s">
        <v>920</v>
      </c>
      <c r="G136" s="1">
        <v>45231</v>
      </c>
      <c r="H136">
        <v>5410607</v>
      </c>
      <c r="I136">
        <v>435</v>
      </c>
      <c r="J136" t="s">
        <v>452</v>
      </c>
      <c r="K136" t="str">
        <f>IFERROR(IF(AND(VLOOKUP($C136,Hes!$A:$B, 1, FALSE), $M136&lt;&gt;" "), "Ingresada", "Falta Ingresar"), " ")</f>
        <v xml:space="preserve"> </v>
      </c>
      <c r="L136" s="4" t="str">
        <f>IFERROR(VLOOKUP($C136,Observaciones!$A:$B,2,FALSE)," ")</f>
        <v>CAROLINA COLORADO DEBE ENVIAR  OC</v>
      </c>
      <c r="M136" t="s">
        <v>681</v>
      </c>
      <c r="O136" s="5">
        <v>30841585</v>
      </c>
      <c r="P136" s="5">
        <v>9704</v>
      </c>
      <c r="Q136" s="5">
        <v>1844</v>
      </c>
      <c r="R136" s="5">
        <v>11548</v>
      </c>
    </row>
    <row r="137" spans="1:18" x14ac:dyDescent="0.25">
      <c r="A137" t="s">
        <v>512</v>
      </c>
      <c r="B137" t="s">
        <v>494</v>
      </c>
      <c r="C137">
        <v>61606901</v>
      </c>
      <c r="D137">
        <v>9</v>
      </c>
      <c r="E137">
        <v>30842420</v>
      </c>
      <c r="F137" t="s">
        <v>920</v>
      </c>
      <c r="G137" s="1">
        <v>45231</v>
      </c>
      <c r="H137">
        <v>5410608</v>
      </c>
      <c r="I137">
        <v>435</v>
      </c>
      <c r="J137" t="s">
        <v>452</v>
      </c>
      <c r="K137" t="str">
        <f>IFERROR(IF(AND(VLOOKUP($C137,Hes!$A:$B, 1, FALSE), $M137&lt;&gt;" "), "Ingresada", "Falta Ingresar"), " ")</f>
        <v xml:space="preserve"> </v>
      </c>
      <c r="L137" s="4" t="str">
        <f>IFERROR(VLOOKUP($C137,Observaciones!$A:$B,2,FALSE)," ")</f>
        <v>CAROLINA COLORADO DEBE ENVIAR  OC</v>
      </c>
      <c r="M137" t="s">
        <v>681</v>
      </c>
      <c r="O137" s="5">
        <v>30842420</v>
      </c>
      <c r="P137" s="5">
        <v>544919</v>
      </c>
      <c r="Q137" s="5">
        <v>103535</v>
      </c>
      <c r="R137" s="5">
        <v>648454</v>
      </c>
    </row>
    <row r="138" spans="1:18" x14ac:dyDescent="0.25">
      <c r="A138" t="s">
        <v>512</v>
      </c>
      <c r="B138" t="s">
        <v>494</v>
      </c>
      <c r="C138">
        <v>61606901</v>
      </c>
      <c r="D138">
        <v>158</v>
      </c>
      <c r="E138">
        <v>30842063</v>
      </c>
      <c r="F138" t="s">
        <v>920</v>
      </c>
      <c r="G138" s="1">
        <v>45231</v>
      </c>
      <c r="H138">
        <v>5410609</v>
      </c>
      <c r="I138">
        <v>435</v>
      </c>
      <c r="J138" t="s">
        <v>452</v>
      </c>
      <c r="K138" t="str">
        <f>IFERROR(IF(AND(VLOOKUP($C138,Hes!$A:$B, 1, FALSE), $M138&lt;&gt;" "), "Ingresada", "Falta Ingresar"), " ")</f>
        <v xml:space="preserve"> </v>
      </c>
      <c r="L138" s="4" t="str">
        <f>IFERROR(VLOOKUP($C138,Observaciones!$A:$B,2,FALSE)," ")</f>
        <v>CAROLINA COLORADO DEBE ENVIAR  OC</v>
      </c>
      <c r="M138" t="s">
        <v>681</v>
      </c>
      <c r="O138" s="5">
        <v>30842063</v>
      </c>
      <c r="P138" s="5">
        <v>285218</v>
      </c>
      <c r="Q138" s="5">
        <v>54191</v>
      </c>
      <c r="R138" s="5">
        <v>339409</v>
      </c>
    </row>
    <row r="139" spans="1:18" x14ac:dyDescent="0.25">
      <c r="A139" t="s">
        <v>512</v>
      </c>
      <c r="B139" t="s">
        <v>494</v>
      </c>
      <c r="C139">
        <v>61606901</v>
      </c>
      <c r="D139">
        <v>160</v>
      </c>
      <c r="E139">
        <v>30842632</v>
      </c>
      <c r="F139" t="s">
        <v>920</v>
      </c>
      <c r="G139" s="1">
        <v>45231</v>
      </c>
      <c r="H139">
        <v>5410610</v>
      </c>
      <c r="I139">
        <v>435</v>
      </c>
      <c r="J139" t="s">
        <v>452</v>
      </c>
      <c r="K139" t="str">
        <f>IFERROR(IF(AND(VLOOKUP($C139,Hes!$A:$B, 1, FALSE), $M139&lt;&gt;" "), "Ingresada", "Falta Ingresar"), " ")</f>
        <v xml:space="preserve"> </v>
      </c>
      <c r="L139" s="4" t="str">
        <f>IFERROR(VLOOKUP($C139,Observaciones!$A:$B,2,FALSE)," ")</f>
        <v>CAROLINA COLORADO DEBE ENVIAR  OC</v>
      </c>
      <c r="M139" t="s">
        <v>681</v>
      </c>
      <c r="O139" s="5">
        <v>30842632</v>
      </c>
      <c r="P139" s="5">
        <v>427267</v>
      </c>
      <c r="Q139" s="5">
        <v>81181</v>
      </c>
      <c r="R139" s="5">
        <v>508448</v>
      </c>
    </row>
    <row r="140" spans="1:18" x14ac:dyDescent="0.25">
      <c r="A140" t="s">
        <v>512</v>
      </c>
      <c r="B140" t="s">
        <v>494</v>
      </c>
      <c r="C140">
        <v>61606901</v>
      </c>
      <c r="D140">
        <v>102</v>
      </c>
      <c r="E140">
        <v>30847327</v>
      </c>
      <c r="F140" t="s">
        <v>920</v>
      </c>
      <c r="G140" s="1">
        <v>45231</v>
      </c>
      <c r="H140">
        <v>5410651</v>
      </c>
      <c r="I140">
        <v>435</v>
      </c>
      <c r="J140" t="s">
        <v>452</v>
      </c>
      <c r="K140" t="str">
        <f>IFERROR(IF(AND(VLOOKUP($C140,Hes!$A:$B, 1, FALSE), $M140&lt;&gt;" "), "Ingresada", "Falta Ingresar"), " ")</f>
        <v xml:space="preserve"> </v>
      </c>
      <c r="L140" s="4" t="str">
        <f>IFERROR(VLOOKUP($C140,Observaciones!$A:$B,2,FALSE)," ")</f>
        <v>CAROLINA COLORADO DEBE ENVIAR  OC</v>
      </c>
      <c r="M140" t="s">
        <v>681</v>
      </c>
      <c r="O140" s="5">
        <v>30847327</v>
      </c>
      <c r="P140" s="5">
        <v>74028</v>
      </c>
      <c r="Q140" s="5">
        <v>14065</v>
      </c>
      <c r="R140" s="5">
        <v>88093</v>
      </c>
    </row>
    <row r="141" spans="1:18" x14ac:dyDescent="0.25">
      <c r="A141" t="s">
        <v>512</v>
      </c>
      <c r="B141" t="s">
        <v>494</v>
      </c>
      <c r="C141">
        <v>61606901</v>
      </c>
      <c r="D141">
        <v>181</v>
      </c>
      <c r="E141">
        <v>30847194</v>
      </c>
      <c r="F141" t="s">
        <v>920</v>
      </c>
      <c r="G141" s="1">
        <v>45231</v>
      </c>
      <c r="H141">
        <v>5410654</v>
      </c>
      <c r="I141">
        <v>435</v>
      </c>
      <c r="J141" t="s">
        <v>452</v>
      </c>
      <c r="K141" t="str">
        <f>IFERROR(IF(AND(VLOOKUP($C141,Hes!$A:$B, 1, FALSE), $M141&lt;&gt;" "), "Ingresada", "Falta Ingresar"), " ")</f>
        <v xml:space="preserve"> </v>
      </c>
      <c r="L141" s="4" t="str">
        <f>IFERROR(VLOOKUP($C141,Observaciones!$A:$B,2,FALSE)," ")</f>
        <v>CAROLINA COLORADO DEBE ENVIAR  OC</v>
      </c>
      <c r="M141" t="s">
        <v>681</v>
      </c>
      <c r="O141" s="5">
        <v>30847194</v>
      </c>
      <c r="P141" s="5">
        <v>246760</v>
      </c>
      <c r="Q141" s="5">
        <v>46884</v>
      </c>
      <c r="R141" s="5">
        <v>293644</v>
      </c>
    </row>
    <row r="142" spans="1:18" x14ac:dyDescent="0.25">
      <c r="A142" t="s">
        <v>512</v>
      </c>
      <c r="B142" t="s">
        <v>494</v>
      </c>
      <c r="C142">
        <v>61606901</v>
      </c>
      <c r="D142">
        <v>1</v>
      </c>
      <c r="E142">
        <v>30847177</v>
      </c>
      <c r="F142" t="s">
        <v>920</v>
      </c>
      <c r="G142" s="1">
        <v>45231</v>
      </c>
      <c r="H142">
        <v>5410655</v>
      </c>
      <c r="I142">
        <v>435</v>
      </c>
      <c r="J142" t="s">
        <v>452</v>
      </c>
      <c r="K142" t="str">
        <f>IFERROR(IF(AND(VLOOKUP($C142,Hes!$A:$B, 1, FALSE), $M142&lt;&gt;" "), "Ingresada", "Falta Ingresar"), " ")</f>
        <v xml:space="preserve"> </v>
      </c>
      <c r="L142" s="4" t="str">
        <f>IFERROR(VLOOKUP($C142,Observaciones!$A:$B,2,FALSE)," ")</f>
        <v>CAROLINA COLORADO DEBE ENVIAR  OC</v>
      </c>
      <c r="M142" t="s">
        <v>681</v>
      </c>
      <c r="O142" s="5">
        <v>30847177</v>
      </c>
      <c r="P142" s="5">
        <v>246760</v>
      </c>
      <c r="Q142" s="5">
        <v>46884</v>
      </c>
      <c r="R142" s="5">
        <v>293644</v>
      </c>
    </row>
    <row r="143" spans="1:18" x14ac:dyDescent="0.25">
      <c r="A143" t="s">
        <v>512</v>
      </c>
      <c r="B143" t="s">
        <v>494</v>
      </c>
      <c r="C143">
        <v>61606901</v>
      </c>
      <c r="D143">
        <v>22</v>
      </c>
      <c r="E143">
        <v>30846162</v>
      </c>
      <c r="F143" t="s">
        <v>920</v>
      </c>
      <c r="G143" s="1">
        <v>45231</v>
      </c>
      <c r="H143">
        <v>5410901</v>
      </c>
      <c r="I143">
        <v>435</v>
      </c>
      <c r="J143" t="s">
        <v>452</v>
      </c>
      <c r="K143" t="str">
        <f>IFERROR(IF(AND(VLOOKUP($C143,Hes!$A:$B, 1, FALSE), $M143&lt;&gt;" "), "Ingresada", "Falta Ingresar"), " ")</f>
        <v xml:space="preserve"> </v>
      </c>
      <c r="L143" s="4" t="str">
        <f>IFERROR(VLOOKUP($C143,Observaciones!$A:$B,2,FALSE)," ")</f>
        <v>CAROLINA COLORADO DEBE ENVIAR  OC</v>
      </c>
      <c r="M143" t="s">
        <v>681</v>
      </c>
      <c r="O143" s="5">
        <v>30846162</v>
      </c>
      <c r="P143" s="5">
        <v>171382</v>
      </c>
      <c r="Q143" s="5">
        <v>32563</v>
      </c>
      <c r="R143" s="5">
        <v>203945</v>
      </c>
    </row>
    <row r="144" spans="1:18" x14ac:dyDescent="0.25">
      <c r="A144" t="s">
        <v>512</v>
      </c>
      <c r="B144" t="s">
        <v>494</v>
      </c>
      <c r="C144">
        <v>61606901</v>
      </c>
      <c r="D144">
        <v>22</v>
      </c>
      <c r="E144">
        <v>30846162</v>
      </c>
      <c r="F144" t="s">
        <v>920</v>
      </c>
      <c r="G144" s="1">
        <v>45231</v>
      </c>
      <c r="H144">
        <v>5410902</v>
      </c>
      <c r="I144">
        <v>435</v>
      </c>
      <c r="J144" t="s">
        <v>452</v>
      </c>
      <c r="K144" t="str">
        <f>IFERROR(IF(AND(VLOOKUP($C144,Hes!$A:$B, 1, FALSE), $M144&lt;&gt;" "), "Ingresada", "Falta Ingresar"), " ")</f>
        <v xml:space="preserve"> </v>
      </c>
      <c r="L144" s="4" t="str">
        <f>IFERROR(VLOOKUP($C144,Observaciones!$A:$B,2,FALSE)," ")</f>
        <v>CAROLINA COLORADO DEBE ENVIAR  OC</v>
      </c>
      <c r="M144" t="s">
        <v>681</v>
      </c>
      <c r="O144" s="5">
        <v>30846162</v>
      </c>
      <c r="P144" s="5">
        <v>26566</v>
      </c>
      <c r="Q144" s="5">
        <v>5048</v>
      </c>
      <c r="R144" s="5">
        <v>31614</v>
      </c>
    </row>
    <row r="145" spans="1:18" x14ac:dyDescent="0.25">
      <c r="A145" t="s">
        <v>512</v>
      </c>
      <c r="B145" t="s">
        <v>494</v>
      </c>
      <c r="C145">
        <v>61606901</v>
      </c>
      <c r="D145">
        <v>1</v>
      </c>
      <c r="E145">
        <v>30845995</v>
      </c>
      <c r="F145" t="s">
        <v>920</v>
      </c>
      <c r="G145" s="1">
        <v>45231</v>
      </c>
      <c r="H145">
        <v>5410903</v>
      </c>
      <c r="I145">
        <v>435</v>
      </c>
      <c r="J145" t="s">
        <v>452</v>
      </c>
      <c r="K145" t="str">
        <f>IFERROR(IF(AND(VLOOKUP($C145,Hes!$A:$B, 1, FALSE), $M145&lt;&gt;" "), "Ingresada", "Falta Ingresar"), " ")</f>
        <v xml:space="preserve"> </v>
      </c>
      <c r="L145" s="4" t="str">
        <f>IFERROR(VLOOKUP($C145,Observaciones!$A:$B,2,FALSE)," ")</f>
        <v>CAROLINA COLORADO DEBE ENVIAR  OC</v>
      </c>
      <c r="M145" t="s">
        <v>681</v>
      </c>
      <c r="O145" s="5">
        <v>30845995</v>
      </c>
      <c r="P145" s="5">
        <v>19129</v>
      </c>
      <c r="Q145" s="5">
        <v>3635</v>
      </c>
      <c r="R145" s="5">
        <v>22764</v>
      </c>
    </row>
    <row r="146" spans="1:18" x14ac:dyDescent="0.25">
      <c r="A146" t="s">
        <v>512</v>
      </c>
      <c r="B146" t="s">
        <v>494</v>
      </c>
      <c r="C146">
        <v>61606901</v>
      </c>
      <c r="D146">
        <v>15</v>
      </c>
      <c r="E146">
        <v>30846402</v>
      </c>
      <c r="F146" t="s">
        <v>920</v>
      </c>
      <c r="G146" s="1">
        <v>45231</v>
      </c>
      <c r="H146">
        <v>5410907</v>
      </c>
      <c r="I146">
        <v>435</v>
      </c>
      <c r="J146" t="s">
        <v>452</v>
      </c>
      <c r="K146" t="str">
        <f>IFERROR(IF(AND(VLOOKUP($C146,Hes!$A:$B, 1, FALSE), $M146&lt;&gt;" "), "Ingresada", "Falta Ingresar"), " ")</f>
        <v xml:space="preserve"> </v>
      </c>
      <c r="L146" s="4" t="str">
        <f>IFERROR(VLOOKUP($C146,Observaciones!$A:$B,2,FALSE)," ")</f>
        <v>CAROLINA COLORADO DEBE ENVIAR  OC</v>
      </c>
      <c r="M146" t="s">
        <v>681</v>
      </c>
      <c r="O146" s="5">
        <v>30846402</v>
      </c>
      <c r="P146" s="5">
        <v>220936</v>
      </c>
      <c r="Q146" s="5">
        <v>41978</v>
      </c>
      <c r="R146" s="5">
        <v>262914</v>
      </c>
    </row>
    <row r="147" spans="1:18" x14ac:dyDescent="0.25">
      <c r="A147" t="s">
        <v>512</v>
      </c>
      <c r="B147" t="s">
        <v>494</v>
      </c>
      <c r="C147">
        <v>61606901</v>
      </c>
      <c r="D147">
        <v>128</v>
      </c>
      <c r="E147">
        <v>30849514</v>
      </c>
      <c r="F147" t="s">
        <v>920</v>
      </c>
      <c r="G147" s="1">
        <v>45236</v>
      </c>
      <c r="H147">
        <v>5411940</v>
      </c>
      <c r="I147">
        <v>435</v>
      </c>
      <c r="J147" t="s">
        <v>452</v>
      </c>
      <c r="K147" t="str">
        <f>IFERROR(IF(AND(VLOOKUP($C147,Hes!$A:$B, 1, FALSE), $M147&lt;&gt;" "), "Ingresada", "Falta Ingresar"), " ")</f>
        <v xml:space="preserve"> </v>
      </c>
      <c r="L147" s="4" t="str">
        <f>IFERROR(VLOOKUP($C147,Observaciones!$A:$B,2,FALSE)," ")</f>
        <v>CAROLINA COLORADO DEBE ENVIAR  OC</v>
      </c>
      <c r="M147" t="s">
        <v>681</v>
      </c>
      <c r="O147" s="5">
        <v>30849514</v>
      </c>
      <c r="P147" s="5">
        <v>716160</v>
      </c>
      <c r="Q147" s="5">
        <v>136070</v>
      </c>
      <c r="R147" s="5">
        <v>852230</v>
      </c>
    </row>
    <row r="148" spans="1:18" x14ac:dyDescent="0.25">
      <c r="A148" t="s">
        <v>512</v>
      </c>
      <c r="B148" t="s">
        <v>494</v>
      </c>
      <c r="C148">
        <v>61606901</v>
      </c>
      <c r="D148">
        <v>170</v>
      </c>
      <c r="E148">
        <v>30850190</v>
      </c>
      <c r="F148" t="s">
        <v>920</v>
      </c>
      <c r="G148" s="1">
        <v>45236</v>
      </c>
      <c r="H148">
        <v>5412092</v>
      </c>
      <c r="I148">
        <v>435</v>
      </c>
      <c r="J148" t="s">
        <v>452</v>
      </c>
      <c r="K148" t="str">
        <f>IFERROR(IF(AND(VLOOKUP($C148,Hes!$A:$B, 1, FALSE), $M148&lt;&gt;" "), "Ingresada", "Falta Ingresar"), " ")</f>
        <v xml:space="preserve"> </v>
      </c>
      <c r="L148" s="4" t="str">
        <f>IFERROR(VLOOKUP($C148,Observaciones!$A:$B,2,FALSE)," ")</f>
        <v>CAROLINA COLORADO DEBE ENVIAR  OC</v>
      </c>
      <c r="M148" t="s">
        <v>681</v>
      </c>
      <c r="O148" s="5">
        <v>30850190</v>
      </c>
      <c r="P148" s="5">
        <v>127992</v>
      </c>
      <c r="Q148" s="5">
        <v>24318</v>
      </c>
      <c r="R148" s="5">
        <v>152310</v>
      </c>
    </row>
    <row r="149" spans="1:18" x14ac:dyDescent="0.25">
      <c r="A149" t="s">
        <v>512</v>
      </c>
      <c r="B149" t="s">
        <v>494</v>
      </c>
      <c r="C149">
        <v>61606901</v>
      </c>
      <c r="D149">
        <v>14</v>
      </c>
      <c r="E149">
        <v>30850294</v>
      </c>
      <c r="F149" t="s">
        <v>920</v>
      </c>
      <c r="G149" s="1">
        <v>45236</v>
      </c>
      <c r="H149">
        <v>5412093</v>
      </c>
      <c r="I149">
        <v>435</v>
      </c>
      <c r="J149" t="s">
        <v>452</v>
      </c>
      <c r="K149" t="str">
        <f>IFERROR(IF(AND(VLOOKUP($C149,Hes!$A:$B, 1, FALSE), $M149&lt;&gt;" "), "Ingresada", "Falta Ingresar"), " ")</f>
        <v xml:space="preserve"> </v>
      </c>
      <c r="L149" s="4" t="str">
        <f>IFERROR(VLOOKUP($C149,Observaciones!$A:$B,2,FALSE)," ")</f>
        <v>CAROLINA COLORADO DEBE ENVIAR  OC</v>
      </c>
      <c r="M149" t="s">
        <v>681</v>
      </c>
      <c r="O149" s="5">
        <v>30850294</v>
      </c>
      <c r="P149" s="5">
        <v>174452</v>
      </c>
      <c r="Q149" s="5">
        <v>33146</v>
      </c>
      <c r="R149" s="5">
        <v>207598</v>
      </c>
    </row>
    <row r="150" spans="1:18" x14ac:dyDescent="0.25">
      <c r="A150" t="s">
        <v>512</v>
      </c>
      <c r="B150" t="s">
        <v>494</v>
      </c>
      <c r="C150">
        <v>61606901</v>
      </c>
      <c r="D150">
        <v>138</v>
      </c>
      <c r="E150">
        <v>30850291</v>
      </c>
      <c r="F150" t="s">
        <v>920</v>
      </c>
      <c r="G150" s="1">
        <v>45236</v>
      </c>
      <c r="H150">
        <v>5412094</v>
      </c>
      <c r="I150">
        <v>435</v>
      </c>
      <c r="J150" t="s">
        <v>452</v>
      </c>
      <c r="K150" t="str">
        <f>IFERROR(IF(AND(VLOOKUP($C150,Hes!$A:$B, 1, FALSE), $M150&lt;&gt;" "), "Ingresada", "Falta Ingresar"), " ")</f>
        <v xml:space="preserve"> </v>
      </c>
      <c r="L150" s="4" t="str">
        <f>IFERROR(VLOOKUP($C150,Observaciones!$A:$B,2,FALSE)," ")</f>
        <v>CAROLINA COLORADO DEBE ENVIAR  OC</v>
      </c>
      <c r="M150" t="s">
        <v>681</v>
      </c>
      <c r="O150" s="5">
        <v>30850291</v>
      </c>
      <c r="P150" s="5">
        <v>214394</v>
      </c>
      <c r="Q150" s="5">
        <v>40735</v>
      </c>
      <c r="R150" s="5">
        <v>255129</v>
      </c>
    </row>
    <row r="151" spans="1:18" x14ac:dyDescent="0.25">
      <c r="A151" t="s">
        <v>512</v>
      </c>
      <c r="B151" t="s">
        <v>494</v>
      </c>
      <c r="C151">
        <v>61606901</v>
      </c>
      <c r="D151">
        <v>140</v>
      </c>
      <c r="E151">
        <v>30851709</v>
      </c>
      <c r="F151" t="s">
        <v>920</v>
      </c>
      <c r="G151" s="1">
        <v>45236</v>
      </c>
      <c r="H151">
        <v>5412112</v>
      </c>
      <c r="I151">
        <v>435</v>
      </c>
      <c r="J151" t="s">
        <v>452</v>
      </c>
      <c r="K151" t="str">
        <f>IFERROR(IF(AND(VLOOKUP($C151,Hes!$A:$B, 1, FALSE), $M151&lt;&gt;" "), "Ingresada", "Falta Ingresar"), " ")</f>
        <v xml:space="preserve"> </v>
      </c>
      <c r="L151" s="4" t="str">
        <f>IFERROR(VLOOKUP($C151,Observaciones!$A:$B,2,FALSE)," ")</f>
        <v>CAROLINA COLORADO DEBE ENVIAR  OC</v>
      </c>
      <c r="M151" t="s">
        <v>681</v>
      </c>
      <c r="O151" s="5">
        <v>30851709</v>
      </c>
      <c r="P151" s="5">
        <v>15988</v>
      </c>
      <c r="Q151" s="5">
        <v>3038</v>
      </c>
      <c r="R151" s="5">
        <v>19026</v>
      </c>
    </row>
    <row r="152" spans="1:18" x14ac:dyDescent="0.25">
      <c r="A152" t="s">
        <v>512</v>
      </c>
      <c r="B152" t="s">
        <v>494</v>
      </c>
      <c r="C152">
        <v>61606901</v>
      </c>
      <c r="D152">
        <v>21</v>
      </c>
      <c r="E152">
        <v>30850345</v>
      </c>
      <c r="F152" t="s">
        <v>920</v>
      </c>
      <c r="G152" s="1">
        <v>45236</v>
      </c>
      <c r="H152">
        <v>5412117</v>
      </c>
      <c r="I152">
        <v>435</v>
      </c>
      <c r="J152" t="s">
        <v>452</v>
      </c>
      <c r="K152" t="str">
        <f>IFERROR(IF(AND(VLOOKUP($C152,Hes!$A:$B, 1, FALSE), $M152&lt;&gt;" "), "Ingresada", "Falta Ingresar"), " ")</f>
        <v xml:space="preserve"> </v>
      </c>
      <c r="L152" s="4" t="str">
        <f>IFERROR(VLOOKUP($C152,Observaciones!$A:$B,2,FALSE)," ")</f>
        <v>CAROLINA COLORADO DEBE ENVIAR  OC</v>
      </c>
      <c r="M152" t="s">
        <v>681</v>
      </c>
      <c r="O152" s="5">
        <v>30850345</v>
      </c>
      <c r="P152" s="5">
        <v>969069</v>
      </c>
      <c r="Q152" s="5">
        <v>184123</v>
      </c>
      <c r="R152" s="5">
        <v>1153192</v>
      </c>
    </row>
    <row r="153" spans="1:18" x14ac:dyDescent="0.25">
      <c r="A153" t="s">
        <v>512</v>
      </c>
      <c r="B153" t="s">
        <v>494</v>
      </c>
      <c r="C153">
        <v>61606901</v>
      </c>
      <c r="D153">
        <v>33</v>
      </c>
      <c r="E153">
        <v>30850452</v>
      </c>
      <c r="F153" t="s">
        <v>920</v>
      </c>
      <c r="G153" s="1">
        <v>45236</v>
      </c>
      <c r="H153">
        <v>5412118</v>
      </c>
      <c r="I153">
        <v>435</v>
      </c>
      <c r="J153" t="s">
        <v>452</v>
      </c>
      <c r="K153" t="str">
        <f>IFERROR(IF(AND(VLOOKUP($C153,Hes!$A:$B, 1, FALSE), $M153&lt;&gt;" "), "Ingresada", "Falta Ingresar"), " ")</f>
        <v xml:space="preserve"> </v>
      </c>
      <c r="L153" s="4" t="str">
        <f>IFERROR(VLOOKUP($C153,Observaciones!$A:$B,2,FALSE)," ")</f>
        <v>CAROLINA COLORADO DEBE ENVIAR  OC</v>
      </c>
      <c r="M153" t="s">
        <v>681</v>
      </c>
      <c r="O153" s="5">
        <v>30850452</v>
      </c>
      <c r="P153" s="5">
        <v>166975</v>
      </c>
      <c r="Q153" s="5">
        <v>31725</v>
      </c>
      <c r="R153" s="5">
        <v>198700</v>
      </c>
    </row>
    <row r="154" spans="1:18" x14ac:dyDescent="0.25">
      <c r="A154" t="s">
        <v>512</v>
      </c>
      <c r="B154" t="s">
        <v>494</v>
      </c>
      <c r="C154">
        <v>61606901</v>
      </c>
      <c r="D154">
        <v>29</v>
      </c>
      <c r="E154">
        <v>30851942</v>
      </c>
      <c r="F154" t="s">
        <v>920</v>
      </c>
      <c r="G154" s="1">
        <v>45236</v>
      </c>
      <c r="H154">
        <v>5412153</v>
      </c>
      <c r="I154">
        <v>435</v>
      </c>
      <c r="J154" t="s">
        <v>452</v>
      </c>
      <c r="K154" t="str">
        <f>IFERROR(IF(AND(VLOOKUP($C154,Hes!$A:$B, 1, FALSE), $M154&lt;&gt;" "), "Ingresada", "Falta Ingresar"), " ")</f>
        <v xml:space="preserve"> </v>
      </c>
      <c r="L154" s="4" t="str">
        <f>IFERROR(VLOOKUP($C154,Observaciones!$A:$B,2,FALSE)," ")</f>
        <v>CAROLINA COLORADO DEBE ENVIAR  OC</v>
      </c>
      <c r="M154" t="s">
        <v>681</v>
      </c>
      <c r="O154" s="5">
        <v>30851942</v>
      </c>
      <c r="P154" s="5">
        <v>44943</v>
      </c>
      <c r="Q154" s="5">
        <v>8539</v>
      </c>
      <c r="R154" s="5">
        <v>53482</v>
      </c>
    </row>
    <row r="155" spans="1:18" x14ac:dyDescent="0.25">
      <c r="A155" t="s">
        <v>512</v>
      </c>
      <c r="B155" t="s">
        <v>494</v>
      </c>
      <c r="C155">
        <v>61606901</v>
      </c>
      <c r="D155">
        <v>15</v>
      </c>
      <c r="E155">
        <v>30850625</v>
      </c>
      <c r="F155" t="s">
        <v>920</v>
      </c>
      <c r="G155" s="1">
        <v>45236</v>
      </c>
      <c r="H155">
        <v>5412154</v>
      </c>
      <c r="I155">
        <v>435</v>
      </c>
      <c r="J155" t="s">
        <v>452</v>
      </c>
      <c r="K155" t="str">
        <f>IFERROR(IF(AND(VLOOKUP($C155,Hes!$A:$B, 1, FALSE), $M155&lt;&gt;" "), "Ingresada", "Falta Ingresar"), " ")</f>
        <v xml:space="preserve"> </v>
      </c>
      <c r="L155" s="4" t="str">
        <f>IFERROR(VLOOKUP($C155,Observaciones!$A:$B,2,FALSE)," ")</f>
        <v>CAROLINA COLORADO DEBE ENVIAR  OC</v>
      </c>
      <c r="M155" t="s">
        <v>681</v>
      </c>
      <c r="O155" s="5">
        <v>30850625</v>
      </c>
      <c r="P155" s="5">
        <v>679018</v>
      </c>
      <c r="Q155" s="5">
        <v>129013</v>
      </c>
      <c r="R155" s="5">
        <v>808031</v>
      </c>
    </row>
    <row r="156" spans="1:18" x14ac:dyDescent="0.25">
      <c r="A156" t="s">
        <v>512</v>
      </c>
      <c r="B156" t="s">
        <v>494</v>
      </c>
      <c r="C156">
        <v>61606901</v>
      </c>
      <c r="D156">
        <v>70</v>
      </c>
      <c r="E156">
        <v>30852154</v>
      </c>
      <c r="F156" t="s">
        <v>920</v>
      </c>
      <c r="G156" s="1">
        <v>45236</v>
      </c>
      <c r="H156">
        <v>5412211</v>
      </c>
      <c r="I156">
        <v>435</v>
      </c>
      <c r="J156" t="s">
        <v>452</v>
      </c>
      <c r="K156" t="str">
        <f>IFERROR(IF(AND(VLOOKUP($C156,Hes!$A:$B, 1, FALSE), $M156&lt;&gt;" "), "Ingresada", "Falta Ingresar"), " ")</f>
        <v xml:space="preserve"> </v>
      </c>
      <c r="L156" s="4" t="str">
        <f>IFERROR(VLOOKUP($C156,Observaciones!$A:$B,2,FALSE)," ")</f>
        <v>CAROLINA COLORADO DEBE ENVIAR  OC</v>
      </c>
      <c r="M156" t="s">
        <v>681</v>
      </c>
      <c r="O156" s="5">
        <v>30852154</v>
      </c>
      <c r="P156" s="5">
        <v>74631</v>
      </c>
      <c r="Q156" s="5">
        <v>14180</v>
      </c>
      <c r="R156" s="5">
        <v>88811</v>
      </c>
    </row>
    <row r="157" spans="1:18" x14ac:dyDescent="0.25">
      <c r="A157" t="s">
        <v>512</v>
      </c>
      <c r="B157" t="s">
        <v>494</v>
      </c>
      <c r="C157">
        <v>61606901</v>
      </c>
      <c r="D157">
        <v>159</v>
      </c>
      <c r="E157">
        <v>30852464</v>
      </c>
      <c r="F157" t="s">
        <v>920</v>
      </c>
      <c r="G157" s="1">
        <v>45236</v>
      </c>
      <c r="H157">
        <v>5412212</v>
      </c>
      <c r="I157">
        <v>435</v>
      </c>
      <c r="J157" t="s">
        <v>452</v>
      </c>
      <c r="K157" t="str">
        <f>IFERROR(IF(AND(VLOOKUP($C157,Hes!$A:$B, 1, FALSE), $M157&lt;&gt;" "), "Ingresada", "Falta Ingresar"), " ")</f>
        <v xml:space="preserve"> </v>
      </c>
      <c r="L157" s="4" t="str">
        <f>IFERROR(VLOOKUP($C157,Observaciones!$A:$B,2,FALSE)," ")</f>
        <v>CAROLINA COLORADO DEBE ENVIAR  OC</v>
      </c>
      <c r="M157" t="s">
        <v>681</v>
      </c>
      <c r="O157" s="5">
        <v>30852464</v>
      </c>
      <c r="P157" s="5">
        <v>59770</v>
      </c>
      <c r="Q157" s="5">
        <v>11356</v>
      </c>
      <c r="R157" s="5">
        <v>71126</v>
      </c>
    </row>
    <row r="158" spans="1:18" x14ac:dyDescent="0.25">
      <c r="A158" t="s">
        <v>512</v>
      </c>
      <c r="B158" t="s">
        <v>494</v>
      </c>
      <c r="C158">
        <v>61606901</v>
      </c>
      <c r="D158">
        <v>12</v>
      </c>
      <c r="E158">
        <v>30851889</v>
      </c>
      <c r="F158" t="s">
        <v>920</v>
      </c>
      <c r="G158" s="1">
        <v>45236</v>
      </c>
      <c r="H158">
        <v>5412213</v>
      </c>
      <c r="I158">
        <v>435</v>
      </c>
      <c r="J158" t="s">
        <v>452</v>
      </c>
      <c r="K158" t="str">
        <f>IFERROR(IF(AND(VLOOKUP($C158,Hes!$A:$B, 1, FALSE), $M158&lt;&gt;" "), "Ingresada", "Falta Ingresar"), " ")</f>
        <v xml:space="preserve"> </v>
      </c>
      <c r="L158" s="4" t="str">
        <f>IFERROR(VLOOKUP($C158,Observaciones!$A:$B,2,FALSE)," ")</f>
        <v>CAROLINA COLORADO DEBE ENVIAR  OC</v>
      </c>
      <c r="M158" t="s">
        <v>681</v>
      </c>
      <c r="O158" s="5">
        <v>30851889</v>
      </c>
      <c r="P158" s="5">
        <v>898764</v>
      </c>
      <c r="Q158" s="5">
        <v>170765</v>
      </c>
      <c r="R158" s="5">
        <v>1069529</v>
      </c>
    </row>
    <row r="159" spans="1:18" x14ac:dyDescent="0.25">
      <c r="A159" t="s">
        <v>512</v>
      </c>
      <c r="B159" t="s">
        <v>494</v>
      </c>
      <c r="C159">
        <v>61606901</v>
      </c>
      <c r="D159">
        <v>141</v>
      </c>
      <c r="E159">
        <v>30851890</v>
      </c>
      <c r="F159" t="s">
        <v>920</v>
      </c>
      <c r="G159" s="1">
        <v>45236</v>
      </c>
      <c r="H159">
        <v>5412214</v>
      </c>
      <c r="I159">
        <v>435</v>
      </c>
      <c r="J159" t="s">
        <v>452</v>
      </c>
      <c r="K159" t="str">
        <f>IFERROR(IF(AND(VLOOKUP($C159,Hes!$A:$B, 1, FALSE), $M159&lt;&gt;" "), "Ingresada", "Falta Ingresar"), " ")</f>
        <v xml:space="preserve"> </v>
      </c>
      <c r="L159" s="4" t="str">
        <f>IFERROR(VLOOKUP($C159,Observaciones!$A:$B,2,FALSE)," ")</f>
        <v>CAROLINA COLORADO DEBE ENVIAR  OC</v>
      </c>
      <c r="M159" t="s">
        <v>681</v>
      </c>
      <c r="O159" s="5">
        <v>30851890</v>
      </c>
      <c r="P159" s="5">
        <v>233871</v>
      </c>
      <c r="Q159" s="5">
        <v>44435</v>
      </c>
      <c r="R159" s="5">
        <v>278306</v>
      </c>
    </row>
    <row r="160" spans="1:18" x14ac:dyDescent="0.25">
      <c r="A160" t="s">
        <v>512</v>
      </c>
      <c r="B160" t="s">
        <v>494</v>
      </c>
      <c r="C160">
        <v>61606901</v>
      </c>
      <c r="D160">
        <v>67</v>
      </c>
      <c r="E160">
        <v>30852169</v>
      </c>
      <c r="F160" t="s">
        <v>920</v>
      </c>
      <c r="G160" s="1">
        <v>45236</v>
      </c>
      <c r="H160">
        <v>5412216</v>
      </c>
      <c r="I160">
        <v>435</v>
      </c>
      <c r="J160" t="s">
        <v>452</v>
      </c>
      <c r="K160" t="str">
        <f>IFERROR(IF(AND(VLOOKUP($C160,Hes!$A:$B, 1, FALSE), $M160&lt;&gt;" "), "Ingresada", "Falta Ingresar"), " ")</f>
        <v xml:space="preserve"> </v>
      </c>
      <c r="L160" s="4" t="str">
        <f>IFERROR(VLOOKUP($C160,Observaciones!$A:$B,2,FALSE)," ")</f>
        <v>CAROLINA COLORADO DEBE ENVIAR  OC</v>
      </c>
      <c r="M160" t="s">
        <v>681</v>
      </c>
      <c r="O160" s="5">
        <v>30852169</v>
      </c>
      <c r="P160" s="5">
        <v>96587</v>
      </c>
      <c r="Q160" s="5">
        <v>18352</v>
      </c>
      <c r="R160" s="5">
        <v>114939</v>
      </c>
    </row>
    <row r="161" spans="1:18" x14ac:dyDescent="0.25">
      <c r="A161" t="s">
        <v>512</v>
      </c>
      <c r="B161" t="s">
        <v>494</v>
      </c>
      <c r="C161">
        <v>61606901</v>
      </c>
      <c r="D161">
        <v>165</v>
      </c>
      <c r="E161">
        <v>30851893</v>
      </c>
      <c r="F161" t="s">
        <v>920</v>
      </c>
      <c r="G161" s="1">
        <v>45236</v>
      </c>
      <c r="H161">
        <v>5412217</v>
      </c>
      <c r="I161">
        <v>435</v>
      </c>
      <c r="J161" t="s">
        <v>452</v>
      </c>
      <c r="K161" t="str">
        <f>IFERROR(IF(AND(VLOOKUP($C161,Hes!$A:$B, 1, FALSE), $M161&lt;&gt;" "), "Ingresada", "Falta Ingresar"), " ")</f>
        <v xml:space="preserve"> </v>
      </c>
      <c r="L161" s="4" t="str">
        <f>IFERROR(VLOOKUP($C161,Observaciones!$A:$B,2,FALSE)," ")</f>
        <v>CAROLINA COLORADO DEBE ENVIAR  OC</v>
      </c>
      <c r="M161" t="s">
        <v>681</v>
      </c>
      <c r="O161" s="5">
        <v>30851893</v>
      </c>
      <c r="P161" s="5">
        <v>493099</v>
      </c>
      <c r="Q161" s="5">
        <v>93689</v>
      </c>
      <c r="R161" s="5">
        <v>586788</v>
      </c>
    </row>
    <row r="162" spans="1:18" x14ac:dyDescent="0.25">
      <c r="A162" t="s">
        <v>512</v>
      </c>
      <c r="B162" t="s">
        <v>494</v>
      </c>
      <c r="C162">
        <v>61606901</v>
      </c>
      <c r="D162">
        <v>197</v>
      </c>
      <c r="E162">
        <v>30852452</v>
      </c>
      <c r="F162" t="s">
        <v>920</v>
      </c>
      <c r="G162" s="1">
        <v>45236</v>
      </c>
      <c r="H162">
        <v>5412219</v>
      </c>
      <c r="I162">
        <v>435</v>
      </c>
      <c r="J162" t="s">
        <v>452</v>
      </c>
      <c r="K162" t="str">
        <f>IFERROR(IF(AND(VLOOKUP($C162,Hes!$A:$B, 1, FALSE), $M162&lt;&gt;" "), "Ingresada", "Falta Ingresar"), " ")</f>
        <v xml:space="preserve"> </v>
      </c>
      <c r="L162" s="4" t="str">
        <f>IFERROR(VLOOKUP($C162,Observaciones!$A:$B,2,FALSE)," ")</f>
        <v>CAROLINA COLORADO DEBE ENVIAR  OC</v>
      </c>
      <c r="M162" t="s">
        <v>681</v>
      </c>
      <c r="O162" s="5">
        <v>30852452</v>
      </c>
      <c r="P162" s="5">
        <v>59790</v>
      </c>
      <c r="Q162" s="5">
        <v>11360</v>
      </c>
      <c r="R162" s="5">
        <v>71150</v>
      </c>
    </row>
    <row r="163" spans="1:18" x14ac:dyDescent="0.25">
      <c r="A163" t="s">
        <v>512</v>
      </c>
      <c r="B163" t="s">
        <v>494</v>
      </c>
      <c r="C163">
        <v>61606901</v>
      </c>
      <c r="D163">
        <v>193</v>
      </c>
      <c r="E163">
        <v>30852364</v>
      </c>
      <c r="F163" t="s">
        <v>920</v>
      </c>
      <c r="G163" s="1">
        <v>45236</v>
      </c>
      <c r="H163">
        <v>5412231</v>
      </c>
      <c r="I163">
        <v>435</v>
      </c>
      <c r="J163" t="s">
        <v>452</v>
      </c>
      <c r="K163" t="str">
        <f>IFERROR(IF(AND(VLOOKUP($C163,Hes!$A:$B, 1, FALSE), $M163&lt;&gt;" "), "Ingresada", "Falta Ingresar"), " ")</f>
        <v xml:space="preserve"> </v>
      </c>
      <c r="L163" s="4" t="str">
        <f>IFERROR(VLOOKUP($C163,Observaciones!$A:$B,2,FALSE)," ")</f>
        <v>CAROLINA COLORADO DEBE ENVIAR  OC</v>
      </c>
      <c r="M163" t="s">
        <v>681</v>
      </c>
      <c r="O163" s="5">
        <v>30852364</v>
      </c>
      <c r="P163" s="5">
        <v>351772</v>
      </c>
      <c r="Q163" s="5">
        <v>66837</v>
      </c>
      <c r="R163" s="5">
        <v>418609</v>
      </c>
    </row>
    <row r="164" spans="1:18" x14ac:dyDescent="0.25">
      <c r="A164" t="s">
        <v>512</v>
      </c>
      <c r="B164" t="s">
        <v>494</v>
      </c>
      <c r="C164">
        <v>61606901</v>
      </c>
      <c r="D164">
        <v>110</v>
      </c>
      <c r="E164">
        <v>30849684</v>
      </c>
      <c r="F164" t="s">
        <v>920</v>
      </c>
      <c r="G164" s="1">
        <v>45236</v>
      </c>
      <c r="H164">
        <v>5412244</v>
      </c>
      <c r="I164">
        <v>435</v>
      </c>
      <c r="J164" t="s">
        <v>452</v>
      </c>
      <c r="K164" t="str">
        <f>IFERROR(IF(AND(VLOOKUP($C164,Hes!$A:$B, 1, FALSE), $M164&lt;&gt;" "), "Ingresada", "Falta Ingresar"), " ")</f>
        <v xml:space="preserve"> </v>
      </c>
      <c r="L164" s="4" t="str">
        <f>IFERROR(VLOOKUP($C164,Observaciones!$A:$B,2,FALSE)," ")</f>
        <v>CAROLINA COLORADO DEBE ENVIAR  OC</v>
      </c>
      <c r="M164" t="s">
        <v>681</v>
      </c>
      <c r="O164" s="5">
        <v>30849684</v>
      </c>
      <c r="P164" s="5">
        <v>195181</v>
      </c>
      <c r="Q164" s="5">
        <v>37084</v>
      </c>
      <c r="R164" s="5">
        <v>232265</v>
      </c>
    </row>
    <row r="165" spans="1:18" x14ac:dyDescent="0.25">
      <c r="A165" t="s">
        <v>512</v>
      </c>
      <c r="B165" t="s">
        <v>494</v>
      </c>
      <c r="C165">
        <v>61606901</v>
      </c>
      <c r="D165">
        <v>49</v>
      </c>
      <c r="E165">
        <v>30850279</v>
      </c>
      <c r="F165" t="s">
        <v>920</v>
      </c>
      <c r="G165" s="1">
        <v>45236</v>
      </c>
      <c r="H165">
        <v>5412245</v>
      </c>
      <c r="I165">
        <v>435</v>
      </c>
      <c r="J165" t="s">
        <v>452</v>
      </c>
      <c r="K165" t="str">
        <f>IFERROR(IF(AND(VLOOKUP($C165,Hes!$A:$B, 1, FALSE), $M165&lt;&gt;" "), "Ingresada", "Falta Ingresar"), " ")</f>
        <v xml:space="preserve"> </v>
      </c>
      <c r="L165" s="4" t="str">
        <f>IFERROR(VLOOKUP($C165,Observaciones!$A:$B,2,FALSE)," ")</f>
        <v>CAROLINA COLORADO DEBE ENVIAR  OC</v>
      </c>
      <c r="M165" t="s">
        <v>681</v>
      </c>
      <c r="O165" s="5">
        <v>30850279</v>
      </c>
      <c r="P165" s="5">
        <v>203124</v>
      </c>
      <c r="Q165" s="5">
        <v>38594</v>
      </c>
      <c r="R165" s="5">
        <v>241718</v>
      </c>
    </row>
    <row r="166" spans="1:18" x14ac:dyDescent="0.25">
      <c r="A166" t="s">
        <v>512</v>
      </c>
      <c r="B166" t="s">
        <v>494</v>
      </c>
      <c r="C166">
        <v>61606901</v>
      </c>
      <c r="D166">
        <v>104</v>
      </c>
      <c r="E166">
        <v>30849895</v>
      </c>
      <c r="F166" t="s">
        <v>920</v>
      </c>
      <c r="G166" s="1">
        <v>45236</v>
      </c>
      <c r="H166">
        <v>5412262</v>
      </c>
      <c r="I166">
        <v>435</v>
      </c>
      <c r="J166" t="s">
        <v>452</v>
      </c>
      <c r="K166" t="str">
        <f>IFERROR(IF(AND(VLOOKUP($C166,Hes!$A:$B, 1, FALSE), $M166&lt;&gt;" "), "Ingresada", "Falta Ingresar"), " ")</f>
        <v xml:space="preserve"> </v>
      </c>
      <c r="L166" s="4" t="str">
        <f>IFERROR(VLOOKUP($C166,Observaciones!$A:$B,2,FALSE)," ")</f>
        <v>CAROLINA COLORADO DEBE ENVIAR  OC</v>
      </c>
      <c r="M166" t="s">
        <v>681</v>
      </c>
      <c r="O166" s="5">
        <v>30849895</v>
      </c>
      <c r="P166" s="5">
        <v>187156</v>
      </c>
      <c r="Q166" s="5">
        <v>35560</v>
      </c>
      <c r="R166" s="5">
        <v>222716</v>
      </c>
    </row>
    <row r="167" spans="1:18" x14ac:dyDescent="0.25">
      <c r="A167" t="s">
        <v>512</v>
      </c>
      <c r="B167" t="s">
        <v>494</v>
      </c>
      <c r="C167">
        <v>61606901</v>
      </c>
      <c r="D167">
        <v>164</v>
      </c>
      <c r="E167">
        <v>30850274</v>
      </c>
      <c r="F167" t="s">
        <v>920</v>
      </c>
      <c r="G167" s="1">
        <v>45236</v>
      </c>
      <c r="H167">
        <v>5412273</v>
      </c>
      <c r="I167">
        <v>435</v>
      </c>
      <c r="J167" t="s">
        <v>452</v>
      </c>
      <c r="K167" t="str">
        <f>IFERROR(IF(AND(VLOOKUP($C167,Hes!$A:$B, 1, FALSE), $M167&lt;&gt;" "), "Ingresada", "Falta Ingresar"), " ")</f>
        <v xml:space="preserve"> </v>
      </c>
      <c r="L167" s="4" t="str">
        <f>IFERROR(VLOOKUP($C167,Observaciones!$A:$B,2,FALSE)," ")</f>
        <v>CAROLINA COLORADO DEBE ENVIAR  OC</v>
      </c>
      <c r="M167" t="s">
        <v>681</v>
      </c>
      <c r="O167" s="5">
        <v>30850274</v>
      </c>
      <c r="P167" s="5">
        <v>1336976</v>
      </c>
      <c r="Q167" s="5">
        <v>254025</v>
      </c>
      <c r="R167" s="5">
        <v>1591001</v>
      </c>
    </row>
    <row r="168" spans="1:18" x14ac:dyDescent="0.25">
      <c r="A168" t="s">
        <v>512</v>
      </c>
      <c r="B168" t="s">
        <v>494</v>
      </c>
      <c r="C168">
        <v>61606901</v>
      </c>
      <c r="D168">
        <v>130</v>
      </c>
      <c r="E168">
        <v>30853433</v>
      </c>
      <c r="F168" t="s">
        <v>920</v>
      </c>
      <c r="G168" s="1">
        <v>45236</v>
      </c>
      <c r="H168">
        <v>5412292</v>
      </c>
      <c r="I168">
        <v>435</v>
      </c>
      <c r="J168" t="s">
        <v>452</v>
      </c>
      <c r="K168" t="str">
        <f>IFERROR(IF(AND(VLOOKUP($C168,Hes!$A:$B, 1, FALSE), $M168&lt;&gt;" "), "Ingresada", "Falta Ingresar"), " ")</f>
        <v xml:space="preserve"> </v>
      </c>
      <c r="L168" s="4" t="str">
        <f>IFERROR(VLOOKUP($C168,Observaciones!$A:$B,2,FALSE)," ")</f>
        <v>CAROLINA COLORADO DEBE ENVIAR  OC</v>
      </c>
      <c r="M168" t="s">
        <v>681</v>
      </c>
      <c r="O168" s="5">
        <v>30853433</v>
      </c>
      <c r="P168" s="5">
        <v>760268</v>
      </c>
      <c r="Q168" s="5">
        <v>144451</v>
      </c>
      <c r="R168" s="5">
        <v>904719</v>
      </c>
    </row>
    <row r="169" spans="1:18" x14ac:dyDescent="0.25">
      <c r="A169" t="s">
        <v>512</v>
      </c>
      <c r="B169" t="s">
        <v>494</v>
      </c>
      <c r="C169">
        <v>61606901</v>
      </c>
      <c r="D169">
        <v>15</v>
      </c>
      <c r="E169">
        <v>30850621</v>
      </c>
      <c r="F169" t="s">
        <v>920</v>
      </c>
      <c r="G169" s="1">
        <v>45236</v>
      </c>
      <c r="H169">
        <v>5412595</v>
      </c>
      <c r="I169">
        <v>435</v>
      </c>
      <c r="J169" t="s">
        <v>452</v>
      </c>
      <c r="K169" t="str">
        <f>IFERROR(IF(AND(VLOOKUP($C169,Hes!$A:$B, 1, FALSE), $M169&lt;&gt;" "), "Ingresada", "Falta Ingresar"), " ")</f>
        <v xml:space="preserve"> </v>
      </c>
      <c r="L169" s="4" t="str">
        <f>IFERROR(VLOOKUP($C169,Observaciones!$A:$B,2,FALSE)," ")</f>
        <v>CAROLINA COLORADO DEBE ENVIAR  OC</v>
      </c>
      <c r="M169" t="s">
        <v>681</v>
      </c>
      <c r="O169" s="5">
        <v>30850621</v>
      </c>
      <c r="P169" s="5">
        <v>6115087</v>
      </c>
      <c r="Q169" s="5">
        <v>1161867</v>
      </c>
      <c r="R169" s="5">
        <v>7276954</v>
      </c>
    </row>
    <row r="170" spans="1:18" x14ac:dyDescent="0.25">
      <c r="A170" t="s">
        <v>512</v>
      </c>
      <c r="B170" t="s">
        <v>494</v>
      </c>
      <c r="C170">
        <v>61606901</v>
      </c>
      <c r="D170">
        <v>152</v>
      </c>
      <c r="E170">
        <v>30854030</v>
      </c>
      <c r="F170" t="s">
        <v>920</v>
      </c>
      <c r="G170" s="1">
        <v>45236</v>
      </c>
      <c r="H170">
        <v>5412630</v>
      </c>
      <c r="I170">
        <v>435</v>
      </c>
      <c r="J170" t="s">
        <v>452</v>
      </c>
      <c r="K170" t="str">
        <f>IFERROR(IF(AND(VLOOKUP($C170,Hes!$A:$B, 1, FALSE), $M170&lt;&gt;" "), "Ingresada", "Falta Ingresar"), " ")</f>
        <v xml:space="preserve"> </v>
      </c>
      <c r="L170" s="4" t="str">
        <f>IFERROR(VLOOKUP($C170,Observaciones!$A:$B,2,FALSE)," ")</f>
        <v>CAROLINA COLORADO DEBE ENVIAR  OC</v>
      </c>
      <c r="M170" t="s">
        <v>681</v>
      </c>
      <c r="O170" s="5">
        <v>30854030</v>
      </c>
      <c r="P170" s="5">
        <v>30948</v>
      </c>
      <c r="Q170" s="5">
        <v>5880</v>
      </c>
      <c r="R170" s="5">
        <v>36828</v>
      </c>
    </row>
    <row r="171" spans="1:18" x14ac:dyDescent="0.25">
      <c r="A171" t="s">
        <v>512</v>
      </c>
      <c r="B171" t="s">
        <v>494</v>
      </c>
      <c r="C171">
        <v>61606901</v>
      </c>
      <c r="D171">
        <v>42</v>
      </c>
      <c r="E171">
        <v>30854027</v>
      </c>
      <c r="F171" t="s">
        <v>920</v>
      </c>
      <c r="G171" s="1">
        <v>45234</v>
      </c>
      <c r="H171">
        <v>5412653</v>
      </c>
      <c r="I171">
        <v>435</v>
      </c>
      <c r="J171" t="s">
        <v>452</v>
      </c>
      <c r="K171" t="str">
        <f>IFERROR(IF(AND(VLOOKUP($C171,Hes!$A:$B, 1, FALSE), $M171&lt;&gt;" "), "Ingresada", "Falta Ingresar"), " ")</f>
        <v xml:space="preserve"> </v>
      </c>
      <c r="L171" s="4" t="str">
        <f>IFERROR(VLOOKUP($C171,Observaciones!$A:$B,2,FALSE)," ")</f>
        <v>CAROLINA COLORADO DEBE ENVIAR  OC</v>
      </c>
      <c r="M171" t="s">
        <v>681</v>
      </c>
      <c r="O171" s="5">
        <v>30854027</v>
      </c>
      <c r="P171" s="5">
        <v>182879</v>
      </c>
      <c r="Q171" s="5">
        <v>34747</v>
      </c>
      <c r="R171" s="5">
        <v>217626</v>
      </c>
    </row>
    <row r="172" spans="1:18" x14ac:dyDescent="0.25">
      <c r="A172" t="s">
        <v>512</v>
      </c>
      <c r="B172" t="s">
        <v>494</v>
      </c>
      <c r="C172">
        <v>61606901</v>
      </c>
      <c r="D172">
        <v>134</v>
      </c>
      <c r="E172">
        <v>30853850</v>
      </c>
      <c r="F172" t="s">
        <v>920</v>
      </c>
      <c r="G172" s="1">
        <v>45236</v>
      </c>
      <c r="H172">
        <v>5412667</v>
      </c>
      <c r="I172">
        <v>435</v>
      </c>
      <c r="J172" t="s">
        <v>452</v>
      </c>
      <c r="K172" t="str">
        <f>IFERROR(IF(AND(VLOOKUP($C172,Hes!$A:$B, 1, FALSE), $M172&lt;&gt;" "), "Ingresada", "Falta Ingresar"), " ")</f>
        <v xml:space="preserve"> </v>
      </c>
      <c r="L172" s="4" t="str">
        <f>IFERROR(VLOOKUP($C172,Observaciones!$A:$B,2,FALSE)," ")</f>
        <v>CAROLINA COLORADO DEBE ENVIAR  OC</v>
      </c>
      <c r="M172" t="s">
        <v>681</v>
      </c>
      <c r="O172" s="5">
        <v>30853850</v>
      </c>
      <c r="P172" s="5">
        <v>69910</v>
      </c>
      <c r="Q172" s="5">
        <v>13283</v>
      </c>
      <c r="R172" s="5">
        <v>83193</v>
      </c>
    </row>
    <row r="173" spans="1:18" x14ac:dyDescent="0.25">
      <c r="A173" t="s">
        <v>512</v>
      </c>
      <c r="B173" t="s">
        <v>494</v>
      </c>
      <c r="C173">
        <v>61606901</v>
      </c>
      <c r="D173">
        <v>145</v>
      </c>
      <c r="E173">
        <v>30854541</v>
      </c>
      <c r="F173" t="s">
        <v>920</v>
      </c>
      <c r="G173" s="1">
        <v>45236</v>
      </c>
      <c r="H173">
        <v>5412669</v>
      </c>
      <c r="I173">
        <v>435</v>
      </c>
      <c r="J173" t="s">
        <v>452</v>
      </c>
      <c r="K173" t="str">
        <f>IFERROR(IF(AND(VLOOKUP($C173,Hes!$A:$B, 1, FALSE), $M173&lt;&gt;" "), "Ingresada", "Falta Ingresar"), " ")</f>
        <v xml:space="preserve"> </v>
      </c>
      <c r="L173" s="4" t="str">
        <f>IFERROR(VLOOKUP($C173,Observaciones!$A:$B,2,FALSE)," ")</f>
        <v>CAROLINA COLORADO DEBE ENVIAR  OC</v>
      </c>
      <c r="M173" t="s">
        <v>681</v>
      </c>
      <c r="O173" s="5">
        <v>30854541</v>
      </c>
      <c r="P173" s="5">
        <v>974920</v>
      </c>
      <c r="Q173" s="5">
        <v>185235</v>
      </c>
      <c r="R173" s="5">
        <v>1160155</v>
      </c>
    </row>
    <row r="174" spans="1:18" x14ac:dyDescent="0.25">
      <c r="A174" t="s">
        <v>512</v>
      </c>
      <c r="B174" t="s">
        <v>494</v>
      </c>
      <c r="C174">
        <v>61606901</v>
      </c>
      <c r="D174">
        <v>163</v>
      </c>
      <c r="E174">
        <v>30855081</v>
      </c>
      <c r="F174" t="s">
        <v>920</v>
      </c>
      <c r="G174" s="1">
        <v>45236</v>
      </c>
      <c r="H174">
        <v>5412818</v>
      </c>
      <c r="I174">
        <v>435</v>
      </c>
      <c r="J174" t="s">
        <v>452</v>
      </c>
      <c r="K174" t="str">
        <f>IFERROR(IF(AND(VLOOKUP($C174,Hes!$A:$B, 1, FALSE), $M174&lt;&gt;" "), "Ingresada", "Falta Ingresar"), " ")</f>
        <v xml:space="preserve"> </v>
      </c>
      <c r="L174" s="4" t="str">
        <f>IFERROR(VLOOKUP($C174,Observaciones!$A:$B,2,FALSE)," ")</f>
        <v>CAROLINA COLORADO DEBE ENVIAR  OC</v>
      </c>
      <c r="M174" t="s">
        <v>681</v>
      </c>
      <c r="O174" s="5">
        <v>30855081</v>
      </c>
      <c r="P174" s="5">
        <v>49701</v>
      </c>
      <c r="Q174" s="5">
        <v>9443</v>
      </c>
      <c r="R174" s="5">
        <v>59144</v>
      </c>
    </row>
    <row r="175" spans="1:18" x14ac:dyDescent="0.25">
      <c r="A175" t="s">
        <v>512</v>
      </c>
      <c r="B175" t="s">
        <v>494</v>
      </c>
      <c r="C175">
        <v>61606901</v>
      </c>
      <c r="D175">
        <v>63</v>
      </c>
      <c r="E175">
        <v>30853434</v>
      </c>
      <c r="F175" t="s">
        <v>920</v>
      </c>
      <c r="G175" s="1">
        <v>45236</v>
      </c>
      <c r="H175">
        <v>5412834</v>
      </c>
      <c r="I175">
        <v>435</v>
      </c>
      <c r="J175" t="s">
        <v>452</v>
      </c>
      <c r="K175" t="str">
        <f>IFERROR(IF(AND(VLOOKUP($C175,Hes!$A:$B, 1, FALSE), $M175&lt;&gt;" "), "Ingresada", "Falta Ingresar"), " ")</f>
        <v xml:space="preserve"> </v>
      </c>
      <c r="L175" s="4" t="str">
        <f>IFERROR(VLOOKUP($C175,Observaciones!$A:$B,2,FALSE)," ")</f>
        <v>CAROLINA COLORADO DEBE ENVIAR  OC</v>
      </c>
      <c r="M175" t="s">
        <v>681</v>
      </c>
      <c r="O175" s="5">
        <v>30853434</v>
      </c>
      <c r="P175" s="5">
        <v>246514</v>
      </c>
      <c r="Q175" s="5">
        <v>46838</v>
      </c>
      <c r="R175" s="5">
        <v>293352</v>
      </c>
    </row>
    <row r="176" spans="1:18" x14ac:dyDescent="0.25">
      <c r="A176" t="s">
        <v>512</v>
      </c>
      <c r="B176" t="s">
        <v>494</v>
      </c>
      <c r="C176">
        <v>61606901</v>
      </c>
      <c r="D176">
        <v>181</v>
      </c>
      <c r="E176">
        <v>30854024</v>
      </c>
      <c r="F176" t="s">
        <v>920</v>
      </c>
      <c r="G176" s="1">
        <v>45236</v>
      </c>
      <c r="H176">
        <v>5412972</v>
      </c>
      <c r="I176">
        <v>435</v>
      </c>
      <c r="J176" t="s">
        <v>452</v>
      </c>
      <c r="K176" t="str">
        <f>IFERROR(IF(AND(VLOOKUP($C176,Hes!$A:$B, 1, FALSE), $M176&lt;&gt;" "), "Ingresada", "Falta Ingresar"), " ")</f>
        <v xml:space="preserve"> </v>
      </c>
      <c r="L176" s="4" t="str">
        <f>IFERROR(VLOOKUP($C176,Observaciones!$A:$B,2,FALSE)," ")</f>
        <v>CAROLINA COLORADO DEBE ENVIAR  OC</v>
      </c>
      <c r="M176" t="s">
        <v>681</v>
      </c>
      <c r="O176" s="5">
        <v>30854024</v>
      </c>
      <c r="P176" s="5">
        <v>848267</v>
      </c>
      <c r="Q176" s="5">
        <v>161171</v>
      </c>
      <c r="R176" s="5">
        <v>1009438</v>
      </c>
    </row>
    <row r="177" spans="1:18" x14ac:dyDescent="0.25">
      <c r="A177" t="s">
        <v>512</v>
      </c>
      <c r="B177" t="s">
        <v>494</v>
      </c>
      <c r="C177">
        <v>61606901</v>
      </c>
      <c r="D177">
        <v>161</v>
      </c>
      <c r="E177">
        <v>30855535</v>
      </c>
      <c r="F177" t="s">
        <v>920</v>
      </c>
      <c r="G177" s="1">
        <v>45236</v>
      </c>
      <c r="H177">
        <v>5412978</v>
      </c>
      <c r="I177">
        <v>435</v>
      </c>
      <c r="J177" t="s">
        <v>452</v>
      </c>
      <c r="K177" t="str">
        <f>IFERROR(IF(AND(VLOOKUP($C177,Hes!$A:$B, 1, FALSE), $M177&lt;&gt;" "), "Ingresada", "Falta Ingresar"), " ")</f>
        <v xml:space="preserve"> </v>
      </c>
      <c r="L177" s="4" t="str">
        <f>IFERROR(VLOOKUP($C177,Observaciones!$A:$B,2,FALSE)," ")</f>
        <v>CAROLINA COLORADO DEBE ENVIAR  OC</v>
      </c>
      <c r="M177" t="s">
        <v>681</v>
      </c>
      <c r="O177" s="5">
        <v>30855535</v>
      </c>
      <c r="P177" s="5">
        <v>174577</v>
      </c>
      <c r="Q177" s="5">
        <v>33170</v>
      </c>
      <c r="R177" s="5">
        <v>207747</v>
      </c>
    </row>
    <row r="178" spans="1:18" x14ac:dyDescent="0.25">
      <c r="A178" t="s">
        <v>512</v>
      </c>
      <c r="B178" t="s">
        <v>494</v>
      </c>
      <c r="C178">
        <v>61606901</v>
      </c>
      <c r="D178">
        <v>32</v>
      </c>
      <c r="E178">
        <v>30855756</v>
      </c>
      <c r="F178" t="s">
        <v>920</v>
      </c>
      <c r="G178" s="1">
        <v>45236</v>
      </c>
      <c r="H178">
        <v>5412984</v>
      </c>
      <c r="I178">
        <v>435</v>
      </c>
      <c r="J178" t="s">
        <v>452</v>
      </c>
      <c r="K178" t="str">
        <f>IFERROR(IF(AND(VLOOKUP($C178,Hes!$A:$B, 1, FALSE), $M178&lt;&gt;" "), "Ingresada", "Falta Ingresar"), " ")</f>
        <v xml:space="preserve"> </v>
      </c>
      <c r="L178" s="4" t="str">
        <f>IFERROR(VLOOKUP($C178,Observaciones!$A:$B,2,FALSE)," ")</f>
        <v>CAROLINA COLORADO DEBE ENVIAR  OC</v>
      </c>
      <c r="M178" t="s">
        <v>681</v>
      </c>
      <c r="O178" s="5">
        <v>30855756</v>
      </c>
      <c r="P178" s="5">
        <v>165188</v>
      </c>
      <c r="Q178" s="5">
        <v>31386</v>
      </c>
      <c r="R178" s="5">
        <v>196574</v>
      </c>
    </row>
    <row r="179" spans="1:18" x14ac:dyDescent="0.25">
      <c r="A179" t="s">
        <v>512</v>
      </c>
      <c r="B179" t="s">
        <v>494</v>
      </c>
      <c r="C179">
        <v>61606901</v>
      </c>
      <c r="D179">
        <v>1</v>
      </c>
      <c r="E179">
        <v>30853855</v>
      </c>
      <c r="F179" t="s">
        <v>920</v>
      </c>
      <c r="G179" s="1">
        <v>45236</v>
      </c>
      <c r="H179">
        <v>5412987</v>
      </c>
      <c r="I179">
        <v>435</v>
      </c>
      <c r="J179" t="s">
        <v>452</v>
      </c>
      <c r="K179" t="str">
        <f>IFERROR(IF(AND(VLOOKUP($C179,Hes!$A:$B, 1, FALSE), $M179&lt;&gt;" "), "Ingresada", "Falta Ingresar"), " ")</f>
        <v xml:space="preserve"> </v>
      </c>
      <c r="L179" s="4" t="str">
        <f>IFERROR(VLOOKUP($C179,Observaciones!$A:$B,2,FALSE)," ")</f>
        <v>CAROLINA COLORADO DEBE ENVIAR  OC</v>
      </c>
      <c r="M179" t="s">
        <v>681</v>
      </c>
      <c r="O179" s="5">
        <v>30853855</v>
      </c>
      <c r="P179" s="5">
        <v>1212658</v>
      </c>
      <c r="Q179" s="5">
        <v>230405</v>
      </c>
      <c r="R179" s="5">
        <v>1443063</v>
      </c>
    </row>
    <row r="180" spans="1:18" x14ac:dyDescent="0.25">
      <c r="A180" t="s">
        <v>512</v>
      </c>
      <c r="B180" t="s">
        <v>494</v>
      </c>
      <c r="C180">
        <v>61606901</v>
      </c>
      <c r="D180">
        <v>102</v>
      </c>
      <c r="E180">
        <v>30856694</v>
      </c>
      <c r="F180" t="s">
        <v>920</v>
      </c>
      <c r="G180" s="1">
        <v>45236</v>
      </c>
      <c r="H180">
        <v>5413041</v>
      </c>
      <c r="I180">
        <v>435</v>
      </c>
      <c r="J180" t="s">
        <v>452</v>
      </c>
      <c r="K180" t="str">
        <f>IFERROR(IF(AND(VLOOKUP($C180,Hes!$A:$B, 1, FALSE), $M180&lt;&gt;" "), "Ingresada", "Falta Ingresar"), " ")</f>
        <v xml:space="preserve"> </v>
      </c>
      <c r="L180" s="4" t="str">
        <f>IFERROR(VLOOKUP($C180,Observaciones!$A:$B,2,FALSE)," ")</f>
        <v>CAROLINA COLORADO DEBE ENVIAR  OC</v>
      </c>
      <c r="M180" t="s">
        <v>681</v>
      </c>
      <c r="O180" s="5">
        <v>30856694</v>
      </c>
      <c r="P180" s="5">
        <v>406988</v>
      </c>
      <c r="Q180" s="5">
        <v>77328</v>
      </c>
      <c r="R180" s="5">
        <v>484316</v>
      </c>
    </row>
    <row r="181" spans="1:18" x14ac:dyDescent="0.25">
      <c r="A181" t="s">
        <v>512</v>
      </c>
      <c r="B181" t="s">
        <v>494</v>
      </c>
      <c r="C181">
        <v>61606901</v>
      </c>
      <c r="D181">
        <v>138</v>
      </c>
      <c r="E181">
        <v>30855895</v>
      </c>
      <c r="F181" t="s">
        <v>920</v>
      </c>
      <c r="G181" s="1">
        <v>45236</v>
      </c>
      <c r="H181">
        <v>5413054</v>
      </c>
      <c r="I181">
        <v>435</v>
      </c>
      <c r="J181" t="s">
        <v>452</v>
      </c>
      <c r="K181" t="str">
        <f>IFERROR(IF(AND(VLOOKUP($C181,Hes!$A:$B, 1, FALSE), $M181&lt;&gt;" "), "Ingresada", "Falta Ingresar"), " ")</f>
        <v xml:space="preserve"> </v>
      </c>
      <c r="L181" s="4" t="str">
        <f>IFERROR(VLOOKUP($C181,Observaciones!$A:$B,2,FALSE)," ")</f>
        <v>CAROLINA COLORADO DEBE ENVIAR  OC</v>
      </c>
      <c r="M181" t="s">
        <v>681</v>
      </c>
      <c r="O181" s="5">
        <v>30855895</v>
      </c>
      <c r="P181" s="5">
        <v>55484</v>
      </c>
      <c r="Q181" s="5">
        <v>10542</v>
      </c>
      <c r="R181" s="5">
        <v>66026</v>
      </c>
    </row>
    <row r="182" spans="1:18" x14ac:dyDescent="0.25">
      <c r="A182" t="s">
        <v>512</v>
      </c>
      <c r="B182" t="s">
        <v>494</v>
      </c>
      <c r="C182">
        <v>61606901</v>
      </c>
      <c r="D182">
        <v>195</v>
      </c>
      <c r="E182">
        <v>30858425</v>
      </c>
      <c r="F182" t="s">
        <v>920</v>
      </c>
      <c r="G182" s="1">
        <v>45238</v>
      </c>
      <c r="H182">
        <v>5414527</v>
      </c>
      <c r="I182">
        <v>435</v>
      </c>
      <c r="J182" t="s">
        <v>452</v>
      </c>
      <c r="K182" t="str">
        <f>IFERROR(IF(AND(VLOOKUP($C182,Hes!$A:$B, 1, FALSE), $M182&lt;&gt;" "), "Ingresada", "Falta Ingresar"), " ")</f>
        <v xml:space="preserve"> </v>
      </c>
      <c r="L182" s="4" t="str">
        <f>IFERROR(VLOOKUP($C182,Observaciones!$A:$B,2,FALSE)," ")</f>
        <v>CAROLINA COLORADO DEBE ENVIAR  OC</v>
      </c>
      <c r="M182" t="s">
        <v>681</v>
      </c>
      <c r="O182" s="5">
        <v>30858425</v>
      </c>
      <c r="P182" s="5">
        <v>111896</v>
      </c>
      <c r="Q182" s="5">
        <v>21260</v>
      </c>
      <c r="R182" s="5">
        <v>133156</v>
      </c>
    </row>
    <row r="183" spans="1:18" x14ac:dyDescent="0.25">
      <c r="A183" t="s">
        <v>512</v>
      </c>
      <c r="B183" t="s">
        <v>494</v>
      </c>
      <c r="C183">
        <v>61606901</v>
      </c>
      <c r="D183">
        <v>179</v>
      </c>
      <c r="E183">
        <v>30862432</v>
      </c>
      <c r="F183" t="s">
        <v>920</v>
      </c>
      <c r="G183" s="1">
        <v>45238</v>
      </c>
      <c r="H183">
        <v>5414551</v>
      </c>
      <c r="I183">
        <v>372</v>
      </c>
      <c r="J183" t="s">
        <v>454</v>
      </c>
      <c r="K183" t="str">
        <f>IFERROR(IF(AND(VLOOKUP($C183,Hes!$A:$B, 1, FALSE), $M183&lt;&gt;" "), "Ingresada", "Falta Ingresar"), " ")</f>
        <v xml:space="preserve"> </v>
      </c>
      <c r="L183" s="4" t="str">
        <f>IFERROR(VLOOKUP($C183,Observaciones!$A:$B,2,FALSE)," ")</f>
        <v>CAROLINA COLORADO DEBE ENVIAR  OC</v>
      </c>
      <c r="M183" t="s">
        <v>681</v>
      </c>
      <c r="O183" s="5">
        <v>30862432</v>
      </c>
      <c r="P183" s="5">
        <v>110752</v>
      </c>
      <c r="Q183" s="5">
        <v>21043</v>
      </c>
      <c r="R183" s="5">
        <v>131795</v>
      </c>
    </row>
    <row r="184" spans="1:18" x14ac:dyDescent="0.25">
      <c r="A184" t="s">
        <v>512</v>
      </c>
      <c r="B184" t="s">
        <v>494</v>
      </c>
      <c r="C184">
        <v>61606901</v>
      </c>
      <c r="D184">
        <v>102</v>
      </c>
      <c r="E184">
        <v>30856802</v>
      </c>
      <c r="F184" t="s">
        <v>920</v>
      </c>
      <c r="G184" s="1">
        <v>45238</v>
      </c>
      <c r="H184">
        <v>5414584</v>
      </c>
      <c r="I184">
        <v>435</v>
      </c>
      <c r="J184" t="s">
        <v>452</v>
      </c>
      <c r="K184" t="str">
        <f>IFERROR(IF(AND(VLOOKUP($C184,Hes!$A:$B, 1, FALSE), $M184&lt;&gt;" "), "Ingresada", "Falta Ingresar"), " ")</f>
        <v xml:space="preserve"> </v>
      </c>
      <c r="L184" s="4" t="str">
        <f>IFERROR(VLOOKUP($C184,Observaciones!$A:$B,2,FALSE)," ")</f>
        <v>CAROLINA COLORADO DEBE ENVIAR  OC</v>
      </c>
      <c r="M184" t="s">
        <v>681</v>
      </c>
      <c r="O184" s="5">
        <v>30856802</v>
      </c>
      <c r="P184" s="5">
        <v>197408</v>
      </c>
      <c r="Q184" s="5">
        <v>37508</v>
      </c>
      <c r="R184" s="5">
        <v>234916</v>
      </c>
    </row>
    <row r="185" spans="1:18" x14ac:dyDescent="0.25">
      <c r="A185" t="s">
        <v>512</v>
      </c>
      <c r="B185" t="s">
        <v>494</v>
      </c>
      <c r="C185">
        <v>61606901</v>
      </c>
      <c r="D185">
        <v>155</v>
      </c>
      <c r="E185">
        <v>30857251</v>
      </c>
      <c r="F185" t="s">
        <v>920</v>
      </c>
      <c r="G185" s="1">
        <v>45238</v>
      </c>
      <c r="H185">
        <v>5414586</v>
      </c>
      <c r="I185">
        <v>435</v>
      </c>
      <c r="J185" t="s">
        <v>452</v>
      </c>
      <c r="K185" t="str">
        <f>IFERROR(IF(AND(VLOOKUP($C185,Hes!$A:$B, 1, FALSE), $M185&lt;&gt;" "), "Ingresada", "Falta Ingresar"), " ")</f>
        <v xml:space="preserve"> </v>
      </c>
      <c r="L185" s="4" t="str">
        <f>IFERROR(VLOOKUP($C185,Observaciones!$A:$B,2,FALSE)," ")</f>
        <v>CAROLINA COLORADO DEBE ENVIAR  OC</v>
      </c>
      <c r="M185" t="s">
        <v>681</v>
      </c>
      <c r="O185" s="5">
        <v>30857251</v>
      </c>
      <c r="P185" s="5">
        <v>218853</v>
      </c>
      <c r="Q185" s="5">
        <v>41582</v>
      </c>
      <c r="R185" s="5">
        <v>260435</v>
      </c>
    </row>
    <row r="186" spans="1:18" x14ac:dyDescent="0.25">
      <c r="A186" t="s">
        <v>512</v>
      </c>
      <c r="B186" t="s">
        <v>494</v>
      </c>
      <c r="C186">
        <v>61606901</v>
      </c>
      <c r="D186">
        <v>84</v>
      </c>
      <c r="E186">
        <v>30857292</v>
      </c>
      <c r="F186" t="s">
        <v>920</v>
      </c>
      <c r="G186" s="1">
        <v>45238</v>
      </c>
      <c r="H186">
        <v>5414672</v>
      </c>
      <c r="I186">
        <v>435</v>
      </c>
      <c r="J186" t="s">
        <v>452</v>
      </c>
      <c r="K186" t="str">
        <f>IFERROR(IF(AND(VLOOKUP($C186,Hes!$A:$B, 1, FALSE), $M186&lt;&gt;" "), "Ingresada", "Falta Ingresar"), " ")</f>
        <v xml:space="preserve"> </v>
      </c>
      <c r="L186" s="4" t="str">
        <f>IFERROR(VLOOKUP($C186,Observaciones!$A:$B,2,FALSE)," ")</f>
        <v>CAROLINA COLORADO DEBE ENVIAR  OC</v>
      </c>
      <c r="M186" t="s">
        <v>681</v>
      </c>
      <c r="O186" s="5">
        <v>30857292</v>
      </c>
      <c r="P186" s="5">
        <v>108279</v>
      </c>
      <c r="Q186" s="5">
        <v>20573</v>
      </c>
      <c r="R186" s="5">
        <v>128852</v>
      </c>
    </row>
    <row r="187" spans="1:18" x14ac:dyDescent="0.25">
      <c r="A187" t="s">
        <v>512</v>
      </c>
      <c r="B187" t="s">
        <v>494</v>
      </c>
      <c r="C187">
        <v>61606901</v>
      </c>
      <c r="D187">
        <v>130</v>
      </c>
      <c r="E187">
        <v>30857375</v>
      </c>
      <c r="F187" t="s">
        <v>920</v>
      </c>
      <c r="G187" s="1">
        <v>45238</v>
      </c>
      <c r="H187">
        <v>5414673</v>
      </c>
      <c r="I187">
        <v>435</v>
      </c>
      <c r="J187" t="s">
        <v>452</v>
      </c>
      <c r="K187" t="str">
        <f>IFERROR(IF(AND(VLOOKUP($C187,Hes!$A:$B, 1, FALSE), $M187&lt;&gt;" "), "Ingresada", "Falta Ingresar"), " ")</f>
        <v xml:space="preserve"> </v>
      </c>
      <c r="L187" s="4" t="str">
        <f>IFERROR(VLOOKUP($C187,Observaciones!$A:$B,2,FALSE)," ")</f>
        <v>CAROLINA COLORADO DEBE ENVIAR  OC</v>
      </c>
      <c r="M187" t="s">
        <v>681</v>
      </c>
      <c r="O187" s="5">
        <v>30857375</v>
      </c>
      <c r="P187" s="5">
        <v>328438</v>
      </c>
      <c r="Q187" s="5">
        <v>62403</v>
      </c>
      <c r="R187" s="5">
        <v>390841</v>
      </c>
    </row>
    <row r="188" spans="1:18" x14ac:dyDescent="0.25">
      <c r="A188" t="s">
        <v>512</v>
      </c>
      <c r="B188" t="s">
        <v>494</v>
      </c>
      <c r="C188">
        <v>61606901</v>
      </c>
      <c r="D188">
        <v>99</v>
      </c>
      <c r="E188">
        <v>30857244</v>
      </c>
      <c r="F188" t="s">
        <v>920</v>
      </c>
      <c r="G188" s="1">
        <v>45238</v>
      </c>
      <c r="H188">
        <v>5414678</v>
      </c>
      <c r="I188">
        <v>435</v>
      </c>
      <c r="J188" t="s">
        <v>452</v>
      </c>
      <c r="K188" t="str">
        <f>IFERROR(IF(AND(VLOOKUP($C188,Hes!$A:$B, 1, FALSE), $M188&lt;&gt;" "), "Ingresada", "Falta Ingresar"), " ")</f>
        <v xml:space="preserve"> </v>
      </c>
      <c r="L188" s="4" t="str">
        <f>IFERROR(VLOOKUP($C188,Observaciones!$A:$B,2,FALSE)," ")</f>
        <v>CAROLINA COLORADO DEBE ENVIAR  OC</v>
      </c>
      <c r="M188" t="s">
        <v>681</v>
      </c>
      <c r="O188" s="5">
        <v>30857244</v>
      </c>
      <c r="P188" s="5">
        <v>74821</v>
      </c>
      <c r="Q188" s="5">
        <v>14216</v>
      </c>
      <c r="R188" s="5">
        <v>89037</v>
      </c>
    </row>
    <row r="189" spans="1:18" x14ac:dyDescent="0.25">
      <c r="A189" t="s">
        <v>512</v>
      </c>
      <c r="B189" t="s">
        <v>494</v>
      </c>
      <c r="C189">
        <v>61606901</v>
      </c>
      <c r="D189">
        <v>30</v>
      </c>
      <c r="E189">
        <v>30857257</v>
      </c>
      <c r="F189" t="s">
        <v>920</v>
      </c>
      <c r="G189" s="1">
        <v>45238</v>
      </c>
      <c r="H189">
        <v>5414682</v>
      </c>
      <c r="I189">
        <v>435</v>
      </c>
      <c r="J189" t="s">
        <v>452</v>
      </c>
      <c r="K189" t="str">
        <f>IFERROR(IF(AND(VLOOKUP($C189,Hes!$A:$B, 1, FALSE), $M189&lt;&gt;" "), "Ingresada", "Falta Ingresar"), " ")</f>
        <v xml:space="preserve"> </v>
      </c>
      <c r="L189" s="4" t="str">
        <f>IFERROR(VLOOKUP($C189,Observaciones!$A:$B,2,FALSE)," ")</f>
        <v>CAROLINA COLORADO DEBE ENVIAR  OC</v>
      </c>
      <c r="M189" t="s">
        <v>681</v>
      </c>
      <c r="O189" s="5">
        <v>30857257</v>
      </c>
      <c r="P189" s="5">
        <v>66080</v>
      </c>
      <c r="Q189" s="5">
        <v>12555</v>
      </c>
      <c r="R189" s="5">
        <v>78635</v>
      </c>
    </row>
    <row r="190" spans="1:18" x14ac:dyDescent="0.25">
      <c r="A190" t="s">
        <v>512</v>
      </c>
      <c r="B190" t="s">
        <v>494</v>
      </c>
      <c r="C190">
        <v>61606901</v>
      </c>
      <c r="D190">
        <v>49</v>
      </c>
      <c r="E190">
        <v>30857335</v>
      </c>
      <c r="F190" t="s">
        <v>920</v>
      </c>
      <c r="G190" s="1">
        <v>45238</v>
      </c>
      <c r="H190">
        <v>5414683</v>
      </c>
      <c r="I190">
        <v>435</v>
      </c>
      <c r="J190" t="s">
        <v>452</v>
      </c>
      <c r="K190" t="str">
        <f>IFERROR(IF(AND(VLOOKUP($C190,Hes!$A:$B, 1, FALSE), $M190&lt;&gt;" "), "Ingresada", "Falta Ingresar"), " ")</f>
        <v xml:space="preserve"> </v>
      </c>
      <c r="L190" s="4" t="str">
        <f>IFERROR(VLOOKUP($C190,Observaciones!$A:$B,2,FALSE)," ")</f>
        <v>CAROLINA COLORADO DEBE ENVIAR  OC</v>
      </c>
      <c r="M190" t="s">
        <v>681</v>
      </c>
      <c r="O190" s="5">
        <v>30857335</v>
      </c>
      <c r="P190" s="5">
        <v>6740</v>
      </c>
      <c r="Q190" s="5">
        <v>1281</v>
      </c>
      <c r="R190" s="5">
        <v>8021</v>
      </c>
    </row>
    <row r="191" spans="1:18" x14ac:dyDescent="0.25">
      <c r="A191" t="s">
        <v>512</v>
      </c>
      <c r="B191" t="s">
        <v>494</v>
      </c>
      <c r="C191">
        <v>61606901</v>
      </c>
      <c r="D191">
        <v>157</v>
      </c>
      <c r="E191">
        <v>30857266</v>
      </c>
      <c r="F191" t="s">
        <v>920</v>
      </c>
      <c r="G191" s="1">
        <v>45238</v>
      </c>
      <c r="H191">
        <v>5414685</v>
      </c>
      <c r="I191">
        <v>435</v>
      </c>
      <c r="J191" t="s">
        <v>452</v>
      </c>
      <c r="K191" t="str">
        <f>IFERROR(IF(AND(VLOOKUP($C191,Hes!$A:$B, 1, FALSE), $M191&lt;&gt;" "), "Ingresada", "Falta Ingresar"), " ")</f>
        <v xml:space="preserve"> </v>
      </c>
      <c r="L191" s="4" t="str">
        <f>IFERROR(VLOOKUP($C191,Observaciones!$A:$B,2,FALSE)," ")</f>
        <v>CAROLINA COLORADO DEBE ENVIAR  OC</v>
      </c>
      <c r="M191" t="s">
        <v>681</v>
      </c>
      <c r="O191" s="5">
        <v>30857266</v>
      </c>
      <c r="P191" s="5">
        <v>56845</v>
      </c>
      <c r="Q191" s="5">
        <v>10801</v>
      </c>
      <c r="R191" s="5">
        <v>67646</v>
      </c>
    </row>
    <row r="192" spans="1:18" x14ac:dyDescent="0.25">
      <c r="A192" t="s">
        <v>512</v>
      </c>
      <c r="B192" t="s">
        <v>494</v>
      </c>
      <c r="C192">
        <v>61606901</v>
      </c>
      <c r="D192">
        <v>79</v>
      </c>
      <c r="E192">
        <v>30857316</v>
      </c>
      <c r="F192" t="s">
        <v>920</v>
      </c>
      <c r="G192" s="1">
        <v>45238</v>
      </c>
      <c r="H192">
        <v>5414687</v>
      </c>
      <c r="I192">
        <v>435</v>
      </c>
      <c r="J192" t="s">
        <v>452</v>
      </c>
      <c r="K192" t="str">
        <f>IFERROR(IF(AND(VLOOKUP($C192,Hes!$A:$B, 1, FALSE), $M192&lt;&gt;" "), "Ingresada", "Falta Ingresar"), " ")</f>
        <v xml:space="preserve"> </v>
      </c>
      <c r="L192" s="4" t="str">
        <f>IFERROR(VLOOKUP($C192,Observaciones!$A:$B,2,FALSE)," ")</f>
        <v>CAROLINA COLORADO DEBE ENVIAR  OC</v>
      </c>
      <c r="M192" t="s">
        <v>681</v>
      </c>
      <c r="O192" s="5">
        <v>30857316</v>
      </c>
      <c r="P192" s="5">
        <v>259929</v>
      </c>
      <c r="Q192" s="5">
        <v>49387</v>
      </c>
      <c r="R192" s="5">
        <v>309316</v>
      </c>
    </row>
    <row r="193" spans="1:18" x14ac:dyDescent="0.25">
      <c r="A193" t="s">
        <v>512</v>
      </c>
      <c r="B193" t="s">
        <v>494</v>
      </c>
      <c r="C193">
        <v>61606901</v>
      </c>
      <c r="D193">
        <v>148</v>
      </c>
      <c r="E193">
        <v>30857280</v>
      </c>
      <c r="F193" t="s">
        <v>920</v>
      </c>
      <c r="G193" s="1">
        <v>45238</v>
      </c>
      <c r="H193">
        <v>5414688</v>
      </c>
      <c r="I193">
        <v>435</v>
      </c>
      <c r="J193" t="s">
        <v>452</v>
      </c>
      <c r="K193" t="str">
        <f>IFERROR(IF(AND(VLOOKUP($C193,Hes!$A:$B, 1, FALSE), $M193&lt;&gt;" "), "Ingresada", "Falta Ingresar"), " ")</f>
        <v xml:space="preserve"> </v>
      </c>
      <c r="L193" s="4" t="str">
        <f>IFERROR(VLOOKUP($C193,Observaciones!$A:$B,2,FALSE)," ")</f>
        <v>CAROLINA COLORADO DEBE ENVIAR  OC</v>
      </c>
      <c r="M193" t="s">
        <v>681</v>
      </c>
      <c r="O193" s="5">
        <v>30857280</v>
      </c>
      <c r="P193" s="5">
        <v>76939</v>
      </c>
      <c r="Q193" s="5">
        <v>14618</v>
      </c>
      <c r="R193" s="5">
        <v>91557</v>
      </c>
    </row>
    <row r="194" spans="1:18" x14ac:dyDescent="0.25">
      <c r="A194" t="s">
        <v>512</v>
      </c>
      <c r="B194" t="s">
        <v>494</v>
      </c>
      <c r="C194">
        <v>61606901</v>
      </c>
      <c r="D194">
        <v>45</v>
      </c>
      <c r="E194">
        <v>30856692</v>
      </c>
      <c r="F194" t="s">
        <v>920</v>
      </c>
      <c r="G194" s="1">
        <v>45238</v>
      </c>
      <c r="H194">
        <v>5414689</v>
      </c>
      <c r="I194">
        <v>435</v>
      </c>
      <c r="J194" t="s">
        <v>452</v>
      </c>
      <c r="K194" t="str">
        <f>IFERROR(IF(AND(VLOOKUP($C194,Hes!$A:$B, 1, FALSE), $M194&lt;&gt;" "), "Ingresada", "Falta Ingresar"), " ")</f>
        <v xml:space="preserve"> </v>
      </c>
      <c r="L194" s="4" t="str">
        <f>IFERROR(VLOOKUP($C194,Observaciones!$A:$B,2,FALSE)," ")</f>
        <v>CAROLINA COLORADO DEBE ENVIAR  OC</v>
      </c>
      <c r="M194" t="s">
        <v>681</v>
      </c>
      <c r="O194" s="5">
        <v>30856692</v>
      </c>
      <c r="P194" s="5">
        <v>890845</v>
      </c>
      <c r="Q194" s="5">
        <v>169261</v>
      </c>
      <c r="R194" s="5">
        <v>1060106</v>
      </c>
    </row>
    <row r="195" spans="1:18" x14ac:dyDescent="0.25">
      <c r="A195" t="s">
        <v>512</v>
      </c>
      <c r="B195" t="s">
        <v>494</v>
      </c>
      <c r="C195">
        <v>61606901</v>
      </c>
      <c r="D195">
        <v>156</v>
      </c>
      <c r="E195">
        <v>30859466</v>
      </c>
      <c r="F195" t="s">
        <v>920</v>
      </c>
      <c r="G195" s="1">
        <v>45238</v>
      </c>
      <c r="H195">
        <v>5414690</v>
      </c>
      <c r="I195">
        <v>372</v>
      </c>
      <c r="J195" t="s">
        <v>454</v>
      </c>
      <c r="K195" t="str">
        <f>IFERROR(IF(AND(VLOOKUP($C195,Hes!$A:$B, 1, FALSE), $M195&lt;&gt;" "), "Ingresada", "Falta Ingresar"), " ")</f>
        <v xml:space="preserve"> </v>
      </c>
      <c r="L195" s="4" t="str">
        <f>IFERROR(VLOOKUP($C195,Observaciones!$A:$B,2,FALSE)," ")</f>
        <v>CAROLINA COLORADO DEBE ENVIAR  OC</v>
      </c>
      <c r="M195" t="s">
        <v>681</v>
      </c>
      <c r="O195" s="5">
        <v>30859466</v>
      </c>
      <c r="P195" s="5">
        <v>69576</v>
      </c>
      <c r="Q195" s="5">
        <v>13219</v>
      </c>
      <c r="R195" s="5">
        <v>82795</v>
      </c>
    </row>
    <row r="196" spans="1:18" x14ac:dyDescent="0.25">
      <c r="A196" t="s">
        <v>512</v>
      </c>
      <c r="B196" t="s">
        <v>494</v>
      </c>
      <c r="C196">
        <v>61606901</v>
      </c>
      <c r="D196">
        <v>24</v>
      </c>
      <c r="E196">
        <v>30859816</v>
      </c>
      <c r="F196" t="s">
        <v>920</v>
      </c>
      <c r="G196" s="1">
        <v>45238</v>
      </c>
      <c r="H196">
        <v>5414691</v>
      </c>
      <c r="I196">
        <v>372</v>
      </c>
      <c r="J196" t="s">
        <v>454</v>
      </c>
      <c r="K196" t="str">
        <f>IFERROR(IF(AND(VLOOKUP($C196,Hes!$A:$B, 1, FALSE), $M196&lt;&gt;" "), "Ingresada", "Falta Ingresar"), " ")</f>
        <v xml:space="preserve"> </v>
      </c>
      <c r="L196" s="4" t="str">
        <f>IFERROR(VLOOKUP($C196,Observaciones!$A:$B,2,FALSE)," ")</f>
        <v>CAROLINA COLORADO DEBE ENVIAR  OC</v>
      </c>
      <c r="M196" t="s">
        <v>681</v>
      </c>
      <c r="O196" s="5">
        <v>30859816</v>
      </c>
      <c r="P196" s="5">
        <v>63642</v>
      </c>
      <c r="Q196" s="5">
        <v>12092</v>
      </c>
      <c r="R196" s="5">
        <v>75734</v>
      </c>
    </row>
    <row r="197" spans="1:18" x14ac:dyDescent="0.25">
      <c r="A197" t="s">
        <v>512</v>
      </c>
      <c r="B197" t="s">
        <v>494</v>
      </c>
      <c r="C197">
        <v>61606901</v>
      </c>
      <c r="D197">
        <v>64</v>
      </c>
      <c r="E197">
        <v>30861666</v>
      </c>
      <c r="F197" t="s">
        <v>920</v>
      </c>
      <c r="G197" s="1">
        <v>45238</v>
      </c>
      <c r="H197">
        <v>5414692</v>
      </c>
      <c r="I197">
        <v>372</v>
      </c>
      <c r="J197" t="s">
        <v>454</v>
      </c>
      <c r="K197" t="str">
        <f>IFERROR(IF(AND(VLOOKUP($C197,Hes!$A:$B, 1, FALSE), $M197&lt;&gt;" "), "Ingresada", "Falta Ingresar"), " ")</f>
        <v xml:space="preserve"> </v>
      </c>
      <c r="L197" s="4" t="str">
        <f>IFERROR(VLOOKUP($C197,Observaciones!$A:$B,2,FALSE)," ")</f>
        <v>CAROLINA COLORADO DEBE ENVIAR  OC</v>
      </c>
      <c r="M197" t="s">
        <v>681</v>
      </c>
      <c r="O197" s="5">
        <v>30861666</v>
      </c>
      <c r="P197" s="5">
        <v>116917</v>
      </c>
      <c r="Q197" s="5">
        <v>22214</v>
      </c>
      <c r="R197" s="5">
        <v>139131</v>
      </c>
    </row>
    <row r="198" spans="1:18" x14ac:dyDescent="0.25">
      <c r="A198" t="s">
        <v>512</v>
      </c>
      <c r="B198" t="s">
        <v>494</v>
      </c>
      <c r="C198">
        <v>61606901</v>
      </c>
      <c r="D198">
        <v>149</v>
      </c>
      <c r="E198">
        <v>30862427</v>
      </c>
      <c r="F198" t="s">
        <v>920</v>
      </c>
      <c r="G198" s="1">
        <v>45238</v>
      </c>
      <c r="H198">
        <v>5414694</v>
      </c>
      <c r="I198">
        <v>372</v>
      </c>
      <c r="J198" t="s">
        <v>454</v>
      </c>
      <c r="K198" t="str">
        <f>IFERROR(IF(AND(VLOOKUP($C198,Hes!$A:$B, 1, FALSE), $M198&lt;&gt;" "), "Ingresada", "Falta Ingresar"), " ")</f>
        <v xml:space="preserve"> </v>
      </c>
      <c r="L198" s="4" t="str">
        <f>IFERROR(VLOOKUP($C198,Observaciones!$A:$B,2,FALSE)," ")</f>
        <v>CAROLINA COLORADO DEBE ENVIAR  OC</v>
      </c>
      <c r="M198" t="s">
        <v>681</v>
      </c>
      <c r="O198" s="5">
        <v>30862427</v>
      </c>
      <c r="P198" s="5">
        <v>16171</v>
      </c>
      <c r="Q198" s="5">
        <v>3072</v>
      </c>
      <c r="R198" s="5">
        <v>19243</v>
      </c>
    </row>
    <row r="199" spans="1:18" x14ac:dyDescent="0.25">
      <c r="A199" t="s">
        <v>512</v>
      </c>
      <c r="B199" t="s">
        <v>494</v>
      </c>
      <c r="C199">
        <v>61606901</v>
      </c>
      <c r="D199">
        <v>160</v>
      </c>
      <c r="E199">
        <v>30859510</v>
      </c>
      <c r="F199" t="s">
        <v>920</v>
      </c>
      <c r="G199" s="1">
        <v>45238</v>
      </c>
      <c r="H199">
        <v>5414804</v>
      </c>
      <c r="I199">
        <v>372</v>
      </c>
      <c r="J199" t="s">
        <v>454</v>
      </c>
      <c r="K199" t="str">
        <f>IFERROR(IF(AND(VLOOKUP($C199,Hes!$A:$B, 1, FALSE), $M199&lt;&gt;" "), "Ingresada", "Falta Ingresar"), " ")</f>
        <v xml:space="preserve"> </v>
      </c>
      <c r="L199" s="4" t="str">
        <f>IFERROR(VLOOKUP($C199,Observaciones!$A:$B,2,FALSE)," ")</f>
        <v>CAROLINA COLORADO DEBE ENVIAR  OC</v>
      </c>
      <c r="M199" t="s">
        <v>681</v>
      </c>
      <c r="O199" s="5">
        <v>30859510</v>
      </c>
      <c r="P199" s="5">
        <v>360268</v>
      </c>
      <c r="Q199" s="5">
        <v>68451</v>
      </c>
      <c r="R199" s="5">
        <v>428719</v>
      </c>
    </row>
    <row r="200" spans="1:18" x14ac:dyDescent="0.25">
      <c r="A200" t="s">
        <v>512</v>
      </c>
      <c r="B200" t="s">
        <v>494</v>
      </c>
      <c r="C200">
        <v>61606901</v>
      </c>
      <c r="D200">
        <v>40</v>
      </c>
      <c r="E200">
        <v>30859138</v>
      </c>
      <c r="F200" t="s">
        <v>920</v>
      </c>
      <c r="G200" s="1">
        <v>45238</v>
      </c>
      <c r="H200">
        <v>5414806</v>
      </c>
      <c r="I200">
        <v>372</v>
      </c>
      <c r="J200" t="s">
        <v>454</v>
      </c>
      <c r="K200" t="str">
        <f>IFERROR(IF(AND(VLOOKUP($C200,Hes!$A:$B, 1, FALSE), $M200&lt;&gt;" "), "Ingresada", "Falta Ingresar"), " ")</f>
        <v xml:space="preserve"> </v>
      </c>
      <c r="L200" s="4" t="str">
        <f>IFERROR(VLOOKUP($C200,Observaciones!$A:$B,2,FALSE)," ")</f>
        <v>CAROLINA COLORADO DEBE ENVIAR  OC</v>
      </c>
      <c r="M200" t="s">
        <v>681</v>
      </c>
      <c r="O200" s="5">
        <v>30859138</v>
      </c>
      <c r="P200" s="5">
        <v>99318</v>
      </c>
      <c r="Q200" s="5">
        <v>18870</v>
      </c>
      <c r="R200" s="5">
        <v>118188</v>
      </c>
    </row>
    <row r="201" spans="1:18" x14ac:dyDescent="0.25">
      <c r="A201" t="s">
        <v>512</v>
      </c>
      <c r="B201" t="s">
        <v>494</v>
      </c>
      <c r="C201">
        <v>61606901</v>
      </c>
      <c r="D201">
        <v>55</v>
      </c>
      <c r="E201">
        <v>30861021</v>
      </c>
      <c r="F201" t="s">
        <v>920</v>
      </c>
      <c r="G201" s="1">
        <v>45238</v>
      </c>
      <c r="H201">
        <v>5414860</v>
      </c>
      <c r="I201">
        <v>372</v>
      </c>
      <c r="J201" t="s">
        <v>454</v>
      </c>
      <c r="K201" t="str">
        <f>IFERROR(IF(AND(VLOOKUP($C201,Hes!$A:$B, 1, FALSE), $M201&lt;&gt;" "), "Ingresada", "Falta Ingresar"), " ")</f>
        <v xml:space="preserve"> </v>
      </c>
      <c r="L201" s="4" t="str">
        <f>IFERROR(VLOOKUP($C201,Observaciones!$A:$B,2,FALSE)," ")</f>
        <v>CAROLINA COLORADO DEBE ENVIAR  OC</v>
      </c>
      <c r="M201" t="s">
        <v>681</v>
      </c>
      <c r="O201" s="5">
        <v>30861021</v>
      </c>
      <c r="P201" s="5">
        <v>80554</v>
      </c>
      <c r="Q201" s="5">
        <v>15305</v>
      </c>
      <c r="R201" s="5">
        <v>95859</v>
      </c>
    </row>
    <row r="202" spans="1:18" x14ac:dyDescent="0.25">
      <c r="A202" t="s">
        <v>512</v>
      </c>
      <c r="B202" t="s">
        <v>494</v>
      </c>
      <c r="C202">
        <v>61606901</v>
      </c>
      <c r="D202">
        <v>168</v>
      </c>
      <c r="E202">
        <v>30861019</v>
      </c>
      <c r="F202" t="s">
        <v>920</v>
      </c>
      <c r="G202" s="1">
        <v>45238</v>
      </c>
      <c r="H202">
        <v>5415033</v>
      </c>
      <c r="I202">
        <v>372</v>
      </c>
      <c r="J202" t="s">
        <v>454</v>
      </c>
      <c r="K202" t="str">
        <f>IFERROR(IF(AND(VLOOKUP($C202,Hes!$A:$B, 1, FALSE), $M202&lt;&gt;" "), "Ingresada", "Falta Ingresar"), " ")</f>
        <v xml:space="preserve"> </v>
      </c>
      <c r="L202" s="4" t="str">
        <f>IFERROR(VLOOKUP($C202,Observaciones!$A:$B,2,FALSE)," ")</f>
        <v>CAROLINA COLORADO DEBE ENVIAR  OC</v>
      </c>
      <c r="M202" t="s">
        <v>681</v>
      </c>
      <c r="O202" s="5">
        <v>30861019</v>
      </c>
      <c r="P202" s="5">
        <v>104958</v>
      </c>
      <c r="Q202" s="5">
        <v>19942</v>
      </c>
      <c r="R202" s="5">
        <v>124900</v>
      </c>
    </row>
    <row r="203" spans="1:18" x14ac:dyDescent="0.25">
      <c r="A203" t="s">
        <v>512</v>
      </c>
      <c r="B203" t="s">
        <v>494</v>
      </c>
      <c r="C203">
        <v>61606901</v>
      </c>
      <c r="D203">
        <v>118</v>
      </c>
      <c r="E203">
        <v>30863919</v>
      </c>
      <c r="F203" t="s">
        <v>920</v>
      </c>
      <c r="G203" s="1">
        <v>45238</v>
      </c>
      <c r="H203">
        <v>5415075</v>
      </c>
      <c r="I203">
        <v>372</v>
      </c>
      <c r="J203" t="s">
        <v>454</v>
      </c>
      <c r="K203" t="str">
        <f>IFERROR(IF(AND(VLOOKUP($C203,Hes!$A:$B, 1, FALSE), $M203&lt;&gt;" "), "Ingresada", "Falta Ingresar"), " ")</f>
        <v xml:space="preserve"> </v>
      </c>
      <c r="L203" s="4" t="str">
        <f>IFERROR(VLOOKUP($C203,Observaciones!$A:$B,2,FALSE)," ")</f>
        <v>CAROLINA COLORADO DEBE ENVIAR  OC</v>
      </c>
      <c r="M203" t="s">
        <v>681</v>
      </c>
      <c r="O203" s="5">
        <v>30863919</v>
      </c>
      <c r="P203" s="5">
        <v>7652</v>
      </c>
      <c r="Q203" s="5">
        <v>1454</v>
      </c>
      <c r="R203" s="5">
        <v>9106</v>
      </c>
    </row>
    <row r="204" spans="1:18" x14ac:dyDescent="0.25">
      <c r="A204" t="s">
        <v>512</v>
      </c>
      <c r="B204" t="s">
        <v>494</v>
      </c>
      <c r="C204">
        <v>61606901</v>
      </c>
      <c r="D204">
        <v>147</v>
      </c>
      <c r="E204">
        <v>30863481</v>
      </c>
      <c r="F204" t="s">
        <v>920</v>
      </c>
      <c r="G204" s="1">
        <v>45238</v>
      </c>
      <c r="H204">
        <v>5415081</v>
      </c>
      <c r="I204">
        <v>372</v>
      </c>
      <c r="J204" t="s">
        <v>454</v>
      </c>
      <c r="K204" t="str">
        <f>IFERROR(IF(AND(VLOOKUP($C204,Hes!$A:$B, 1, FALSE), $M204&lt;&gt;" "), "Ingresada", "Falta Ingresar"), " ")</f>
        <v xml:space="preserve"> </v>
      </c>
      <c r="L204" s="4" t="str">
        <f>IFERROR(VLOOKUP($C204,Observaciones!$A:$B,2,FALSE)," ")</f>
        <v>CAROLINA COLORADO DEBE ENVIAR  OC</v>
      </c>
      <c r="M204" t="s">
        <v>681</v>
      </c>
      <c r="O204" s="5">
        <v>30863481</v>
      </c>
      <c r="P204" s="5">
        <v>25790</v>
      </c>
      <c r="Q204" s="5">
        <v>4900</v>
      </c>
      <c r="R204" s="5">
        <v>30690</v>
      </c>
    </row>
    <row r="205" spans="1:18" x14ac:dyDescent="0.25">
      <c r="A205" t="s">
        <v>512</v>
      </c>
      <c r="B205" t="s">
        <v>494</v>
      </c>
      <c r="C205">
        <v>61606901</v>
      </c>
      <c r="D205">
        <v>102</v>
      </c>
      <c r="E205">
        <v>30863495</v>
      </c>
      <c r="F205" t="s">
        <v>920</v>
      </c>
      <c r="G205" s="1">
        <v>45238</v>
      </c>
      <c r="H205">
        <v>5415169</v>
      </c>
      <c r="I205">
        <v>372</v>
      </c>
      <c r="J205" t="s">
        <v>454</v>
      </c>
      <c r="K205" t="str">
        <f>IFERROR(IF(AND(VLOOKUP($C205,Hes!$A:$B, 1, FALSE), $M205&lt;&gt;" "), "Ingresada", "Falta Ingresar"), " ")</f>
        <v xml:space="preserve"> </v>
      </c>
      <c r="L205" s="4" t="str">
        <f>IFERROR(VLOOKUP($C205,Observaciones!$A:$B,2,FALSE)," ")</f>
        <v>CAROLINA COLORADO DEBE ENVIAR  OC</v>
      </c>
      <c r="M205" t="s">
        <v>681</v>
      </c>
      <c r="O205" s="5">
        <v>30863495</v>
      </c>
      <c r="P205" s="5">
        <v>371969</v>
      </c>
      <c r="Q205" s="5">
        <v>70674</v>
      </c>
      <c r="R205" s="5">
        <v>442643</v>
      </c>
    </row>
    <row r="206" spans="1:18" x14ac:dyDescent="0.25">
      <c r="A206" t="s">
        <v>512</v>
      </c>
      <c r="B206" t="s">
        <v>494</v>
      </c>
      <c r="C206">
        <v>61606901</v>
      </c>
      <c r="D206">
        <v>75</v>
      </c>
      <c r="E206">
        <v>30864424</v>
      </c>
      <c r="F206" t="s">
        <v>920</v>
      </c>
      <c r="G206" s="1">
        <v>45238</v>
      </c>
      <c r="H206">
        <v>5415613</v>
      </c>
      <c r="I206">
        <v>372</v>
      </c>
      <c r="J206" t="s">
        <v>454</v>
      </c>
      <c r="K206" t="str">
        <f>IFERROR(IF(AND(VLOOKUP($C206,Hes!$A:$B, 1, FALSE), $M206&lt;&gt;" "), "Ingresada", "Falta Ingresar"), " ")</f>
        <v xml:space="preserve"> </v>
      </c>
      <c r="L206" s="4" t="str">
        <f>IFERROR(VLOOKUP($C206,Observaciones!$A:$B,2,FALSE)," ")</f>
        <v>CAROLINA COLORADO DEBE ENVIAR  OC</v>
      </c>
      <c r="M206" t="s">
        <v>681</v>
      </c>
      <c r="O206" s="5">
        <v>30864424</v>
      </c>
      <c r="P206" s="5">
        <v>152013</v>
      </c>
      <c r="Q206" s="5">
        <v>28882</v>
      </c>
      <c r="R206" s="5">
        <v>180895</v>
      </c>
    </row>
    <row r="207" spans="1:18" x14ac:dyDescent="0.25">
      <c r="A207" t="s">
        <v>512</v>
      </c>
      <c r="B207" t="s">
        <v>494</v>
      </c>
      <c r="C207">
        <v>61606901</v>
      </c>
      <c r="D207">
        <v>75</v>
      </c>
      <c r="E207">
        <v>30864424</v>
      </c>
      <c r="F207" t="s">
        <v>920</v>
      </c>
      <c r="G207" s="1">
        <v>45238</v>
      </c>
      <c r="H207">
        <v>5415614</v>
      </c>
      <c r="I207">
        <v>372</v>
      </c>
      <c r="J207" t="s">
        <v>454</v>
      </c>
      <c r="K207" t="str">
        <f>IFERROR(IF(AND(VLOOKUP($C207,Hes!$A:$B, 1, FALSE), $M207&lt;&gt;" "), "Ingresada", "Falta Ingresar"), " ")</f>
        <v xml:space="preserve"> </v>
      </c>
      <c r="L207" s="4" t="str">
        <f>IFERROR(VLOOKUP($C207,Observaciones!$A:$B,2,FALSE)," ")</f>
        <v>CAROLINA COLORADO DEBE ENVIAR  OC</v>
      </c>
      <c r="M207" t="s">
        <v>681</v>
      </c>
      <c r="O207" s="5">
        <v>30864424</v>
      </c>
      <c r="P207" s="5">
        <v>1810</v>
      </c>
      <c r="Q207" s="5">
        <v>344</v>
      </c>
      <c r="R207" s="5">
        <v>2154</v>
      </c>
    </row>
    <row r="208" spans="1:18" x14ac:dyDescent="0.25">
      <c r="F208" t="s">
        <v>921</v>
      </c>
      <c r="K208" t="str">
        <f>IFERROR(IF(AND(VLOOKUP($C208,Hes!$A:$B, 1, FALSE), $M208&lt;&gt;" "), "Ingresada", "Falta Ingresar"), " ")</f>
        <v xml:space="preserve"> </v>
      </c>
      <c r="L208" s="4" t="str">
        <f>IFERROR(VLOOKUP($C208,Observaciones!$A:$B,2,FALSE)," ")</f>
        <v xml:space="preserve"> </v>
      </c>
      <c r="M208" t="s">
        <v>681</v>
      </c>
      <c r="P208" s="5">
        <v>25512074</v>
      </c>
      <c r="Q208" s="5">
        <v>4847295</v>
      </c>
      <c r="R208" s="5">
        <v>30359369</v>
      </c>
    </row>
    <row r="209" spans="1:18" x14ac:dyDescent="0.25">
      <c r="A209" t="s">
        <v>503</v>
      </c>
      <c r="B209" t="s">
        <v>502</v>
      </c>
      <c r="C209">
        <v>61606905</v>
      </c>
      <c r="D209">
        <v>0</v>
      </c>
      <c r="E209" t="s">
        <v>922</v>
      </c>
      <c r="F209" t="s">
        <v>923</v>
      </c>
      <c r="G209" s="1">
        <v>45236</v>
      </c>
      <c r="H209">
        <v>5412902</v>
      </c>
      <c r="I209">
        <v>215</v>
      </c>
      <c r="J209" t="s">
        <v>460</v>
      </c>
      <c r="K209" t="str">
        <f>IFERROR(IF(AND(VLOOKUP($C209,Hes!$A:$B, 1, FALSE), $M209&lt;&gt;" "), "Ingresada", "Falta Ingresar"), " ")</f>
        <v xml:space="preserve"> </v>
      </c>
      <c r="L209" s="4" t="s">
        <v>681</v>
      </c>
      <c r="M209" t="s">
        <v>681</v>
      </c>
      <c r="O209" s="5">
        <v>30853362</v>
      </c>
      <c r="P209" s="5">
        <v>1404150</v>
      </c>
      <c r="Q209" s="5">
        <v>266789</v>
      </c>
      <c r="R209" s="5">
        <v>1670939</v>
      </c>
    </row>
    <row r="210" spans="1:18" x14ac:dyDescent="0.25">
      <c r="F210" t="s">
        <v>495</v>
      </c>
      <c r="K210" t="str">
        <f>IFERROR(IF(AND(VLOOKUP($C210,Hes!$A:$B, 1, FALSE), $M210&lt;&gt;" "), "Ingresada", "Falta Ingresar"), " ")</f>
        <v xml:space="preserve"> </v>
      </c>
      <c r="L210" s="4" t="str">
        <f>IFERROR(VLOOKUP($C210,Observaciones!$A:$B,2,FALSE)," ")</f>
        <v xml:space="preserve"> </v>
      </c>
      <c r="M210" t="s">
        <v>681</v>
      </c>
      <c r="P210" s="5">
        <v>1404150</v>
      </c>
      <c r="Q210" s="5">
        <v>266789</v>
      </c>
      <c r="R210" s="5">
        <v>1670939</v>
      </c>
    </row>
    <row r="211" spans="1:18" x14ac:dyDescent="0.25">
      <c r="A211" t="s">
        <v>496</v>
      </c>
      <c r="B211" t="s">
        <v>494</v>
      </c>
      <c r="C211">
        <v>61607305</v>
      </c>
      <c r="D211">
        <v>0</v>
      </c>
      <c r="E211" t="s">
        <v>924</v>
      </c>
      <c r="F211" t="s">
        <v>925</v>
      </c>
      <c r="G211" s="1">
        <v>45236</v>
      </c>
      <c r="H211">
        <v>5412104</v>
      </c>
      <c r="I211">
        <v>215</v>
      </c>
      <c r="J211" t="s">
        <v>460</v>
      </c>
      <c r="K211" t="str">
        <f>IFERROR(IF(AND(VLOOKUP($C211,Hes!$A:$B, 1, FALSE), $M211&lt;&gt;" "), "Ingresada", "Falta Ingresar"), " ")</f>
        <v xml:space="preserve"> </v>
      </c>
      <c r="L211" s="4" t="s">
        <v>681</v>
      </c>
      <c r="M211" t="s">
        <v>681</v>
      </c>
      <c r="O211" s="5">
        <v>30851897</v>
      </c>
      <c r="P211" s="5">
        <v>263880</v>
      </c>
      <c r="Q211" s="5">
        <v>50137</v>
      </c>
      <c r="R211" s="5">
        <v>314017</v>
      </c>
    </row>
    <row r="212" spans="1:18" x14ac:dyDescent="0.25">
      <c r="F212" t="s">
        <v>495</v>
      </c>
      <c r="K212" t="str">
        <f>IFERROR(IF(AND(VLOOKUP($C212,Hes!$A:$B, 1, FALSE), $M212&lt;&gt;" "), "Ingresada", "Falta Ingresar"), " ")</f>
        <v xml:space="preserve"> </v>
      </c>
      <c r="L212" s="4" t="str">
        <f>IFERROR(VLOOKUP($C212,Observaciones!$A:$B,2,FALSE)," ")</f>
        <v xml:space="preserve"> </v>
      </c>
      <c r="M212" t="s">
        <v>681</v>
      </c>
      <c r="P212" s="5">
        <v>263880</v>
      </c>
      <c r="Q212" s="5">
        <v>50137</v>
      </c>
      <c r="R212" s="5">
        <v>314017</v>
      </c>
    </row>
    <row r="213" spans="1:18" x14ac:dyDescent="0.25">
      <c r="A213" t="s">
        <v>496</v>
      </c>
      <c r="B213" t="s">
        <v>494</v>
      </c>
      <c r="C213">
        <v>61607900</v>
      </c>
      <c r="D213">
        <v>0</v>
      </c>
      <c r="E213" t="s">
        <v>926</v>
      </c>
      <c r="F213" t="s">
        <v>927</v>
      </c>
      <c r="G213" s="1">
        <v>45233</v>
      </c>
      <c r="H213">
        <v>5411285</v>
      </c>
      <c r="I213">
        <v>438</v>
      </c>
      <c r="J213" t="s">
        <v>352</v>
      </c>
      <c r="K213" t="str">
        <f>IFERROR(IF(AND(VLOOKUP($C213,Hes!$A:$B, 1, FALSE), $M213&lt;&gt;" "), "Ingresada", "Falta Ingresar"), " ")</f>
        <v xml:space="preserve"> </v>
      </c>
      <c r="L213" s="4" t="s">
        <v>681</v>
      </c>
      <c r="M213" t="s">
        <v>681</v>
      </c>
      <c r="O213" s="5">
        <v>30817043</v>
      </c>
      <c r="P213" s="5">
        <v>33918</v>
      </c>
      <c r="Q213" s="5">
        <v>6444</v>
      </c>
      <c r="R213" s="5">
        <v>40362</v>
      </c>
    </row>
    <row r="214" spans="1:18" x14ac:dyDescent="0.25">
      <c r="F214" t="s">
        <v>495</v>
      </c>
      <c r="K214" t="str">
        <f>IFERROR(IF(AND(VLOOKUP($C214,Hes!$A:$B, 1, FALSE), $M214&lt;&gt;" "), "Ingresada", "Falta Ingresar"), " ")</f>
        <v xml:space="preserve"> </v>
      </c>
      <c r="L214" s="4" t="str">
        <f>IFERROR(VLOOKUP($C214,Observaciones!$A:$B,2,FALSE)," ")</f>
        <v xml:space="preserve"> </v>
      </c>
      <c r="M214" t="s">
        <v>681</v>
      </c>
      <c r="P214" s="5">
        <v>33918</v>
      </c>
      <c r="Q214" s="5">
        <v>6444</v>
      </c>
      <c r="R214" s="5">
        <v>40362</v>
      </c>
    </row>
    <row r="215" spans="1:18" x14ac:dyDescent="0.25">
      <c r="A215" t="s">
        <v>503</v>
      </c>
      <c r="B215" t="s">
        <v>509</v>
      </c>
      <c r="C215">
        <v>61608101</v>
      </c>
      <c r="D215">
        <v>0</v>
      </c>
      <c r="E215" t="s">
        <v>928</v>
      </c>
      <c r="F215" t="s">
        <v>929</v>
      </c>
      <c r="G215" s="1">
        <v>45233</v>
      </c>
      <c r="H215">
        <v>5411532</v>
      </c>
      <c r="I215">
        <v>293</v>
      </c>
      <c r="J215" t="s">
        <v>448</v>
      </c>
      <c r="K215" t="str">
        <f>IFERROR(IF(AND(VLOOKUP($C215,Hes!$A:$B, 1, FALSE), $M215&lt;&gt;" "), "Ingresada", "Falta Ingresar"), " ")</f>
        <v xml:space="preserve"> </v>
      </c>
      <c r="L215" s="4" t="str">
        <f>IFERROR(VLOOKUP($C215,Observaciones!$A:$B,2,FALSE)," ")</f>
        <v xml:space="preserve"> </v>
      </c>
      <c r="M215" t="s">
        <v>681</v>
      </c>
      <c r="O215" s="5">
        <v>30823155</v>
      </c>
      <c r="P215" s="5">
        <v>1524600</v>
      </c>
      <c r="Q215" s="5">
        <v>289674</v>
      </c>
      <c r="R215" s="5">
        <v>1814274</v>
      </c>
    </row>
    <row r="216" spans="1:18" x14ac:dyDescent="0.25">
      <c r="A216" t="s">
        <v>503</v>
      </c>
      <c r="B216" t="s">
        <v>509</v>
      </c>
      <c r="C216">
        <v>61608101</v>
      </c>
      <c r="D216">
        <v>0</v>
      </c>
      <c r="E216" t="s">
        <v>930</v>
      </c>
      <c r="F216" t="s">
        <v>929</v>
      </c>
      <c r="G216" s="1">
        <v>45236</v>
      </c>
      <c r="H216">
        <v>5412340</v>
      </c>
      <c r="I216">
        <v>293</v>
      </c>
      <c r="J216" t="s">
        <v>448</v>
      </c>
      <c r="K216" t="str">
        <f>IFERROR(IF(AND(VLOOKUP($C216,Hes!$A:$B, 1, FALSE), $M216&lt;&gt;" "), "Ingresada", "Falta Ingresar"), " ")</f>
        <v xml:space="preserve"> </v>
      </c>
      <c r="L216" s="4" t="str">
        <f>IFERROR(VLOOKUP($C216,Observaciones!$A:$B,2,FALSE)," ")</f>
        <v xml:space="preserve"> </v>
      </c>
      <c r="M216" t="s">
        <v>681</v>
      </c>
      <c r="O216" s="5">
        <v>30838973</v>
      </c>
      <c r="P216" s="5">
        <v>7880</v>
      </c>
      <c r="Q216" s="5">
        <v>1497</v>
      </c>
      <c r="R216" s="5">
        <v>9377</v>
      </c>
    </row>
    <row r="217" spans="1:18" x14ac:dyDescent="0.25">
      <c r="F217" t="s">
        <v>497</v>
      </c>
      <c r="K217" t="str">
        <f>IFERROR(IF(AND(VLOOKUP($C217,Hes!$A:$B, 1, FALSE), $M217&lt;&gt;" "), "Ingresada", "Falta Ingresar"), " ")</f>
        <v xml:space="preserve"> </v>
      </c>
      <c r="L217" s="4" t="str">
        <f>IFERROR(VLOOKUP($C217,Observaciones!$A:$B,2,FALSE)," ")</f>
        <v xml:space="preserve"> </v>
      </c>
      <c r="M217" t="s">
        <v>681</v>
      </c>
      <c r="P217" s="5">
        <v>1532480</v>
      </c>
      <c r="Q217" s="5">
        <v>291171</v>
      </c>
      <c r="R217" s="5">
        <v>1823651</v>
      </c>
    </row>
    <row r="218" spans="1:18" x14ac:dyDescent="0.25">
      <c r="A218" t="s">
        <v>503</v>
      </c>
      <c r="B218" t="s">
        <v>509</v>
      </c>
      <c r="C218">
        <v>61608600</v>
      </c>
      <c r="D218">
        <v>1</v>
      </c>
      <c r="E218" t="s">
        <v>931</v>
      </c>
      <c r="F218" t="s">
        <v>932</v>
      </c>
      <c r="G218" s="1">
        <v>45233</v>
      </c>
      <c r="H218">
        <v>5411489</v>
      </c>
      <c r="I218">
        <v>372</v>
      </c>
      <c r="J218" t="s">
        <v>454</v>
      </c>
      <c r="K218" t="str">
        <f>IFERROR(IF(AND(VLOOKUP($C218,Hes!$A:$B, 1, FALSE), $M218&lt;&gt;" "), "Ingresada", "Falta Ingresar"), " ")</f>
        <v xml:space="preserve"> </v>
      </c>
      <c r="L218" s="4" t="str">
        <f>IFERROR(VLOOKUP($C218,Observaciones!$A:$B,2,FALSE)," ")</f>
        <v xml:space="preserve"> </v>
      </c>
      <c r="M218" t="s">
        <v>681</v>
      </c>
      <c r="O218" s="5">
        <v>30835435</v>
      </c>
      <c r="P218" s="5">
        <v>451725</v>
      </c>
      <c r="Q218" s="5">
        <v>85828</v>
      </c>
      <c r="R218" s="5">
        <v>537553</v>
      </c>
    </row>
    <row r="219" spans="1:18" x14ac:dyDescent="0.25">
      <c r="F219" t="s">
        <v>495</v>
      </c>
      <c r="K219" t="str">
        <f>IFERROR(IF(AND(VLOOKUP($C219,Hes!$A:$B, 1, FALSE), $M219&lt;&gt;" "), "Ingresada", "Falta Ingresar"), " ")</f>
        <v xml:space="preserve"> </v>
      </c>
      <c r="L219" s="4" t="str">
        <f>IFERROR(VLOOKUP($C219,Observaciones!$A:$B,2,FALSE)," ")</f>
        <v xml:space="preserve"> </v>
      </c>
      <c r="M219" t="s">
        <v>681</v>
      </c>
      <c r="P219" s="5">
        <v>451725</v>
      </c>
      <c r="Q219" s="5">
        <v>85828</v>
      </c>
      <c r="R219" s="5">
        <v>537553</v>
      </c>
    </row>
    <row r="220" spans="1:18" x14ac:dyDescent="0.25">
      <c r="A220" t="s">
        <v>496</v>
      </c>
      <c r="B220" t="s">
        <v>494</v>
      </c>
      <c r="C220">
        <v>61608604</v>
      </c>
      <c r="D220">
        <v>0</v>
      </c>
      <c r="E220" t="s">
        <v>933</v>
      </c>
      <c r="F220" t="s">
        <v>934</v>
      </c>
      <c r="G220" s="1">
        <v>45232</v>
      </c>
      <c r="H220">
        <v>5410782</v>
      </c>
      <c r="I220">
        <v>293</v>
      </c>
      <c r="J220" t="s">
        <v>448</v>
      </c>
      <c r="K220" t="str">
        <f>IFERROR(IF(AND(VLOOKUP($C220,Hes!$A:$B, 1, FALSE), $M220&lt;&gt;" "), "Ingresada", "Falta Ingresar"), " ")</f>
        <v xml:space="preserve"> </v>
      </c>
      <c r="L220" s="4" t="str">
        <f>IFERROR(VLOOKUP($C220,Observaciones!$A:$B,2,FALSE)," ")</f>
        <v xml:space="preserve"> </v>
      </c>
      <c r="M220" t="s">
        <v>681</v>
      </c>
      <c r="O220" s="5">
        <v>30823846</v>
      </c>
      <c r="P220" s="5">
        <v>4732000</v>
      </c>
      <c r="Q220" s="5">
        <v>899080</v>
      </c>
      <c r="R220" s="5">
        <v>5631080</v>
      </c>
    </row>
    <row r="221" spans="1:18" x14ac:dyDescent="0.25">
      <c r="A221" t="s">
        <v>496</v>
      </c>
      <c r="B221" t="s">
        <v>494</v>
      </c>
      <c r="C221">
        <v>61608604</v>
      </c>
      <c r="D221">
        <v>0</v>
      </c>
      <c r="E221" t="s">
        <v>933</v>
      </c>
      <c r="F221" t="s">
        <v>934</v>
      </c>
      <c r="G221" s="1">
        <v>45233</v>
      </c>
      <c r="H221">
        <v>5411473</v>
      </c>
      <c r="I221">
        <v>293</v>
      </c>
      <c r="J221" t="s">
        <v>448</v>
      </c>
      <c r="K221" t="str">
        <f>IFERROR(IF(AND(VLOOKUP($C221,Hes!$A:$B, 1, FALSE), $M221&lt;&gt;" "), "Ingresada", "Falta Ingresar"), " ")</f>
        <v xml:space="preserve"> </v>
      </c>
      <c r="L221" s="4" t="str">
        <f>IFERROR(VLOOKUP($C221,Observaciones!$A:$B,2,FALSE)," ")</f>
        <v xml:space="preserve"> </v>
      </c>
      <c r="M221" t="s">
        <v>681</v>
      </c>
      <c r="O221" s="5">
        <v>30838985</v>
      </c>
      <c r="P221" s="5">
        <v>709800</v>
      </c>
      <c r="Q221" s="5">
        <v>134862</v>
      </c>
      <c r="R221" s="5">
        <v>844662</v>
      </c>
    </row>
    <row r="222" spans="1:18" x14ac:dyDescent="0.25">
      <c r="F222" t="s">
        <v>497</v>
      </c>
      <c r="K222" t="str">
        <f>IFERROR(IF(AND(VLOOKUP($C222,Hes!$A:$B, 1, FALSE), $M222&lt;&gt;" "), "Ingresada", "Falta Ingresar"), " ")</f>
        <v xml:space="preserve"> </v>
      </c>
      <c r="L222" s="4" t="str">
        <f>IFERROR(VLOOKUP($C222,Observaciones!$A:$B,2,FALSE)," ")</f>
        <v xml:space="preserve"> </v>
      </c>
      <c r="M222" t="s">
        <v>681</v>
      </c>
      <c r="P222" s="5">
        <v>5441800</v>
      </c>
      <c r="Q222" s="5">
        <v>1033942</v>
      </c>
      <c r="R222" s="5">
        <v>6475742</v>
      </c>
    </row>
    <row r="223" spans="1:18" x14ac:dyDescent="0.25">
      <c r="A223" t="s">
        <v>71</v>
      </c>
      <c r="B223" t="s">
        <v>502</v>
      </c>
      <c r="C223">
        <v>61704000</v>
      </c>
      <c r="D223">
        <v>1921</v>
      </c>
      <c r="E223">
        <v>4100225960</v>
      </c>
      <c r="F223" t="s">
        <v>935</v>
      </c>
      <c r="G223" s="1">
        <v>45232</v>
      </c>
      <c r="H223">
        <v>5411000</v>
      </c>
      <c r="I223">
        <v>205</v>
      </c>
      <c r="J223" t="s">
        <v>240</v>
      </c>
      <c r="K223" t="str">
        <f>IFERROR(IF(AND(VLOOKUP($C223,Hes!$A:$B, 1, FALSE), $M223&lt;&gt;" "), "Ingresada", "Falta Ingresar"), " ")</f>
        <v xml:space="preserve"> </v>
      </c>
      <c r="L223" s="4" t="str">
        <f>IFERROR(VLOOKUP($C223,Observaciones!$A:$B,2,FALSE)," ")</f>
        <v>ESPERAR INFORME VERONICA CODELCO 10 GD X FACT UNA OC</v>
      </c>
      <c r="M223" t="s">
        <v>681</v>
      </c>
      <c r="O223" s="5">
        <v>30839013</v>
      </c>
      <c r="P223" s="5">
        <v>421084</v>
      </c>
      <c r="Q223" s="5">
        <v>80006</v>
      </c>
      <c r="R223" s="5">
        <v>501090</v>
      </c>
    </row>
    <row r="224" spans="1:18" x14ac:dyDescent="0.25">
      <c r="A224" t="s">
        <v>71</v>
      </c>
      <c r="B224" t="s">
        <v>502</v>
      </c>
      <c r="C224">
        <v>61704000</v>
      </c>
      <c r="D224">
        <v>2166</v>
      </c>
      <c r="E224">
        <v>4100225867</v>
      </c>
      <c r="F224" t="s">
        <v>935</v>
      </c>
      <c r="G224" s="1">
        <v>45232</v>
      </c>
      <c r="H224">
        <v>5411001</v>
      </c>
      <c r="I224">
        <v>205</v>
      </c>
      <c r="J224" t="s">
        <v>240</v>
      </c>
      <c r="K224" t="str">
        <f>IFERROR(IF(AND(VLOOKUP($C224,Hes!$A:$B, 1, FALSE), $M224&lt;&gt;" "), "Ingresada", "Falta Ingresar"), " ")</f>
        <v xml:space="preserve"> </v>
      </c>
      <c r="L224" s="4" t="str">
        <f>IFERROR(VLOOKUP($C224,Observaciones!$A:$B,2,FALSE)," ")</f>
        <v>ESPERAR INFORME VERONICA CODELCO 10 GD X FACT UNA OC</v>
      </c>
      <c r="M224" t="s">
        <v>681</v>
      </c>
      <c r="O224" s="5">
        <v>30836591</v>
      </c>
      <c r="P224" s="5">
        <v>219000</v>
      </c>
      <c r="Q224" s="5">
        <v>41610</v>
      </c>
      <c r="R224" s="5">
        <v>260610</v>
      </c>
    </row>
    <row r="225" spans="1:18" x14ac:dyDescent="0.25">
      <c r="A225" t="s">
        <v>71</v>
      </c>
      <c r="B225" t="s">
        <v>502</v>
      </c>
      <c r="C225">
        <v>61704000</v>
      </c>
      <c r="D225">
        <v>1348</v>
      </c>
      <c r="E225">
        <v>4100225825</v>
      </c>
      <c r="F225" t="s">
        <v>935</v>
      </c>
      <c r="G225" s="1">
        <v>45232</v>
      </c>
      <c r="H225">
        <v>5411002</v>
      </c>
      <c r="I225">
        <v>205</v>
      </c>
      <c r="J225" t="s">
        <v>240</v>
      </c>
      <c r="K225" t="str">
        <f>IFERROR(IF(AND(VLOOKUP($C225,Hes!$A:$B, 1, FALSE), $M225&lt;&gt;" "), "Ingresada", "Falta Ingresar"), " ")</f>
        <v xml:space="preserve"> </v>
      </c>
      <c r="L225" s="4" t="str">
        <f>IFERROR(VLOOKUP($C225,Observaciones!$A:$B,2,FALSE)," ")</f>
        <v>ESPERAR INFORME VERONICA CODELCO 10 GD X FACT UNA OC</v>
      </c>
      <c r="M225" t="s">
        <v>681</v>
      </c>
      <c r="O225" s="5">
        <v>30834564</v>
      </c>
      <c r="P225" s="5">
        <v>56477</v>
      </c>
      <c r="Q225" s="5">
        <v>10731</v>
      </c>
      <c r="R225" s="5">
        <v>67208</v>
      </c>
    </row>
    <row r="226" spans="1:18" x14ac:dyDescent="0.25">
      <c r="A226" t="s">
        <v>71</v>
      </c>
      <c r="B226" t="s">
        <v>502</v>
      </c>
      <c r="C226">
        <v>61704000</v>
      </c>
      <c r="D226">
        <v>2075</v>
      </c>
      <c r="E226">
        <v>4100225827</v>
      </c>
      <c r="F226" t="s">
        <v>935</v>
      </c>
      <c r="G226" s="1">
        <v>45232</v>
      </c>
      <c r="H226">
        <v>5411003</v>
      </c>
      <c r="I226">
        <v>205</v>
      </c>
      <c r="J226" t="s">
        <v>240</v>
      </c>
      <c r="K226" t="str">
        <f>IFERROR(IF(AND(VLOOKUP($C226,Hes!$A:$B, 1, FALSE), $M226&lt;&gt;" "), "Ingresada", "Falta Ingresar"), " ")</f>
        <v xml:space="preserve"> </v>
      </c>
      <c r="L226" s="4" t="str">
        <f>IFERROR(VLOOKUP($C226,Observaciones!$A:$B,2,FALSE)," ")</f>
        <v>ESPERAR INFORME VERONICA CODELCO 10 GD X FACT UNA OC</v>
      </c>
      <c r="M226" t="s">
        <v>681</v>
      </c>
      <c r="O226" s="5">
        <v>30834644</v>
      </c>
      <c r="P226" s="5">
        <v>99709</v>
      </c>
      <c r="Q226" s="5">
        <v>18945</v>
      </c>
      <c r="R226" s="5">
        <v>118654</v>
      </c>
    </row>
    <row r="227" spans="1:18" x14ac:dyDescent="0.25">
      <c r="A227" t="s">
        <v>71</v>
      </c>
      <c r="B227" t="s">
        <v>502</v>
      </c>
      <c r="C227">
        <v>61704000</v>
      </c>
      <c r="D227">
        <v>78</v>
      </c>
      <c r="E227">
        <v>4100226057</v>
      </c>
      <c r="F227" t="s">
        <v>935</v>
      </c>
      <c r="G227" s="1">
        <v>45232</v>
      </c>
      <c r="H227">
        <v>5411004</v>
      </c>
      <c r="I227">
        <v>205</v>
      </c>
      <c r="J227" t="s">
        <v>240</v>
      </c>
      <c r="K227" t="str">
        <f>IFERROR(IF(AND(VLOOKUP($C227,Hes!$A:$B, 1, FALSE), $M227&lt;&gt;" "), "Ingresada", "Falta Ingresar"), " ")</f>
        <v xml:space="preserve"> </v>
      </c>
      <c r="L227" s="4" t="str">
        <f>IFERROR(VLOOKUP($C227,Observaciones!$A:$B,2,FALSE)," ")</f>
        <v>ESPERAR INFORME VERONICA CODELCO 10 GD X FACT UNA OC</v>
      </c>
      <c r="M227" t="s">
        <v>681</v>
      </c>
      <c r="O227" s="5">
        <v>30840832</v>
      </c>
      <c r="P227" s="5">
        <v>365000</v>
      </c>
      <c r="Q227" s="5">
        <v>69350</v>
      </c>
      <c r="R227" s="5">
        <v>434350</v>
      </c>
    </row>
    <row r="228" spans="1:18" x14ac:dyDescent="0.25">
      <c r="A228" t="s">
        <v>71</v>
      </c>
      <c r="B228" t="s">
        <v>502</v>
      </c>
      <c r="C228">
        <v>61704000</v>
      </c>
      <c r="D228">
        <v>2286</v>
      </c>
      <c r="E228">
        <v>4100225943</v>
      </c>
      <c r="F228" t="s">
        <v>935</v>
      </c>
      <c r="G228" s="1">
        <v>45232</v>
      </c>
      <c r="H228">
        <v>5411005</v>
      </c>
      <c r="I228">
        <v>205</v>
      </c>
      <c r="J228" t="s">
        <v>240</v>
      </c>
      <c r="K228" t="str">
        <f>IFERROR(IF(AND(VLOOKUP($C228,Hes!$A:$B, 1, FALSE), $M228&lt;&gt;" "), "Ingresada", "Falta Ingresar"), " ")</f>
        <v xml:space="preserve"> </v>
      </c>
      <c r="L228" s="4" t="str">
        <f>IFERROR(VLOOKUP($C228,Observaciones!$A:$B,2,FALSE)," ")</f>
        <v>ESPERAR INFORME VERONICA CODELCO 10 GD X FACT UNA OC</v>
      </c>
      <c r="M228" t="s">
        <v>681</v>
      </c>
      <c r="O228" s="5">
        <v>30841655</v>
      </c>
      <c r="P228" s="5">
        <v>378389</v>
      </c>
      <c r="Q228" s="5">
        <v>71894</v>
      </c>
      <c r="R228" s="5">
        <v>450283</v>
      </c>
    </row>
    <row r="229" spans="1:18" x14ac:dyDescent="0.25">
      <c r="A229" t="s">
        <v>71</v>
      </c>
      <c r="B229" t="s">
        <v>502</v>
      </c>
      <c r="C229">
        <v>61704000</v>
      </c>
      <c r="D229">
        <v>687</v>
      </c>
      <c r="E229">
        <v>4100225986</v>
      </c>
      <c r="F229" t="s">
        <v>935</v>
      </c>
      <c r="G229" s="1">
        <v>45232</v>
      </c>
      <c r="H229">
        <v>5411006</v>
      </c>
      <c r="I229">
        <v>205</v>
      </c>
      <c r="J229" t="s">
        <v>240</v>
      </c>
      <c r="K229" t="str">
        <f>IFERROR(IF(AND(VLOOKUP($C229,Hes!$A:$B, 1, FALSE), $M229&lt;&gt;" "), "Ingresada", "Falta Ingresar"), " ")</f>
        <v xml:space="preserve"> </v>
      </c>
      <c r="L229" s="4" t="str">
        <f>IFERROR(VLOOKUP($C229,Observaciones!$A:$B,2,FALSE)," ")</f>
        <v>ESPERAR INFORME VERONICA CODELCO 10 GD X FACT UNA OC</v>
      </c>
      <c r="M229" t="s">
        <v>681</v>
      </c>
      <c r="O229" s="5">
        <v>30842388</v>
      </c>
      <c r="P229" s="5">
        <v>207370</v>
      </c>
      <c r="Q229" s="5">
        <v>39400</v>
      </c>
      <c r="R229" s="5">
        <v>246770</v>
      </c>
    </row>
    <row r="230" spans="1:18" x14ac:dyDescent="0.25">
      <c r="A230" t="s">
        <v>71</v>
      </c>
      <c r="B230" t="s">
        <v>502</v>
      </c>
      <c r="C230">
        <v>61704000</v>
      </c>
      <c r="D230">
        <v>1936</v>
      </c>
      <c r="E230">
        <v>4100226031</v>
      </c>
      <c r="F230" t="s">
        <v>935</v>
      </c>
      <c r="G230" s="1">
        <v>45232</v>
      </c>
      <c r="H230">
        <v>5411007</v>
      </c>
      <c r="I230">
        <v>205</v>
      </c>
      <c r="J230" t="s">
        <v>240</v>
      </c>
      <c r="K230" t="str">
        <f>IFERROR(IF(AND(VLOOKUP($C230,Hes!$A:$B, 1, FALSE), $M230&lt;&gt;" "), "Ingresada", "Falta Ingresar"), " ")</f>
        <v xml:space="preserve"> </v>
      </c>
      <c r="L230" s="4" t="str">
        <f>IFERROR(VLOOKUP($C230,Observaciones!$A:$B,2,FALSE)," ")</f>
        <v>ESPERAR INFORME VERONICA CODELCO 10 GD X FACT UNA OC</v>
      </c>
      <c r="M230" t="s">
        <v>681</v>
      </c>
      <c r="O230" s="5">
        <v>30843646</v>
      </c>
      <c r="P230" s="5">
        <v>547814</v>
      </c>
      <c r="Q230" s="5">
        <v>104085</v>
      </c>
      <c r="R230" s="5">
        <v>651899</v>
      </c>
    </row>
    <row r="231" spans="1:18" x14ac:dyDescent="0.25">
      <c r="A231" t="s">
        <v>71</v>
      </c>
      <c r="B231" t="s">
        <v>502</v>
      </c>
      <c r="C231">
        <v>61704000</v>
      </c>
      <c r="D231">
        <v>1479</v>
      </c>
      <c r="E231">
        <v>4100226044</v>
      </c>
      <c r="F231" t="s">
        <v>935</v>
      </c>
      <c r="G231" s="1">
        <v>45232</v>
      </c>
      <c r="H231">
        <v>5411008</v>
      </c>
      <c r="I231">
        <v>205</v>
      </c>
      <c r="J231" t="s">
        <v>240</v>
      </c>
      <c r="K231" t="str">
        <f>IFERROR(IF(AND(VLOOKUP($C231,Hes!$A:$B, 1, FALSE), $M231&lt;&gt;" "), "Ingresada", "Falta Ingresar"), " ")</f>
        <v xml:space="preserve"> </v>
      </c>
      <c r="L231" s="4" t="str">
        <f>IFERROR(VLOOKUP($C231,Observaciones!$A:$B,2,FALSE)," ")</f>
        <v>ESPERAR INFORME VERONICA CODELCO 10 GD X FACT UNA OC</v>
      </c>
      <c r="M231" t="s">
        <v>681</v>
      </c>
      <c r="O231" s="5">
        <v>30844554</v>
      </c>
      <c r="P231" s="5">
        <v>77385</v>
      </c>
      <c r="Q231" s="5">
        <v>14703</v>
      </c>
      <c r="R231" s="5">
        <v>92088</v>
      </c>
    </row>
    <row r="232" spans="1:18" x14ac:dyDescent="0.25">
      <c r="A232" t="s">
        <v>71</v>
      </c>
      <c r="B232" t="s">
        <v>502</v>
      </c>
      <c r="C232">
        <v>61704000</v>
      </c>
      <c r="D232">
        <v>1345</v>
      </c>
      <c r="E232">
        <v>4100226005</v>
      </c>
      <c r="F232" t="s">
        <v>935</v>
      </c>
      <c r="G232" s="1">
        <v>45232</v>
      </c>
      <c r="H232">
        <v>5411009</v>
      </c>
      <c r="I232">
        <v>205</v>
      </c>
      <c r="J232" t="s">
        <v>240</v>
      </c>
      <c r="K232" t="str">
        <f>IFERROR(IF(AND(VLOOKUP($C232,Hes!$A:$B, 1, FALSE), $M232&lt;&gt;" "), "Ingresada", "Falta Ingresar"), " ")</f>
        <v xml:space="preserve"> </v>
      </c>
      <c r="L232" s="4" t="str">
        <f>IFERROR(VLOOKUP($C232,Observaciones!$A:$B,2,FALSE)," ")</f>
        <v>ESPERAR INFORME VERONICA CODELCO 10 GD X FACT UNA OC</v>
      </c>
      <c r="M232" t="s">
        <v>681</v>
      </c>
      <c r="O232" s="5">
        <v>30843691</v>
      </c>
      <c r="P232" s="5">
        <v>65596</v>
      </c>
      <c r="Q232" s="5">
        <v>12463</v>
      </c>
      <c r="R232" s="5">
        <v>78059</v>
      </c>
    </row>
    <row r="233" spans="1:18" x14ac:dyDescent="0.25">
      <c r="A233" t="s">
        <v>71</v>
      </c>
      <c r="B233" t="s">
        <v>502</v>
      </c>
      <c r="C233">
        <v>61704000</v>
      </c>
      <c r="D233">
        <v>2189</v>
      </c>
      <c r="E233">
        <v>4100225987</v>
      </c>
      <c r="F233" t="s">
        <v>935</v>
      </c>
      <c r="G233" s="1">
        <v>45232</v>
      </c>
      <c r="H233">
        <v>5411010</v>
      </c>
      <c r="I233">
        <v>205</v>
      </c>
      <c r="J233" t="s">
        <v>240</v>
      </c>
      <c r="K233" t="str">
        <f>IFERROR(IF(AND(VLOOKUP($C233,Hes!$A:$B, 1, FALSE), $M233&lt;&gt;" "), "Ingresada", "Falta Ingresar"), " ")</f>
        <v xml:space="preserve"> </v>
      </c>
      <c r="L233" s="4" t="str">
        <f>IFERROR(VLOOKUP($C233,Observaciones!$A:$B,2,FALSE)," ")</f>
        <v>ESPERAR INFORME VERONICA CODELCO 10 GD X FACT UNA OC</v>
      </c>
      <c r="M233" t="s">
        <v>681</v>
      </c>
      <c r="O233" s="5">
        <v>30842529</v>
      </c>
      <c r="P233" s="5">
        <v>18210</v>
      </c>
      <c r="Q233" s="5">
        <v>3460</v>
      </c>
      <c r="R233" s="5">
        <v>21670</v>
      </c>
    </row>
    <row r="234" spans="1:18" x14ac:dyDescent="0.25">
      <c r="A234" t="s">
        <v>71</v>
      </c>
      <c r="B234" t="s">
        <v>502</v>
      </c>
      <c r="C234">
        <v>61704000</v>
      </c>
      <c r="D234">
        <v>197</v>
      </c>
      <c r="E234">
        <v>4100225965</v>
      </c>
      <c r="F234" t="s">
        <v>935</v>
      </c>
      <c r="G234" s="1">
        <v>45232</v>
      </c>
      <c r="H234">
        <v>5411011</v>
      </c>
      <c r="I234">
        <v>205</v>
      </c>
      <c r="J234" t="s">
        <v>240</v>
      </c>
      <c r="K234" t="str">
        <f>IFERROR(IF(AND(VLOOKUP($C234,Hes!$A:$B, 1, FALSE), $M234&lt;&gt;" "), "Ingresada", "Falta Ingresar"), " ")</f>
        <v xml:space="preserve"> </v>
      </c>
      <c r="L234" s="4" t="str">
        <f>IFERROR(VLOOKUP($C234,Observaciones!$A:$B,2,FALSE)," ")</f>
        <v>ESPERAR INFORME VERONICA CODELCO 10 GD X FACT UNA OC</v>
      </c>
      <c r="M234" t="s">
        <v>681</v>
      </c>
      <c r="O234" s="5">
        <v>30842083</v>
      </c>
      <c r="P234" s="5">
        <v>90166</v>
      </c>
      <c r="Q234" s="5">
        <v>17132</v>
      </c>
      <c r="R234" s="5">
        <v>107298</v>
      </c>
    </row>
    <row r="235" spans="1:18" x14ac:dyDescent="0.25">
      <c r="A235" t="s">
        <v>71</v>
      </c>
      <c r="B235" t="s">
        <v>502</v>
      </c>
      <c r="C235">
        <v>61704000</v>
      </c>
      <c r="D235">
        <v>1936</v>
      </c>
      <c r="E235">
        <v>4100226029</v>
      </c>
      <c r="F235" t="s">
        <v>935</v>
      </c>
      <c r="G235" s="1">
        <v>45232</v>
      </c>
      <c r="H235">
        <v>5411012</v>
      </c>
      <c r="I235">
        <v>205</v>
      </c>
      <c r="J235" t="s">
        <v>240</v>
      </c>
      <c r="K235" t="str">
        <f>IFERROR(IF(AND(VLOOKUP($C235,Hes!$A:$B, 1, FALSE), $M235&lt;&gt;" "), "Ingresada", "Falta Ingresar"), " ")</f>
        <v xml:space="preserve"> </v>
      </c>
      <c r="L235" s="4" t="str">
        <f>IFERROR(VLOOKUP($C235,Observaciones!$A:$B,2,FALSE)," ")</f>
        <v>ESPERAR INFORME VERONICA CODELCO 10 GD X FACT UNA OC</v>
      </c>
      <c r="M235" t="s">
        <v>681</v>
      </c>
      <c r="O235" s="5">
        <v>30843552</v>
      </c>
      <c r="P235" s="5">
        <v>80652</v>
      </c>
      <c r="Q235" s="5">
        <v>15324</v>
      </c>
      <c r="R235" s="5">
        <v>95976</v>
      </c>
    </row>
    <row r="236" spans="1:18" x14ac:dyDescent="0.25">
      <c r="A236" t="s">
        <v>71</v>
      </c>
      <c r="B236" t="s">
        <v>502</v>
      </c>
      <c r="C236">
        <v>61704000</v>
      </c>
      <c r="D236">
        <v>687</v>
      </c>
      <c r="E236">
        <v>4100225988</v>
      </c>
      <c r="F236" t="s">
        <v>935</v>
      </c>
      <c r="G236" s="1">
        <v>45232</v>
      </c>
      <c r="H236">
        <v>5411013</v>
      </c>
      <c r="I236">
        <v>205</v>
      </c>
      <c r="J236" t="s">
        <v>240</v>
      </c>
      <c r="K236" t="str">
        <f>IFERROR(IF(AND(VLOOKUP($C236,Hes!$A:$B, 1, FALSE), $M236&lt;&gt;" "), "Ingresada", "Falta Ingresar"), " ")</f>
        <v xml:space="preserve"> </v>
      </c>
      <c r="L236" s="4" t="str">
        <f>IFERROR(VLOOKUP($C236,Observaciones!$A:$B,2,FALSE)," ")</f>
        <v>ESPERAR INFORME VERONICA CODELCO 10 GD X FACT UNA OC</v>
      </c>
      <c r="M236" t="s">
        <v>681</v>
      </c>
      <c r="O236" s="5">
        <v>30842660</v>
      </c>
      <c r="P236" s="5">
        <v>346122</v>
      </c>
      <c r="Q236" s="5">
        <v>65763</v>
      </c>
      <c r="R236" s="5">
        <v>411885</v>
      </c>
    </row>
    <row r="237" spans="1:18" x14ac:dyDescent="0.25">
      <c r="A237" t="s">
        <v>71</v>
      </c>
      <c r="B237" t="s">
        <v>502</v>
      </c>
      <c r="C237">
        <v>61704000</v>
      </c>
      <c r="D237">
        <v>1491</v>
      </c>
      <c r="E237">
        <v>4100226006</v>
      </c>
      <c r="F237" t="s">
        <v>935</v>
      </c>
      <c r="G237" s="1">
        <v>45232</v>
      </c>
      <c r="H237">
        <v>5411014</v>
      </c>
      <c r="I237">
        <v>205</v>
      </c>
      <c r="J237" t="s">
        <v>240</v>
      </c>
      <c r="K237" t="str">
        <f>IFERROR(IF(AND(VLOOKUP($C237,Hes!$A:$B, 1, FALSE), $M237&lt;&gt;" "), "Ingresada", "Falta Ingresar"), " ")</f>
        <v xml:space="preserve"> </v>
      </c>
      <c r="L237" s="4" t="str">
        <f>IFERROR(VLOOKUP($C237,Observaciones!$A:$B,2,FALSE)," ")</f>
        <v>ESPERAR INFORME VERONICA CODELCO 10 GD X FACT UNA OC</v>
      </c>
      <c r="M237" t="s">
        <v>681</v>
      </c>
      <c r="O237" s="5">
        <v>30843716</v>
      </c>
      <c r="P237" s="5">
        <v>55560</v>
      </c>
      <c r="Q237" s="5">
        <v>10556</v>
      </c>
      <c r="R237" s="5">
        <v>66116</v>
      </c>
    </row>
    <row r="238" spans="1:18" x14ac:dyDescent="0.25">
      <c r="A238" t="s">
        <v>71</v>
      </c>
      <c r="B238" t="s">
        <v>502</v>
      </c>
      <c r="C238">
        <v>61704000</v>
      </c>
      <c r="D238">
        <v>1491</v>
      </c>
      <c r="E238">
        <v>4100225989</v>
      </c>
      <c r="F238" t="s">
        <v>935</v>
      </c>
      <c r="G238" s="1">
        <v>45232</v>
      </c>
      <c r="H238">
        <v>5411015</v>
      </c>
      <c r="I238">
        <v>205</v>
      </c>
      <c r="J238" t="s">
        <v>240</v>
      </c>
      <c r="K238" t="str">
        <f>IFERROR(IF(AND(VLOOKUP($C238,Hes!$A:$B, 1, FALSE), $M238&lt;&gt;" "), "Ingresada", "Falta Ingresar"), " ")</f>
        <v xml:space="preserve"> </v>
      </c>
      <c r="L238" s="4" t="str">
        <f>IFERROR(VLOOKUP($C238,Observaciones!$A:$B,2,FALSE)," ")</f>
        <v>ESPERAR INFORME VERONICA CODELCO 10 GD X FACT UNA OC</v>
      </c>
      <c r="M238" t="s">
        <v>681</v>
      </c>
      <c r="O238" s="5">
        <v>30843003</v>
      </c>
      <c r="P238" s="5">
        <v>30220</v>
      </c>
      <c r="Q238" s="5">
        <v>5742</v>
      </c>
      <c r="R238" s="5">
        <v>35962</v>
      </c>
    </row>
    <row r="239" spans="1:18" x14ac:dyDescent="0.25">
      <c r="A239" t="s">
        <v>71</v>
      </c>
      <c r="B239" t="s">
        <v>502</v>
      </c>
      <c r="C239">
        <v>61704000</v>
      </c>
      <c r="D239">
        <v>1002</v>
      </c>
      <c r="E239">
        <v>4100225951</v>
      </c>
      <c r="F239" t="s">
        <v>935</v>
      </c>
      <c r="G239" s="1">
        <v>45232</v>
      </c>
      <c r="H239">
        <v>5411016</v>
      </c>
      <c r="I239">
        <v>205</v>
      </c>
      <c r="J239" t="s">
        <v>240</v>
      </c>
      <c r="K239" t="str">
        <f>IFERROR(IF(AND(VLOOKUP($C239,Hes!$A:$B, 1, FALSE), $M239&lt;&gt;" "), "Ingresada", "Falta Ingresar"), " ")</f>
        <v xml:space="preserve"> </v>
      </c>
      <c r="L239" s="4" t="str">
        <f>IFERROR(VLOOKUP($C239,Observaciones!$A:$B,2,FALSE)," ")</f>
        <v>ESPERAR INFORME VERONICA CODELCO 10 GD X FACT UNA OC</v>
      </c>
      <c r="M239" t="s">
        <v>681</v>
      </c>
      <c r="O239" s="5">
        <v>30841674</v>
      </c>
      <c r="P239" s="5">
        <v>272028</v>
      </c>
      <c r="Q239" s="5">
        <v>51685</v>
      </c>
      <c r="R239" s="5">
        <v>323713</v>
      </c>
    </row>
    <row r="240" spans="1:18" x14ac:dyDescent="0.25">
      <c r="A240" t="s">
        <v>71</v>
      </c>
      <c r="B240" t="s">
        <v>502</v>
      </c>
      <c r="C240">
        <v>61704000</v>
      </c>
      <c r="D240">
        <v>1266</v>
      </c>
      <c r="E240">
        <v>4100225942</v>
      </c>
      <c r="F240" t="s">
        <v>935</v>
      </c>
      <c r="G240" s="1">
        <v>45232</v>
      </c>
      <c r="H240">
        <v>5411017</v>
      </c>
      <c r="I240">
        <v>205</v>
      </c>
      <c r="J240" t="s">
        <v>240</v>
      </c>
      <c r="K240" t="str">
        <f>IFERROR(IF(AND(VLOOKUP($C240,Hes!$A:$B, 1, FALSE), $M240&lt;&gt;" "), "Ingresada", "Falta Ingresar"), " ")</f>
        <v xml:space="preserve"> </v>
      </c>
      <c r="L240" s="4" t="str">
        <f>IFERROR(VLOOKUP($C240,Observaciones!$A:$B,2,FALSE)," ")</f>
        <v>ESPERAR INFORME VERONICA CODELCO 10 GD X FACT UNA OC</v>
      </c>
      <c r="M240" t="s">
        <v>681</v>
      </c>
      <c r="O240" s="5">
        <v>30841645</v>
      </c>
      <c r="P240" s="5">
        <v>271396</v>
      </c>
      <c r="Q240" s="5">
        <v>51565</v>
      </c>
      <c r="R240" s="5">
        <v>322961</v>
      </c>
    </row>
    <row r="241" spans="1:18" x14ac:dyDescent="0.25">
      <c r="A241" t="s">
        <v>71</v>
      </c>
      <c r="B241" t="s">
        <v>502</v>
      </c>
      <c r="C241">
        <v>61704000</v>
      </c>
      <c r="D241">
        <v>101</v>
      </c>
      <c r="E241">
        <v>4100225961</v>
      </c>
      <c r="F241" t="s">
        <v>935</v>
      </c>
      <c r="G241" s="1">
        <v>45232</v>
      </c>
      <c r="H241">
        <v>5411018</v>
      </c>
      <c r="I241">
        <v>205</v>
      </c>
      <c r="J241" t="s">
        <v>240</v>
      </c>
      <c r="K241" t="str">
        <f>IFERROR(IF(AND(VLOOKUP($C241,Hes!$A:$B, 1, FALSE), $M241&lt;&gt;" "), "Ingresada", "Falta Ingresar"), " ")</f>
        <v xml:space="preserve"> </v>
      </c>
      <c r="L241" s="4" t="str">
        <f>IFERROR(VLOOKUP($C241,Observaciones!$A:$B,2,FALSE)," ")</f>
        <v>ESPERAR INFORME VERONICA CODELCO 10 GD X FACT UNA OC</v>
      </c>
      <c r="M241" t="s">
        <v>681</v>
      </c>
      <c r="O241" s="5">
        <v>30838990</v>
      </c>
      <c r="P241" s="5">
        <v>411385</v>
      </c>
      <c r="Q241" s="5">
        <v>78163</v>
      </c>
      <c r="R241" s="5">
        <v>489548</v>
      </c>
    </row>
    <row r="242" spans="1:18" x14ac:dyDescent="0.25">
      <c r="A242" t="s">
        <v>71</v>
      </c>
      <c r="B242" t="s">
        <v>502</v>
      </c>
      <c r="C242">
        <v>61704000</v>
      </c>
      <c r="D242">
        <v>1678</v>
      </c>
      <c r="E242">
        <v>4100225966</v>
      </c>
      <c r="F242" t="s">
        <v>935</v>
      </c>
      <c r="G242" s="1">
        <v>45232</v>
      </c>
      <c r="H242">
        <v>5411019</v>
      </c>
      <c r="I242">
        <v>205</v>
      </c>
      <c r="J242" t="s">
        <v>240</v>
      </c>
      <c r="K242" t="str">
        <f>IFERROR(IF(AND(VLOOKUP($C242,Hes!$A:$B, 1, FALSE), $M242&lt;&gt;" "), "Ingresada", "Falta Ingresar"), " ")</f>
        <v xml:space="preserve"> </v>
      </c>
      <c r="L242" s="4" t="str">
        <f>IFERROR(VLOOKUP($C242,Observaciones!$A:$B,2,FALSE)," ")</f>
        <v>ESPERAR INFORME VERONICA CODELCO 10 GD X FACT UNA OC</v>
      </c>
      <c r="M242" t="s">
        <v>681</v>
      </c>
      <c r="O242" s="5">
        <v>30842154</v>
      </c>
      <c r="P242" s="5">
        <v>23952</v>
      </c>
      <c r="Q242" s="5">
        <v>4551</v>
      </c>
      <c r="R242" s="5">
        <v>28503</v>
      </c>
    </row>
    <row r="243" spans="1:18" x14ac:dyDescent="0.25">
      <c r="A243" t="s">
        <v>71</v>
      </c>
      <c r="B243" t="s">
        <v>502</v>
      </c>
      <c r="C243">
        <v>61704000</v>
      </c>
      <c r="D243">
        <v>2082</v>
      </c>
      <c r="E243">
        <v>4100225990</v>
      </c>
      <c r="F243" t="s">
        <v>935</v>
      </c>
      <c r="G243" s="1">
        <v>45232</v>
      </c>
      <c r="H243">
        <v>5411020</v>
      </c>
      <c r="I243">
        <v>205</v>
      </c>
      <c r="J243" t="s">
        <v>240</v>
      </c>
      <c r="K243" t="str">
        <f>IFERROR(IF(AND(VLOOKUP($C243,Hes!$A:$B, 1, FALSE), $M243&lt;&gt;" "), "Ingresada", "Falta Ingresar"), " ")</f>
        <v xml:space="preserve"> </v>
      </c>
      <c r="L243" s="4" t="str">
        <f>IFERROR(VLOOKUP($C243,Observaciones!$A:$B,2,FALSE)," ")</f>
        <v>ESPERAR INFORME VERONICA CODELCO 10 GD X FACT UNA OC</v>
      </c>
      <c r="M243" t="s">
        <v>681</v>
      </c>
      <c r="O243" s="5">
        <v>30842940</v>
      </c>
      <c r="P243" s="5">
        <v>107650</v>
      </c>
      <c r="Q243" s="5">
        <v>20454</v>
      </c>
      <c r="R243" s="5">
        <v>128104</v>
      </c>
    </row>
    <row r="244" spans="1:18" x14ac:dyDescent="0.25">
      <c r="A244" t="s">
        <v>71</v>
      </c>
      <c r="B244" t="s">
        <v>502</v>
      </c>
      <c r="C244">
        <v>61704000</v>
      </c>
      <c r="D244">
        <v>1491</v>
      </c>
      <c r="E244">
        <v>4100225994</v>
      </c>
      <c r="F244" t="s">
        <v>935</v>
      </c>
      <c r="G244" s="1">
        <v>45232</v>
      </c>
      <c r="H244">
        <v>5411021</v>
      </c>
      <c r="I244">
        <v>205</v>
      </c>
      <c r="J244" t="s">
        <v>240</v>
      </c>
      <c r="K244" t="str">
        <f>IFERROR(IF(AND(VLOOKUP($C244,Hes!$A:$B, 1, FALSE), $M244&lt;&gt;" "), "Ingresada", "Falta Ingresar"), " ")</f>
        <v xml:space="preserve"> </v>
      </c>
      <c r="L244" s="4" t="str">
        <f>IFERROR(VLOOKUP($C244,Observaciones!$A:$B,2,FALSE)," ")</f>
        <v>ESPERAR INFORME VERONICA CODELCO 10 GD X FACT UNA OC</v>
      </c>
      <c r="M244" t="s">
        <v>681</v>
      </c>
      <c r="O244" s="5">
        <v>30843043</v>
      </c>
      <c r="P244" s="5">
        <v>56148</v>
      </c>
      <c r="Q244" s="5">
        <v>10668</v>
      </c>
      <c r="R244" s="5">
        <v>66816</v>
      </c>
    </row>
    <row r="245" spans="1:18" x14ac:dyDescent="0.25">
      <c r="A245" t="s">
        <v>71</v>
      </c>
      <c r="B245" t="s">
        <v>502</v>
      </c>
      <c r="C245">
        <v>61704000</v>
      </c>
      <c r="D245">
        <v>2005</v>
      </c>
      <c r="E245">
        <v>4100225974</v>
      </c>
      <c r="F245" t="s">
        <v>935</v>
      </c>
      <c r="G245" s="1">
        <v>45232</v>
      </c>
      <c r="H245">
        <v>5411022</v>
      </c>
      <c r="I245">
        <v>205</v>
      </c>
      <c r="J245" t="s">
        <v>240</v>
      </c>
      <c r="K245" t="str">
        <f>IFERROR(IF(AND(VLOOKUP($C245,Hes!$A:$B, 1, FALSE), $M245&lt;&gt;" "), "Ingresada", "Falta Ingresar"), " ")</f>
        <v xml:space="preserve"> </v>
      </c>
      <c r="L245" s="4" t="str">
        <f>IFERROR(VLOOKUP($C245,Observaciones!$A:$B,2,FALSE)," ")</f>
        <v>ESPERAR INFORME VERONICA CODELCO 10 GD X FACT UNA OC</v>
      </c>
      <c r="M245" t="s">
        <v>681</v>
      </c>
      <c r="O245" s="5">
        <v>30842286</v>
      </c>
      <c r="P245" s="5">
        <v>69332</v>
      </c>
      <c r="Q245" s="5">
        <v>13173</v>
      </c>
      <c r="R245" s="5">
        <v>82505</v>
      </c>
    </row>
    <row r="246" spans="1:18" x14ac:dyDescent="0.25">
      <c r="A246" t="s">
        <v>71</v>
      </c>
      <c r="B246" t="s">
        <v>502</v>
      </c>
      <c r="C246">
        <v>61704000</v>
      </c>
      <c r="D246">
        <v>2233</v>
      </c>
      <c r="E246">
        <v>4100226134</v>
      </c>
      <c r="F246" t="s">
        <v>935</v>
      </c>
      <c r="G246" s="1">
        <v>45232</v>
      </c>
      <c r="H246">
        <v>5411035</v>
      </c>
      <c r="I246">
        <v>205</v>
      </c>
      <c r="J246" t="s">
        <v>240</v>
      </c>
      <c r="K246" t="str">
        <f>IFERROR(IF(AND(VLOOKUP($C246,Hes!$A:$B, 1, FALSE), $M246&lt;&gt;" "), "Ingresada", "Falta Ingresar"), " ")</f>
        <v xml:space="preserve"> </v>
      </c>
      <c r="L246" s="4" t="str">
        <f>IFERROR(VLOOKUP($C246,Observaciones!$A:$B,2,FALSE)," ")</f>
        <v>ESPERAR INFORME VERONICA CODELCO 10 GD X FACT UNA OC</v>
      </c>
      <c r="M246" t="s">
        <v>681</v>
      </c>
      <c r="O246" s="5">
        <v>30842896</v>
      </c>
      <c r="P246" s="5">
        <v>1471680</v>
      </c>
      <c r="Q246" s="5">
        <v>279619</v>
      </c>
      <c r="R246" s="5">
        <v>1751299</v>
      </c>
    </row>
    <row r="247" spans="1:18" x14ac:dyDescent="0.25">
      <c r="A247" t="s">
        <v>71</v>
      </c>
      <c r="B247" t="s">
        <v>502</v>
      </c>
      <c r="C247">
        <v>61704000</v>
      </c>
      <c r="D247">
        <v>2068</v>
      </c>
      <c r="E247">
        <v>4100225980</v>
      </c>
      <c r="F247" t="s">
        <v>935</v>
      </c>
      <c r="G247" s="1">
        <v>45232</v>
      </c>
      <c r="H247">
        <v>5411036</v>
      </c>
      <c r="I247">
        <v>205</v>
      </c>
      <c r="J247" t="s">
        <v>240</v>
      </c>
      <c r="K247" t="str">
        <f>IFERROR(IF(AND(VLOOKUP($C247,Hes!$A:$B, 1, FALSE), $M247&lt;&gt;" "), "Ingresada", "Falta Ingresar"), " ")</f>
        <v xml:space="preserve"> </v>
      </c>
      <c r="L247" s="4" t="str">
        <f>IFERROR(VLOOKUP($C247,Observaciones!$A:$B,2,FALSE)," ")</f>
        <v>ESPERAR INFORME VERONICA CODELCO 10 GD X FACT UNA OC</v>
      </c>
      <c r="M247" t="s">
        <v>681</v>
      </c>
      <c r="O247" s="5">
        <v>30842353</v>
      </c>
      <c r="P247" s="5">
        <v>26590</v>
      </c>
      <c r="Q247" s="5">
        <v>5052</v>
      </c>
      <c r="R247" s="5">
        <v>31642</v>
      </c>
    </row>
    <row r="248" spans="1:18" x14ac:dyDescent="0.25">
      <c r="A248" t="s">
        <v>71</v>
      </c>
      <c r="B248" t="s">
        <v>502</v>
      </c>
      <c r="C248">
        <v>61704000</v>
      </c>
      <c r="D248">
        <v>2233</v>
      </c>
      <c r="E248">
        <v>4100226134</v>
      </c>
      <c r="F248" t="s">
        <v>935</v>
      </c>
      <c r="G248" s="1">
        <v>45232</v>
      </c>
      <c r="H248">
        <v>5411037</v>
      </c>
      <c r="I248">
        <v>205</v>
      </c>
      <c r="J248" t="s">
        <v>240</v>
      </c>
      <c r="K248" t="str">
        <f>IFERROR(IF(AND(VLOOKUP($C248,Hes!$A:$B, 1, FALSE), $M248&lt;&gt;" "), "Ingresada", "Falta Ingresar"), " ")</f>
        <v xml:space="preserve"> </v>
      </c>
      <c r="L248" s="4" t="str">
        <f>IFERROR(VLOOKUP($C248,Observaciones!$A:$B,2,FALSE)," ")</f>
        <v>ESPERAR INFORME VERONICA CODELCO 10 GD X FACT UNA OC</v>
      </c>
      <c r="M248" t="s">
        <v>681</v>
      </c>
      <c r="O248" s="5">
        <v>30842824</v>
      </c>
      <c r="P248" s="5">
        <v>3854400</v>
      </c>
      <c r="Q248" s="5">
        <v>732336</v>
      </c>
      <c r="R248" s="5">
        <v>4586736</v>
      </c>
    </row>
    <row r="249" spans="1:18" x14ac:dyDescent="0.25">
      <c r="A249" t="s">
        <v>71</v>
      </c>
      <c r="B249" t="s">
        <v>502</v>
      </c>
      <c r="C249">
        <v>61704000</v>
      </c>
      <c r="D249">
        <v>45</v>
      </c>
      <c r="E249">
        <v>4100226063</v>
      </c>
      <c r="F249" t="s">
        <v>935</v>
      </c>
      <c r="G249" s="1">
        <v>45232</v>
      </c>
      <c r="H249">
        <v>5411038</v>
      </c>
      <c r="I249">
        <v>205</v>
      </c>
      <c r="J249" t="s">
        <v>240</v>
      </c>
      <c r="K249" t="str">
        <f>IFERROR(IF(AND(VLOOKUP($C249,Hes!$A:$B, 1, FALSE), $M249&lt;&gt;" "), "Ingresada", "Falta Ingresar"), " ")</f>
        <v xml:space="preserve"> </v>
      </c>
      <c r="L249" s="4" t="str">
        <f>IFERROR(VLOOKUP($C249,Observaciones!$A:$B,2,FALSE)," ")</f>
        <v>ESPERAR INFORME VERONICA CODELCO 10 GD X FACT UNA OC</v>
      </c>
      <c r="M249" t="s">
        <v>681</v>
      </c>
      <c r="O249" s="5">
        <v>30844768</v>
      </c>
      <c r="P249" s="5">
        <v>49189</v>
      </c>
      <c r="Q249" s="5">
        <v>9346</v>
      </c>
      <c r="R249" s="5">
        <v>58535</v>
      </c>
    </row>
    <row r="250" spans="1:18" x14ac:dyDescent="0.25">
      <c r="A250" t="s">
        <v>71</v>
      </c>
      <c r="B250" t="s">
        <v>502</v>
      </c>
      <c r="C250">
        <v>61704000</v>
      </c>
      <c r="D250">
        <v>2233</v>
      </c>
      <c r="E250">
        <v>4100226134</v>
      </c>
      <c r="F250" t="s">
        <v>935</v>
      </c>
      <c r="G250" s="1">
        <v>45232</v>
      </c>
      <c r="H250">
        <v>5411039</v>
      </c>
      <c r="I250">
        <v>205</v>
      </c>
      <c r="J250" t="s">
        <v>240</v>
      </c>
      <c r="K250" t="str">
        <f>IFERROR(IF(AND(VLOOKUP($C250,Hes!$A:$B, 1, FALSE), $M250&lt;&gt;" "), "Ingresada", "Falta Ingresar"), " ")</f>
        <v xml:space="preserve"> </v>
      </c>
      <c r="L250" s="4" t="str">
        <f>IFERROR(VLOOKUP($C250,Observaciones!$A:$B,2,FALSE)," ")</f>
        <v>ESPERAR INFORME VERONICA CODELCO 10 GD X FACT UNA OC</v>
      </c>
      <c r="M250" t="s">
        <v>681</v>
      </c>
      <c r="O250" s="5">
        <v>30842877</v>
      </c>
      <c r="P250" s="5">
        <v>350400</v>
      </c>
      <c r="Q250" s="5">
        <v>66576</v>
      </c>
      <c r="R250" s="5">
        <v>416976</v>
      </c>
    </row>
    <row r="251" spans="1:18" x14ac:dyDescent="0.25">
      <c r="A251" t="s">
        <v>71</v>
      </c>
      <c r="B251" t="s">
        <v>502</v>
      </c>
      <c r="C251">
        <v>61704000</v>
      </c>
      <c r="D251">
        <v>2233</v>
      </c>
      <c r="E251">
        <v>4100226134</v>
      </c>
      <c r="F251" t="s">
        <v>935</v>
      </c>
      <c r="G251" s="1">
        <v>45232</v>
      </c>
      <c r="H251">
        <v>5411040</v>
      </c>
      <c r="I251">
        <v>205</v>
      </c>
      <c r="J251" t="s">
        <v>240</v>
      </c>
      <c r="K251" t="str">
        <f>IFERROR(IF(AND(VLOOKUP($C251,Hes!$A:$B, 1, FALSE), $M251&lt;&gt;" "), "Ingresada", "Falta Ingresar"), " ")</f>
        <v xml:space="preserve"> </v>
      </c>
      <c r="L251" s="4" t="str">
        <f>IFERROR(VLOOKUP($C251,Observaciones!$A:$B,2,FALSE)," ")</f>
        <v>ESPERAR INFORME VERONICA CODELCO 10 GD X FACT UNA OC</v>
      </c>
      <c r="M251" t="s">
        <v>681</v>
      </c>
      <c r="O251" s="5">
        <v>30842799</v>
      </c>
      <c r="P251" s="5">
        <v>3854400</v>
      </c>
      <c r="Q251" s="5">
        <v>732336</v>
      </c>
      <c r="R251" s="5">
        <v>4586736</v>
      </c>
    </row>
    <row r="252" spans="1:18" x14ac:dyDescent="0.25">
      <c r="A252" t="s">
        <v>71</v>
      </c>
      <c r="B252" t="s">
        <v>502</v>
      </c>
      <c r="C252">
        <v>61704000</v>
      </c>
      <c r="D252">
        <v>2156</v>
      </c>
      <c r="E252">
        <v>4100226059</v>
      </c>
      <c r="F252" t="s">
        <v>935</v>
      </c>
      <c r="G252" s="1">
        <v>45232</v>
      </c>
      <c r="H252">
        <v>5411041</v>
      </c>
      <c r="I252">
        <v>205</v>
      </c>
      <c r="J252" t="s">
        <v>240</v>
      </c>
      <c r="K252" t="str">
        <f>IFERROR(IF(AND(VLOOKUP($C252,Hes!$A:$B, 1, FALSE), $M252&lt;&gt;" "), "Ingresada", "Falta Ingresar"), " ")</f>
        <v xml:space="preserve"> </v>
      </c>
      <c r="L252" s="4" t="str">
        <f>IFERROR(VLOOKUP($C252,Observaciones!$A:$B,2,FALSE)," ")</f>
        <v>ESPERAR INFORME VERONICA CODELCO 10 GD X FACT UNA OC</v>
      </c>
      <c r="M252" t="s">
        <v>681</v>
      </c>
      <c r="O252" s="5">
        <v>30844697</v>
      </c>
      <c r="P252" s="5">
        <v>67739</v>
      </c>
      <c r="Q252" s="5">
        <v>12870</v>
      </c>
      <c r="R252" s="5">
        <v>80609</v>
      </c>
    </row>
    <row r="253" spans="1:18" x14ac:dyDescent="0.25">
      <c r="A253" t="s">
        <v>71</v>
      </c>
      <c r="B253" t="s">
        <v>502</v>
      </c>
      <c r="C253">
        <v>61704000</v>
      </c>
      <c r="D253">
        <v>1032</v>
      </c>
      <c r="E253">
        <v>4100226028</v>
      </c>
      <c r="F253" t="s">
        <v>935</v>
      </c>
      <c r="G253" s="1">
        <v>45232</v>
      </c>
      <c r="H253">
        <v>5411042</v>
      </c>
      <c r="I253">
        <v>205</v>
      </c>
      <c r="J253" t="s">
        <v>240</v>
      </c>
      <c r="K253" t="str">
        <f>IFERROR(IF(AND(VLOOKUP($C253,Hes!$A:$B, 1, FALSE), $M253&lt;&gt;" "), "Ingresada", "Falta Ingresar"), " ")</f>
        <v xml:space="preserve"> </v>
      </c>
      <c r="L253" s="4" t="str">
        <f>IFERROR(VLOOKUP($C253,Observaciones!$A:$B,2,FALSE)," ")</f>
        <v>ESPERAR INFORME VERONICA CODELCO 10 GD X FACT UNA OC</v>
      </c>
      <c r="M253" t="s">
        <v>681</v>
      </c>
      <c r="O253" s="5">
        <v>30844109</v>
      </c>
      <c r="P253" s="5">
        <v>327400</v>
      </c>
      <c r="Q253" s="5">
        <v>62206</v>
      </c>
      <c r="R253" s="5">
        <v>389606</v>
      </c>
    </row>
    <row r="254" spans="1:18" x14ac:dyDescent="0.25">
      <c r="A254" t="s">
        <v>71</v>
      </c>
      <c r="B254" t="s">
        <v>502</v>
      </c>
      <c r="C254">
        <v>61704000</v>
      </c>
      <c r="D254">
        <v>2189</v>
      </c>
      <c r="E254">
        <v>4100226056</v>
      </c>
      <c r="F254" t="s">
        <v>935</v>
      </c>
      <c r="G254" s="1">
        <v>45232</v>
      </c>
      <c r="H254">
        <v>5411043</v>
      </c>
      <c r="I254">
        <v>205</v>
      </c>
      <c r="J254" t="s">
        <v>240</v>
      </c>
      <c r="K254" t="str">
        <f>IFERROR(IF(AND(VLOOKUP($C254,Hes!$A:$B, 1, FALSE), $M254&lt;&gt;" "), "Ingresada", "Falta Ingresar"), " ")</f>
        <v xml:space="preserve"> </v>
      </c>
      <c r="L254" s="4" t="str">
        <f>IFERROR(VLOOKUP($C254,Observaciones!$A:$B,2,FALSE)," ")</f>
        <v>ESPERAR INFORME VERONICA CODELCO 10 GD X FACT UNA OC</v>
      </c>
      <c r="M254" t="s">
        <v>681</v>
      </c>
      <c r="O254" s="5">
        <v>30844679</v>
      </c>
      <c r="P254" s="5">
        <v>184700</v>
      </c>
      <c r="Q254" s="5">
        <v>35093</v>
      </c>
      <c r="R254" s="5">
        <v>219793</v>
      </c>
    </row>
    <row r="255" spans="1:18" x14ac:dyDescent="0.25">
      <c r="A255" t="s">
        <v>71</v>
      </c>
      <c r="B255" t="s">
        <v>502</v>
      </c>
      <c r="C255">
        <v>61704000</v>
      </c>
      <c r="D255">
        <v>2136</v>
      </c>
      <c r="E255">
        <v>4100226054</v>
      </c>
      <c r="F255" t="s">
        <v>935</v>
      </c>
      <c r="G255" s="1">
        <v>45232</v>
      </c>
      <c r="H255">
        <v>5411044</v>
      </c>
      <c r="I255">
        <v>205</v>
      </c>
      <c r="J255" t="s">
        <v>240</v>
      </c>
      <c r="K255" t="str">
        <f>IFERROR(IF(AND(VLOOKUP($C255,Hes!$A:$B, 1, FALSE), $M255&lt;&gt;" "), "Ingresada", "Falta Ingresar"), " ")</f>
        <v xml:space="preserve"> </v>
      </c>
      <c r="L255" s="4" t="str">
        <f>IFERROR(VLOOKUP($C255,Observaciones!$A:$B,2,FALSE)," ")</f>
        <v>ESPERAR INFORME VERONICA CODELCO 10 GD X FACT UNA OC</v>
      </c>
      <c r="M255" t="s">
        <v>681</v>
      </c>
      <c r="O255" s="5">
        <v>30844645</v>
      </c>
      <c r="P255" s="5">
        <v>146610</v>
      </c>
      <c r="Q255" s="5">
        <v>27856</v>
      </c>
      <c r="R255" s="5">
        <v>174466</v>
      </c>
    </row>
    <row r="256" spans="1:18" x14ac:dyDescent="0.25">
      <c r="A256" t="s">
        <v>71</v>
      </c>
      <c r="B256" t="s">
        <v>502</v>
      </c>
      <c r="C256">
        <v>61704000</v>
      </c>
      <c r="D256">
        <v>1896</v>
      </c>
      <c r="E256">
        <v>4100225996</v>
      </c>
      <c r="F256" t="s">
        <v>935</v>
      </c>
      <c r="G256" s="1">
        <v>45232</v>
      </c>
      <c r="H256">
        <v>5411045</v>
      </c>
      <c r="I256">
        <v>205</v>
      </c>
      <c r="J256" t="s">
        <v>240</v>
      </c>
      <c r="K256" t="str">
        <f>IFERROR(IF(AND(VLOOKUP($C256,Hes!$A:$B, 1, FALSE), $M256&lt;&gt;" "), "Ingresada", "Falta Ingresar"), " ")</f>
        <v xml:space="preserve"> </v>
      </c>
      <c r="L256" s="4" t="str">
        <f>IFERROR(VLOOKUP($C256,Observaciones!$A:$B,2,FALSE)," ")</f>
        <v>ESPERAR INFORME VERONICA CODELCO 10 GD X FACT UNA OC</v>
      </c>
      <c r="M256" t="s">
        <v>681</v>
      </c>
      <c r="O256" s="5">
        <v>30843314</v>
      </c>
      <c r="P256" s="5">
        <v>59340</v>
      </c>
      <c r="Q256" s="5">
        <v>11275</v>
      </c>
      <c r="R256" s="5">
        <v>70615</v>
      </c>
    </row>
    <row r="257" spans="1:18" x14ac:dyDescent="0.25">
      <c r="A257" t="s">
        <v>71</v>
      </c>
      <c r="B257" t="s">
        <v>502</v>
      </c>
      <c r="C257">
        <v>61704000</v>
      </c>
      <c r="D257">
        <v>2115</v>
      </c>
      <c r="E257">
        <v>4100226034</v>
      </c>
      <c r="F257" t="s">
        <v>935</v>
      </c>
      <c r="G257" s="1">
        <v>45232</v>
      </c>
      <c r="H257">
        <v>5411046</v>
      </c>
      <c r="I257">
        <v>205</v>
      </c>
      <c r="J257" t="s">
        <v>240</v>
      </c>
      <c r="K257" t="str">
        <f>IFERROR(IF(AND(VLOOKUP($C257,Hes!$A:$B, 1, FALSE), $M257&lt;&gt;" "), "Ingresada", "Falta Ingresar"), " ")</f>
        <v xml:space="preserve"> </v>
      </c>
      <c r="L257" s="4" t="str">
        <f>IFERROR(VLOOKUP($C257,Observaciones!$A:$B,2,FALSE)," ")</f>
        <v>ESPERAR INFORME VERONICA CODELCO 10 GD X FACT UNA OC</v>
      </c>
      <c r="M257" t="s">
        <v>681</v>
      </c>
      <c r="O257" s="5">
        <v>30843494</v>
      </c>
      <c r="P257" s="5">
        <v>131622</v>
      </c>
      <c r="Q257" s="5">
        <v>25008</v>
      </c>
      <c r="R257" s="5">
        <v>156630</v>
      </c>
    </row>
    <row r="258" spans="1:18" x14ac:dyDescent="0.25">
      <c r="A258" t="s">
        <v>71</v>
      </c>
      <c r="B258" t="s">
        <v>502</v>
      </c>
      <c r="C258">
        <v>61704000</v>
      </c>
      <c r="D258">
        <v>1311</v>
      </c>
      <c r="E258">
        <v>4100226067</v>
      </c>
      <c r="F258" t="s">
        <v>935</v>
      </c>
      <c r="G258" s="1">
        <v>45232</v>
      </c>
      <c r="H258">
        <v>5411047</v>
      </c>
      <c r="I258">
        <v>205</v>
      </c>
      <c r="J258" t="s">
        <v>240</v>
      </c>
      <c r="K258" t="str">
        <f>IFERROR(IF(AND(VLOOKUP($C258,Hes!$A:$B, 1, FALSE), $M258&lt;&gt;" "), "Ingresada", "Falta Ingresar"), " ")</f>
        <v xml:space="preserve"> </v>
      </c>
      <c r="L258" s="4" t="str">
        <f>IFERROR(VLOOKUP($C258,Observaciones!$A:$B,2,FALSE)," ")</f>
        <v>ESPERAR INFORME VERONICA CODELCO 10 GD X FACT UNA OC</v>
      </c>
      <c r="M258" t="s">
        <v>681</v>
      </c>
      <c r="O258" s="5">
        <v>30844910</v>
      </c>
      <c r="P258" s="5">
        <v>151872</v>
      </c>
      <c r="Q258" s="5">
        <v>28856</v>
      </c>
      <c r="R258" s="5">
        <v>180728</v>
      </c>
    </row>
    <row r="259" spans="1:18" x14ac:dyDescent="0.25">
      <c r="A259" t="s">
        <v>71</v>
      </c>
      <c r="B259" t="s">
        <v>502</v>
      </c>
      <c r="C259">
        <v>61704000</v>
      </c>
      <c r="D259">
        <v>1323</v>
      </c>
      <c r="E259">
        <v>4100226065</v>
      </c>
      <c r="F259" t="s">
        <v>935</v>
      </c>
      <c r="G259" s="1">
        <v>45232</v>
      </c>
      <c r="H259">
        <v>5411048</v>
      </c>
      <c r="I259">
        <v>205</v>
      </c>
      <c r="J259" t="s">
        <v>240</v>
      </c>
      <c r="K259" t="str">
        <f>IFERROR(IF(AND(VLOOKUP($C259,Hes!$A:$B, 1, FALSE), $M259&lt;&gt;" "), "Ingresada", "Falta Ingresar"), " ")</f>
        <v xml:space="preserve"> </v>
      </c>
      <c r="L259" s="4" t="str">
        <f>IFERROR(VLOOKUP($C259,Observaciones!$A:$B,2,FALSE)," ")</f>
        <v>ESPERAR INFORME VERONICA CODELCO 10 GD X FACT UNA OC</v>
      </c>
      <c r="M259" t="s">
        <v>681</v>
      </c>
      <c r="O259" s="5">
        <v>30844827</v>
      </c>
      <c r="P259" s="5">
        <v>36234</v>
      </c>
      <c r="Q259" s="5">
        <v>6884</v>
      </c>
      <c r="R259" s="5">
        <v>43118</v>
      </c>
    </row>
    <row r="260" spans="1:18" x14ac:dyDescent="0.25">
      <c r="A260" t="s">
        <v>71</v>
      </c>
      <c r="B260" t="s">
        <v>502</v>
      </c>
      <c r="C260">
        <v>61704000</v>
      </c>
      <c r="D260">
        <v>491</v>
      </c>
      <c r="E260">
        <v>4100226021</v>
      </c>
      <c r="F260" t="s">
        <v>935</v>
      </c>
      <c r="G260" s="1">
        <v>45232</v>
      </c>
      <c r="H260">
        <v>5411049</v>
      </c>
      <c r="I260">
        <v>205</v>
      </c>
      <c r="J260" t="s">
        <v>240</v>
      </c>
      <c r="K260" t="str">
        <f>IFERROR(IF(AND(VLOOKUP($C260,Hes!$A:$B, 1, FALSE), $M260&lt;&gt;" "), "Ingresada", "Falta Ingresar"), " ")</f>
        <v xml:space="preserve"> </v>
      </c>
      <c r="L260" s="4" t="str">
        <f>IFERROR(VLOOKUP($C260,Observaciones!$A:$B,2,FALSE)," ")</f>
        <v>ESPERAR INFORME VERONICA CODELCO 10 GD X FACT UNA OC</v>
      </c>
      <c r="M260" t="s">
        <v>681</v>
      </c>
      <c r="O260" s="5">
        <v>30844490</v>
      </c>
      <c r="P260" s="5">
        <v>256126</v>
      </c>
      <c r="Q260" s="5">
        <v>48664</v>
      </c>
      <c r="R260" s="5">
        <v>304790</v>
      </c>
    </row>
    <row r="261" spans="1:18" x14ac:dyDescent="0.25">
      <c r="A261" t="s">
        <v>71</v>
      </c>
      <c r="B261" t="s">
        <v>502</v>
      </c>
      <c r="C261">
        <v>61704000</v>
      </c>
      <c r="D261">
        <v>1491</v>
      </c>
      <c r="E261">
        <v>4100225998</v>
      </c>
      <c r="F261" t="s">
        <v>935</v>
      </c>
      <c r="G261" s="1">
        <v>45232</v>
      </c>
      <c r="H261">
        <v>5411050</v>
      </c>
      <c r="I261">
        <v>205</v>
      </c>
      <c r="J261" t="s">
        <v>240</v>
      </c>
      <c r="K261" t="str">
        <f>IFERROR(IF(AND(VLOOKUP($C261,Hes!$A:$B, 1, FALSE), $M261&lt;&gt;" "), "Ingresada", "Falta Ingresar"), " ")</f>
        <v xml:space="preserve"> </v>
      </c>
      <c r="L261" s="4" t="str">
        <f>IFERROR(VLOOKUP($C261,Observaciones!$A:$B,2,FALSE)," ")</f>
        <v>ESPERAR INFORME VERONICA CODELCO 10 GD X FACT UNA OC</v>
      </c>
      <c r="M261" t="s">
        <v>681</v>
      </c>
      <c r="O261" s="5">
        <v>30843334</v>
      </c>
      <c r="P261" s="5">
        <v>41776</v>
      </c>
      <c r="Q261" s="5">
        <v>7937</v>
      </c>
      <c r="R261" s="5">
        <v>49713</v>
      </c>
    </row>
    <row r="262" spans="1:18" x14ac:dyDescent="0.25">
      <c r="A262" t="s">
        <v>71</v>
      </c>
      <c r="B262" t="s">
        <v>502</v>
      </c>
      <c r="C262">
        <v>61704000</v>
      </c>
      <c r="D262">
        <v>491</v>
      </c>
      <c r="E262">
        <v>4100226022</v>
      </c>
      <c r="F262" t="s">
        <v>935</v>
      </c>
      <c r="G262" s="1">
        <v>45232</v>
      </c>
      <c r="H262">
        <v>5411051</v>
      </c>
      <c r="I262">
        <v>205</v>
      </c>
      <c r="J262" t="s">
        <v>240</v>
      </c>
      <c r="K262" t="str">
        <f>IFERROR(IF(AND(VLOOKUP($C262,Hes!$A:$B, 1, FALSE), $M262&lt;&gt;" "), "Ingresada", "Falta Ingresar"), " ")</f>
        <v xml:space="preserve"> </v>
      </c>
      <c r="L262" s="4" t="str">
        <f>IFERROR(VLOOKUP($C262,Observaciones!$A:$B,2,FALSE)," ")</f>
        <v>ESPERAR INFORME VERONICA CODELCO 10 GD X FACT UNA OC</v>
      </c>
      <c r="M262" t="s">
        <v>681</v>
      </c>
      <c r="O262" s="5">
        <v>30844446</v>
      </c>
      <c r="P262" s="5">
        <v>21900</v>
      </c>
      <c r="Q262" s="5">
        <v>4161</v>
      </c>
      <c r="R262" s="5">
        <v>26061</v>
      </c>
    </row>
    <row r="263" spans="1:18" x14ac:dyDescent="0.25">
      <c r="A263" t="s">
        <v>71</v>
      </c>
      <c r="B263" t="s">
        <v>502</v>
      </c>
      <c r="C263">
        <v>61704000</v>
      </c>
      <c r="D263">
        <v>1660</v>
      </c>
      <c r="E263">
        <v>4100226032</v>
      </c>
      <c r="F263" t="s">
        <v>935</v>
      </c>
      <c r="G263" s="1">
        <v>45232</v>
      </c>
      <c r="H263">
        <v>5411052</v>
      </c>
      <c r="I263">
        <v>205</v>
      </c>
      <c r="J263" t="s">
        <v>240</v>
      </c>
      <c r="K263" t="str">
        <f>IFERROR(IF(AND(VLOOKUP($C263,Hes!$A:$B, 1, FALSE), $M263&lt;&gt;" "), "Ingresada", "Falta Ingresar"), " ")</f>
        <v xml:space="preserve"> </v>
      </c>
      <c r="L263" s="4" t="str">
        <f>IFERROR(VLOOKUP($C263,Observaciones!$A:$B,2,FALSE)," ")</f>
        <v>ESPERAR INFORME VERONICA CODELCO 10 GD X FACT UNA OC</v>
      </c>
      <c r="M263" t="s">
        <v>681</v>
      </c>
      <c r="O263" s="5">
        <v>30843404</v>
      </c>
      <c r="P263" s="5">
        <v>461448</v>
      </c>
      <c r="Q263" s="5">
        <v>87675</v>
      </c>
      <c r="R263" s="5">
        <v>549123</v>
      </c>
    </row>
    <row r="264" spans="1:18" x14ac:dyDescent="0.25">
      <c r="A264" t="s">
        <v>71</v>
      </c>
      <c r="B264" t="s">
        <v>502</v>
      </c>
      <c r="C264">
        <v>61704000</v>
      </c>
      <c r="D264">
        <v>2012</v>
      </c>
      <c r="E264">
        <v>4100226128</v>
      </c>
      <c r="F264" t="s">
        <v>935</v>
      </c>
      <c r="G264" s="1">
        <v>45232</v>
      </c>
      <c r="H264">
        <v>5411053</v>
      </c>
      <c r="I264">
        <v>205</v>
      </c>
      <c r="J264" t="s">
        <v>240</v>
      </c>
      <c r="K264" t="str">
        <f>IFERROR(IF(AND(VLOOKUP($C264,Hes!$A:$B, 1, FALSE), $M264&lt;&gt;" "), "Ingresada", "Falta Ingresar"), " ")</f>
        <v xml:space="preserve"> </v>
      </c>
      <c r="L264" s="4" t="str">
        <f>IFERROR(VLOOKUP($C264,Observaciones!$A:$B,2,FALSE)," ")</f>
        <v>ESPERAR INFORME VERONICA CODELCO 10 GD X FACT UNA OC</v>
      </c>
      <c r="M264" t="s">
        <v>681</v>
      </c>
      <c r="O264" s="5">
        <v>30846609</v>
      </c>
      <c r="P264" s="5">
        <v>26280</v>
      </c>
      <c r="Q264" s="5">
        <v>4993</v>
      </c>
      <c r="R264" s="5">
        <v>31273</v>
      </c>
    </row>
    <row r="265" spans="1:18" x14ac:dyDescent="0.25">
      <c r="A265" t="s">
        <v>71</v>
      </c>
      <c r="B265" t="s">
        <v>502</v>
      </c>
      <c r="C265">
        <v>61704000</v>
      </c>
      <c r="D265">
        <v>2189</v>
      </c>
      <c r="E265">
        <v>4100226108</v>
      </c>
      <c r="F265" t="s">
        <v>935</v>
      </c>
      <c r="G265" s="1">
        <v>45232</v>
      </c>
      <c r="H265">
        <v>5411074</v>
      </c>
      <c r="I265">
        <v>205</v>
      </c>
      <c r="J265" t="s">
        <v>240</v>
      </c>
      <c r="K265" t="str">
        <f>IFERROR(IF(AND(VLOOKUP($C265,Hes!$A:$B, 1, FALSE), $M265&lt;&gt;" "), "Ingresada", "Falta Ingresar"), " ")</f>
        <v xml:space="preserve"> </v>
      </c>
      <c r="L265" s="4" t="str">
        <f>IFERROR(VLOOKUP($C265,Observaciones!$A:$B,2,FALSE)," ")</f>
        <v>ESPERAR INFORME VERONICA CODELCO 10 GD X FACT UNA OC</v>
      </c>
      <c r="M265" t="s">
        <v>681</v>
      </c>
      <c r="O265" s="5">
        <v>30846181</v>
      </c>
      <c r="P265" s="5">
        <v>44250</v>
      </c>
      <c r="Q265" s="5">
        <v>8408</v>
      </c>
      <c r="R265" s="5">
        <v>52658</v>
      </c>
    </row>
    <row r="266" spans="1:18" x14ac:dyDescent="0.25">
      <c r="A266" t="s">
        <v>71</v>
      </c>
      <c r="B266" t="s">
        <v>502</v>
      </c>
      <c r="C266">
        <v>61704000</v>
      </c>
      <c r="D266">
        <v>1479</v>
      </c>
      <c r="E266">
        <v>4100226043</v>
      </c>
      <c r="F266" t="s">
        <v>935</v>
      </c>
      <c r="G266" s="1">
        <v>45232</v>
      </c>
      <c r="H266">
        <v>5411075</v>
      </c>
      <c r="I266">
        <v>205</v>
      </c>
      <c r="J266" t="s">
        <v>240</v>
      </c>
      <c r="K266" t="str">
        <f>IFERROR(IF(AND(VLOOKUP($C266,Hes!$A:$B, 1, FALSE), $M266&lt;&gt;" "), "Ingresada", "Falta Ingresar"), " ")</f>
        <v xml:space="preserve"> </v>
      </c>
      <c r="L266" s="4" t="str">
        <f>IFERROR(VLOOKUP($C266,Observaciones!$A:$B,2,FALSE)," ")</f>
        <v>ESPERAR INFORME VERONICA CODELCO 10 GD X FACT UNA OC</v>
      </c>
      <c r="M266" t="s">
        <v>681</v>
      </c>
      <c r="O266" s="5">
        <v>30844621</v>
      </c>
      <c r="P266" s="5">
        <v>29280</v>
      </c>
      <c r="Q266" s="5">
        <v>5563</v>
      </c>
      <c r="R266" s="5">
        <v>34843</v>
      </c>
    </row>
    <row r="267" spans="1:18" x14ac:dyDescent="0.25">
      <c r="A267" t="s">
        <v>71</v>
      </c>
      <c r="B267" t="s">
        <v>502</v>
      </c>
      <c r="C267">
        <v>61704000</v>
      </c>
      <c r="D267">
        <v>764</v>
      </c>
      <c r="E267">
        <v>4100226060</v>
      </c>
      <c r="F267" t="s">
        <v>935</v>
      </c>
      <c r="G267" s="1">
        <v>45232</v>
      </c>
      <c r="H267">
        <v>5411076</v>
      </c>
      <c r="I267">
        <v>205</v>
      </c>
      <c r="J267" t="s">
        <v>240</v>
      </c>
      <c r="K267" t="str">
        <f>IFERROR(IF(AND(VLOOKUP($C267,Hes!$A:$B, 1, FALSE), $M267&lt;&gt;" "), "Ingresada", "Falta Ingresar"), " ")</f>
        <v xml:space="preserve"> </v>
      </c>
      <c r="L267" s="4" t="str">
        <f>IFERROR(VLOOKUP($C267,Observaciones!$A:$B,2,FALSE)," ")</f>
        <v>ESPERAR INFORME VERONICA CODELCO 10 GD X FACT UNA OC</v>
      </c>
      <c r="M267" t="s">
        <v>681</v>
      </c>
      <c r="O267" s="5">
        <v>30844735</v>
      </c>
      <c r="P267" s="5">
        <v>114380</v>
      </c>
      <c r="Q267" s="5">
        <v>21732</v>
      </c>
      <c r="R267" s="5">
        <v>136112</v>
      </c>
    </row>
    <row r="268" spans="1:18" x14ac:dyDescent="0.25">
      <c r="A268" t="s">
        <v>71</v>
      </c>
      <c r="B268" t="s">
        <v>502</v>
      </c>
      <c r="C268">
        <v>61704000</v>
      </c>
      <c r="D268">
        <v>1902</v>
      </c>
      <c r="E268">
        <v>4100226124</v>
      </c>
      <c r="F268" t="s">
        <v>935</v>
      </c>
      <c r="G268" s="1">
        <v>45233</v>
      </c>
      <c r="H268">
        <v>5411270</v>
      </c>
      <c r="I268">
        <v>205</v>
      </c>
      <c r="J268" t="s">
        <v>240</v>
      </c>
      <c r="K268" t="str">
        <f>IFERROR(IF(AND(VLOOKUP($C268,Hes!$A:$B, 1, FALSE), $M268&lt;&gt;" "), "Ingresada", "Falta Ingresar"), " ")</f>
        <v xml:space="preserve"> </v>
      </c>
      <c r="L268" s="4" t="str">
        <f>IFERROR(VLOOKUP($C268,Observaciones!$A:$B,2,FALSE)," ")</f>
        <v>ESPERAR INFORME VERONICA CODELCO 10 GD X FACT UNA OC</v>
      </c>
      <c r="M268" t="s">
        <v>681</v>
      </c>
      <c r="O268" s="5">
        <v>30846488</v>
      </c>
      <c r="P268" s="5">
        <v>36500</v>
      </c>
      <c r="Q268" s="5">
        <v>6935</v>
      </c>
      <c r="R268" s="5">
        <v>43435</v>
      </c>
    </row>
    <row r="269" spans="1:18" x14ac:dyDescent="0.25">
      <c r="A269" t="s">
        <v>71</v>
      </c>
      <c r="B269" t="s">
        <v>502</v>
      </c>
      <c r="C269">
        <v>61704000</v>
      </c>
      <c r="D269">
        <v>2105</v>
      </c>
      <c r="E269">
        <v>4100226146</v>
      </c>
      <c r="F269" t="s">
        <v>935</v>
      </c>
      <c r="G269" s="1">
        <v>45233</v>
      </c>
      <c r="H269">
        <v>5411271</v>
      </c>
      <c r="I269">
        <v>205</v>
      </c>
      <c r="J269" t="s">
        <v>240</v>
      </c>
      <c r="K269" t="str">
        <f>IFERROR(IF(AND(VLOOKUP($C269,Hes!$A:$B, 1, FALSE), $M269&lt;&gt;" "), "Ingresada", "Falta Ingresar"), " ")</f>
        <v xml:space="preserve"> </v>
      </c>
      <c r="L269" s="4" t="str">
        <f>IFERROR(VLOOKUP($C269,Observaciones!$A:$B,2,FALSE)," ")</f>
        <v>ESPERAR INFORME VERONICA CODELCO 10 GD X FACT UNA OC</v>
      </c>
      <c r="M269" t="s">
        <v>681</v>
      </c>
      <c r="O269" s="5">
        <v>30848240</v>
      </c>
      <c r="P269" s="5">
        <v>195645</v>
      </c>
      <c r="Q269" s="5">
        <v>37173</v>
      </c>
      <c r="R269" s="5">
        <v>232818</v>
      </c>
    </row>
    <row r="270" spans="1:18" x14ac:dyDescent="0.25">
      <c r="A270" t="s">
        <v>71</v>
      </c>
      <c r="B270" t="s">
        <v>502</v>
      </c>
      <c r="C270">
        <v>61704000</v>
      </c>
      <c r="D270">
        <v>687</v>
      </c>
      <c r="E270">
        <v>4100226098</v>
      </c>
      <c r="F270" t="s">
        <v>935</v>
      </c>
      <c r="G270" s="1">
        <v>45233</v>
      </c>
      <c r="H270">
        <v>5411382</v>
      </c>
      <c r="I270">
        <v>205</v>
      </c>
      <c r="J270" t="s">
        <v>240</v>
      </c>
      <c r="K270" t="str">
        <f>IFERROR(IF(AND(VLOOKUP($C270,Hes!$A:$B, 1, FALSE), $M270&lt;&gt;" "), "Ingresada", "Falta Ingresar"), " ")</f>
        <v xml:space="preserve"> </v>
      </c>
      <c r="L270" s="4" t="str">
        <f>IFERROR(VLOOKUP($C270,Observaciones!$A:$B,2,FALSE)," ")</f>
        <v>ESPERAR INFORME VERONICA CODELCO 10 GD X FACT UNA OC</v>
      </c>
      <c r="M270" t="s">
        <v>681</v>
      </c>
      <c r="O270" s="5">
        <v>30845693</v>
      </c>
      <c r="P270" s="5">
        <v>161441</v>
      </c>
      <c r="Q270" s="5">
        <v>30674</v>
      </c>
      <c r="R270" s="5">
        <v>192115</v>
      </c>
    </row>
    <row r="271" spans="1:18" x14ac:dyDescent="0.25">
      <c r="A271" t="s">
        <v>71</v>
      </c>
      <c r="B271" t="s">
        <v>502</v>
      </c>
      <c r="C271">
        <v>61704000</v>
      </c>
      <c r="D271">
        <v>179</v>
      </c>
      <c r="E271">
        <v>4100226103</v>
      </c>
      <c r="F271" t="s">
        <v>935</v>
      </c>
      <c r="G271" s="1">
        <v>45233</v>
      </c>
      <c r="H271">
        <v>5411383</v>
      </c>
      <c r="I271">
        <v>205</v>
      </c>
      <c r="J271" t="s">
        <v>240</v>
      </c>
      <c r="K271" t="str">
        <f>IFERROR(IF(AND(VLOOKUP($C271,Hes!$A:$B, 1, FALSE), $M271&lt;&gt;" "), "Ingresada", "Falta Ingresar"), " ")</f>
        <v xml:space="preserve"> </v>
      </c>
      <c r="L271" s="4" t="str">
        <f>IFERROR(VLOOKUP($C271,Observaciones!$A:$B,2,FALSE)," ")</f>
        <v>ESPERAR INFORME VERONICA CODELCO 10 GD X FACT UNA OC</v>
      </c>
      <c r="M271" t="s">
        <v>681</v>
      </c>
      <c r="O271" s="5">
        <v>30845996</v>
      </c>
      <c r="P271" s="5">
        <v>285742</v>
      </c>
      <c r="Q271" s="5">
        <v>54291</v>
      </c>
      <c r="R271" s="5">
        <v>340033</v>
      </c>
    </row>
    <row r="272" spans="1:18" x14ac:dyDescent="0.25">
      <c r="A272" t="s">
        <v>71</v>
      </c>
      <c r="B272" t="s">
        <v>502</v>
      </c>
      <c r="C272">
        <v>61704000</v>
      </c>
      <c r="D272">
        <v>798</v>
      </c>
      <c r="E272">
        <v>4100226136</v>
      </c>
      <c r="F272" t="s">
        <v>935</v>
      </c>
      <c r="G272" s="1">
        <v>45233</v>
      </c>
      <c r="H272">
        <v>5411540</v>
      </c>
      <c r="I272">
        <v>205</v>
      </c>
      <c r="J272" t="s">
        <v>240</v>
      </c>
      <c r="K272" t="str">
        <f>IFERROR(IF(AND(VLOOKUP($C272,Hes!$A:$B, 1, FALSE), $M272&lt;&gt;" "), "Ingresada", "Falta Ingresar"), " ")</f>
        <v xml:space="preserve"> </v>
      </c>
      <c r="L272" s="4" t="str">
        <f>IFERROR(VLOOKUP($C272,Observaciones!$A:$B,2,FALSE)," ")</f>
        <v>ESPERAR INFORME VERONICA CODELCO 10 GD X FACT UNA OC</v>
      </c>
      <c r="M272" t="s">
        <v>681</v>
      </c>
      <c r="O272" s="5">
        <v>30847078</v>
      </c>
      <c r="P272" s="5">
        <v>43410</v>
      </c>
      <c r="Q272" s="5">
        <v>8248</v>
      </c>
      <c r="R272" s="5">
        <v>51658</v>
      </c>
    </row>
    <row r="273" spans="1:18" x14ac:dyDescent="0.25">
      <c r="A273" t="s">
        <v>71</v>
      </c>
      <c r="B273" t="s">
        <v>502</v>
      </c>
      <c r="C273">
        <v>61704000</v>
      </c>
      <c r="D273">
        <v>798</v>
      </c>
      <c r="E273">
        <v>4100226135</v>
      </c>
      <c r="F273" t="s">
        <v>935</v>
      </c>
      <c r="G273" s="1">
        <v>45233</v>
      </c>
      <c r="H273">
        <v>5411625</v>
      </c>
      <c r="I273">
        <v>205</v>
      </c>
      <c r="J273" t="s">
        <v>240</v>
      </c>
      <c r="K273" t="str">
        <f>IFERROR(IF(AND(VLOOKUP($C273,Hes!$A:$B, 1, FALSE), $M273&lt;&gt;" "), "Ingresada", "Falta Ingresar"), " ")</f>
        <v xml:space="preserve"> </v>
      </c>
      <c r="L273" s="4" t="str">
        <f>IFERROR(VLOOKUP($C273,Observaciones!$A:$B,2,FALSE)," ")</f>
        <v>ESPERAR INFORME VERONICA CODELCO 10 GD X FACT UNA OC</v>
      </c>
      <c r="M273" t="s">
        <v>681</v>
      </c>
      <c r="O273" s="5">
        <v>30846978</v>
      </c>
      <c r="P273" s="5">
        <v>101232</v>
      </c>
      <c r="Q273" s="5">
        <v>19234</v>
      </c>
      <c r="R273" s="5">
        <v>120466</v>
      </c>
    </row>
    <row r="274" spans="1:18" x14ac:dyDescent="0.25">
      <c r="A274" t="s">
        <v>71</v>
      </c>
      <c r="B274" t="s">
        <v>502</v>
      </c>
      <c r="C274">
        <v>61704000</v>
      </c>
      <c r="D274">
        <v>1955</v>
      </c>
      <c r="E274">
        <v>4100226166</v>
      </c>
      <c r="F274" t="s">
        <v>935</v>
      </c>
      <c r="G274" s="1">
        <v>45233</v>
      </c>
      <c r="H274">
        <v>5411653</v>
      </c>
      <c r="I274">
        <v>205</v>
      </c>
      <c r="J274" t="s">
        <v>240</v>
      </c>
      <c r="K274" t="str">
        <f>IFERROR(IF(AND(VLOOKUP($C274,Hes!$A:$B, 1, FALSE), $M274&lt;&gt;" "), "Ingresada", "Falta Ingresar"), " ")</f>
        <v xml:space="preserve"> </v>
      </c>
      <c r="L274" s="4" t="str">
        <f>IFERROR(VLOOKUP($C274,Observaciones!$A:$B,2,FALSE)," ")</f>
        <v>ESPERAR INFORME VERONICA CODELCO 10 GD X FACT UNA OC</v>
      </c>
      <c r="M274" t="s">
        <v>681</v>
      </c>
      <c r="O274" s="5">
        <v>30849204</v>
      </c>
      <c r="P274" s="5">
        <v>24360</v>
      </c>
      <c r="Q274" s="5">
        <v>4628</v>
      </c>
      <c r="R274" s="5">
        <v>28988</v>
      </c>
    </row>
    <row r="275" spans="1:18" x14ac:dyDescent="0.25">
      <c r="A275" t="s">
        <v>71</v>
      </c>
      <c r="B275" t="s">
        <v>502</v>
      </c>
      <c r="C275">
        <v>61704000</v>
      </c>
      <c r="D275">
        <v>942</v>
      </c>
      <c r="E275">
        <v>4100226184</v>
      </c>
      <c r="F275" t="s">
        <v>935</v>
      </c>
      <c r="G275" s="1">
        <v>45233</v>
      </c>
      <c r="H275">
        <v>5411654</v>
      </c>
      <c r="I275">
        <v>205</v>
      </c>
      <c r="J275" t="s">
        <v>240</v>
      </c>
      <c r="K275" t="str">
        <f>IFERROR(IF(AND(VLOOKUP($C275,Hes!$A:$B, 1, FALSE), $M275&lt;&gt;" "), "Ingresada", "Falta Ingresar"), " ")</f>
        <v xml:space="preserve"> </v>
      </c>
      <c r="L275" s="4" t="str">
        <f>IFERROR(VLOOKUP($C275,Observaciones!$A:$B,2,FALSE)," ")</f>
        <v>ESPERAR INFORME VERONICA CODELCO 10 GD X FACT UNA OC</v>
      </c>
      <c r="M275" t="s">
        <v>681</v>
      </c>
      <c r="O275" s="5">
        <v>30850028</v>
      </c>
      <c r="P275" s="5">
        <v>40176</v>
      </c>
      <c r="Q275" s="5">
        <v>7633</v>
      </c>
      <c r="R275" s="5">
        <v>47809</v>
      </c>
    </row>
    <row r="276" spans="1:18" x14ac:dyDescent="0.25">
      <c r="A276" t="s">
        <v>71</v>
      </c>
      <c r="B276" t="s">
        <v>502</v>
      </c>
      <c r="C276">
        <v>61704000</v>
      </c>
      <c r="D276">
        <v>1314</v>
      </c>
      <c r="E276">
        <v>4100225975</v>
      </c>
      <c r="F276" t="s">
        <v>935</v>
      </c>
      <c r="G276" s="1">
        <v>45234</v>
      </c>
      <c r="H276">
        <v>5412058</v>
      </c>
      <c r="I276">
        <v>205</v>
      </c>
      <c r="J276" t="s">
        <v>240</v>
      </c>
      <c r="K276" t="str">
        <f>IFERROR(IF(AND(VLOOKUP($C276,Hes!$A:$B, 1, FALSE), $M276&lt;&gt;" "), "Ingresada", "Falta Ingresar"), " ")</f>
        <v xml:space="preserve"> </v>
      </c>
      <c r="L276" s="4" t="str">
        <f>IFERROR(VLOOKUP($C276,Observaciones!$A:$B,2,FALSE)," ")</f>
        <v>ESPERAR INFORME VERONICA CODELCO 10 GD X FACT UNA OC</v>
      </c>
      <c r="M276" t="s">
        <v>681</v>
      </c>
      <c r="O276" s="5">
        <v>30842325</v>
      </c>
      <c r="P276" s="5">
        <v>221016</v>
      </c>
      <c r="Q276" s="5">
        <v>41993</v>
      </c>
      <c r="R276" s="5">
        <v>263009</v>
      </c>
    </row>
    <row r="277" spans="1:18" x14ac:dyDescent="0.25">
      <c r="A277" t="s">
        <v>71</v>
      </c>
      <c r="B277" t="s">
        <v>502</v>
      </c>
      <c r="C277">
        <v>61704000</v>
      </c>
      <c r="D277">
        <v>85</v>
      </c>
      <c r="E277">
        <v>4100226087</v>
      </c>
      <c r="F277" t="s">
        <v>935</v>
      </c>
      <c r="G277" s="1">
        <v>45234</v>
      </c>
      <c r="H277">
        <v>5412059</v>
      </c>
      <c r="I277">
        <v>205</v>
      </c>
      <c r="J277" t="s">
        <v>240</v>
      </c>
      <c r="K277" t="str">
        <f>IFERROR(IF(AND(VLOOKUP($C277,Hes!$A:$B, 1, FALSE), $M277&lt;&gt;" "), "Ingresada", "Falta Ingresar"), " ")</f>
        <v xml:space="preserve"> </v>
      </c>
      <c r="L277" s="4" t="str">
        <f>IFERROR(VLOOKUP($C277,Observaciones!$A:$B,2,FALSE)," ")</f>
        <v>ESPERAR INFORME VERONICA CODELCO 10 GD X FACT UNA OC</v>
      </c>
      <c r="M277" t="s">
        <v>681</v>
      </c>
      <c r="O277" s="5">
        <v>30845492</v>
      </c>
      <c r="P277" s="5">
        <v>59204</v>
      </c>
      <c r="Q277" s="5">
        <v>11249</v>
      </c>
      <c r="R277" s="5">
        <v>70453</v>
      </c>
    </row>
    <row r="278" spans="1:18" x14ac:dyDescent="0.25">
      <c r="A278" t="s">
        <v>71</v>
      </c>
      <c r="B278" t="s">
        <v>502</v>
      </c>
      <c r="C278">
        <v>61704000</v>
      </c>
      <c r="D278">
        <v>1819</v>
      </c>
      <c r="E278">
        <v>4100226113</v>
      </c>
      <c r="F278" t="s">
        <v>935</v>
      </c>
      <c r="G278" s="1">
        <v>45234</v>
      </c>
      <c r="H278">
        <v>5412060</v>
      </c>
      <c r="I278">
        <v>205</v>
      </c>
      <c r="J278" t="s">
        <v>240</v>
      </c>
      <c r="K278" t="str">
        <f>IFERROR(IF(AND(VLOOKUP($C278,Hes!$A:$B, 1, FALSE), $M278&lt;&gt;" "), "Ingresada", "Falta Ingresar"), " ")</f>
        <v xml:space="preserve"> </v>
      </c>
      <c r="L278" s="4" t="str">
        <f>IFERROR(VLOOKUP($C278,Observaciones!$A:$B,2,FALSE)," ")</f>
        <v>ESPERAR INFORME VERONICA CODELCO 10 GD X FACT UNA OC</v>
      </c>
      <c r="M278" t="s">
        <v>681</v>
      </c>
      <c r="O278" s="5">
        <v>30846325</v>
      </c>
      <c r="P278" s="5">
        <v>423604</v>
      </c>
      <c r="Q278" s="5">
        <v>80485</v>
      </c>
      <c r="R278" s="5">
        <v>504089</v>
      </c>
    </row>
    <row r="279" spans="1:18" x14ac:dyDescent="0.25">
      <c r="A279" t="s">
        <v>71</v>
      </c>
      <c r="B279" t="s">
        <v>502</v>
      </c>
      <c r="C279">
        <v>61704000</v>
      </c>
      <c r="D279">
        <v>418</v>
      </c>
      <c r="E279">
        <v>4100226007</v>
      </c>
      <c r="F279" t="s">
        <v>935</v>
      </c>
      <c r="G279" s="1">
        <v>45234</v>
      </c>
      <c r="H279">
        <v>5412061</v>
      </c>
      <c r="I279">
        <v>205</v>
      </c>
      <c r="J279" t="s">
        <v>240</v>
      </c>
      <c r="K279" t="str">
        <f>IFERROR(IF(AND(VLOOKUP($C279,Hes!$A:$B, 1, FALSE), $M279&lt;&gt;" "), "Ingresada", "Falta Ingresar"), " ")</f>
        <v xml:space="preserve"> </v>
      </c>
      <c r="L279" s="4" t="str">
        <f>IFERROR(VLOOKUP($C279,Observaciones!$A:$B,2,FALSE)," ")</f>
        <v>ESPERAR INFORME VERONICA CODELCO 10 GD X FACT UNA OC</v>
      </c>
      <c r="M279" t="s">
        <v>681</v>
      </c>
      <c r="O279" s="5">
        <v>30844157</v>
      </c>
      <c r="P279" s="5">
        <v>53180</v>
      </c>
      <c r="Q279" s="5">
        <v>10104</v>
      </c>
      <c r="R279" s="5">
        <v>63284</v>
      </c>
    </row>
    <row r="280" spans="1:18" x14ac:dyDescent="0.25">
      <c r="A280" t="s">
        <v>71</v>
      </c>
      <c r="B280" t="s">
        <v>502</v>
      </c>
      <c r="C280">
        <v>61704000</v>
      </c>
      <c r="D280">
        <v>2190</v>
      </c>
      <c r="E280">
        <v>4100225947</v>
      </c>
      <c r="F280" t="s">
        <v>935</v>
      </c>
      <c r="G280" s="1">
        <v>45234</v>
      </c>
      <c r="H280">
        <v>5412062</v>
      </c>
      <c r="I280">
        <v>205</v>
      </c>
      <c r="J280" t="s">
        <v>240</v>
      </c>
      <c r="K280" t="str">
        <f>IFERROR(IF(AND(VLOOKUP($C280,Hes!$A:$B, 1, FALSE), $M280&lt;&gt;" "), "Ingresada", "Falta Ingresar"), " ")</f>
        <v xml:space="preserve"> </v>
      </c>
      <c r="L280" s="4" t="str">
        <f>IFERROR(VLOOKUP($C280,Observaciones!$A:$B,2,FALSE)," ")</f>
        <v>ESPERAR INFORME VERONICA CODELCO 10 GD X FACT UNA OC</v>
      </c>
      <c r="M280" t="s">
        <v>681</v>
      </c>
      <c r="O280" s="5">
        <v>30841663</v>
      </c>
      <c r="P280" s="5">
        <v>25898</v>
      </c>
      <c r="Q280" s="5">
        <v>4921</v>
      </c>
      <c r="R280" s="5">
        <v>30819</v>
      </c>
    </row>
    <row r="281" spans="1:18" x14ac:dyDescent="0.25">
      <c r="A281" t="s">
        <v>71</v>
      </c>
      <c r="B281" t="s">
        <v>502</v>
      </c>
      <c r="C281">
        <v>61704000</v>
      </c>
      <c r="D281">
        <v>1365</v>
      </c>
      <c r="E281">
        <v>4100226019</v>
      </c>
      <c r="F281" t="s">
        <v>935</v>
      </c>
      <c r="G281" s="1">
        <v>45234</v>
      </c>
      <c r="H281">
        <v>5412063</v>
      </c>
      <c r="I281">
        <v>205</v>
      </c>
      <c r="J281" t="s">
        <v>240</v>
      </c>
      <c r="K281" t="str">
        <f>IFERROR(IF(AND(VLOOKUP($C281,Hes!$A:$B, 1, FALSE), $M281&lt;&gt;" "), "Ingresada", "Falta Ingresar"), " ")</f>
        <v xml:space="preserve"> </v>
      </c>
      <c r="L281" s="4" t="str">
        <f>IFERROR(VLOOKUP($C281,Observaciones!$A:$B,2,FALSE)," ")</f>
        <v>ESPERAR INFORME VERONICA CODELCO 10 GD X FACT UNA OC</v>
      </c>
      <c r="M281" t="s">
        <v>681</v>
      </c>
      <c r="O281" s="5">
        <v>30844230</v>
      </c>
      <c r="P281" s="5">
        <v>115234</v>
      </c>
      <c r="Q281" s="5">
        <v>21894</v>
      </c>
      <c r="R281" s="5">
        <v>137128</v>
      </c>
    </row>
    <row r="282" spans="1:18" x14ac:dyDescent="0.25">
      <c r="A282" t="s">
        <v>71</v>
      </c>
      <c r="B282" t="s">
        <v>502</v>
      </c>
      <c r="C282">
        <v>61704000</v>
      </c>
      <c r="D282">
        <v>2202</v>
      </c>
      <c r="E282">
        <v>4100226008</v>
      </c>
      <c r="F282" t="s">
        <v>935</v>
      </c>
      <c r="G282" s="1">
        <v>45234</v>
      </c>
      <c r="H282">
        <v>5412064</v>
      </c>
      <c r="I282">
        <v>205</v>
      </c>
      <c r="J282" t="s">
        <v>240</v>
      </c>
      <c r="K282" t="str">
        <f>IFERROR(IF(AND(VLOOKUP($C282,Hes!$A:$B, 1, FALSE), $M282&lt;&gt;" "), "Ingresada", "Falta Ingresar"), " ")</f>
        <v xml:space="preserve"> </v>
      </c>
      <c r="L282" s="4" t="str">
        <f>IFERROR(VLOOKUP($C282,Observaciones!$A:$B,2,FALSE)," ")</f>
        <v>ESPERAR INFORME VERONICA CODELCO 10 GD X FACT UNA OC</v>
      </c>
      <c r="M282" t="s">
        <v>681</v>
      </c>
      <c r="O282" s="5">
        <v>30844376</v>
      </c>
      <c r="P282" s="5">
        <v>233396</v>
      </c>
      <c r="Q282" s="5">
        <v>44345</v>
      </c>
      <c r="R282" s="5">
        <v>277741</v>
      </c>
    </row>
    <row r="283" spans="1:18" x14ac:dyDescent="0.25">
      <c r="A283" t="s">
        <v>71</v>
      </c>
      <c r="B283" t="s">
        <v>502</v>
      </c>
      <c r="C283">
        <v>61704000</v>
      </c>
      <c r="D283">
        <v>1819</v>
      </c>
      <c r="E283">
        <v>4100226115</v>
      </c>
      <c r="F283" t="s">
        <v>935</v>
      </c>
      <c r="G283" s="1">
        <v>45234</v>
      </c>
      <c r="H283">
        <v>5412065</v>
      </c>
      <c r="I283">
        <v>205</v>
      </c>
      <c r="J283" t="s">
        <v>240</v>
      </c>
      <c r="K283" t="str">
        <f>IFERROR(IF(AND(VLOOKUP($C283,Hes!$A:$B, 1, FALSE), $M283&lt;&gt;" "), "Ingresada", "Falta Ingresar"), " ")</f>
        <v xml:space="preserve"> </v>
      </c>
      <c r="L283" s="4" t="str">
        <f>IFERROR(VLOOKUP($C283,Observaciones!$A:$B,2,FALSE)," ")</f>
        <v>ESPERAR INFORME VERONICA CODELCO 10 GD X FACT UNA OC</v>
      </c>
      <c r="M283" t="s">
        <v>681</v>
      </c>
      <c r="O283" s="5">
        <v>30846259</v>
      </c>
      <c r="P283" s="5">
        <v>250600</v>
      </c>
      <c r="Q283" s="5">
        <v>47614</v>
      </c>
      <c r="R283" s="5">
        <v>298214</v>
      </c>
    </row>
    <row r="284" spans="1:18" x14ac:dyDescent="0.25">
      <c r="A284" t="s">
        <v>71</v>
      </c>
      <c r="B284" t="s">
        <v>502</v>
      </c>
      <c r="C284">
        <v>61704000</v>
      </c>
      <c r="D284">
        <v>618</v>
      </c>
      <c r="E284">
        <v>4100226147</v>
      </c>
      <c r="F284" t="s">
        <v>935</v>
      </c>
      <c r="G284" s="1">
        <v>45234</v>
      </c>
      <c r="H284">
        <v>5412066</v>
      </c>
      <c r="I284">
        <v>205</v>
      </c>
      <c r="J284" t="s">
        <v>240</v>
      </c>
      <c r="K284" t="str">
        <f>IFERROR(IF(AND(VLOOKUP($C284,Hes!$A:$B, 1, FALSE), $M284&lt;&gt;" "), "Ingresada", "Falta Ingresar"), " ")</f>
        <v xml:space="preserve"> </v>
      </c>
      <c r="L284" s="4" t="str">
        <f>IFERROR(VLOOKUP($C284,Observaciones!$A:$B,2,FALSE)," ")</f>
        <v>ESPERAR INFORME VERONICA CODELCO 10 GD X FACT UNA OC</v>
      </c>
      <c r="M284" t="s">
        <v>681</v>
      </c>
      <c r="O284" s="5">
        <v>30848280</v>
      </c>
      <c r="P284" s="5">
        <v>18270</v>
      </c>
      <c r="Q284" s="5">
        <v>3471</v>
      </c>
      <c r="R284" s="5">
        <v>21741</v>
      </c>
    </row>
    <row r="285" spans="1:18" x14ac:dyDescent="0.25">
      <c r="A285" t="s">
        <v>71</v>
      </c>
      <c r="B285" t="s">
        <v>502</v>
      </c>
      <c r="C285">
        <v>61704000</v>
      </c>
      <c r="D285">
        <v>1496</v>
      </c>
      <c r="E285">
        <v>4100226068</v>
      </c>
      <c r="F285" t="s">
        <v>935</v>
      </c>
      <c r="G285" s="1">
        <v>45234</v>
      </c>
      <c r="H285">
        <v>5412067</v>
      </c>
      <c r="I285">
        <v>205</v>
      </c>
      <c r="J285" t="s">
        <v>240</v>
      </c>
      <c r="K285" t="str">
        <f>IFERROR(IF(AND(VLOOKUP($C285,Hes!$A:$B, 1, FALSE), $M285&lt;&gt;" "), "Ingresada", "Falta Ingresar"), " ")</f>
        <v xml:space="preserve"> </v>
      </c>
      <c r="L285" s="4" t="str">
        <f>IFERROR(VLOOKUP($C285,Observaciones!$A:$B,2,FALSE)," ")</f>
        <v>ESPERAR INFORME VERONICA CODELCO 10 GD X FACT UNA OC</v>
      </c>
      <c r="M285" t="s">
        <v>681</v>
      </c>
      <c r="O285" s="5">
        <v>30845321</v>
      </c>
      <c r="P285" s="5">
        <v>141974</v>
      </c>
      <c r="Q285" s="5">
        <v>26975</v>
      </c>
      <c r="R285" s="5">
        <v>177007</v>
      </c>
    </row>
    <row r="286" spans="1:18" x14ac:dyDescent="0.25">
      <c r="A286" t="s">
        <v>71</v>
      </c>
      <c r="B286" t="s">
        <v>502</v>
      </c>
      <c r="C286">
        <v>61704000</v>
      </c>
      <c r="D286">
        <v>2202</v>
      </c>
      <c r="E286">
        <v>4100226037</v>
      </c>
      <c r="F286" t="s">
        <v>935</v>
      </c>
      <c r="G286" s="1">
        <v>45234</v>
      </c>
      <c r="H286">
        <v>5412068</v>
      </c>
      <c r="I286">
        <v>205</v>
      </c>
      <c r="J286" t="s">
        <v>240</v>
      </c>
      <c r="K286" t="str">
        <f>IFERROR(IF(AND(VLOOKUP($C286,Hes!$A:$B, 1, FALSE), $M286&lt;&gt;" "), "Ingresada", "Falta Ingresar"), " ")</f>
        <v xml:space="preserve"> </v>
      </c>
      <c r="L286" s="4" t="str">
        <f>IFERROR(VLOOKUP($C286,Observaciones!$A:$B,2,FALSE)," ")</f>
        <v>ESPERAR INFORME VERONICA CODELCO 10 GD X FACT UNA OC</v>
      </c>
      <c r="M286" t="s">
        <v>681</v>
      </c>
      <c r="O286" s="5">
        <v>30843352</v>
      </c>
      <c r="P286" s="5">
        <v>340591</v>
      </c>
      <c r="Q286" s="5">
        <v>64712</v>
      </c>
      <c r="R286" s="5">
        <v>408969</v>
      </c>
    </row>
    <row r="287" spans="1:18" x14ac:dyDescent="0.25">
      <c r="A287" t="s">
        <v>71</v>
      </c>
      <c r="B287" t="s">
        <v>502</v>
      </c>
      <c r="C287">
        <v>61704000</v>
      </c>
      <c r="D287">
        <v>2202</v>
      </c>
      <c r="E287">
        <v>4100226157</v>
      </c>
      <c r="F287" t="s">
        <v>935</v>
      </c>
      <c r="G287" s="1">
        <v>45234</v>
      </c>
      <c r="H287">
        <v>5412069</v>
      </c>
      <c r="I287">
        <v>205</v>
      </c>
      <c r="J287" t="s">
        <v>240</v>
      </c>
      <c r="K287" t="str">
        <f>IFERROR(IF(AND(VLOOKUP($C287,Hes!$A:$B, 1, FALSE), $M287&lt;&gt;" "), "Ingresada", "Falta Ingresar"), " ")</f>
        <v xml:space="preserve"> </v>
      </c>
      <c r="L287" s="4" t="str">
        <f>IFERROR(VLOOKUP($C287,Observaciones!$A:$B,2,FALSE)," ")</f>
        <v>ESPERAR INFORME VERONICA CODELCO 10 GD X FACT UNA OC</v>
      </c>
      <c r="M287" t="s">
        <v>681</v>
      </c>
      <c r="O287" s="5">
        <v>30849138</v>
      </c>
      <c r="P287" s="5">
        <v>4344150</v>
      </c>
      <c r="Q287" s="5">
        <v>825389</v>
      </c>
      <c r="R287" s="5">
        <v>5169539</v>
      </c>
    </row>
    <row r="288" spans="1:18" x14ac:dyDescent="0.25">
      <c r="A288" t="s">
        <v>71</v>
      </c>
      <c r="B288" t="s">
        <v>502</v>
      </c>
      <c r="C288">
        <v>61704000</v>
      </c>
      <c r="D288">
        <v>2202</v>
      </c>
      <c r="E288">
        <v>4100226156</v>
      </c>
      <c r="F288" t="s">
        <v>935</v>
      </c>
      <c r="G288" s="1">
        <v>45234</v>
      </c>
      <c r="H288">
        <v>5412070</v>
      </c>
      <c r="I288">
        <v>205</v>
      </c>
      <c r="J288" t="s">
        <v>240</v>
      </c>
      <c r="K288" t="str">
        <f>IFERROR(IF(AND(VLOOKUP($C288,Hes!$A:$B, 1, FALSE), $M288&lt;&gt;" "), "Ingresada", "Falta Ingresar"), " ")</f>
        <v xml:space="preserve"> </v>
      </c>
      <c r="L288" s="4" t="str">
        <f>IFERROR(VLOOKUP($C288,Observaciones!$A:$B,2,FALSE)," ")</f>
        <v>ESPERAR INFORME VERONICA CODELCO 10 GD X FACT UNA OC</v>
      </c>
      <c r="M288" t="s">
        <v>681</v>
      </c>
      <c r="O288" s="5">
        <v>30849111</v>
      </c>
      <c r="P288" s="5">
        <v>4344150</v>
      </c>
      <c r="Q288" s="5">
        <v>825389</v>
      </c>
      <c r="R288" s="5">
        <v>5169539</v>
      </c>
    </row>
    <row r="289" spans="1:18" x14ac:dyDescent="0.25">
      <c r="A289" t="s">
        <v>71</v>
      </c>
      <c r="B289" t="s">
        <v>502</v>
      </c>
      <c r="C289">
        <v>61704000</v>
      </c>
      <c r="D289">
        <v>2217</v>
      </c>
      <c r="E289">
        <v>4100226099</v>
      </c>
      <c r="F289" t="s">
        <v>935</v>
      </c>
      <c r="G289" s="1">
        <v>45234</v>
      </c>
      <c r="H289">
        <v>5412071</v>
      </c>
      <c r="I289">
        <v>205</v>
      </c>
      <c r="J289" t="s">
        <v>240</v>
      </c>
      <c r="K289" t="str">
        <f>IFERROR(IF(AND(VLOOKUP($C289,Hes!$A:$B, 1, FALSE), $M289&lt;&gt;" "), "Ingresada", "Falta Ingresar"), " ")</f>
        <v xml:space="preserve"> </v>
      </c>
      <c r="L289" s="4" t="str">
        <f>IFERROR(VLOOKUP($C289,Observaciones!$A:$B,2,FALSE)," ")</f>
        <v>ESPERAR INFORME VERONICA CODELCO 10 GD X FACT UNA OC</v>
      </c>
      <c r="M289" t="s">
        <v>681</v>
      </c>
      <c r="O289" s="5">
        <v>30845934</v>
      </c>
      <c r="P289" s="5">
        <v>612500</v>
      </c>
      <c r="Q289" s="5">
        <v>116375</v>
      </c>
      <c r="R289" s="5">
        <v>728875</v>
      </c>
    </row>
    <row r="290" spans="1:18" x14ac:dyDescent="0.25">
      <c r="A290" t="s">
        <v>71</v>
      </c>
      <c r="B290" t="s">
        <v>502</v>
      </c>
      <c r="C290">
        <v>61704000</v>
      </c>
      <c r="D290">
        <v>357</v>
      </c>
      <c r="E290">
        <v>4100226129</v>
      </c>
      <c r="F290" t="s">
        <v>935</v>
      </c>
      <c r="G290" s="1">
        <v>45234</v>
      </c>
      <c r="H290">
        <v>5412072</v>
      </c>
      <c r="I290">
        <v>205</v>
      </c>
      <c r="J290" t="s">
        <v>240</v>
      </c>
      <c r="K290" t="str">
        <f>IFERROR(IF(AND(VLOOKUP($C290,Hes!$A:$B, 1, FALSE), $M290&lt;&gt;" "), "Ingresada", "Falta Ingresar"), " ")</f>
        <v xml:space="preserve"> </v>
      </c>
      <c r="L290" s="4" t="str">
        <f>IFERROR(VLOOKUP($C290,Observaciones!$A:$B,2,FALSE)," ")</f>
        <v>ESPERAR INFORME VERONICA CODELCO 10 GD X FACT UNA OC</v>
      </c>
      <c r="M290" t="s">
        <v>681</v>
      </c>
      <c r="O290" s="5">
        <v>30846794</v>
      </c>
      <c r="P290" s="5">
        <v>166215</v>
      </c>
      <c r="Q290" s="5">
        <v>31581</v>
      </c>
      <c r="R290" s="5">
        <v>197796</v>
      </c>
    </row>
    <row r="291" spans="1:18" x14ac:dyDescent="0.25">
      <c r="A291" t="s">
        <v>71</v>
      </c>
      <c r="B291" t="s">
        <v>502</v>
      </c>
      <c r="C291">
        <v>61704000</v>
      </c>
      <c r="D291">
        <v>637</v>
      </c>
      <c r="E291">
        <v>4100226230</v>
      </c>
      <c r="F291" t="s">
        <v>935</v>
      </c>
      <c r="G291" s="1">
        <v>45234</v>
      </c>
      <c r="H291">
        <v>5412458</v>
      </c>
      <c r="I291">
        <v>205</v>
      </c>
      <c r="J291" t="s">
        <v>240</v>
      </c>
      <c r="K291" t="str">
        <f>IFERROR(IF(AND(VLOOKUP($C291,Hes!$A:$B, 1, FALSE), $M291&lt;&gt;" "), "Ingresada", "Falta Ingresar"), " ")</f>
        <v xml:space="preserve"> </v>
      </c>
      <c r="L291" s="4" t="str">
        <f>IFERROR(VLOOKUP($C291,Observaciones!$A:$B,2,FALSE)," ")</f>
        <v>ESPERAR INFORME VERONICA CODELCO 10 GD X FACT UNA OC</v>
      </c>
      <c r="M291" t="s">
        <v>681</v>
      </c>
      <c r="O291" s="5">
        <v>30851588</v>
      </c>
      <c r="P291" s="5">
        <v>381666</v>
      </c>
      <c r="Q291" s="5">
        <v>72517</v>
      </c>
      <c r="R291" s="5">
        <v>454183</v>
      </c>
    </row>
    <row r="292" spans="1:18" x14ac:dyDescent="0.25">
      <c r="A292" t="s">
        <v>71</v>
      </c>
      <c r="B292" t="s">
        <v>502</v>
      </c>
      <c r="C292">
        <v>61704000</v>
      </c>
      <c r="D292">
        <v>588</v>
      </c>
      <c r="E292">
        <v>4100226158</v>
      </c>
      <c r="F292" t="s">
        <v>935</v>
      </c>
      <c r="G292" s="1">
        <v>45234</v>
      </c>
      <c r="H292">
        <v>5412459</v>
      </c>
      <c r="I292">
        <v>205</v>
      </c>
      <c r="J292" t="s">
        <v>240</v>
      </c>
      <c r="K292" t="str">
        <f>IFERROR(IF(AND(VLOOKUP($C292,Hes!$A:$B, 1, FALSE), $M292&lt;&gt;" "), "Ingresada", "Falta Ingresar"), " ")</f>
        <v xml:space="preserve"> </v>
      </c>
      <c r="L292" s="4" t="str">
        <f>IFERROR(VLOOKUP($C292,Observaciones!$A:$B,2,FALSE)," ")</f>
        <v>ESPERAR INFORME VERONICA CODELCO 10 GD X FACT UNA OC</v>
      </c>
      <c r="M292" t="s">
        <v>681</v>
      </c>
      <c r="O292" s="5">
        <v>30849167</v>
      </c>
      <c r="P292" s="5">
        <v>34758</v>
      </c>
      <c r="Q292" s="5">
        <v>6604</v>
      </c>
      <c r="R292" s="5">
        <v>46658</v>
      </c>
    </row>
    <row r="293" spans="1:18" x14ac:dyDescent="0.25">
      <c r="A293" t="s">
        <v>71</v>
      </c>
      <c r="B293" t="s">
        <v>502</v>
      </c>
      <c r="C293">
        <v>61704000</v>
      </c>
      <c r="D293">
        <v>1981</v>
      </c>
      <c r="E293">
        <v>4100226167</v>
      </c>
      <c r="F293" t="s">
        <v>935</v>
      </c>
      <c r="G293" s="1">
        <v>45236</v>
      </c>
      <c r="H293">
        <v>5412460</v>
      </c>
      <c r="I293">
        <v>205</v>
      </c>
      <c r="J293" t="s">
        <v>240</v>
      </c>
      <c r="K293" t="str">
        <f>IFERROR(IF(AND(VLOOKUP($C293,Hes!$A:$B, 1, FALSE), $M293&lt;&gt;" "), "Ingresada", "Falta Ingresar"), " ")</f>
        <v xml:space="preserve"> </v>
      </c>
      <c r="L293" s="4" t="str">
        <f>IFERROR(VLOOKUP($C293,Observaciones!$A:$B,2,FALSE)," ")</f>
        <v>ESPERAR INFORME VERONICA CODELCO 10 GD X FACT UNA OC</v>
      </c>
      <c r="M293" t="s">
        <v>681</v>
      </c>
      <c r="O293" s="5">
        <v>30849232</v>
      </c>
      <c r="P293" s="5">
        <v>140660</v>
      </c>
      <c r="Q293" s="5">
        <v>26725</v>
      </c>
      <c r="R293" s="5">
        <v>167385</v>
      </c>
    </row>
    <row r="294" spans="1:18" x14ac:dyDescent="0.25">
      <c r="A294" t="s">
        <v>71</v>
      </c>
      <c r="B294" t="s">
        <v>502</v>
      </c>
      <c r="C294">
        <v>61704000</v>
      </c>
      <c r="D294">
        <v>2120</v>
      </c>
      <c r="E294">
        <v>4100226235</v>
      </c>
      <c r="F294" t="s">
        <v>935</v>
      </c>
      <c r="G294" s="1">
        <v>45236</v>
      </c>
      <c r="H294">
        <v>5412461</v>
      </c>
      <c r="I294">
        <v>205</v>
      </c>
      <c r="J294" t="s">
        <v>240</v>
      </c>
      <c r="K294" t="str">
        <f>IFERROR(IF(AND(VLOOKUP($C294,Hes!$A:$B, 1, FALSE), $M294&lt;&gt;" "), "Ingresada", "Falta Ingresar"), " ")</f>
        <v xml:space="preserve"> </v>
      </c>
      <c r="L294" s="4" t="str">
        <f>IFERROR(VLOOKUP($C294,Observaciones!$A:$B,2,FALSE)," ")</f>
        <v>ESPERAR INFORME VERONICA CODELCO 10 GD X FACT UNA OC</v>
      </c>
      <c r="M294" t="s">
        <v>681</v>
      </c>
      <c r="O294" s="5">
        <v>30848375</v>
      </c>
      <c r="P294" s="5">
        <v>232228</v>
      </c>
      <c r="Q294" s="5">
        <v>44123</v>
      </c>
      <c r="R294" s="5">
        <v>276351</v>
      </c>
    </row>
    <row r="295" spans="1:18" x14ac:dyDescent="0.25">
      <c r="A295" t="s">
        <v>71</v>
      </c>
      <c r="B295" t="s">
        <v>502</v>
      </c>
      <c r="C295">
        <v>61704000</v>
      </c>
      <c r="D295">
        <v>11</v>
      </c>
      <c r="E295">
        <v>4100226176</v>
      </c>
      <c r="F295" t="s">
        <v>935</v>
      </c>
      <c r="G295" s="1">
        <v>45236</v>
      </c>
      <c r="H295">
        <v>5412462</v>
      </c>
      <c r="I295">
        <v>205</v>
      </c>
      <c r="J295" t="s">
        <v>240</v>
      </c>
      <c r="K295" t="str">
        <f>IFERROR(IF(AND(VLOOKUP($C295,Hes!$A:$B, 1, FALSE), $M295&lt;&gt;" "), "Ingresada", "Falta Ingresar"), " ")</f>
        <v xml:space="preserve"> </v>
      </c>
      <c r="L295" s="4" t="str">
        <f>IFERROR(VLOOKUP($C295,Observaciones!$A:$B,2,FALSE)," ")</f>
        <v>ESPERAR INFORME VERONICA CODELCO 10 GD X FACT UNA OC</v>
      </c>
      <c r="M295" t="s">
        <v>681</v>
      </c>
      <c r="O295" s="5">
        <v>30849686</v>
      </c>
      <c r="P295" s="5">
        <v>76762</v>
      </c>
      <c r="Q295" s="5">
        <v>14585</v>
      </c>
      <c r="R295" s="5">
        <v>91347</v>
      </c>
    </row>
    <row r="296" spans="1:18" x14ac:dyDescent="0.25">
      <c r="A296" t="s">
        <v>71</v>
      </c>
      <c r="B296" t="s">
        <v>502</v>
      </c>
      <c r="C296">
        <v>61704000</v>
      </c>
      <c r="D296">
        <v>2182</v>
      </c>
      <c r="E296">
        <v>4100226174</v>
      </c>
      <c r="F296" t="s">
        <v>935</v>
      </c>
      <c r="G296" s="1">
        <v>45236</v>
      </c>
      <c r="H296">
        <v>5412514</v>
      </c>
      <c r="I296">
        <v>205</v>
      </c>
      <c r="J296" t="s">
        <v>240</v>
      </c>
      <c r="K296" t="str">
        <f>IFERROR(IF(AND(VLOOKUP($C296,Hes!$A:$B, 1, FALSE), $M296&lt;&gt;" "), "Ingresada", "Falta Ingresar"), " ")</f>
        <v xml:space="preserve"> </v>
      </c>
      <c r="L296" s="4" t="str">
        <f>IFERROR(VLOOKUP($C296,Observaciones!$A:$B,2,FALSE)," ")</f>
        <v>ESPERAR INFORME VERONICA CODELCO 10 GD X FACT UNA OC</v>
      </c>
      <c r="M296" t="s">
        <v>681</v>
      </c>
      <c r="O296" s="5">
        <v>30849476</v>
      </c>
      <c r="P296" s="5">
        <v>246647</v>
      </c>
      <c r="Q296" s="5">
        <v>46863</v>
      </c>
      <c r="R296" s="5">
        <v>293510</v>
      </c>
    </row>
    <row r="297" spans="1:18" x14ac:dyDescent="0.25">
      <c r="A297" t="s">
        <v>71</v>
      </c>
      <c r="B297" t="s">
        <v>502</v>
      </c>
      <c r="C297">
        <v>61704000</v>
      </c>
      <c r="D297">
        <v>2189</v>
      </c>
      <c r="E297">
        <v>4100226209</v>
      </c>
      <c r="F297" t="s">
        <v>935</v>
      </c>
      <c r="G297" s="1">
        <v>45236</v>
      </c>
      <c r="H297">
        <v>5412515</v>
      </c>
      <c r="I297">
        <v>205</v>
      </c>
      <c r="J297" t="s">
        <v>240</v>
      </c>
      <c r="K297" t="str">
        <f>IFERROR(IF(AND(VLOOKUP($C297,Hes!$A:$B, 1, FALSE), $M297&lt;&gt;" "), "Ingresada", "Falta Ingresar"), " ")</f>
        <v xml:space="preserve"> </v>
      </c>
      <c r="L297" s="4" t="str">
        <f>IFERROR(VLOOKUP($C297,Observaciones!$A:$B,2,FALSE)," ")</f>
        <v>ESPERAR INFORME VERONICA CODELCO 10 GD X FACT UNA OC</v>
      </c>
      <c r="M297" t="s">
        <v>681</v>
      </c>
      <c r="O297" s="5">
        <v>30850142</v>
      </c>
      <c r="P297" s="5">
        <v>43800</v>
      </c>
      <c r="Q297" s="5">
        <v>8322</v>
      </c>
      <c r="R297" s="5">
        <v>52122</v>
      </c>
    </row>
    <row r="298" spans="1:18" x14ac:dyDescent="0.25">
      <c r="A298" t="s">
        <v>71</v>
      </c>
      <c r="B298" t="s">
        <v>502</v>
      </c>
      <c r="C298">
        <v>61704000</v>
      </c>
      <c r="D298">
        <v>2217</v>
      </c>
      <c r="E298">
        <v>4100226188</v>
      </c>
      <c r="F298" t="s">
        <v>935</v>
      </c>
      <c r="G298" s="1">
        <v>45234</v>
      </c>
      <c r="H298">
        <v>5412516</v>
      </c>
      <c r="I298">
        <v>205</v>
      </c>
      <c r="J298" t="s">
        <v>240</v>
      </c>
      <c r="K298" t="str">
        <f>IFERROR(IF(AND(VLOOKUP($C298,Hes!$A:$B, 1, FALSE), $M298&lt;&gt;" "), "Ingresada", "Falta Ingresar"), " ")</f>
        <v xml:space="preserve"> </v>
      </c>
      <c r="L298" s="4" t="str">
        <f>IFERROR(VLOOKUP($C298,Observaciones!$A:$B,2,FALSE)," ")</f>
        <v>ESPERAR INFORME VERONICA CODELCO 10 GD X FACT UNA OC</v>
      </c>
      <c r="M298" t="s">
        <v>681</v>
      </c>
      <c r="O298" s="5">
        <v>30850491</v>
      </c>
      <c r="P298" s="5">
        <v>367500</v>
      </c>
      <c r="Q298" s="5">
        <v>69825</v>
      </c>
      <c r="R298" s="5">
        <v>437325</v>
      </c>
    </row>
    <row r="299" spans="1:18" x14ac:dyDescent="0.25">
      <c r="A299" t="s">
        <v>71</v>
      </c>
      <c r="B299" t="s">
        <v>502</v>
      </c>
      <c r="C299">
        <v>61704000</v>
      </c>
      <c r="D299">
        <v>2202</v>
      </c>
      <c r="E299">
        <v>4100226159</v>
      </c>
      <c r="F299" t="s">
        <v>935</v>
      </c>
      <c r="G299" s="1">
        <v>45236</v>
      </c>
      <c r="H299">
        <v>5412654</v>
      </c>
      <c r="I299">
        <v>205</v>
      </c>
      <c r="J299" t="s">
        <v>240</v>
      </c>
      <c r="K299" t="str">
        <f>IFERROR(IF(AND(VLOOKUP($C299,Hes!$A:$B, 1, FALSE), $M299&lt;&gt;" "), "Ingresada", "Falta Ingresar"), " ")</f>
        <v xml:space="preserve"> </v>
      </c>
      <c r="L299" s="4" t="str">
        <f>IFERROR(VLOOKUP($C299,Observaciones!$A:$B,2,FALSE)," ")</f>
        <v>ESPERAR INFORME VERONICA CODELCO 10 GD X FACT UNA OC</v>
      </c>
      <c r="M299" t="s">
        <v>681</v>
      </c>
      <c r="O299" s="5">
        <v>30849185</v>
      </c>
      <c r="P299" s="5">
        <v>108432</v>
      </c>
      <c r="Q299" s="5">
        <v>20602</v>
      </c>
      <c r="R299" s="5">
        <v>129034</v>
      </c>
    </row>
    <row r="300" spans="1:18" x14ac:dyDescent="0.25">
      <c r="A300" t="s">
        <v>71</v>
      </c>
      <c r="B300" t="s">
        <v>502</v>
      </c>
      <c r="C300">
        <v>61704000</v>
      </c>
      <c r="D300">
        <v>2202</v>
      </c>
      <c r="E300">
        <v>4100226159</v>
      </c>
      <c r="F300" t="s">
        <v>935</v>
      </c>
      <c r="G300" s="1">
        <v>45236</v>
      </c>
      <c r="H300">
        <v>5412659</v>
      </c>
      <c r="I300">
        <v>205</v>
      </c>
      <c r="J300" t="s">
        <v>240</v>
      </c>
      <c r="K300" t="str">
        <f>IFERROR(IF(AND(VLOOKUP($C300,Hes!$A:$B, 1, FALSE), $M300&lt;&gt;" "), "Ingresada", "Falta Ingresar"), " ")</f>
        <v xml:space="preserve"> </v>
      </c>
      <c r="L300" s="4" t="str">
        <f>IFERROR(VLOOKUP($C300,Observaciones!$A:$B,2,FALSE)," ")</f>
        <v>ESPERAR INFORME VERONICA CODELCO 10 GD X FACT UNA OC</v>
      </c>
      <c r="M300" t="s">
        <v>681</v>
      </c>
      <c r="O300" s="5">
        <v>30849192</v>
      </c>
      <c r="P300" s="5">
        <v>108432</v>
      </c>
      <c r="Q300" s="5">
        <v>20602</v>
      </c>
      <c r="R300" s="5">
        <v>129034</v>
      </c>
    </row>
    <row r="301" spans="1:18" x14ac:dyDescent="0.25">
      <c r="A301" t="s">
        <v>71</v>
      </c>
      <c r="B301" t="s">
        <v>502</v>
      </c>
      <c r="C301">
        <v>61704000</v>
      </c>
      <c r="D301">
        <v>2182</v>
      </c>
      <c r="E301">
        <v>4100226171</v>
      </c>
      <c r="F301" t="s">
        <v>935</v>
      </c>
      <c r="G301" s="1">
        <v>45236</v>
      </c>
      <c r="H301">
        <v>5412660</v>
      </c>
      <c r="I301">
        <v>205</v>
      </c>
      <c r="J301" t="s">
        <v>240</v>
      </c>
      <c r="K301" t="str">
        <f>IFERROR(IF(AND(VLOOKUP($C301,Hes!$A:$B, 1, FALSE), $M301&lt;&gt;" "), "Ingresada", "Falta Ingresar"), " ")</f>
        <v xml:space="preserve"> </v>
      </c>
      <c r="L301" s="4" t="str">
        <f>IFERROR(VLOOKUP($C301,Observaciones!$A:$B,2,FALSE)," ")</f>
        <v>ESPERAR INFORME VERONICA CODELCO 10 GD X FACT UNA OC</v>
      </c>
      <c r="M301" t="s">
        <v>681</v>
      </c>
      <c r="O301" s="5">
        <v>30849215</v>
      </c>
      <c r="P301" s="5">
        <v>110664</v>
      </c>
      <c r="Q301" s="5">
        <v>21026</v>
      </c>
      <c r="R301" s="5">
        <v>131690</v>
      </c>
    </row>
    <row r="302" spans="1:18" x14ac:dyDescent="0.25">
      <c r="A302" t="s">
        <v>71</v>
      </c>
      <c r="B302" t="s">
        <v>502</v>
      </c>
      <c r="C302">
        <v>61704000</v>
      </c>
      <c r="D302">
        <v>2252</v>
      </c>
      <c r="E302">
        <v>4100226207</v>
      </c>
      <c r="F302" t="s">
        <v>935</v>
      </c>
      <c r="G302" s="1">
        <v>45236</v>
      </c>
      <c r="H302">
        <v>5412661</v>
      </c>
      <c r="I302">
        <v>205</v>
      </c>
      <c r="J302" t="s">
        <v>240</v>
      </c>
      <c r="K302" t="str">
        <f>IFERROR(IF(AND(VLOOKUP($C302,Hes!$A:$B, 1, FALSE), $M302&lt;&gt;" "), "Ingresada", "Falta Ingresar"), " ")</f>
        <v xml:space="preserve"> </v>
      </c>
      <c r="L302" s="4" t="str">
        <f>IFERROR(VLOOKUP($C302,Observaciones!$A:$B,2,FALSE)," ")</f>
        <v>ESPERAR INFORME VERONICA CODELCO 10 GD X FACT UNA OC</v>
      </c>
      <c r="M302" t="s">
        <v>681</v>
      </c>
      <c r="O302" s="5">
        <v>30851101</v>
      </c>
      <c r="P302" s="5">
        <v>50174</v>
      </c>
      <c r="Q302" s="5">
        <v>9533</v>
      </c>
      <c r="R302" s="5">
        <v>59707</v>
      </c>
    </row>
    <row r="303" spans="1:18" x14ac:dyDescent="0.25">
      <c r="A303" t="s">
        <v>71</v>
      </c>
      <c r="B303" t="s">
        <v>502</v>
      </c>
      <c r="C303">
        <v>61704000</v>
      </c>
      <c r="D303">
        <v>1708</v>
      </c>
      <c r="E303">
        <v>4100226186</v>
      </c>
      <c r="F303" t="s">
        <v>935</v>
      </c>
      <c r="G303" s="1">
        <v>45234</v>
      </c>
      <c r="H303">
        <v>5412733</v>
      </c>
      <c r="I303">
        <v>205</v>
      </c>
      <c r="J303" t="s">
        <v>240</v>
      </c>
      <c r="K303" t="str">
        <f>IFERROR(IF(AND(VLOOKUP($C303,Hes!$A:$B, 1, FALSE), $M303&lt;&gt;" "), "Ingresada", "Falta Ingresar"), " ")</f>
        <v xml:space="preserve"> </v>
      </c>
      <c r="L303" s="4" t="str">
        <f>IFERROR(VLOOKUP($C303,Observaciones!$A:$B,2,FALSE)," ")</f>
        <v>ESPERAR INFORME VERONICA CODELCO 10 GD X FACT UNA OC</v>
      </c>
      <c r="M303" t="s">
        <v>681</v>
      </c>
      <c r="O303" s="5">
        <v>30850267</v>
      </c>
      <c r="P303" s="5">
        <v>78241</v>
      </c>
      <c r="Q303" s="5">
        <v>14866</v>
      </c>
      <c r="R303" s="5">
        <v>93107</v>
      </c>
    </row>
    <row r="304" spans="1:18" x14ac:dyDescent="0.25">
      <c r="A304" t="s">
        <v>71</v>
      </c>
      <c r="B304" t="s">
        <v>502</v>
      </c>
      <c r="C304">
        <v>61704000</v>
      </c>
      <c r="D304">
        <v>2252</v>
      </c>
      <c r="E304">
        <v>4100226240</v>
      </c>
      <c r="F304" t="s">
        <v>935</v>
      </c>
      <c r="G304" s="1">
        <v>45236</v>
      </c>
      <c r="H304">
        <v>5412734</v>
      </c>
      <c r="I304">
        <v>205</v>
      </c>
      <c r="J304" t="s">
        <v>240</v>
      </c>
      <c r="K304" t="str">
        <f>IFERROR(IF(AND(VLOOKUP($C304,Hes!$A:$B, 1, FALSE), $M304&lt;&gt;" "), "Ingresada", "Falta Ingresar"), " ")</f>
        <v xml:space="preserve"> </v>
      </c>
      <c r="L304" s="4" t="str">
        <f>IFERROR(VLOOKUP($C304,Observaciones!$A:$B,2,FALSE)," ")</f>
        <v>ESPERAR INFORME VERONICA CODELCO 10 GD X FACT UNA OC</v>
      </c>
      <c r="M304" t="s">
        <v>681</v>
      </c>
      <c r="O304" s="5">
        <v>30851657</v>
      </c>
      <c r="P304" s="5">
        <v>878</v>
      </c>
      <c r="Q304" s="5">
        <v>167</v>
      </c>
      <c r="R304" s="5">
        <v>1045</v>
      </c>
    </row>
    <row r="305" spans="1:18" x14ac:dyDescent="0.25">
      <c r="A305" t="s">
        <v>71</v>
      </c>
      <c r="B305" t="s">
        <v>502</v>
      </c>
      <c r="C305">
        <v>61704000</v>
      </c>
      <c r="D305">
        <v>1967</v>
      </c>
      <c r="E305">
        <v>4100226196</v>
      </c>
      <c r="F305" t="s">
        <v>935</v>
      </c>
      <c r="G305" s="1">
        <v>45236</v>
      </c>
      <c r="H305">
        <v>5412735</v>
      </c>
      <c r="I305">
        <v>205</v>
      </c>
      <c r="J305" t="s">
        <v>240</v>
      </c>
      <c r="K305" t="str">
        <f>IFERROR(IF(AND(VLOOKUP($C305,Hes!$A:$B, 1, FALSE), $M305&lt;&gt;" "), "Ingresada", "Falta Ingresar"), " ")</f>
        <v xml:space="preserve"> </v>
      </c>
      <c r="L305" s="4" t="str">
        <f>IFERROR(VLOOKUP($C305,Observaciones!$A:$B,2,FALSE)," ")</f>
        <v>ESPERAR INFORME VERONICA CODELCO 10 GD X FACT UNA OC</v>
      </c>
      <c r="M305" t="s">
        <v>681</v>
      </c>
      <c r="O305" s="5">
        <v>30850881</v>
      </c>
      <c r="P305" s="5">
        <v>76882</v>
      </c>
      <c r="Q305" s="5">
        <v>14608</v>
      </c>
      <c r="R305" s="5">
        <v>91490</v>
      </c>
    </row>
    <row r="306" spans="1:18" x14ac:dyDescent="0.25">
      <c r="A306" t="s">
        <v>71</v>
      </c>
      <c r="B306" t="s">
        <v>502</v>
      </c>
      <c r="C306">
        <v>61704000</v>
      </c>
      <c r="D306">
        <v>2252</v>
      </c>
      <c r="E306">
        <v>4100226206</v>
      </c>
      <c r="F306" t="s">
        <v>935</v>
      </c>
      <c r="G306" s="1">
        <v>45236</v>
      </c>
      <c r="H306">
        <v>5412736</v>
      </c>
      <c r="I306">
        <v>205</v>
      </c>
      <c r="J306" t="s">
        <v>240</v>
      </c>
      <c r="K306" t="str">
        <f>IFERROR(IF(AND(VLOOKUP($C306,Hes!$A:$B, 1, FALSE), $M306&lt;&gt;" "), "Ingresada", "Falta Ingresar"), " ")</f>
        <v xml:space="preserve"> </v>
      </c>
      <c r="L306" s="4" t="str">
        <f>IFERROR(VLOOKUP($C306,Observaciones!$A:$B,2,FALSE)," ")</f>
        <v>ESPERAR INFORME VERONICA CODELCO 10 GD X FACT UNA OC</v>
      </c>
      <c r="M306" t="s">
        <v>681</v>
      </c>
      <c r="O306" s="5">
        <v>30851038</v>
      </c>
      <c r="P306" s="5">
        <v>9058</v>
      </c>
      <c r="Q306" s="5">
        <v>1721</v>
      </c>
      <c r="R306" s="5">
        <v>10779</v>
      </c>
    </row>
    <row r="307" spans="1:18" x14ac:dyDescent="0.25">
      <c r="A307" t="s">
        <v>71</v>
      </c>
      <c r="B307" t="s">
        <v>502</v>
      </c>
      <c r="C307">
        <v>61704000</v>
      </c>
      <c r="D307">
        <v>1967</v>
      </c>
      <c r="E307">
        <v>4100226198</v>
      </c>
      <c r="F307" t="s">
        <v>935</v>
      </c>
      <c r="G307" s="1">
        <v>45236</v>
      </c>
      <c r="H307">
        <v>5412737</v>
      </c>
      <c r="I307">
        <v>205</v>
      </c>
      <c r="J307" t="s">
        <v>240</v>
      </c>
      <c r="K307" t="str">
        <f>IFERROR(IF(AND(VLOOKUP($C307,Hes!$A:$B, 1, FALSE), $M307&lt;&gt;" "), "Ingresada", "Falta Ingresar"), " ")</f>
        <v xml:space="preserve"> </v>
      </c>
      <c r="L307" s="4" t="str">
        <f>IFERROR(VLOOKUP($C307,Observaciones!$A:$B,2,FALSE)," ")</f>
        <v>ESPERAR INFORME VERONICA CODELCO 10 GD X FACT UNA OC</v>
      </c>
      <c r="M307" t="s">
        <v>681</v>
      </c>
      <c r="O307" s="5">
        <v>30850654</v>
      </c>
      <c r="P307" s="5">
        <v>154949</v>
      </c>
      <c r="Q307" s="5">
        <v>29440</v>
      </c>
      <c r="R307" s="5">
        <v>184389</v>
      </c>
    </row>
    <row r="308" spans="1:18" x14ac:dyDescent="0.25">
      <c r="A308" t="s">
        <v>71</v>
      </c>
      <c r="B308" t="s">
        <v>502</v>
      </c>
      <c r="C308">
        <v>61704000</v>
      </c>
      <c r="D308">
        <v>214</v>
      </c>
      <c r="E308">
        <v>4100226172</v>
      </c>
      <c r="F308" t="s">
        <v>935</v>
      </c>
      <c r="G308" s="1">
        <v>45236</v>
      </c>
      <c r="H308">
        <v>5412738</v>
      </c>
      <c r="I308">
        <v>205</v>
      </c>
      <c r="J308" t="s">
        <v>240</v>
      </c>
      <c r="K308" t="str">
        <f>IFERROR(IF(AND(VLOOKUP($C308,Hes!$A:$B, 1, FALSE), $M308&lt;&gt;" "), "Ingresada", "Falta Ingresar"), " ")</f>
        <v xml:space="preserve"> </v>
      </c>
      <c r="L308" s="4" t="str">
        <f>IFERROR(VLOOKUP($C308,Observaciones!$A:$B,2,FALSE)," ")</f>
        <v>ESPERAR INFORME VERONICA CODELCO 10 GD X FACT UNA OC</v>
      </c>
      <c r="M308" t="s">
        <v>681</v>
      </c>
      <c r="O308" s="5">
        <v>30849349</v>
      </c>
      <c r="P308" s="5">
        <v>780772</v>
      </c>
      <c r="Q308" s="5">
        <v>148347</v>
      </c>
      <c r="R308" s="5">
        <v>929119</v>
      </c>
    </row>
    <row r="309" spans="1:18" x14ac:dyDescent="0.25">
      <c r="A309" t="s">
        <v>71</v>
      </c>
      <c r="B309" t="s">
        <v>502</v>
      </c>
      <c r="C309">
        <v>61704000</v>
      </c>
      <c r="D309">
        <v>105</v>
      </c>
      <c r="E309">
        <v>4100226248</v>
      </c>
      <c r="F309" t="s">
        <v>935</v>
      </c>
      <c r="G309" s="1">
        <v>45236</v>
      </c>
      <c r="H309">
        <v>5412740</v>
      </c>
      <c r="I309">
        <v>205</v>
      </c>
      <c r="J309" t="s">
        <v>240</v>
      </c>
      <c r="K309" t="str">
        <f>IFERROR(IF(AND(VLOOKUP($C309,Hes!$A:$B, 1, FALSE), $M309&lt;&gt;" "), "Ingresada", "Falta Ingresar"), " ")</f>
        <v xml:space="preserve"> </v>
      </c>
      <c r="L309" s="4" t="str">
        <f>IFERROR(VLOOKUP($C309,Observaciones!$A:$B,2,FALSE)," ")</f>
        <v>ESPERAR INFORME VERONICA CODELCO 10 GD X FACT UNA OC</v>
      </c>
      <c r="M309" t="s">
        <v>681</v>
      </c>
      <c r="O309" s="5">
        <v>30852973</v>
      </c>
      <c r="P309" s="5">
        <v>115692</v>
      </c>
      <c r="Q309" s="5">
        <v>21981</v>
      </c>
      <c r="R309" s="5">
        <v>137673</v>
      </c>
    </row>
    <row r="310" spans="1:18" x14ac:dyDescent="0.25">
      <c r="A310" t="s">
        <v>71</v>
      </c>
      <c r="B310" t="s">
        <v>502</v>
      </c>
      <c r="C310">
        <v>61704000</v>
      </c>
      <c r="D310">
        <v>1265</v>
      </c>
      <c r="E310">
        <v>4100226214</v>
      </c>
      <c r="F310" t="s">
        <v>935</v>
      </c>
      <c r="G310" s="1">
        <v>45234</v>
      </c>
      <c r="H310">
        <v>5412779</v>
      </c>
      <c r="I310">
        <v>205</v>
      </c>
      <c r="J310" t="s">
        <v>240</v>
      </c>
      <c r="K310" t="str">
        <f>IFERROR(IF(AND(VLOOKUP($C310,Hes!$A:$B, 1, FALSE), $M310&lt;&gt;" "), "Ingresada", "Falta Ingresar"), " ")</f>
        <v xml:space="preserve"> </v>
      </c>
      <c r="L310" s="4" t="str">
        <f>IFERROR(VLOOKUP($C310,Observaciones!$A:$B,2,FALSE)," ")</f>
        <v>ESPERAR INFORME VERONICA CODELCO 10 GD X FACT UNA OC</v>
      </c>
      <c r="M310" t="s">
        <v>681</v>
      </c>
      <c r="O310" s="5">
        <v>30852702</v>
      </c>
      <c r="P310" s="5">
        <v>1707293</v>
      </c>
      <c r="Q310" s="5">
        <v>324386</v>
      </c>
      <c r="R310" s="5">
        <v>2043103</v>
      </c>
    </row>
    <row r="311" spans="1:18" x14ac:dyDescent="0.25">
      <c r="A311" t="s">
        <v>71</v>
      </c>
      <c r="B311" t="s">
        <v>502</v>
      </c>
      <c r="C311">
        <v>61704000</v>
      </c>
      <c r="D311">
        <v>588</v>
      </c>
      <c r="E311">
        <v>4100226145</v>
      </c>
      <c r="F311" t="s">
        <v>935</v>
      </c>
      <c r="G311" s="1">
        <v>45234</v>
      </c>
      <c r="H311">
        <v>5412780</v>
      </c>
      <c r="I311">
        <v>205</v>
      </c>
      <c r="J311" t="s">
        <v>240</v>
      </c>
      <c r="K311" t="str">
        <f>IFERROR(IF(AND(VLOOKUP($C311,Hes!$A:$B, 1, FALSE), $M311&lt;&gt;" "), "Ingresada", "Falta Ingresar"), " ")</f>
        <v xml:space="preserve"> </v>
      </c>
      <c r="L311" s="4" t="str">
        <f>IFERROR(VLOOKUP($C311,Observaciones!$A:$B,2,FALSE)," ")</f>
        <v>ESPERAR INFORME VERONICA CODELCO 10 GD X FACT UNA OC</v>
      </c>
      <c r="M311" t="s">
        <v>681</v>
      </c>
      <c r="O311" s="5">
        <v>30848119</v>
      </c>
      <c r="P311" s="5">
        <v>532752</v>
      </c>
      <c r="Q311" s="5">
        <v>101223</v>
      </c>
      <c r="R311" s="5">
        <v>633975</v>
      </c>
    </row>
    <row r="312" spans="1:18" x14ac:dyDescent="0.25">
      <c r="A312" t="s">
        <v>71</v>
      </c>
      <c r="B312" t="s">
        <v>502</v>
      </c>
      <c r="C312">
        <v>61704000</v>
      </c>
      <c r="D312">
        <v>457</v>
      </c>
      <c r="E312">
        <v>4100226218</v>
      </c>
      <c r="F312" t="s">
        <v>935</v>
      </c>
      <c r="G312" s="1">
        <v>45234</v>
      </c>
      <c r="H312">
        <v>5412781</v>
      </c>
      <c r="I312">
        <v>205</v>
      </c>
      <c r="J312" t="s">
        <v>240</v>
      </c>
      <c r="K312" t="str">
        <f>IFERROR(IF(AND(VLOOKUP($C312,Hes!$A:$B, 1, FALSE), $M312&lt;&gt;" "), "Ingresada", "Falta Ingresar"), " ")</f>
        <v xml:space="preserve"> </v>
      </c>
      <c r="L312" s="4" t="str">
        <f>IFERROR(VLOOKUP($C312,Observaciones!$A:$B,2,FALSE)," ")</f>
        <v>ESPERAR INFORME VERONICA CODELCO 10 GD X FACT UNA OC</v>
      </c>
      <c r="M312" t="s">
        <v>681</v>
      </c>
      <c r="O312" s="5">
        <v>30852615</v>
      </c>
      <c r="P312" s="5">
        <v>58945</v>
      </c>
      <c r="Q312" s="5">
        <v>11200</v>
      </c>
      <c r="R312" s="5">
        <v>70145</v>
      </c>
    </row>
    <row r="313" spans="1:18" x14ac:dyDescent="0.25">
      <c r="A313" t="s">
        <v>71</v>
      </c>
      <c r="B313" t="s">
        <v>502</v>
      </c>
      <c r="C313">
        <v>61704000</v>
      </c>
      <c r="D313">
        <v>200</v>
      </c>
      <c r="E313">
        <v>4100226241</v>
      </c>
      <c r="F313" t="s">
        <v>935</v>
      </c>
      <c r="G313" s="1">
        <v>45236</v>
      </c>
      <c r="H313">
        <v>5412845</v>
      </c>
      <c r="I313">
        <v>205</v>
      </c>
      <c r="J313" t="s">
        <v>240</v>
      </c>
      <c r="K313" t="str">
        <f>IFERROR(IF(AND(VLOOKUP($C313,Hes!$A:$B, 1, FALSE), $M313&lt;&gt;" "), "Ingresada", "Falta Ingresar"), " ")</f>
        <v xml:space="preserve"> </v>
      </c>
      <c r="L313" s="4" t="str">
        <f>IFERROR(VLOOKUP($C313,Observaciones!$A:$B,2,FALSE)," ")</f>
        <v>ESPERAR INFORME VERONICA CODELCO 10 GD X FACT UNA OC</v>
      </c>
      <c r="M313" t="s">
        <v>681</v>
      </c>
      <c r="O313" s="5">
        <v>30852860</v>
      </c>
      <c r="P313" s="5">
        <v>1360952</v>
      </c>
      <c r="Q313" s="5">
        <v>258581</v>
      </c>
      <c r="R313" s="5">
        <v>1619533</v>
      </c>
    </row>
    <row r="314" spans="1:18" x14ac:dyDescent="0.25">
      <c r="A314" t="s">
        <v>71</v>
      </c>
      <c r="B314" t="s">
        <v>502</v>
      </c>
      <c r="C314">
        <v>61704000</v>
      </c>
      <c r="D314">
        <v>588</v>
      </c>
      <c r="E314">
        <v>4100226145</v>
      </c>
      <c r="F314" t="s">
        <v>935</v>
      </c>
      <c r="G314" s="1">
        <v>45236</v>
      </c>
      <c r="H314">
        <v>5413088</v>
      </c>
      <c r="I314">
        <v>205</v>
      </c>
      <c r="J314" t="s">
        <v>240</v>
      </c>
      <c r="K314" t="str">
        <f>IFERROR(IF(AND(VLOOKUP($C314,Hes!$A:$B, 1, FALSE), $M314&lt;&gt;" "), "Ingresada", "Falta Ingresar"), " ")</f>
        <v xml:space="preserve"> </v>
      </c>
      <c r="L314" s="4" t="str">
        <f>IFERROR(VLOOKUP($C314,Observaciones!$A:$B,2,FALSE)," ")</f>
        <v>ESPERAR INFORME VERONICA CODELCO 10 GD X FACT UNA OC</v>
      </c>
      <c r="M314" t="s">
        <v>681</v>
      </c>
      <c r="O314" s="5">
        <v>30847398</v>
      </c>
      <c r="P314" s="5">
        <v>387549</v>
      </c>
      <c r="Q314" s="5">
        <v>73634</v>
      </c>
      <c r="R314" s="5">
        <v>461183</v>
      </c>
    </row>
    <row r="315" spans="1:18" x14ac:dyDescent="0.25">
      <c r="A315" t="s">
        <v>71</v>
      </c>
      <c r="B315" t="s">
        <v>502</v>
      </c>
      <c r="C315">
        <v>61704000</v>
      </c>
      <c r="D315">
        <v>2120</v>
      </c>
      <c r="E315">
        <v>4100226235</v>
      </c>
      <c r="F315" t="s">
        <v>935</v>
      </c>
      <c r="G315" s="1">
        <v>45236</v>
      </c>
      <c r="H315">
        <v>5413090</v>
      </c>
      <c r="I315">
        <v>205</v>
      </c>
      <c r="J315" t="s">
        <v>240</v>
      </c>
      <c r="K315" t="str">
        <f>IFERROR(IF(AND(VLOOKUP($C315,Hes!$A:$B, 1, FALSE), $M315&lt;&gt;" "), "Ingresada", "Falta Ingresar"), " ")</f>
        <v xml:space="preserve"> </v>
      </c>
      <c r="L315" s="4" t="str">
        <f>IFERROR(VLOOKUP($C315,Observaciones!$A:$B,2,FALSE)," ")</f>
        <v>ESPERAR INFORME VERONICA CODELCO 10 GD X FACT UNA OC</v>
      </c>
      <c r="M315" t="s">
        <v>681</v>
      </c>
      <c r="O315" s="5">
        <v>30848337</v>
      </c>
      <c r="P315" s="5">
        <v>439839</v>
      </c>
      <c r="Q315" s="5">
        <v>83569</v>
      </c>
      <c r="R315" s="5">
        <v>523408</v>
      </c>
    </row>
    <row r="316" spans="1:18" x14ac:dyDescent="0.25">
      <c r="A316" t="s">
        <v>71</v>
      </c>
      <c r="B316" t="s">
        <v>502</v>
      </c>
      <c r="C316">
        <v>61704000</v>
      </c>
      <c r="D316">
        <v>356</v>
      </c>
      <c r="E316">
        <v>4100226142</v>
      </c>
      <c r="F316" t="s">
        <v>935</v>
      </c>
      <c r="G316" s="1">
        <v>45236</v>
      </c>
      <c r="H316">
        <v>5413091</v>
      </c>
      <c r="I316">
        <v>205</v>
      </c>
      <c r="J316" t="s">
        <v>240</v>
      </c>
      <c r="K316" t="str">
        <f>IFERROR(IF(AND(VLOOKUP($C316,Hes!$A:$B, 1, FALSE), $M316&lt;&gt;" "), "Ingresada", "Falta Ingresar"), " ")</f>
        <v xml:space="preserve"> </v>
      </c>
      <c r="L316" s="4" t="str">
        <f>IFERROR(VLOOKUP($C316,Observaciones!$A:$B,2,FALSE)," ")</f>
        <v>ESPERAR INFORME VERONICA CODELCO 10 GD X FACT UNA OC</v>
      </c>
      <c r="M316" t="s">
        <v>681</v>
      </c>
      <c r="O316" s="5">
        <v>30847358</v>
      </c>
      <c r="P316" s="5">
        <v>170760</v>
      </c>
      <c r="Q316" s="5">
        <v>32444</v>
      </c>
      <c r="R316" s="5">
        <v>203204</v>
      </c>
    </row>
    <row r="317" spans="1:18" x14ac:dyDescent="0.25">
      <c r="A317" t="s">
        <v>71</v>
      </c>
      <c r="B317" t="s">
        <v>502</v>
      </c>
      <c r="C317">
        <v>61704000</v>
      </c>
      <c r="D317">
        <v>1442</v>
      </c>
      <c r="E317">
        <v>4100226298</v>
      </c>
      <c r="F317" t="s">
        <v>935</v>
      </c>
      <c r="G317" s="1">
        <v>45234</v>
      </c>
      <c r="H317">
        <v>5413092</v>
      </c>
      <c r="I317">
        <v>205</v>
      </c>
      <c r="J317" t="s">
        <v>240</v>
      </c>
      <c r="K317" t="str">
        <f>IFERROR(IF(AND(VLOOKUP($C317,Hes!$A:$B, 1, FALSE), $M317&lt;&gt;" "), "Ingresada", "Falta Ingresar"), " ")</f>
        <v xml:space="preserve"> </v>
      </c>
      <c r="L317" s="4" t="str">
        <f>IFERROR(VLOOKUP($C317,Observaciones!$A:$B,2,FALSE)," ")</f>
        <v>ESPERAR INFORME VERONICA CODELCO 10 GD X FACT UNA OC</v>
      </c>
      <c r="M317" t="s">
        <v>681</v>
      </c>
      <c r="O317" s="5">
        <v>30855737</v>
      </c>
      <c r="P317" s="5">
        <v>115240</v>
      </c>
      <c r="Q317" s="5">
        <v>21896</v>
      </c>
      <c r="R317" s="5">
        <v>137136</v>
      </c>
    </row>
    <row r="318" spans="1:18" x14ac:dyDescent="0.25">
      <c r="A318" t="s">
        <v>71</v>
      </c>
      <c r="B318" t="s">
        <v>502</v>
      </c>
      <c r="C318">
        <v>61704000</v>
      </c>
      <c r="D318">
        <v>1442</v>
      </c>
      <c r="E318">
        <v>4100226284</v>
      </c>
      <c r="F318" t="s">
        <v>935</v>
      </c>
      <c r="G318" s="1">
        <v>45234</v>
      </c>
      <c r="H318">
        <v>5413093</v>
      </c>
      <c r="I318">
        <v>205</v>
      </c>
      <c r="J318" t="s">
        <v>240</v>
      </c>
      <c r="K318" t="str">
        <f>IFERROR(IF(AND(VLOOKUP($C318,Hes!$A:$B, 1, FALSE), $M318&lt;&gt;" "), "Ingresada", "Falta Ingresar"), " ")</f>
        <v xml:space="preserve"> </v>
      </c>
      <c r="L318" s="4" t="str">
        <f>IFERROR(VLOOKUP($C318,Observaciones!$A:$B,2,FALSE)," ")</f>
        <v>ESPERAR INFORME VERONICA CODELCO 10 GD X FACT UNA OC</v>
      </c>
      <c r="M318" t="s">
        <v>681</v>
      </c>
      <c r="O318" s="5">
        <v>30854149</v>
      </c>
      <c r="P318" s="5">
        <v>146160</v>
      </c>
      <c r="Q318" s="5">
        <v>27770</v>
      </c>
      <c r="R318" s="5">
        <v>173930</v>
      </c>
    </row>
    <row r="319" spans="1:18" x14ac:dyDescent="0.25">
      <c r="A319" t="s">
        <v>71</v>
      </c>
      <c r="B319" t="s">
        <v>502</v>
      </c>
      <c r="C319">
        <v>61704000</v>
      </c>
      <c r="D319">
        <v>1683</v>
      </c>
      <c r="E319">
        <v>4100226288</v>
      </c>
      <c r="F319" t="s">
        <v>935</v>
      </c>
      <c r="G319" s="1">
        <v>45234</v>
      </c>
      <c r="H319">
        <v>5413094</v>
      </c>
      <c r="I319">
        <v>205</v>
      </c>
      <c r="J319" t="s">
        <v>240</v>
      </c>
      <c r="K319" t="str">
        <f>IFERROR(IF(AND(VLOOKUP($C319,Hes!$A:$B, 1, FALSE), $M319&lt;&gt;" "), "Ingresada", "Falta Ingresar"), " ")</f>
        <v xml:space="preserve"> </v>
      </c>
      <c r="L319" s="4" t="str">
        <f>IFERROR(VLOOKUP($C319,Observaciones!$A:$B,2,FALSE)," ")</f>
        <v>ESPERAR INFORME VERONICA CODELCO 10 GD X FACT UNA OC</v>
      </c>
      <c r="M319" t="s">
        <v>681</v>
      </c>
      <c r="O319" s="5">
        <v>30854503</v>
      </c>
      <c r="P319" s="5">
        <v>29120</v>
      </c>
      <c r="Q319" s="5">
        <v>5533</v>
      </c>
      <c r="R319" s="5">
        <v>34653</v>
      </c>
    </row>
    <row r="320" spans="1:18" x14ac:dyDescent="0.25">
      <c r="A320" t="s">
        <v>71</v>
      </c>
      <c r="B320" t="s">
        <v>502</v>
      </c>
      <c r="C320">
        <v>61704000</v>
      </c>
      <c r="D320">
        <v>1062</v>
      </c>
      <c r="E320">
        <v>4100226315</v>
      </c>
      <c r="F320" t="s">
        <v>935</v>
      </c>
      <c r="G320" s="1">
        <v>45234</v>
      </c>
      <c r="H320">
        <v>5413147</v>
      </c>
      <c r="I320">
        <v>205</v>
      </c>
      <c r="J320" t="s">
        <v>240</v>
      </c>
      <c r="K320" t="str">
        <f>IFERROR(IF(AND(VLOOKUP($C320,Hes!$A:$B, 1, FALSE), $M320&lt;&gt;" "), "Ingresada", "Falta Ingresar"), " ")</f>
        <v xml:space="preserve"> </v>
      </c>
      <c r="L320" s="4" t="str">
        <f>IFERROR(VLOOKUP($C320,Observaciones!$A:$B,2,FALSE)," ")</f>
        <v>ESPERAR INFORME VERONICA CODELCO 10 GD X FACT UNA OC</v>
      </c>
      <c r="M320" t="s">
        <v>681</v>
      </c>
      <c r="O320" s="5">
        <v>30855794</v>
      </c>
      <c r="P320" s="5">
        <v>726194</v>
      </c>
      <c r="Q320" s="5">
        <v>137977</v>
      </c>
      <c r="R320" s="5">
        <v>870668</v>
      </c>
    </row>
    <row r="321" spans="1:18" x14ac:dyDescent="0.25">
      <c r="A321" t="s">
        <v>71</v>
      </c>
      <c r="B321" t="s">
        <v>502</v>
      </c>
      <c r="C321">
        <v>61704000</v>
      </c>
      <c r="D321">
        <v>2233</v>
      </c>
      <c r="E321">
        <v>4100226134</v>
      </c>
      <c r="F321" t="s">
        <v>935</v>
      </c>
      <c r="G321" s="1">
        <v>45236</v>
      </c>
      <c r="H321">
        <v>5413284</v>
      </c>
      <c r="I321">
        <v>205</v>
      </c>
      <c r="J321" t="s">
        <v>240</v>
      </c>
      <c r="K321" t="str">
        <f>IFERROR(IF(AND(VLOOKUP($C321,Hes!$A:$B, 1, FALSE), $M321&lt;&gt;" "), "Ingresada", "Falta Ingresar"), " ")</f>
        <v xml:space="preserve"> </v>
      </c>
      <c r="L321" s="4" t="str">
        <f>IFERROR(VLOOKUP($C321,Observaciones!$A:$B,2,FALSE)," ")</f>
        <v>ESPERAR INFORME VERONICA CODELCO 10 GD X FACT UNA OC</v>
      </c>
      <c r="M321" t="s">
        <v>681</v>
      </c>
      <c r="O321" s="5">
        <v>30842865</v>
      </c>
      <c r="P321" s="5">
        <v>3854400</v>
      </c>
      <c r="Q321" s="5">
        <v>732336</v>
      </c>
      <c r="R321" s="5">
        <v>4586736</v>
      </c>
    </row>
    <row r="322" spans="1:18" x14ac:dyDescent="0.25">
      <c r="A322" t="s">
        <v>71</v>
      </c>
      <c r="B322" t="s">
        <v>502</v>
      </c>
      <c r="C322">
        <v>61704000</v>
      </c>
      <c r="D322">
        <v>2093</v>
      </c>
      <c r="E322">
        <v>4100226137</v>
      </c>
      <c r="F322" t="s">
        <v>935</v>
      </c>
      <c r="G322" s="1">
        <v>45236</v>
      </c>
      <c r="H322">
        <v>5413285</v>
      </c>
      <c r="I322">
        <v>205</v>
      </c>
      <c r="J322" t="s">
        <v>240</v>
      </c>
      <c r="K322" t="str">
        <f>IFERROR(IF(AND(VLOOKUP($C322,Hes!$A:$B, 1, FALSE), $M322&lt;&gt;" "), "Ingresada", "Falta Ingresar"), " ")</f>
        <v xml:space="preserve"> </v>
      </c>
      <c r="L322" s="4" t="str">
        <f>IFERROR(VLOOKUP($C322,Observaciones!$A:$B,2,FALSE)," ")</f>
        <v>ESPERAR INFORME VERONICA CODELCO 10 GD X FACT UNA OC</v>
      </c>
      <c r="M322" t="s">
        <v>681</v>
      </c>
      <c r="O322" s="5">
        <v>30847118</v>
      </c>
      <c r="P322" s="5">
        <v>266712</v>
      </c>
      <c r="Q322" s="5">
        <v>50675</v>
      </c>
      <c r="R322" s="5">
        <v>317387</v>
      </c>
    </row>
    <row r="323" spans="1:18" x14ac:dyDescent="0.25">
      <c r="A323" t="s">
        <v>71</v>
      </c>
      <c r="B323" t="s">
        <v>502</v>
      </c>
      <c r="C323">
        <v>61704000</v>
      </c>
      <c r="D323">
        <v>128</v>
      </c>
      <c r="E323">
        <v>4100226175</v>
      </c>
      <c r="F323" t="s">
        <v>935</v>
      </c>
      <c r="G323" s="1">
        <v>45236</v>
      </c>
      <c r="H323">
        <v>5413286</v>
      </c>
      <c r="I323">
        <v>205</v>
      </c>
      <c r="J323" t="s">
        <v>240</v>
      </c>
      <c r="K323" t="str">
        <f>IFERROR(IF(AND(VLOOKUP($C323,Hes!$A:$B, 1, FALSE), $M323&lt;&gt;" "), "Ingresada", "Falta Ingresar"), " ")</f>
        <v xml:space="preserve"> </v>
      </c>
      <c r="L323" s="4" t="str">
        <f>IFERROR(VLOOKUP($C323,Observaciones!$A:$B,2,FALSE)," ")</f>
        <v>ESPERAR INFORME VERONICA CODELCO 10 GD X FACT UNA OC</v>
      </c>
      <c r="M323" t="s">
        <v>681</v>
      </c>
      <c r="O323" s="5">
        <v>30849645</v>
      </c>
      <c r="P323" s="5">
        <v>137040</v>
      </c>
      <c r="Q323" s="5">
        <v>26038</v>
      </c>
      <c r="R323" s="5">
        <v>163078</v>
      </c>
    </row>
    <row r="324" spans="1:18" x14ac:dyDescent="0.25">
      <c r="A324" t="s">
        <v>71</v>
      </c>
      <c r="B324" t="s">
        <v>502</v>
      </c>
      <c r="C324">
        <v>61704000</v>
      </c>
      <c r="D324">
        <v>2093</v>
      </c>
      <c r="E324">
        <v>4100226127</v>
      </c>
      <c r="F324" t="s">
        <v>935</v>
      </c>
      <c r="G324" s="1">
        <v>45236</v>
      </c>
      <c r="H324">
        <v>5413287</v>
      </c>
      <c r="I324">
        <v>205</v>
      </c>
      <c r="J324" t="s">
        <v>240</v>
      </c>
      <c r="K324" t="str">
        <f>IFERROR(IF(AND(VLOOKUP($C324,Hes!$A:$B, 1, FALSE), $M324&lt;&gt;" "), "Ingresada", "Falta Ingresar"), " ")</f>
        <v xml:space="preserve"> </v>
      </c>
      <c r="L324" s="4" t="str">
        <f>IFERROR(VLOOKUP($C324,Observaciones!$A:$B,2,FALSE)," ")</f>
        <v>ESPERAR INFORME VERONICA CODELCO 10 GD X FACT UNA OC</v>
      </c>
      <c r="M324" t="s">
        <v>681</v>
      </c>
      <c r="O324" s="5">
        <v>30846547</v>
      </c>
      <c r="P324" s="5">
        <v>78403</v>
      </c>
      <c r="Q324" s="5">
        <v>14897</v>
      </c>
      <c r="R324" s="5">
        <v>93300</v>
      </c>
    </row>
    <row r="325" spans="1:18" x14ac:dyDescent="0.25">
      <c r="A325" t="s">
        <v>71</v>
      </c>
      <c r="B325" t="s">
        <v>502</v>
      </c>
      <c r="C325">
        <v>61704000</v>
      </c>
      <c r="D325">
        <v>2093</v>
      </c>
      <c r="E325">
        <v>4100226127</v>
      </c>
      <c r="F325" t="s">
        <v>935</v>
      </c>
      <c r="G325" s="1">
        <v>45236</v>
      </c>
      <c r="H325">
        <v>5413288</v>
      </c>
      <c r="I325">
        <v>205</v>
      </c>
      <c r="J325" t="s">
        <v>240</v>
      </c>
      <c r="K325" t="str">
        <f>IFERROR(IF(AND(VLOOKUP($C325,Hes!$A:$B, 1, FALSE), $M325&lt;&gt;" "), "Ingresada", "Falta Ingresar"), " ")</f>
        <v xml:space="preserve"> </v>
      </c>
      <c r="L325" s="4" t="str">
        <f>IFERROR(VLOOKUP($C325,Observaciones!$A:$B,2,FALSE)," ")</f>
        <v>ESPERAR INFORME VERONICA CODELCO 10 GD X FACT UNA OC</v>
      </c>
      <c r="M325" t="s">
        <v>681</v>
      </c>
      <c r="O325" s="5">
        <v>30846560</v>
      </c>
      <c r="P325" s="5">
        <v>56618</v>
      </c>
      <c r="Q325" s="5">
        <v>10757</v>
      </c>
      <c r="R325" s="5">
        <v>67375</v>
      </c>
    </row>
    <row r="326" spans="1:18" x14ac:dyDescent="0.25">
      <c r="A326" t="s">
        <v>71</v>
      </c>
      <c r="B326" t="s">
        <v>502</v>
      </c>
      <c r="C326">
        <v>61704000</v>
      </c>
      <c r="D326">
        <v>2093</v>
      </c>
      <c r="E326">
        <v>4100226127</v>
      </c>
      <c r="F326" t="s">
        <v>935</v>
      </c>
      <c r="G326" s="1">
        <v>45236</v>
      </c>
      <c r="H326">
        <v>5413289</v>
      </c>
      <c r="I326">
        <v>205</v>
      </c>
      <c r="J326" t="s">
        <v>240</v>
      </c>
      <c r="K326" t="str">
        <f>IFERROR(IF(AND(VLOOKUP($C326,Hes!$A:$B, 1, FALSE), $M326&lt;&gt;" "), "Ingresada", "Falta Ingresar"), " ")</f>
        <v xml:space="preserve"> </v>
      </c>
      <c r="L326" s="4" t="str">
        <f>IFERROR(VLOOKUP($C326,Observaciones!$A:$B,2,FALSE)," ")</f>
        <v>ESPERAR INFORME VERONICA CODELCO 10 GD X FACT UNA OC</v>
      </c>
      <c r="M326" t="s">
        <v>681</v>
      </c>
      <c r="O326" s="5">
        <v>30846574</v>
      </c>
      <c r="P326" s="5">
        <v>95484</v>
      </c>
      <c r="Q326" s="5">
        <v>18142</v>
      </c>
      <c r="R326" s="5">
        <v>113626</v>
      </c>
    </row>
    <row r="327" spans="1:18" x14ac:dyDescent="0.25">
      <c r="A327" t="s">
        <v>71</v>
      </c>
      <c r="B327" t="s">
        <v>502</v>
      </c>
      <c r="C327">
        <v>61704000</v>
      </c>
      <c r="D327">
        <v>855</v>
      </c>
      <c r="E327">
        <v>4100226191</v>
      </c>
      <c r="F327" t="s">
        <v>935</v>
      </c>
      <c r="G327" s="1">
        <v>45236</v>
      </c>
      <c r="H327">
        <v>5413290</v>
      </c>
      <c r="I327">
        <v>205</v>
      </c>
      <c r="J327" t="s">
        <v>240</v>
      </c>
      <c r="K327" t="str">
        <f>IFERROR(IF(AND(VLOOKUP($C327,Hes!$A:$B, 1, FALSE), $M327&lt;&gt;" "), "Ingresada", "Falta Ingresar"), " ")</f>
        <v xml:space="preserve"> </v>
      </c>
      <c r="L327" s="4" t="str">
        <f>IFERROR(VLOOKUP($C327,Observaciones!$A:$B,2,FALSE)," ")</f>
        <v>ESPERAR INFORME VERONICA CODELCO 10 GD X FACT UNA OC</v>
      </c>
      <c r="M327" t="s">
        <v>681</v>
      </c>
      <c r="O327" s="5">
        <v>30850562</v>
      </c>
      <c r="P327" s="5">
        <v>30611</v>
      </c>
      <c r="Q327" s="5">
        <v>5816</v>
      </c>
      <c r="R327" s="5">
        <v>36427</v>
      </c>
    </row>
    <row r="328" spans="1:18" x14ac:dyDescent="0.25">
      <c r="A328" t="s">
        <v>71</v>
      </c>
      <c r="B328" t="s">
        <v>502</v>
      </c>
      <c r="C328">
        <v>61704000</v>
      </c>
      <c r="D328">
        <v>2140</v>
      </c>
      <c r="E328">
        <v>4100226238</v>
      </c>
      <c r="F328" t="s">
        <v>935</v>
      </c>
      <c r="G328" s="1">
        <v>45236</v>
      </c>
      <c r="H328">
        <v>5413291</v>
      </c>
      <c r="I328">
        <v>205</v>
      </c>
      <c r="J328" t="s">
        <v>240</v>
      </c>
      <c r="K328" t="str">
        <f>IFERROR(IF(AND(VLOOKUP($C328,Hes!$A:$B, 1, FALSE), $M328&lt;&gt;" "), "Ingresada", "Falta Ingresar"), " ")</f>
        <v xml:space="preserve"> </v>
      </c>
      <c r="L328" s="4" t="str">
        <f>IFERROR(VLOOKUP($C328,Observaciones!$A:$B,2,FALSE)," ")</f>
        <v>ESPERAR INFORME VERONICA CODELCO 10 GD X FACT UNA OC</v>
      </c>
      <c r="M328" t="s">
        <v>681</v>
      </c>
      <c r="O328" s="5">
        <v>30851652</v>
      </c>
      <c r="P328" s="5">
        <v>8060</v>
      </c>
      <c r="Q328" s="5">
        <v>1531</v>
      </c>
      <c r="R328" s="5">
        <v>9591</v>
      </c>
    </row>
    <row r="329" spans="1:18" x14ac:dyDescent="0.25">
      <c r="A329" t="s">
        <v>71</v>
      </c>
      <c r="B329" t="s">
        <v>502</v>
      </c>
      <c r="C329">
        <v>61704000</v>
      </c>
      <c r="D329">
        <v>2233</v>
      </c>
      <c r="E329">
        <v>4100226134</v>
      </c>
      <c r="F329" t="s">
        <v>935</v>
      </c>
      <c r="G329" s="1">
        <v>45236</v>
      </c>
      <c r="H329">
        <v>5413292</v>
      </c>
      <c r="I329">
        <v>205</v>
      </c>
      <c r="J329" t="s">
        <v>240</v>
      </c>
      <c r="K329" t="str">
        <f>IFERROR(IF(AND(VLOOKUP($C329,Hes!$A:$B, 1, FALSE), $M329&lt;&gt;" "), "Ingresada", "Falta Ingresar"), " ")</f>
        <v xml:space="preserve"> </v>
      </c>
      <c r="L329" s="4" t="str">
        <f>IFERROR(VLOOKUP($C329,Observaciones!$A:$B,2,FALSE)," ")</f>
        <v>ESPERAR INFORME VERONICA CODELCO 10 GD X FACT UNA OC</v>
      </c>
      <c r="M329" t="s">
        <v>681</v>
      </c>
      <c r="O329" s="5">
        <v>30842857</v>
      </c>
      <c r="P329" s="5">
        <v>3854400</v>
      </c>
      <c r="Q329" s="5">
        <v>732336</v>
      </c>
      <c r="R329" s="5">
        <v>4586736</v>
      </c>
    </row>
    <row r="330" spans="1:18" x14ac:dyDescent="0.25">
      <c r="A330" t="s">
        <v>71</v>
      </c>
      <c r="B330" t="s">
        <v>502</v>
      </c>
      <c r="C330">
        <v>61704000</v>
      </c>
      <c r="D330">
        <v>2233</v>
      </c>
      <c r="E330">
        <v>4100226134</v>
      </c>
      <c r="F330" t="s">
        <v>935</v>
      </c>
      <c r="G330" s="1">
        <v>45236</v>
      </c>
      <c r="H330">
        <v>5413293</v>
      </c>
      <c r="I330">
        <v>205</v>
      </c>
      <c r="J330" t="s">
        <v>240</v>
      </c>
      <c r="K330" t="str">
        <f>IFERROR(IF(AND(VLOOKUP($C330,Hes!$A:$B, 1, FALSE), $M330&lt;&gt;" "), "Ingresada", "Falta Ingresar"), " ")</f>
        <v xml:space="preserve"> </v>
      </c>
      <c r="L330" s="4" t="str">
        <f>IFERROR(VLOOKUP($C330,Observaciones!$A:$B,2,FALSE)," ")</f>
        <v>ESPERAR INFORME VERONICA CODELCO 10 GD X FACT UNA OC</v>
      </c>
      <c r="M330" t="s">
        <v>681</v>
      </c>
      <c r="O330" s="5">
        <v>30842871</v>
      </c>
      <c r="P330" s="5">
        <v>3854400</v>
      </c>
      <c r="Q330" s="5">
        <v>732336</v>
      </c>
      <c r="R330" s="5">
        <v>4586736</v>
      </c>
    </row>
    <row r="331" spans="1:18" x14ac:dyDescent="0.25">
      <c r="A331" t="s">
        <v>71</v>
      </c>
      <c r="B331" t="s">
        <v>502</v>
      </c>
      <c r="C331">
        <v>61704000</v>
      </c>
      <c r="D331">
        <v>2093</v>
      </c>
      <c r="E331">
        <v>4100226300</v>
      </c>
      <c r="F331" t="s">
        <v>935</v>
      </c>
      <c r="G331" s="1">
        <v>45236</v>
      </c>
      <c r="H331">
        <v>5413294</v>
      </c>
      <c r="I331">
        <v>205</v>
      </c>
      <c r="J331" t="s">
        <v>240</v>
      </c>
      <c r="K331" t="str">
        <f>IFERROR(IF(AND(VLOOKUP($C331,Hes!$A:$B, 1, FALSE), $M331&lt;&gt;" "), "Ingresada", "Falta Ingresar"), " ")</f>
        <v xml:space="preserve"> </v>
      </c>
      <c r="L331" s="4" t="str">
        <f>IFERROR(VLOOKUP($C331,Observaciones!$A:$B,2,FALSE)," ")</f>
        <v>ESPERAR INFORME VERONICA CODELCO 10 GD X FACT UNA OC</v>
      </c>
      <c r="M331" t="s">
        <v>681</v>
      </c>
      <c r="O331" s="5">
        <v>30855775</v>
      </c>
      <c r="P331" s="5">
        <v>181170</v>
      </c>
      <c r="Q331" s="5">
        <v>34422</v>
      </c>
      <c r="R331" s="5">
        <v>215592</v>
      </c>
    </row>
    <row r="332" spans="1:18" x14ac:dyDescent="0.25">
      <c r="A332" t="s">
        <v>71</v>
      </c>
      <c r="B332" t="s">
        <v>502</v>
      </c>
      <c r="C332">
        <v>61704000</v>
      </c>
      <c r="D332">
        <v>2089</v>
      </c>
      <c r="E332">
        <v>4100226267</v>
      </c>
      <c r="F332" t="s">
        <v>935</v>
      </c>
      <c r="G332" s="1">
        <v>45236</v>
      </c>
      <c r="H332">
        <v>5413295</v>
      </c>
      <c r="I332">
        <v>205</v>
      </c>
      <c r="J332" t="s">
        <v>240</v>
      </c>
      <c r="K332" t="str">
        <f>IFERROR(IF(AND(VLOOKUP($C332,Hes!$A:$B, 1, FALSE), $M332&lt;&gt;" "), "Ingresada", "Falta Ingresar"), " ")</f>
        <v xml:space="preserve"> </v>
      </c>
      <c r="L332" s="4" t="str">
        <f>IFERROR(VLOOKUP($C332,Observaciones!$A:$B,2,FALSE)," ")</f>
        <v>ESPERAR INFORME VERONICA CODELCO 10 GD X FACT UNA OC</v>
      </c>
      <c r="M332" t="s">
        <v>681</v>
      </c>
      <c r="O332" s="5">
        <v>30853584</v>
      </c>
      <c r="P332" s="5">
        <v>74120</v>
      </c>
      <c r="Q332" s="5">
        <v>14083</v>
      </c>
      <c r="R332" s="5">
        <v>88203</v>
      </c>
    </row>
    <row r="333" spans="1:18" x14ac:dyDescent="0.25">
      <c r="A333" t="s">
        <v>71</v>
      </c>
      <c r="B333" t="s">
        <v>502</v>
      </c>
      <c r="C333">
        <v>61704000</v>
      </c>
      <c r="D333">
        <v>80</v>
      </c>
      <c r="E333">
        <v>4100226251</v>
      </c>
      <c r="F333" t="s">
        <v>935</v>
      </c>
      <c r="G333" s="1">
        <v>45236</v>
      </c>
      <c r="H333">
        <v>5413296</v>
      </c>
      <c r="I333">
        <v>205</v>
      </c>
      <c r="J333" t="s">
        <v>240</v>
      </c>
      <c r="K333" t="str">
        <f>IFERROR(IF(AND(VLOOKUP($C333,Hes!$A:$B, 1, FALSE), $M333&lt;&gt;" "), "Ingresada", "Falta Ingresar"), " ")</f>
        <v xml:space="preserve"> </v>
      </c>
      <c r="L333" s="4" t="str">
        <f>IFERROR(VLOOKUP($C333,Observaciones!$A:$B,2,FALSE)," ")</f>
        <v>ESPERAR INFORME VERONICA CODELCO 10 GD X FACT UNA OC</v>
      </c>
      <c r="M333" t="s">
        <v>681</v>
      </c>
      <c r="O333" s="5">
        <v>30853547</v>
      </c>
      <c r="P333" s="5">
        <v>38320</v>
      </c>
      <c r="Q333" s="5">
        <v>7281</v>
      </c>
      <c r="R333" s="5">
        <v>45601</v>
      </c>
    </row>
    <row r="334" spans="1:18" x14ac:dyDescent="0.25">
      <c r="A334" t="s">
        <v>71</v>
      </c>
      <c r="B334" t="s">
        <v>502</v>
      </c>
      <c r="C334">
        <v>61704000</v>
      </c>
      <c r="D334">
        <v>1988</v>
      </c>
      <c r="E334">
        <v>4100226293</v>
      </c>
      <c r="F334" t="s">
        <v>935</v>
      </c>
      <c r="G334" s="1">
        <v>45236</v>
      </c>
      <c r="H334">
        <v>5413297</v>
      </c>
      <c r="I334">
        <v>205</v>
      </c>
      <c r="J334" t="s">
        <v>240</v>
      </c>
      <c r="K334" t="str">
        <f>IFERROR(IF(AND(VLOOKUP($C334,Hes!$A:$B, 1, FALSE), $M334&lt;&gt;" "), "Ingresada", "Falta Ingresar"), " ")</f>
        <v xml:space="preserve"> </v>
      </c>
      <c r="L334" s="4" t="str">
        <f>IFERROR(VLOOKUP($C334,Observaciones!$A:$B,2,FALSE)," ")</f>
        <v>ESPERAR INFORME VERONICA CODELCO 10 GD X FACT UNA OC</v>
      </c>
      <c r="M334" t="s">
        <v>681</v>
      </c>
      <c r="O334" s="5">
        <v>30855702</v>
      </c>
      <c r="P334" s="5">
        <v>69015</v>
      </c>
      <c r="Q334" s="5">
        <v>13113</v>
      </c>
      <c r="R334" s="5">
        <v>82128</v>
      </c>
    </row>
    <row r="335" spans="1:18" x14ac:dyDescent="0.25">
      <c r="A335" t="s">
        <v>71</v>
      </c>
      <c r="B335" t="s">
        <v>502</v>
      </c>
      <c r="C335">
        <v>61704000</v>
      </c>
      <c r="D335">
        <v>722</v>
      </c>
      <c r="E335">
        <v>4100226255</v>
      </c>
      <c r="F335" t="s">
        <v>935</v>
      </c>
      <c r="G335" s="1">
        <v>45236</v>
      </c>
      <c r="H335">
        <v>5413298</v>
      </c>
      <c r="I335">
        <v>205</v>
      </c>
      <c r="J335" t="s">
        <v>240</v>
      </c>
      <c r="K335" t="str">
        <f>IFERROR(IF(AND(VLOOKUP($C335,Hes!$A:$B, 1, FALSE), $M335&lt;&gt;" "), "Ingresada", "Falta Ingresar"), " ")</f>
        <v xml:space="preserve"> </v>
      </c>
      <c r="L335" s="4" t="str">
        <f>IFERROR(VLOOKUP($C335,Observaciones!$A:$B,2,FALSE)," ")</f>
        <v>ESPERAR INFORME VERONICA CODELCO 10 GD X FACT UNA OC</v>
      </c>
      <c r="M335" t="s">
        <v>681</v>
      </c>
      <c r="O335" s="5">
        <v>30853554</v>
      </c>
      <c r="P335" s="5">
        <v>43800</v>
      </c>
      <c r="Q335" s="5">
        <v>8322</v>
      </c>
      <c r="R335" s="5">
        <v>52122</v>
      </c>
    </row>
    <row r="336" spans="1:18" x14ac:dyDescent="0.25">
      <c r="A336" t="s">
        <v>71</v>
      </c>
      <c r="B336" t="s">
        <v>502</v>
      </c>
      <c r="C336">
        <v>61704000</v>
      </c>
      <c r="D336">
        <v>1709</v>
      </c>
      <c r="E336">
        <v>4100226272</v>
      </c>
      <c r="F336" t="s">
        <v>935</v>
      </c>
      <c r="G336" s="1">
        <v>45236</v>
      </c>
      <c r="H336">
        <v>5413299</v>
      </c>
      <c r="I336">
        <v>205</v>
      </c>
      <c r="J336" t="s">
        <v>240</v>
      </c>
      <c r="K336" t="str">
        <f>IFERROR(IF(AND(VLOOKUP($C336,Hes!$A:$B, 1, FALSE), $M336&lt;&gt;" "), "Ingresada", "Falta Ingresar"), " ")</f>
        <v xml:space="preserve"> </v>
      </c>
      <c r="L336" s="4" t="str">
        <f>IFERROR(VLOOKUP($C336,Observaciones!$A:$B,2,FALSE)," ")</f>
        <v>ESPERAR INFORME VERONICA CODELCO 10 GD X FACT UNA OC</v>
      </c>
      <c r="M336" t="s">
        <v>681</v>
      </c>
      <c r="O336" s="5">
        <v>30854042</v>
      </c>
      <c r="P336" s="5">
        <v>373651</v>
      </c>
      <c r="Q336" s="5">
        <v>70994</v>
      </c>
      <c r="R336" s="5">
        <v>444645</v>
      </c>
    </row>
    <row r="337" spans="1:18" x14ac:dyDescent="0.25">
      <c r="A337" t="s">
        <v>71</v>
      </c>
      <c r="B337" t="s">
        <v>502</v>
      </c>
      <c r="C337">
        <v>61704000</v>
      </c>
      <c r="D337">
        <v>1265</v>
      </c>
      <c r="E337">
        <v>4100226214</v>
      </c>
      <c r="F337" t="s">
        <v>935</v>
      </c>
      <c r="G337" s="1">
        <v>45234</v>
      </c>
      <c r="H337">
        <v>5413315</v>
      </c>
      <c r="I337">
        <v>205</v>
      </c>
      <c r="J337" t="s">
        <v>240</v>
      </c>
      <c r="K337" t="str">
        <f>IFERROR(IF(AND(VLOOKUP($C337,Hes!$A:$B, 1, FALSE), $M337&lt;&gt;" "), "Ingresada", "Falta Ingresar"), " ")</f>
        <v xml:space="preserve"> </v>
      </c>
      <c r="L337" s="4" t="str">
        <f>IFERROR(VLOOKUP($C337,Observaciones!$A:$B,2,FALSE)," ")</f>
        <v>ESPERAR INFORME VERONICA CODELCO 10 GD X FACT UNA OC</v>
      </c>
      <c r="M337" t="s">
        <v>681</v>
      </c>
      <c r="O337" s="5">
        <v>30852778</v>
      </c>
      <c r="P337" s="5">
        <v>351977</v>
      </c>
      <c r="Q337" s="5">
        <v>66876</v>
      </c>
      <c r="R337" s="5">
        <v>418853</v>
      </c>
    </row>
    <row r="338" spans="1:18" x14ac:dyDescent="0.25">
      <c r="A338" t="s">
        <v>71</v>
      </c>
      <c r="B338" t="s">
        <v>502</v>
      </c>
      <c r="C338">
        <v>61704000</v>
      </c>
      <c r="D338">
        <v>2202</v>
      </c>
      <c r="E338">
        <v>4100226205</v>
      </c>
      <c r="F338" t="s">
        <v>935</v>
      </c>
      <c r="G338" s="1">
        <v>45234</v>
      </c>
      <c r="H338">
        <v>5413316</v>
      </c>
      <c r="I338">
        <v>205</v>
      </c>
      <c r="J338" t="s">
        <v>240</v>
      </c>
      <c r="K338" t="str">
        <f>IFERROR(IF(AND(VLOOKUP($C338,Hes!$A:$B, 1, FALSE), $M338&lt;&gt;" "), "Ingresada", "Falta Ingresar"), " ")</f>
        <v xml:space="preserve"> </v>
      </c>
      <c r="L338" s="4" t="str">
        <f>IFERROR(VLOOKUP($C338,Observaciones!$A:$B,2,FALSE)," ")</f>
        <v>ESPERAR INFORME VERONICA CODELCO 10 GD X FACT UNA OC</v>
      </c>
      <c r="M338" t="s">
        <v>681</v>
      </c>
      <c r="O338" s="5">
        <v>30852567</v>
      </c>
      <c r="P338" s="5">
        <v>328541</v>
      </c>
      <c r="Q338" s="5">
        <v>62423</v>
      </c>
      <c r="R338" s="5">
        <v>397461</v>
      </c>
    </row>
    <row r="339" spans="1:18" x14ac:dyDescent="0.25">
      <c r="A339" t="s">
        <v>71</v>
      </c>
      <c r="B339" t="s">
        <v>502</v>
      </c>
      <c r="C339">
        <v>61704000</v>
      </c>
      <c r="D339">
        <v>1937</v>
      </c>
      <c r="E339">
        <v>4100226194</v>
      </c>
      <c r="F339" t="s">
        <v>935</v>
      </c>
      <c r="G339" s="1">
        <v>45236</v>
      </c>
      <c r="H339">
        <v>5413344</v>
      </c>
      <c r="I339">
        <v>205</v>
      </c>
      <c r="J339" t="s">
        <v>240</v>
      </c>
      <c r="K339" t="str">
        <f>IFERROR(IF(AND(VLOOKUP($C339,Hes!$A:$B, 1, FALSE), $M339&lt;&gt;" "), "Ingresada", "Falta Ingresar"), " ")</f>
        <v xml:space="preserve"> </v>
      </c>
      <c r="L339" s="4" t="str">
        <f>IFERROR(VLOOKUP($C339,Observaciones!$A:$B,2,FALSE)," ")</f>
        <v>ESPERAR INFORME VERONICA CODELCO 10 GD X FACT UNA OC</v>
      </c>
      <c r="M339" t="s">
        <v>681</v>
      </c>
      <c r="O339" s="5">
        <v>30852538</v>
      </c>
      <c r="P339" s="5">
        <v>73000</v>
      </c>
      <c r="Q339" s="5">
        <v>13870</v>
      </c>
      <c r="R339" s="5">
        <v>86870</v>
      </c>
    </row>
    <row r="340" spans="1:18" x14ac:dyDescent="0.25">
      <c r="A340" t="s">
        <v>71</v>
      </c>
      <c r="B340" t="s">
        <v>502</v>
      </c>
      <c r="C340">
        <v>61704000</v>
      </c>
      <c r="D340">
        <v>744</v>
      </c>
      <c r="E340">
        <v>4100226287</v>
      </c>
      <c r="F340" t="s">
        <v>935</v>
      </c>
      <c r="G340" s="1">
        <v>45236</v>
      </c>
      <c r="H340">
        <v>5413381</v>
      </c>
      <c r="I340">
        <v>205</v>
      </c>
      <c r="J340" t="s">
        <v>240</v>
      </c>
      <c r="K340" t="str">
        <f>IFERROR(IF(AND(VLOOKUP($C340,Hes!$A:$B, 1, FALSE), $M340&lt;&gt;" "), "Ingresada", "Falta Ingresar"), " ")</f>
        <v xml:space="preserve"> </v>
      </c>
      <c r="L340" s="4" t="str">
        <f>IFERROR(VLOOKUP($C340,Observaciones!$A:$B,2,FALSE)," ")</f>
        <v>ESPERAR INFORME VERONICA CODELCO 10 GD X FACT UNA OC</v>
      </c>
      <c r="M340" t="s">
        <v>681</v>
      </c>
      <c r="O340" s="5">
        <v>30854283</v>
      </c>
      <c r="P340" s="5">
        <v>172963</v>
      </c>
      <c r="Q340" s="5">
        <v>32863</v>
      </c>
      <c r="R340" s="5">
        <v>205826</v>
      </c>
    </row>
    <row r="341" spans="1:18" x14ac:dyDescent="0.25">
      <c r="A341" t="s">
        <v>71</v>
      </c>
      <c r="B341" t="s">
        <v>502</v>
      </c>
      <c r="C341">
        <v>61704000</v>
      </c>
      <c r="D341">
        <v>2252</v>
      </c>
      <c r="E341">
        <v>4100226321</v>
      </c>
      <c r="F341" t="s">
        <v>935</v>
      </c>
      <c r="G341" s="1">
        <v>45236</v>
      </c>
      <c r="H341">
        <v>5413472</v>
      </c>
      <c r="I341">
        <v>205</v>
      </c>
      <c r="J341" t="s">
        <v>240</v>
      </c>
      <c r="K341" t="str">
        <f>IFERROR(IF(AND(VLOOKUP($C341,Hes!$A:$B, 1, FALSE), $M341&lt;&gt;" "), "Ingresada", "Falta Ingresar"), " ")</f>
        <v xml:space="preserve"> </v>
      </c>
      <c r="L341" s="4" t="str">
        <f>IFERROR(VLOOKUP($C341,Observaciones!$A:$B,2,FALSE)," ")</f>
        <v>ESPERAR INFORME VERONICA CODELCO 10 GD X FACT UNA OC</v>
      </c>
      <c r="M341" t="s">
        <v>681</v>
      </c>
      <c r="O341" s="5">
        <v>30857878</v>
      </c>
      <c r="P341" s="5">
        <v>36024</v>
      </c>
      <c r="Q341" s="5">
        <v>6845</v>
      </c>
      <c r="R341" s="5">
        <v>42869</v>
      </c>
    </row>
    <row r="342" spans="1:18" x14ac:dyDescent="0.25">
      <c r="A342" t="s">
        <v>71</v>
      </c>
      <c r="B342" t="s">
        <v>502</v>
      </c>
      <c r="C342">
        <v>61704000</v>
      </c>
      <c r="D342">
        <v>2233</v>
      </c>
      <c r="E342">
        <v>4100226134</v>
      </c>
      <c r="F342" t="s">
        <v>935</v>
      </c>
      <c r="G342" s="1">
        <v>45236</v>
      </c>
      <c r="H342">
        <v>5413880</v>
      </c>
      <c r="I342">
        <v>205</v>
      </c>
      <c r="J342" t="s">
        <v>240</v>
      </c>
      <c r="K342" t="str">
        <f>IFERROR(IF(AND(VLOOKUP($C342,Hes!$A:$B, 1, FALSE), $M342&lt;&gt;" "), "Ingresada", "Falta Ingresar"), " ")</f>
        <v xml:space="preserve"> </v>
      </c>
      <c r="L342" s="4" t="str">
        <f>IFERROR(VLOOKUP($C342,Observaciones!$A:$B,2,FALSE)," ")</f>
        <v>ESPERAR INFORME VERONICA CODELCO 10 GD X FACT UNA OC</v>
      </c>
      <c r="M342" t="s">
        <v>681</v>
      </c>
      <c r="O342" s="5">
        <v>30842889</v>
      </c>
      <c r="P342" s="5">
        <v>2943360</v>
      </c>
      <c r="Q342" s="5">
        <v>559238</v>
      </c>
      <c r="R342" s="5">
        <v>3502598</v>
      </c>
    </row>
    <row r="343" spans="1:18" x14ac:dyDescent="0.25">
      <c r="A343" t="s">
        <v>71</v>
      </c>
      <c r="B343" t="s">
        <v>502</v>
      </c>
      <c r="C343">
        <v>61704000</v>
      </c>
      <c r="D343">
        <v>2199</v>
      </c>
      <c r="E343">
        <v>4100226096</v>
      </c>
      <c r="F343" t="s">
        <v>935</v>
      </c>
      <c r="G343" s="1">
        <v>45237</v>
      </c>
      <c r="H343">
        <v>5413962</v>
      </c>
      <c r="I343">
        <v>205</v>
      </c>
      <c r="J343" t="s">
        <v>240</v>
      </c>
      <c r="K343" t="str">
        <f>IFERROR(IF(AND(VLOOKUP($C343,Hes!$A:$B, 1, FALSE), $M343&lt;&gt;" "), "Ingresada", "Falta Ingresar"), " ")</f>
        <v xml:space="preserve"> </v>
      </c>
      <c r="L343" s="4" t="str">
        <f>IFERROR(VLOOKUP($C343,Observaciones!$A:$B,2,FALSE)," ")</f>
        <v>ESPERAR INFORME VERONICA CODELCO 10 GD X FACT UNA OC</v>
      </c>
      <c r="M343" t="s">
        <v>681</v>
      </c>
      <c r="O343" s="5">
        <v>30845515</v>
      </c>
      <c r="P343" s="5">
        <v>157924</v>
      </c>
      <c r="Q343" s="5">
        <v>30006</v>
      </c>
      <c r="R343" s="5">
        <v>187930</v>
      </c>
    </row>
    <row r="344" spans="1:18" x14ac:dyDescent="0.25">
      <c r="A344" t="s">
        <v>71</v>
      </c>
      <c r="B344" t="s">
        <v>502</v>
      </c>
      <c r="C344">
        <v>61704000</v>
      </c>
      <c r="D344">
        <v>855</v>
      </c>
      <c r="E344">
        <v>4100226349</v>
      </c>
      <c r="F344" t="s">
        <v>935</v>
      </c>
      <c r="G344" s="1">
        <v>45237</v>
      </c>
      <c r="H344">
        <v>5414115</v>
      </c>
      <c r="I344">
        <v>205</v>
      </c>
      <c r="J344" t="s">
        <v>240</v>
      </c>
      <c r="K344" t="str">
        <f>IFERROR(IF(AND(VLOOKUP($C344,Hes!$A:$B, 1, FALSE), $M344&lt;&gt;" "), "Ingresada", "Falta Ingresar"), " ")</f>
        <v xml:space="preserve"> </v>
      </c>
      <c r="L344" s="4" t="str">
        <f>IFERROR(VLOOKUP($C344,Observaciones!$A:$B,2,FALSE)," ")</f>
        <v>ESPERAR INFORME VERONICA CODELCO 10 GD X FACT UNA OC</v>
      </c>
      <c r="M344" t="s">
        <v>681</v>
      </c>
      <c r="O344" s="5">
        <v>30859453</v>
      </c>
      <c r="P344" s="5">
        <v>175266</v>
      </c>
      <c r="Q344" s="5">
        <v>33301</v>
      </c>
      <c r="R344" s="5">
        <v>208567</v>
      </c>
    </row>
    <row r="345" spans="1:18" x14ac:dyDescent="0.25">
      <c r="A345" t="s">
        <v>71</v>
      </c>
      <c r="B345" t="s">
        <v>502</v>
      </c>
      <c r="C345">
        <v>61704000</v>
      </c>
      <c r="D345">
        <v>1910</v>
      </c>
      <c r="E345">
        <v>4100226344</v>
      </c>
      <c r="F345" t="s">
        <v>935</v>
      </c>
      <c r="G345" s="1">
        <v>45237</v>
      </c>
      <c r="H345">
        <v>5414116</v>
      </c>
      <c r="I345">
        <v>205</v>
      </c>
      <c r="J345" t="s">
        <v>240</v>
      </c>
      <c r="K345" t="str">
        <f>IFERROR(IF(AND(VLOOKUP($C345,Hes!$A:$B, 1, FALSE), $M345&lt;&gt;" "), "Ingresada", "Falta Ingresar"), " ")</f>
        <v xml:space="preserve"> </v>
      </c>
      <c r="L345" s="4" t="str">
        <f>IFERROR(VLOOKUP($C345,Observaciones!$A:$B,2,FALSE)," ")</f>
        <v>ESPERAR INFORME VERONICA CODELCO 10 GD X FACT UNA OC</v>
      </c>
      <c r="M345" t="s">
        <v>681</v>
      </c>
      <c r="O345" s="5">
        <v>30859275</v>
      </c>
      <c r="P345" s="5">
        <v>292320</v>
      </c>
      <c r="Q345" s="5">
        <v>55541</v>
      </c>
      <c r="R345" s="5">
        <v>347861</v>
      </c>
    </row>
    <row r="346" spans="1:18" x14ac:dyDescent="0.25">
      <c r="A346" t="s">
        <v>71</v>
      </c>
      <c r="B346" t="s">
        <v>502</v>
      </c>
      <c r="C346">
        <v>61704000</v>
      </c>
      <c r="D346">
        <v>1979</v>
      </c>
      <c r="E346">
        <v>4100226337</v>
      </c>
      <c r="F346" t="s">
        <v>935</v>
      </c>
      <c r="G346" s="1">
        <v>45237</v>
      </c>
      <c r="H346">
        <v>5414117</v>
      </c>
      <c r="I346">
        <v>205</v>
      </c>
      <c r="J346" t="s">
        <v>240</v>
      </c>
      <c r="K346" t="str">
        <f>IFERROR(IF(AND(VLOOKUP($C346,Hes!$A:$B, 1, FALSE), $M346&lt;&gt;" "), "Ingresada", "Falta Ingresar"), " ")</f>
        <v xml:space="preserve"> </v>
      </c>
      <c r="L346" s="4" t="str">
        <f>IFERROR(VLOOKUP($C346,Observaciones!$A:$B,2,FALSE)," ")</f>
        <v>ESPERAR INFORME VERONICA CODELCO 10 GD X FACT UNA OC</v>
      </c>
      <c r="M346" t="s">
        <v>681</v>
      </c>
      <c r="O346" s="5">
        <v>30859175</v>
      </c>
      <c r="P346" s="5">
        <v>26800</v>
      </c>
      <c r="Q346" s="5">
        <v>5092</v>
      </c>
      <c r="R346" s="5">
        <v>31892</v>
      </c>
    </row>
    <row r="347" spans="1:18" x14ac:dyDescent="0.25">
      <c r="A347" t="s">
        <v>71</v>
      </c>
      <c r="B347" t="s">
        <v>502</v>
      </c>
      <c r="C347">
        <v>61704000</v>
      </c>
      <c r="D347">
        <v>1937</v>
      </c>
      <c r="E347">
        <v>4100226339</v>
      </c>
      <c r="F347" t="s">
        <v>935</v>
      </c>
      <c r="G347" s="1">
        <v>45237</v>
      </c>
      <c r="H347">
        <v>5414118</v>
      </c>
      <c r="I347">
        <v>205</v>
      </c>
      <c r="J347" t="s">
        <v>240</v>
      </c>
      <c r="K347" t="str">
        <f>IFERROR(IF(AND(VLOOKUP($C347,Hes!$A:$B, 1, FALSE), $M347&lt;&gt;" "), "Ingresada", "Falta Ingresar"), " ")</f>
        <v xml:space="preserve"> </v>
      </c>
      <c r="L347" s="4" t="str">
        <f>IFERROR(VLOOKUP($C347,Observaciones!$A:$B,2,FALSE)," ")</f>
        <v>ESPERAR INFORME VERONICA CODELCO 10 GD X FACT UNA OC</v>
      </c>
      <c r="M347" t="s">
        <v>681</v>
      </c>
      <c r="O347" s="5">
        <v>30859193</v>
      </c>
      <c r="P347" s="5">
        <v>133281</v>
      </c>
      <c r="Q347" s="5">
        <v>25323</v>
      </c>
      <c r="R347" s="5">
        <v>158604</v>
      </c>
    </row>
    <row r="348" spans="1:18" x14ac:dyDescent="0.25">
      <c r="A348" t="s">
        <v>71</v>
      </c>
      <c r="B348" t="s">
        <v>502</v>
      </c>
      <c r="C348">
        <v>61704000</v>
      </c>
      <c r="D348">
        <v>1278</v>
      </c>
      <c r="E348">
        <v>4100226329</v>
      </c>
      <c r="F348" t="s">
        <v>935</v>
      </c>
      <c r="G348" s="1">
        <v>45237</v>
      </c>
      <c r="H348">
        <v>5414119</v>
      </c>
      <c r="I348">
        <v>205</v>
      </c>
      <c r="J348" t="s">
        <v>240</v>
      </c>
      <c r="K348" t="str">
        <f>IFERROR(IF(AND(VLOOKUP($C348,Hes!$A:$B, 1, FALSE), $M348&lt;&gt;" "), "Ingresada", "Falta Ingresar"), " ")</f>
        <v xml:space="preserve"> </v>
      </c>
      <c r="L348" s="4" t="str">
        <f>IFERROR(VLOOKUP($C348,Observaciones!$A:$B,2,FALSE)," ")</f>
        <v>ESPERAR INFORME VERONICA CODELCO 10 GD X FACT UNA OC</v>
      </c>
      <c r="M348" t="s">
        <v>681</v>
      </c>
      <c r="O348" s="5">
        <v>30858615</v>
      </c>
      <c r="P348" s="5">
        <v>87568</v>
      </c>
      <c r="Q348" s="5">
        <v>16638</v>
      </c>
      <c r="R348" s="5">
        <v>104206</v>
      </c>
    </row>
    <row r="349" spans="1:18" x14ac:dyDescent="0.25">
      <c r="A349" t="s">
        <v>71</v>
      </c>
      <c r="B349" t="s">
        <v>502</v>
      </c>
      <c r="C349">
        <v>61704000</v>
      </c>
      <c r="D349">
        <v>197</v>
      </c>
      <c r="E349">
        <v>4100226334</v>
      </c>
      <c r="F349" t="s">
        <v>935</v>
      </c>
      <c r="G349" s="1">
        <v>45237</v>
      </c>
      <c r="H349">
        <v>5414139</v>
      </c>
      <c r="I349">
        <v>205</v>
      </c>
      <c r="J349" t="s">
        <v>240</v>
      </c>
      <c r="K349" t="str">
        <f>IFERROR(IF(AND(VLOOKUP($C349,Hes!$A:$B, 1, FALSE), $M349&lt;&gt;" "), "Ingresada", "Falta Ingresar"), " ")</f>
        <v xml:space="preserve"> </v>
      </c>
      <c r="L349" s="4" t="str">
        <f>IFERROR(VLOOKUP($C349,Observaciones!$A:$B,2,FALSE)," ")</f>
        <v>ESPERAR INFORME VERONICA CODELCO 10 GD X FACT UNA OC</v>
      </c>
      <c r="M349" t="s">
        <v>681</v>
      </c>
      <c r="O349" s="5">
        <v>30859040</v>
      </c>
      <c r="P349" s="5">
        <v>1345254</v>
      </c>
      <c r="Q349" s="5">
        <v>255598</v>
      </c>
      <c r="R349" s="5">
        <v>1600852</v>
      </c>
    </row>
    <row r="350" spans="1:18" x14ac:dyDescent="0.25">
      <c r="A350" t="s">
        <v>71</v>
      </c>
      <c r="B350" t="s">
        <v>502</v>
      </c>
      <c r="C350">
        <v>61704000</v>
      </c>
      <c r="D350">
        <v>893</v>
      </c>
      <c r="E350">
        <v>4100226342</v>
      </c>
      <c r="F350" t="s">
        <v>935</v>
      </c>
      <c r="G350" s="1">
        <v>45237</v>
      </c>
      <c r="H350">
        <v>5414140</v>
      </c>
      <c r="I350">
        <v>205</v>
      </c>
      <c r="J350" t="s">
        <v>240</v>
      </c>
      <c r="K350" t="str">
        <f>IFERROR(IF(AND(VLOOKUP($C350,Hes!$A:$B, 1, FALSE), $M350&lt;&gt;" "), "Ingresada", "Falta Ingresar"), " ")</f>
        <v xml:space="preserve"> </v>
      </c>
      <c r="L350" s="4" t="str">
        <f>IFERROR(VLOOKUP($C350,Observaciones!$A:$B,2,FALSE)," ")</f>
        <v>ESPERAR INFORME VERONICA CODELCO 10 GD X FACT UNA OC</v>
      </c>
      <c r="M350" t="s">
        <v>681</v>
      </c>
      <c r="O350" s="5">
        <v>30859242</v>
      </c>
      <c r="P350" s="5">
        <v>125798</v>
      </c>
      <c r="Q350" s="5">
        <v>23902</v>
      </c>
      <c r="R350" s="5">
        <v>149700</v>
      </c>
    </row>
    <row r="351" spans="1:18" x14ac:dyDescent="0.25">
      <c r="A351" t="s">
        <v>71</v>
      </c>
      <c r="B351" t="s">
        <v>502</v>
      </c>
      <c r="C351">
        <v>61704000</v>
      </c>
      <c r="D351">
        <v>399</v>
      </c>
      <c r="E351">
        <v>4100226331</v>
      </c>
      <c r="F351" t="s">
        <v>935</v>
      </c>
      <c r="G351" s="1">
        <v>45237</v>
      </c>
      <c r="H351">
        <v>5414141</v>
      </c>
      <c r="I351">
        <v>205</v>
      </c>
      <c r="J351" t="s">
        <v>240</v>
      </c>
      <c r="K351" t="str">
        <f>IFERROR(IF(AND(VLOOKUP($C351,Hes!$A:$B, 1, FALSE), $M351&lt;&gt;" "), "Ingresada", "Falta Ingresar"), " ")</f>
        <v xml:space="preserve"> </v>
      </c>
      <c r="L351" s="4" t="str">
        <f>IFERROR(VLOOKUP($C351,Observaciones!$A:$B,2,FALSE)," ")</f>
        <v>ESPERAR INFORME VERONICA CODELCO 10 GD X FACT UNA OC</v>
      </c>
      <c r="M351" t="s">
        <v>681</v>
      </c>
      <c r="O351" s="5">
        <v>30858885</v>
      </c>
      <c r="P351" s="5">
        <v>149000</v>
      </c>
      <c r="Q351" s="5">
        <v>28310</v>
      </c>
      <c r="R351" s="5">
        <v>177310</v>
      </c>
    </row>
    <row r="352" spans="1:18" x14ac:dyDescent="0.25">
      <c r="A352" t="s">
        <v>71</v>
      </c>
      <c r="B352" t="s">
        <v>502</v>
      </c>
      <c r="C352">
        <v>61704000</v>
      </c>
      <c r="D352">
        <v>2266</v>
      </c>
      <c r="E352">
        <v>4100226348</v>
      </c>
      <c r="F352" t="s">
        <v>935</v>
      </c>
      <c r="G352" s="1">
        <v>45237</v>
      </c>
      <c r="H352">
        <v>5414268</v>
      </c>
      <c r="I352">
        <v>205</v>
      </c>
      <c r="J352" t="s">
        <v>240</v>
      </c>
      <c r="K352" t="str">
        <f>IFERROR(IF(AND(VLOOKUP($C352,Hes!$A:$B, 1, FALSE), $M352&lt;&gt;" "), "Ingresada", "Falta Ingresar"), " ")</f>
        <v xml:space="preserve"> </v>
      </c>
      <c r="L352" s="4" t="str">
        <f>IFERROR(VLOOKUP($C352,Observaciones!$A:$B,2,FALSE)," ")</f>
        <v>ESPERAR INFORME VERONICA CODELCO 10 GD X FACT UNA OC</v>
      </c>
      <c r="M352" t="s">
        <v>681</v>
      </c>
      <c r="O352" s="5">
        <v>30859373</v>
      </c>
      <c r="P352" s="5">
        <v>448400</v>
      </c>
      <c r="Q352" s="5">
        <v>85196</v>
      </c>
      <c r="R352" s="5">
        <v>550696</v>
      </c>
    </row>
    <row r="353" spans="1:18" x14ac:dyDescent="0.25">
      <c r="A353" t="s">
        <v>71</v>
      </c>
      <c r="B353" t="s">
        <v>502</v>
      </c>
      <c r="C353">
        <v>61704000</v>
      </c>
      <c r="D353">
        <v>1849</v>
      </c>
      <c r="E353">
        <v>4100226323</v>
      </c>
      <c r="F353" t="s">
        <v>935</v>
      </c>
      <c r="G353" s="1">
        <v>45237</v>
      </c>
      <c r="H353">
        <v>5414371</v>
      </c>
      <c r="I353">
        <v>205</v>
      </c>
      <c r="J353" t="s">
        <v>240</v>
      </c>
      <c r="K353" t="str">
        <f>IFERROR(IF(AND(VLOOKUP($C353,Hes!$A:$B, 1, FALSE), $M353&lt;&gt;" "), "Ingresada", "Falta Ingresar"), " ")</f>
        <v xml:space="preserve"> </v>
      </c>
      <c r="L353" s="4" t="str">
        <f>IFERROR(VLOOKUP($C353,Observaciones!$A:$B,2,FALSE)," ")</f>
        <v>ESPERAR INFORME VERONICA CODELCO 10 GD X FACT UNA OC</v>
      </c>
      <c r="M353" t="s">
        <v>681</v>
      </c>
      <c r="O353" s="5">
        <v>30860026</v>
      </c>
      <c r="P353" s="5">
        <v>215720</v>
      </c>
      <c r="Q353" s="5">
        <v>40987</v>
      </c>
      <c r="R353" s="5">
        <v>256707</v>
      </c>
    </row>
    <row r="354" spans="1:18" x14ac:dyDescent="0.25">
      <c r="A354" t="s">
        <v>71</v>
      </c>
      <c r="B354" t="s">
        <v>502</v>
      </c>
      <c r="C354">
        <v>61704000</v>
      </c>
      <c r="D354">
        <v>2189</v>
      </c>
      <c r="E354">
        <v>4100226350</v>
      </c>
      <c r="F354" t="s">
        <v>935</v>
      </c>
      <c r="G354" s="1">
        <v>45237</v>
      </c>
      <c r="H354">
        <v>5414484</v>
      </c>
      <c r="I354">
        <v>205</v>
      </c>
      <c r="J354" t="s">
        <v>240</v>
      </c>
      <c r="K354" t="str">
        <f>IFERROR(IF(AND(VLOOKUP($C354,Hes!$A:$B, 1, FALSE), $M354&lt;&gt;" "), "Ingresada", "Falta Ingresar"), " ")</f>
        <v xml:space="preserve"> </v>
      </c>
      <c r="L354" s="4" t="str">
        <f>IFERROR(VLOOKUP($C354,Observaciones!$A:$B,2,FALSE)," ")</f>
        <v>ESPERAR INFORME VERONICA CODELCO 10 GD X FACT UNA OC</v>
      </c>
      <c r="M354" t="s">
        <v>681</v>
      </c>
      <c r="O354" s="5">
        <v>30859598</v>
      </c>
      <c r="P354" s="5">
        <v>40962</v>
      </c>
      <c r="Q354" s="5">
        <v>7783</v>
      </c>
      <c r="R354" s="5">
        <v>48745</v>
      </c>
    </row>
    <row r="355" spans="1:18" x14ac:dyDescent="0.25">
      <c r="A355" t="s">
        <v>71</v>
      </c>
      <c r="B355" t="s">
        <v>502</v>
      </c>
      <c r="C355">
        <v>61704000</v>
      </c>
      <c r="D355">
        <v>2189</v>
      </c>
      <c r="E355">
        <v>4100226352</v>
      </c>
      <c r="F355" t="s">
        <v>935</v>
      </c>
      <c r="G355" s="1">
        <v>45237</v>
      </c>
      <c r="H355">
        <v>5414485</v>
      </c>
      <c r="I355">
        <v>205</v>
      </c>
      <c r="J355" t="s">
        <v>240</v>
      </c>
      <c r="K355" t="str">
        <f>IFERROR(IF(AND(VLOOKUP($C355,Hes!$A:$B, 1, FALSE), $M355&lt;&gt;" "), "Ingresada", "Falta Ingresar"), " ")</f>
        <v xml:space="preserve"> </v>
      </c>
      <c r="L355" s="4" t="str">
        <f>IFERROR(VLOOKUP($C355,Observaciones!$A:$B,2,FALSE)," ")</f>
        <v>ESPERAR INFORME VERONICA CODELCO 10 GD X FACT UNA OC</v>
      </c>
      <c r="M355" t="s">
        <v>681</v>
      </c>
      <c r="O355" s="5">
        <v>30859580</v>
      </c>
      <c r="P355" s="5">
        <v>19195</v>
      </c>
      <c r="Q355" s="5">
        <v>3647</v>
      </c>
      <c r="R355" s="5">
        <v>22842</v>
      </c>
    </row>
    <row r="356" spans="1:18" x14ac:dyDescent="0.25">
      <c r="A356" t="s">
        <v>71</v>
      </c>
      <c r="B356" t="s">
        <v>502</v>
      </c>
      <c r="C356">
        <v>61704000</v>
      </c>
      <c r="D356">
        <v>1728</v>
      </c>
      <c r="E356">
        <v>4100226336</v>
      </c>
      <c r="F356" t="s">
        <v>935</v>
      </c>
      <c r="G356" s="1">
        <v>45237</v>
      </c>
      <c r="H356">
        <v>5414486</v>
      </c>
      <c r="I356">
        <v>205</v>
      </c>
      <c r="J356" t="s">
        <v>240</v>
      </c>
      <c r="K356" t="str">
        <f>IFERROR(IF(AND(VLOOKUP($C356,Hes!$A:$B, 1, FALSE), $M356&lt;&gt;" "), "Ingresada", "Falta Ingresar"), " ")</f>
        <v xml:space="preserve"> </v>
      </c>
      <c r="L356" s="4" t="str">
        <f>IFERROR(VLOOKUP($C356,Observaciones!$A:$B,2,FALSE)," ")</f>
        <v>ESPERAR INFORME VERONICA CODELCO 10 GD X FACT UNA OC</v>
      </c>
      <c r="M356" t="s">
        <v>681</v>
      </c>
      <c r="O356" s="5">
        <v>30859139</v>
      </c>
      <c r="P356" s="5">
        <v>46108</v>
      </c>
      <c r="Q356" s="5">
        <v>8761</v>
      </c>
      <c r="R356" s="5">
        <v>54869</v>
      </c>
    </row>
    <row r="357" spans="1:18" x14ac:dyDescent="0.25">
      <c r="A357" t="s">
        <v>71</v>
      </c>
      <c r="B357" t="s">
        <v>502</v>
      </c>
      <c r="C357">
        <v>61704000</v>
      </c>
      <c r="D357">
        <v>1345</v>
      </c>
      <c r="E357">
        <v>4100226346</v>
      </c>
      <c r="F357" t="s">
        <v>935</v>
      </c>
      <c r="G357" s="1">
        <v>45237</v>
      </c>
      <c r="H357">
        <v>5414493</v>
      </c>
      <c r="I357">
        <v>205</v>
      </c>
      <c r="J357" t="s">
        <v>240</v>
      </c>
      <c r="K357" t="str">
        <f>IFERROR(IF(AND(VLOOKUP($C357,Hes!$A:$B, 1, FALSE), $M357&lt;&gt;" "), "Ingresada", "Falta Ingresar"), " ")</f>
        <v xml:space="preserve"> </v>
      </c>
      <c r="L357" s="4" t="str">
        <f>IFERROR(VLOOKUP($C357,Observaciones!$A:$B,2,FALSE)," ")</f>
        <v>ESPERAR INFORME VERONICA CODELCO 10 GD X FACT UNA OC</v>
      </c>
      <c r="M357" t="s">
        <v>681</v>
      </c>
      <c r="O357" s="5">
        <v>30859313</v>
      </c>
      <c r="P357" s="5">
        <v>266716</v>
      </c>
      <c r="Q357" s="5">
        <v>50676</v>
      </c>
      <c r="R357" s="5">
        <v>317392</v>
      </c>
    </row>
    <row r="358" spans="1:18" x14ac:dyDescent="0.25">
      <c r="A358" t="s">
        <v>71</v>
      </c>
      <c r="B358" t="s">
        <v>502</v>
      </c>
      <c r="C358">
        <v>61704000</v>
      </c>
      <c r="D358">
        <v>2012</v>
      </c>
      <c r="E358">
        <v>4100226382</v>
      </c>
      <c r="F358" t="s">
        <v>935</v>
      </c>
      <c r="G358" s="1">
        <v>45238</v>
      </c>
      <c r="H358">
        <v>5415021</v>
      </c>
      <c r="I358">
        <v>205</v>
      </c>
      <c r="J358" t="s">
        <v>240</v>
      </c>
      <c r="K358" t="str">
        <f>IFERROR(IF(AND(VLOOKUP($C358,Hes!$A:$B, 1, FALSE), $M358&lt;&gt;" "), "Ingresada", "Falta Ingresar"), " ")</f>
        <v xml:space="preserve"> </v>
      </c>
      <c r="L358" s="4" t="str">
        <f>IFERROR(VLOOKUP($C358,Observaciones!$A:$B,2,FALSE)," ")</f>
        <v>ESPERAR INFORME VERONICA CODELCO 10 GD X FACT UNA OC</v>
      </c>
      <c r="M358" t="s">
        <v>681</v>
      </c>
      <c r="O358" s="5">
        <v>30862104</v>
      </c>
      <c r="P358" s="5">
        <v>35040</v>
      </c>
      <c r="Q358" s="5">
        <v>6658</v>
      </c>
      <c r="R358" s="5">
        <v>41698</v>
      </c>
    </row>
    <row r="359" spans="1:18" x14ac:dyDescent="0.25">
      <c r="A359" t="s">
        <v>71</v>
      </c>
      <c r="B359" t="s">
        <v>502</v>
      </c>
      <c r="C359">
        <v>61704000</v>
      </c>
      <c r="D359">
        <v>190</v>
      </c>
      <c r="E359">
        <v>4100226388</v>
      </c>
      <c r="F359" t="s">
        <v>935</v>
      </c>
      <c r="G359" s="1">
        <v>45238</v>
      </c>
      <c r="H359">
        <v>5415022</v>
      </c>
      <c r="I359">
        <v>205</v>
      </c>
      <c r="J359" t="s">
        <v>240</v>
      </c>
      <c r="K359" t="str">
        <f>IFERROR(IF(AND(VLOOKUP($C359,Hes!$A:$B, 1, FALSE), $M359&lt;&gt;" "), "Ingresada", "Falta Ingresar"), " ")</f>
        <v xml:space="preserve"> </v>
      </c>
      <c r="L359" s="4" t="str">
        <f>IFERROR(VLOOKUP($C359,Observaciones!$A:$B,2,FALSE)," ")</f>
        <v>ESPERAR INFORME VERONICA CODELCO 10 GD X FACT UNA OC</v>
      </c>
      <c r="M359" t="s">
        <v>681</v>
      </c>
      <c r="O359" s="5">
        <v>30862171</v>
      </c>
      <c r="P359" s="5">
        <v>46260</v>
      </c>
      <c r="Q359" s="5">
        <v>8789</v>
      </c>
      <c r="R359" s="5">
        <v>55049</v>
      </c>
    </row>
    <row r="360" spans="1:18" x14ac:dyDescent="0.25">
      <c r="A360" t="s">
        <v>71</v>
      </c>
      <c r="B360" t="s">
        <v>502</v>
      </c>
      <c r="C360">
        <v>61704000</v>
      </c>
      <c r="D360">
        <v>764</v>
      </c>
      <c r="E360">
        <v>4100226368</v>
      </c>
      <c r="F360" t="s">
        <v>935</v>
      </c>
      <c r="G360" s="1">
        <v>45238</v>
      </c>
      <c r="H360">
        <v>5415023</v>
      </c>
      <c r="I360">
        <v>205</v>
      </c>
      <c r="J360" t="s">
        <v>240</v>
      </c>
      <c r="K360" t="str">
        <f>IFERROR(IF(AND(VLOOKUP($C360,Hes!$A:$B, 1, FALSE), $M360&lt;&gt;" "), "Ingresada", "Falta Ingresar"), " ")</f>
        <v xml:space="preserve"> </v>
      </c>
      <c r="L360" s="4" t="str">
        <f>IFERROR(VLOOKUP($C360,Observaciones!$A:$B,2,FALSE)," ")</f>
        <v>ESPERAR INFORME VERONICA CODELCO 10 GD X FACT UNA OC</v>
      </c>
      <c r="M360" t="s">
        <v>681</v>
      </c>
      <c r="O360" s="5">
        <v>30860236</v>
      </c>
      <c r="P360" s="5">
        <v>221056</v>
      </c>
      <c r="Q360" s="5">
        <v>42001</v>
      </c>
      <c r="R360" s="5">
        <v>263057</v>
      </c>
    </row>
    <row r="361" spans="1:18" x14ac:dyDescent="0.25">
      <c r="A361" t="s">
        <v>71</v>
      </c>
      <c r="B361" t="s">
        <v>502</v>
      </c>
      <c r="C361">
        <v>61704000</v>
      </c>
      <c r="D361">
        <v>1579</v>
      </c>
      <c r="E361">
        <v>4100226361</v>
      </c>
      <c r="F361" t="s">
        <v>935</v>
      </c>
      <c r="G361" s="1">
        <v>45238</v>
      </c>
      <c r="H361">
        <v>5415024</v>
      </c>
      <c r="I361">
        <v>205</v>
      </c>
      <c r="J361" t="s">
        <v>240</v>
      </c>
      <c r="K361" t="str">
        <f>IFERROR(IF(AND(VLOOKUP($C361,Hes!$A:$B, 1, FALSE), $M361&lt;&gt;" "), "Ingresada", "Falta Ingresar"), " ")</f>
        <v xml:space="preserve"> </v>
      </c>
      <c r="L361" s="4" t="str">
        <f>IFERROR(VLOOKUP($C361,Observaciones!$A:$B,2,FALSE)," ")</f>
        <v>ESPERAR INFORME VERONICA CODELCO 10 GD X FACT UNA OC</v>
      </c>
      <c r="M361" t="s">
        <v>681</v>
      </c>
      <c r="O361" s="5">
        <v>30859717</v>
      </c>
      <c r="P361" s="5">
        <v>234879</v>
      </c>
      <c r="Q361" s="5">
        <v>44627</v>
      </c>
      <c r="R361" s="5">
        <v>279506</v>
      </c>
    </row>
    <row r="362" spans="1:18" x14ac:dyDescent="0.25">
      <c r="A362" t="s">
        <v>71</v>
      </c>
      <c r="B362" t="s">
        <v>502</v>
      </c>
      <c r="C362">
        <v>61704000</v>
      </c>
      <c r="D362">
        <v>248</v>
      </c>
      <c r="E362">
        <v>4100226408</v>
      </c>
      <c r="F362" t="s">
        <v>935</v>
      </c>
      <c r="G362" s="1">
        <v>45238</v>
      </c>
      <c r="H362">
        <v>5415025</v>
      </c>
      <c r="I362">
        <v>205</v>
      </c>
      <c r="J362" t="s">
        <v>240</v>
      </c>
      <c r="K362" t="str">
        <f>IFERROR(IF(AND(VLOOKUP($C362,Hes!$A:$B, 1, FALSE), $M362&lt;&gt;" "), "Ingresada", "Falta Ingresar"), " ")</f>
        <v xml:space="preserve"> </v>
      </c>
      <c r="L362" s="4" t="str">
        <f>IFERROR(VLOOKUP($C362,Observaciones!$A:$B,2,FALSE)," ")</f>
        <v>ESPERAR INFORME VERONICA CODELCO 10 GD X FACT UNA OC</v>
      </c>
      <c r="M362" t="s">
        <v>681</v>
      </c>
      <c r="O362" s="5">
        <v>30862235</v>
      </c>
      <c r="P362" s="5">
        <v>59365</v>
      </c>
      <c r="Q362" s="5">
        <v>11279</v>
      </c>
      <c r="R362" s="5">
        <v>70644</v>
      </c>
    </row>
    <row r="363" spans="1:18" x14ac:dyDescent="0.25">
      <c r="A363" t="s">
        <v>71</v>
      </c>
      <c r="B363" t="s">
        <v>502</v>
      </c>
      <c r="C363">
        <v>61704000</v>
      </c>
      <c r="D363">
        <v>855</v>
      </c>
      <c r="E363">
        <v>4100226341</v>
      </c>
      <c r="F363" t="s">
        <v>935</v>
      </c>
      <c r="G363" s="1">
        <v>45238</v>
      </c>
      <c r="H363">
        <v>5415072</v>
      </c>
      <c r="I363">
        <v>205</v>
      </c>
      <c r="J363" t="s">
        <v>240</v>
      </c>
      <c r="K363" t="str">
        <f>IFERROR(IF(AND(VLOOKUP($C363,Hes!$A:$B, 1, FALSE), $M363&lt;&gt;" "), "Ingresada", "Falta Ingresar"), " ")</f>
        <v xml:space="preserve"> </v>
      </c>
      <c r="L363" s="4" t="str">
        <f>IFERROR(VLOOKUP($C363,Observaciones!$A:$B,2,FALSE)," ")</f>
        <v>ESPERAR INFORME VERONICA CODELCO 10 GD X FACT UNA OC</v>
      </c>
      <c r="M363" t="s">
        <v>681</v>
      </c>
      <c r="O363" s="5">
        <v>30859216</v>
      </c>
      <c r="P363" s="5">
        <v>79800</v>
      </c>
      <c r="Q363" s="5">
        <v>15162</v>
      </c>
      <c r="R363" s="5">
        <v>94962</v>
      </c>
    </row>
    <row r="364" spans="1:18" x14ac:dyDescent="0.25">
      <c r="A364" t="s">
        <v>71</v>
      </c>
      <c r="B364" t="s">
        <v>502</v>
      </c>
      <c r="C364">
        <v>61704000</v>
      </c>
      <c r="D364">
        <v>105</v>
      </c>
      <c r="E364">
        <v>4100226383</v>
      </c>
      <c r="F364" t="s">
        <v>935</v>
      </c>
      <c r="G364" s="1">
        <v>45238</v>
      </c>
      <c r="H364">
        <v>5415129</v>
      </c>
      <c r="I364">
        <v>205</v>
      </c>
      <c r="J364" t="s">
        <v>240</v>
      </c>
      <c r="K364" t="str">
        <f>IFERROR(IF(AND(VLOOKUP($C364,Hes!$A:$B, 1, FALSE), $M364&lt;&gt;" "), "Ingresada", "Falta Ingresar"), " ")</f>
        <v xml:space="preserve"> </v>
      </c>
      <c r="L364" s="4" t="str">
        <f>IFERROR(VLOOKUP($C364,Observaciones!$A:$B,2,FALSE)," ")</f>
        <v>ESPERAR INFORME VERONICA CODELCO 10 GD X FACT UNA OC</v>
      </c>
      <c r="M364" t="s">
        <v>681</v>
      </c>
      <c r="O364" s="5">
        <v>30862116</v>
      </c>
      <c r="P364" s="5">
        <v>259275</v>
      </c>
      <c r="Q364" s="5">
        <v>49262</v>
      </c>
      <c r="R364" s="5">
        <v>308537</v>
      </c>
    </row>
    <row r="365" spans="1:18" x14ac:dyDescent="0.25">
      <c r="A365" t="s">
        <v>71</v>
      </c>
      <c r="B365" t="s">
        <v>502</v>
      </c>
      <c r="C365">
        <v>61704000</v>
      </c>
      <c r="D365">
        <v>2287</v>
      </c>
      <c r="E365">
        <v>4100226362</v>
      </c>
      <c r="F365" t="s">
        <v>935</v>
      </c>
      <c r="G365" s="1">
        <v>45238</v>
      </c>
      <c r="H365">
        <v>5415228</v>
      </c>
      <c r="I365">
        <v>205</v>
      </c>
      <c r="J365" t="s">
        <v>240</v>
      </c>
      <c r="K365" t="str">
        <f>IFERROR(IF(AND(VLOOKUP($C365,Hes!$A:$B, 1, FALSE), $M365&lt;&gt;" "), "Ingresada", "Falta Ingresar"), " ")</f>
        <v xml:space="preserve"> </v>
      </c>
      <c r="L365" s="4" t="str">
        <f>IFERROR(VLOOKUP($C365,Observaciones!$A:$B,2,FALSE)," ")</f>
        <v>ESPERAR INFORME VERONICA CODELCO 10 GD X FACT UNA OC</v>
      </c>
      <c r="M365" t="s">
        <v>681</v>
      </c>
      <c r="O365" s="5">
        <v>30861079</v>
      </c>
      <c r="P365" s="5">
        <v>92560</v>
      </c>
      <c r="Q365" s="5">
        <v>17586</v>
      </c>
      <c r="R365" s="5">
        <v>110146</v>
      </c>
    </row>
    <row r="366" spans="1:18" x14ac:dyDescent="0.25">
      <c r="A366" t="s">
        <v>71</v>
      </c>
      <c r="B366" t="s">
        <v>502</v>
      </c>
      <c r="C366">
        <v>61704000</v>
      </c>
      <c r="D366">
        <v>1859</v>
      </c>
      <c r="E366">
        <v>4100226421</v>
      </c>
      <c r="F366" t="s">
        <v>935</v>
      </c>
      <c r="G366" s="1">
        <v>45238</v>
      </c>
      <c r="H366">
        <v>5415339</v>
      </c>
      <c r="I366">
        <v>205</v>
      </c>
      <c r="J366" t="s">
        <v>240</v>
      </c>
      <c r="K366" t="str">
        <f>IFERROR(IF(AND(VLOOKUP($C366,Hes!$A:$B, 1, FALSE), $M366&lt;&gt;" "), "Ingresada", "Falta Ingresar"), " ")</f>
        <v xml:space="preserve"> </v>
      </c>
      <c r="L366" s="4" t="str">
        <f>IFERROR(VLOOKUP($C366,Observaciones!$A:$B,2,FALSE)," ")</f>
        <v>ESPERAR INFORME VERONICA CODELCO 10 GD X FACT UNA OC</v>
      </c>
      <c r="M366" t="s">
        <v>681</v>
      </c>
      <c r="O366" s="5">
        <v>30862500</v>
      </c>
      <c r="P366" s="5">
        <v>230195</v>
      </c>
      <c r="Q366" s="5">
        <v>43737</v>
      </c>
      <c r="R366" s="5">
        <v>273932</v>
      </c>
    </row>
    <row r="367" spans="1:18" x14ac:dyDescent="0.25">
      <c r="A367" t="s">
        <v>71</v>
      </c>
      <c r="B367" t="s">
        <v>502</v>
      </c>
      <c r="C367">
        <v>61704000</v>
      </c>
      <c r="D367">
        <v>91</v>
      </c>
      <c r="E367">
        <v>4100226426</v>
      </c>
      <c r="F367" t="s">
        <v>935</v>
      </c>
      <c r="G367" s="1">
        <v>45238</v>
      </c>
      <c r="H367">
        <v>5415340</v>
      </c>
      <c r="I367">
        <v>205</v>
      </c>
      <c r="J367" t="s">
        <v>240</v>
      </c>
      <c r="K367" t="str">
        <f>IFERROR(IF(AND(VLOOKUP($C367,Hes!$A:$B, 1, FALSE), $M367&lt;&gt;" "), "Ingresada", "Falta Ingresar"), " ")</f>
        <v xml:space="preserve"> </v>
      </c>
      <c r="L367" s="4" t="str">
        <f>IFERROR(VLOOKUP($C367,Observaciones!$A:$B,2,FALSE)," ")</f>
        <v>ESPERAR INFORME VERONICA CODELCO 10 GD X FACT UNA OC</v>
      </c>
      <c r="M367" t="s">
        <v>681</v>
      </c>
      <c r="O367" s="5">
        <v>30862646</v>
      </c>
      <c r="P367" s="5">
        <v>298950</v>
      </c>
      <c r="Q367" s="5">
        <v>56801</v>
      </c>
      <c r="R367" s="5">
        <v>355751</v>
      </c>
    </row>
    <row r="368" spans="1:18" x14ac:dyDescent="0.25">
      <c r="A368" t="s">
        <v>71</v>
      </c>
      <c r="B368" t="s">
        <v>502</v>
      </c>
      <c r="C368">
        <v>61704000</v>
      </c>
      <c r="D368">
        <v>1319</v>
      </c>
      <c r="E368">
        <v>4100226406</v>
      </c>
      <c r="F368" t="s">
        <v>935</v>
      </c>
      <c r="G368" s="1">
        <v>45238</v>
      </c>
      <c r="H368">
        <v>5415341</v>
      </c>
      <c r="I368">
        <v>205</v>
      </c>
      <c r="J368" t="s">
        <v>240</v>
      </c>
      <c r="K368" t="str">
        <f>IFERROR(IF(AND(VLOOKUP($C368,Hes!$A:$B, 1, FALSE), $M368&lt;&gt;" "), "Ingresada", "Falta Ingresar"), " ")</f>
        <v xml:space="preserve"> </v>
      </c>
      <c r="L368" s="4" t="str">
        <f>IFERROR(VLOOKUP($C368,Observaciones!$A:$B,2,FALSE)," ")</f>
        <v>ESPERAR INFORME VERONICA CODELCO 10 GD X FACT UNA OC</v>
      </c>
      <c r="M368" t="s">
        <v>681</v>
      </c>
      <c r="O368" s="5">
        <v>30862195</v>
      </c>
      <c r="P368" s="5">
        <v>55836</v>
      </c>
      <c r="Q368" s="5">
        <v>10609</v>
      </c>
      <c r="R368" s="5">
        <v>66445</v>
      </c>
    </row>
    <row r="369" spans="1:18" x14ac:dyDescent="0.25">
      <c r="A369" t="s">
        <v>71</v>
      </c>
      <c r="B369" t="s">
        <v>502</v>
      </c>
      <c r="C369">
        <v>61704000</v>
      </c>
      <c r="D369">
        <v>1647</v>
      </c>
      <c r="E369">
        <v>4100226410</v>
      </c>
      <c r="F369" t="s">
        <v>935</v>
      </c>
      <c r="G369" s="1">
        <v>45238</v>
      </c>
      <c r="H369">
        <v>5415342</v>
      </c>
      <c r="I369">
        <v>205</v>
      </c>
      <c r="J369" t="s">
        <v>240</v>
      </c>
      <c r="K369" t="str">
        <f>IFERROR(IF(AND(VLOOKUP($C369,Hes!$A:$B, 1, FALSE), $M369&lt;&gt;" "), "Ingresada", "Falta Ingresar"), " ")</f>
        <v xml:space="preserve"> </v>
      </c>
      <c r="L369" s="4" t="str">
        <f>IFERROR(VLOOKUP($C369,Observaciones!$A:$B,2,FALSE)," ")</f>
        <v>ESPERAR INFORME VERONICA CODELCO 10 GD X FACT UNA OC</v>
      </c>
      <c r="M369" t="s">
        <v>681</v>
      </c>
      <c r="O369" s="5">
        <v>30862321</v>
      </c>
      <c r="P369" s="5">
        <v>76640</v>
      </c>
      <c r="Q369" s="5">
        <v>14562</v>
      </c>
      <c r="R369" s="5">
        <v>91202</v>
      </c>
    </row>
    <row r="370" spans="1:18" x14ac:dyDescent="0.25">
      <c r="A370" t="s">
        <v>71</v>
      </c>
      <c r="B370" t="s">
        <v>502</v>
      </c>
      <c r="C370">
        <v>61704000</v>
      </c>
      <c r="D370">
        <v>1311</v>
      </c>
      <c r="E370">
        <v>4100226414</v>
      </c>
      <c r="F370" t="s">
        <v>935</v>
      </c>
      <c r="G370" s="1">
        <v>45238</v>
      </c>
      <c r="H370">
        <v>5415343</v>
      </c>
      <c r="I370">
        <v>205</v>
      </c>
      <c r="J370" t="s">
        <v>240</v>
      </c>
      <c r="K370" t="str">
        <f>IFERROR(IF(AND(VLOOKUP($C370,Hes!$A:$B, 1, FALSE), $M370&lt;&gt;" "), "Ingresada", "Falta Ingresar"), " ")</f>
        <v xml:space="preserve"> </v>
      </c>
      <c r="L370" s="4" t="str">
        <f>IFERROR(VLOOKUP($C370,Observaciones!$A:$B,2,FALSE)," ")</f>
        <v>ESPERAR INFORME VERONICA CODELCO 10 GD X FACT UNA OC</v>
      </c>
      <c r="M370" t="s">
        <v>681</v>
      </c>
      <c r="O370" s="5">
        <v>30862465</v>
      </c>
      <c r="P370" s="5">
        <v>186070</v>
      </c>
      <c r="Q370" s="5">
        <v>35353</v>
      </c>
      <c r="R370" s="5">
        <v>221423</v>
      </c>
    </row>
    <row r="371" spans="1:18" x14ac:dyDescent="0.25">
      <c r="A371" t="s">
        <v>71</v>
      </c>
      <c r="B371" t="s">
        <v>502</v>
      </c>
      <c r="C371">
        <v>61704000</v>
      </c>
      <c r="D371">
        <v>1310</v>
      </c>
      <c r="E371">
        <v>4100226409</v>
      </c>
      <c r="F371" t="s">
        <v>935</v>
      </c>
      <c r="G371" s="1">
        <v>45238</v>
      </c>
      <c r="H371">
        <v>5415344</v>
      </c>
      <c r="I371">
        <v>205</v>
      </c>
      <c r="J371" t="s">
        <v>240</v>
      </c>
      <c r="K371" t="str">
        <f>IFERROR(IF(AND(VLOOKUP($C371,Hes!$A:$B, 1, FALSE), $M371&lt;&gt;" "), "Ingresada", "Falta Ingresar"), " ")</f>
        <v xml:space="preserve"> </v>
      </c>
      <c r="L371" s="4" t="str">
        <f>IFERROR(VLOOKUP($C371,Observaciones!$A:$B,2,FALSE)," ")</f>
        <v>ESPERAR INFORME VERONICA CODELCO 10 GD X FACT UNA OC</v>
      </c>
      <c r="M371" t="s">
        <v>681</v>
      </c>
      <c r="O371" s="5">
        <v>30862296</v>
      </c>
      <c r="P371" s="5">
        <v>36646</v>
      </c>
      <c r="Q371" s="5">
        <v>6963</v>
      </c>
      <c r="R371" s="5">
        <v>43609</v>
      </c>
    </row>
    <row r="372" spans="1:18" x14ac:dyDescent="0.25">
      <c r="A372" t="s">
        <v>71</v>
      </c>
      <c r="B372" t="s">
        <v>502</v>
      </c>
      <c r="C372">
        <v>61704000</v>
      </c>
      <c r="D372">
        <v>2252</v>
      </c>
      <c r="E372">
        <v>4100226381</v>
      </c>
      <c r="F372" t="s">
        <v>935</v>
      </c>
      <c r="G372" s="1">
        <v>45238</v>
      </c>
      <c r="H372">
        <v>5415345</v>
      </c>
      <c r="I372">
        <v>205</v>
      </c>
      <c r="J372" t="s">
        <v>240</v>
      </c>
      <c r="K372" t="str">
        <f>IFERROR(IF(AND(VLOOKUP($C372,Hes!$A:$B, 1, FALSE), $M372&lt;&gt;" "), "Ingresada", "Falta Ingresar"), " ")</f>
        <v xml:space="preserve"> </v>
      </c>
      <c r="L372" s="4" t="str">
        <f>IFERROR(VLOOKUP($C372,Observaciones!$A:$B,2,FALSE)," ")</f>
        <v>ESPERAR INFORME VERONICA CODELCO 10 GD X FACT UNA OC</v>
      </c>
      <c r="M372" t="s">
        <v>681</v>
      </c>
      <c r="O372" s="5">
        <v>30862343</v>
      </c>
      <c r="P372" s="5">
        <v>4808</v>
      </c>
      <c r="Q372" s="5">
        <v>914</v>
      </c>
      <c r="R372" s="5">
        <v>5722</v>
      </c>
    </row>
    <row r="373" spans="1:18" x14ac:dyDescent="0.25">
      <c r="A373" t="s">
        <v>71</v>
      </c>
      <c r="B373" t="s">
        <v>502</v>
      </c>
      <c r="C373">
        <v>61704000</v>
      </c>
      <c r="D373">
        <v>1850</v>
      </c>
      <c r="E373">
        <v>4100226430</v>
      </c>
      <c r="F373" t="s">
        <v>935</v>
      </c>
      <c r="G373" s="1">
        <v>45238</v>
      </c>
      <c r="H373">
        <v>5415461</v>
      </c>
      <c r="I373">
        <v>205</v>
      </c>
      <c r="J373" t="s">
        <v>240</v>
      </c>
      <c r="K373" t="str">
        <f>IFERROR(IF(AND(VLOOKUP($C373,Hes!$A:$B, 1, FALSE), $M373&lt;&gt;" "), "Ingresada", "Falta Ingresar"), " ")</f>
        <v xml:space="preserve"> </v>
      </c>
      <c r="L373" s="4" t="str">
        <f>IFERROR(VLOOKUP($C373,Observaciones!$A:$B,2,FALSE)," ")</f>
        <v>ESPERAR INFORME VERONICA CODELCO 10 GD X FACT UNA OC</v>
      </c>
      <c r="M373" t="s">
        <v>681</v>
      </c>
      <c r="O373" s="5">
        <v>30862682</v>
      </c>
      <c r="P373" s="5">
        <v>255027</v>
      </c>
      <c r="Q373" s="5">
        <v>48455</v>
      </c>
      <c r="R373" s="5">
        <v>303482</v>
      </c>
    </row>
    <row r="374" spans="1:18" x14ac:dyDescent="0.25">
      <c r="A374" t="s">
        <v>71</v>
      </c>
      <c r="B374" t="s">
        <v>502</v>
      </c>
      <c r="C374">
        <v>61704000</v>
      </c>
      <c r="D374">
        <v>105</v>
      </c>
      <c r="E374">
        <v>4100226377</v>
      </c>
      <c r="F374" t="s">
        <v>935</v>
      </c>
      <c r="G374" s="1">
        <v>45238</v>
      </c>
      <c r="H374">
        <v>5415498</v>
      </c>
      <c r="I374">
        <v>205</v>
      </c>
      <c r="J374" t="s">
        <v>240</v>
      </c>
      <c r="K374" t="str">
        <f>IFERROR(IF(AND(VLOOKUP($C374,Hes!$A:$B, 1, FALSE), $M374&lt;&gt;" "), "Ingresada", "Falta Ingresar"), " ")</f>
        <v xml:space="preserve"> </v>
      </c>
      <c r="L374" s="4" t="str">
        <f>IFERROR(VLOOKUP($C374,Observaciones!$A:$B,2,FALSE)," ")</f>
        <v>ESPERAR INFORME VERONICA CODELCO 10 GD X FACT UNA OC</v>
      </c>
      <c r="M374" t="s">
        <v>681</v>
      </c>
      <c r="O374" s="5">
        <v>30862077</v>
      </c>
      <c r="P374" s="5">
        <v>168950</v>
      </c>
      <c r="Q374" s="5">
        <v>32101</v>
      </c>
      <c r="R374" s="5">
        <v>201051</v>
      </c>
    </row>
    <row r="375" spans="1:18" x14ac:dyDescent="0.25">
      <c r="A375" t="s">
        <v>71</v>
      </c>
      <c r="B375" t="s">
        <v>502</v>
      </c>
      <c r="C375">
        <v>61704000</v>
      </c>
      <c r="D375">
        <v>251</v>
      </c>
      <c r="E375">
        <v>4100226375</v>
      </c>
      <c r="F375" t="s">
        <v>935</v>
      </c>
      <c r="G375" s="1">
        <v>45238</v>
      </c>
      <c r="H375">
        <v>5415818</v>
      </c>
      <c r="I375">
        <v>205</v>
      </c>
      <c r="J375" t="s">
        <v>240</v>
      </c>
      <c r="K375" t="str">
        <f>IFERROR(IF(AND(VLOOKUP($C375,Hes!$A:$B, 1, FALSE), $M375&lt;&gt;" "), "Ingresada", "Falta Ingresar"), " ")</f>
        <v xml:space="preserve"> </v>
      </c>
      <c r="L375" s="4" t="str">
        <f>IFERROR(VLOOKUP($C375,Observaciones!$A:$B,2,FALSE)," ")</f>
        <v>ESPERAR INFORME VERONICA CODELCO 10 GD X FACT UNA OC</v>
      </c>
      <c r="M375" t="s">
        <v>681</v>
      </c>
      <c r="O375" s="5">
        <v>30861972</v>
      </c>
      <c r="P375" s="5">
        <v>716715</v>
      </c>
      <c r="Q375" s="5">
        <v>136176</v>
      </c>
      <c r="R375" s="5">
        <v>852891</v>
      </c>
    </row>
    <row r="376" spans="1:18" x14ac:dyDescent="0.25">
      <c r="F376" t="s">
        <v>936</v>
      </c>
      <c r="K376" t="str">
        <f>IFERROR(IF(AND(VLOOKUP($C376,Hes!$A:$B, 1, FALSE), $M376&lt;&gt;" "), "Ingresada", "Falta Ingresar"), " ")</f>
        <v xml:space="preserve"> </v>
      </c>
      <c r="L376" s="4" t="str">
        <f>IFERROR(VLOOKUP($C376,Observaciones!$A:$B,2,FALSE)," ")</f>
        <v xml:space="preserve"> </v>
      </c>
      <c r="M376" t="s">
        <v>681</v>
      </c>
      <c r="P376" s="5">
        <v>60520201</v>
      </c>
      <c r="Q376" s="5">
        <v>11498842</v>
      </c>
      <c r="R376" s="5">
        <v>72077581</v>
      </c>
    </row>
    <row r="377" spans="1:18" x14ac:dyDescent="0.25">
      <c r="A377" t="s">
        <v>496</v>
      </c>
      <c r="B377" t="s">
        <v>494</v>
      </c>
      <c r="C377">
        <v>61964800</v>
      </c>
      <c r="D377">
        <v>0</v>
      </c>
      <c r="E377" t="s">
        <v>937</v>
      </c>
      <c r="F377" t="s">
        <v>938</v>
      </c>
      <c r="G377" s="1">
        <v>45234</v>
      </c>
      <c r="H377">
        <v>5412202</v>
      </c>
      <c r="I377">
        <v>391</v>
      </c>
      <c r="J377" t="s">
        <v>456</v>
      </c>
      <c r="K377" t="str">
        <f>IFERROR(IF(AND(VLOOKUP($C377,Hes!$A:$B, 1, FALSE), $M377&lt;&gt;" "), "Ingresada", "Falta Ingresar"), " ")</f>
        <v xml:space="preserve"> </v>
      </c>
      <c r="L377" s="4" t="str">
        <f>IFERROR(VLOOKUP($C377,Observaciones!$A:$B,2,FALSE)," ")</f>
        <v xml:space="preserve"> </v>
      </c>
      <c r="M377" t="s">
        <v>681</v>
      </c>
      <c r="O377" s="5">
        <v>30827300</v>
      </c>
      <c r="P377" s="5">
        <v>672175</v>
      </c>
      <c r="Q377" s="5">
        <v>127713</v>
      </c>
      <c r="R377" s="5">
        <v>799888</v>
      </c>
    </row>
    <row r="378" spans="1:18" x14ac:dyDescent="0.25">
      <c r="F378" t="s">
        <v>495</v>
      </c>
      <c r="K378" t="str">
        <f>IFERROR(IF(AND(VLOOKUP($C378,Hes!$A:$B, 1, FALSE), $M378&lt;&gt;" "), "Ingresada", "Falta Ingresar"), " ")</f>
        <v xml:space="preserve"> </v>
      </c>
      <c r="L378" s="4" t="str">
        <f>IFERROR(VLOOKUP($C378,Observaciones!$A:$B,2,FALSE)," ")</f>
        <v xml:space="preserve"> </v>
      </c>
      <c r="M378" t="s">
        <v>681</v>
      </c>
      <c r="P378" s="5">
        <v>672175</v>
      </c>
      <c r="Q378" s="5">
        <v>127713</v>
      </c>
      <c r="R378" s="5">
        <v>799888</v>
      </c>
    </row>
    <row r="379" spans="1:18" x14ac:dyDescent="0.25">
      <c r="A379" t="s">
        <v>496</v>
      </c>
      <c r="B379" t="s">
        <v>494</v>
      </c>
      <c r="C379">
        <v>61975100</v>
      </c>
      <c r="D379">
        <v>0</v>
      </c>
      <c r="E379" t="s">
        <v>939</v>
      </c>
      <c r="F379" t="s">
        <v>940</v>
      </c>
      <c r="G379" s="1">
        <v>45237</v>
      </c>
      <c r="H379">
        <v>5414145</v>
      </c>
      <c r="I379">
        <v>196</v>
      </c>
      <c r="J379" t="s">
        <v>382</v>
      </c>
      <c r="K379" t="str">
        <f>IFERROR(IF(AND(VLOOKUP($C379,Hes!$A:$B, 1, FALSE), $M379&lt;&gt;" "), "Ingresada", "Falta Ingresar"), " ")</f>
        <v xml:space="preserve"> </v>
      </c>
      <c r="L379" s="4" t="s">
        <v>681</v>
      </c>
      <c r="M379" t="s">
        <v>681</v>
      </c>
      <c r="O379" s="5">
        <v>30620185</v>
      </c>
      <c r="P379" s="5">
        <v>1032056</v>
      </c>
      <c r="Q379" s="5">
        <v>196091</v>
      </c>
      <c r="R379" s="5">
        <v>1228147</v>
      </c>
    </row>
    <row r="380" spans="1:18" x14ac:dyDescent="0.25">
      <c r="F380" t="s">
        <v>495</v>
      </c>
      <c r="K380" t="str">
        <f>IFERROR(IF(AND(VLOOKUP($C380,Hes!$A:$B, 1, FALSE), $M380&lt;&gt;" "), "Ingresada", "Falta Ingresar"), " ")</f>
        <v xml:space="preserve"> </v>
      </c>
      <c r="L380" s="4" t="str">
        <f>IFERROR(VLOOKUP($C380,Observaciones!$A:$B,2,FALSE)," ")</f>
        <v xml:space="preserve"> </v>
      </c>
      <c r="M380" t="s">
        <v>681</v>
      </c>
      <c r="P380" s="5">
        <v>1032056</v>
      </c>
      <c r="Q380" s="5">
        <v>196091</v>
      </c>
      <c r="R380" s="5">
        <v>1228147</v>
      </c>
    </row>
    <row r="381" spans="1:18" x14ac:dyDescent="0.25">
      <c r="A381" t="s">
        <v>496</v>
      </c>
      <c r="B381" t="s">
        <v>494</v>
      </c>
      <c r="C381">
        <v>61979440</v>
      </c>
      <c r="D381">
        <v>98</v>
      </c>
      <c r="E381" t="s">
        <v>941</v>
      </c>
      <c r="F381" t="s">
        <v>942</v>
      </c>
      <c r="G381" s="1">
        <v>45231</v>
      </c>
      <c r="H381">
        <v>5410581</v>
      </c>
      <c r="I381">
        <v>68</v>
      </c>
      <c r="J381" t="s">
        <v>462</v>
      </c>
      <c r="K381" t="str">
        <f>IFERROR(IF(AND(VLOOKUP($C381,Hes!$A:$B, 1, FALSE), $M381&lt;&gt;" "), "Ingresada", "Falta Ingresar"), " ")</f>
        <v xml:space="preserve"> </v>
      </c>
      <c r="L381" s="4" t="str">
        <f>IFERROR(VLOOKUP($C381,Observaciones!$A:$B,2,FALSE)," ")</f>
        <v>XOC Y CC</v>
      </c>
      <c r="M381" t="s">
        <v>681</v>
      </c>
      <c r="O381" s="5">
        <v>30841724</v>
      </c>
      <c r="P381" s="5">
        <v>369960</v>
      </c>
      <c r="Q381" s="5">
        <v>70292</v>
      </c>
      <c r="R381" s="5">
        <v>440252</v>
      </c>
    </row>
    <row r="382" spans="1:18" x14ac:dyDescent="0.25">
      <c r="A382" t="s">
        <v>496</v>
      </c>
      <c r="B382" t="s">
        <v>494</v>
      </c>
      <c r="C382">
        <v>61979440</v>
      </c>
      <c r="D382">
        <v>16</v>
      </c>
      <c r="E382" t="s">
        <v>941</v>
      </c>
      <c r="F382" t="s">
        <v>943</v>
      </c>
      <c r="G382" s="1">
        <v>45236</v>
      </c>
      <c r="H382">
        <v>5411953</v>
      </c>
      <c r="I382">
        <v>68</v>
      </c>
      <c r="J382" t="s">
        <v>462</v>
      </c>
      <c r="K382" t="str">
        <f>IFERROR(IF(AND(VLOOKUP($C382,Hes!$A:$B, 1, FALSE), $M382&lt;&gt;" "), "Ingresada", "Falta Ingresar"), " ")</f>
        <v xml:space="preserve"> </v>
      </c>
      <c r="L382" s="4" t="str">
        <f>IFERROR(VLOOKUP($C382,Observaciones!$A:$B,2,FALSE)," ")</f>
        <v>XOC Y CC</v>
      </c>
      <c r="M382" t="s">
        <v>681</v>
      </c>
      <c r="O382" s="5">
        <v>30841715</v>
      </c>
      <c r="P382" s="5">
        <v>246640</v>
      </c>
      <c r="Q382" s="5">
        <v>46862</v>
      </c>
      <c r="R382" s="5">
        <v>293502</v>
      </c>
    </row>
    <row r="383" spans="1:18" x14ac:dyDescent="0.25">
      <c r="F383" t="s">
        <v>497</v>
      </c>
      <c r="K383" t="str">
        <f>IFERROR(IF(AND(VLOOKUP($C383,Hes!$A:$B, 1, FALSE), $M383&lt;&gt;" "), "Ingresada", "Falta Ingresar"), " ")</f>
        <v xml:space="preserve"> </v>
      </c>
      <c r="L383" s="4" t="str">
        <f>IFERROR(VLOOKUP($C383,Observaciones!$A:$B,2,FALSE)," ")</f>
        <v xml:space="preserve"> </v>
      </c>
      <c r="M383" t="s">
        <v>681</v>
      </c>
      <c r="P383" s="5">
        <v>616600</v>
      </c>
      <c r="Q383" s="5">
        <v>117154</v>
      </c>
      <c r="R383" s="5">
        <v>733754</v>
      </c>
    </row>
    <row r="384" spans="1:18" x14ac:dyDescent="0.25">
      <c r="A384" t="s">
        <v>496</v>
      </c>
      <c r="B384" t="s">
        <v>494</v>
      </c>
      <c r="C384">
        <v>61980720</v>
      </c>
      <c r="D384">
        <v>1</v>
      </c>
      <c r="E384" t="s">
        <v>944</v>
      </c>
      <c r="F384" t="s">
        <v>945</v>
      </c>
      <c r="G384" s="1">
        <v>45237</v>
      </c>
      <c r="H384">
        <v>5414345</v>
      </c>
      <c r="I384">
        <v>438</v>
      </c>
      <c r="J384" t="s">
        <v>352</v>
      </c>
      <c r="K384" t="str">
        <f>IFERROR(IF(AND(VLOOKUP($C384,Hes!$A:$B, 1, FALSE), $M384&lt;&gt;" "), "Ingresada", "Falta Ingresar"), " ")</f>
        <v xml:space="preserve"> </v>
      </c>
      <c r="L384" s="4" t="str">
        <f>IFERROR(VLOOKUP($C384,Observaciones!$A:$B,2,FALSE)," ")</f>
        <v xml:space="preserve"> </v>
      </c>
      <c r="M384" t="s">
        <v>681</v>
      </c>
      <c r="O384" s="5">
        <v>30860909</v>
      </c>
      <c r="P384" s="5">
        <v>118093</v>
      </c>
      <c r="Q384" s="5">
        <v>22438</v>
      </c>
      <c r="R384" s="5">
        <v>140531</v>
      </c>
    </row>
    <row r="385" spans="1:18" x14ac:dyDescent="0.25">
      <c r="F385" t="s">
        <v>495</v>
      </c>
      <c r="K385" t="str">
        <f>IFERROR(IF(AND(VLOOKUP($C385,Hes!$A:$B, 1, FALSE), $M385&lt;&gt;" "), "Ingresada", "Falta Ingresar"), " ")</f>
        <v xml:space="preserve"> </v>
      </c>
      <c r="L385" s="4" t="str">
        <f>IFERROR(VLOOKUP($C385,Observaciones!$A:$B,2,FALSE)," ")</f>
        <v xml:space="preserve"> </v>
      </c>
      <c r="M385" t="s">
        <v>681</v>
      </c>
      <c r="P385" s="5">
        <v>118093</v>
      </c>
      <c r="Q385" s="5">
        <v>22438</v>
      </c>
      <c r="R385" s="5">
        <v>140531</v>
      </c>
    </row>
    <row r="386" spans="1:18" x14ac:dyDescent="0.25">
      <c r="A386" t="s">
        <v>496</v>
      </c>
      <c r="B386" t="s">
        <v>494</v>
      </c>
      <c r="C386">
        <v>65047054</v>
      </c>
      <c r="D386">
        <v>0</v>
      </c>
      <c r="E386" t="s">
        <v>946</v>
      </c>
      <c r="F386" t="s">
        <v>947</v>
      </c>
      <c r="G386" s="1">
        <v>45237</v>
      </c>
      <c r="H386">
        <v>5414415</v>
      </c>
      <c r="I386">
        <v>25</v>
      </c>
      <c r="J386" t="s">
        <v>323</v>
      </c>
      <c r="K386" t="str">
        <f>IFERROR(IF(AND(VLOOKUP($C386,Hes!$A:$B, 1, FALSE), $M386&lt;&gt;" "), "Ingresada", "Falta Ingresar"), " ")</f>
        <v xml:space="preserve"> </v>
      </c>
      <c r="L386" s="4" t="str">
        <f>IFERROR(VLOOKUP($C386,Observaciones!$A:$B,2,FALSE)," ")</f>
        <v xml:space="preserve"> </v>
      </c>
      <c r="M386" t="s">
        <v>681</v>
      </c>
      <c r="O386" s="5">
        <v>30855670</v>
      </c>
      <c r="P386" s="5">
        <v>616459</v>
      </c>
      <c r="Q386" s="5">
        <v>117127</v>
      </c>
      <c r="R386" s="5">
        <v>733586</v>
      </c>
    </row>
    <row r="387" spans="1:18" x14ac:dyDescent="0.25">
      <c r="A387" t="s">
        <v>496</v>
      </c>
      <c r="B387" t="s">
        <v>494</v>
      </c>
      <c r="C387">
        <v>65047054</v>
      </c>
      <c r="D387">
        <v>0</v>
      </c>
      <c r="E387" t="s">
        <v>948</v>
      </c>
      <c r="F387" t="s">
        <v>947</v>
      </c>
      <c r="G387" s="1">
        <v>45237</v>
      </c>
      <c r="H387">
        <v>5414432</v>
      </c>
      <c r="I387">
        <v>25</v>
      </c>
      <c r="J387" t="s">
        <v>323</v>
      </c>
      <c r="K387" t="str">
        <f>IFERROR(IF(AND(VLOOKUP($C387,Hes!$A:$B, 1, FALSE), $M387&lt;&gt;" "), "Ingresada", "Falta Ingresar"), " ")</f>
        <v xml:space="preserve"> </v>
      </c>
      <c r="L387" s="4" t="str">
        <f>IFERROR(VLOOKUP($C387,Observaciones!$A:$B,2,FALSE)," ")</f>
        <v xml:space="preserve"> </v>
      </c>
      <c r="M387" t="s">
        <v>681</v>
      </c>
      <c r="O387" s="5">
        <v>30855753</v>
      </c>
      <c r="P387" s="5">
        <v>174602</v>
      </c>
      <c r="Q387" s="5">
        <v>33174</v>
      </c>
      <c r="R387" s="5">
        <v>207776</v>
      </c>
    </row>
    <row r="388" spans="1:18" x14ac:dyDescent="0.25">
      <c r="F388" t="s">
        <v>497</v>
      </c>
      <c r="K388" t="str">
        <f>IFERROR(IF(AND(VLOOKUP($C388,Hes!$A:$B, 1, FALSE), $M388&lt;&gt;" "), "Ingresada", "Falta Ingresar"), " ")</f>
        <v xml:space="preserve"> </v>
      </c>
      <c r="L388" s="4" t="str">
        <f>IFERROR(VLOOKUP($C388,Observaciones!$A:$B,2,FALSE)," ")</f>
        <v xml:space="preserve"> </v>
      </c>
      <c r="M388" t="s">
        <v>681</v>
      </c>
      <c r="P388" s="5">
        <v>791061</v>
      </c>
      <c r="Q388" s="5">
        <v>150301</v>
      </c>
      <c r="R388" s="5">
        <v>941362</v>
      </c>
    </row>
    <row r="389" spans="1:18" x14ac:dyDescent="0.25">
      <c r="A389" t="s">
        <v>501</v>
      </c>
      <c r="B389" t="s">
        <v>502</v>
      </c>
      <c r="C389">
        <v>65061030</v>
      </c>
      <c r="D389">
        <v>0</v>
      </c>
      <c r="E389" t="s">
        <v>949</v>
      </c>
      <c r="F389" t="s">
        <v>950</v>
      </c>
      <c r="G389" s="1">
        <v>45233</v>
      </c>
      <c r="H389">
        <v>5411493</v>
      </c>
      <c r="I389">
        <v>68</v>
      </c>
      <c r="J389" t="s">
        <v>462</v>
      </c>
      <c r="K389" t="str">
        <f>IFERROR(IF(AND(VLOOKUP($C389,Hes!$A:$B, 1, FALSE), $M389&lt;&gt;" "), "Ingresada", "Falta Ingresar"), " ")</f>
        <v xml:space="preserve"> </v>
      </c>
      <c r="L389" s="4" t="str">
        <f>IFERROR(VLOOKUP($C389,Observaciones!$A:$B,2,FALSE)," ")</f>
        <v xml:space="preserve"> </v>
      </c>
      <c r="M389" t="s">
        <v>681</v>
      </c>
      <c r="O389" s="5">
        <v>30844569</v>
      </c>
      <c r="P389" s="5">
        <v>906300</v>
      </c>
      <c r="Q389" s="5">
        <v>172197</v>
      </c>
      <c r="R389" s="5">
        <v>1078497</v>
      </c>
    </row>
    <row r="390" spans="1:18" x14ac:dyDescent="0.25">
      <c r="F390" t="s">
        <v>495</v>
      </c>
      <c r="K390" t="str">
        <f>IFERROR(IF(AND(VLOOKUP($C390,Hes!$A:$B, 1, FALSE), $M390&lt;&gt;" "), "Ingresada", "Falta Ingresar"), " ")</f>
        <v xml:space="preserve"> </v>
      </c>
      <c r="L390" s="4" t="str">
        <f>IFERROR(VLOOKUP($C390,Observaciones!$A:$B,2,FALSE)," ")</f>
        <v xml:space="preserve"> </v>
      </c>
      <c r="M390" t="s">
        <v>681</v>
      </c>
      <c r="P390" s="5">
        <v>906300</v>
      </c>
      <c r="Q390" s="5">
        <v>172197</v>
      </c>
      <c r="R390" s="5">
        <v>1078497</v>
      </c>
    </row>
    <row r="391" spans="1:18" x14ac:dyDescent="0.25">
      <c r="A391" t="s">
        <v>503</v>
      </c>
      <c r="B391" t="s">
        <v>509</v>
      </c>
      <c r="C391">
        <v>65075485</v>
      </c>
      <c r="D391">
        <v>1</v>
      </c>
      <c r="E391" t="s">
        <v>951</v>
      </c>
      <c r="F391" t="s">
        <v>952</v>
      </c>
      <c r="G391" s="1">
        <v>45233</v>
      </c>
      <c r="H391">
        <v>5411244</v>
      </c>
      <c r="I391">
        <v>391</v>
      </c>
      <c r="J391" t="s">
        <v>456</v>
      </c>
      <c r="K391" t="str">
        <f>IFERROR(IF(AND(VLOOKUP($C391,Hes!$A:$B, 1, FALSE), $M391&lt;&gt;" "), "Ingresada", "Falta Ingresar"), " ")</f>
        <v xml:space="preserve"> </v>
      </c>
      <c r="L391" s="4" t="s">
        <v>681</v>
      </c>
      <c r="M391" t="s">
        <v>681</v>
      </c>
      <c r="O391" s="5">
        <v>30848358</v>
      </c>
      <c r="P391" s="5">
        <v>780000</v>
      </c>
      <c r="Q391" s="5">
        <v>148200</v>
      </c>
      <c r="R391" s="5">
        <v>928200</v>
      </c>
    </row>
    <row r="392" spans="1:18" x14ac:dyDescent="0.25">
      <c r="A392" t="s">
        <v>503</v>
      </c>
      <c r="B392" t="s">
        <v>509</v>
      </c>
      <c r="C392">
        <v>65075485</v>
      </c>
      <c r="D392">
        <v>1</v>
      </c>
      <c r="E392" t="s">
        <v>951</v>
      </c>
      <c r="F392" t="s">
        <v>952</v>
      </c>
      <c r="G392" s="1">
        <v>45238</v>
      </c>
      <c r="H392">
        <v>5415411</v>
      </c>
      <c r="I392">
        <v>391</v>
      </c>
      <c r="J392" t="s">
        <v>456</v>
      </c>
      <c r="K392" t="str">
        <f>IFERROR(IF(AND(VLOOKUP($C392,Hes!$A:$B, 1, FALSE), $M392&lt;&gt;" "), "Ingresada", "Falta Ingresar"), " ")</f>
        <v xml:space="preserve"> </v>
      </c>
      <c r="L392" s="4" t="s">
        <v>681</v>
      </c>
      <c r="M392" t="s">
        <v>681</v>
      </c>
      <c r="O392" s="5">
        <v>30864467</v>
      </c>
      <c r="P392" s="5">
        <v>5460000</v>
      </c>
      <c r="Q392" s="5">
        <v>1037400</v>
      </c>
      <c r="R392" s="5">
        <v>6497400</v>
      </c>
    </row>
    <row r="393" spans="1:18" x14ac:dyDescent="0.25">
      <c r="F393" t="s">
        <v>497</v>
      </c>
      <c r="K393" t="str">
        <f>IFERROR(IF(AND(VLOOKUP($C393,Hes!$A:$B, 1, FALSE), $M393&lt;&gt;" "), "Ingresada", "Falta Ingresar"), " ")</f>
        <v xml:space="preserve"> </v>
      </c>
      <c r="L393" s="4" t="str">
        <f>IFERROR(VLOOKUP($C393,Observaciones!$A:$B,2,FALSE)," ")</f>
        <v xml:space="preserve"> </v>
      </c>
      <c r="M393" t="s">
        <v>681</v>
      </c>
      <c r="P393" s="5">
        <v>6240000</v>
      </c>
      <c r="Q393" s="5">
        <v>1185600</v>
      </c>
      <c r="R393" s="5">
        <v>7425600</v>
      </c>
    </row>
    <row r="394" spans="1:18" x14ac:dyDescent="0.25">
      <c r="A394" t="s">
        <v>496</v>
      </c>
      <c r="B394" t="s">
        <v>494</v>
      </c>
      <c r="C394">
        <v>65077445</v>
      </c>
      <c r="D394">
        <v>0</v>
      </c>
      <c r="E394" t="s">
        <v>953</v>
      </c>
      <c r="F394" t="s">
        <v>954</v>
      </c>
      <c r="G394" s="1">
        <v>45236</v>
      </c>
      <c r="H394">
        <v>5413161</v>
      </c>
      <c r="I394">
        <v>364</v>
      </c>
      <c r="J394" t="s">
        <v>194</v>
      </c>
      <c r="K394" t="str">
        <f>IFERROR(IF(AND(VLOOKUP($C394,Hes!$A:$B, 1, FALSE), $M394&lt;&gt;" "), "Ingresada", "Falta Ingresar"), " ")</f>
        <v xml:space="preserve"> </v>
      </c>
      <c r="L394" s="4" t="str">
        <f>IFERROR(VLOOKUP($C394,Observaciones!$A:$B,2,FALSE)," ")</f>
        <v xml:space="preserve"> </v>
      </c>
      <c r="M394" t="s">
        <v>681</v>
      </c>
      <c r="O394" s="5">
        <v>30849760</v>
      </c>
      <c r="P394" s="5">
        <v>109462</v>
      </c>
      <c r="Q394" s="5">
        <v>20798</v>
      </c>
      <c r="R394" s="5">
        <v>130260</v>
      </c>
    </row>
    <row r="395" spans="1:18" x14ac:dyDescent="0.25">
      <c r="F395" t="s">
        <v>495</v>
      </c>
      <c r="K395" t="str">
        <f>IFERROR(IF(AND(VLOOKUP($C395,Hes!$A:$B, 1, FALSE), $M395&lt;&gt;" "), "Ingresada", "Falta Ingresar"), " ")</f>
        <v xml:space="preserve"> </v>
      </c>
      <c r="L395" s="4" t="str">
        <f>IFERROR(VLOOKUP($C395,Observaciones!$A:$B,2,FALSE)," ")</f>
        <v xml:space="preserve"> </v>
      </c>
      <c r="M395" t="s">
        <v>681</v>
      </c>
      <c r="P395" s="5">
        <v>109462</v>
      </c>
      <c r="Q395" s="5">
        <v>20798</v>
      </c>
      <c r="R395" s="5">
        <v>130260</v>
      </c>
    </row>
    <row r="396" spans="1:18" x14ac:dyDescent="0.25">
      <c r="A396" t="s">
        <v>496</v>
      </c>
      <c r="B396" t="s">
        <v>494</v>
      </c>
      <c r="C396">
        <v>65092388</v>
      </c>
      <c r="D396">
        <v>0</v>
      </c>
      <c r="E396">
        <v>5087</v>
      </c>
      <c r="F396" t="s">
        <v>955</v>
      </c>
      <c r="G396" s="1">
        <v>45236</v>
      </c>
      <c r="H396">
        <v>5412369</v>
      </c>
      <c r="I396">
        <v>14</v>
      </c>
      <c r="J396" t="s">
        <v>309</v>
      </c>
      <c r="K396" s="8" t="str">
        <f>IFERROR(IF(AND(VLOOKUP($C396,Hes!$A:$B, 1, FALSE), $M396&lt;&gt;" "), "Ingresada", "Falta Ingresar"), " ")</f>
        <v>Falta Ingresar</v>
      </c>
      <c r="L396" s="4" t="str">
        <f>IFERROR(VLOOKUP($C396,Observaciones!$A:$B,2,FALSE)," ")</f>
        <v xml:space="preserve"> </v>
      </c>
      <c r="M396" t="s">
        <v>681</v>
      </c>
      <c r="N396" s="5" t="s">
        <v>841</v>
      </c>
      <c r="O396" s="5">
        <v>30853093</v>
      </c>
      <c r="P396" s="5">
        <v>235250</v>
      </c>
      <c r="Q396" s="5">
        <v>44698</v>
      </c>
      <c r="R396" s="5">
        <v>279948</v>
      </c>
    </row>
    <row r="397" spans="1:18" x14ac:dyDescent="0.25">
      <c r="F397" t="s">
        <v>495</v>
      </c>
      <c r="K397" t="str">
        <f>IFERROR(IF(AND(VLOOKUP($C397,Hes!$A:$B, 1, FALSE), $M397&lt;&gt;" "), "Ingresada", "Falta Ingresar"), " ")</f>
        <v xml:space="preserve"> </v>
      </c>
      <c r="L397" s="4" t="str">
        <f>IFERROR(VLOOKUP($C397,Observaciones!$A:$B,2,FALSE)," ")</f>
        <v xml:space="preserve"> </v>
      </c>
      <c r="M397" t="s">
        <v>681</v>
      </c>
      <c r="P397" s="5">
        <v>235250</v>
      </c>
      <c r="Q397" s="5">
        <v>44698</v>
      </c>
      <c r="R397" s="5">
        <v>279948</v>
      </c>
    </row>
    <row r="398" spans="1:18" x14ac:dyDescent="0.25">
      <c r="A398" t="s">
        <v>496</v>
      </c>
      <c r="B398" t="s">
        <v>494</v>
      </c>
      <c r="C398">
        <v>65113732</v>
      </c>
      <c r="D398">
        <v>0</v>
      </c>
      <c r="E398" t="s">
        <v>956</v>
      </c>
      <c r="F398" t="s">
        <v>957</v>
      </c>
      <c r="G398" s="1">
        <v>45233</v>
      </c>
      <c r="H398">
        <v>5411539</v>
      </c>
      <c r="I398">
        <v>364</v>
      </c>
      <c r="J398" t="s">
        <v>194</v>
      </c>
      <c r="K398" s="8" t="str">
        <f>IFERROR(IF(AND(VLOOKUP($C398,Hes!$A:$B, 1, FALSE), $M398&lt;&gt;" "), "Ingresada", "Falta Ingresar"), " ")</f>
        <v>Falta Ingresar</v>
      </c>
      <c r="L398" s="4" t="str">
        <f>IFERROR(VLOOKUP($C398,Observaciones!$A:$B,2,FALSE)," ")</f>
        <v xml:space="preserve"> </v>
      </c>
      <c r="M398" t="s">
        <v>681</v>
      </c>
      <c r="N398" s="5" t="s">
        <v>841</v>
      </c>
      <c r="O398" s="5">
        <v>30819123</v>
      </c>
      <c r="P398" s="5">
        <v>526695</v>
      </c>
      <c r="Q398" s="5">
        <v>100072</v>
      </c>
      <c r="R398" s="5">
        <v>626767</v>
      </c>
    </row>
    <row r="399" spans="1:18" x14ac:dyDescent="0.25">
      <c r="F399" t="s">
        <v>495</v>
      </c>
      <c r="K399" t="str">
        <f>IFERROR(IF(AND(VLOOKUP($C399,Hes!$A:$B, 1, FALSE), $M399&lt;&gt;" "), "Ingresada", "Falta Ingresar"), " ")</f>
        <v xml:space="preserve"> </v>
      </c>
      <c r="L399" s="4" t="str">
        <f>IFERROR(VLOOKUP($C399,Observaciones!$A:$B,2,FALSE)," ")</f>
        <v xml:space="preserve"> </v>
      </c>
      <c r="M399" t="s">
        <v>681</v>
      </c>
      <c r="P399" s="5">
        <v>526695</v>
      </c>
      <c r="Q399" s="5">
        <v>100072</v>
      </c>
      <c r="R399" s="5">
        <v>626767</v>
      </c>
    </row>
    <row r="400" spans="1:18" x14ac:dyDescent="0.25">
      <c r="A400" t="s">
        <v>496</v>
      </c>
      <c r="B400" t="s">
        <v>494</v>
      </c>
      <c r="C400">
        <v>65121264</v>
      </c>
      <c r="D400">
        <v>60</v>
      </c>
      <c r="E400" t="s">
        <v>958</v>
      </c>
      <c r="F400" t="s">
        <v>959</v>
      </c>
      <c r="G400" s="1">
        <v>45231</v>
      </c>
      <c r="H400">
        <v>5410643</v>
      </c>
      <c r="I400">
        <v>196</v>
      </c>
      <c r="J400" t="s">
        <v>382</v>
      </c>
      <c r="K400" t="str">
        <f>IFERROR(IF(AND(VLOOKUP($C400,Hes!$A:$B, 1, FALSE), $M400&lt;&gt;" "), "Ingresada", "Falta Ingresar"), " ")</f>
        <v xml:space="preserve"> </v>
      </c>
      <c r="L400" s="4" t="str">
        <f>IFERROR(VLOOKUP($C400,Observaciones!$A:$B,2,FALSE)," ")</f>
        <v>XOC Y CC</v>
      </c>
      <c r="M400" t="s">
        <v>681</v>
      </c>
      <c r="O400" s="5">
        <v>30842355</v>
      </c>
      <c r="P400" s="5">
        <v>354400</v>
      </c>
      <c r="Q400" s="5">
        <v>67336</v>
      </c>
      <c r="R400" s="5">
        <v>421736</v>
      </c>
    </row>
    <row r="401" spans="1:18" x14ac:dyDescent="0.25">
      <c r="A401" t="s">
        <v>496</v>
      </c>
      <c r="B401" t="s">
        <v>494</v>
      </c>
      <c r="C401">
        <v>65121264</v>
      </c>
      <c r="D401">
        <v>60</v>
      </c>
      <c r="E401" t="s">
        <v>960</v>
      </c>
      <c r="F401" t="s">
        <v>959</v>
      </c>
      <c r="G401" s="1">
        <v>45231</v>
      </c>
      <c r="H401">
        <v>5410644</v>
      </c>
      <c r="I401">
        <v>196</v>
      </c>
      <c r="J401" t="s">
        <v>382</v>
      </c>
      <c r="K401" t="str">
        <f>IFERROR(IF(AND(VLOOKUP($C401,Hes!$A:$B, 1, FALSE), $M401&lt;&gt;" "), "Ingresada", "Falta Ingresar"), " ")</f>
        <v xml:space="preserve"> </v>
      </c>
      <c r="L401" s="4" t="str">
        <f>IFERROR(VLOOKUP($C401,Observaciones!$A:$B,2,FALSE)," ")</f>
        <v>XOC Y CC</v>
      </c>
      <c r="M401" t="s">
        <v>681</v>
      </c>
      <c r="O401" s="5">
        <v>30843457</v>
      </c>
      <c r="P401" s="5">
        <v>15880</v>
      </c>
      <c r="Q401" s="5">
        <v>3017</v>
      </c>
      <c r="R401" s="5">
        <v>18897</v>
      </c>
    </row>
    <row r="402" spans="1:18" x14ac:dyDescent="0.25">
      <c r="A402" t="s">
        <v>496</v>
      </c>
      <c r="B402" t="s">
        <v>494</v>
      </c>
      <c r="C402">
        <v>65121264</v>
      </c>
      <c r="D402">
        <v>60</v>
      </c>
      <c r="E402" t="s">
        <v>961</v>
      </c>
      <c r="F402" t="s">
        <v>959</v>
      </c>
      <c r="G402" s="1">
        <v>45231</v>
      </c>
      <c r="H402">
        <v>5410909</v>
      </c>
      <c r="I402">
        <v>196</v>
      </c>
      <c r="J402" t="s">
        <v>382</v>
      </c>
      <c r="K402" t="str">
        <f>IFERROR(IF(AND(VLOOKUP($C402,Hes!$A:$B, 1, FALSE), $M402&lt;&gt;" "), "Ingresada", "Falta Ingresar"), " ")</f>
        <v xml:space="preserve"> </v>
      </c>
      <c r="L402" s="4" t="str">
        <f>IFERROR(VLOOKUP($C402,Observaciones!$A:$B,2,FALSE)," ")</f>
        <v>XOC Y CC</v>
      </c>
      <c r="M402" t="s">
        <v>681</v>
      </c>
      <c r="O402" s="5">
        <v>30846629</v>
      </c>
      <c r="P402" s="5">
        <v>570062</v>
      </c>
      <c r="Q402" s="5">
        <v>108312</v>
      </c>
      <c r="R402" s="5">
        <v>678374</v>
      </c>
    </row>
    <row r="403" spans="1:18" x14ac:dyDescent="0.25">
      <c r="A403" t="s">
        <v>496</v>
      </c>
      <c r="B403" t="s">
        <v>494</v>
      </c>
      <c r="C403">
        <v>65121264</v>
      </c>
      <c r="D403">
        <v>54</v>
      </c>
      <c r="E403" t="s">
        <v>962</v>
      </c>
      <c r="F403" t="s">
        <v>959</v>
      </c>
      <c r="G403" s="1">
        <v>45232</v>
      </c>
      <c r="H403">
        <v>5411069</v>
      </c>
      <c r="I403">
        <v>196</v>
      </c>
      <c r="J403" t="s">
        <v>382</v>
      </c>
      <c r="K403" t="str">
        <f>IFERROR(IF(AND(VLOOKUP($C403,Hes!$A:$B, 1, FALSE), $M403&lt;&gt;" "), "Ingresada", "Falta Ingresar"), " ")</f>
        <v xml:space="preserve"> </v>
      </c>
      <c r="L403" s="4" t="str">
        <f>IFERROR(VLOOKUP($C403,Observaciones!$A:$B,2,FALSE)," ")</f>
        <v>XOC Y CC</v>
      </c>
      <c r="M403" t="s">
        <v>681</v>
      </c>
      <c r="O403" s="5">
        <v>30811079</v>
      </c>
      <c r="P403" s="5">
        <v>47840</v>
      </c>
      <c r="Q403" s="5">
        <v>9090</v>
      </c>
      <c r="R403" s="5">
        <v>56930</v>
      </c>
    </row>
    <row r="404" spans="1:18" x14ac:dyDescent="0.25">
      <c r="A404" t="s">
        <v>496</v>
      </c>
      <c r="B404" t="s">
        <v>494</v>
      </c>
      <c r="C404">
        <v>65121264</v>
      </c>
      <c r="D404">
        <v>7</v>
      </c>
      <c r="E404" t="s">
        <v>963</v>
      </c>
      <c r="F404" t="s">
        <v>959</v>
      </c>
      <c r="G404" s="1">
        <v>45233</v>
      </c>
      <c r="H404">
        <v>5411231</v>
      </c>
      <c r="I404">
        <v>196</v>
      </c>
      <c r="J404" t="s">
        <v>382</v>
      </c>
      <c r="K404" t="str">
        <f>IFERROR(IF(AND(VLOOKUP($C404,Hes!$A:$B, 1, FALSE), $M404&lt;&gt;" "), "Ingresada", "Falta Ingresar"), " ")</f>
        <v xml:space="preserve"> </v>
      </c>
      <c r="L404" s="4" t="str">
        <f>IFERROR(VLOOKUP($C404,Observaciones!$A:$B,2,FALSE)," ")</f>
        <v>XOC Y CC</v>
      </c>
      <c r="M404" t="s">
        <v>681</v>
      </c>
      <c r="O404" s="5">
        <v>30847837</v>
      </c>
      <c r="P404" s="5">
        <v>52499</v>
      </c>
      <c r="Q404" s="5">
        <v>9975</v>
      </c>
      <c r="R404" s="5">
        <v>62474</v>
      </c>
    </row>
    <row r="405" spans="1:18" x14ac:dyDescent="0.25">
      <c r="A405" t="s">
        <v>496</v>
      </c>
      <c r="B405" t="s">
        <v>494</v>
      </c>
      <c r="C405">
        <v>65121264</v>
      </c>
      <c r="D405">
        <v>60</v>
      </c>
      <c r="E405" t="s">
        <v>964</v>
      </c>
      <c r="F405" t="s">
        <v>959</v>
      </c>
      <c r="G405" s="1">
        <v>45236</v>
      </c>
      <c r="H405">
        <v>5412759</v>
      </c>
      <c r="I405">
        <v>196</v>
      </c>
      <c r="J405" t="s">
        <v>382</v>
      </c>
      <c r="K405" t="str">
        <f>IFERROR(IF(AND(VLOOKUP($C405,Hes!$A:$B, 1, FALSE), $M405&lt;&gt;" "), "Ingresada", "Falta Ingresar"), " ")</f>
        <v xml:space="preserve"> </v>
      </c>
      <c r="L405" s="4" t="str">
        <f>IFERROR(VLOOKUP($C405,Observaciones!$A:$B,2,FALSE)," ")</f>
        <v>XOC Y CC</v>
      </c>
      <c r="M405" t="s">
        <v>681</v>
      </c>
      <c r="O405" s="5">
        <v>30836885</v>
      </c>
      <c r="P405" s="5">
        <v>26680</v>
      </c>
      <c r="Q405" s="5">
        <v>5069</v>
      </c>
      <c r="R405" s="5">
        <v>31749</v>
      </c>
    </row>
    <row r="406" spans="1:18" x14ac:dyDescent="0.25">
      <c r="A406" t="s">
        <v>496</v>
      </c>
      <c r="B406" t="s">
        <v>494</v>
      </c>
      <c r="C406">
        <v>65121264</v>
      </c>
      <c r="D406">
        <v>7</v>
      </c>
      <c r="E406" t="s">
        <v>965</v>
      </c>
      <c r="F406" t="s">
        <v>959</v>
      </c>
      <c r="G406" s="1">
        <v>45236</v>
      </c>
      <c r="H406">
        <v>5413153</v>
      </c>
      <c r="I406">
        <v>196</v>
      </c>
      <c r="J406" t="s">
        <v>382</v>
      </c>
      <c r="K406" t="str">
        <f>IFERROR(IF(AND(VLOOKUP($C406,Hes!$A:$B, 1, FALSE), $M406&lt;&gt;" "), "Ingresada", "Falta Ingresar"), " ")</f>
        <v xml:space="preserve"> </v>
      </c>
      <c r="L406" s="4" t="str">
        <f>IFERROR(VLOOKUP($C406,Observaciones!$A:$B,2,FALSE)," ")</f>
        <v>XOC Y CC</v>
      </c>
      <c r="M406" t="s">
        <v>681</v>
      </c>
      <c r="O406" s="5">
        <v>30855572</v>
      </c>
      <c r="P406" s="5">
        <v>125698</v>
      </c>
      <c r="Q406" s="5">
        <v>23883</v>
      </c>
      <c r="R406" s="5">
        <v>149581</v>
      </c>
    </row>
    <row r="407" spans="1:18" x14ac:dyDescent="0.25">
      <c r="A407" t="s">
        <v>496</v>
      </c>
      <c r="B407" t="s">
        <v>494</v>
      </c>
      <c r="C407">
        <v>65121264</v>
      </c>
      <c r="D407">
        <v>7</v>
      </c>
      <c r="E407" t="s">
        <v>966</v>
      </c>
      <c r="F407" t="s">
        <v>959</v>
      </c>
      <c r="G407" s="1">
        <v>45237</v>
      </c>
      <c r="H407">
        <v>5414229</v>
      </c>
      <c r="I407">
        <v>196</v>
      </c>
      <c r="J407" t="s">
        <v>382</v>
      </c>
      <c r="K407" t="str">
        <f>IFERROR(IF(AND(VLOOKUP($C407,Hes!$A:$B, 1, FALSE), $M407&lt;&gt;" "), "Ingresada", "Falta Ingresar"), " ")</f>
        <v xml:space="preserve"> </v>
      </c>
      <c r="L407" s="4" t="str">
        <f>IFERROR(VLOOKUP($C407,Observaciones!$A:$B,2,FALSE)," ")</f>
        <v>XOC Y CC</v>
      </c>
      <c r="M407" t="s">
        <v>681</v>
      </c>
      <c r="O407" s="5">
        <v>30859025</v>
      </c>
      <c r="P407" s="5">
        <v>46330</v>
      </c>
      <c r="Q407" s="5">
        <v>8803</v>
      </c>
      <c r="R407" s="5">
        <v>55133</v>
      </c>
    </row>
    <row r="408" spans="1:18" x14ac:dyDescent="0.25">
      <c r="A408" t="s">
        <v>496</v>
      </c>
      <c r="B408" t="s">
        <v>494</v>
      </c>
      <c r="C408">
        <v>65121264</v>
      </c>
      <c r="D408">
        <v>60</v>
      </c>
      <c r="E408" t="s">
        <v>967</v>
      </c>
      <c r="F408" t="s">
        <v>959</v>
      </c>
      <c r="G408" s="1">
        <v>45238</v>
      </c>
      <c r="H408">
        <v>5414613</v>
      </c>
      <c r="I408">
        <v>196</v>
      </c>
      <c r="J408" t="s">
        <v>382</v>
      </c>
      <c r="K408" t="str">
        <f>IFERROR(IF(AND(VLOOKUP($C408,Hes!$A:$B, 1, FALSE), $M408&lt;&gt;" "), "Ingresada", "Falta Ingresar"), " ")</f>
        <v xml:space="preserve"> </v>
      </c>
      <c r="L408" s="4" t="str">
        <f>IFERROR(VLOOKUP($C408,Observaciones!$A:$B,2,FALSE)," ")</f>
        <v>XOC Y CC</v>
      </c>
      <c r="M408" t="s">
        <v>681</v>
      </c>
      <c r="O408" s="5">
        <v>30859005</v>
      </c>
      <c r="P408" s="5">
        <v>106505</v>
      </c>
      <c r="Q408" s="5">
        <v>20236</v>
      </c>
      <c r="R408" s="5">
        <v>126741</v>
      </c>
    </row>
    <row r="409" spans="1:18" x14ac:dyDescent="0.25">
      <c r="F409" t="s">
        <v>514</v>
      </c>
      <c r="K409" t="str">
        <f>IFERROR(IF(AND(VLOOKUP($C409,Hes!$A:$B, 1, FALSE), $M409&lt;&gt;" "), "Ingresada", "Falta Ingresar"), " ")</f>
        <v xml:space="preserve"> </v>
      </c>
      <c r="L409" s="4" t="str">
        <f>IFERROR(VLOOKUP($C409,Observaciones!$A:$B,2,FALSE)," ")</f>
        <v xml:space="preserve"> </v>
      </c>
      <c r="M409" t="s">
        <v>681</v>
      </c>
      <c r="P409" s="5">
        <v>1345894</v>
      </c>
      <c r="Q409" s="5">
        <v>255721</v>
      </c>
      <c r="R409" s="5">
        <v>1601615</v>
      </c>
    </row>
    <row r="410" spans="1:18" x14ac:dyDescent="0.25">
      <c r="A410" t="s">
        <v>503</v>
      </c>
      <c r="B410" t="s">
        <v>494</v>
      </c>
      <c r="C410">
        <v>65409870</v>
      </c>
      <c r="D410">
        <v>13</v>
      </c>
      <c r="E410">
        <v>30848877</v>
      </c>
      <c r="F410" t="s">
        <v>968</v>
      </c>
      <c r="G410" s="1">
        <v>45232</v>
      </c>
      <c r="H410">
        <v>5411157</v>
      </c>
      <c r="I410">
        <v>281</v>
      </c>
      <c r="J410" t="s">
        <v>162</v>
      </c>
      <c r="K410" t="str">
        <f>IFERROR(IF(AND(VLOOKUP($C410,Hes!$A:$B, 1, FALSE), $M410&lt;&gt;" "), "Ingresada", "Falta Ingresar"), " ")</f>
        <v xml:space="preserve"> </v>
      </c>
      <c r="L410" s="4" t="str">
        <f>IFERROR(VLOOKUP($C410,Observaciones!$A:$B,2,FALSE)," ")</f>
        <v xml:space="preserve"> </v>
      </c>
      <c r="M410" t="s">
        <v>681</v>
      </c>
      <c r="O410" s="5">
        <v>30848877</v>
      </c>
      <c r="P410" s="5">
        <v>73152</v>
      </c>
      <c r="Q410" s="5">
        <v>13899</v>
      </c>
      <c r="R410" s="5">
        <v>87051</v>
      </c>
    </row>
    <row r="411" spans="1:18" x14ac:dyDescent="0.25">
      <c r="A411" t="s">
        <v>503</v>
      </c>
      <c r="B411" t="s">
        <v>494</v>
      </c>
      <c r="C411">
        <v>65409870</v>
      </c>
      <c r="D411">
        <v>13</v>
      </c>
      <c r="E411">
        <v>30860005</v>
      </c>
      <c r="F411" t="s">
        <v>968</v>
      </c>
      <c r="G411" s="1">
        <v>45237</v>
      </c>
      <c r="H411">
        <v>5414242</v>
      </c>
      <c r="I411">
        <v>281</v>
      </c>
      <c r="J411" t="s">
        <v>162</v>
      </c>
      <c r="K411" t="str">
        <f>IFERROR(IF(AND(VLOOKUP($C411,Hes!$A:$B, 1, FALSE), $M411&lt;&gt;" "), "Ingresada", "Falta Ingresar"), " ")</f>
        <v xml:space="preserve"> </v>
      </c>
      <c r="L411" s="4" t="str">
        <f>IFERROR(VLOOKUP($C411,Observaciones!$A:$B,2,FALSE)," ")</f>
        <v xml:space="preserve"> </v>
      </c>
      <c r="M411" t="s">
        <v>681</v>
      </c>
      <c r="O411" s="5">
        <v>30860005</v>
      </c>
      <c r="P411" s="5">
        <v>105156</v>
      </c>
      <c r="Q411" s="5">
        <v>19980</v>
      </c>
      <c r="R411" s="5">
        <v>125136</v>
      </c>
    </row>
    <row r="412" spans="1:18" x14ac:dyDescent="0.25">
      <c r="F412" t="s">
        <v>497</v>
      </c>
      <c r="K412" t="str">
        <f>IFERROR(IF(AND(VLOOKUP($C412,Hes!$A:$B, 1, FALSE), $M412&lt;&gt;" "), "Ingresada", "Falta Ingresar"), " ")</f>
        <v xml:space="preserve"> </v>
      </c>
      <c r="L412" s="4" t="str">
        <f>IFERROR(VLOOKUP($C412,Observaciones!$A:$B,2,FALSE)," ")</f>
        <v xml:space="preserve"> </v>
      </c>
      <c r="M412" t="s">
        <v>681</v>
      </c>
      <c r="P412" s="5">
        <v>178308</v>
      </c>
      <c r="Q412" s="5">
        <v>33879</v>
      </c>
      <c r="R412" s="5">
        <v>212187</v>
      </c>
    </row>
    <row r="413" spans="1:18" x14ac:dyDescent="0.25">
      <c r="A413" t="s">
        <v>501</v>
      </c>
      <c r="B413" t="s">
        <v>494</v>
      </c>
      <c r="C413">
        <v>65677500</v>
      </c>
      <c r="D413">
        <v>15</v>
      </c>
      <c r="E413">
        <v>30850656</v>
      </c>
      <c r="F413" t="s">
        <v>969</v>
      </c>
      <c r="G413" s="1">
        <v>45236</v>
      </c>
      <c r="H413">
        <v>5412148</v>
      </c>
      <c r="I413">
        <v>360</v>
      </c>
      <c r="J413" t="s">
        <v>188</v>
      </c>
      <c r="K413" t="str">
        <f>IFERROR(IF(AND(VLOOKUP($C413,Hes!$A:$B, 1, FALSE), $M413&lt;&gt;" "), "Ingresada", "Falta Ingresar"), " ")</f>
        <v xml:space="preserve"> </v>
      </c>
      <c r="L413" s="4" t="str">
        <f>IFERROR(VLOOKUP($C413,Observaciones!$A:$B,2,FALSE)," ")</f>
        <v xml:space="preserve"> </v>
      </c>
      <c r="M413" t="s">
        <v>681</v>
      </c>
      <c r="O413" s="5">
        <v>30850656</v>
      </c>
      <c r="P413" s="5">
        <v>37409</v>
      </c>
      <c r="Q413" s="5">
        <v>7108</v>
      </c>
      <c r="R413" s="5">
        <v>44517</v>
      </c>
    </row>
    <row r="414" spans="1:18" x14ac:dyDescent="0.25">
      <c r="A414" t="s">
        <v>501</v>
      </c>
      <c r="B414" t="s">
        <v>494</v>
      </c>
      <c r="C414">
        <v>65677500</v>
      </c>
      <c r="D414">
        <v>17</v>
      </c>
      <c r="E414">
        <v>30850309</v>
      </c>
      <c r="F414" t="s">
        <v>969</v>
      </c>
      <c r="G414" s="1">
        <v>45236</v>
      </c>
      <c r="H414">
        <v>5412287</v>
      </c>
      <c r="I414">
        <v>360</v>
      </c>
      <c r="J414" t="s">
        <v>188</v>
      </c>
      <c r="K414" t="str">
        <f>IFERROR(IF(AND(VLOOKUP($C414,Hes!$A:$B, 1, FALSE), $M414&lt;&gt;" "), "Ingresada", "Falta Ingresar"), " ")</f>
        <v xml:space="preserve"> </v>
      </c>
      <c r="L414" s="4" t="str">
        <f>IFERROR(VLOOKUP($C414,Observaciones!$A:$B,2,FALSE)," ")</f>
        <v xml:space="preserve"> </v>
      </c>
      <c r="M414" t="s">
        <v>681</v>
      </c>
      <c r="O414" s="5">
        <v>30850309</v>
      </c>
      <c r="P414" s="5">
        <v>296210</v>
      </c>
      <c r="Q414" s="5">
        <v>56280</v>
      </c>
      <c r="R414" s="5">
        <v>352490</v>
      </c>
    </row>
    <row r="415" spans="1:18" x14ac:dyDescent="0.25">
      <c r="A415" t="s">
        <v>501</v>
      </c>
      <c r="B415" t="s">
        <v>494</v>
      </c>
      <c r="C415">
        <v>65677500</v>
      </c>
      <c r="D415">
        <v>17</v>
      </c>
      <c r="E415">
        <v>30850309</v>
      </c>
      <c r="F415" t="s">
        <v>969</v>
      </c>
      <c r="G415" s="1">
        <v>45236</v>
      </c>
      <c r="H415">
        <v>5412288</v>
      </c>
      <c r="I415">
        <v>360</v>
      </c>
      <c r="J415" t="s">
        <v>188</v>
      </c>
      <c r="K415" t="str">
        <f>IFERROR(IF(AND(VLOOKUP($C415,Hes!$A:$B, 1, FALSE), $M415&lt;&gt;" "), "Ingresada", "Falta Ingresar"), " ")</f>
        <v xml:space="preserve"> </v>
      </c>
      <c r="L415" s="4" t="str">
        <f>IFERROR(VLOOKUP($C415,Observaciones!$A:$B,2,FALSE)," ")</f>
        <v xml:space="preserve"> </v>
      </c>
      <c r="M415" t="s">
        <v>681</v>
      </c>
      <c r="O415" s="5">
        <v>30850309</v>
      </c>
      <c r="P415" s="5">
        <v>12163</v>
      </c>
      <c r="Q415" s="5">
        <v>2311</v>
      </c>
      <c r="R415" s="5">
        <v>14474</v>
      </c>
    </row>
    <row r="416" spans="1:18" x14ac:dyDescent="0.25">
      <c r="A416" t="s">
        <v>501</v>
      </c>
      <c r="B416" t="s">
        <v>494</v>
      </c>
      <c r="C416">
        <v>65677500</v>
      </c>
      <c r="D416">
        <v>12</v>
      </c>
      <c r="E416">
        <v>30850974</v>
      </c>
      <c r="F416" t="s">
        <v>969</v>
      </c>
      <c r="G416" s="1">
        <v>45236</v>
      </c>
      <c r="H416">
        <v>5412568</v>
      </c>
      <c r="I416">
        <v>360</v>
      </c>
      <c r="J416" t="s">
        <v>188</v>
      </c>
      <c r="K416" t="str">
        <f>IFERROR(IF(AND(VLOOKUP($C416,Hes!$A:$B, 1, FALSE), $M416&lt;&gt;" "), "Ingresada", "Falta Ingresar"), " ")</f>
        <v xml:space="preserve"> </v>
      </c>
      <c r="L416" s="4" t="str">
        <f>IFERROR(VLOOKUP($C416,Observaciones!$A:$B,2,FALSE)," ")</f>
        <v xml:space="preserve"> </v>
      </c>
      <c r="M416" t="s">
        <v>681</v>
      </c>
      <c r="O416" s="5">
        <v>30850974</v>
      </c>
      <c r="P416" s="5">
        <v>27424</v>
      </c>
      <c r="Q416" s="5">
        <v>5211</v>
      </c>
      <c r="R416" s="5">
        <v>32635</v>
      </c>
    </row>
    <row r="417" spans="1:18" x14ac:dyDescent="0.25">
      <c r="A417" t="s">
        <v>501</v>
      </c>
      <c r="B417" t="s">
        <v>494</v>
      </c>
      <c r="C417">
        <v>65677500</v>
      </c>
      <c r="D417">
        <v>14</v>
      </c>
      <c r="E417">
        <v>30852109</v>
      </c>
      <c r="F417" t="s">
        <v>969</v>
      </c>
      <c r="G417" s="1">
        <v>45236</v>
      </c>
      <c r="H417">
        <v>5412610</v>
      </c>
      <c r="I417">
        <v>360</v>
      </c>
      <c r="J417" t="s">
        <v>188</v>
      </c>
      <c r="K417" t="str">
        <f>IFERROR(IF(AND(VLOOKUP($C417,Hes!$A:$B, 1, FALSE), $M417&lt;&gt;" "), "Ingresada", "Falta Ingresar"), " ")</f>
        <v xml:space="preserve"> </v>
      </c>
      <c r="L417" s="4" t="str">
        <f>IFERROR(VLOOKUP($C417,Observaciones!$A:$B,2,FALSE)," ")</f>
        <v xml:space="preserve"> </v>
      </c>
      <c r="M417" t="s">
        <v>681</v>
      </c>
      <c r="O417" s="5">
        <v>30852109</v>
      </c>
      <c r="P417" s="5">
        <v>48749</v>
      </c>
      <c r="Q417" s="5">
        <v>9262</v>
      </c>
      <c r="R417" s="5">
        <v>58011</v>
      </c>
    </row>
    <row r="418" spans="1:18" x14ac:dyDescent="0.25">
      <c r="A418" t="s">
        <v>501</v>
      </c>
      <c r="B418" t="s">
        <v>494</v>
      </c>
      <c r="C418">
        <v>65677500</v>
      </c>
      <c r="D418">
        <v>13</v>
      </c>
      <c r="E418">
        <v>30851677</v>
      </c>
      <c r="F418" t="s">
        <v>969</v>
      </c>
      <c r="G418" s="1">
        <v>45234</v>
      </c>
      <c r="H418">
        <v>5412648</v>
      </c>
      <c r="I418">
        <v>360</v>
      </c>
      <c r="J418" t="s">
        <v>188</v>
      </c>
      <c r="K418" t="str">
        <f>IFERROR(IF(AND(VLOOKUP($C418,Hes!$A:$B, 1, FALSE), $M418&lt;&gt;" "), "Ingresada", "Falta Ingresar"), " ")</f>
        <v xml:space="preserve"> </v>
      </c>
      <c r="L418" s="4" t="str">
        <f>IFERROR(VLOOKUP($C418,Observaciones!$A:$B,2,FALSE)," ")</f>
        <v xml:space="preserve"> </v>
      </c>
      <c r="M418" t="s">
        <v>681</v>
      </c>
      <c r="O418" s="5">
        <v>30851677</v>
      </c>
      <c r="P418" s="5">
        <v>34954</v>
      </c>
      <c r="Q418" s="5">
        <v>6641</v>
      </c>
      <c r="R418" s="5">
        <v>41595</v>
      </c>
    </row>
    <row r="419" spans="1:18" x14ac:dyDescent="0.25">
      <c r="A419" t="s">
        <v>501</v>
      </c>
      <c r="B419" t="s">
        <v>494</v>
      </c>
      <c r="C419">
        <v>65677500</v>
      </c>
      <c r="D419">
        <v>2</v>
      </c>
      <c r="E419">
        <v>30850286</v>
      </c>
      <c r="F419" t="s">
        <v>969</v>
      </c>
      <c r="G419" s="1">
        <v>45236</v>
      </c>
      <c r="H419">
        <v>5412840</v>
      </c>
      <c r="I419">
        <v>360</v>
      </c>
      <c r="J419" t="s">
        <v>188</v>
      </c>
      <c r="K419" t="str">
        <f>IFERROR(IF(AND(VLOOKUP($C419,Hes!$A:$B, 1, FALSE), $M419&lt;&gt;" "), "Ingresada", "Falta Ingresar"), " ")</f>
        <v xml:space="preserve"> </v>
      </c>
      <c r="L419" s="4" t="str">
        <f>IFERROR(VLOOKUP($C419,Observaciones!$A:$B,2,FALSE)," ")</f>
        <v xml:space="preserve"> </v>
      </c>
      <c r="M419" t="s">
        <v>681</v>
      </c>
      <c r="O419" s="5">
        <v>30850286</v>
      </c>
      <c r="P419" s="5">
        <v>76230</v>
      </c>
      <c r="Q419" s="5">
        <v>14484</v>
      </c>
      <c r="R419" s="5">
        <v>90714</v>
      </c>
    </row>
    <row r="420" spans="1:18" x14ac:dyDescent="0.25">
      <c r="A420" t="s">
        <v>501</v>
      </c>
      <c r="B420" t="s">
        <v>494</v>
      </c>
      <c r="C420">
        <v>65677500</v>
      </c>
      <c r="D420">
        <v>0</v>
      </c>
      <c r="E420">
        <v>30852205</v>
      </c>
      <c r="F420" t="s">
        <v>969</v>
      </c>
      <c r="G420" s="1">
        <v>45236</v>
      </c>
      <c r="H420">
        <v>5413119</v>
      </c>
      <c r="I420">
        <v>360</v>
      </c>
      <c r="J420" t="s">
        <v>188</v>
      </c>
      <c r="K420" t="str">
        <f>IFERROR(IF(AND(VLOOKUP($C420,Hes!$A:$B, 1, FALSE), $M420&lt;&gt;" "), "Ingresada", "Falta Ingresar"), " ")</f>
        <v xml:space="preserve"> </v>
      </c>
      <c r="L420" s="4" t="str">
        <f>IFERROR(VLOOKUP($C420,Observaciones!$A:$B,2,FALSE)," ")</f>
        <v xml:space="preserve"> </v>
      </c>
      <c r="M420" t="s">
        <v>681</v>
      </c>
      <c r="O420" s="5">
        <v>30852205</v>
      </c>
      <c r="P420" s="5">
        <v>26411</v>
      </c>
      <c r="Q420" s="5">
        <v>5018</v>
      </c>
      <c r="R420" s="5">
        <v>31429</v>
      </c>
    </row>
    <row r="421" spans="1:18" x14ac:dyDescent="0.25">
      <c r="A421" t="s">
        <v>501</v>
      </c>
      <c r="B421" t="s">
        <v>494</v>
      </c>
      <c r="C421">
        <v>65677500</v>
      </c>
      <c r="D421">
        <v>0</v>
      </c>
      <c r="E421">
        <v>30857321</v>
      </c>
      <c r="F421" t="s">
        <v>969</v>
      </c>
      <c r="G421" s="1">
        <v>45236</v>
      </c>
      <c r="H421">
        <v>5413575</v>
      </c>
      <c r="I421">
        <v>360</v>
      </c>
      <c r="J421" t="s">
        <v>188</v>
      </c>
      <c r="K421" t="str">
        <f>IFERROR(IF(AND(VLOOKUP($C421,Hes!$A:$B, 1, FALSE), $M421&lt;&gt;" "), "Ingresada", "Falta Ingresar"), " ")</f>
        <v xml:space="preserve"> </v>
      </c>
      <c r="L421" s="4" t="str">
        <f>IFERROR(VLOOKUP($C421,Observaciones!$A:$B,2,FALSE)," ")</f>
        <v xml:space="preserve"> </v>
      </c>
      <c r="M421" t="s">
        <v>681</v>
      </c>
      <c r="O421" s="5">
        <v>30857321</v>
      </c>
      <c r="P421" s="5">
        <v>254865</v>
      </c>
      <c r="Q421" s="5">
        <v>48424</v>
      </c>
      <c r="R421" s="5">
        <v>303289</v>
      </c>
    </row>
    <row r="422" spans="1:18" x14ac:dyDescent="0.25">
      <c r="A422" t="s">
        <v>501</v>
      </c>
      <c r="B422" t="s">
        <v>494</v>
      </c>
      <c r="C422">
        <v>65677500</v>
      </c>
      <c r="D422">
        <v>0</v>
      </c>
      <c r="E422">
        <v>30857321</v>
      </c>
      <c r="F422" t="s">
        <v>969</v>
      </c>
      <c r="G422" s="1">
        <v>45236</v>
      </c>
      <c r="H422">
        <v>5413576</v>
      </c>
      <c r="I422">
        <v>360</v>
      </c>
      <c r="J422" t="s">
        <v>188</v>
      </c>
      <c r="K422" t="str">
        <f>IFERROR(IF(AND(VLOOKUP($C422,Hes!$A:$B, 1, FALSE), $M422&lt;&gt;" "), "Ingresada", "Falta Ingresar"), " ")</f>
        <v xml:space="preserve"> </v>
      </c>
      <c r="L422" s="4" t="str">
        <f>IFERROR(VLOOKUP($C422,Observaciones!$A:$B,2,FALSE)," ")</f>
        <v xml:space="preserve"> </v>
      </c>
      <c r="M422" t="s">
        <v>681</v>
      </c>
      <c r="O422" s="5">
        <v>30857321</v>
      </c>
      <c r="P422" s="5">
        <v>43396</v>
      </c>
      <c r="Q422" s="5">
        <v>8245</v>
      </c>
      <c r="R422" s="5">
        <v>51641</v>
      </c>
    </row>
    <row r="423" spans="1:18" x14ac:dyDescent="0.25">
      <c r="A423" t="s">
        <v>501</v>
      </c>
      <c r="B423" t="s">
        <v>494</v>
      </c>
      <c r="C423">
        <v>65677500</v>
      </c>
      <c r="D423">
        <v>10</v>
      </c>
      <c r="E423" t="s">
        <v>970</v>
      </c>
      <c r="F423" t="s">
        <v>969</v>
      </c>
      <c r="G423" s="1">
        <v>45236</v>
      </c>
      <c r="H423">
        <v>5413830</v>
      </c>
      <c r="I423">
        <v>360</v>
      </c>
      <c r="J423" t="s">
        <v>188</v>
      </c>
      <c r="K423" t="str">
        <f>IFERROR(IF(AND(VLOOKUP($C423,Hes!$A:$B, 1, FALSE), $M423&lt;&gt;" "), "Ingresada", "Falta Ingresar"), " ")</f>
        <v xml:space="preserve"> </v>
      </c>
      <c r="L423" s="4" t="str">
        <f>IFERROR(VLOOKUP($C423,Observaciones!$A:$B,2,FALSE)," ")</f>
        <v xml:space="preserve"> </v>
      </c>
      <c r="M423" t="s">
        <v>681</v>
      </c>
      <c r="O423" s="5">
        <v>30856148</v>
      </c>
      <c r="P423" s="5">
        <v>61489</v>
      </c>
      <c r="Q423" s="5">
        <v>11683</v>
      </c>
      <c r="R423" s="5">
        <v>73172</v>
      </c>
    </row>
    <row r="424" spans="1:18" x14ac:dyDescent="0.25">
      <c r="A424" t="s">
        <v>501</v>
      </c>
      <c r="B424" t="s">
        <v>494</v>
      </c>
      <c r="C424">
        <v>65677500</v>
      </c>
      <c r="D424">
        <v>0</v>
      </c>
      <c r="E424" t="s">
        <v>970</v>
      </c>
      <c r="F424" t="s">
        <v>969</v>
      </c>
      <c r="G424" s="1">
        <v>45237</v>
      </c>
      <c r="H424">
        <v>5414288</v>
      </c>
      <c r="I424">
        <v>360</v>
      </c>
      <c r="J424" t="s">
        <v>188</v>
      </c>
      <c r="K424" t="str">
        <f>IFERROR(IF(AND(VLOOKUP($C424,Hes!$A:$B, 1, FALSE), $M424&lt;&gt;" "), "Ingresada", "Falta Ingresar"), " ")</f>
        <v xml:space="preserve"> </v>
      </c>
      <c r="L424" s="4" t="str">
        <f>IFERROR(VLOOKUP($C424,Observaciones!$A:$B,2,FALSE)," ")</f>
        <v xml:space="preserve"> </v>
      </c>
      <c r="M424" t="s">
        <v>681</v>
      </c>
      <c r="O424" s="5">
        <v>30860845</v>
      </c>
      <c r="P424" s="5">
        <v>11978</v>
      </c>
      <c r="Q424" s="5">
        <v>2276</v>
      </c>
      <c r="R424" s="5">
        <v>14254</v>
      </c>
    </row>
    <row r="425" spans="1:18" x14ac:dyDescent="0.25">
      <c r="F425" t="s">
        <v>971</v>
      </c>
      <c r="K425" t="str">
        <f>IFERROR(IF(AND(VLOOKUP($C425,Hes!$A:$B, 1, FALSE), $M425&lt;&gt;" "), "Ingresada", "Falta Ingresar"), " ")</f>
        <v xml:space="preserve"> </v>
      </c>
      <c r="L425" s="4" t="str">
        <f>IFERROR(VLOOKUP($C425,Observaciones!$A:$B,2,FALSE)," ")</f>
        <v xml:space="preserve"> </v>
      </c>
      <c r="M425" t="s">
        <v>681</v>
      </c>
      <c r="P425" s="5">
        <v>931278</v>
      </c>
      <c r="Q425" s="5">
        <v>176943</v>
      </c>
      <c r="R425" s="5">
        <v>1108221</v>
      </c>
    </row>
    <row r="426" spans="1:18" x14ac:dyDescent="0.25">
      <c r="A426" t="s">
        <v>501</v>
      </c>
      <c r="B426" t="s">
        <v>494</v>
      </c>
      <c r="C426">
        <v>65697280</v>
      </c>
      <c r="D426">
        <v>1</v>
      </c>
      <c r="E426">
        <v>57</v>
      </c>
      <c r="F426" t="s">
        <v>972</v>
      </c>
      <c r="G426" s="1">
        <v>45233</v>
      </c>
      <c r="H426">
        <v>5411237</v>
      </c>
      <c r="I426">
        <v>176</v>
      </c>
      <c r="J426" t="s">
        <v>158</v>
      </c>
      <c r="K426" t="str">
        <f>IFERROR(IF(AND(VLOOKUP($C426,Hes!$A:$B, 1, FALSE), $M426&lt;&gt;" "), "Ingresada", "Falta Ingresar"), " ")</f>
        <v xml:space="preserve"> </v>
      </c>
      <c r="L426" s="4" t="str">
        <f>IFERROR(VLOOKUP($C426,Observaciones!$A:$B,2,FALSE)," ")</f>
        <v xml:space="preserve"> </v>
      </c>
      <c r="M426" t="s">
        <v>681</v>
      </c>
      <c r="O426" s="5">
        <v>30844314</v>
      </c>
      <c r="P426" s="5">
        <v>705245</v>
      </c>
      <c r="Q426" s="5">
        <v>133997</v>
      </c>
      <c r="R426" s="5">
        <v>839242</v>
      </c>
    </row>
    <row r="427" spans="1:18" x14ac:dyDescent="0.25">
      <c r="A427" t="s">
        <v>501</v>
      </c>
      <c r="B427" t="s">
        <v>494</v>
      </c>
      <c r="C427">
        <v>65697280</v>
      </c>
      <c r="D427">
        <v>1</v>
      </c>
      <c r="E427">
        <v>58</v>
      </c>
      <c r="F427" t="s">
        <v>972</v>
      </c>
      <c r="G427" s="1">
        <v>45236</v>
      </c>
      <c r="H427">
        <v>5412811</v>
      </c>
      <c r="I427">
        <v>176</v>
      </c>
      <c r="J427" t="s">
        <v>158</v>
      </c>
      <c r="K427" t="str">
        <f>IFERROR(IF(AND(VLOOKUP($C427,Hes!$A:$B, 1, FALSE), $M427&lt;&gt;" "), "Ingresada", "Falta Ingresar"), " ")</f>
        <v xml:space="preserve"> </v>
      </c>
      <c r="L427" s="4" t="str">
        <f>IFERROR(VLOOKUP($C427,Observaciones!$A:$B,2,FALSE)," ")</f>
        <v xml:space="preserve"> </v>
      </c>
      <c r="M427" t="s">
        <v>681</v>
      </c>
      <c r="O427" s="5">
        <v>30844427</v>
      </c>
      <c r="P427" s="5">
        <v>301758</v>
      </c>
      <c r="Q427" s="5">
        <v>57334</v>
      </c>
      <c r="R427" s="5">
        <v>359092</v>
      </c>
    </row>
    <row r="428" spans="1:18" x14ac:dyDescent="0.25">
      <c r="A428" t="s">
        <v>501</v>
      </c>
      <c r="B428" t="s">
        <v>494</v>
      </c>
      <c r="C428">
        <v>65697280</v>
      </c>
      <c r="D428">
        <v>1</v>
      </c>
      <c r="E428">
        <v>58</v>
      </c>
      <c r="F428" t="s">
        <v>972</v>
      </c>
      <c r="G428" s="1">
        <v>45236</v>
      </c>
      <c r="H428">
        <v>5412812</v>
      </c>
      <c r="I428">
        <v>176</v>
      </c>
      <c r="J428" t="s">
        <v>158</v>
      </c>
      <c r="K428" t="str">
        <f>IFERROR(IF(AND(VLOOKUP($C428,Hes!$A:$B, 1, FALSE), $M428&lt;&gt;" "), "Ingresada", "Falta Ingresar"), " ")</f>
        <v xml:space="preserve"> </v>
      </c>
      <c r="L428" s="4" t="str">
        <f>IFERROR(VLOOKUP($C428,Observaciones!$A:$B,2,FALSE)," ")</f>
        <v xml:space="preserve"> </v>
      </c>
      <c r="M428" t="s">
        <v>681</v>
      </c>
      <c r="O428" s="5">
        <v>30844427</v>
      </c>
      <c r="P428" s="5">
        <v>7162</v>
      </c>
      <c r="Q428" s="5">
        <v>1361</v>
      </c>
      <c r="R428" s="5">
        <v>8523</v>
      </c>
    </row>
    <row r="429" spans="1:18" x14ac:dyDescent="0.25">
      <c r="F429" t="s">
        <v>500</v>
      </c>
      <c r="K429" t="str">
        <f>IFERROR(IF(AND(VLOOKUP($C429,Hes!$A:$B, 1, FALSE), $M429&lt;&gt;" "), "Ingresada", "Falta Ingresar"), " ")</f>
        <v xml:space="preserve"> </v>
      </c>
      <c r="L429" s="4" t="str">
        <f>IFERROR(VLOOKUP($C429,Observaciones!$A:$B,2,FALSE)," ")</f>
        <v xml:space="preserve"> </v>
      </c>
      <c r="M429" t="s">
        <v>681</v>
      </c>
      <c r="P429" s="5">
        <v>1014165</v>
      </c>
      <c r="Q429" s="5">
        <v>192692</v>
      </c>
      <c r="R429" s="5">
        <v>1206857</v>
      </c>
    </row>
    <row r="430" spans="1:18" x14ac:dyDescent="0.25">
      <c r="A430" t="s">
        <v>503</v>
      </c>
      <c r="B430" t="s">
        <v>494</v>
      </c>
      <c r="C430">
        <v>65886170</v>
      </c>
      <c r="D430">
        <v>9</v>
      </c>
      <c r="E430">
        <v>30852470</v>
      </c>
      <c r="F430" t="s">
        <v>973</v>
      </c>
      <c r="G430" s="1">
        <v>45236</v>
      </c>
      <c r="H430">
        <v>5412556</v>
      </c>
      <c r="I430">
        <v>12</v>
      </c>
      <c r="J430" t="s">
        <v>319</v>
      </c>
      <c r="K430" s="8" t="str">
        <f>IFERROR(IF(AND(VLOOKUP($C430,Hes!$A:$B, 1, FALSE), $M430&lt;&gt;" "), "Ingresada", "Falta Ingresar"), " ")</f>
        <v>Falta Ingresar</v>
      </c>
      <c r="L430" s="4" t="str">
        <f>IFERROR(VLOOKUP($C430,Observaciones!$A:$B,2,FALSE)," ")</f>
        <v>VENDEDOR ENVIA O/C POR CORREO</v>
      </c>
      <c r="M430" t="s">
        <v>681</v>
      </c>
      <c r="N430" s="5" t="s">
        <v>841</v>
      </c>
      <c r="O430" s="5">
        <v>30852470</v>
      </c>
      <c r="P430" s="5">
        <v>216503</v>
      </c>
      <c r="Q430" s="5">
        <v>41136</v>
      </c>
      <c r="R430" s="5">
        <v>257639</v>
      </c>
    </row>
    <row r="431" spans="1:18" x14ac:dyDescent="0.25">
      <c r="A431" t="s">
        <v>503</v>
      </c>
      <c r="B431" t="s">
        <v>494</v>
      </c>
      <c r="C431">
        <v>65886170</v>
      </c>
      <c r="D431">
        <v>9</v>
      </c>
      <c r="E431">
        <v>30852470</v>
      </c>
      <c r="F431" t="s">
        <v>973</v>
      </c>
      <c r="G431" s="1">
        <v>45236</v>
      </c>
      <c r="H431">
        <v>5412557</v>
      </c>
      <c r="I431">
        <v>12</v>
      </c>
      <c r="J431" t="s">
        <v>319</v>
      </c>
      <c r="K431" s="8" t="str">
        <f>IFERROR(IF(AND(VLOOKUP($C431,Hes!$A:$B, 1, FALSE), $M431&lt;&gt;" "), "Ingresada", "Falta Ingresar"), " ")</f>
        <v>Falta Ingresar</v>
      </c>
      <c r="L431" s="4" t="str">
        <f>IFERROR(VLOOKUP($C431,Observaciones!$A:$B,2,FALSE)," ")</f>
        <v>VENDEDOR ENVIA O/C POR CORREO</v>
      </c>
      <c r="M431" t="s">
        <v>681</v>
      </c>
      <c r="N431" s="5" t="s">
        <v>841</v>
      </c>
      <c r="O431" s="5">
        <v>30852470</v>
      </c>
      <c r="P431" s="5">
        <v>328160</v>
      </c>
      <c r="Q431" s="5">
        <v>62350</v>
      </c>
      <c r="R431" s="5">
        <v>390510</v>
      </c>
    </row>
    <row r="432" spans="1:18" x14ac:dyDescent="0.25">
      <c r="A432" t="s">
        <v>503</v>
      </c>
      <c r="B432" t="s">
        <v>494</v>
      </c>
      <c r="C432">
        <v>65886170</v>
      </c>
      <c r="D432">
        <v>9</v>
      </c>
      <c r="E432">
        <v>30852470</v>
      </c>
      <c r="F432" t="s">
        <v>973</v>
      </c>
      <c r="G432" s="1">
        <v>45236</v>
      </c>
      <c r="H432">
        <v>5412558</v>
      </c>
      <c r="I432">
        <v>12</v>
      </c>
      <c r="J432" t="s">
        <v>319</v>
      </c>
      <c r="K432" s="8" t="str">
        <f>IFERROR(IF(AND(VLOOKUP($C432,Hes!$A:$B, 1, FALSE), $M432&lt;&gt;" "), "Ingresada", "Falta Ingresar"), " ")</f>
        <v>Falta Ingresar</v>
      </c>
      <c r="L432" s="4" t="str">
        <f>IFERROR(VLOOKUP($C432,Observaciones!$A:$B,2,FALSE)," ")</f>
        <v>VENDEDOR ENVIA O/C POR CORREO</v>
      </c>
      <c r="M432" t="s">
        <v>681</v>
      </c>
      <c r="N432" s="5" t="s">
        <v>841</v>
      </c>
      <c r="O432" s="5">
        <v>30852470</v>
      </c>
      <c r="P432" s="5">
        <v>113829</v>
      </c>
      <c r="Q432" s="5">
        <v>21628</v>
      </c>
      <c r="R432" s="5">
        <v>135457</v>
      </c>
    </row>
    <row r="433" spans="1:18" x14ac:dyDescent="0.25">
      <c r="F433" t="s">
        <v>500</v>
      </c>
      <c r="K433" t="str">
        <f>IFERROR(IF(AND(VLOOKUP($C433,Hes!$A:$B, 1, FALSE), $M433&lt;&gt;" "), "Ingresada", "Falta Ingresar"), " ")</f>
        <v xml:space="preserve"> </v>
      </c>
      <c r="L433" s="4" t="str">
        <f>IFERROR(VLOOKUP($C433,Observaciones!$A:$B,2,FALSE)," ")</f>
        <v xml:space="preserve"> </v>
      </c>
      <c r="M433" t="s">
        <v>681</v>
      </c>
      <c r="P433" s="5">
        <v>658492</v>
      </c>
      <c r="Q433" s="5">
        <v>125114</v>
      </c>
      <c r="R433" s="5">
        <v>783606</v>
      </c>
    </row>
    <row r="434" spans="1:18" x14ac:dyDescent="0.25">
      <c r="A434" t="s">
        <v>501</v>
      </c>
      <c r="B434" t="s">
        <v>494</v>
      </c>
      <c r="C434">
        <v>69070800</v>
      </c>
      <c r="D434">
        <v>5</v>
      </c>
      <c r="E434" t="s">
        <v>974</v>
      </c>
      <c r="F434" t="s">
        <v>975</v>
      </c>
      <c r="G434" s="1">
        <v>45232</v>
      </c>
      <c r="H434">
        <v>5411192</v>
      </c>
      <c r="I434">
        <v>458</v>
      </c>
      <c r="J434" t="s">
        <v>255</v>
      </c>
      <c r="K434" t="str">
        <f>IFERROR(IF(AND(VLOOKUP($C434,Hes!$A:$B, 1, FALSE), $M434&lt;&gt;" "), "Ingresada", "Falta Ingresar"), " ")</f>
        <v xml:space="preserve"> </v>
      </c>
      <c r="L434" s="4" t="str">
        <f>IFERROR(VLOOKUP($C434,Observaciones!$A:$B,2,FALSE)," ")</f>
        <v>XOC Y CC</v>
      </c>
      <c r="M434" t="s">
        <v>681</v>
      </c>
      <c r="O434" s="5">
        <v>30795988</v>
      </c>
      <c r="P434" s="5">
        <v>231172</v>
      </c>
      <c r="Q434" s="5">
        <v>43923</v>
      </c>
      <c r="R434" s="5">
        <v>275095</v>
      </c>
    </row>
    <row r="435" spans="1:18" x14ac:dyDescent="0.25">
      <c r="F435" t="s">
        <v>495</v>
      </c>
      <c r="K435" t="str">
        <f>IFERROR(IF(AND(VLOOKUP($C435,Hes!$A:$B, 1, FALSE), $M435&lt;&gt;" "), "Ingresada", "Falta Ingresar"), " ")</f>
        <v xml:space="preserve"> </v>
      </c>
      <c r="L435" s="4" t="str">
        <f>IFERROR(VLOOKUP($C435,Observaciones!$A:$B,2,FALSE)," ")</f>
        <v xml:space="preserve"> </v>
      </c>
      <c r="M435" t="s">
        <v>681</v>
      </c>
      <c r="P435" s="5">
        <v>231172</v>
      </c>
      <c r="Q435" s="5">
        <v>43923</v>
      </c>
      <c r="R435" s="5">
        <v>275095</v>
      </c>
    </row>
    <row r="436" spans="1:18" x14ac:dyDescent="0.25">
      <c r="A436" t="s">
        <v>496</v>
      </c>
      <c r="B436" t="s">
        <v>494</v>
      </c>
      <c r="C436">
        <v>69071100</v>
      </c>
      <c r="D436">
        <v>1</v>
      </c>
      <c r="E436" t="s">
        <v>976</v>
      </c>
      <c r="F436" t="s">
        <v>977</v>
      </c>
      <c r="G436" s="1">
        <v>45236</v>
      </c>
      <c r="H436">
        <v>5413348</v>
      </c>
      <c r="I436">
        <v>140</v>
      </c>
      <c r="J436" t="s">
        <v>458</v>
      </c>
      <c r="K436" t="str">
        <f>IFERROR(IF(AND(VLOOKUP($C436,Hes!$A:$B, 1, FALSE), $M436&lt;&gt;" "), "Ingresada", "Falta Ingresar"), " ")</f>
        <v xml:space="preserve"> </v>
      </c>
      <c r="L436" s="4" t="str">
        <f>IFERROR(VLOOKUP($C436,Observaciones!$A:$B,2,FALSE)," ")</f>
        <v>FACTURAR EL ULTIMO DIA</v>
      </c>
      <c r="M436" t="s">
        <v>681</v>
      </c>
      <c r="O436" s="5">
        <v>30833778</v>
      </c>
      <c r="P436" s="5">
        <v>108259</v>
      </c>
      <c r="Q436" s="5">
        <v>20569</v>
      </c>
      <c r="R436" s="5">
        <v>128828</v>
      </c>
    </row>
    <row r="437" spans="1:18" x14ac:dyDescent="0.25">
      <c r="F437" t="s">
        <v>495</v>
      </c>
      <c r="K437" t="str">
        <f>IFERROR(IF(AND(VLOOKUP($C437,Hes!$A:$B, 1, FALSE), $M437&lt;&gt;" "), "Ingresada", "Falta Ingresar"), " ")</f>
        <v xml:space="preserve"> </v>
      </c>
      <c r="L437" s="4" t="str">
        <f>IFERROR(VLOOKUP($C437,Observaciones!$A:$B,2,FALSE)," ")</f>
        <v xml:space="preserve"> </v>
      </c>
      <c r="M437" t="s">
        <v>681</v>
      </c>
      <c r="P437" s="5">
        <v>108259</v>
      </c>
      <c r="Q437" s="5">
        <v>20569</v>
      </c>
      <c r="R437" s="5">
        <v>128828</v>
      </c>
    </row>
    <row r="438" spans="1:18" x14ac:dyDescent="0.25">
      <c r="A438" t="s">
        <v>503</v>
      </c>
      <c r="B438" t="s">
        <v>494</v>
      </c>
      <c r="C438">
        <v>69071301</v>
      </c>
      <c r="D438">
        <v>1</v>
      </c>
      <c r="E438" t="s">
        <v>978</v>
      </c>
      <c r="F438" t="s">
        <v>979</v>
      </c>
      <c r="G438" s="1">
        <v>45238</v>
      </c>
      <c r="H438">
        <v>5415468</v>
      </c>
      <c r="I438">
        <v>408</v>
      </c>
      <c r="J438" t="s">
        <v>444</v>
      </c>
      <c r="K438" t="str">
        <f>IFERROR(IF(AND(VLOOKUP($C438,Hes!$A:$B, 1, FALSE), $M438&lt;&gt;" "), "Ingresada", "Falta Ingresar"), " ")</f>
        <v xml:space="preserve"> </v>
      </c>
      <c r="L438" s="4" t="str">
        <f>IFERROR(VLOOKUP($C438,Observaciones!$A:$B,2,FALSE)," ")</f>
        <v xml:space="preserve"> </v>
      </c>
      <c r="M438" t="s">
        <v>681</v>
      </c>
      <c r="O438" s="5">
        <v>30865233</v>
      </c>
      <c r="P438" s="5">
        <v>6432000</v>
      </c>
      <c r="Q438" s="5">
        <v>1222080</v>
      </c>
      <c r="R438" s="5">
        <v>7654080</v>
      </c>
    </row>
    <row r="439" spans="1:18" x14ac:dyDescent="0.25">
      <c r="F439" t="s">
        <v>495</v>
      </c>
      <c r="K439" t="str">
        <f>IFERROR(IF(AND(VLOOKUP($C439,Hes!$A:$B, 1, FALSE), $M439&lt;&gt;" "), "Ingresada", "Falta Ingresar"), " ")</f>
        <v xml:space="preserve"> </v>
      </c>
      <c r="L439" s="4" t="str">
        <f>IFERROR(VLOOKUP($C439,Observaciones!$A:$B,2,FALSE)," ")</f>
        <v xml:space="preserve"> </v>
      </c>
      <c r="M439" t="s">
        <v>681</v>
      </c>
      <c r="P439" s="5">
        <v>6432000</v>
      </c>
      <c r="Q439" s="5">
        <v>1222080</v>
      </c>
      <c r="R439" s="5">
        <v>7654080</v>
      </c>
    </row>
    <row r="440" spans="1:18" x14ac:dyDescent="0.25">
      <c r="A440" t="s">
        <v>496</v>
      </c>
      <c r="B440" t="s">
        <v>494</v>
      </c>
      <c r="C440">
        <v>69072900</v>
      </c>
      <c r="D440">
        <v>1</v>
      </c>
      <c r="E440" t="s">
        <v>980</v>
      </c>
      <c r="F440" t="s">
        <v>981</v>
      </c>
      <c r="G440" s="1">
        <v>45233</v>
      </c>
      <c r="H440">
        <v>5411657</v>
      </c>
      <c r="I440">
        <v>96</v>
      </c>
      <c r="J440" t="s">
        <v>140</v>
      </c>
      <c r="K440" t="str">
        <f>IFERROR(IF(AND(VLOOKUP($C440,Hes!$A:$B, 1, FALSE), $M440&lt;&gt;" "), "Ingresada", "Falta Ingresar"), " ")</f>
        <v xml:space="preserve"> </v>
      </c>
      <c r="L440" s="4" t="str">
        <f>IFERROR(VLOOKUP($C440,Observaciones!$A:$B,2,FALSE)," ")</f>
        <v xml:space="preserve"> </v>
      </c>
      <c r="M440" t="s">
        <v>681</v>
      </c>
      <c r="O440" s="5">
        <v>30851544</v>
      </c>
      <c r="P440" s="5">
        <v>2762000</v>
      </c>
      <c r="Q440" s="5">
        <v>524780</v>
      </c>
      <c r="R440" s="5">
        <v>3286780</v>
      </c>
    </row>
    <row r="441" spans="1:18" x14ac:dyDescent="0.25">
      <c r="F441" t="s">
        <v>495</v>
      </c>
      <c r="K441" t="str">
        <f>IFERROR(IF(AND(VLOOKUP($C441,Hes!$A:$B, 1, FALSE), $M441&lt;&gt;" "), "Ingresada", "Falta Ingresar"), " ")</f>
        <v xml:space="preserve"> </v>
      </c>
      <c r="L441" s="4" t="str">
        <f>IFERROR(VLOOKUP($C441,Observaciones!$A:$B,2,FALSE)," ")</f>
        <v xml:space="preserve"> </v>
      </c>
      <c r="M441" t="s">
        <v>681</v>
      </c>
      <c r="P441" s="5">
        <v>2762000</v>
      </c>
      <c r="Q441" s="5">
        <v>524780</v>
      </c>
      <c r="R441" s="5">
        <v>3286780</v>
      </c>
    </row>
    <row r="442" spans="1:18" x14ac:dyDescent="0.25">
      <c r="A442" t="s">
        <v>503</v>
      </c>
      <c r="B442" t="s">
        <v>494</v>
      </c>
      <c r="C442">
        <v>69080200</v>
      </c>
      <c r="D442">
        <v>16</v>
      </c>
      <c r="E442" t="s">
        <v>982</v>
      </c>
      <c r="F442" t="s">
        <v>983</v>
      </c>
      <c r="G442" s="1">
        <v>45237</v>
      </c>
      <c r="H442">
        <v>5414275</v>
      </c>
      <c r="I442">
        <v>63</v>
      </c>
      <c r="J442" t="s">
        <v>170</v>
      </c>
      <c r="K442" t="str">
        <f>IFERROR(IF(AND(VLOOKUP($C442,Hes!$A:$B, 1, FALSE), $M442&lt;&gt;" "), "Ingresada", "Falta Ingresar"), " ")</f>
        <v xml:space="preserve"> </v>
      </c>
      <c r="L442" s="4" t="s">
        <v>681</v>
      </c>
      <c r="M442" t="s">
        <v>681</v>
      </c>
      <c r="O442" s="5">
        <v>30819124</v>
      </c>
      <c r="P442" s="5">
        <v>13800</v>
      </c>
      <c r="Q442" s="5">
        <v>2622</v>
      </c>
      <c r="R442" s="5">
        <v>16422</v>
      </c>
    </row>
    <row r="443" spans="1:18" x14ac:dyDescent="0.25">
      <c r="F443" t="s">
        <v>495</v>
      </c>
      <c r="K443" t="str">
        <f>IFERROR(IF(AND(VLOOKUP($C443,Hes!$A:$B, 1, FALSE), $M443&lt;&gt;" "), "Ingresada", "Falta Ingresar"), " ")</f>
        <v xml:space="preserve"> </v>
      </c>
      <c r="L443" s="4" t="str">
        <f>IFERROR(VLOOKUP($C443,Observaciones!$A:$B,2,FALSE)," ")</f>
        <v xml:space="preserve"> </v>
      </c>
      <c r="M443" t="s">
        <v>681</v>
      </c>
      <c r="P443" s="5">
        <v>13800</v>
      </c>
      <c r="Q443" s="5">
        <v>2622</v>
      </c>
      <c r="R443" s="5">
        <v>16422</v>
      </c>
    </row>
    <row r="444" spans="1:18" x14ac:dyDescent="0.25">
      <c r="A444" t="s">
        <v>503</v>
      </c>
      <c r="B444" t="s">
        <v>502</v>
      </c>
      <c r="C444">
        <v>69130402</v>
      </c>
      <c r="D444">
        <v>0</v>
      </c>
      <c r="E444" t="s">
        <v>984</v>
      </c>
      <c r="F444" t="s">
        <v>985</v>
      </c>
      <c r="G444" s="1">
        <v>45238</v>
      </c>
      <c r="H444">
        <v>5414697</v>
      </c>
      <c r="I444">
        <v>395</v>
      </c>
      <c r="J444" t="s">
        <v>450</v>
      </c>
      <c r="K444" t="str">
        <f>IFERROR(IF(AND(VLOOKUP($C444,Hes!$A:$B, 1, FALSE), $M444&lt;&gt;" "), "Ingresada", "Falta Ingresar"), " ")</f>
        <v xml:space="preserve"> </v>
      </c>
      <c r="L444" s="4" t="str">
        <f>IFERROR(VLOOKUP($C444,Observaciones!$A:$B,2,FALSE)," ")</f>
        <v xml:space="preserve"> </v>
      </c>
      <c r="M444" t="s">
        <v>681</v>
      </c>
      <c r="O444" s="5">
        <v>30817382</v>
      </c>
      <c r="P444" s="5">
        <v>92263</v>
      </c>
      <c r="Q444" s="5">
        <v>17530</v>
      </c>
      <c r="R444" s="5">
        <v>109793</v>
      </c>
    </row>
    <row r="445" spans="1:18" x14ac:dyDescent="0.25">
      <c r="F445" t="s">
        <v>495</v>
      </c>
      <c r="K445" t="str">
        <f>IFERROR(IF(AND(VLOOKUP($C445,Hes!$A:$B, 1, FALSE), $M445&lt;&gt;" "), "Ingresada", "Falta Ingresar"), " ")</f>
        <v xml:space="preserve"> </v>
      </c>
      <c r="L445" s="4" t="str">
        <f>IFERROR(VLOOKUP($C445,Observaciones!$A:$B,2,FALSE)," ")</f>
        <v xml:space="preserve"> </v>
      </c>
      <c r="M445" t="s">
        <v>681</v>
      </c>
      <c r="P445" s="5">
        <v>92263</v>
      </c>
      <c r="Q445" s="5">
        <v>17530</v>
      </c>
      <c r="R445" s="5">
        <v>109793</v>
      </c>
    </row>
    <row r="446" spans="1:18" x14ac:dyDescent="0.25">
      <c r="A446" t="s">
        <v>496</v>
      </c>
      <c r="B446" t="s">
        <v>494</v>
      </c>
      <c r="C446">
        <v>69160402</v>
      </c>
      <c r="D446">
        <v>0</v>
      </c>
      <c r="E446" t="s">
        <v>986</v>
      </c>
      <c r="F446" t="s">
        <v>987</v>
      </c>
      <c r="G446" s="1">
        <v>45236</v>
      </c>
      <c r="H446">
        <v>5412101</v>
      </c>
      <c r="I446">
        <v>408</v>
      </c>
      <c r="J446" t="s">
        <v>444</v>
      </c>
      <c r="K446" t="str">
        <f>IFERROR(IF(AND(VLOOKUP($C446,Hes!$A:$B, 1, FALSE), $M446&lt;&gt;" "), "Ingresada", "Falta Ingresar"), " ")</f>
        <v xml:space="preserve"> </v>
      </c>
      <c r="L446" s="4" t="str">
        <f>IFERROR(VLOOKUP($C446,Observaciones!$A:$B,2,FALSE)," ")</f>
        <v xml:space="preserve"> </v>
      </c>
      <c r="M446" t="s">
        <v>681</v>
      </c>
      <c r="O446" s="5">
        <v>30843739</v>
      </c>
      <c r="P446" s="5">
        <v>444363</v>
      </c>
      <c r="Q446" s="5">
        <v>84429</v>
      </c>
      <c r="R446" s="5">
        <v>528792</v>
      </c>
    </row>
    <row r="447" spans="1:18" x14ac:dyDescent="0.25">
      <c r="F447" t="s">
        <v>495</v>
      </c>
      <c r="K447" t="str">
        <f>IFERROR(IF(AND(VLOOKUP($C447,Hes!$A:$B, 1, FALSE), $M447&lt;&gt;" "), "Ingresada", "Falta Ingresar"), " ")</f>
        <v xml:space="preserve"> </v>
      </c>
      <c r="L447" s="4" t="str">
        <f>IFERROR(VLOOKUP($C447,Observaciones!$A:$B,2,FALSE)," ")</f>
        <v xml:space="preserve"> </v>
      </c>
      <c r="M447" t="s">
        <v>681</v>
      </c>
      <c r="P447" s="5">
        <v>444363</v>
      </c>
      <c r="Q447" s="5">
        <v>84429</v>
      </c>
      <c r="R447" s="5">
        <v>528792</v>
      </c>
    </row>
    <row r="448" spans="1:18" x14ac:dyDescent="0.25">
      <c r="A448" t="s">
        <v>881</v>
      </c>
      <c r="B448" t="s">
        <v>494</v>
      </c>
      <c r="C448">
        <v>69190700</v>
      </c>
      <c r="D448">
        <v>1</v>
      </c>
      <c r="E448" t="s">
        <v>988</v>
      </c>
      <c r="F448" t="s">
        <v>989</v>
      </c>
      <c r="G448" s="1">
        <v>45236</v>
      </c>
      <c r="H448">
        <v>5412103</v>
      </c>
      <c r="I448">
        <v>215</v>
      </c>
      <c r="J448" t="s">
        <v>460</v>
      </c>
      <c r="K448" t="str">
        <f>IFERROR(IF(AND(VLOOKUP($C448,Hes!$A:$B, 1, FALSE), $M448&lt;&gt;" "), "Ingresada", "Falta Ingresar"), " ")</f>
        <v xml:space="preserve"> </v>
      </c>
      <c r="L448" s="4" t="str">
        <f>IFERROR(VLOOKUP($C448,Observaciones!$A:$B,2,FALSE)," ")</f>
        <v xml:space="preserve"> </v>
      </c>
      <c r="M448" t="s">
        <v>681</v>
      </c>
      <c r="O448" s="5">
        <v>30851997</v>
      </c>
      <c r="P448" s="5">
        <v>5219700</v>
      </c>
      <c r="Q448" s="5">
        <v>991743</v>
      </c>
      <c r="R448" s="5">
        <v>6211443</v>
      </c>
    </row>
    <row r="449" spans="1:18" x14ac:dyDescent="0.25">
      <c r="F449" t="s">
        <v>495</v>
      </c>
      <c r="K449" t="str">
        <f>IFERROR(IF(AND(VLOOKUP($C449,Hes!$A:$B, 1, FALSE), $M449&lt;&gt;" "), "Ingresada", "Falta Ingresar"), " ")</f>
        <v xml:space="preserve"> </v>
      </c>
      <c r="L449" s="4" t="str">
        <f>IFERROR(VLOOKUP($C449,Observaciones!$A:$B,2,FALSE)," ")</f>
        <v xml:space="preserve"> </v>
      </c>
      <c r="M449" t="s">
        <v>681</v>
      </c>
      <c r="P449" s="5">
        <v>5219700</v>
      </c>
      <c r="Q449" s="5">
        <v>991743</v>
      </c>
      <c r="R449" s="5">
        <v>6211443</v>
      </c>
    </row>
    <row r="450" spans="1:18" x14ac:dyDescent="0.25">
      <c r="A450" t="s">
        <v>496</v>
      </c>
      <c r="B450" t="s">
        <v>509</v>
      </c>
      <c r="C450">
        <v>69255600</v>
      </c>
      <c r="D450">
        <v>0</v>
      </c>
      <c r="E450" t="s">
        <v>990</v>
      </c>
      <c r="F450" t="s">
        <v>991</v>
      </c>
      <c r="G450" s="1">
        <v>45238</v>
      </c>
      <c r="H450">
        <v>5415726</v>
      </c>
      <c r="I450">
        <v>381</v>
      </c>
      <c r="J450" t="s">
        <v>472</v>
      </c>
      <c r="K450" t="str">
        <f>IFERROR(IF(AND(VLOOKUP($C450,Hes!$A:$B, 1, FALSE), $M450&lt;&gt;" "), "Ingresada", "Falta Ingresar"), " ")</f>
        <v xml:space="preserve"> </v>
      </c>
      <c r="L450" s="4" t="s">
        <v>681</v>
      </c>
      <c r="M450" t="s">
        <v>681</v>
      </c>
      <c r="O450" s="5">
        <v>30849891</v>
      </c>
      <c r="P450" s="5">
        <v>35040</v>
      </c>
      <c r="Q450" s="5">
        <v>6658</v>
      </c>
      <c r="R450" s="5">
        <v>41698</v>
      </c>
    </row>
    <row r="451" spans="1:18" x14ac:dyDescent="0.25">
      <c r="F451" t="s">
        <v>495</v>
      </c>
      <c r="K451" t="str">
        <f>IFERROR(IF(AND(VLOOKUP($C451,Hes!$A:$B, 1, FALSE), $M451&lt;&gt;" "), "Ingresada", "Falta Ingresar"), " ")</f>
        <v xml:space="preserve"> </v>
      </c>
      <c r="L451" s="4" t="str">
        <f>IFERROR(VLOOKUP($C451,Observaciones!$A:$B,2,FALSE)," ")</f>
        <v xml:space="preserve"> </v>
      </c>
      <c r="M451" t="s">
        <v>681</v>
      </c>
      <c r="P451" s="5">
        <v>35040</v>
      </c>
      <c r="Q451" s="5">
        <v>6658</v>
      </c>
      <c r="R451" s="5">
        <v>41698</v>
      </c>
    </row>
    <row r="452" spans="1:18" x14ac:dyDescent="0.25">
      <c r="A452" t="s">
        <v>501</v>
      </c>
      <c r="B452" t="s">
        <v>494</v>
      </c>
      <c r="C452">
        <v>69528780</v>
      </c>
      <c r="D452">
        <v>0</v>
      </c>
      <c r="E452">
        <v>30850123</v>
      </c>
      <c r="F452" t="s">
        <v>992</v>
      </c>
      <c r="G452" s="1">
        <v>45233</v>
      </c>
      <c r="H452">
        <v>5411527</v>
      </c>
      <c r="I452">
        <v>438</v>
      </c>
      <c r="J452" t="s">
        <v>352</v>
      </c>
      <c r="K452" t="str">
        <f>IFERROR(IF(AND(VLOOKUP($C452,Hes!$A:$B, 1, FALSE), $M452&lt;&gt;" "), "Ingresada", "Falta Ingresar"), " ")</f>
        <v xml:space="preserve"> </v>
      </c>
      <c r="L452" s="4" t="str">
        <f>IFERROR(VLOOKUP($C452,Observaciones!$A:$B,2,FALSE)," ")</f>
        <v xml:space="preserve"> </v>
      </c>
      <c r="M452" t="s">
        <v>681</v>
      </c>
      <c r="O452" s="5">
        <v>30850123</v>
      </c>
      <c r="P452" s="5">
        <v>147204</v>
      </c>
      <c r="Q452" s="5">
        <v>27969</v>
      </c>
      <c r="R452" s="5">
        <v>175173</v>
      </c>
    </row>
    <row r="453" spans="1:18" x14ac:dyDescent="0.25">
      <c r="F453" t="s">
        <v>495</v>
      </c>
      <c r="K453" t="str">
        <f>IFERROR(IF(AND(VLOOKUP($C453,Hes!$A:$B, 1, FALSE), $M453&lt;&gt;" "), "Ingresada", "Falta Ingresar"), " ")</f>
        <v xml:space="preserve"> </v>
      </c>
      <c r="L453" s="4" t="str">
        <f>IFERROR(VLOOKUP($C453,Observaciones!$A:$B,2,FALSE)," ")</f>
        <v xml:space="preserve"> </v>
      </c>
      <c r="M453" t="s">
        <v>681</v>
      </c>
      <c r="P453" s="5">
        <v>147204</v>
      </c>
      <c r="Q453" s="5">
        <v>27969</v>
      </c>
      <c r="R453" s="5">
        <v>175173</v>
      </c>
    </row>
    <row r="454" spans="1:18" x14ac:dyDescent="0.25">
      <c r="A454" t="s">
        <v>496</v>
      </c>
      <c r="B454" t="s">
        <v>494</v>
      </c>
      <c r="C454">
        <v>69900700</v>
      </c>
      <c r="D454">
        <v>4</v>
      </c>
      <c r="E454">
        <v>30861399</v>
      </c>
      <c r="F454" t="s">
        <v>993</v>
      </c>
      <c r="G454" s="1">
        <v>45238</v>
      </c>
      <c r="H454">
        <v>5415115</v>
      </c>
      <c r="I454">
        <v>82</v>
      </c>
      <c r="J454" t="s">
        <v>238</v>
      </c>
      <c r="K454" t="str">
        <f>IFERROR(IF(AND(VLOOKUP($C454,Hes!$A:$B, 1, FALSE), $M454&lt;&gt;" "), "Ingresada", "Falta Ingresar"), " ")</f>
        <v xml:space="preserve"> </v>
      </c>
      <c r="L454" s="4" t="str">
        <f>IFERROR(VLOOKUP($C454,Observaciones!$A:$B,2,FALSE)," ")</f>
        <v xml:space="preserve"> </v>
      </c>
      <c r="M454" t="s">
        <v>681</v>
      </c>
      <c r="O454" s="5">
        <v>30861399</v>
      </c>
      <c r="P454" s="5">
        <v>136909</v>
      </c>
      <c r="Q454" s="5">
        <v>26013</v>
      </c>
      <c r="R454" s="5">
        <v>162922</v>
      </c>
    </row>
    <row r="455" spans="1:18" x14ac:dyDescent="0.25">
      <c r="A455" t="s">
        <v>496</v>
      </c>
      <c r="B455" t="s">
        <v>494</v>
      </c>
      <c r="C455">
        <v>69900700</v>
      </c>
      <c r="D455">
        <v>5</v>
      </c>
      <c r="E455">
        <v>30861425</v>
      </c>
      <c r="F455" t="s">
        <v>993</v>
      </c>
      <c r="G455" s="1">
        <v>45238</v>
      </c>
      <c r="H455">
        <v>5415434</v>
      </c>
      <c r="I455">
        <v>82</v>
      </c>
      <c r="J455" t="s">
        <v>238</v>
      </c>
      <c r="K455" t="str">
        <f>IFERROR(IF(AND(VLOOKUP($C455,Hes!$A:$B, 1, FALSE), $M455&lt;&gt;" "), "Ingresada", "Falta Ingresar"), " ")</f>
        <v xml:space="preserve"> </v>
      </c>
      <c r="L455" s="4" t="str">
        <f>IFERROR(VLOOKUP($C455,Observaciones!$A:$B,2,FALSE)," ")</f>
        <v xml:space="preserve"> </v>
      </c>
      <c r="M455" t="s">
        <v>681</v>
      </c>
      <c r="O455" s="5">
        <v>30861425</v>
      </c>
      <c r="P455" s="5">
        <v>646564</v>
      </c>
      <c r="Q455" s="5">
        <v>122847</v>
      </c>
      <c r="R455" s="5">
        <v>769411</v>
      </c>
    </row>
    <row r="456" spans="1:18" x14ac:dyDescent="0.25">
      <c r="A456" t="s">
        <v>496</v>
      </c>
      <c r="B456" t="s">
        <v>494</v>
      </c>
      <c r="C456">
        <v>69900700</v>
      </c>
      <c r="D456">
        <v>5</v>
      </c>
      <c r="E456">
        <v>30861425</v>
      </c>
      <c r="F456" t="s">
        <v>993</v>
      </c>
      <c r="G456" s="1">
        <v>45238</v>
      </c>
      <c r="H456">
        <v>5415435</v>
      </c>
      <c r="I456">
        <v>82</v>
      </c>
      <c r="J456" t="s">
        <v>238</v>
      </c>
      <c r="K456" t="str">
        <f>IFERROR(IF(AND(VLOOKUP($C456,Hes!$A:$B, 1, FALSE), $M456&lt;&gt;" "), "Ingresada", "Falta Ingresar"), " ")</f>
        <v xml:space="preserve"> </v>
      </c>
      <c r="L456" s="4" t="str">
        <f>IFERROR(VLOOKUP($C456,Observaciones!$A:$B,2,FALSE)," ")</f>
        <v xml:space="preserve"> </v>
      </c>
      <c r="M456" t="s">
        <v>681</v>
      </c>
      <c r="O456" s="5">
        <v>30861425</v>
      </c>
      <c r="P456" s="5">
        <v>287265</v>
      </c>
      <c r="Q456" s="5">
        <v>54580</v>
      </c>
      <c r="R456" s="5">
        <v>341845</v>
      </c>
    </row>
    <row r="457" spans="1:18" x14ac:dyDescent="0.25">
      <c r="F457" t="s">
        <v>500</v>
      </c>
      <c r="K457" t="str">
        <f>IFERROR(IF(AND(VLOOKUP($C457,Hes!$A:$B, 1, FALSE), $M457&lt;&gt;" "), "Ingresada", "Falta Ingresar"), " ")</f>
        <v xml:space="preserve"> </v>
      </c>
      <c r="L457" s="4" t="str">
        <f>IFERROR(VLOOKUP($C457,Observaciones!$A:$B,2,FALSE)," ")</f>
        <v xml:space="preserve"> </v>
      </c>
      <c r="M457" t="s">
        <v>681</v>
      </c>
      <c r="P457" s="5">
        <v>1070738</v>
      </c>
      <c r="Q457" s="5">
        <v>203440</v>
      </c>
      <c r="R457" s="5">
        <v>1274178</v>
      </c>
    </row>
    <row r="458" spans="1:18" x14ac:dyDescent="0.25">
      <c r="A458" t="s">
        <v>512</v>
      </c>
      <c r="B458" t="s">
        <v>494</v>
      </c>
      <c r="C458">
        <v>70015730</v>
      </c>
      <c r="D458">
        <v>5</v>
      </c>
      <c r="E458">
        <v>30840837</v>
      </c>
      <c r="F458" t="s">
        <v>994</v>
      </c>
      <c r="G458" s="1">
        <v>45231</v>
      </c>
      <c r="H458">
        <v>5410587</v>
      </c>
      <c r="I458">
        <v>91</v>
      </c>
      <c r="J458" t="s">
        <v>172</v>
      </c>
      <c r="K458" t="str">
        <f>IFERROR(IF(AND(VLOOKUP($C458,Hes!$A:$B, 1, FALSE), $M458&lt;&gt;" "), "Ingresada", "Falta Ingresar"), " ")</f>
        <v xml:space="preserve"> </v>
      </c>
      <c r="L458" s="4" t="str">
        <f>IFERROR(VLOOKUP($C458,Observaciones!$A:$B,2,FALSE)," ")</f>
        <v>OC 47000000... INDIVIDUAL XOC Y CC, EL RESTO VENDEDOR DEBE ENVIAR INF Y OC SINO FACT XRUT</v>
      </c>
      <c r="M458" t="s">
        <v>681</v>
      </c>
      <c r="O458" s="5">
        <v>30840837</v>
      </c>
      <c r="P458" s="5">
        <v>117939</v>
      </c>
      <c r="Q458" s="5">
        <v>22408</v>
      </c>
      <c r="R458" s="5">
        <v>140347</v>
      </c>
    </row>
    <row r="459" spans="1:18" x14ac:dyDescent="0.25">
      <c r="A459" t="s">
        <v>512</v>
      </c>
      <c r="B459" t="s">
        <v>494</v>
      </c>
      <c r="C459">
        <v>70015730</v>
      </c>
      <c r="D459">
        <v>19</v>
      </c>
      <c r="E459">
        <v>30851187</v>
      </c>
      <c r="F459" t="s">
        <v>994</v>
      </c>
      <c r="G459" s="1">
        <v>45233</v>
      </c>
      <c r="H459">
        <v>5411700</v>
      </c>
      <c r="I459">
        <v>91</v>
      </c>
      <c r="J459" t="s">
        <v>172</v>
      </c>
      <c r="K459" t="str">
        <f>IFERROR(IF(AND(VLOOKUP($C459,Hes!$A:$B, 1, FALSE), $M459&lt;&gt;" "), "Ingresada", "Falta Ingresar"), " ")</f>
        <v xml:space="preserve"> </v>
      </c>
      <c r="L459" s="4" t="str">
        <f>IFERROR(VLOOKUP($C459,Observaciones!$A:$B,2,FALSE)," ")</f>
        <v>OC 47000000... INDIVIDUAL XOC Y CC, EL RESTO VENDEDOR DEBE ENVIAR INF Y OC SINO FACT XRUT</v>
      </c>
      <c r="M459" t="s">
        <v>681</v>
      </c>
      <c r="O459" s="5">
        <v>30851187</v>
      </c>
      <c r="P459" s="5">
        <v>132588</v>
      </c>
      <c r="Q459" s="5">
        <v>25192</v>
      </c>
      <c r="R459" s="5">
        <v>157780</v>
      </c>
    </row>
    <row r="460" spans="1:18" x14ac:dyDescent="0.25">
      <c r="A460" t="s">
        <v>512</v>
      </c>
      <c r="B460" t="s">
        <v>494</v>
      </c>
      <c r="C460">
        <v>70015730</v>
      </c>
      <c r="D460">
        <v>0</v>
      </c>
      <c r="E460">
        <v>30849785</v>
      </c>
      <c r="F460" t="s">
        <v>994</v>
      </c>
      <c r="G460" s="1">
        <v>45236</v>
      </c>
      <c r="H460">
        <v>5412224</v>
      </c>
      <c r="I460">
        <v>91</v>
      </c>
      <c r="J460" t="s">
        <v>172</v>
      </c>
      <c r="K460" t="str">
        <f>IFERROR(IF(AND(VLOOKUP($C460,Hes!$A:$B, 1, FALSE), $M460&lt;&gt;" "), "Ingresada", "Falta Ingresar"), " ")</f>
        <v xml:space="preserve"> </v>
      </c>
      <c r="L460" s="4" t="str">
        <f>IFERROR(VLOOKUP($C460,Observaciones!$A:$B,2,FALSE)," ")</f>
        <v>OC 47000000... INDIVIDUAL XOC Y CC, EL RESTO VENDEDOR DEBE ENVIAR INF Y OC SINO FACT XRUT</v>
      </c>
      <c r="M460" t="s">
        <v>681</v>
      </c>
      <c r="O460" s="5">
        <v>30849785</v>
      </c>
      <c r="P460" s="5">
        <v>163152</v>
      </c>
      <c r="Q460" s="5">
        <v>30999</v>
      </c>
      <c r="R460" s="5">
        <v>194151</v>
      </c>
    </row>
    <row r="461" spans="1:18" x14ac:dyDescent="0.25">
      <c r="A461" t="s">
        <v>512</v>
      </c>
      <c r="B461" t="s">
        <v>494</v>
      </c>
      <c r="C461">
        <v>70015730</v>
      </c>
      <c r="D461">
        <v>6</v>
      </c>
      <c r="E461">
        <v>30854204</v>
      </c>
      <c r="F461" t="s">
        <v>994</v>
      </c>
      <c r="G461" s="1">
        <v>45236</v>
      </c>
      <c r="H461">
        <v>5413051</v>
      </c>
      <c r="I461">
        <v>91</v>
      </c>
      <c r="J461" t="s">
        <v>172</v>
      </c>
      <c r="K461" t="str">
        <f>IFERROR(IF(AND(VLOOKUP($C461,Hes!$A:$B, 1, FALSE), $M461&lt;&gt;" "), "Ingresada", "Falta Ingresar"), " ")</f>
        <v xml:space="preserve"> </v>
      </c>
      <c r="L461" s="4" t="str">
        <f>IFERROR(VLOOKUP($C461,Observaciones!$A:$B,2,FALSE)," ")</f>
        <v>OC 47000000... INDIVIDUAL XOC Y CC, EL RESTO VENDEDOR DEBE ENVIAR INF Y OC SINO FACT XRUT</v>
      </c>
      <c r="M461" t="s">
        <v>681</v>
      </c>
      <c r="O461" s="5">
        <v>30854204</v>
      </c>
      <c r="P461" s="5">
        <v>283041</v>
      </c>
      <c r="Q461" s="5">
        <v>53778</v>
      </c>
      <c r="R461" s="5">
        <v>336819</v>
      </c>
    </row>
    <row r="462" spans="1:18" x14ac:dyDescent="0.25">
      <c r="A462" t="s">
        <v>512</v>
      </c>
      <c r="B462" t="s">
        <v>494</v>
      </c>
      <c r="C462">
        <v>70015730</v>
      </c>
      <c r="D462">
        <v>10</v>
      </c>
      <c r="E462">
        <v>30860948</v>
      </c>
      <c r="F462" t="s">
        <v>994</v>
      </c>
      <c r="G462" s="1">
        <v>45237</v>
      </c>
      <c r="H462">
        <v>5414729</v>
      </c>
      <c r="I462">
        <v>91</v>
      </c>
      <c r="J462" t="s">
        <v>172</v>
      </c>
      <c r="K462" t="str">
        <f>IFERROR(IF(AND(VLOOKUP($C462,Hes!$A:$B, 1, FALSE), $M462&lt;&gt;" "), "Ingresada", "Falta Ingresar"), " ")</f>
        <v xml:space="preserve"> </v>
      </c>
      <c r="L462" s="4" t="str">
        <f>IFERROR(VLOOKUP($C462,Observaciones!$A:$B,2,FALSE)," ")</f>
        <v>OC 47000000... INDIVIDUAL XOC Y CC, EL RESTO VENDEDOR DEBE ENVIAR INF Y OC SINO FACT XRUT</v>
      </c>
      <c r="M462" t="s">
        <v>681</v>
      </c>
      <c r="O462" s="5">
        <v>30860948</v>
      </c>
      <c r="P462" s="5">
        <v>165883</v>
      </c>
      <c r="Q462" s="5">
        <v>31518</v>
      </c>
      <c r="R462" s="5">
        <v>197401</v>
      </c>
    </row>
    <row r="463" spans="1:18" x14ac:dyDescent="0.25">
      <c r="A463" t="s">
        <v>512</v>
      </c>
      <c r="B463" t="s">
        <v>494</v>
      </c>
      <c r="C463">
        <v>70015730</v>
      </c>
      <c r="D463">
        <v>7</v>
      </c>
      <c r="E463">
        <v>30861068</v>
      </c>
      <c r="F463" t="s">
        <v>994</v>
      </c>
      <c r="G463" s="1">
        <v>45238</v>
      </c>
      <c r="H463">
        <v>5414975</v>
      </c>
      <c r="I463">
        <v>91</v>
      </c>
      <c r="J463" t="s">
        <v>172</v>
      </c>
      <c r="K463" t="str">
        <f>IFERROR(IF(AND(VLOOKUP($C463,Hes!$A:$B, 1, FALSE), $M463&lt;&gt;" "), "Ingresada", "Falta Ingresar"), " ")</f>
        <v xml:space="preserve"> </v>
      </c>
      <c r="L463" s="4" t="str">
        <f>IFERROR(VLOOKUP($C463,Observaciones!$A:$B,2,FALSE)," ")</f>
        <v>OC 47000000... INDIVIDUAL XOC Y CC, EL RESTO VENDEDOR DEBE ENVIAR INF Y OC SINO FACT XRUT</v>
      </c>
      <c r="M463" t="s">
        <v>681</v>
      </c>
      <c r="O463" s="5">
        <v>30861068</v>
      </c>
      <c r="P463" s="5">
        <v>82637</v>
      </c>
      <c r="Q463" s="5">
        <v>15701</v>
      </c>
      <c r="R463" s="5">
        <v>98338</v>
      </c>
    </row>
    <row r="464" spans="1:18" x14ac:dyDescent="0.25">
      <c r="A464" t="s">
        <v>512</v>
      </c>
      <c r="B464" t="s">
        <v>494</v>
      </c>
      <c r="C464">
        <v>70015730</v>
      </c>
      <c r="D464">
        <v>3</v>
      </c>
      <c r="E464">
        <v>30862280</v>
      </c>
      <c r="F464" t="s">
        <v>994</v>
      </c>
      <c r="G464" s="1">
        <v>45238</v>
      </c>
      <c r="H464">
        <v>5415090</v>
      </c>
      <c r="I464">
        <v>91</v>
      </c>
      <c r="J464" t="s">
        <v>172</v>
      </c>
      <c r="K464" t="str">
        <f>IFERROR(IF(AND(VLOOKUP($C464,Hes!$A:$B, 1, FALSE), $M464&lt;&gt;" "), "Ingresada", "Falta Ingresar"), " ")</f>
        <v xml:space="preserve"> </v>
      </c>
      <c r="L464" s="4" t="str">
        <f>IFERROR(VLOOKUP($C464,Observaciones!$A:$B,2,FALSE)," ")</f>
        <v>OC 47000000... INDIVIDUAL XOC Y CC, EL RESTO VENDEDOR DEBE ENVIAR INF Y OC SINO FACT XRUT</v>
      </c>
      <c r="M464" t="s">
        <v>681</v>
      </c>
      <c r="O464" s="5">
        <v>30862280</v>
      </c>
      <c r="P464" s="5">
        <v>106738</v>
      </c>
      <c r="Q464" s="5">
        <v>20280</v>
      </c>
      <c r="R464" s="5">
        <v>127018</v>
      </c>
    </row>
    <row r="465" spans="1:18" x14ac:dyDescent="0.25">
      <c r="A465" t="s">
        <v>512</v>
      </c>
      <c r="B465" t="s">
        <v>494</v>
      </c>
      <c r="C465">
        <v>70015730</v>
      </c>
      <c r="D465">
        <v>12</v>
      </c>
      <c r="E465">
        <v>30864581</v>
      </c>
      <c r="F465" t="s">
        <v>994</v>
      </c>
      <c r="G465" s="1">
        <v>45238</v>
      </c>
      <c r="H465">
        <v>5415513</v>
      </c>
      <c r="I465">
        <v>91</v>
      </c>
      <c r="J465" t="s">
        <v>172</v>
      </c>
      <c r="K465" t="str">
        <f>IFERROR(IF(AND(VLOOKUP($C465,Hes!$A:$B, 1, FALSE), $M465&lt;&gt;" "), "Ingresada", "Falta Ingresar"), " ")</f>
        <v xml:space="preserve"> </v>
      </c>
      <c r="L465" s="4" t="str">
        <f>IFERROR(VLOOKUP($C465,Observaciones!$A:$B,2,FALSE)," ")</f>
        <v>OC 47000000... INDIVIDUAL XOC Y CC, EL RESTO VENDEDOR DEBE ENVIAR INF Y OC SINO FACT XRUT</v>
      </c>
      <c r="M465" t="s">
        <v>681</v>
      </c>
      <c r="O465" s="5">
        <v>30864581</v>
      </c>
      <c r="P465" s="5">
        <v>142329</v>
      </c>
      <c r="Q465" s="5">
        <v>27043</v>
      </c>
      <c r="R465" s="5">
        <v>169372</v>
      </c>
    </row>
    <row r="466" spans="1:18" x14ac:dyDescent="0.25">
      <c r="F466" t="s">
        <v>511</v>
      </c>
      <c r="K466" t="str">
        <f>IFERROR(IF(AND(VLOOKUP($C466,Hes!$A:$B, 1, FALSE), $M466&lt;&gt;" "), "Ingresada", "Falta Ingresar"), " ")</f>
        <v xml:space="preserve"> </v>
      </c>
      <c r="L466" s="4" t="str">
        <f>IFERROR(VLOOKUP($C466,Observaciones!$A:$B,2,FALSE)," ")</f>
        <v xml:space="preserve"> </v>
      </c>
      <c r="M466" t="s">
        <v>681</v>
      </c>
      <c r="P466" s="5">
        <v>1194307</v>
      </c>
      <c r="Q466" s="5">
        <v>226919</v>
      </c>
      <c r="R466" s="5">
        <v>1421226</v>
      </c>
    </row>
    <row r="467" spans="1:18" x14ac:dyDescent="0.25">
      <c r="A467" t="s">
        <v>512</v>
      </c>
      <c r="B467" t="s">
        <v>494</v>
      </c>
      <c r="C467">
        <v>70020030</v>
      </c>
      <c r="D467">
        <v>18</v>
      </c>
      <c r="E467">
        <v>30844953</v>
      </c>
      <c r="F467" t="s">
        <v>995</v>
      </c>
      <c r="G467" s="1">
        <v>45232</v>
      </c>
      <c r="H467">
        <v>5410726</v>
      </c>
      <c r="I467">
        <v>108</v>
      </c>
      <c r="J467" t="s">
        <v>196</v>
      </c>
      <c r="K467" t="str">
        <f>IFERROR(IF(AND(VLOOKUP($C467,Hes!$A:$B, 1, FALSE), $M467&lt;&gt;" "), "Ingresada", "Falta Ingresar"), " ")</f>
        <v xml:space="preserve"> </v>
      </c>
      <c r="L467" s="4" t="str">
        <f>IFERROR(VLOOKUP($C467,Observaciones!$A:$B,2,FALSE)," ")</f>
        <v>ENVIAR INF A IVAN OLGUIN Y EL ESPECIFICA VIA CORREO COMO FACT</v>
      </c>
      <c r="M467" t="s">
        <v>681</v>
      </c>
      <c r="O467" s="5">
        <v>30844953</v>
      </c>
      <c r="P467" s="5">
        <v>20579</v>
      </c>
      <c r="Q467" s="5">
        <v>3910</v>
      </c>
      <c r="R467" s="5">
        <v>24489</v>
      </c>
    </row>
    <row r="468" spans="1:18" x14ac:dyDescent="0.25">
      <c r="A468" t="s">
        <v>512</v>
      </c>
      <c r="B468" t="s">
        <v>494</v>
      </c>
      <c r="C468">
        <v>70020030</v>
      </c>
      <c r="D468">
        <v>18</v>
      </c>
      <c r="E468">
        <v>30860240</v>
      </c>
      <c r="F468" t="s">
        <v>995</v>
      </c>
      <c r="G468" s="1">
        <v>45237</v>
      </c>
      <c r="H468">
        <v>5414174</v>
      </c>
      <c r="I468">
        <v>108</v>
      </c>
      <c r="J468" t="s">
        <v>196</v>
      </c>
      <c r="K468" t="str">
        <f>IFERROR(IF(AND(VLOOKUP($C468,Hes!$A:$B, 1, FALSE), $M468&lt;&gt;" "), "Ingresada", "Falta Ingresar"), " ")</f>
        <v xml:space="preserve"> </v>
      </c>
      <c r="L468" s="4" t="str">
        <f>IFERROR(VLOOKUP($C468,Observaciones!$A:$B,2,FALSE)," ")</f>
        <v>ENVIAR INF A IVAN OLGUIN Y EL ESPECIFICA VIA CORREO COMO FACT</v>
      </c>
      <c r="M468" t="s">
        <v>681</v>
      </c>
      <c r="O468" s="5">
        <v>30860240</v>
      </c>
      <c r="P468" s="5">
        <v>23094</v>
      </c>
      <c r="Q468" s="5">
        <v>4388</v>
      </c>
      <c r="R468" s="5">
        <v>27482</v>
      </c>
    </row>
    <row r="469" spans="1:18" x14ac:dyDescent="0.25">
      <c r="A469" t="s">
        <v>512</v>
      </c>
      <c r="B469" t="s">
        <v>494</v>
      </c>
      <c r="C469">
        <v>70020030</v>
      </c>
      <c r="D469">
        <v>8</v>
      </c>
      <c r="E469">
        <v>30862034</v>
      </c>
      <c r="F469" t="s">
        <v>995</v>
      </c>
      <c r="G469" s="1">
        <v>45238</v>
      </c>
      <c r="H469">
        <v>5414885</v>
      </c>
      <c r="I469">
        <v>108</v>
      </c>
      <c r="J469" t="s">
        <v>196</v>
      </c>
      <c r="K469" t="str">
        <f>IFERROR(IF(AND(VLOOKUP($C469,Hes!$A:$B, 1, FALSE), $M469&lt;&gt;" "), "Ingresada", "Falta Ingresar"), " ")</f>
        <v xml:space="preserve"> </v>
      </c>
      <c r="L469" s="4" t="str">
        <f>IFERROR(VLOOKUP($C469,Observaciones!$A:$B,2,FALSE)," ")</f>
        <v>ENVIAR INF A IVAN OLGUIN Y EL ESPECIFICA VIA CORREO COMO FACT</v>
      </c>
      <c r="M469" t="s">
        <v>681</v>
      </c>
      <c r="O469" s="5">
        <v>30862034</v>
      </c>
      <c r="P469" s="5">
        <v>55546</v>
      </c>
      <c r="Q469" s="5">
        <v>10554</v>
      </c>
      <c r="R469" s="5">
        <v>66100</v>
      </c>
    </row>
    <row r="470" spans="1:18" x14ac:dyDescent="0.25">
      <c r="A470" t="s">
        <v>512</v>
      </c>
      <c r="B470" t="s">
        <v>494</v>
      </c>
      <c r="C470">
        <v>70020030</v>
      </c>
      <c r="D470">
        <v>8</v>
      </c>
      <c r="E470">
        <v>30862038</v>
      </c>
      <c r="F470" t="s">
        <v>995</v>
      </c>
      <c r="G470" s="1">
        <v>45238</v>
      </c>
      <c r="H470">
        <v>5415562</v>
      </c>
      <c r="I470">
        <v>108</v>
      </c>
      <c r="J470" t="s">
        <v>196</v>
      </c>
      <c r="K470" t="str">
        <f>IFERROR(IF(AND(VLOOKUP($C470,Hes!$A:$B, 1, FALSE), $M470&lt;&gt;" "), "Ingresada", "Falta Ingresar"), " ")</f>
        <v xml:space="preserve"> </v>
      </c>
      <c r="L470" s="4" t="str">
        <f>IFERROR(VLOOKUP($C470,Observaciones!$A:$B,2,FALSE)," ")</f>
        <v>ENVIAR INF A IVAN OLGUIN Y EL ESPECIFICA VIA CORREO COMO FACT</v>
      </c>
      <c r="M470" t="s">
        <v>681</v>
      </c>
      <c r="O470" s="5">
        <v>30862038</v>
      </c>
      <c r="P470" s="5">
        <v>179260</v>
      </c>
      <c r="Q470" s="5">
        <v>34059</v>
      </c>
      <c r="R470" s="5">
        <v>213319</v>
      </c>
    </row>
    <row r="471" spans="1:18" x14ac:dyDescent="0.25">
      <c r="A471" t="s">
        <v>512</v>
      </c>
      <c r="B471" t="s">
        <v>494</v>
      </c>
      <c r="C471">
        <v>70020030</v>
      </c>
      <c r="D471">
        <v>20</v>
      </c>
      <c r="E471">
        <v>30862031</v>
      </c>
      <c r="F471" t="s">
        <v>995</v>
      </c>
      <c r="G471" s="1">
        <v>45238</v>
      </c>
      <c r="H471">
        <v>5415563</v>
      </c>
      <c r="I471">
        <v>108</v>
      </c>
      <c r="J471" t="s">
        <v>196</v>
      </c>
      <c r="K471" t="str">
        <f>IFERROR(IF(AND(VLOOKUP($C471,Hes!$A:$B, 1, FALSE), $M471&lt;&gt;" "), "Ingresada", "Falta Ingresar"), " ")</f>
        <v xml:space="preserve"> </v>
      </c>
      <c r="L471" s="4" t="str">
        <f>IFERROR(VLOOKUP($C471,Observaciones!$A:$B,2,FALSE)," ")</f>
        <v>ENVIAR INF A IVAN OLGUIN Y EL ESPECIFICA VIA CORREO COMO FACT</v>
      </c>
      <c r="M471" t="s">
        <v>681</v>
      </c>
      <c r="O471" s="5">
        <v>30862031</v>
      </c>
      <c r="P471" s="5">
        <v>151423</v>
      </c>
      <c r="Q471" s="5">
        <v>28770</v>
      </c>
      <c r="R471" s="5">
        <v>180193</v>
      </c>
    </row>
    <row r="472" spans="1:18" x14ac:dyDescent="0.25">
      <c r="F472" t="s">
        <v>499</v>
      </c>
      <c r="K472" t="str">
        <f>IFERROR(IF(AND(VLOOKUP($C472,Hes!$A:$B, 1, FALSE), $M472&lt;&gt;" "), "Ingresada", "Falta Ingresar"), " ")</f>
        <v xml:space="preserve"> </v>
      </c>
      <c r="L472" s="4" t="str">
        <f>IFERROR(VLOOKUP($C472,Observaciones!$A:$B,2,FALSE)," ")</f>
        <v xml:space="preserve"> </v>
      </c>
      <c r="M472" t="s">
        <v>681</v>
      </c>
      <c r="P472" s="5">
        <v>429902</v>
      </c>
      <c r="Q472" s="5">
        <v>81681</v>
      </c>
      <c r="R472" s="5">
        <v>511583</v>
      </c>
    </row>
    <row r="473" spans="1:18" x14ac:dyDescent="0.25">
      <c r="A473" t="s">
        <v>996</v>
      </c>
      <c r="B473" t="s">
        <v>494</v>
      </c>
      <c r="C473">
        <v>70039900</v>
      </c>
      <c r="D473">
        <v>3</v>
      </c>
      <c r="E473">
        <v>30849464</v>
      </c>
      <c r="F473" t="s">
        <v>997</v>
      </c>
      <c r="G473" s="1">
        <v>45233</v>
      </c>
      <c r="H473">
        <v>5411713</v>
      </c>
      <c r="I473">
        <v>23</v>
      </c>
      <c r="J473" t="s">
        <v>174</v>
      </c>
      <c r="K473" t="str">
        <f>IFERROR(IF(AND(VLOOKUP($C473,Hes!$A:$B, 1, FALSE), $M473&lt;&gt;" "), "Ingresada", "Falta Ingresar"), " ")</f>
        <v xml:space="preserve"> </v>
      </c>
      <c r="L473" s="4" t="str">
        <f>IFERROR(VLOOKUP($C473,Observaciones!$A:$B,2,FALSE)," ")</f>
        <v>PEDIDOS NO WEB X OC Y CC , WEB UNA FACTURA</v>
      </c>
      <c r="M473" t="s">
        <v>681</v>
      </c>
      <c r="O473" s="5">
        <v>30849464</v>
      </c>
      <c r="P473" s="5">
        <v>40768</v>
      </c>
      <c r="Q473" s="5">
        <v>7746</v>
      </c>
      <c r="R473" s="5">
        <v>48514</v>
      </c>
    </row>
    <row r="474" spans="1:18" x14ac:dyDescent="0.25">
      <c r="A474" t="s">
        <v>996</v>
      </c>
      <c r="B474" t="s">
        <v>494</v>
      </c>
      <c r="C474">
        <v>70039900</v>
      </c>
      <c r="D474">
        <v>2</v>
      </c>
      <c r="E474">
        <v>30849809</v>
      </c>
      <c r="F474" t="s">
        <v>997</v>
      </c>
      <c r="G474" s="1">
        <v>45234</v>
      </c>
      <c r="H474">
        <v>5412204</v>
      </c>
      <c r="I474">
        <v>23</v>
      </c>
      <c r="J474" t="s">
        <v>174</v>
      </c>
      <c r="K474" t="str">
        <f>IFERROR(IF(AND(VLOOKUP($C474,Hes!$A:$B, 1, FALSE), $M474&lt;&gt;" "), "Ingresada", "Falta Ingresar"), " ")</f>
        <v xml:space="preserve"> </v>
      </c>
      <c r="L474" s="4" t="str">
        <f>IFERROR(VLOOKUP($C474,Observaciones!$A:$B,2,FALSE)," ")</f>
        <v>PEDIDOS NO WEB X OC Y CC , WEB UNA FACTURA</v>
      </c>
      <c r="M474" t="s">
        <v>681</v>
      </c>
      <c r="O474" s="5">
        <v>30849809</v>
      </c>
      <c r="P474" s="5">
        <v>502117</v>
      </c>
      <c r="Q474" s="5">
        <v>95402</v>
      </c>
      <c r="R474" s="5">
        <v>597519</v>
      </c>
    </row>
    <row r="475" spans="1:18" x14ac:dyDescent="0.25">
      <c r="A475" t="s">
        <v>996</v>
      </c>
      <c r="B475" t="s">
        <v>494</v>
      </c>
      <c r="C475">
        <v>70039900</v>
      </c>
      <c r="D475">
        <v>2</v>
      </c>
      <c r="E475">
        <v>30854189</v>
      </c>
      <c r="F475" t="s">
        <v>997</v>
      </c>
      <c r="G475" s="1">
        <v>45234</v>
      </c>
      <c r="H475">
        <v>5412664</v>
      </c>
      <c r="I475">
        <v>23</v>
      </c>
      <c r="J475" t="s">
        <v>174</v>
      </c>
      <c r="K475" t="str">
        <f>IFERROR(IF(AND(VLOOKUP($C475,Hes!$A:$B, 1, FALSE), $M475&lt;&gt;" "), "Ingresada", "Falta Ingresar"), " ")</f>
        <v xml:space="preserve"> </v>
      </c>
      <c r="L475" s="4" t="str">
        <f>IFERROR(VLOOKUP($C475,Observaciones!$A:$B,2,FALSE)," ")</f>
        <v>PEDIDOS NO WEB X OC Y CC , WEB UNA FACTURA</v>
      </c>
      <c r="M475" t="s">
        <v>681</v>
      </c>
      <c r="O475" s="5">
        <v>30854189</v>
      </c>
      <c r="P475" s="5">
        <v>98509</v>
      </c>
      <c r="Q475" s="5">
        <v>18717</v>
      </c>
      <c r="R475" s="5">
        <v>117226</v>
      </c>
    </row>
    <row r="476" spans="1:18" x14ac:dyDescent="0.25">
      <c r="A476" t="s">
        <v>996</v>
      </c>
      <c r="B476" t="s">
        <v>494</v>
      </c>
      <c r="C476">
        <v>70039900</v>
      </c>
      <c r="D476">
        <v>3</v>
      </c>
      <c r="E476">
        <v>30849404</v>
      </c>
      <c r="F476" t="s">
        <v>997</v>
      </c>
      <c r="G476" s="1">
        <v>45236</v>
      </c>
      <c r="H476">
        <v>5412689</v>
      </c>
      <c r="I476">
        <v>23</v>
      </c>
      <c r="J476" t="s">
        <v>174</v>
      </c>
      <c r="K476" t="str">
        <f>IFERROR(IF(AND(VLOOKUP($C476,Hes!$A:$B, 1, FALSE), $M476&lt;&gt;" "), "Ingresada", "Falta Ingresar"), " ")</f>
        <v xml:space="preserve"> </v>
      </c>
      <c r="L476" s="4" t="str">
        <f>IFERROR(VLOOKUP($C476,Observaciones!$A:$B,2,FALSE)," ")</f>
        <v>PEDIDOS NO WEB X OC Y CC , WEB UNA FACTURA</v>
      </c>
      <c r="M476" t="s">
        <v>681</v>
      </c>
      <c r="O476" s="5">
        <v>30849404</v>
      </c>
      <c r="P476" s="5">
        <v>158835</v>
      </c>
      <c r="Q476" s="5">
        <v>30179</v>
      </c>
      <c r="R476" s="5">
        <v>189014</v>
      </c>
    </row>
    <row r="477" spans="1:18" x14ac:dyDescent="0.25">
      <c r="A477" t="s">
        <v>996</v>
      </c>
      <c r="B477" t="s">
        <v>494</v>
      </c>
      <c r="C477">
        <v>70039900</v>
      </c>
      <c r="D477">
        <v>0</v>
      </c>
      <c r="E477">
        <v>30856352</v>
      </c>
      <c r="F477" t="s">
        <v>997</v>
      </c>
      <c r="G477" s="1">
        <v>45236</v>
      </c>
      <c r="H477">
        <v>5413349</v>
      </c>
      <c r="I477">
        <v>23</v>
      </c>
      <c r="J477" t="s">
        <v>174</v>
      </c>
      <c r="K477" t="str">
        <f>IFERROR(IF(AND(VLOOKUP($C477,Hes!$A:$B, 1, FALSE), $M477&lt;&gt;" "), "Ingresada", "Falta Ingresar"), " ")</f>
        <v xml:space="preserve"> </v>
      </c>
      <c r="L477" s="4" t="str">
        <f>IFERROR(VLOOKUP($C477,Observaciones!$A:$B,2,FALSE)," ")</f>
        <v>PEDIDOS NO WEB X OC Y CC , WEB UNA FACTURA</v>
      </c>
      <c r="M477" t="s">
        <v>681</v>
      </c>
      <c r="O477" s="5">
        <v>30856352</v>
      </c>
      <c r="P477" s="5">
        <v>54742</v>
      </c>
      <c r="Q477" s="5">
        <v>10401</v>
      </c>
      <c r="R477" s="5">
        <v>65143</v>
      </c>
    </row>
    <row r="478" spans="1:18" x14ac:dyDescent="0.25">
      <c r="A478" t="s">
        <v>996</v>
      </c>
      <c r="B478" t="s">
        <v>494</v>
      </c>
      <c r="C478">
        <v>70039900</v>
      </c>
      <c r="D478">
        <v>1</v>
      </c>
      <c r="E478">
        <v>30853471</v>
      </c>
      <c r="F478" t="s">
        <v>997</v>
      </c>
      <c r="G478" s="1">
        <v>45236</v>
      </c>
      <c r="H478">
        <v>5413626</v>
      </c>
      <c r="I478">
        <v>23</v>
      </c>
      <c r="J478" t="s">
        <v>174</v>
      </c>
      <c r="K478" t="str">
        <f>IFERROR(IF(AND(VLOOKUP($C478,Hes!$A:$B, 1, FALSE), $M478&lt;&gt;" "), "Ingresada", "Falta Ingresar"), " ")</f>
        <v xml:space="preserve"> </v>
      </c>
      <c r="L478" s="4" t="str">
        <f>IFERROR(VLOOKUP($C478,Observaciones!$A:$B,2,FALSE)," ")</f>
        <v>PEDIDOS NO WEB X OC Y CC , WEB UNA FACTURA</v>
      </c>
      <c r="M478" t="s">
        <v>681</v>
      </c>
      <c r="O478" s="5">
        <v>30853471</v>
      </c>
      <c r="P478" s="5">
        <v>207072</v>
      </c>
      <c r="Q478" s="5">
        <v>39344</v>
      </c>
      <c r="R478" s="5">
        <v>246416</v>
      </c>
    </row>
    <row r="479" spans="1:18" x14ac:dyDescent="0.25">
      <c r="A479" t="s">
        <v>996</v>
      </c>
      <c r="B479" t="s">
        <v>494</v>
      </c>
      <c r="C479">
        <v>70039900</v>
      </c>
      <c r="D479">
        <v>1</v>
      </c>
      <c r="E479">
        <v>30853780</v>
      </c>
      <c r="F479" t="s">
        <v>997</v>
      </c>
      <c r="G479" s="1">
        <v>45236</v>
      </c>
      <c r="H479">
        <v>5413629</v>
      </c>
      <c r="I479">
        <v>23</v>
      </c>
      <c r="J479" t="s">
        <v>174</v>
      </c>
      <c r="K479" t="str">
        <f>IFERROR(IF(AND(VLOOKUP($C479,Hes!$A:$B, 1, FALSE), $M479&lt;&gt;" "), "Ingresada", "Falta Ingresar"), " ")</f>
        <v xml:space="preserve"> </v>
      </c>
      <c r="L479" s="4" t="str">
        <f>IFERROR(VLOOKUP($C479,Observaciones!$A:$B,2,FALSE)," ")</f>
        <v>PEDIDOS NO WEB X OC Y CC , WEB UNA FACTURA</v>
      </c>
      <c r="M479" t="s">
        <v>681</v>
      </c>
      <c r="O479" s="5">
        <v>30853780</v>
      </c>
      <c r="P479" s="5">
        <v>189672</v>
      </c>
      <c r="Q479" s="5">
        <v>36038</v>
      </c>
      <c r="R479" s="5">
        <v>225710</v>
      </c>
    </row>
    <row r="480" spans="1:18" x14ac:dyDescent="0.25">
      <c r="A480" t="s">
        <v>996</v>
      </c>
      <c r="B480" t="s">
        <v>494</v>
      </c>
      <c r="C480">
        <v>70039900</v>
      </c>
      <c r="D480">
        <v>3</v>
      </c>
      <c r="E480">
        <v>30866072</v>
      </c>
      <c r="F480" t="s">
        <v>997</v>
      </c>
      <c r="G480" s="1">
        <v>45238</v>
      </c>
      <c r="H480">
        <v>5415740</v>
      </c>
      <c r="I480">
        <v>23</v>
      </c>
      <c r="J480" t="s">
        <v>174</v>
      </c>
      <c r="K480" t="str">
        <f>IFERROR(IF(AND(VLOOKUP($C480,Hes!$A:$B, 1, FALSE), $M480&lt;&gt;" "), "Ingresada", "Falta Ingresar"), " ")</f>
        <v xml:space="preserve"> </v>
      </c>
      <c r="L480" s="4" t="str">
        <f>IFERROR(VLOOKUP($C480,Observaciones!$A:$B,2,FALSE)," ")</f>
        <v>PEDIDOS NO WEB X OC Y CC , WEB UNA FACTURA</v>
      </c>
      <c r="M480" t="s">
        <v>681</v>
      </c>
      <c r="O480" s="5">
        <v>30866072</v>
      </c>
      <c r="P480" s="5">
        <v>45566</v>
      </c>
      <c r="Q480" s="5">
        <v>8658</v>
      </c>
      <c r="R480" s="5">
        <v>54224</v>
      </c>
    </row>
    <row r="481" spans="1:18" x14ac:dyDescent="0.25">
      <c r="F481" t="s">
        <v>511</v>
      </c>
      <c r="K481" t="str">
        <f>IFERROR(IF(AND(VLOOKUP($C481,Hes!$A:$B, 1, FALSE), $M481&lt;&gt;" "), "Ingresada", "Falta Ingresar"), " ")</f>
        <v xml:space="preserve"> </v>
      </c>
      <c r="L481" s="4" t="str">
        <f>IFERROR(VLOOKUP($C481,Observaciones!$A:$B,2,FALSE)," ")</f>
        <v xml:space="preserve"> </v>
      </c>
      <c r="M481" t="s">
        <v>681</v>
      </c>
      <c r="P481" s="5">
        <v>1297281</v>
      </c>
      <c r="Q481" s="5">
        <v>246485</v>
      </c>
      <c r="R481" s="5">
        <v>1543766</v>
      </c>
    </row>
    <row r="482" spans="1:18" x14ac:dyDescent="0.25">
      <c r="A482" t="s">
        <v>998</v>
      </c>
      <c r="B482" t="s">
        <v>494</v>
      </c>
      <c r="C482">
        <v>70285100</v>
      </c>
      <c r="D482">
        <v>274</v>
      </c>
      <c r="E482" t="s">
        <v>980</v>
      </c>
      <c r="F482" t="s">
        <v>999</v>
      </c>
      <c r="G482" s="1">
        <v>45232</v>
      </c>
      <c r="H482">
        <v>5410949</v>
      </c>
      <c r="I482">
        <v>96</v>
      </c>
      <c r="J482" t="s">
        <v>140</v>
      </c>
      <c r="K482" s="8" t="str">
        <f>IFERROR(IF(AND(VLOOKUP($C482,Hes!$A:$B, 1, FALSE), $M482&lt;&gt;" "), "Ingresada", "Falta Ingresar"), " ")</f>
        <v>Falta Ingresar</v>
      </c>
      <c r="L482" s="4" t="str">
        <f>IFERROR(VLOOKUP($C482,Observaciones!$A:$B,2,FALSE)," ")</f>
        <v>VEND ENVIA INFORME</v>
      </c>
      <c r="M482" t="s">
        <v>681</v>
      </c>
      <c r="N482" s="5" t="s">
        <v>841</v>
      </c>
      <c r="O482" s="5">
        <v>30846504</v>
      </c>
      <c r="P482" s="5">
        <v>1531580</v>
      </c>
      <c r="Q482" s="5">
        <v>291000</v>
      </c>
      <c r="R482" s="5">
        <v>1822580</v>
      </c>
    </row>
    <row r="483" spans="1:18" x14ac:dyDescent="0.25">
      <c r="A483" t="s">
        <v>998</v>
      </c>
      <c r="B483" t="s">
        <v>494</v>
      </c>
      <c r="C483">
        <v>70285100</v>
      </c>
      <c r="D483">
        <v>354</v>
      </c>
      <c r="E483">
        <v>4520234145</v>
      </c>
      <c r="F483" t="s">
        <v>999</v>
      </c>
      <c r="G483" s="1">
        <v>45232</v>
      </c>
      <c r="H483">
        <v>5411221</v>
      </c>
      <c r="I483">
        <v>96</v>
      </c>
      <c r="J483" t="s">
        <v>140</v>
      </c>
      <c r="K483" s="8" t="str">
        <f>IFERROR(IF(AND(VLOOKUP($C483,Hes!$A:$B, 1, FALSE), $M483&lt;&gt;" "), "Ingresada", "Falta Ingresar"), " ")</f>
        <v>Falta Ingresar</v>
      </c>
      <c r="L483" s="4" t="str">
        <f>IFERROR(VLOOKUP($C483,Observaciones!$A:$B,2,FALSE)," ")</f>
        <v>VEND ENVIA INFORME</v>
      </c>
      <c r="M483" t="s">
        <v>681</v>
      </c>
      <c r="N483" s="5" t="s">
        <v>841</v>
      </c>
      <c r="O483" s="5">
        <v>30846371</v>
      </c>
      <c r="P483" s="5">
        <v>246460</v>
      </c>
      <c r="Q483" s="5">
        <v>46827</v>
      </c>
      <c r="R483" s="5">
        <v>293287</v>
      </c>
    </row>
    <row r="484" spans="1:18" x14ac:dyDescent="0.25">
      <c r="A484" t="s">
        <v>998</v>
      </c>
      <c r="B484" t="s">
        <v>494</v>
      </c>
      <c r="C484">
        <v>70285100</v>
      </c>
      <c r="D484">
        <v>685</v>
      </c>
      <c r="E484">
        <v>30848865</v>
      </c>
      <c r="F484" t="s">
        <v>999</v>
      </c>
      <c r="G484" s="1">
        <v>45233</v>
      </c>
      <c r="H484">
        <v>5411229</v>
      </c>
      <c r="I484">
        <v>96</v>
      </c>
      <c r="J484" t="s">
        <v>140</v>
      </c>
      <c r="K484" s="8" t="str">
        <f>IFERROR(IF(AND(VLOOKUP($C484,Hes!$A:$B, 1, FALSE), $M484&lt;&gt;" "), "Ingresada", "Falta Ingresar"), " ")</f>
        <v>Falta Ingresar</v>
      </c>
      <c r="L484" s="4" t="str">
        <f>IFERROR(VLOOKUP($C484,Observaciones!$A:$B,2,FALSE)," ")</f>
        <v>VEND ENVIA INFORME</v>
      </c>
      <c r="M484" t="s">
        <v>681</v>
      </c>
      <c r="N484" s="5" t="s">
        <v>841</v>
      </c>
      <c r="O484" s="5">
        <v>30848865</v>
      </c>
      <c r="P484" s="5">
        <v>22267</v>
      </c>
      <c r="Q484" s="5">
        <v>4231</v>
      </c>
      <c r="R484" s="5">
        <v>26498</v>
      </c>
    </row>
    <row r="485" spans="1:18" x14ac:dyDescent="0.25">
      <c r="A485" t="s">
        <v>998</v>
      </c>
      <c r="B485" t="s">
        <v>494</v>
      </c>
      <c r="C485">
        <v>70285100</v>
      </c>
      <c r="D485">
        <v>122</v>
      </c>
      <c r="E485">
        <v>30849047</v>
      </c>
      <c r="F485" t="s">
        <v>999</v>
      </c>
      <c r="G485" s="1">
        <v>45233</v>
      </c>
      <c r="H485">
        <v>5411308</v>
      </c>
      <c r="I485">
        <v>96</v>
      </c>
      <c r="J485" t="s">
        <v>140</v>
      </c>
      <c r="K485" s="8" t="str">
        <f>IFERROR(IF(AND(VLOOKUP($C485,Hes!$A:$B, 1, FALSE), $M485&lt;&gt;" "), "Ingresada", "Falta Ingresar"), " ")</f>
        <v>Falta Ingresar</v>
      </c>
      <c r="L485" s="4" t="str">
        <f>IFERROR(VLOOKUP($C485,Observaciones!$A:$B,2,FALSE)," ")</f>
        <v>VEND ENVIA INFORME</v>
      </c>
      <c r="M485" t="s">
        <v>681</v>
      </c>
      <c r="N485" s="5" t="s">
        <v>841</v>
      </c>
      <c r="O485" s="5">
        <v>30849047</v>
      </c>
      <c r="P485" s="5">
        <v>923850</v>
      </c>
      <c r="Q485" s="5">
        <v>175532</v>
      </c>
      <c r="R485" s="5">
        <v>1099382</v>
      </c>
    </row>
    <row r="486" spans="1:18" x14ac:dyDescent="0.25">
      <c r="A486" t="s">
        <v>998</v>
      </c>
      <c r="B486" t="s">
        <v>494</v>
      </c>
      <c r="C486">
        <v>70285100</v>
      </c>
      <c r="D486">
        <v>176</v>
      </c>
      <c r="E486">
        <v>30848862</v>
      </c>
      <c r="F486" t="s">
        <v>999</v>
      </c>
      <c r="G486" s="1">
        <v>45233</v>
      </c>
      <c r="H486">
        <v>5411330</v>
      </c>
      <c r="I486">
        <v>96</v>
      </c>
      <c r="J486" t="s">
        <v>140</v>
      </c>
      <c r="K486" s="8" t="str">
        <f>IFERROR(IF(AND(VLOOKUP($C486,Hes!$A:$B, 1, FALSE), $M486&lt;&gt;" "), "Ingresada", "Falta Ingresar"), " ")</f>
        <v>Falta Ingresar</v>
      </c>
      <c r="L486" s="4" t="str">
        <f>IFERROR(VLOOKUP($C486,Observaciones!$A:$B,2,FALSE)," ")</f>
        <v>VEND ENVIA INFORME</v>
      </c>
      <c r="M486" t="s">
        <v>681</v>
      </c>
      <c r="N486" s="5" t="s">
        <v>841</v>
      </c>
      <c r="O486" s="5">
        <v>30848862</v>
      </c>
      <c r="P486" s="5">
        <v>33932</v>
      </c>
      <c r="Q486" s="5">
        <v>6447</v>
      </c>
      <c r="R486" s="5">
        <v>40379</v>
      </c>
    </row>
    <row r="487" spans="1:18" x14ac:dyDescent="0.25">
      <c r="A487" t="s">
        <v>998</v>
      </c>
      <c r="B487" t="s">
        <v>494</v>
      </c>
      <c r="C487">
        <v>70285100</v>
      </c>
      <c r="D487">
        <v>927</v>
      </c>
      <c r="E487">
        <v>30848874</v>
      </c>
      <c r="F487" t="s">
        <v>999</v>
      </c>
      <c r="G487" s="1">
        <v>45233</v>
      </c>
      <c r="H487">
        <v>5411331</v>
      </c>
      <c r="I487">
        <v>96</v>
      </c>
      <c r="J487" t="s">
        <v>140</v>
      </c>
      <c r="K487" s="8" t="str">
        <f>IFERROR(IF(AND(VLOOKUP($C487,Hes!$A:$B, 1, FALSE), $M487&lt;&gt;" "), "Ingresada", "Falta Ingresar"), " ")</f>
        <v>Falta Ingresar</v>
      </c>
      <c r="L487" s="4" t="str">
        <f>IFERROR(VLOOKUP($C487,Observaciones!$A:$B,2,FALSE)," ")</f>
        <v>VEND ENVIA INFORME</v>
      </c>
      <c r="M487" t="s">
        <v>681</v>
      </c>
      <c r="N487" s="5" t="s">
        <v>841</v>
      </c>
      <c r="O487" s="5">
        <v>30848874</v>
      </c>
      <c r="P487" s="5">
        <v>65657</v>
      </c>
      <c r="Q487" s="5">
        <v>12475</v>
      </c>
      <c r="R487" s="5">
        <v>78132</v>
      </c>
    </row>
    <row r="488" spans="1:18" x14ac:dyDescent="0.25">
      <c r="A488" t="s">
        <v>998</v>
      </c>
      <c r="B488" t="s">
        <v>494</v>
      </c>
      <c r="C488">
        <v>70285100</v>
      </c>
      <c r="D488">
        <v>206</v>
      </c>
      <c r="E488">
        <v>30848863</v>
      </c>
      <c r="F488" t="s">
        <v>999</v>
      </c>
      <c r="G488" s="1">
        <v>45233</v>
      </c>
      <c r="H488">
        <v>5411332</v>
      </c>
      <c r="I488">
        <v>96</v>
      </c>
      <c r="J488" t="s">
        <v>140</v>
      </c>
      <c r="K488" s="8" t="str">
        <f>IFERROR(IF(AND(VLOOKUP($C488,Hes!$A:$B, 1, FALSE), $M488&lt;&gt;" "), "Ingresada", "Falta Ingresar"), " ")</f>
        <v>Falta Ingresar</v>
      </c>
      <c r="L488" s="4" t="str">
        <f>IFERROR(VLOOKUP($C488,Observaciones!$A:$B,2,FALSE)," ")</f>
        <v>VEND ENVIA INFORME</v>
      </c>
      <c r="M488" t="s">
        <v>681</v>
      </c>
      <c r="N488" s="5" t="s">
        <v>841</v>
      </c>
      <c r="O488" s="5">
        <v>30848863</v>
      </c>
      <c r="P488" s="5">
        <v>37363</v>
      </c>
      <c r="Q488" s="5">
        <v>7099</v>
      </c>
      <c r="R488" s="5">
        <v>44462</v>
      </c>
    </row>
    <row r="489" spans="1:18" x14ac:dyDescent="0.25">
      <c r="A489" t="s">
        <v>998</v>
      </c>
      <c r="B489" t="s">
        <v>494</v>
      </c>
      <c r="C489">
        <v>70285100</v>
      </c>
      <c r="D489">
        <v>529</v>
      </c>
      <c r="E489">
        <v>30848875</v>
      </c>
      <c r="F489" t="s">
        <v>999</v>
      </c>
      <c r="G489" s="1">
        <v>45233</v>
      </c>
      <c r="H489">
        <v>5411333</v>
      </c>
      <c r="I489">
        <v>96</v>
      </c>
      <c r="J489" t="s">
        <v>140</v>
      </c>
      <c r="K489" s="8" t="str">
        <f>IFERROR(IF(AND(VLOOKUP($C489,Hes!$A:$B, 1, FALSE), $M489&lt;&gt;" "), "Ingresada", "Falta Ingresar"), " ")</f>
        <v>Falta Ingresar</v>
      </c>
      <c r="L489" s="4" t="str">
        <f>IFERROR(VLOOKUP($C489,Observaciones!$A:$B,2,FALSE)," ")</f>
        <v>VEND ENVIA INFORME</v>
      </c>
      <c r="M489" t="s">
        <v>681</v>
      </c>
      <c r="N489" s="5" t="s">
        <v>841</v>
      </c>
      <c r="O489" s="5">
        <v>30848875</v>
      </c>
      <c r="P489" s="5">
        <v>232813</v>
      </c>
      <c r="Q489" s="5">
        <v>44234</v>
      </c>
      <c r="R489" s="5">
        <v>277047</v>
      </c>
    </row>
    <row r="490" spans="1:18" x14ac:dyDescent="0.25">
      <c r="A490" t="s">
        <v>998</v>
      </c>
      <c r="B490" t="s">
        <v>494</v>
      </c>
      <c r="C490">
        <v>70285100</v>
      </c>
      <c r="D490">
        <v>930</v>
      </c>
      <c r="E490">
        <v>30848867</v>
      </c>
      <c r="F490" t="s">
        <v>999</v>
      </c>
      <c r="G490" s="1">
        <v>45233</v>
      </c>
      <c r="H490">
        <v>5411334</v>
      </c>
      <c r="I490">
        <v>96</v>
      </c>
      <c r="J490" t="s">
        <v>140</v>
      </c>
      <c r="K490" s="8" t="str">
        <f>IFERROR(IF(AND(VLOOKUP($C490,Hes!$A:$B, 1, FALSE), $M490&lt;&gt;" "), "Ingresada", "Falta Ingresar"), " ")</f>
        <v>Falta Ingresar</v>
      </c>
      <c r="L490" s="4" t="str">
        <f>IFERROR(VLOOKUP($C490,Observaciones!$A:$B,2,FALSE)," ")</f>
        <v>VEND ENVIA INFORME</v>
      </c>
      <c r="M490" t="s">
        <v>681</v>
      </c>
      <c r="N490" s="5" t="s">
        <v>841</v>
      </c>
      <c r="O490" s="5">
        <v>30848867</v>
      </c>
      <c r="P490" s="5">
        <v>78629</v>
      </c>
      <c r="Q490" s="5">
        <v>14940</v>
      </c>
      <c r="R490" s="5">
        <v>93569</v>
      </c>
    </row>
    <row r="491" spans="1:18" x14ac:dyDescent="0.25">
      <c r="A491" t="s">
        <v>998</v>
      </c>
      <c r="B491" t="s">
        <v>494</v>
      </c>
      <c r="C491">
        <v>70285100</v>
      </c>
      <c r="D491">
        <v>928</v>
      </c>
      <c r="E491">
        <v>30848869</v>
      </c>
      <c r="F491" t="s">
        <v>999</v>
      </c>
      <c r="G491" s="1">
        <v>45233</v>
      </c>
      <c r="H491">
        <v>5411335</v>
      </c>
      <c r="I491">
        <v>96</v>
      </c>
      <c r="J491" t="s">
        <v>140</v>
      </c>
      <c r="K491" s="8" t="str">
        <f>IFERROR(IF(AND(VLOOKUP($C491,Hes!$A:$B, 1, FALSE), $M491&lt;&gt;" "), "Ingresada", "Falta Ingresar"), " ")</f>
        <v>Falta Ingresar</v>
      </c>
      <c r="L491" s="4" t="str">
        <f>IFERROR(VLOOKUP($C491,Observaciones!$A:$B,2,FALSE)," ")</f>
        <v>VEND ENVIA INFORME</v>
      </c>
      <c r="M491" t="s">
        <v>681</v>
      </c>
      <c r="N491" s="5" t="s">
        <v>841</v>
      </c>
      <c r="O491" s="5">
        <v>30848869</v>
      </c>
      <c r="P491" s="5">
        <v>70933</v>
      </c>
      <c r="Q491" s="5">
        <v>13477</v>
      </c>
      <c r="R491" s="5">
        <v>84410</v>
      </c>
    </row>
    <row r="492" spans="1:18" x14ac:dyDescent="0.25">
      <c r="A492" t="s">
        <v>998</v>
      </c>
      <c r="B492" t="s">
        <v>494</v>
      </c>
      <c r="C492">
        <v>70285100</v>
      </c>
      <c r="D492">
        <v>207</v>
      </c>
      <c r="E492">
        <v>30848866</v>
      </c>
      <c r="F492" t="s">
        <v>999</v>
      </c>
      <c r="G492" s="1">
        <v>45233</v>
      </c>
      <c r="H492">
        <v>5411336</v>
      </c>
      <c r="I492">
        <v>96</v>
      </c>
      <c r="J492" t="s">
        <v>140</v>
      </c>
      <c r="K492" s="8" t="str">
        <f>IFERROR(IF(AND(VLOOKUP($C492,Hes!$A:$B, 1, FALSE), $M492&lt;&gt;" "), "Ingresada", "Falta Ingresar"), " ")</f>
        <v>Falta Ingresar</v>
      </c>
      <c r="L492" s="4" t="str">
        <f>IFERROR(VLOOKUP($C492,Observaciones!$A:$B,2,FALSE)," ")</f>
        <v>VEND ENVIA INFORME</v>
      </c>
      <c r="M492" t="s">
        <v>681</v>
      </c>
      <c r="N492" s="5" t="s">
        <v>841</v>
      </c>
      <c r="O492" s="5">
        <v>30848866</v>
      </c>
      <c r="P492" s="5">
        <v>57295</v>
      </c>
      <c r="Q492" s="5">
        <v>10886</v>
      </c>
      <c r="R492" s="5">
        <v>68181</v>
      </c>
    </row>
    <row r="493" spans="1:18" x14ac:dyDescent="0.25">
      <c r="A493" t="s">
        <v>998</v>
      </c>
      <c r="B493" t="s">
        <v>494</v>
      </c>
      <c r="C493">
        <v>70285100</v>
      </c>
      <c r="D493">
        <v>951</v>
      </c>
      <c r="E493">
        <v>30848872</v>
      </c>
      <c r="F493" t="s">
        <v>999</v>
      </c>
      <c r="G493" s="1">
        <v>45233</v>
      </c>
      <c r="H493">
        <v>5411338</v>
      </c>
      <c r="I493">
        <v>96</v>
      </c>
      <c r="J493" t="s">
        <v>140</v>
      </c>
      <c r="K493" s="8" t="str">
        <f>IFERROR(IF(AND(VLOOKUP($C493,Hes!$A:$B, 1, FALSE), $M493&lt;&gt;" "), "Ingresada", "Falta Ingresar"), " ")</f>
        <v>Falta Ingresar</v>
      </c>
      <c r="L493" s="4" t="str">
        <f>IFERROR(VLOOKUP($C493,Observaciones!$A:$B,2,FALSE)," ")</f>
        <v>VEND ENVIA INFORME</v>
      </c>
      <c r="M493" t="s">
        <v>681</v>
      </c>
      <c r="N493" s="5" t="s">
        <v>841</v>
      </c>
      <c r="O493" s="5">
        <v>30848872</v>
      </c>
      <c r="P493" s="5">
        <v>34637</v>
      </c>
      <c r="Q493" s="5">
        <v>6581</v>
      </c>
      <c r="R493" s="5">
        <v>41218</v>
      </c>
    </row>
    <row r="494" spans="1:18" x14ac:dyDescent="0.25">
      <c r="A494" t="s">
        <v>998</v>
      </c>
      <c r="B494" t="s">
        <v>494</v>
      </c>
      <c r="C494">
        <v>70285100</v>
      </c>
      <c r="D494">
        <v>926</v>
      </c>
      <c r="E494">
        <v>30848868</v>
      </c>
      <c r="F494" t="s">
        <v>999</v>
      </c>
      <c r="G494" s="1">
        <v>45233</v>
      </c>
      <c r="H494">
        <v>5411341</v>
      </c>
      <c r="I494">
        <v>96</v>
      </c>
      <c r="J494" t="s">
        <v>140</v>
      </c>
      <c r="K494" s="8" t="str">
        <f>IFERROR(IF(AND(VLOOKUP($C494,Hes!$A:$B, 1, FALSE), $M494&lt;&gt;" "), "Ingresada", "Falta Ingresar"), " ")</f>
        <v>Falta Ingresar</v>
      </c>
      <c r="L494" s="4" t="str">
        <f>IFERROR(VLOOKUP($C494,Observaciones!$A:$B,2,FALSE)," ")</f>
        <v>VEND ENVIA INFORME</v>
      </c>
      <c r="M494" t="s">
        <v>681</v>
      </c>
      <c r="N494" s="5" t="s">
        <v>841</v>
      </c>
      <c r="O494" s="5">
        <v>30848868</v>
      </c>
      <c r="P494" s="5">
        <v>157490</v>
      </c>
      <c r="Q494" s="5">
        <v>29923</v>
      </c>
      <c r="R494" s="5">
        <v>187413</v>
      </c>
    </row>
    <row r="495" spans="1:18" x14ac:dyDescent="0.25">
      <c r="A495" t="s">
        <v>998</v>
      </c>
      <c r="B495" t="s">
        <v>494</v>
      </c>
      <c r="C495">
        <v>70285100</v>
      </c>
      <c r="D495">
        <v>929</v>
      </c>
      <c r="E495">
        <v>30848860</v>
      </c>
      <c r="F495" t="s">
        <v>999</v>
      </c>
      <c r="G495" s="1">
        <v>45233</v>
      </c>
      <c r="H495">
        <v>5411344</v>
      </c>
      <c r="I495">
        <v>96</v>
      </c>
      <c r="J495" t="s">
        <v>140</v>
      </c>
      <c r="K495" s="8" t="str">
        <f>IFERROR(IF(AND(VLOOKUP($C495,Hes!$A:$B, 1, FALSE), $M495&lt;&gt;" "), "Ingresada", "Falta Ingresar"), " ")</f>
        <v>Falta Ingresar</v>
      </c>
      <c r="L495" s="4" t="str">
        <f>IFERROR(VLOOKUP($C495,Observaciones!$A:$B,2,FALSE)," ")</f>
        <v>VEND ENVIA INFORME</v>
      </c>
      <c r="M495" t="s">
        <v>681</v>
      </c>
      <c r="N495" s="5" t="s">
        <v>841</v>
      </c>
      <c r="O495" s="5">
        <v>30848860</v>
      </c>
      <c r="P495" s="5">
        <v>229287</v>
      </c>
      <c r="Q495" s="5">
        <v>43565</v>
      </c>
      <c r="R495" s="5">
        <v>272852</v>
      </c>
    </row>
    <row r="496" spans="1:18" x14ac:dyDescent="0.25">
      <c r="A496" t="s">
        <v>998</v>
      </c>
      <c r="B496" t="s">
        <v>494</v>
      </c>
      <c r="C496">
        <v>70285100</v>
      </c>
      <c r="D496">
        <v>48</v>
      </c>
      <c r="E496">
        <v>30848861</v>
      </c>
      <c r="F496" t="s">
        <v>999</v>
      </c>
      <c r="G496" s="1">
        <v>45233</v>
      </c>
      <c r="H496">
        <v>5411345</v>
      </c>
      <c r="I496">
        <v>96</v>
      </c>
      <c r="J496" t="s">
        <v>140</v>
      </c>
      <c r="K496" s="8" t="str">
        <f>IFERROR(IF(AND(VLOOKUP($C496,Hes!$A:$B, 1, FALSE), $M496&lt;&gt;" "), "Ingresada", "Falta Ingresar"), " ")</f>
        <v>Falta Ingresar</v>
      </c>
      <c r="L496" s="4" t="str">
        <f>IFERROR(VLOOKUP($C496,Observaciones!$A:$B,2,FALSE)," ")</f>
        <v>VEND ENVIA INFORME</v>
      </c>
      <c r="M496" t="s">
        <v>681</v>
      </c>
      <c r="N496" s="5" t="s">
        <v>841</v>
      </c>
      <c r="O496" s="5">
        <v>30848861</v>
      </c>
      <c r="P496" s="5">
        <v>479121</v>
      </c>
      <c r="Q496" s="5">
        <v>91033</v>
      </c>
      <c r="R496" s="5">
        <v>570154</v>
      </c>
    </row>
    <row r="497" spans="1:18" x14ac:dyDescent="0.25">
      <c r="A497" t="s">
        <v>998</v>
      </c>
      <c r="B497" t="s">
        <v>494</v>
      </c>
      <c r="C497">
        <v>70285100</v>
      </c>
      <c r="D497">
        <v>462</v>
      </c>
      <c r="E497">
        <v>30848871</v>
      </c>
      <c r="F497" t="s">
        <v>999</v>
      </c>
      <c r="G497" s="1">
        <v>45233</v>
      </c>
      <c r="H497">
        <v>5411354</v>
      </c>
      <c r="I497">
        <v>96</v>
      </c>
      <c r="J497" t="s">
        <v>140</v>
      </c>
      <c r="K497" s="8" t="str">
        <f>IFERROR(IF(AND(VLOOKUP($C497,Hes!$A:$B, 1, FALSE), $M497&lt;&gt;" "), "Ingresada", "Falta Ingresar"), " ")</f>
        <v>Falta Ingresar</v>
      </c>
      <c r="L497" s="4" t="str">
        <f>IFERROR(VLOOKUP($C497,Observaciones!$A:$B,2,FALSE)," ")</f>
        <v>VEND ENVIA INFORME</v>
      </c>
      <c r="M497" t="s">
        <v>681</v>
      </c>
      <c r="N497" s="5" t="s">
        <v>841</v>
      </c>
      <c r="O497" s="5">
        <v>30848871</v>
      </c>
      <c r="P497" s="5">
        <v>33430</v>
      </c>
      <c r="Q497" s="5">
        <v>6352</v>
      </c>
      <c r="R497" s="5">
        <v>39782</v>
      </c>
    </row>
    <row r="498" spans="1:18" x14ac:dyDescent="0.25">
      <c r="A498" t="s">
        <v>998</v>
      </c>
      <c r="B498" t="s">
        <v>494</v>
      </c>
      <c r="C498">
        <v>70285100</v>
      </c>
      <c r="D498">
        <v>392</v>
      </c>
      <c r="E498">
        <v>30849650</v>
      </c>
      <c r="F498" t="s">
        <v>999</v>
      </c>
      <c r="G498" s="1">
        <v>45233</v>
      </c>
      <c r="H498">
        <v>5411396</v>
      </c>
      <c r="I498">
        <v>96</v>
      </c>
      <c r="J498" t="s">
        <v>140</v>
      </c>
      <c r="K498" s="8" t="str">
        <f>IFERROR(IF(AND(VLOOKUP($C498,Hes!$A:$B, 1, FALSE), $M498&lt;&gt;" "), "Ingresada", "Falta Ingresar"), " ")</f>
        <v>Falta Ingresar</v>
      </c>
      <c r="L498" s="4" t="str">
        <f>IFERROR(VLOOKUP($C498,Observaciones!$A:$B,2,FALSE)," ")</f>
        <v>VEND ENVIA INFORME</v>
      </c>
      <c r="M498" t="s">
        <v>681</v>
      </c>
      <c r="N498" s="5" t="s">
        <v>841</v>
      </c>
      <c r="O498" s="5">
        <v>30849650</v>
      </c>
      <c r="P498" s="5">
        <v>40484</v>
      </c>
      <c r="Q498" s="5">
        <v>7692</v>
      </c>
      <c r="R498" s="5">
        <v>48176</v>
      </c>
    </row>
    <row r="499" spans="1:18" x14ac:dyDescent="0.25">
      <c r="A499" t="s">
        <v>998</v>
      </c>
      <c r="B499" t="s">
        <v>494</v>
      </c>
      <c r="C499">
        <v>70285100</v>
      </c>
      <c r="D499">
        <v>735</v>
      </c>
      <c r="E499">
        <v>30848854</v>
      </c>
      <c r="F499" t="s">
        <v>999</v>
      </c>
      <c r="G499" s="1">
        <v>45233</v>
      </c>
      <c r="H499">
        <v>5411411</v>
      </c>
      <c r="I499">
        <v>96</v>
      </c>
      <c r="J499" t="s">
        <v>140</v>
      </c>
      <c r="K499" s="8" t="str">
        <f>IFERROR(IF(AND(VLOOKUP($C499,Hes!$A:$B, 1, FALSE), $M499&lt;&gt;" "), "Ingresada", "Falta Ingresar"), " ")</f>
        <v>Falta Ingresar</v>
      </c>
      <c r="L499" s="4" t="str">
        <f>IFERROR(VLOOKUP($C499,Observaciones!$A:$B,2,FALSE)," ")</f>
        <v>VEND ENVIA INFORME</v>
      </c>
      <c r="M499" t="s">
        <v>681</v>
      </c>
      <c r="N499" s="5" t="s">
        <v>841</v>
      </c>
      <c r="O499" s="5">
        <v>30848854</v>
      </c>
      <c r="P499" s="5">
        <v>66809</v>
      </c>
      <c r="Q499" s="5">
        <v>12694</v>
      </c>
      <c r="R499" s="5">
        <v>79503</v>
      </c>
    </row>
    <row r="500" spans="1:18" x14ac:dyDescent="0.25">
      <c r="A500" t="s">
        <v>998</v>
      </c>
      <c r="B500" t="s">
        <v>494</v>
      </c>
      <c r="C500">
        <v>70285100</v>
      </c>
      <c r="D500">
        <v>244</v>
      </c>
      <c r="E500">
        <v>30848858</v>
      </c>
      <c r="F500" t="s">
        <v>999</v>
      </c>
      <c r="G500" s="1">
        <v>45233</v>
      </c>
      <c r="H500">
        <v>5411413</v>
      </c>
      <c r="I500">
        <v>96</v>
      </c>
      <c r="J500" t="s">
        <v>140</v>
      </c>
      <c r="K500" s="8" t="str">
        <f>IFERROR(IF(AND(VLOOKUP($C500,Hes!$A:$B, 1, FALSE), $M500&lt;&gt;" "), "Ingresada", "Falta Ingresar"), " ")</f>
        <v>Falta Ingresar</v>
      </c>
      <c r="L500" s="4" t="str">
        <f>IFERROR(VLOOKUP($C500,Observaciones!$A:$B,2,FALSE)," ")</f>
        <v>VEND ENVIA INFORME</v>
      </c>
      <c r="M500" t="s">
        <v>681</v>
      </c>
      <c r="N500" s="5" t="s">
        <v>841</v>
      </c>
      <c r="O500" s="5">
        <v>30848858</v>
      </c>
      <c r="P500" s="5">
        <v>50116</v>
      </c>
      <c r="Q500" s="5">
        <v>9522</v>
      </c>
      <c r="R500" s="5">
        <v>59638</v>
      </c>
    </row>
    <row r="501" spans="1:18" x14ac:dyDescent="0.25">
      <c r="A501" t="s">
        <v>998</v>
      </c>
      <c r="B501" t="s">
        <v>494</v>
      </c>
      <c r="C501">
        <v>70285100</v>
      </c>
      <c r="D501">
        <v>524</v>
      </c>
      <c r="E501">
        <v>30848859</v>
      </c>
      <c r="F501" t="s">
        <v>999</v>
      </c>
      <c r="G501" s="1">
        <v>45233</v>
      </c>
      <c r="H501">
        <v>5411414</v>
      </c>
      <c r="I501">
        <v>96</v>
      </c>
      <c r="J501" t="s">
        <v>140</v>
      </c>
      <c r="K501" s="8" t="str">
        <f>IFERROR(IF(AND(VLOOKUP($C501,Hes!$A:$B, 1, FALSE), $M501&lt;&gt;" "), "Ingresada", "Falta Ingresar"), " ")</f>
        <v>Falta Ingresar</v>
      </c>
      <c r="L501" s="4" t="str">
        <f>IFERROR(VLOOKUP($C501,Observaciones!$A:$B,2,FALSE)," ")</f>
        <v>VEND ENVIA INFORME</v>
      </c>
      <c r="M501" t="s">
        <v>681</v>
      </c>
      <c r="N501" s="5" t="s">
        <v>841</v>
      </c>
      <c r="O501" s="5">
        <v>30848859</v>
      </c>
      <c r="P501" s="5">
        <v>92078</v>
      </c>
      <c r="Q501" s="5">
        <v>17495</v>
      </c>
      <c r="R501" s="5">
        <v>109573</v>
      </c>
    </row>
    <row r="502" spans="1:18" x14ac:dyDescent="0.25">
      <c r="A502" t="s">
        <v>998</v>
      </c>
      <c r="B502" t="s">
        <v>494</v>
      </c>
      <c r="C502">
        <v>70285100</v>
      </c>
      <c r="D502">
        <v>522</v>
      </c>
      <c r="E502">
        <v>30848856</v>
      </c>
      <c r="F502" t="s">
        <v>999</v>
      </c>
      <c r="G502" s="1">
        <v>45233</v>
      </c>
      <c r="H502">
        <v>5411415</v>
      </c>
      <c r="I502">
        <v>96</v>
      </c>
      <c r="J502" t="s">
        <v>140</v>
      </c>
      <c r="K502" s="8" t="str">
        <f>IFERROR(IF(AND(VLOOKUP($C502,Hes!$A:$B, 1, FALSE), $M502&lt;&gt;" "), "Ingresada", "Falta Ingresar"), " ")</f>
        <v>Falta Ingresar</v>
      </c>
      <c r="L502" s="4" t="str">
        <f>IFERROR(VLOOKUP($C502,Observaciones!$A:$B,2,FALSE)," ")</f>
        <v>VEND ENVIA INFORME</v>
      </c>
      <c r="M502" t="s">
        <v>681</v>
      </c>
      <c r="N502" s="5" t="s">
        <v>841</v>
      </c>
      <c r="O502" s="5">
        <v>30848856</v>
      </c>
      <c r="P502" s="5">
        <v>147744</v>
      </c>
      <c r="Q502" s="5">
        <v>28071</v>
      </c>
      <c r="R502" s="5">
        <v>175815</v>
      </c>
    </row>
    <row r="503" spans="1:18" x14ac:dyDescent="0.25">
      <c r="A503" t="s">
        <v>998</v>
      </c>
      <c r="B503" t="s">
        <v>494</v>
      </c>
      <c r="C503">
        <v>70285100</v>
      </c>
      <c r="D503">
        <v>242</v>
      </c>
      <c r="E503">
        <v>30848855</v>
      </c>
      <c r="F503" t="s">
        <v>999</v>
      </c>
      <c r="G503" s="1">
        <v>45233</v>
      </c>
      <c r="H503">
        <v>5411416</v>
      </c>
      <c r="I503">
        <v>96</v>
      </c>
      <c r="J503" t="s">
        <v>140</v>
      </c>
      <c r="K503" s="8" t="str">
        <f>IFERROR(IF(AND(VLOOKUP($C503,Hes!$A:$B, 1, FALSE), $M503&lt;&gt;" "), "Ingresada", "Falta Ingresar"), " ")</f>
        <v>Falta Ingresar</v>
      </c>
      <c r="L503" s="4" t="str">
        <f>IFERROR(VLOOKUP($C503,Observaciones!$A:$B,2,FALSE)," ")</f>
        <v>VEND ENVIA INFORME</v>
      </c>
      <c r="M503" t="s">
        <v>681</v>
      </c>
      <c r="N503" s="5" t="s">
        <v>841</v>
      </c>
      <c r="O503" s="5">
        <v>30848855</v>
      </c>
      <c r="P503" s="5">
        <v>109686</v>
      </c>
      <c r="Q503" s="5">
        <v>20840</v>
      </c>
      <c r="R503" s="5">
        <v>130526</v>
      </c>
    </row>
    <row r="504" spans="1:18" x14ac:dyDescent="0.25">
      <c r="A504" t="s">
        <v>998</v>
      </c>
      <c r="B504" t="s">
        <v>494</v>
      </c>
      <c r="C504">
        <v>70285100</v>
      </c>
      <c r="D504">
        <v>44</v>
      </c>
      <c r="E504">
        <v>30848857</v>
      </c>
      <c r="F504" t="s">
        <v>999</v>
      </c>
      <c r="G504" s="1">
        <v>45233</v>
      </c>
      <c r="H504">
        <v>5411417</v>
      </c>
      <c r="I504">
        <v>96</v>
      </c>
      <c r="J504" t="s">
        <v>140</v>
      </c>
      <c r="K504" s="8" t="str">
        <f>IFERROR(IF(AND(VLOOKUP($C504,Hes!$A:$B, 1, FALSE), $M504&lt;&gt;" "), "Ingresada", "Falta Ingresar"), " ")</f>
        <v>Falta Ingresar</v>
      </c>
      <c r="L504" s="4" t="str">
        <f>IFERROR(VLOOKUP($C504,Observaciones!$A:$B,2,FALSE)," ")</f>
        <v>VEND ENVIA INFORME</v>
      </c>
      <c r="M504" t="s">
        <v>681</v>
      </c>
      <c r="N504" s="5" t="s">
        <v>841</v>
      </c>
      <c r="O504" s="5">
        <v>30848857</v>
      </c>
      <c r="P504" s="5">
        <v>129649</v>
      </c>
      <c r="Q504" s="5">
        <v>24633</v>
      </c>
      <c r="R504" s="5">
        <v>154282</v>
      </c>
    </row>
    <row r="505" spans="1:18" x14ac:dyDescent="0.25">
      <c r="A505" t="s">
        <v>998</v>
      </c>
      <c r="B505" t="s">
        <v>494</v>
      </c>
      <c r="C505">
        <v>70285100</v>
      </c>
      <c r="D505">
        <v>1007</v>
      </c>
      <c r="E505">
        <v>30849739</v>
      </c>
      <c r="F505" t="s">
        <v>999</v>
      </c>
      <c r="G505" s="1">
        <v>45233</v>
      </c>
      <c r="H505">
        <v>5411422</v>
      </c>
      <c r="I505">
        <v>96</v>
      </c>
      <c r="J505" t="s">
        <v>140</v>
      </c>
      <c r="K505" s="8" t="str">
        <f>IFERROR(IF(AND(VLOOKUP($C505,Hes!$A:$B, 1, FALSE), $M505&lt;&gt;" "), "Ingresada", "Falta Ingresar"), " ")</f>
        <v>Falta Ingresar</v>
      </c>
      <c r="L505" s="4" t="str">
        <f>IFERROR(VLOOKUP($C505,Observaciones!$A:$B,2,FALSE)," ")</f>
        <v>VEND ENVIA INFORME</v>
      </c>
      <c r="M505" t="s">
        <v>681</v>
      </c>
      <c r="N505" s="5" t="s">
        <v>841</v>
      </c>
      <c r="O505" s="5">
        <v>30849739</v>
      </c>
      <c r="P505" s="5">
        <v>49663</v>
      </c>
      <c r="Q505" s="5">
        <v>9436</v>
      </c>
      <c r="R505" s="5">
        <v>59099</v>
      </c>
    </row>
    <row r="506" spans="1:18" x14ac:dyDescent="0.25">
      <c r="A506" t="s">
        <v>998</v>
      </c>
      <c r="B506" t="s">
        <v>494</v>
      </c>
      <c r="C506">
        <v>70285100</v>
      </c>
      <c r="D506">
        <v>11</v>
      </c>
      <c r="E506">
        <v>30849729</v>
      </c>
      <c r="F506" t="s">
        <v>999</v>
      </c>
      <c r="G506" s="1">
        <v>45233</v>
      </c>
      <c r="H506">
        <v>5411424</v>
      </c>
      <c r="I506">
        <v>96</v>
      </c>
      <c r="J506" t="s">
        <v>140</v>
      </c>
      <c r="K506" s="8" t="str">
        <f>IFERROR(IF(AND(VLOOKUP($C506,Hes!$A:$B, 1, FALSE), $M506&lt;&gt;" "), "Ingresada", "Falta Ingresar"), " ")</f>
        <v>Falta Ingresar</v>
      </c>
      <c r="L506" s="4" t="str">
        <f>IFERROR(VLOOKUP($C506,Observaciones!$A:$B,2,FALSE)," ")</f>
        <v>VEND ENVIA INFORME</v>
      </c>
      <c r="M506" t="s">
        <v>681</v>
      </c>
      <c r="N506" s="5" t="s">
        <v>841</v>
      </c>
      <c r="O506" s="5">
        <v>30849729</v>
      </c>
      <c r="P506" s="5">
        <v>179737</v>
      </c>
      <c r="Q506" s="5">
        <v>34150</v>
      </c>
      <c r="R506" s="5">
        <v>213887</v>
      </c>
    </row>
    <row r="507" spans="1:18" x14ac:dyDescent="0.25">
      <c r="A507" t="s">
        <v>998</v>
      </c>
      <c r="B507" t="s">
        <v>494</v>
      </c>
      <c r="C507">
        <v>70285100</v>
      </c>
      <c r="D507">
        <v>926</v>
      </c>
      <c r="E507">
        <v>30849768</v>
      </c>
      <c r="F507" t="s">
        <v>999</v>
      </c>
      <c r="G507" s="1">
        <v>45233</v>
      </c>
      <c r="H507">
        <v>5411463</v>
      </c>
      <c r="I507">
        <v>96</v>
      </c>
      <c r="J507" t="s">
        <v>140</v>
      </c>
      <c r="K507" s="8" t="str">
        <f>IFERROR(IF(AND(VLOOKUP($C507,Hes!$A:$B, 1, FALSE), $M507&lt;&gt;" "), "Ingresada", "Falta Ingresar"), " ")</f>
        <v>Falta Ingresar</v>
      </c>
      <c r="L507" s="4" t="str">
        <f>IFERROR(VLOOKUP($C507,Observaciones!$A:$B,2,FALSE)," ")</f>
        <v>VEND ENVIA INFORME</v>
      </c>
      <c r="M507" t="s">
        <v>681</v>
      </c>
      <c r="N507" s="5" t="s">
        <v>841</v>
      </c>
      <c r="O507" s="5">
        <v>30849768</v>
      </c>
      <c r="P507" s="5">
        <v>13402</v>
      </c>
      <c r="Q507" s="5">
        <v>2546</v>
      </c>
      <c r="R507" s="5">
        <v>15948</v>
      </c>
    </row>
    <row r="508" spans="1:18" x14ac:dyDescent="0.25">
      <c r="A508" t="s">
        <v>998</v>
      </c>
      <c r="B508" t="s">
        <v>494</v>
      </c>
      <c r="C508">
        <v>70285100</v>
      </c>
      <c r="D508">
        <v>268</v>
      </c>
      <c r="E508">
        <v>30849269</v>
      </c>
      <c r="F508" t="s">
        <v>999</v>
      </c>
      <c r="G508" s="1">
        <v>45233</v>
      </c>
      <c r="H508">
        <v>5411482</v>
      </c>
      <c r="I508">
        <v>96</v>
      </c>
      <c r="J508" t="s">
        <v>140</v>
      </c>
      <c r="K508" s="8" t="str">
        <f>IFERROR(IF(AND(VLOOKUP($C508,Hes!$A:$B, 1, FALSE), $M508&lt;&gt;" "), "Ingresada", "Falta Ingresar"), " ")</f>
        <v>Falta Ingresar</v>
      </c>
      <c r="L508" s="4" t="str">
        <f>IFERROR(VLOOKUP($C508,Observaciones!$A:$B,2,FALSE)," ")</f>
        <v>VEND ENVIA INFORME</v>
      </c>
      <c r="M508" t="s">
        <v>681</v>
      </c>
      <c r="N508" s="5" t="s">
        <v>841</v>
      </c>
      <c r="O508" s="5">
        <v>30849269</v>
      </c>
      <c r="P508" s="5">
        <v>279748</v>
      </c>
      <c r="Q508" s="5">
        <v>53152</v>
      </c>
      <c r="R508" s="5">
        <v>332900</v>
      </c>
    </row>
    <row r="509" spans="1:18" x14ac:dyDescent="0.25">
      <c r="A509" t="s">
        <v>998</v>
      </c>
      <c r="B509" t="s">
        <v>494</v>
      </c>
      <c r="C509">
        <v>70285100</v>
      </c>
      <c r="D509">
        <v>14</v>
      </c>
      <c r="E509">
        <v>30849983</v>
      </c>
      <c r="F509" t="s">
        <v>999</v>
      </c>
      <c r="G509" s="1">
        <v>45233</v>
      </c>
      <c r="H509">
        <v>5411494</v>
      </c>
      <c r="I509">
        <v>96</v>
      </c>
      <c r="J509" t="s">
        <v>140</v>
      </c>
      <c r="K509" s="8" t="str">
        <f>IFERROR(IF(AND(VLOOKUP($C509,Hes!$A:$B, 1, FALSE), $M509&lt;&gt;" "), "Ingresada", "Falta Ingresar"), " ")</f>
        <v>Falta Ingresar</v>
      </c>
      <c r="L509" s="4" t="str">
        <f>IFERROR(VLOOKUP($C509,Observaciones!$A:$B,2,FALSE)," ")</f>
        <v>VEND ENVIA INFORME</v>
      </c>
      <c r="M509" t="s">
        <v>681</v>
      </c>
      <c r="N509" s="5" t="s">
        <v>841</v>
      </c>
      <c r="O509" s="5">
        <v>30849983</v>
      </c>
      <c r="P509" s="5">
        <v>38561</v>
      </c>
      <c r="Q509" s="5">
        <v>7327</v>
      </c>
      <c r="R509" s="5">
        <v>45888</v>
      </c>
    </row>
    <row r="510" spans="1:18" x14ac:dyDescent="0.25">
      <c r="A510" t="s">
        <v>998</v>
      </c>
      <c r="B510" t="s">
        <v>494</v>
      </c>
      <c r="C510">
        <v>70285100</v>
      </c>
      <c r="D510">
        <v>461</v>
      </c>
      <c r="E510">
        <v>30849977</v>
      </c>
      <c r="F510" t="s">
        <v>999</v>
      </c>
      <c r="G510" s="1">
        <v>45233</v>
      </c>
      <c r="H510">
        <v>5411496</v>
      </c>
      <c r="I510">
        <v>96</v>
      </c>
      <c r="J510" t="s">
        <v>140</v>
      </c>
      <c r="K510" s="8" t="str">
        <f>IFERROR(IF(AND(VLOOKUP($C510,Hes!$A:$B, 1, FALSE), $M510&lt;&gt;" "), "Ingresada", "Falta Ingresar"), " ")</f>
        <v>Falta Ingresar</v>
      </c>
      <c r="L510" s="4" t="str">
        <f>IFERROR(VLOOKUP($C510,Observaciones!$A:$B,2,FALSE)," ")</f>
        <v>VEND ENVIA INFORME</v>
      </c>
      <c r="M510" t="s">
        <v>681</v>
      </c>
      <c r="N510" s="5" t="s">
        <v>841</v>
      </c>
      <c r="O510" s="5">
        <v>30849977</v>
      </c>
      <c r="P510" s="5">
        <v>51987</v>
      </c>
      <c r="Q510" s="5">
        <v>9878</v>
      </c>
      <c r="R510" s="5">
        <v>61865</v>
      </c>
    </row>
    <row r="511" spans="1:18" x14ac:dyDescent="0.25">
      <c r="A511" t="s">
        <v>998</v>
      </c>
      <c r="B511" t="s">
        <v>494</v>
      </c>
      <c r="C511">
        <v>70285100</v>
      </c>
      <c r="D511">
        <v>442</v>
      </c>
      <c r="E511">
        <v>30849979</v>
      </c>
      <c r="F511" t="s">
        <v>999</v>
      </c>
      <c r="G511" s="1">
        <v>45233</v>
      </c>
      <c r="H511">
        <v>5411498</v>
      </c>
      <c r="I511">
        <v>96</v>
      </c>
      <c r="J511" t="s">
        <v>140</v>
      </c>
      <c r="K511" s="8" t="str">
        <f>IFERROR(IF(AND(VLOOKUP($C511,Hes!$A:$B, 1, FALSE), $M511&lt;&gt;" "), "Ingresada", "Falta Ingresar"), " ")</f>
        <v>Falta Ingresar</v>
      </c>
      <c r="L511" s="4" t="str">
        <f>IFERROR(VLOOKUP($C511,Observaciones!$A:$B,2,FALSE)," ")</f>
        <v>VEND ENVIA INFORME</v>
      </c>
      <c r="M511" t="s">
        <v>681</v>
      </c>
      <c r="N511" s="5" t="s">
        <v>841</v>
      </c>
      <c r="O511" s="5">
        <v>30849979</v>
      </c>
      <c r="P511" s="5">
        <v>49504</v>
      </c>
      <c r="Q511" s="5">
        <v>9406</v>
      </c>
      <c r="R511" s="5">
        <v>58910</v>
      </c>
    </row>
    <row r="512" spans="1:18" x14ac:dyDescent="0.25">
      <c r="A512" t="s">
        <v>998</v>
      </c>
      <c r="B512" t="s">
        <v>494</v>
      </c>
      <c r="C512">
        <v>70285100</v>
      </c>
      <c r="D512">
        <v>441</v>
      </c>
      <c r="E512">
        <v>30849982</v>
      </c>
      <c r="F512" t="s">
        <v>999</v>
      </c>
      <c r="G512" s="1">
        <v>45233</v>
      </c>
      <c r="H512">
        <v>5411499</v>
      </c>
      <c r="I512">
        <v>96</v>
      </c>
      <c r="J512" t="s">
        <v>140</v>
      </c>
      <c r="K512" s="8" t="str">
        <f>IFERROR(IF(AND(VLOOKUP($C512,Hes!$A:$B, 1, FALSE), $M512&lt;&gt;" "), "Ingresada", "Falta Ingresar"), " ")</f>
        <v>Falta Ingresar</v>
      </c>
      <c r="L512" s="4" t="str">
        <f>IFERROR(VLOOKUP($C512,Observaciones!$A:$B,2,FALSE)," ")</f>
        <v>VEND ENVIA INFORME</v>
      </c>
      <c r="M512" t="s">
        <v>681</v>
      </c>
      <c r="N512" s="5" t="s">
        <v>841</v>
      </c>
      <c r="O512" s="5">
        <v>30849982</v>
      </c>
      <c r="P512" s="5">
        <v>41198</v>
      </c>
      <c r="Q512" s="5">
        <v>7828</v>
      </c>
      <c r="R512" s="5">
        <v>49026</v>
      </c>
    </row>
    <row r="513" spans="1:18" x14ac:dyDescent="0.25">
      <c r="A513" t="s">
        <v>998</v>
      </c>
      <c r="B513" t="s">
        <v>494</v>
      </c>
      <c r="C513">
        <v>70285100</v>
      </c>
      <c r="D513">
        <v>573</v>
      </c>
      <c r="E513">
        <v>30848851</v>
      </c>
      <c r="F513" t="s">
        <v>999</v>
      </c>
      <c r="G513" s="1">
        <v>45233</v>
      </c>
      <c r="H513">
        <v>5411503</v>
      </c>
      <c r="I513">
        <v>96</v>
      </c>
      <c r="J513" t="s">
        <v>140</v>
      </c>
      <c r="K513" s="8" t="str">
        <f>IFERROR(IF(AND(VLOOKUP($C513,Hes!$A:$B, 1, FALSE), $M513&lt;&gt;" "), "Ingresada", "Falta Ingresar"), " ")</f>
        <v>Falta Ingresar</v>
      </c>
      <c r="L513" s="4" t="str">
        <f>IFERROR(VLOOKUP($C513,Observaciones!$A:$B,2,FALSE)," ")</f>
        <v>VEND ENVIA INFORME</v>
      </c>
      <c r="M513" t="s">
        <v>681</v>
      </c>
      <c r="N513" s="5" t="s">
        <v>841</v>
      </c>
      <c r="O513" s="5">
        <v>30848851</v>
      </c>
      <c r="P513" s="5">
        <v>74706</v>
      </c>
      <c r="Q513" s="5">
        <v>14194</v>
      </c>
      <c r="R513" s="5">
        <v>88900</v>
      </c>
    </row>
    <row r="514" spans="1:18" x14ac:dyDescent="0.25">
      <c r="A514" t="s">
        <v>998</v>
      </c>
      <c r="B514" t="s">
        <v>494</v>
      </c>
      <c r="C514">
        <v>70285100</v>
      </c>
      <c r="D514">
        <v>79</v>
      </c>
      <c r="E514">
        <v>30848853</v>
      </c>
      <c r="F514" t="s">
        <v>999</v>
      </c>
      <c r="G514" s="1">
        <v>45233</v>
      </c>
      <c r="H514">
        <v>5411504</v>
      </c>
      <c r="I514">
        <v>96</v>
      </c>
      <c r="J514" t="s">
        <v>140</v>
      </c>
      <c r="K514" s="8" t="str">
        <f>IFERROR(IF(AND(VLOOKUP($C514,Hes!$A:$B, 1, FALSE), $M514&lt;&gt;" "), "Ingresada", "Falta Ingresar"), " ")</f>
        <v>Falta Ingresar</v>
      </c>
      <c r="L514" s="4" t="str">
        <f>IFERROR(VLOOKUP($C514,Observaciones!$A:$B,2,FALSE)," ")</f>
        <v>VEND ENVIA INFORME</v>
      </c>
      <c r="M514" t="s">
        <v>681</v>
      </c>
      <c r="N514" s="5" t="s">
        <v>841</v>
      </c>
      <c r="O514" s="5">
        <v>30848853</v>
      </c>
      <c r="P514" s="5">
        <v>71410</v>
      </c>
      <c r="Q514" s="5">
        <v>13568</v>
      </c>
      <c r="R514" s="5">
        <v>84978</v>
      </c>
    </row>
    <row r="515" spans="1:18" x14ac:dyDescent="0.25">
      <c r="A515" t="s">
        <v>998</v>
      </c>
      <c r="B515" t="s">
        <v>494</v>
      </c>
      <c r="C515">
        <v>70285100</v>
      </c>
      <c r="D515">
        <v>616</v>
      </c>
      <c r="E515">
        <v>30848852</v>
      </c>
      <c r="F515" t="s">
        <v>999</v>
      </c>
      <c r="G515" s="1">
        <v>45233</v>
      </c>
      <c r="H515">
        <v>5411506</v>
      </c>
      <c r="I515">
        <v>96</v>
      </c>
      <c r="J515" t="s">
        <v>140</v>
      </c>
      <c r="K515" s="8" t="str">
        <f>IFERROR(IF(AND(VLOOKUP($C515,Hes!$A:$B, 1, FALSE), $M515&lt;&gt;" "), "Ingresada", "Falta Ingresar"), " ")</f>
        <v>Falta Ingresar</v>
      </c>
      <c r="L515" s="4" t="str">
        <f>IFERROR(VLOOKUP($C515,Observaciones!$A:$B,2,FALSE)," ")</f>
        <v>VEND ENVIA INFORME</v>
      </c>
      <c r="M515" t="s">
        <v>681</v>
      </c>
      <c r="N515" s="5" t="s">
        <v>841</v>
      </c>
      <c r="O515" s="5">
        <v>30848852</v>
      </c>
      <c r="P515" s="5">
        <v>105081</v>
      </c>
      <c r="Q515" s="5">
        <v>19965</v>
      </c>
      <c r="R515" s="5">
        <v>125046</v>
      </c>
    </row>
    <row r="516" spans="1:18" x14ac:dyDescent="0.25">
      <c r="A516" t="s">
        <v>998</v>
      </c>
      <c r="B516" t="s">
        <v>494</v>
      </c>
      <c r="C516">
        <v>70285100</v>
      </c>
      <c r="D516">
        <v>490</v>
      </c>
      <c r="E516">
        <v>30850132</v>
      </c>
      <c r="F516" t="s">
        <v>999</v>
      </c>
      <c r="G516" s="1">
        <v>45233</v>
      </c>
      <c r="H516">
        <v>5411514</v>
      </c>
      <c r="I516">
        <v>96</v>
      </c>
      <c r="J516" t="s">
        <v>140</v>
      </c>
      <c r="K516" s="8" t="str">
        <f>IFERROR(IF(AND(VLOOKUP($C516,Hes!$A:$B, 1, FALSE), $M516&lt;&gt;" "), "Ingresada", "Falta Ingresar"), " ")</f>
        <v>Falta Ingresar</v>
      </c>
      <c r="L516" s="4" t="str">
        <f>IFERROR(VLOOKUP($C516,Observaciones!$A:$B,2,FALSE)," ")</f>
        <v>VEND ENVIA INFORME</v>
      </c>
      <c r="M516" t="s">
        <v>681</v>
      </c>
      <c r="N516" s="5" t="s">
        <v>841</v>
      </c>
      <c r="O516" s="5">
        <v>30850132</v>
      </c>
      <c r="P516" s="5">
        <v>79982</v>
      </c>
      <c r="Q516" s="5">
        <v>15197</v>
      </c>
      <c r="R516" s="5">
        <v>95179</v>
      </c>
    </row>
    <row r="517" spans="1:18" x14ac:dyDescent="0.25">
      <c r="A517" t="s">
        <v>998</v>
      </c>
      <c r="B517" t="s">
        <v>494</v>
      </c>
      <c r="C517">
        <v>70285100</v>
      </c>
      <c r="D517">
        <v>40</v>
      </c>
      <c r="E517">
        <v>30849880</v>
      </c>
      <c r="F517" t="s">
        <v>999</v>
      </c>
      <c r="G517" s="1">
        <v>45233</v>
      </c>
      <c r="H517">
        <v>5411557</v>
      </c>
      <c r="I517">
        <v>96</v>
      </c>
      <c r="J517" t="s">
        <v>140</v>
      </c>
      <c r="K517" s="8" t="str">
        <f>IFERROR(IF(AND(VLOOKUP($C517,Hes!$A:$B, 1, FALSE), $M517&lt;&gt;" "), "Ingresada", "Falta Ingresar"), " ")</f>
        <v>Falta Ingresar</v>
      </c>
      <c r="L517" s="4" t="str">
        <f>IFERROR(VLOOKUP($C517,Observaciones!$A:$B,2,FALSE)," ")</f>
        <v>VEND ENVIA INFORME</v>
      </c>
      <c r="M517" t="s">
        <v>681</v>
      </c>
      <c r="N517" s="5" t="s">
        <v>841</v>
      </c>
      <c r="O517" s="5">
        <v>30849880</v>
      </c>
      <c r="P517" s="5">
        <v>59929</v>
      </c>
      <c r="Q517" s="5">
        <v>11387</v>
      </c>
      <c r="R517" s="5">
        <v>71316</v>
      </c>
    </row>
    <row r="518" spans="1:18" x14ac:dyDescent="0.25">
      <c r="A518" t="s">
        <v>998</v>
      </c>
      <c r="B518" t="s">
        <v>494</v>
      </c>
      <c r="C518">
        <v>70285100</v>
      </c>
      <c r="D518">
        <v>39</v>
      </c>
      <c r="E518">
        <v>30850070</v>
      </c>
      <c r="F518" t="s">
        <v>999</v>
      </c>
      <c r="G518" s="1">
        <v>45233</v>
      </c>
      <c r="H518">
        <v>5411564</v>
      </c>
      <c r="I518">
        <v>96</v>
      </c>
      <c r="J518" t="s">
        <v>140</v>
      </c>
      <c r="K518" s="8" t="str">
        <f>IFERROR(IF(AND(VLOOKUP($C518,Hes!$A:$B, 1, FALSE), $M518&lt;&gt;" "), "Ingresada", "Falta Ingresar"), " ")</f>
        <v>Falta Ingresar</v>
      </c>
      <c r="L518" s="4" t="str">
        <f>IFERROR(VLOOKUP($C518,Observaciones!$A:$B,2,FALSE)," ")</f>
        <v>VEND ENVIA INFORME</v>
      </c>
      <c r="M518" t="s">
        <v>681</v>
      </c>
      <c r="N518" s="5" t="s">
        <v>841</v>
      </c>
      <c r="O518" s="5">
        <v>30850070</v>
      </c>
      <c r="P518" s="5">
        <v>59981</v>
      </c>
      <c r="Q518" s="5">
        <v>11396</v>
      </c>
      <c r="R518" s="5">
        <v>71377</v>
      </c>
    </row>
    <row r="519" spans="1:18" x14ac:dyDescent="0.25">
      <c r="A519" t="s">
        <v>998</v>
      </c>
      <c r="B519" t="s">
        <v>494</v>
      </c>
      <c r="C519">
        <v>70285100</v>
      </c>
      <c r="D519">
        <v>8</v>
      </c>
      <c r="E519">
        <v>30850014</v>
      </c>
      <c r="F519" t="s">
        <v>999</v>
      </c>
      <c r="G519" s="1">
        <v>45233</v>
      </c>
      <c r="H519">
        <v>5411607</v>
      </c>
      <c r="I519">
        <v>96</v>
      </c>
      <c r="J519" t="s">
        <v>140</v>
      </c>
      <c r="K519" s="8" t="str">
        <f>IFERROR(IF(AND(VLOOKUP($C519,Hes!$A:$B, 1, FALSE), $M519&lt;&gt;" "), "Ingresada", "Falta Ingresar"), " ")</f>
        <v>Falta Ingresar</v>
      </c>
      <c r="L519" s="4" t="str">
        <f>IFERROR(VLOOKUP($C519,Observaciones!$A:$B,2,FALSE)," ")</f>
        <v>VEND ENVIA INFORME</v>
      </c>
      <c r="M519" t="s">
        <v>681</v>
      </c>
      <c r="N519" s="5" t="s">
        <v>841</v>
      </c>
      <c r="O519" s="5">
        <v>30850014</v>
      </c>
      <c r="P519" s="5">
        <v>59993</v>
      </c>
      <c r="Q519" s="5">
        <v>11399</v>
      </c>
      <c r="R519" s="5">
        <v>71392</v>
      </c>
    </row>
    <row r="520" spans="1:18" x14ac:dyDescent="0.25">
      <c r="A520" t="s">
        <v>998</v>
      </c>
      <c r="B520" t="s">
        <v>494</v>
      </c>
      <c r="C520">
        <v>70285100</v>
      </c>
      <c r="D520">
        <v>931</v>
      </c>
      <c r="E520">
        <v>30848870</v>
      </c>
      <c r="F520" t="s">
        <v>999</v>
      </c>
      <c r="G520" s="1">
        <v>45233</v>
      </c>
      <c r="H520">
        <v>5411623</v>
      </c>
      <c r="I520">
        <v>96</v>
      </c>
      <c r="J520" t="s">
        <v>140</v>
      </c>
      <c r="K520" s="8" t="str">
        <f>IFERROR(IF(AND(VLOOKUP($C520,Hes!$A:$B, 1, FALSE), $M520&lt;&gt;" "), "Ingresada", "Falta Ingresar"), " ")</f>
        <v>Falta Ingresar</v>
      </c>
      <c r="L520" s="4" t="str">
        <f>IFERROR(VLOOKUP($C520,Observaciones!$A:$B,2,FALSE)," ")</f>
        <v>VEND ENVIA INFORME</v>
      </c>
      <c r="M520" t="s">
        <v>681</v>
      </c>
      <c r="N520" s="5" t="s">
        <v>841</v>
      </c>
      <c r="O520" s="5">
        <v>30848870</v>
      </c>
      <c r="P520" s="5">
        <v>23305</v>
      </c>
      <c r="Q520" s="5">
        <v>4428</v>
      </c>
      <c r="R520" s="5">
        <v>27733</v>
      </c>
    </row>
    <row r="521" spans="1:18" x14ac:dyDescent="0.25">
      <c r="A521" t="s">
        <v>998</v>
      </c>
      <c r="B521" t="s">
        <v>494</v>
      </c>
      <c r="C521">
        <v>70285100</v>
      </c>
      <c r="D521">
        <v>660</v>
      </c>
      <c r="E521">
        <v>30849970</v>
      </c>
      <c r="F521" t="s">
        <v>999</v>
      </c>
      <c r="G521" s="1">
        <v>45233</v>
      </c>
      <c r="H521">
        <v>5411633</v>
      </c>
      <c r="I521">
        <v>96</v>
      </c>
      <c r="J521" t="s">
        <v>140</v>
      </c>
      <c r="K521" s="8" t="str">
        <f>IFERROR(IF(AND(VLOOKUP($C521,Hes!$A:$B, 1, FALSE), $M521&lt;&gt;" "), "Ingresada", "Falta Ingresar"), " ")</f>
        <v>Falta Ingresar</v>
      </c>
      <c r="L521" s="4" t="str">
        <f>IFERROR(VLOOKUP($C521,Observaciones!$A:$B,2,FALSE)," ")</f>
        <v>VEND ENVIA INFORME</v>
      </c>
      <c r="M521" t="s">
        <v>681</v>
      </c>
      <c r="N521" s="5" t="s">
        <v>841</v>
      </c>
      <c r="O521" s="5">
        <v>30849970</v>
      </c>
      <c r="P521" s="5">
        <v>59935</v>
      </c>
      <c r="Q521" s="5">
        <v>11388</v>
      </c>
      <c r="R521" s="5">
        <v>71323</v>
      </c>
    </row>
    <row r="522" spans="1:18" x14ac:dyDescent="0.25">
      <c r="A522" t="s">
        <v>998</v>
      </c>
      <c r="B522" t="s">
        <v>494</v>
      </c>
      <c r="C522">
        <v>70285100</v>
      </c>
      <c r="D522">
        <v>673</v>
      </c>
      <c r="E522">
        <v>30849914</v>
      </c>
      <c r="F522" t="s">
        <v>999</v>
      </c>
      <c r="G522" s="1">
        <v>45233</v>
      </c>
      <c r="H522">
        <v>5411634</v>
      </c>
      <c r="I522">
        <v>96</v>
      </c>
      <c r="J522" t="s">
        <v>140</v>
      </c>
      <c r="K522" s="8" t="str">
        <f>IFERROR(IF(AND(VLOOKUP($C522,Hes!$A:$B, 1, FALSE), $M522&lt;&gt;" "), "Ingresada", "Falta Ingresar"), " ")</f>
        <v>Falta Ingresar</v>
      </c>
      <c r="L522" s="4" t="str">
        <f>IFERROR(VLOOKUP($C522,Observaciones!$A:$B,2,FALSE)," ")</f>
        <v>VEND ENVIA INFORME</v>
      </c>
      <c r="M522" t="s">
        <v>681</v>
      </c>
      <c r="N522" s="5" t="s">
        <v>841</v>
      </c>
      <c r="O522" s="5">
        <v>30849914</v>
      </c>
      <c r="P522" s="5">
        <v>59938</v>
      </c>
      <c r="Q522" s="5">
        <v>11388</v>
      </c>
      <c r="R522" s="5">
        <v>71326</v>
      </c>
    </row>
    <row r="523" spans="1:18" x14ac:dyDescent="0.25">
      <c r="A523" t="s">
        <v>998</v>
      </c>
      <c r="B523" t="s">
        <v>494</v>
      </c>
      <c r="C523">
        <v>70285100</v>
      </c>
      <c r="D523">
        <v>326</v>
      </c>
      <c r="E523">
        <v>30850004</v>
      </c>
      <c r="F523" t="s">
        <v>999</v>
      </c>
      <c r="G523" s="1">
        <v>45233</v>
      </c>
      <c r="H523">
        <v>5411635</v>
      </c>
      <c r="I523">
        <v>96</v>
      </c>
      <c r="J523" t="s">
        <v>140</v>
      </c>
      <c r="K523" s="8" t="str">
        <f>IFERROR(IF(AND(VLOOKUP($C523,Hes!$A:$B, 1, FALSE), $M523&lt;&gt;" "), "Ingresada", "Falta Ingresar"), " ")</f>
        <v>Falta Ingresar</v>
      </c>
      <c r="L523" s="4" t="str">
        <f>IFERROR(VLOOKUP($C523,Observaciones!$A:$B,2,FALSE)," ")</f>
        <v>VEND ENVIA INFORME</v>
      </c>
      <c r="M523" t="s">
        <v>681</v>
      </c>
      <c r="N523" s="5" t="s">
        <v>841</v>
      </c>
      <c r="O523" s="5">
        <v>30850004</v>
      </c>
      <c r="P523" s="5">
        <v>52694</v>
      </c>
      <c r="Q523" s="5">
        <v>10012</v>
      </c>
      <c r="R523" s="5">
        <v>62706</v>
      </c>
    </row>
    <row r="524" spans="1:18" x14ac:dyDescent="0.25">
      <c r="A524" t="s">
        <v>998</v>
      </c>
      <c r="B524" t="s">
        <v>494</v>
      </c>
      <c r="C524">
        <v>70285100</v>
      </c>
      <c r="D524">
        <v>439</v>
      </c>
      <c r="E524">
        <v>30849969</v>
      </c>
      <c r="F524" t="s">
        <v>999</v>
      </c>
      <c r="G524" s="1">
        <v>45233</v>
      </c>
      <c r="H524">
        <v>5411636</v>
      </c>
      <c r="I524">
        <v>96</v>
      </c>
      <c r="J524" t="s">
        <v>140</v>
      </c>
      <c r="K524" s="8" t="str">
        <f>IFERROR(IF(AND(VLOOKUP($C524,Hes!$A:$B, 1, FALSE), $M524&lt;&gt;" "), "Ingresada", "Falta Ingresar"), " ")</f>
        <v>Falta Ingresar</v>
      </c>
      <c r="L524" s="4" t="str">
        <f>IFERROR(VLOOKUP($C524,Observaciones!$A:$B,2,FALSE)," ")</f>
        <v>VEND ENVIA INFORME</v>
      </c>
      <c r="M524" t="s">
        <v>681</v>
      </c>
      <c r="N524" s="5" t="s">
        <v>841</v>
      </c>
      <c r="O524" s="5">
        <v>30849969</v>
      </c>
      <c r="P524" s="5">
        <v>152232</v>
      </c>
      <c r="Q524" s="5">
        <v>28924</v>
      </c>
      <c r="R524" s="5">
        <v>181156</v>
      </c>
    </row>
    <row r="525" spans="1:18" x14ac:dyDescent="0.25">
      <c r="A525" t="s">
        <v>998</v>
      </c>
      <c r="B525" t="s">
        <v>494</v>
      </c>
      <c r="C525">
        <v>70285100</v>
      </c>
      <c r="D525">
        <v>32</v>
      </c>
      <c r="E525">
        <v>30848954</v>
      </c>
      <c r="F525" t="s">
        <v>999</v>
      </c>
      <c r="G525" s="1">
        <v>45233</v>
      </c>
      <c r="H525">
        <v>5411656</v>
      </c>
      <c r="I525">
        <v>96</v>
      </c>
      <c r="J525" t="s">
        <v>140</v>
      </c>
      <c r="K525" s="8" t="str">
        <f>IFERROR(IF(AND(VLOOKUP($C525,Hes!$A:$B, 1, FALSE), $M525&lt;&gt;" "), "Ingresada", "Falta Ingresar"), " ")</f>
        <v>Falta Ingresar</v>
      </c>
      <c r="L525" s="4" t="str">
        <f>IFERROR(VLOOKUP($C525,Observaciones!$A:$B,2,FALSE)," ")</f>
        <v>VEND ENVIA INFORME</v>
      </c>
      <c r="M525" t="s">
        <v>681</v>
      </c>
      <c r="N525" s="5" t="s">
        <v>841</v>
      </c>
      <c r="O525" s="5">
        <v>30848954</v>
      </c>
      <c r="P525" s="5">
        <v>399374</v>
      </c>
      <c r="Q525" s="5">
        <v>75881</v>
      </c>
      <c r="R525" s="5">
        <v>475255</v>
      </c>
    </row>
    <row r="526" spans="1:18" x14ac:dyDescent="0.25">
      <c r="A526" t="s">
        <v>998</v>
      </c>
      <c r="B526" t="s">
        <v>494</v>
      </c>
      <c r="C526">
        <v>70285100</v>
      </c>
      <c r="D526">
        <v>444</v>
      </c>
      <c r="E526">
        <v>30849994</v>
      </c>
      <c r="F526" t="s">
        <v>999</v>
      </c>
      <c r="G526" s="1">
        <v>45233</v>
      </c>
      <c r="H526">
        <v>5411666</v>
      </c>
      <c r="I526">
        <v>96</v>
      </c>
      <c r="J526" t="s">
        <v>140</v>
      </c>
      <c r="K526" s="8" t="str">
        <f>IFERROR(IF(AND(VLOOKUP($C526,Hes!$A:$B, 1, FALSE), $M526&lt;&gt;" "), "Ingresada", "Falta Ingresar"), " ")</f>
        <v>Falta Ingresar</v>
      </c>
      <c r="L526" s="4" t="str">
        <f>IFERROR(VLOOKUP($C526,Observaciones!$A:$B,2,FALSE)," ")</f>
        <v>VEND ENVIA INFORME</v>
      </c>
      <c r="M526" t="s">
        <v>681</v>
      </c>
      <c r="N526" s="5" t="s">
        <v>841</v>
      </c>
      <c r="O526" s="5">
        <v>30849994</v>
      </c>
      <c r="P526" s="5">
        <v>328085</v>
      </c>
      <c r="Q526" s="5">
        <v>62336</v>
      </c>
      <c r="R526" s="5">
        <v>390421</v>
      </c>
    </row>
    <row r="527" spans="1:18" x14ac:dyDescent="0.25">
      <c r="A527" t="s">
        <v>998</v>
      </c>
      <c r="B527" t="s">
        <v>494</v>
      </c>
      <c r="C527">
        <v>70285100</v>
      </c>
      <c r="D527">
        <v>633</v>
      </c>
      <c r="E527">
        <v>30849988</v>
      </c>
      <c r="F527" t="s">
        <v>999</v>
      </c>
      <c r="G527" s="1">
        <v>45233</v>
      </c>
      <c r="H527">
        <v>5411668</v>
      </c>
      <c r="I527">
        <v>96</v>
      </c>
      <c r="J527" t="s">
        <v>140</v>
      </c>
      <c r="K527" s="8" t="str">
        <f>IFERROR(IF(AND(VLOOKUP($C527,Hes!$A:$B, 1, FALSE), $M527&lt;&gt;" "), "Ingresada", "Falta Ingresar"), " ")</f>
        <v>Falta Ingresar</v>
      </c>
      <c r="L527" s="4" t="str">
        <f>IFERROR(VLOOKUP($C527,Observaciones!$A:$B,2,FALSE)," ")</f>
        <v>VEND ENVIA INFORME</v>
      </c>
      <c r="M527" t="s">
        <v>681</v>
      </c>
      <c r="N527" s="5" t="s">
        <v>841</v>
      </c>
      <c r="O527" s="5">
        <v>30849988</v>
      </c>
      <c r="P527" s="5">
        <v>35126</v>
      </c>
      <c r="Q527" s="5">
        <v>6674</v>
      </c>
      <c r="R527" s="5">
        <v>41800</v>
      </c>
    </row>
    <row r="528" spans="1:18" x14ac:dyDescent="0.25">
      <c r="A528" t="s">
        <v>998</v>
      </c>
      <c r="B528" t="s">
        <v>494</v>
      </c>
      <c r="C528">
        <v>70285100</v>
      </c>
      <c r="D528">
        <v>63</v>
      </c>
      <c r="E528">
        <v>30850825</v>
      </c>
      <c r="F528" t="s">
        <v>999</v>
      </c>
      <c r="G528" s="1">
        <v>45233</v>
      </c>
      <c r="H528">
        <v>5411745</v>
      </c>
      <c r="I528">
        <v>96</v>
      </c>
      <c r="J528" t="s">
        <v>140</v>
      </c>
      <c r="K528" s="8" t="str">
        <f>IFERROR(IF(AND(VLOOKUP($C528,Hes!$A:$B, 1, FALSE), $M528&lt;&gt;" "), "Ingresada", "Falta Ingresar"), " ")</f>
        <v>Falta Ingresar</v>
      </c>
      <c r="L528" s="4" t="str">
        <f>IFERROR(VLOOKUP($C528,Observaciones!$A:$B,2,FALSE)," ")</f>
        <v>VEND ENVIA INFORME</v>
      </c>
      <c r="M528" t="s">
        <v>681</v>
      </c>
      <c r="N528" s="5" t="s">
        <v>841</v>
      </c>
      <c r="O528" s="5">
        <v>30850825</v>
      </c>
      <c r="P528" s="5">
        <v>290444</v>
      </c>
      <c r="Q528" s="5">
        <v>55184</v>
      </c>
      <c r="R528" s="5">
        <v>345628</v>
      </c>
    </row>
    <row r="529" spans="1:18" x14ac:dyDescent="0.25">
      <c r="A529" t="s">
        <v>998</v>
      </c>
      <c r="B529" t="s">
        <v>494</v>
      </c>
      <c r="C529">
        <v>70285100</v>
      </c>
      <c r="D529">
        <v>639</v>
      </c>
      <c r="E529">
        <v>4540145456</v>
      </c>
      <c r="F529" t="s">
        <v>999</v>
      </c>
      <c r="G529" s="1">
        <v>45234</v>
      </c>
      <c r="H529">
        <v>5411800</v>
      </c>
      <c r="I529">
        <v>96</v>
      </c>
      <c r="J529" t="s">
        <v>140</v>
      </c>
      <c r="K529" s="8" t="str">
        <f>IFERROR(IF(AND(VLOOKUP($C529,Hes!$A:$B, 1, FALSE), $M529&lt;&gt;" "), "Ingresada", "Falta Ingresar"), " ")</f>
        <v>Falta Ingresar</v>
      </c>
      <c r="L529" s="4" t="str">
        <f>IFERROR(VLOOKUP($C529,Observaciones!$A:$B,2,FALSE)," ")</f>
        <v>VEND ENVIA INFORME</v>
      </c>
      <c r="M529" t="s">
        <v>681</v>
      </c>
      <c r="N529" s="5" t="s">
        <v>841</v>
      </c>
      <c r="O529" s="5">
        <v>30849892</v>
      </c>
      <c r="P529" s="5">
        <v>156000</v>
      </c>
      <c r="Q529" s="5">
        <v>29640</v>
      </c>
      <c r="R529" s="5">
        <v>185640</v>
      </c>
    </row>
    <row r="530" spans="1:18" x14ac:dyDescent="0.25">
      <c r="A530" t="s">
        <v>998</v>
      </c>
      <c r="B530" t="s">
        <v>494</v>
      </c>
      <c r="C530">
        <v>70285100</v>
      </c>
      <c r="D530">
        <v>155</v>
      </c>
      <c r="E530">
        <v>4561387701</v>
      </c>
      <c r="F530" t="s">
        <v>999</v>
      </c>
      <c r="G530" s="1">
        <v>45234</v>
      </c>
      <c r="H530">
        <v>5411876</v>
      </c>
      <c r="I530">
        <v>96</v>
      </c>
      <c r="J530" t="s">
        <v>140</v>
      </c>
      <c r="K530" s="8" t="str">
        <f>IFERROR(IF(AND(VLOOKUP($C530,Hes!$A:$B, 1, FALSE), $M530&lt;&gt;" "), "Ingresada", "Falta Ingresar"), " ")</f>
        <v>Falta Ingresar</v>
      </c>
      <c r="L530" s="4" t="str">
        <f>IFERROR(VLOOKUP($C530,Observaciones!$A:$B,2,FALSE)," ")</f>
        <v>VEND ENVIA INFORME</v>
      </c>
      <c r="M530" t="s">
        <v>681</v>
      </c>
      <c r="N530" s="5" t="s">
        <v>841</v>
      </c>
      <c r="O530" s="5">
        <v>30823221</v>
      </c>
      <c r="P530" s="5">
        <v>51960</v>
      </c>
      <c r="Q530" s="5">
        <v>9872</v>
      </c>
      <c r="R530" s="5">
        <v>61832</v>
      </c>
    </row>
    <row r="531" spans="1:18" x14ac:dyDescent="0.25">
      <c r="A531" t="s">
        <v>998</v>
      </c>
      <c r="B531" t="s">
        <v>494</v>
      </c>
      <c r="C531">
        <v>70285100</v>
      </c>
      <c r="D531">
        <v>60</v>
      </c>
      <c r="E531">
        <v>30850985</v>
      </c>
      <c r="F531" t="s">
        <v>999</v>
      </c>
      <c r="G531" s="1">
        <v>45236</v>
      </c>
      <c r="H531">
        <v>5412091</v>
      </c>
      <c r="I531">
        <v>96</v>
      </c>
      <c r="J531" t="s">
        <v>140</v>
      </c>
      <c r="K531" s="8" t="str">
        <f>IFERROR(IF(AND(VLOOKUP($C531,Hes!$A:$B, 1, FALSE), $M531&lt;&gt;" "), "Ingresada", "Falta Ingresar"), " ")</f>
        <v>Falta Ingresar</v>
      </c>
      <c r="L531" s="4" t="str">
        <f>IFERROR(VLOOKUP($C531,Observaciones!$A:$B,2,FALSE)," ")</f>
        <v>VEND ENVIA INFORME</v>
      </c>
      <c r="M531" t="s">
        <v>681</v>
      </c>
      <c r="N531" s="5" t="s">
        <v>841</v>
      </c>
      <c r="O531" s="5">
        <v>30850985</v>
      </c>
      <c r="P531" s="5">
        <v>240262</v>
      </c>
      <c r="Q531" s="5">
        <v>45650</v>
      </c>
      <c r="R531" s="5">
        <v>285912</v>
      </c>
    </row>
    <row r="532" spans="1:18" x14ac:dyDescent="0.25">
      <c r="A532" t="s">
        <v>998</v>
      </c>
      <c r="B532" t="s">
        <v>494</v>
      </c>
      <c r="C532">
        <v>70285100</v>
      </c>
      <c r="D532">
        <v>10</v>
      </c>
      <c r="E532">
        <v>30853050</v>
      </c>
      <c r="F532" t="s">
        <v>999</v>
      </c>
      <c r="G532" s="1">
        <v>45236</v>
      </c>
      <c r="H532">
        <v>5412095</v>
      </c>
      <c r="I532">
        <v>96</v>
      </c>
      <c r="J532" t="s">
        <v>140</v>
      </c>
      <c r="K532" s="8" t="str">
        <f>IFERROR(IF(AND(VLOOKUP($C532,Hes!$A:$B, 1, FALSE), $M532&lt;&gt;" "), "Ingresada", "Falta Ingresar"), " ")</f>
        <v>Falta Ingresar</v>
      </c>
      <c r="L532" s="4" t="str">
        <f>IFERROR(VLOOKUP($C532,Observaciones!$A:$B,2,FALSE)," ")</f>
        <v>VEND ENVIA INFORME</v>
      </c>
      <c r="M532" t="s">
        <v>681</v>
      </c>
      <c r="N532" s="5" t="s">
        <v>841</v>
      </c>
      <c r="O532" s="5">
        <v>30853050</v>
      </c>
      <c r="P532" s="5">
        <v>611576</v>
      </c>
      <c r="Q532" s="5">
        <v>116199</v>
      </c>
      <c r="R532" s="5">
        <v>727775</v>
      </c>
    </row>
    <row r="533" spans="1:18" x14ac:dyDescent="0.25">
      <c r="A533" t="s">
        <v>998</v>
      </c>
      <c r="B533" t="s">
        <v>494</v>
      </c>
      <c r="C533">
        <v>70285100</v>
      </c>
      <c r="D533">
        <v>649</v>
      </c>
      <c r="E533">
        <v>30852994</v>
      </c>
      <c r="F533" t="s">
        <v>999</v>
      </c>
      <c r="G533" s="1">
        <v>45236</v>
      </c>
      <c r="H533">
        <v>5412157</v>
      </c>
      <c r="I533">
        <v>96</v>
      </c>
      <c r="J533" t="s">
        <v>140</v>
      </c>
      <c r="K533" s="8" t="str">
        <f>IFERROR(IF(AND(VLOOKUP($C533,Hes!$A:$B, 1, FALSE), $M533&lt;&gt;" "), "Ingresada", "Falta Ingresar"), " ")</f>
        <v>Falta Ingresar</v>
      </c>
      <c r="L533" s="4" t="str">
        <f>IFERROR(VLOOKUP($C533,Observaciones!$A:$B,2,FALSE)," ")</f>
        <v>VEND ENVIA INFORME</v>
      </c>
      <c r="M533" t="s">
        <v>681</v>
      </c>
      <c r="N533" s="5" t="s">
        <v>841</v>
      </c>
      <c r="O533" s="5">
        <v>30852994</v>
      </c>
      <c r="P533" s="5">
        <v>27022</v>
      </c>
      <c r="Q533" s="5">
        <v>5134</v>
      </c>
      <c r="R533" s="5">
        <v>32156</v>
      </c>
    </row>
    <row r="534" spans="1:18" x14ac:dyDescent="0.25">
      <c r="A534" t="s">
        <v>998</v>
      </c>
      <c r="B534" t="s">
        <v>494</v>
      </c>
      <c r="C534">
        <v>70285100</v>
      </c>
      <c r="D534">
        <v>648</v>
      </c>
      <c r="E534">
        <v>30852995</v>
      </c>
      <c r="F534" t="s">
        <v>999</v>
      </c>
      <c r="G534" s="1">
        <v>45236</v>
      </c>
      <c r="H534">
        <v>5412182</v>
      </c>
      <c r="I534">
        <v>96</v>
      </c>
      <c r="J534" t="s">
        <v>140</v>
      </c>
      <c r="K534" s="8" t="str">
        <f>IFERROR(IF(AND(VLOOKUP($C534,Hes!$A:$B, 1, FALSE), $M534&lt;&gt;" "), "Ingresada", "Falta Ingresar"), " ")</f>
        <v>Falta Ingresar</v>
      </c>
      <c r="L534" s="4" t="str">
        <f>IFERROR(VLOOKUP($C534,Observaciones!$A:$B,2,FALSE)," ")</f>
        <v>VEND ENVIA INFORME</v>
      </c>
      <c r="M534" t="s">
        <v>681</v>
      </c>
      <c r="N534" s="5" t="s">
        <v>841</v>
      </c>
      <c r="O534" s="5">
        <v>30852995</v>
      </c>
      <c r="P534" s="5">
        <v>13529</v>
      </c>
      <c r="Q534" s="5">
        <v>2571</v>
      </c>
      <c r="R534" s="5">
        <v>16100</v>
      </c>
    </row>
    <row r="535" spans="1:18" x14ac:dyDescent="0.25">
      <c r="A535" t="s">
        <v>998</v>
      </c>
      <c r="B535" t="s">
        <v>494</v>
      </c>
      <c r="C535">
        <v>70285100</v>
      </c>
      <c r="D535">
        <v>398</v>
      </c>
      <c r="E535">
        <v>30853035</v>
      </c>
      <c r="F535" t="s">
        <v>999</v>
      </c>
      <c r="G535" s="1">
        <v>45236</v>
      </c>
      <c r="H535">
        <v>5412185</v>
      </c>
      <c r="I535">
        <v>96</v>
      </c>
      <c r="J535" t="s">
        <v>140</v>
      </c>
      <c r="K535" s="8" t="str">
        <f>IFERROR(IF(AND(VLOOKUP($C535,Hes!$A:$B, 1, FALSE), $M535&lt;&gt;" "), "Ingresada", "Falta Ingresar"), " ")</f>
        <v>Falta Ingresar</v>
      </c>
      <c r="L535" s="4" t="str">
        <f>IFERROR(VLOOKUP($C535,Observaciones!$A:$B,2,FALSE)," ")</f>
        <v>VEND ENVIA INFORME</v>
      </c>
      <c r="M535" t="s">
        <v>681</v>
      </c>
      <c r="N535" s="5" t="s">
        <v>841</v>
      </c>
      <c r="O535" s="5">
        <v>30853035</v>
      </c>
      <c r="P535" s="5">
        <v>109210</v>
      </c>
      <c r="Q535" s="5">
        <v>20750</v>
      </c>
      <c r="R535" s="5">
        <v>129960</v>
      </c>
    </row>
    <row r="536" spans="1:18" x14ac:dyDescent="0.25">
      <c r="A536" t="s">
        <v>998</v>
      </c>
      <c r="B536" t="s">
        <v>494</v>
      </c>
      <c r="C536">
        <v>70285100</v>
      </c>
      <c r="D536">
        <v>54</v>
      </c>
      <c r="E536">
        <v>30853003</v>
      </c>
      <c r="F536" t="s">
        <v>999</v>
      </c>
      <c r="G536" s="1">
        <v>45236</v>
      </c>
      <c r="H536">
        <v>5412215</v>
      </c>
      <c r="I536">
        <v>96</v>
      </c>
      <c r="J536" t="s">
        <v>140</v>
      </c>
      <c r="K536" s="8" t="str">
        <f>IFERROR(IF(AND(VLOOKUP($C536,Hes!$A:$B, 1, FALSE), $M536&lt;&gt;" "), "Ingresada", "Falta Ingresar"), " ")</f>
        <v>Falta Ingresar</v>
      </c>
      <c r="L536" s="4" t="str">
        <f>IFERROR(VLOOKUP($C536,Observaciones!$A:$B,2,FALSE)," ")</f>
        <v>VEND ENVIA INFORME</v>
      </c>
      <c r="M536" t="s">
        <v>681</v>
      </c>
      <c r="N536" s="5" t="s">
        <v>841</v>
      </c>
      <c r="O536" s="5">
        <v>30853003</v>
      </c>
      <c r="P536" s="5">
        <v>195303</v>
      </c>
      <c r="Q536" s="5">
        <v>37108</v>
      </c>
      <c r="R536" s="5">
        <v>232411</v>
      </c>
    </row>
    <row r="537" spans="1:18" x14ac:dyDescent="0.25">
      <c r="A537" t="s">
        <v>998</v>
      </c>
      <c r="B537" t="s">
        <v>494</v>
      </c>
      <c r="C537">
        <v>70285100</v>
      </c>
      <c r="D537">
        <v>650</v>
      </c>
      <c r="E537">
        <v>30853001</v>
      </c>
      <c r="F537" t="s">
        <v>999</v>
      </c>
      <c r="G537" s="1">
        <v>45236</v>
      </c>
      <c r="H537">
        <v>5412218</v>
      </c>
      <c r="I537">
        <v>96</v>
      </c>
      <c r="J537" t="s">
        <v>140</v>
      </c>
      <c r="K537" s="8" t="str">
        <f>IFERROR(IF(AND(VLOOKUP($C537,Hes!$A:$B, 1, FALSE), $M537&lt;&gt;" "), "Ingresada", "Falta Ingresar"), " ")</f>
        <v>Falta Ingresar</v>
      </c>
      <c r="L537" s="4" t="str">
        <f>IFERROR(VLOOKUP($C537,Observaciones!$A:$B,2,FALSE)," ")</f>
        <v>VEND ENVIA INFORME</v>
      </c>
      <c r="M537" t="s">
        <v>681</v>
      </c>
      <c r="N537" s="5" t="s">
        <v>841</v>
      </c>
      <c r="O537" s="5">
        <v>30853001</v>
      </c>
      <c r="P537" s="5">
        <v>299927</v>
      </c>
      <c r="Q537" s="5">
        <v>56986</v>
      </c>
      <c r="R537" s="5">
        <v>356913</v>
      </c>
    </row>
    <row r="538" spans="1:18" x14ac:dyDescent="0.25">
      <c r="A538" t="s">
        <v>998</v>
      </c>
      <c r="B538" t="s">
        <v>494</v>
      </c>
      <c r="C538">
        <v>70285100</v>
      </c>
      <c r="D538">
        <v>140</v>
      </c>
      <c r="E538">
        <v>30853568</v>
      </c>
      <c r="F538" t="s">
        <v>999</v>
      </c>
      <c r="G538" s="1">
        <v>45236</v>
      </c>
      <c r="H538">
        <v>5412238</v>
      </c>
      <c r="I538">
        <v>96</v>
      </c>
      <c r="J538" t="s">
        <v>140</v>
      </c>
      <c r="K538" s="8" t="str">
        <f>IFERROR(IF(AND(VLOOKUP($C538,Hes!$A:$B, 1, FALSE), $M538&lt;&gt;" "), "Ingresada", "Falta Ingresar"), " ")</f>
        <v>Falta Ingresar</v>
      </c>
      <c r="L538" s="4" t="str">
        <f>IFERROR(VLOOKUP($C538,Observaciones!$A:$B,2,FALSE)," ")</f>
        <v>VEND ENVIA INFORME</v>
      </c>
      <c r="M538" t="s">
        <v>681</v>
      </c>
      <c r="N538" s="5" t="s">
        <v>841</v>
      </c>
      <c r="O538" s="5">
        <v>30853568</v>
      </c>
      <c r="P538" s="5">
        <v>51893</v>
      </c>
      <c r="Q538" s="5">
        <v>9860</v>
      </c>
      <c r="R538" s="5">
        <v>61753</v>
      </c>
    </row>
    <row r="539" spans="1:18" x14ac:dyDescent="0.25">
      <c r="A539" t="s">
        <v>998</v>
      </c>
      <c r="B539" t="s">
        <v>494</v>
      </c>
      <c r="C539">
        <v>70285100</v>
      </c>
      <c r="D539">
        <v>144</v>
      </c>
      <c r="E539">
        <v>30853579</v>
      </c>
      <c r="F539" t="s">
        <v>999</v>
      </c>
      <c r="G539" s="1">
        <v>45236</v>
      </c>
      <c r="H539">
        <v>5412241</v>
      </c>
      <c r="I539">
        <v>96</v>
      </c>
      <c r="J539" t="s">
        <v>140</v>
      </c>
      <c r="K539" s="8" t="str">
        <f>IFERROR(IF(AND(VLOOKUP($C539,Hes!$A:$B, 1, FALSE), $M539&lt;&gt;" "), "Ingresada", "Falta Ingresar"), " ")</f>
        <v>Falta Ingresar</v>
      </c>
      <c r="L539" s="4" t="str">
        <f>IFERROR(VLOOKUP($C539,Observaciones!$A:$B,2,FALSE)," ")</f>
        <v>VEND ENVIA INFORME</v>
      </c>
      <c r="M539" t="s">
        <v>681</v>
      </c>
      <c r="N539" s="5" t="s">
        <v>841</v>
      </c>
      <c r="O539" s="5">
        <v>30853579</v>
      </c>
      <c r="P539" s="5">
        <v>10566</v>
      </c>
      <c r="Q539" s="5">
        <v>2008</v>
      </c>
      <c r="R539" s="5">
        <v>12574</v>
      </c>
    </row>
    <row r="540" spans="1:18" x14ac:dyDescent="0.25">
      <c r="A540" t="s">
        <v>998</v>
      </c>
      <c r="B540" t="s">
        <v>494</v>
      </c>
      <c r="C540">
        <v>70285100</v>
      </c>
      <c r="D540">
        <v>85</v>
      </c>
      <c r="E540">
        <v>30852990</v>
      </c>
      <c r="F540" t="s">
        <v>999</v>
      </c>
      <c r="G540" s="1">
        <v>45236</v>
      </c>
      <c r="H540">
        <v>5412290</v>
      </c>
      <c r="I540">
        <v>96</v>
      </c>
      <c r="J540" t="s">
        <v>140</v>
      </c>
      <c r="K540" s="8" t="str">
        <f>IFERROR(IF(AND(VLOOKUP($C540,Hes!$A:$B, 1, FALSE), $M540&lt;&gt;" "), "Ingresada", "Falta Ingresar"), " ")</f>
        <v>Falta Ingresar</v>
      </c>
      <c r="L540" s="4" t="str">
        <f>IFERROR(VLOOKUP($C540,Observaciones!$A:$B,2,FALSE)," ")</f>
        <v>VEND ENVIA INFORME</v>
      </c>
      <c r="M540" t="s">
        <v>681</v>
      </c>
      <c r="N540" s="5" t="s">
        <v>841</v>
      </c>
      <c r="O540" s="5">
        <v>30852990</v>
      </c>
      <c r="P540" s="5">
        <v>99978</v>
      </c>
      <c r="Q540" s="5">
        <v>18996</v>
      </c>
      <c r="R540" s="5">
        <v>118974</v>
      </c>
    </row>
    <row r="541" spans="1:18" x14ac:dyDescent="0.25">
      <c r="A541" t="s">
        <v>998</v>
      </c>
      <c r="B541" t="s">
        <v>494</v>
      </c>
      <c r="C541">
        <v>70285100</v>
      </c>
      <c r="D541">
        <v>141</v>
      </c>
      <c r="E541">
        <v>30853566</v>
      </c>
      <c r="F541" t="s">
        <v>999</v>
      </c>
      <c r="G541" s="1">
        <v>45236</v>
      </c>
      <c r="H541">
        <v>5412291</v>
      </c>
      <c r="I541">
        <v>96</v>
      </c>
      <c r="J541" t="s">
        <v>140</v>
      </c>
      <c r="K541" s="8" t="str">
        <f>IFERROR(IF(AND(VLOOKUP($C541,Hes!$A:$B, 1, FALSE), $M541&lt;&gt;" "), "Ingresada", "Falta Ingresar"), " ")</f>
        <v>Falta Ingresar</v>
      </c>
      <c r="L541" s="4" t="str">
        <f>IFERROR(VLOOKUP($C541,Observaciones!$A:$B,2,FALSE)," ")</f>
        <v>VEND ENVIA INFORME</v>
      </c>
      <c r="M541" t="s">
        <v>681</v>
      </c>
      <c r="N541" s="5" t="s">
        <v>841</v>
      </c>
      <c r="O541" s="5">
        <v>30853566</v>
      </c>
      <c r="P541" s="5">
        <v>29606</v>
      </c>
      <c r="Q541" s="5">
        <v>5625</v>
      </c>
      <c r="R541" s="5">
        <v>35231</v>
      </c>
    </row>
    <row r="542" spans="1:18" x14ac:dyDescent="0.25">
      <c r="A542" t="s">
        <v>998</v>
      </c>
      <c r="B542" t="s">
        <v>494</v>
      </c>
      <c r="C542">
        <v>70285100</v>
      </c>
      <c r="D542">
        <v>1160</v>
      </c>
      <c r="E542">
        <v>30853005</v>
      </c>
      <c r="F542" t="s">
        <v>999</v>
      </c>
      <c r="G542" s="1">
        <v>45236</v>
      </c>
      <c r="H542">
        <v>5412296</v>
      </c>
      <c r="I542">
        <v>96</v>
      </c>
      <c r="J542" t="s">
        <v>140</v>
      </c>
      <c r="K542" s="8" t="str">
        <f>IFERROR(IF(AND(VLOOKUP($C542,Hes!$A:$B, 1, FALSE), $M542&lt;&gt;" "), "Ingresada", "Falta Ingresar"), " ")</f>
        <v>Falta Ingresar</v>
      </c>
      <c r="L542" s="4" t="str">
        <f>IFERROR(VLOOKUP($C542,Observaciones!$A:$B,2,FALSE)," ")</f>
        <v>VEND ENVIA INFORME</v>
      </c>
      <c r="M542" t="s">
        <v>681</v>
      </c>
      <c r="N542" s="5" t="s">
        <v>841</v>
      </c>
      <c r="O542" s="5">
        <v>30853005</v>
      </c>
      <c r="P542" s="5">
        <v>49257</v>
      </c>
      <c r="Q542" s="5">
        <v>9359</v>
      </c>
      <c r="R542" s="5">
        <v>58616</v>
      </c>
    </row>
    <row r="543" spans="1:18" x14ac:dyDescent="0.25">
      <c r="A543" t="s">
        <v>998</v>
      </c>
      <c r="B543" t="s">
        <v>494</v>
      </c>
      <c r="C543">
        <v>70285100</v>
      </c>
      <c r="D543">
        <v>371</v>
      </c>
      <c r="E543">
        <v>30852989</v>
      </c>
      <c r="F543" t="s">
        <v>999</v>
      </c>
      <c r="G543" s="1">
        <v>45236</v>
      </c>
      <c r="H543">
        <v>5412297</v>
      </c>
      <c r="I543">
        <v>96</v>
      </c>
      <c r="J543" t="s">
        <v>140</v>
      </c>
      <c r="K543" s="8" t="str">
        <f>IFERROR(IF(AND(VLOOKUP($C543,Hes!$A:$B, 1, FALSE), $M543&lt;&gt;" "), "Ingresada", "Falta Ingresar"), " ")</f>
        <v>Falta Ingresar</v>
      </c>
      <c r="L543" s="4" t="str">
        <f>IFERROR(VLOOKUP($C543,Observaciones!$A:$B,2,FALSE)," ")</f>
        <v>VEND ENVIA INFORME</v>
      </c>
      <c r="M543" t="s">
        <v>681</v>
      </c>
      <c r="N543" s="5" t="s">
        <v>841</v>
      </c>
      <c r="O543" s="5">
        <v>30852989</v>
      </c>
      <c r="P543" s="5">
        <v>96264</v>
      </c>
      <c r="Q543" s="5">
        <v>18290</v>
      </c>
      <c r="R543" s="5">
        <v>114554</v>
      </c>
    </row>
    <row r="544" spans="1:18" x14ac:dyDescent="0.25">
      <c r="A544" t="s">
        <v>998</v>
      </c>
      <c r="B544" t="s">
        <v>494</v>
      </c>
      <c r="C544">
        <v>70285100</v>
      </c>
      <c r="D544">
        <v>142</v>
      </c>
      <c r="E544">
        <v>30853580</v>
      </c>
      <c r="F544" t="s">
        <v>999</v>
      </c>
      <c r="G544" s="1">
        <v>45236</v>
      </c>
      <c r="H544">
        <v>5412299</v>
      </c>
      <c r="I544">
        <v>96</v>
      </c>
      <c r="J544" t="s">
        <v>140</v>
      </c>
      <c r="K544" s="8" t="str">
        <f>IFERROR(IF(AND(VLOOKUP($C544,Hes!$A:$B, 1, FALSE), $M544&lt;&gt;" "), "Ingresada", "Falta Ingresar"), " ")</f>
        <v>Falta Ingresar</v>
      </c>
      <c r="L544" s="4" t="str">
        <f>IFERROR(VLOOKUP($C544,Observaciones!$A:$B,2,FALSE)," ")</f>
        <v>VEND ENVIA INFORME</v>
      </c>
      <c r="M544" t="s">
        <v>681</v>
      </c>
      <c r="N544" s="5" t="s">
        <v>841</v>
      </c>
      <c r="O544" s="5">
        <v>30853580</v>
      </c>
      <c r="P544" s="5">
        <v>19531</v>
      </c>
      <c r="Q544" s="5">
        <v>3711</v>
      </c>
      <c r="R544" s="5">
        <v>23242</v>
      </c>
    </row>
    <row r="545" spans="1:18" x14ac:dyDescent="0.25">
      <c r="A545" t="s">
        <v>998</v>
      </c>
      <c r="B545" t="s">
        <v>494</v>
      </c>
      <c r="C545">
        <v>70285100</v>
      </c>
      <c r="D545">
        <v>775</v>
      </c>
      <c r="E545">
        <v>30853561</v>
      </c>
      <c r="F545" t="s">
        <v>999</v>
      </c>
      <c r="G545" s="1">
        <v>45236</v>
      </c>
      <c r="H545">
        <v>5412303</v>
      </c>
      <c r="I545">
        <v>96</v>
      </c>
      <c r="J545" t="s">
        <v>140</v>
      </c>
      <c r="K545" s="8" t="str">
        <f>IFERROR(IF(AND(VLOOKUP($C545,Hes!$A:$B, 1, FALSE), $M545&lt;&gt;" "), "Ingresada", "Falta Ingresar"), " ")</f>
        <v>Falta Ingresar</v>
      </c>
      <c r="L545" s="4" t="str">
        <f>IFERROR(VLOOKUP($C545,Observaciones!$A:$B,2,FALSE)," ")</f>
        <v>VEND ENVIA INFORME</v>
      </c>
      <c r="M545" t="s">
        <v>681</v>
      </c>
      <c r="N545" s="5" t="s">
        <v>841</v>
      </c>
      <c r="O545" s="5">
        <v>30853561</v>
      </c>
      <c r="P545" s="5">
        <v>19026</v>
      </c>
      <c r="Q545" s="5">
        <v>3615</v>
      </c>
      <c r="R545" s="5">
        <v>22641</v>
      </c>
    </row>
    <row r="546" spans="1:18" x14ac:dyDescent="0.25">
      <c r="A546" t="s">
        <v>998</v>
      </c>
      <c r="B546" t="s">
        <v>494</v>
      </c>
      <c r="C546">
        <v>70285100</v>
      </c>
      <c r="D546">
        <v>150</v>
      </c>
      <c r="E546">
        <v>30853573</v>
      </c>
      <c r="F546" t="s">
        <v>999</v>
      </c>
      <c r="G546" s="1">
        <v>45236</v>
      </c>
      <c r="H546">
        <v>5412304</v>
      </c>
      <c r="I546">
        <v>96</v>
      </c>
      <c r="J546" t="s">
        <v>140</v>
      </c>
      <c r="K546" s="8" t="str">
        <f>IFERROR(IF(AND(VLOOKUP($C546,Hes!$A:$B, 1, FALSE), $M546&lt;&gt;" "), "Ingresada", "Falta Ingresar"), " ")</f>
        <v>Falta Ingresar</v>
      </c>
      <c r="L546" s="4" t="str">
        <f>IFERROR(VLOOKUP($C546,Observaciones!$A:$B,2,FALSE)," ")</f>
        <v>VEND ENVIA INFORME</v>
      </c>
      <c r="M546" t="s">
        <v>681</v>
      </c>
      <c r="N546" s="5" t="s">
        <v>841</v>
      </c>
      <c r="O546" s="5">
        <v>30853573</v>
      </c>
      <c r="P546" s="5">
        <v>10808</v>
      </c>
      <c r="Q546" s="5">
        <v>2054</v>
      </c>
      <c r="R546" s="5">
        <v>12862</v>
      </c>
    </row>
    <row r="547" spans="1:18" x14ac:dyDescent="0.25">
      <c r="A547" t="s">
        <v>998</v>
      </c>
      <c r="B547" t="s">
        <v>494</v>
      </c>
      <c r="C547">
        <v>70285100</v>
      </c>
      <c r="D547">
        <v>143</v>
      </c>
      <c r="E547">
        <v>30853577</v>
      </c>
      <c r="F547" t="s">
        <v>999</v>
      </c>
      <c r="G547" s="1">
        <v>45236</v>
      </c>
      <c r="H547">
        <v>5412311</v>
      </c>
      <c r="I547">
        <v>96</v>
      </c>
      <c r="J547" t="s">
        <v>140</v>
      </c>
      <c r="K547" s="8" t="str">
        <f>IFERROR(IF(AND(VLOOKUP($C547,Hes!$A:$B, 1, FALSE), $M547&lt;&gt;" "), "Ingresada", "Falta Ingresar"), " ")</f>
        <v>Falta Ingresar</v>
      </c>
      <c r="L547" s="4" t="str">
        <f>IFERROR(VLOOKUP($C547,Observaciones!$A:$B,2,FALSE)," ")</f>
        <v>VEND ENVIA INFORME</v>
      </c>
      <c r="M547" t="s">
        <v>681</v>
      </c>
      <c r="N547" s="5" t="s">
        <v>841</v>
      </c>
      <c r="O547" s="5">
        <v>30853577</v>
      </c>
      <c r="P547" s="5">
        <v>10444</v>
      </c>
      <c r="Q547" s="5">
        <v>1984</v>
      </c>
      <c r="R547" s="5">
        <v>12428</v>
      </c>
    </row>
    <row r="548" spans="1:18" x14ac:dyDescent="0.25">
      <c r="A548" t="s">
        <v>998</v>
      </c>
      <c r="B548" t="s">
        <v>494</v>
      </c>
      <c r="C548">
        <v>70285100</v>
      </c>
      <c r="D548">
        <v>148</v>
      </c>
      <c r="E548">
        <v>30853574</v>
      </c>
      <c r="F548" t="s">
        <v>999</v>
      </c>
      <c r="G548" s="1">
        <v>45236</v>
      </c>
      <c r="H548">
        <v>5412314</v>
      </c>
      <c r="I548">
        <v>96</v>
      </c>
      <c r="J548" t="s">
        <v>140</v>
      </c>
      <c r="K548" s="8" t="str">
        <f>IFERROR(IF(AND(VLOOKUP($C548,Hes!$A:$B, 1, FALSE), $M548&lt;&gt;" "), "Ingresada", "Falta Ingresar"), " ")</f>
        <v>Falta Ingresar</v>
      </c>
      <c r="L548" s="4" t="str">
        <f>IFERROR(VLOOKUP($C548,Observaciones!$A:$B,2,FALSE)," ")</f>
        <v>VEND ENVIA INFORME</v>
      </c>
      <c r="M548" t="s">
        <v>681</v>
      </c>
      <c r="N548" s="5" t="s">
        <v>841</v>
      </c>
      <c r="O548" s="5">
        <v>30853574</v>
      </c>
      <c r="P548" s="5">
        <v>10106</v>
      </c>
      <c r="Q548" s="5">
        <v>1920</v>
      </c>
      <c r="R548" s="5">
        <v>12026</v>
      </c>
    </row>
    <row r="549" spans="1:18" x14ac:dyDescent="0.25">
      <c r="A549" t="s">
        <v>998</v>
      </c>
      <c r="B549" t="s">
        <v>494</v>
      </c>
      <c r="C549">
        <v>70285100</v>
      </c>
      <c r="D549">
        <v>1000</v>
      </c>
      <c r="E549">
        <v>30852863</v>
      </c>
      <c r="F549" t="s">
        <v>999</v>
      </c>
      <c r="G549" s="1">
        <v>45236</v>
      </c>
      <c r="H549">
        <v>5412378</v>
      </c>
      <c r="I549">
        <v>96</v>
      </c>
      <c r="J549" t="s">
        <v>140</v>
      </c>
      <c r="K549" s="8" t="str">
        <f>IFERROR(IF(AND(VLOOKUP($C549,Hes!$A:$B, 1, FALSE), $M549&lt;&gt;" "), "Ingresada", "Falta Ingresar"), " ")</f>
        <v>Falta Ingresar</v>
      </c>
      <c r="L549" s="4" t="str">
        <f>IFERROR(VLOOKUP($C549,Observaciones!$A:$B,2,FALSE)," ")</f>
        <v>VEND ENVIA INFORME</v>
      </c>
      <c r="M549" t="s">
        <v>681</v>
      </c>
      <c r="N549" s="5" t="s">
        <v>841</v>
      </c>
      <c r="O549" s="5">
        <v>30852863</v>
      </c>
      <c r="P549" s="5">
        <v>211924</v>
      </c>
      <c r="Q549" s="5">
        <v>40266</v>
      </c>
      <c r="R549" s="5">
        <v>252190</v>
      </c>
    </row>
    <row r="550" spans="1:18" x14ac:dyDescent="0.25">
      <c r="A550" t="s">
        <v>998</v>
      </c>
      <c r="B550" t="s">
        <v>494</v>
      </c>
      <c r="C550">
        <v>70285100</v>
      </c>
      <c r="D550">
        <v>423</v>
      </c>
      <c r="E550">
        <v>30852076</v>
      </c>
      <c r="F550" t="s">
        <v>999</v>
      </c>
      <c r="G550" s="1">
        <v>45236</v>
      </c>
      <c r="H550">
        <v>5412380</v>
      </c>
      <c r="I550">
        <v>96</v>
      </c>
      <c r="J550" t="s">
        <v>140</v>
      </c>
      <c r="K550" s="8" t="str">
        <f>IFERROR(IF(AND(VLOOKUP($C550,Hes!$A:$B, 1, FALSE), $M550&lt;&gt;" "), "Ingresada", "Falta Ingresar"), " ")</f>
        <v>Falta Ingresar</v>
      </c>
      <c r="L550" s="4" t="str">
        <f>IFERROR(VLOOKUP($C550,Observaciones!$A:$B,2,FALSE)," ")</f>
        <v>VEND ENVIA INFORME</v>
      </c>
      <c r="M550" t="s">
        <v>681</v>
      </c>
      <c r="N550" s="5" t="s">
        <v>841</v>
      </c>
      <c r="O550" s="5">
        <v>30852076</v>
      </c>
      <c r="P550" s="5">
        <v>76852</v>
      </c>
      <c r="Q550" s="5">
        <v>14602</v>
      </c>
      <c r="R550" s="5">
        <v>91454</v>
      </c>
    </row>
    <row r="551" spans="1:18" x14ac:dyDescent="0.25">
      <c r="A551" t="s">
        <v>998</v>
      </c>
      <c r="B551" t="s">
        <v>494</v>
      </c>
      <c r="C551">
        <v>70285100</v>
      </c>
      <c r="D551">
        <v>47</v>
      </c>
      <c r="E551">
        <v>30852139</v>
      </c>
      <c r="F551" t="s">
        <v>999</v>
      </c>
      <c r="G551" s="1">
        <v>45236</v>
      </c>
      <c r="H551">
        <v>5412456</v>
      </c>
      <c r="I551">
        <v>96</v>
      </c>
      <c r="J551" t="s">
        <v>140</v>
      </c>
      <c r="K551" s="8" t="str">
        <f>IFERROR(IF(AND(VLOOKUP($C551,Hes!$A:$B, 1, FALSE), $M551&lt;&gt;" "), "Ingresada", "Falta Ingresar"), " ")</f>
        <v>Falta Ingresar</v>
      </c>
      <c r="L551" s="4" t="str">
        <f>IFERROR(VLOOKUP($C551,Observaciones!$A:$B,2,FALSE)," ")</f>
        <v>VEND ENVIA INFORME</v>
      </c>
      <c r="M551" t="s">
        <v>681</v>
      </c>
      <c r="N551" s="5" t="s">
        <v>841</v>
      </c>
      <c r="O551" s="5">
        <v>30852139</v>
      </c>
      <c r="P551" s="5">
        <v>1113145</v>
      </c>
      <c r="Q551" s="5">
        <v>211498</v>
      </c>
      <c r="R551" s="5">
        <v>1324643</v>
      </c>
    </row>
    <row r="552" spans="1:18" x14ac:dyDescent="0.25">
      <c r="A552" t="s">
        <v>998</v>
      </c>
      <c r="B552" t="s">
        <v>494</v>
      </c>
      <c r="C552">
        <v>70285100</v>
      </c>
      <c r="D552">
        <v>681</v>
      </c>
      <c r="E552">
        <v>30853691</v>
      </c>
      <c r="F552" t="s">
        <v>999</v>
      </c>
      <c r="G552" s="1">
        <v>45236</v>
      </c>
      <c r="H552">
        <v>5412467</v>
      </c>
      <c r="I552">
        <v>96</v>
      </c>
      <c r="J552" t="s">
        <v>140</v>
      </c>
      <c r="K552" s="8" t="str">
        <f>IFERROR(IF(AND(VLOOKUP($C552,Hes!$A:$B, 1, FALSE), $M552&lt;&gt;" "), "Ingresada", "Falta Ingresar"), " ")</f>
        <v>Falta Ingresar</v>
      </c>
      <c r="L552" s="4" t="str">
        <f>IFERROR(VLOOKUP($C552,Observaciones!$A:$B,2,FALSE)," ")</f>
        <v>VEND ENVIA INFORME</v>
      </c>
      <c r="M552" t="s">
        <v>681</v>
      </c>
      <c r="N552" s="5" t="s">
        <v>841</v>
      </c>
      <c r="O552" s="5">
        <v>30853691</v>
      </c>
      <c r="P552" s="5">
        <v>12684</v>
      </c>
      <c r="Q552" s="5">
        <v>2410</v>
      </c>
      <c r="R552" s="5">
        <v>15094</v>
      </c>
    </row>
    <row r="553" spans="1:18" x14ac:dyDescent="0.25">
      <c r="A553" t="s">
        <v>998</v>
      </c>
      <c r="B553" t="s">
        <v>494</v>
      </c>
      <c r="C553">
        <v>70285100</v>
      </c>
      <c r="D553">
        <v>31</v>
      </c>
      <c r="E553">
        <v>30851223</v>
      </c>
      <c r="F553" t="s">
        <v>999</v>
      </c>
      <c r="G553" s="1">
        <v>45235</v>
      </c>
      <c r="H553">
        <v>5412549</v>
      </c>
      <c r="I553">
        <v>96</v>
      </c>
      <c r="J553" t="s">
        <v>140</v>
      </c>
      <c r="K553" s="8" t="str">
        <f>IFERROR(IF(AND(VLOOKUP($C553,Hes!$A:$B, 1, FALSE), $M553&lt;&gt;" "), "Ingresada", "Falta Ingresar"), " ")</f>
        <v>Falta Ingresar</v>
      </c>
      <c r="L553" s="4" t="str">
        <f>IFERROR(VLOOKUP($C553,Observaciones!$A:$B,2,FALSE)," ")</f>
        <v>VEND ENVIA INFORME</v>
      </c>
      <c r="M553" t="s">
        <v>681</v>
      </c>
      <c r="N553" s="5" t="s">
        <v>841</v>
      </c>
      <c r="O553" s="5">
        <v>30851223</v>
      </c>
      <c r="P553" s="5">
        <v>116023</v>
      </c>
      <c r="Q553" s="5">
        <v>22044</v>
      </c>
      <c r="R553" s="5">
        <v>138067</v>
      </c>
    </row>
    <row r="554" spans="1:18" x14ac:dyDescent="0.25">
      <c r="A554" t="s">
        <v>998</v>
      </c>
      <c r="B554" t="s">
        <v>494</v>
      </c>
      <c r="C554">
        <v>70285100</v>
      </c>
      <c r="D554">
        <v>636</v>
      </c>
      <c r="E554">
        <v>30852999</v>
      </c>
      <c r="F554" t="s">
        <v>999</v>
      </c>
      <c r="G554" s="1">
        <v>45236</v>
      </c>
      <c r="H554">
        <v>5412561</v>
      </c>
      <c r="I554">
        <v>96</v>
      </c>
      <c r="J554" t="s">
        <v>140</v>
      </c>
      <c r="K554" s="8" t="str">
        <f>IFERROR(IF(AND(VLOOKUP($C554,Hes!$A:$B, 1, FALSE), $M554&lt;&gt;" "), "Ingresada", "Falta Ingresar"), " ")</f>
        <v>Falta Ingresar</v>
      </c>
      <c r="L554" s="4" t="str">
        <f>IFERROR(VLOOKUP($C554,Observaciones!$A:$B,2,FALSE)," ")</f>
        <v>VEND ENVIA INFORME</v>
      </c>
      <c r="M554" t="s">
        <v>681</v>
      </c>
      <c r="N554" s="5" t="s">
        <v>841</v>
      </c>
      <c r="O554" s="5">
        <v>30852999</v>
      </c>
      <c r="P554" s="5">
        <v>88360</v>
      </c>
      <c r="Q554" s="5">
        <v>16788</v>
      </c>
      <c r="R554" s="5">
        <v>105148</v>
      </c>
    </row>
    <row r="555" spans="1:18" x14ac:dyDescent="0.25">
      <c r="A555" t="s">
        <v>998</v>
      </c>
      <c r="B555" t="s">
        <v>494</v>
      </c>
      <c r="C555">
        <v>70285100</v>
      </c>
      <c r="D555">
        <v>299</v>
      </c>
      <c r="E555">
        <v>4540145861</v>
      </c>
      <c r="F555" t="s">
        <v>999</v>
      </c>
      <c r="G555" s="1">
        <v>45236</v>
      </c>
      <c r="H555">
        <v>5412567</v>
      </c>
      <c r="I555">
        <v>96</v>
      </c>
      <c r="J555" t="s">
        <v>140</v>
      </c>
      <c r="K555" s="8" t="str">
        <f>IFERROR(IF(AND(VLOOKUP($C555,Hes!$A:$B, 1, FALSE), $M555&lt;&gt;" "), "Ingresada", "Falta Ingresar"), " ")</f>
        <v>Falta Ingresar</v>
      </c>
      <c r="L555" s="4" t="str">
        <f>IFERROR(VLOOKUP($C555,Observaciones!$A:$B,2,FALSE)," ")</f>
        <v>VEND ENVIA INFORME</v>
      </c>
      <c r="M555" t="s">
        <v>681</v>
      </c>
      <c r="N555" s="5" t="s">
        <v>841</v>
      </c>
      <c r="O555" s="5">
        <v>30838451</v>
      </c>
      <c r="P555" s="5">
        <v>147070</v>
      </c>
      <c r="Q555" s="5">
        <v>27943</v>
      </c>
      <c r="R555" s="5">
        <v>175013</v>
      </c>
    </row>
    <row r="556" spans="1:18" x14ac:dyDescent="0.25">
      <c r="A556" t="s">
        <v>998</v>
      </c>
      <c r="B556" t="s">
        <v>494</v>
      </c>
      <c r="C556">
        <v>70285100</v>
      </c>
      <c r="D556">
        <v>145</v>
      </c>
      <c r="E556">
        <v>30853559</v>
      </c>
      <c r="F556" t="s">
        <v>999</v>
      </c>
      <c r="G556" s="1">
        <v>45236</v>
      </c>
      <c r="H556">
        <v>5412578</v>
      </c>
      <c r="I556">
        <v>96</v>
      </c>
      <c r="J556" t="s">
        <v>140</v>
      </c>
      <c r="K556" s="8" t="str">
        <f>IFERROR(IF(AND(VLOOKUP($C556,Hes!$A:$B, 1, FALSE), $M556&lt;&gt;" "), "Ingresada", "Falta Ingresar"), " ")</f>
        <v>Falta Ingresar</v>
      </c>
      <c r="L556" s="4" t="str">
        <f>IFERROR(VLOOKUP($C556,Observaciones!$A:$B,2,FALSE)," ")</f>
        <v>VEND ENVIA INFORME</v>
      </c>
      <c r="M556" t="s">
        <v>681</v>
      </c>
      <c r="N556" s="5" t="s">
        <v>841</v>
      </c>
      <c r="O556" s="5">
        <v>30853559</v>
      </c>
      <c r="P556" s="5">
        <v>11226</v>
      </c>
      <c r="Q556" s="5">
        <v>2133</v>
      </c>
      <c r="R556" s="5">
        <v>13359</v>
      </c>
    </row>
    <row r="557" spans="1:18" x14ac:dyDescent="0.25">
      <c r="A557" t="s">
        <v>998</v>
      </c>
      <c r="B557" t="s">
        <v>494</v>
      </c>
      <c r="C557">
        <v>70285100</v>
      </c>
      <c r="D557">
        <v>149</v>
      </c>
      <c r="E557">
        <v>30853571</v>
      </c>
      <c r="F557" t="s">
        <v>999</v>
      </c>
      <c r="G557" s="1">
        <v>45236</v>
      </c>
      <c r="H557">
        <v>5412579</v>
      </c>
      <c r="I557">
        <v>96</v>
      </c>
      <c r="J557" t="s">
        <v>140</v>
      </c>
      <c r="K557" s="8" t="str">
        <f>IFERROR(IF(AND(VLOOKUP($C557,Hes!$A:$B, 1, FALSE), $M557&lt;&gt;" "), "Ingresada", "Falta Ingresar"), " ")</f>
        <v>Falta Ingresar</v>
      </c>
      <c r="L557" s="4" t="str">
        <f>IFERROR(VLOOKUP($C557,Observaciones!$A:$B,2,FALSE)," ")</f>
        <v>VEND ENVIA INFORME</v>
      </c>
      <c r="M557" t="s">
        <v>681</v>
      </c>
      <c r="N557" s="5" t="s">
        <v>841</v>
      </c>
      <c r="O557" s="5">
        <v>30853571</v>
      </c>
      <c r="P557" s="5">
        <v>49353</v>
      </c>
      <c r="Q557" s="5">
        <v>9377</v>
      </c>
      <c r="R557" s="5">
        <v>58730</v>
      </c>
    </row>
    <row r="558" spans="1:18" x14ac:dyDescent="0.25">
      <c r="A558" t="s">
        <v>998</v>
      </c>
      <c r="B558" t="s">
        <v>494</v>
      </c>
      <c r="C558">
        <v>70285100</v>
      </c>
      <c r="D558">
        <v>139</v>
      </c>
      <c r="E558">
        <v>30853563</v>
      </c>
      <c r="F558" t="s">
        <v>999</v>
      </c>
      <c r="G558" s="1">
        <v>45236</v>
      </c>
      <c r="H558">
        <v>5412589</v>
      </c>
      <c r="I558">
        <v>96</v>
      </c>
      <c r="J558" t="s">
        <v>140</v>
      </c>
      <c r="K558" s="8" t="str">
        <f>IFERROR(IF(AND(VLOOKUP($C558,Hes!$A:$B, 1, FALSE), $M558&lt;&gt;" "), "Ingresada", "Falta Ingresar"), " ")</f>
        <v>Falta Ingresar</v>
      </c>
      <c r="L558" s="4" t="str">
        <f>IFERROR(VLOOKUP($C558,Observaciones!$A:$B,2,FALSE)," ")</f>
        <v>VEND ENVIA INFORME</v>
      </c>
      <c r="M558" t="s">
        <v>681</v>
      </c>
      <c r="N558" s="5" t="s">
        <v>841</v>
      </c>
      <c r="O558" s="5">
        <v>30853563</v>
      </c>
      <c r="P558" s="5">
        <v>29281</v>
      </c>
      <c r="Q558" s="5">
        <v>5563</v>
      </c>
      <c r="R558" s="5">
        <v>34844</v>
      </c>
    </row>
    <row r="559" spans="1:18" x14ac:dyDescent="0.25">
      <c r="A559" t="s">
        <v>998</v>
      </c>
      <c r="B559" t="s">
        <v>494</v>
      </c>
      <c r="C559">
        <v>70285100</v>
      </c>
      <c r="D559">
        <v>349</v>
      </c>
      <c r="E559">
        <v>30853569</v>
      </c>
      <c r="F559" t="s">
        <v>999</v>
      </c>
      <c r="G559" s="1">
        <v>45236</v>
      </c>
      <c r="H559">
        <v>5412590</v>
      </c>
      <c r="I559">
        <v>96</v>
      </c>
      <c r="J559" t="s">
        <v>140</v>
      </c>
      <c r="K559" s="8" t="str">
        <f>IFERROR(IF(AND(VLOOKUP($C559,Hes!$A:$B, 1, FALSE), $M559&lt;&gt;" "), "Ingresada", "Falta Ingresar"), " ")</f>
        <v>Falta Ingresar</v>
      </c>
      <c r="L559" s="4" t="str">
        <f>IFERROR(VLOOKUP($C559,Observaciones!$A:$B,2,FALSE)," ")</f>
        <v>VEND ENVIA INFORME</v>
      </c>
      <c r="M559" t="s">
        <v>681</v>
      </c>
      <c r="N559" s="5" t="s">
        <v>841</v>
      </c>
      <c r="O559" s="5">
        <v>30853569</v>
      </c>
      <c r="P559" s="5">
        <v>29104</v>
      </c>
      <c r="Q559" s="5">
        <v>5530</v>
      </c>
      <c r="R559" s="5">
        <v>34634</v>
      </c>
    </row>
    <row r="560" spans="1:18" x14ac:dyDescent="0.25">
      <c r="A560" t="s">
        <v>998</v>
      </c>
      <c r="B560" t="s">
        <v>494</v>
      </c>
      <c r="C560">
        <v>70285100</v>
      </c>
      <c r="D560">
        <v>147</v>
      </c>
      <c r="E560">
        <v>30853575</v>
      </c>
      <c r="F560" t="s">
        <v>999</v>
      </c>
      <c r="G560" s="1">
        <v>45236</v>
      </c>
      <c r="H560">
        <v>5412591</v>
      </c>
      <c r="I560">
        <v>96</v>
      </c>
      <c r="J560" t="s">
        <v>140</v>
      </c>
      <c r="K560" s="8" t="str">
        <f>IFERROR(IF(AND(VLOOKUP($C560,Hes!$A:$B, 1, FALSE), $M560&lt;&gt;" "), "Ingresada", "Falta Ingresar"), " ")</f>
        <v>Falta Ingresar</v>
      </c>
      <c r="L560" s="4" t="str">
        <f>IFERROR(VLOOKUP($C560,Observaciones!$A:$B,2,FALSE)," ")</f>
        <v>VEND ENVIA INFORME</v>
      </c>
      <c r="M560" t="s">
        <v>681</v>
      </c>
      <c r="N560" s="5" t="s">
        <v>841</v>
      </c>
      <c r="O560" s="5">
        <v>30853575</v>
      </c>
      <c r="P560" s="5">
        <v>34088</v>
      </c>
      <c r="Q560" s="5">
        <v>6477</v>
      </c>
      <c r="R560" s="5">
        <v>40565</v>
      </c>
    </row>
    <row r="561" spans="1:18" x14ac:dyDescent="0.25">
      <c r="A561" t="s">
        <v>998</v>
      </c>
      <c r="B561" t="s">
        <v>494</v>
      </c>
      <c r="C561">
        <v>70285100</v>
      </c>
      <c r="D561">
        <v>481</v>
      </c>
      <c r="E561">
        <v>30853689</v>
      </c>
      <c r="F561" t="s">
        <v>999</v>
      </c>
      <c r="G561" s="1">
        <v>45236</v>
      </c>
      <c r="H561">
        <v>5412641</v>
      </c>
      <c r="I561">
        <v>96</v>
      </c>
      <c r="J561" t="s">
        <v>140</v>
      </c>
      <c r="K561" s="8" t="str">
        <f>IFERROR(IF(AND(VLOOKUP($C561,Hes!$A:$B, 1, FALSE), $M561&lt;&gt;" "), "Ingresada", "Falta Ingresar"), " ")</f>
        <v>Falta Ingresar</v>
      </c>
      <c r="L561" s="4" t="str">
        <f>IFERROR(VLOOKUP($C561,Observaciones!$A:$B,2,FALSE)," ")</f>
        <v>VEND ENVIA INFORME</v>
      </c>
      <c r="M561" t="s">
        <v>681</v>
      </c>
      <c r="N561" s="5" t="s">
        <v>841</v>
      </c>
      <c r="O561" s="5">
        <v>30853689</v>
      </c>
      <c r="P561" s="5">
        <v>22119</v>
      </c>
      <c r="Q561" s="5">
        <v>4203</v>
      </c>
      <c r="R561" s="5">
        <v>26322</v>
      </c>
    </row>
    <row r="562" spans="1:18" x14ac:dyDescent="0.25">
      <c r="A562" t="s">
        <v>998</v>
      </c>
      <c r="B562" t="s">
        <v>494</v>
      </c>
      <c r="C562">
        <v>70285100</v>
      </c>
      <c r="D562">
        <v>551</v>
      </c>
      <c r="E562">
        <v>30853688</v>
      </c>
      <c r="F562" t="s">
        <v>999</v>
      </c>
      <c r="G562" s="1">
        <v>45236</v>
      </c>
      <c r="H562">
        <v>5412646</v>
      </c>
      <c r="I562">
        <v>96</v>
      </c>
      <c r="J562" t="s">
        <v>140</v>
      </c>
      <c r="K562" s="8" t="str">
        <f>IFERROR(IF(AND(VLOOKUP($C562,Hes!$A:$B, 1, FALSE), $M562&lt;&gt;" "), "Ingresada", "Falta Ingresar"), " ")</f>
        <v>Falta Ingresar</v>
      </c>
      <c r="L562" s="4" t="str">
        <f>IFERROR(VLOOKUP($C562,Observaciones!$A:$B,2,FALSE)," ")</f>
        <v>VEND ENVIA INFORME</v>
      </c>
      <c r="M562" t="s">
        <v>681</v>
      </c>
      <c r="N562" s="5" t="s">
        <v>841</v>
      </c>
      <c r="O562" s="5">
        <v>30853688</v>
      </c>
      <c r="P562" s="5">
        <v>21006</v>
      </c>
      <c r="Q562" s="5">
        <v>3991</v>
      </c>
      <c r="R562" s="5">
        <v>24997</v>
      </c>
    </row>
    <row r="563" spans="1:18" x14ac:dyDescent="0.25">
      <c r="A563" t="s">
        <v>998</v>
      </c>
      <c r="B563" t="s">
        <v>494</v>
      </c>
      <c r="C563">
        <v>70285100</v>
      </c>
      <c r="D563">
        <v>314</v>
      </c>
      <c r="E563">
        <v>30854325</v>
      </c>
      <c r="F563" t="s">
        <v>999</v>
      </c>
      <c r="G563" s="1">
        <v>45234</v>
      </c>
      <c r="H563">
        <v>5412713</v>
      </c>
      <c r="I563">
        <v>96</v>
      </c>
      <c r="J563" t="s">
        <v>140</v>
      </c>
      <c r="K563" s="8" t="str">
        <f>IFERROR(IF(AND(VLOOKUP($C563,Hes!$A:$B, 1, FALSE), $M563&lt;&gt;" "), "Ingresada", "Falta Ingresar"), " ")</f>
        <v>Falta Ingresar</v>
      </c>
      <c r="L563" s="4" t="str">
        <f>IFERROR(VLOOKUP($C563,Observaciones!$A:$B,2,FALSE)," ")</f>
        <v>VEND ENVIA INFORME</v>
      </c>
      <c r="M563" t="s">
        <v>681</v>
      </c>
      <c r="N563" s="5" t="s">
        <v>841</v>
      </c>
      <c r="O563" s="5">
        <v>30854325</v>
      </c>
      <c r="P563" s="5">
        <v>98240</v>
      </c>
      <c r="Q563" s="5">
        <v>18666</v>
      </c>
      <c r="R563" s="5">
        <v>116906</v>
      </c>
    </row>
    <row r="564" spans="1:18" x14ac:dyDescent="0.25">
      <c r="A564" t="s">
        <v>998</v>
      </c>
      <c r="B564" t="s">
        <v>494</v>
      </c>
      <c r="C564">
        <v>70285100</v>
      </c>
      <c r="D564">
        <v>182</v>
      </c>
      <c r="E564">
        <v>30854331</v>
      </c>
      <c r="F564" t="s">
        <v>999</v>
      </c>
      <c r="G564" s="1">
        <v>45234</v>
      </c>
      <c r="H564">
        <v>5412716</v>
      </c>
      <c r="I564">
        <v>96</v>
      </c>
      <c r="J564" t="s">
        <v>140</v>
      </c>
      <c r="K564" s="8" t="str">
        <f>IFERROR(IF(AND(VLOOKUP($C564,Hes!$A:$B, 1, FALSE), $M564&lt;&gt;" "), "Ingresada", "Falta Ingresar"), " ")</f>
        <v>Falta Ingresar</v>
      </c>
      <c r="L564" s="4" t="str">
        <f>IFERROR(VLOOKUP($C564,Observaciones!$A:$B,2,FALSE)," ")</f>
        <v>VEND ENVIA INFORME</v>
      </c>
      <c r="M564" t="s">
        <v>681</v>
      </c>
      <c r="N564" s="5" t="s">
        <v>841</v>
      </c>
      <c r="O564" s="5">
        <v>30854331</v>
      </c>
      <c r="P564" s="5">
        <v>578712</v>
      </c>
      <c r="Q564" s="5">
        <v>109955</v>
      </c>
      <c r="R564" s="5">
        <v>688667</v>
      </c>
    </row>
    <row r="565" spans="1:18" x14ac:dyDescent="0.25">
      <c r="A565" t="s">
        <v>998</v>
      </c>
      <c r="B565" t="s">
        <v>494</v>
      </c>
      <c r="C565">
        <v>70285100</v>
      </c>
      <c r="D565">
        <v>146</v>
      </c>
      <c r="E565">
        <v>30854330</v>
      </c>
      <c r="F565" t="s">
        <v>999</v>
      </c>
      <c r="G565" s="1">
        <v>45234</v>
      </c>
      <c r="H565">
        <v>5412717</v>
      </c>
      <c r="I565">
        <v>96</v>
      </c>
      <c r="J565" t="s">
        <v>140</v>
      </c>
      <c r="K565" s="8" t="str">
        <f>IFERROR(IF(AND(VLOOKUP($C565,Hes!$A:$B, 1, FALSE), $M565&lt;&gt;" "), "Ingresada", "Falta Ingresar"), " ")</f>
        <v>Falta Ingresar</v>
      </c>
      <c r="L565" s="4" t="str">
        <f>IFERROR(VLOOKUP($C565,Observaciones!$A:$B,2,FALSE)," ")</f>
        <v>VEND ENVIA INFORME</v>
      </c>
      <c r="M565" t="s">
        <v>681</v>
      </c>
      <c r="N565" s="5" t="s">
        <v>841</v>
      </c>
      <c r="O565" s="5">
        <v>30854330</v>
      </c>
      <c r="P565" s="5">
        <v>36871</v>
      </c>
      <c r="Q565" s="5">
        <v>7005</v>
      </c>
      <c r="R565" s="5">
        <v>43876</v>
      </c>
    </row>
    <row r="566" spans="1:18" x14ac:dyDescent="0.25">
      <c r="A566" t="s">
        <v>998</v>
      </c>
      <c r="B566" t="s">
        <v>494</v>
      </c>
      <c r="C566">
        <v>70285100</v>
      </c>
      <c r="D566">
        <v>184</v>
      </c>
      <c r="E566">
        <v>30854148</v>
      </c>
      <c r="F566" t="s">
        <v>999</v>
      </c>
      <c r="G566" s="1">
        <v>45236</v>
      </c>
      <c r="H566">
        <v>5412785</v>
      </c>
      <c r="I566">
        <v>96</v>
      </c>
      <c r="J566" t="s">
        <v>140</v>
      </c>
      <c r="K566" s="8" t="str">
        <f>IFERROR(IF(AND(VLOOKUP($C566,Hes!$A:$B, 1, FALSE), $M566&lt;&gt;" "), "Ingresada", "Falta Ingresar"), " ")</f>
        <v>Falta Ingresar</v>
      </c>
      <c r="L566" s="4" t="str">
        <f>IFERROR(VLOOKUP($C566,Observaciones!$A:$B,2,FALSE)," ")</f>
        <v>VEND ENVIA INFORME</v>
      </c>
      <c r="M566" t="s">
        <v>681</v>
      </c>
      <c r="N566" s="5" t="s">
        <v>841</v>
      </c>
      <c r="O566" s="5">
        <v>30854148</v>
      </c>
      <c r="P566" s="5">
        <v>53727</v>
      </c>
      <c r="Q566" s="5">
        <v>10208</v>
      </c>
      <c r="R566" s="5">
        <v>63935</v>
      </c>
    </row>
    <row r="567" spans="1:18" x14ac:dyDescent="0.25">
      <c r="A567" t="s">
        <v>998</v>
      </c>
      <c r="B567" t="s">
        <v>494</v>
      </c>
      <c r="C567">
        <v>70285100</v>
      </c>
      <c r="D567">
        <v>251</v>
      </c>
      <c r="E567">
        <v>30855196</v>
      </c>
      <c r="F567" t="s">
        <v>999</v>
      </c>
      <c r="G567" s="1">
        <v>45234</v>
      </c>
      <c r="H567">
        <v>5412915</v>
      </c>
      <c r="I567">
        <v>96</v>
      </c>
      <c r="J567" t="s">
        <v>140</v>
      </c>
      <c r="K567" s="8" t="str">
        <f>IFERROR(IF(AND(VLOOKUP($C567,Hes!$A:$B, 1, FALSE), $M567&lt;&gt;" "), "Ingresada", "Falta Ingresar"), " ")</f>
        <v>Falta Ingresar</v>
      </c>
      <c r="L567" s="4" t="str">
        <f>IFERROR(VLOOKUP($C567,Observaciones!$A:$B,2,FALSE)," ")</f>
        <v>VEND ENVIA INFORME</v>
      </c>
      <c r="M567" t="s">
        <v>681</v>
      </c>
      <c r="N567" s="5" t="s">
        <v>841</v>
      </c>
      <c r="O567" s="5">
        <v>30855196</v>
      </c>
      <c r="P567" s="5">
        <v>102195</v>
      </c>
      <c r="Q567" s="5">
        <v>19417</v>
      </c>
      <c r="R567" s="5">
        <v>121612</v>
      </c>
    </row>
    <row r="568" spans="1:18" x14ac:dyDescent="0.25">
      <c r="A568" t="s">
        <v>998</v>
      </c>
      <c r="B568" t="s">
        <v>494</v>
      </c>
      <c r="C568">
        <v>70285100</v>
      </c>
      <c r="D568">
        <v>1000</v>
      </c>
      <c r="E568">
        <v>30853445</v>
      </c>
      <c r="F568" t="s">
        <v>999</v>
      </c>
      <c r="G568" s="1">
        <v>45236</v>
      </c>
      <c r="H568">
        <v>5412953</v>
      </c>
      <c r="I568">
        <v>96</v>
      </c>
      <c r="J568" t="s">
        <v>140</v>
      </c>
      <c r="K568" s="8" t="str">
        <f>IFERROR(IF(AND(VLOOKUP($C568,Hes!$A:$B, 1, FALSE), $M568&lt;&gt;" "), "Ingresada", "Falta Ingresar"), " ")</f>
        <v>Falta Ingresar</v>
      </c>
      <c r="L568" s="4" t="str">
        <f>IFERROR(VLOOKUP($C568,Observaciones!$A:$B,2,FALSE)," ")</f>
        <v>VEND ENVIA INFORME</v>
      </c>
      <c r="M568" t="s">
        <v>681</v>
      </c>
      <c r="N568" s="5" t="s">
        <v>841</v>
      </c>
      <c r="O568" s="5">
        <v>30853445</v>
      </c>
      <c r="P568" s="5">
        <v>31836</v>
      </c>
      <c r="Q568" s="5">
        <v>6049</v>
      </c>
      <c r="R568" s="5">
        <v>37885</v>
      </c>
    </row>
    <row r="569" spans="1:18" x14ac:dyDescent="0.25">
      <c r="A569" t="s">
        <v>998</v>
      </c>
      <c r="B569" t="s">
        <v>494</v>
      </c>
      <c r="C569">
        <v>70285100</v>
      </c>
      <c r="D569">
        <v>546</v>
      </c>
      <c r="E569">
        <v>30854327</v>
      </c>
      <c r="F569" t="s">
        <v>999</v>
      </c>
      <c r="G569" s="1">
        <v>45234</v>
      </c>
      <c r="H569">
        <v>5413033</v>
      </c>
      <c r="I569">
        <v>96</v>
      </c>
      <c r="J569" t="s">
        <v>140</v>
      </c>
      <c r="K569" s="8" t="str">
        <f>IFERROR(IF(AND(VLOOKUP($C569,Hes!$A:$B, 1, FALSE), $M569&lt;&gt;" "), "Ingresada", "Falta Ingresar"), " ")</f>
        <v>Falta Ingresar</v>
      </c>
      <c r="L569" s="4" t="str">
        <f>IFERROR(VLOOKUP($C569,Observaciones!$A:$B,2,FALSE)," ")</f>
        <v>VEND ENVIA INFORME</v>
      </c>
      <c r="M569" t="s">
        <v>681</v>
      </c>
      <c r="N569" s="5" t="s">
        <v>841</v>
      </c>
      <c r="O569" s="5">
        <v>30854327</v>
      </c>
      <c r="P569" s="5">
        <v>248802</v>
      </c>
      <c r="Q569" s="5">
        <v>47272</v>
      </c>
      <c r="R569" s="5">
        <v>296074</v>
      </c>
    </row>
    <row r="570" spans="1:18" x14ac:dyDescent="0.25">
      <c r="A570" t="s">
        <v>998</v>
      </c>
      <c r="B570" t="s">
        <v>494</v>
      </c>
      <c r="C570">
        <v>70285100</v>
      </c>
      <c r="D570">
        <v>138</v>
      </c>
      <c r="E570">
        <v>30853581</v>
      </c>
      <c r="F570" t="s">
        <v>999</v>
      </c>
      <c r="G570" s="1">
        <v>45236</v>
      </c>
      <c r="H570">
        <v>5413154</v>
      </c>
      <c r="I570">
        <v>96</v>
      </c>
      <c r="J570" t="s">
        <v>140</v>
      </c>
      <c r="K570" s="8" t="str">
        <f>IFERROR(IF(AND(VLOOKUP($C570,Hes!$A:$B, 1, FALSE), $M570&lt;&gt;" "), "Ingresada", "Falta Ingresar"), " ")</f>
        <v>Falta Ingresar</v>
      </c>
      <c r="L570" s="4" t="str">
        <f>IFERROR(VLOOKUP($C570,Observaciones!$A:$B,2,FALSE)," ")</f>
        <v>VEND ENVIA INFORME</v>
      </c>
      <c r="M570" t="s">
        <v>681</v>
      </c>
      <c r="N570" s="5" t="s">
        <v>841</v>
      </c>
      <c r="O570" s="5">
        <v>30853581</v>
      </c>
      <c r="P570" s="5">
        <v>22947</v>
      </c>
      <c r="Q570" s="5">
        <v>4360</v>
      </c>
      <c r="R570" s="5">
        <v>27307</v>
      </c>
    </row>
    <row r="571" spans="1:18" x14ac:dyDescent="0.25">
      <c r="A571" t="s">
        <v>998</v>
      </c>
      <c r="B571" t="s">
        <v>494</v>
      </c>
      <c r="C571">
        <v>70285100</v>
      </c>
      <c r="D571">
        <v>1189</v>
      </c>
      <c r="E571">
        <v>30856897</v>
      </c>
      <c r="F571" t="s">
        <v>999</v>
      </c>
      <c r="G571" s="1">
        <v>45236</v>
      </c>
      <c r="H571">
        <v>5413241</v>
      </c>
      <c r="I571">
        <v>96</v>
      </c>
      <c r="J571" t="s">
        <v>140</v>
      </c>
      <c r="K571" s="8" t="str">
        <f>IFERROR(IF(AND(VLOOKUP($C571,Hes!$A:$B, 1, FALSE), $M571&lt;&gt;" "), "Ingresada", "Falta Ingresar"), " ")</f>
        <v>Falta Ingresar</v>
      </c>
      <c r="L571" s="4" t="str">
        <f>IFERROR(VLOOKUP($C571,Observaciones!$A:$B,2,FALSE)," ")</f>
        <v>VEND ENVIA INFORME</v>
      </c>
      <c r="M571" t="s">
        <v>681</v>
      </c>
      <c r="N571" s="5" t="s">
        <v>841</v>
      </c>
      <c r="O571" s="5">
        <v>30856897</v>
      </c>
      <c r="P571" s="5">
        <v>28335</v>
      </c>
      <c r="Q571" s="5">
        <v>5384</v>
      </c>
      <c r="R571" s="5">
        <v>33719</v>
      </c>
    </row>
    <row r="572" spans="1:18" x14ac:dyDescent="0.25">
      <c r="A572" t="s">
        <v>998</v>
      </c>
      <c r="B572" t="s">
        <v>494</v>
      </c>
      <c r="C572">
        <v>70285100</v>
      </c>
      <c r="D572">
        <v>443</v>
      </c>
      <c r="E572">
        <v>30849976</v>
      </c>
      <c r="F572" t="s">
        <v>999</v>
      </c>
      <c r="G572" s="1">
        <v>45236</v>
      </c>
      <c r="H572">
        <v>5413373</v>
      </c>
      <c r="I572">
        <v>96</v>
      </c>
      <c r="J572" t="s">
        <v>140</v>
      </c>
      <c r="K572" s="8" t="str">
        <f>IFERROR(IF(AND(VLOOKUP($C572,Hes!$A:$B, 1, FALSE), $M572&lt;&gt;" "), "Ingresada", "Falta Ingresar"), " ")</f>
        <v>Falta Ingresar</v>
      </c>
      <c r="L572" s="4" t="str">
        <f>IFERROR(VLOOKUP($C572,Observaciones!$A:$B,2,FALSE)," ")</f>
        <v>VEND ENVIA INFORME</v>
      </c>
      <c r="M572" t="s">
        <v>681</v>
      </c>
      <c r="N572" s="5" t="s">
        <v>841</v>
      </c>
      <c r="O572" s="5">
        <v>30849976</v>
      </c>
      <c r="P572" s="5">
        <v>54766</v>
      </c>
      <c r="Q572" s="5">
        <v>10406</v>
      </c>
      <c r="R572" s="5">
        <v>65172</v>
      </c>
    </row>
    <row r="573" spans="1:18" x14ac:dyDescent="0.25">
      <c r="A573" t="s">
        <v>998</v>
      </c>
      <c r="B573" t="s">
        <v>494</v>
      </c>
      <c r="C573">
        <v>70285100</v>
      </c>
      <c r="D573">
        <v>486</v>
      </c>
      <c r="E573">
        <v>30849697</v>
      </c>
      <c r="F573" t="s">
        <v>999</v>
      </c>
      <c r="G573" s="1">
        <v>45236</v>
      </c>
      <c r="H573">
        <v>5413400</v>
      </c>
      <c r="I573">
        <v>96</v>
      </c>
      <c r="J573" t="s">
        <v>140</v>
      </c>
      <c r="K573" s="8" t="str">
        <f>IFERROR(IF(AND(VLOOKUP($C573,Hes!$A:$B, 1, FALSE), $M573&lt;&gt;" "), "Ingresada", "Falta Ingresar"), " ")</f>
        <v>Falta Ingresar</v>
      </c>
      <c r="L573" s="4" t="str">
        <f>IFERROR(VLOOKUP($C573,Observaciones!$A:$B,2,FALSE)," ")</f>
        <v>VEND ENVIA INFORME</v>
      </c>
      <c r="M573" t="s">
        <v>681</v>
      </c>
      <c r="N573" s="5" t="s">
        <v>841</v>
      </c>
      <c r="O573" s="5">
        <v>30849697</v>
      </c>
      <c r="P573" s="5">
        <v>899955</v>
      </c>
      <c r="Q573" s="5">
        <v>170991</v>
      </c>
      <c r="R573" s="5">
        <v>1070946</v>
      </c>
    </row>
    <row r="574" spans="1:18" x14ac:dyDescent="0.25">
      <c r="A574" t="s">
        <v>998</v>
      </c>
      <c r="B574" t="s">
        <v>494</v>
      </c>
      <c r="C574">
        <v>70285100</v>
      </c>
      <c r="D574">
        <v>440</v>
      </c>
      <c r="E574">
        <v>30849974</v>
      </c>
      <c r="F574" t="s">
        <v>999</v>
      </c>
      <c r="G574" s="1">
        <v>45236</v>
      </c>
      <c r="H574">
        <v>5413416</v>
      </c>
      <c r="I574">
        <v>96</v>
      </c>
      <c r="J574" t="s">
        <v>140</v>
      </c>
      <c r="K574" s="8" t="str">
        <f>IFERROR(IF(AND(VLOOKUP($C574,Hes!$A:$B, 1, FALSE), $M574&lt;&gt;" "), "Ingresada", "Falta Ingresar"), " ")</f>
        <v>Falta Ingresar</v>
      </c>
      <c r="L574" s="4" t="str">
        <f>IFERROR(VLOOKUP($C574,Observaciones!$A:$B,2,FALSE)," ")</f>
        <v>VEND ENVIA INFORME</v>
      </c>
      <c r="M574" t="s">
        <v>681</v>
      </c>
      <c r="N574" s="5" t="s">
        <v>841</v>
      </c>
      <c r="O574" s="5">
        <v>30849974</v>
      </c>
      <c r="P574" s="5">
        <v>107346</v>
      </c>
      <c r="Q574" s="5">
        <v>20396</v>
      </c>
      <c r="R574" s="5">
        <v>127742</v>
      </c>
    </row>
    <row r="575" spans="1:18" x14ac:dyDescent="0.25">
      <c r="A575" t="s">
        <v>998</v>
      </c>
      <c r="B575" t="s">
        <v>494</v>
      </c>
      <c r="C575">
        <v>70285100</v>
      </c>
      <c r="D575">
        <v>1054</v>
      </c>
      <c r="E575">
        <v>30856470</v>
      </c>
      <c r="F575" t="s">
        <v>999</v>
      </c>
      <c r="G575" s="1">
        <v>45236</v>
      </c>
      <c r="H575">
        <v>5413422</v>
      </c>
      <c r="I575">
        <v>96</v>
      </c>
      <c r="J575" t="s">
        <v>140</v>
      </c>
      <c r="K575" s="8" t="str">
        <f>IFERROR(IF(AND(VLOOKUP($C575,Hes!$A:$B, 1, FALSE), $M575&lt;&gt;" "), "Ingresada", "Falta Ingresar"), " ")</f>
        <v>Falta Ingresar</v>
      </c>
      <c r="L575" s="4" t="str">
        <f>IFERROR(VLOOKUP($C575,Observaciones!$A:$B,2,FALSE)," ")</f>
        <v>VEND ENVIA INFORME</v>
      </c>
      <c r="M575" t="s">
        <v>681</v>
      </c>
      <c r="N575" s="5" t="s">
        <v>841</v>
      </c>
      <c r="O575" s="5">
        <v>30856470</v>
      </c>
      <c r="P575" s="5">
        <v>49292</v>
      </c>
      <c r="Q575" s="5">
        <v>9365</v>
      </c>
      <c r="R575" s="5">
        <v>58657</v>
      </c>
    </row>
    <row r="576" spans="1:18" x14ac:dyDescent="0.25">
      <c r="A576" t="s">
        <v>998</v>
      </c>
      <c r="B576" t="s">
        <v>494</v>
      </c>
      <c r="C576">
        <v>70285100</v>
      </c>
      <c r="D576">
        <v>69</v>
      </c>
      <c r="E576">
        <v>30855922</v>
      </c>
      <c r="F576" t="s">
        <v>999</v>
      </c>
      <c r="G576" s="1">
        <v>45236</v>
      </c>
      <c r="H576">
        <v>5413467</v>
      </c>
      <c r="I576">
        <v>96</v>
      </c>
      <c r="J576" t="s">
        <v>140</v>
      </c>
      <c r="K576" s="8" t="str">
        <f>IFERROR(IF(AND(VLOOKUP($C576,Hes!$A:$B, 1, FALSE), $M576&lt;&gt;" "), "Ingresada", "Falta Ingresar"), " ")</f>
        <v>Falta Ingresar</v>
      </c>
      <c r="L576" s="4" t="str">
        <f>IFERROR(VLOOKUP($C576,Observaciones!$A:$B,2,FALSE)," ")</f>
        <v>VEND ENVIA INFORME</v>
      </c>
      <c r="M576" t="s">
        <v>681</v>
      </c>
      <c r="N576" s="5" t="s">
        <v>841</v>
      </c>
      <c r="O576" s="5">
        <v>30855922</v>
      </c>
      <c r="P576" s="5">
        <v>25265</v>
      </c>
      <c r="Q576" s="5">
        <v>4800</v>
      </c>
      <c r="R576" s="5">
        <v>30065</v>
      </c>
    </row>
    <row r="577" spans="1:18" x14ac:dyDescent="0.25">
      <c r="A577" t="s">
        <v>998</v>
      </c>
      <c r="B577" t="s">
        <v>494</v>
      </c>
      <c r="C577">
        <v>70285100</v>
      </c>
      <c r="D577">
        <v>287</v>
      </c>
      <c r="E577">
        <v>30856474</v>
      </c>
      <c r="F577" t="s">
        <v>999</v>
      </c>
      <c r="G577" s="1">
        <v>45236</v>
      </c>
      <c r="H577">
        <v>5413480</v>
      </c>
      <c r="I577">
        <v>96</v>
      </c>
      <c r="J577" t="s">
        <v>140</v>
      </c>
      <c r="K577" s="8" t="str">
        <f>IFERROR(IF(AND(VLOOKUP($C577,Hes!$A:$B, 1, FALSE), $M577&lt;&gt;" "), "Ingresada", "Falta Ingresar"), " ")</f>
        <v>Falta Ingresar</v>
      </c>
      <c r="L577" s="4" t="str">
        <f>IFERROR(VLOOKUP($C577,Observaciones!$A:$B,2,FALSE)," ")</f>
        <v>VEND ENVIA INFORME</v>
      </c>
      <c r="M577" t="s">
        <v>681</v>
      </c>
      <c r="N577" s="5" t="s">
        <v>841</v>
      </c>
      <c r="O577" s="5">
        <v>30856474</v>
      </c>
      <c r="P577" s="5">
        <v>49292</v>
      </c>
      <c r="Q577" s="5">
        <v>9365</v>
      </c>
      <c r="R577" s="5">
        <v>58657</v>
      </c>
    </row>
    <row r="578" spans="1:18" x14ac:dyDescent="0.25">
      <c r="A578" t="s">
        <v>998</v>
      </c>
      <c r="B578" t="s">
        <v>494</v>
      </c>
      <c r="C578">
        <v>70285100</v>
      </c>
      <c r="D578">
        <v>682</v>
      </c>
      <c r="E578">
        <v>30854145</v>
      </c>
      <c r="F578" t="s">
        <v>999</v>
      </c>
      <c r="G578" s="1">
        <v>45236</v>
      </c>
      <c r="H578">
        <v>5413486</v>
      </c>
      <c r="I578">
        <v>96</v>
      </c>
      <c r="J578" t="s">
        <v>140</v>
      </c>
      <c r="K578" s="8" t="str">
        <f>IFERROR(IF(AND(VLOOKUP($C578,Hes!$A:$B, 1, FALSE), $M578&lt;&gt;" "), "Ingresada", "Falta Ingresar"), " ")</f>
        <v>Falta Ingresar</v>
      </c>
      <c r="L578" s="4" t="str">
        <f>IFERROR(VLOOKUP($C578,Observaciones!$A:$B,2,FALSE)," ")</f>
        <v>VEND ENVIA INFORME</v>
      </c>
      <c r="M578" t="s">
        <v>681</v>
      </c>
      <c r="N578" s="5" t="s">
        <v>841</v>
      </c>
      <c r="O578" s="5">
        <v>30854145</v>
      </c>
      <c r="P578" s="5">
        <v>55544</v>
      </c>
      <c r="Q578" s="5">
        <v>10553</v>
      </c>
      <c r="R578" s="5">
        <v>66097</v>
      </c>
    </row>
    <row r="579" spans="1:18" x14ac:dyDescent="0.25">
      <c r="A579" t="s">
        <v>998</v>
      </c>
      <c r="B579" t="s">
        <v>494</v>
      </c>
      <c r="C579">
        <v>70285100</v>
      </c>
      <c r="D579">
        <v>475</v>
      </c>
      <c r="E579">
        <v>30854138</v>
      </c>
      <c r="F579" t="s">
        <v>999</v>
      </c>
      <c r="G579" s="1">
        <v>45236</v>
      </c>
      <c r="H579">
        <v>5413493</v>
      </c>
      <c r="I579">
        <v>96</v>
      </c>
      <c r="J579" t="s">
        <v>140</v>
      </c>
      <c r="K579" s="8" t="str">
        <f>IFERROR(IF(AND(VLOOKUP($C579,Hes!$A:$B, 1, FALSE), $M579&lt;&gt;" "), "Ingresada", "Falta Ingresar"), " ")</f>
        <v>Falta Ingresar</v>
      </c>
      <c r="L579" s="4" t="str">
        <f>IFERROR(VLOOKUP($C579,Observaciones!$A:$B,2,FALSE)," ")</f>
        <v>VEND ENVIA INFORME</v>
      </c>
      <c r="M579" t="s">
        <v>681</v>
      </c>
      <c r="N579" s="5" t="s">
        <v>841</v>
      </c>
      <c r="O579" s="5">
        <v>30854138</v>
      </c>
      <c r="P579" s="5">
        <v>33724</v>
      </c>
      <c r="Q579" s="5">
        <v>6408</v>
      </c>
      <c r="R579" s="5">
        <v>40132</v>
      </c>
    </row>
    <row r="580" spans="1:18" x14ac:dyDescent="0.25">
      <c r="A580" t="s">
        <v>998</v>
      </c>
      <c r="B580" t="s">
        <v>494</v>
      </c>
      <c r="C580">
        <v>70285100</v>
      </c>
      <c r="D580">
        <v>34</v>
      </c>
      <c r="E580">
        <v>30855964</v>
      </c>
      <c r="F580" t="s">
        <v>999</v>
      </c>
      <c r="G580" s="1">
        <v>45236</v>
      </c>
      <c r="H580">
        <v>5413503</v>
      </c>
      <c r="I580">
        <v>96</v>
      </c>
      <c r="J580" t="s">
        <v>140</v>
      </c>
      <c r="K580" s="8" t="str">
        <f>IFERROR(IF(AND(VLOOKUP($C580,Hes!$A:$B, 1, FALSE), $M580&lt;&gt;" "), "Ingresada", "Falta Ingresar"), " ")</f>
        <v>Falta Ingresar</v>
      </c>
      <c r="L580" s="4" t="str">
        <f>IFERROR(VLOOKUP($C580,Observaciones!$A:$B,2,FALSE)," ")</f>
        <v>VEND ENVIA INFORME</v>
      </c>
      <c r="M580" t="s">
        <v>681</v>
      </c>
      <c r="N580" s="5" t="s">
        <v>841</v>
      </c>
      <c r="O580" s="5">
        <v>30855964</v>
      </c>
      <c r="P580" s="5">
        <v>47628</v>
      </c>
      <c r="Q580" s="5">
        <v>9049</v>
      </c>
      <c r="R580" s="5">
        <v>56677</v>
      </c>
    </row>
    <row r="581" spans="1:18" x14ac:dyDescent="0.25">
      <c r="A581" t="s">
        <v>998</v>
      </c>
      <c r="B581" t="s">
        <v>494</v>
      </c>
      <c r="C581">
        <v>70285100</v>
      </c>
      <c r="D581">
        <v>212</v>
      </c>
      <c r="E581">
        <v>30855982</v>
      </c>
      <c r="F581" t="s">
        <v>999</v>
      </c>
      <c r="G581" s="1">
        <v>45236</v>
      </c>
      <c r="H581">
        <v>5413523</v>
      </c>
      <c r="I581">
        <v>96</v>
      </c>
      <c r="J581" t="s">
        <v>140</v>
      </c>
      <c r="K581" s="8" t="str">
        <f>IFERROR(IF(AND(VLOOKUP($C581,Hes!$A:$B, 1, FALSE), $M581&lt;&gt;" "), "Ingresada", "Falta Ingresar"), " ")</f>
        <v>Falta Ingresar</v>
      </c>
      <c r="L581" s="4" t="str">
        <f>IFERROR(VLOOKUP($C581,Observaciones!$A:$B,2,FALSE)," ")</f>
        <v>VEND ENVIA INFORME</v>
      </c>
      <c r="M581" t="s">
        <v>681</v>
      </c>
      <c r="N581" s="5" t="s">
        <v>841</v>
      </c>
      <c r="O581" s="5">
        <v>30855982</v>
      </c>
      <c r="P581" s="5">
        <v>10408</v>
      </c>
      <c r="Q581" s="5">
        <v>1978</v>
      </c>
      <c r="R581" s="5">
        <v>12386</v>
      </c>
    </row>
    <row r="582" spans="1:18" x14ac:dyDescent="0.25">
      <c r="A582" t="s">
        <v>998</v>
      </c>
      <c r="B582" t="s">
        <v>494</v>
      </c>
      <c r="C582">
        <v>70285100</v>
      </c>
      <c r="D582">
        <v>956</v>
      </c>
      <c r="E582">
        <v>30855700</v>
      </c>
      <c r="F582" t="s">
        <v>999</v>
      </c>
      <c r="G582" s="1">
        <v>45236</v>
      </c>
      <c r="H582">
        <v>5413549</v>
      </c>
      <c r="I582">
        <v>96</v>
      </c>
      <c r="J582" t="s">
        <v>140</v>
      </c>
      <c r="K582" s="8" t="str">
        <f>IFERROR(IF(AND(VLOOKUP($C582,Hes!$A:$B, 1, FALSE), $M582&lt;&gt;" "), "Ingresada", "Falta Ingresar"), " ")</f>
        <v>Falta Ingresar</v>
      </c>
      <c r="L582" s="4" t="str">
        <f>IFERROR(VLOOKUP($C582,Observaciones!$A:$B,2,FALSE)," ")</f>
        <v>VEND ENVIA INFORME</v>
      </c>
      <c r="M582" t="s">
        <v>681</v>
      </c>
      <c r="N582" s="5" t="s">
        <v>841</v>
      </c>
      <c r="O582" s="5">
        <v>30855700</v>
      </c>
      <c r="P582" s="5">
        <v>10693</v>
      </c>
      <c r="Q582" s="5">
        <v>2032</v>
      </c>
      <c r="R582" s="5">
        <v>12725</v>
      </c>
    </row>
    <row r="583" spans="1:18" x14ac:dyDescent="0.25">
      <c r="A583" t="s">
        <v>998</v>
      </c>
      <c r="B583" t="s">
        <v>494</v>
      </c>
      <c r="C583">
        <v>70285100</v>
      </c>
      <c r="D583">
        <v>665</v>
      </c>
      <c r="E583">
        <v>30856494</v>
      </c>
      <c r="F583" t="s">
        <v>999</v>
      </c>
      <c r="G583" s="1">
        <v>45236</v>
      </c>
      <c r="H583">
        <v>5413554</v>
      </c>
      <c r="I583">
        <v>96</v>
      </c>
      <c r="J583" t="s">
        <v>140</v>
      </c>
      <c r="K583" s="8" t="str">
        <f>IFERROR(IF(AND(VLOOKUP($C583,Hes!$A:$B, 1, FALSE), $M583&lt;&gt;" "), "Ingresada", "Falta Ingresar"), " ")</f>
        <v>Falta Ingresar</v>
      </c>
      <c r="L583" s="4" t="str">
        <f>IFERROR(VLOOKUP($C583,Observaciones!$A:$B,2,FALSE)," ")</f>
        <v>VEND ENVIA INFORME</v>
      </c>
      <c r="M583" t="s">
        <v>681</v>
      </c>
      <c r="N583" s="5" t="s">
        <v>841</v>
      </c>
      <c r="O583" s="5">
        <v>30856494</v>
      </c>
      <c r="P583" s="5">
        <v>26734</v>
      </c>
      <c r="Q583" s="5">
        <v>5079</v>
      </c>
      <c r="R583" s="5">
        <v>31813</v>
      </c>
    </row>
    <row r="584" spans="1:18" x14ac:dyDescent="0.25">
      <c r="A584" t="s">
        <v>998</v>
      </c>
      <c r="B584" t="s">
        <v>494</v>
      </c>
      <c r="C584">
        <v>70285100</v>
      </c>
      <c r="D584">
        <v>456</v>
      </c>
      <c r="E584">
        <v>30853894</v>
      </c>
      <c r="F584" t="s">
        <v>999</v>
      </c>
      <c r="G584" s="1">
        <v>45236</v>
      </c>
      <c r="H584">
        <v>5413557</v>
      </c>
      <c r="I584">
        <v>96</v>
      </c>
      <c r="J584" t="s">
        <v>140</v>
      </c>
      <c r="K584" s="8" t="str">
        <f>IFERROR(IF(AND(VLOOKUP($C584,Hes!$A:$B, 1, FALSE), $M584&lt;&gt;" "), "Ingresada", "Falta Ingresar"), " ")</f>
        <v>Falta Ingresar</v>
      </c>
      <c r="L584" s="4" t="str">
        <f>IFERROR(VLOOKUP($C584,Observaciones!$A:$B,2,FALSE)," ")</f>
        <v>VEND ENVIA INFORME</v>
      </c>
      <c r="M584" t="s">
        <v>681</v>
      </c>
      <c r="N584" s="5" t="s">
        <v>841</v>
      </c>
      <c r="O584" s="5">
        <v>30853894</v>
      </c>
      <c r="P584" s="5">
        <v>67476</v>
      </c>
      <c r="Q584" s="5">
        <v>12820</v>
      </c>
      <c r="R584" s="5">
        <v>80296</v>
      </c>
    </row>
    <row r="585" spans="1:18" x14ac:dyDescent="0.25">
      <c r="A585" t="s">
        <v>998</v>
      </c>
      <c r="B585" t="s">
        <v>494</v>
      </c>
      <c r="C585">
        <v>70285100</v>
      </c>
      <c r="D585">
        <v>921</v>
      </c>
      <c r="E585">
        <v>30855588</v>
      </c>
      <c r="F585" t="s">
        <v>999</v>
      </c>
      <c r="G585" s="1">
        <v>45236</v>
      </c>
      <c r="H585">
        <v>5413600</v>
      </c>
      <c r="I585">
        <v>96</v>
      </c>
      <c r="J585" t="s">
        <v>140</v>
      </c>
      <c r="K585" s="8" t="str">
        <f>IFERROR(IF(AND(VLOOKUP($C585,Hes!$A:$B, 1, FALSE), $M585&lt;&gt;" "), "Ingresada", "Falta Ingresar"), " ")</f>
        <v>Falta Ingresar</v>
      </c>
      <c r="L585" s="4" t="str">
        <f>IFERROR(VLOOKUP($C585,Observaciones!$A:$B,2,FALSE)," ")</f>
        <v>VEND ENVIA INFORME</v>
      </c>
      <c r="M585" t="s">
        <v>681</v>
      </c>
      <c r="N585" s="5" t="s">
        <v>841</v>
      </c>
      <c r="O585" s="5">
        <v>30855588</v>
      </c>
      <c r="P585" s="5">
        <v>29517</v>
      </c>
      <c r="Q585" s="5">
        <v>5608</v>
      </c>
      <c r="R585" s="5">
        <v>35125</v>
      </c>
    </row>
    <row r="586" spans="1:18" x14ac:dyDescent="0.25">
      <c r="A586" t="s">
        <v>998</v>
      </c>
      <c r="B586" t="s">
        <v>494</v>
      </c>
      <c r="C586">
        <v>70285100</v>
      </c>
      <c r="D586">
        <v>531</v>
      </c>
      <c r="E586">
        <v>30855867</v>
      </c>
      <c r="F586" t="s">
        <v>999</v>
      </c>
      <c r="G586" s="1">
        <v>45236</v>
      </c>
      <c r="H586">
        <v>5413610</v>
      </c>
      <c r="I586">
        <v>96</v>
      </c>
      <c r="J586" t="s">
        <v>140</v>
      </c>
      <c r="K586" s="8" t="str">
        <f>IFERROR(IF(AND(VLOOKUP($C586,Hes!$A:$B, 1, FALSE), $M586&lt;&gt;" "), "Ingresada", "Falta Ingresar"), " ")</f>
        <v>Falta Ingresar</v>
      </c>
      <c r="L586" s="4" t="str">
        <f>IFERROR(VLOOKUP($C586,Observaciones!$A:$B,2,FALSE)," ")</f>
        <v>VEND ENVIA INFORME</v>
      </c>
      <c r="M586" t="s">
        <v>681</v>
      </c>
      <c r="N586" s="5" t="s">
        <v>841</v>
      </c>
      <c r="O586" s="5">
        <v>30855867</v>
      </c>
      <c r="P586" s="5">
        <v>29768</v>
      </c>
      <c r="Q586" s="5">
        <v>5656</v>
      </c>
      <c r="R586" s="5">
        <v>35424</v>
      </c>
    </row>
    <row r="587" spans="1:18" x14ac:dyDescent="0.25">
      <c r="A587" t="s">
        <v>998</v>
      </c>
      <c r="B587" t="s">
        <v>494</v>
      </c>
      <c r="C587">
        <v>70285100</v>
      </c>
      <c r="D587">
        <v>73</v>
      </c>
      <c r="E587">
        <v>30855666</v>
      </c>
      <c r="F587" t="s">
        <v>999</v>
      </c>
      <c r="G587" s="1">
        <v>45236</v>
      </c>
      <c r="H587">
        <v>5413657</v>
      </c>
      <c r="I587">
        <v>96</v>
      </c>
      <c r="J587" t="s">
        <v>140</v>
      </c>
      <c r="K587" s="8" t="str">
        <f>IFERROR(IF(AND(VLOOKUP($C587,Hes!$A:$B, 1, FALSE), $M587&lt;&gt;" "), "Ingresada", "Falta Ingresar"), " ")</f>
        <v>Falta Ingresar</v>
      </c>
      <c r="L587" s="4" t="str">
        <f>IFERROR(VLOOKUP($C587,Observaciones!$A:$B,2,FALSE)," ")</f>
        <v>VEND ENVIA INFORME</v>
      </c>
      <c r="M587" t="s">
        <v>681</v>
      </c>
      <c r="N587" s="5" t="s">
        <v>841</v>
      </c>
      <c r="O587" s="5">
        <v>30855666</v>
      </c>
      <c r="P587" s="5">
        <v>29496</v>
      </c>
      <c r="Q587" s="5">
        <v>5604</v>
      </c>
      <c r="R587" s="5">
        <v>35100</v>
      </c>
    </row>
    <row r="588" spans="1:18" x14ac:dyDescent="0.25">
      <c r="A588" t="s">
        <v>998</v>
      </c>
      <c r="B588" t="s">
        <v>494</v>
      </c>
      <c r="C588">
        <v>70285100</v>
      </c>
      <c r="D588">
        <v>664</v>
      </c>
      <c r="E588">
        <v>30855213</v>
      </c>
      <c r="F588" t="s">
        <v>999</v>
      </c>
      <c r="G588" s="1">
        <v>45236</v>
      </c>
      <c r="H588">
        <v>5413659</v>
      </c>
      <c r="I588">
        <v>96</v>
      </c>
      <c r="J588" t="s">
        <v>140</v>
      </c>
      <c r="K588" s="8" t="str">
        <f>IFERROR(IF(AND(VLOOKUP($C588,Hes!$A:$B, 1, FALSE), $M588&lt;&gt;" "), "Ingresada", "Falta Ingresar"), " ")</f>
        <v>Falta Ingresar</v>
      </c>
      <c r="L588" s="4" t="str">
        <f>IFERROR(VLOOKUP($C588,Observaciones!$A:$B,2,FALSE)," ")</f>
        <v>VEND ENVIA INFORME</v>
      </c>
      <c r="M588" t="s">
        <v>681</v>
      </c>
      <c r="N588" s="5" t="s">
        <v>841</v>
      </c>
      <c r="O588" s="5">
        <v>30855213</v>
      </c>
      <c r="P588" s="5">
        <v>29842</v>
      </c>
      <c r="Q588" s="5">
        <v>5670</v>
      </c>
      <c r="R588" s="5">
        <v>35512</v>
      </c>
    </row>
    <row r="589" spans="1:18" x14ac:dyDescent="0.25">
      <c r="A589" t="s">
        <v>998</v>
      </c>
      <c r="B589" t="s">
        <v>494</v>
      </c>
      <c r="C589">
        <v>70285100</v>
      </c>
      <c r="D589">
        <v>426</v>
      </c>
      <c r="E589">
        <v>30856472</v>
      </c>
      <c r="F589" t="s">
        <v>999</v>
      </c>
      <c r="G589" s="1">
        <v>45236</v>
      </c>
      <c r="H589">
        <v>5413671</v>
      </c>
      <c r="I589">
        <v>96</v>
      </c>
      <c r="J589" t="s">
        <v>140</v>
      </c>
      <c r="K589" s="8" t="str">
        <f>IFERROR(IF(AND(VLOOKUP($C589,Hes!$A:$B, 1, FALSE), $M589&lt;&gt;" "), "Ingresada", "Falta Ingresar"), " ")</f>
        <v>Falta Ingresar</v>
      </c>
      <c r="L589" s="4" t="str">
        <f>IFERROR(VLOOKUP($C589,Observaciones!$A:$B,2,FALSE)," ")</f>
        <v>VEND ENVIA INFORME</v>
      </c>
      <c r="M589" t="s">
        <v>681</v>
      </c>
      <c r="N589" s="5" t="s">
        <v>841</v>
      </c>
      <c r="O589" s="5">
        <v>30856472</v>
      </c>
      <c r="P589" s="5">
        <v>195870</v>
      </c>
      <c r="Q589" s="5">
        <v>37215</v>
      </c>
      <c r="R589" s="5">
        <v>233085</v>
      </c>
    </row>
    <row r="590" spans="1:18" x14ac:dyDescent="0.25">
      <c r="A590" t="s">
        <v>998</v>
      </c>
      <c r="B590" t="s">
        <v>494</v>
      </c>
      <c r="C590">
        <v>70285100</v>
      </c>
      <c r="D590">
        <v>41</v>
      </c>
      <c r="E590">
        <v>30856082</v>
      </c>
      <c r="F590" t="s">
        <v>999</v>
      </c>
      <c r="G590" s="1">
        <v>45236</v>
      </c>
      <c r="H590">
        <v>5413672</v>
      </c>
      <c r="I590">
        <v>96</v>
      </c>
      <c r="J590" t="s">
        <v>140</v>
      </c>
      <c r="K590" s="8" t="str">
        <f>IFERROR(IF(AND(VLOOKUP($C590,Hes!$A:$B, 1, FALSE), $M590&lt;&gt;" "), "Ingresada", "Falta Ingresar"), " ")</f>
        <v>Falta Ingresar</v>
      </c>
      <c r="L590" s="4" t="str">
        <f>IFERROR(VLOOKUP($C590,Observaciones!$A:$B,2,FALSE)," ")</f>
        <v>VEND ENVIA INFORME</v>
      </c>
      <c r="M590" t="s">
        <v>681</v>
      </c>
      <c r="N590" s="5" t="s">
        <v>841</v>
      </c>
      <c r="O590" s="5">
        <v>30856082</v>
      </c>
      <c r="P590" s="5">
        <v>25614</v>
      </c>
      <c r="Q590" s="5">
        <v>4867</v>
      </c>
      <c r="R590" s="5">
        <v>30481</v>
      </c>
    </row>
    <row r="591" spans="1:18" x14ac:dyDescent="0.25">
      <c r="A591" t="s">
        <v>998</v>
      </c>
      <c r="B591" t="s">
        <v>494</v>
      </c>
      <c r="C591">
        <v>70285100</v>
      </c>
      <c r="D591">
        <v>632</v>
      </c>
      <c r="E591">
        <v>30854718</v>
      </c>
      <c r="F591" t="s">
        <v>999</v>
      </c>
      <c r="G591" s="1">
        <v>45236</v>
      </c>
      <c r="H591">
        <v>5413737</v>
      </c>
      <c r="I591">
        <v>96</v>
      </c>
      <c r="J591" t="s">
        <v>140</v>
      </c>
      <c r="K591" s="8" t="str">
        <f>IFERROR(IF(AND(VLOOKUP($C591,Hes!$A:$B, 1, FALSE), $M591&lt;&gt;" "), "Ingresada", "Falta Ingresar"), " ")</f>
        <v>Falta Ingresar</v>
      </c>
      <c r="L591" s="4" t="str">
        <f>IFERROR(VLOOKUP($C591,Observaciones!$A:$B,2,FALSE)," ")</f>
        <v>VEND ENVIA INFORME</v>
      </c>
      <c r="M591" t="s">
        <v>681</v>
      </c>
      <c r="N591" s="5" t="s">
        <v>841</v>
      </c>
      <c r="O591" s="5">
        <v>30854718</v>
      </c>
      <c r="P591" s="5">
        <v>162797</v>
      </c>
      <c r="Q591" s="5">
        <v>30931</v>
      </c>
      <c r="R591" s="5">
        <v>193728</v>
      </c>
    </row>
    <row r="592" spans="1:18" x14ac:dyDescent="0.25">
      <c r="A592" t="s">
        <v>998</v>
      </c>
      <c r="B592" t="s">
        <v>494</v>
      </c>
      <c r="C592">
        <v>70285100</v>
      </c>
      <c r="D592">
        <v>746</v>
      </c>
      <c r="E592">
        <v>30855953</v>
      </c>
      <c r="F592" t="s">
        <v>999</v>
      </c>
      <c r="G592" s="1">
        <v>45236</v>
      </c>
      <c r="H592">
        <v>5413738</v>
      </c>
      <c r="I592">
        <v>96</v>
      </c>
      <c r="J592" t="s">
        <v>140</v>
      </c>
      <c r="K592" s="8" t="str">
        <f>IFERROR(IF(AND(VLOOKUP($C592,Hes!$A:$B, 1, FALSE), $M592&lt;&gt;" "), "Ingresada", "Falta Ingresar"), " ")</f>
        <v>Falta Ingresar</v>
      </c>
      <c r="L592" s="4" t="str">
        <f>IFERROR(VLOOKUP($C592,Observaciones!$A:$B,2,FALSE)," ")</f>
        <v>VEND ENVIA INFORME</v>
      </c>
      <c r="M592" t="s">
        <v>681</v>
      </c>
      <c r="N592" s="5" t="s">
        <v>841</v>
      </c>
      <c r="O592" s="5">
        <v>30855953</v>
      </c>
      <c r="P592" s="5">
        <v>105844</v>
      </c>
      <c r="Q592" s="5">
        <v>20110</v>
      </c>
      <c r="R592" s="5">
        <v>125954</v>
      </c>
    </row>
    <row r="593" spans="1:18" x14ac:dyDescent="0.25">
      <c r="A593" t="s">
        <v>998</v>
      </c>
      <c r="B593" t="s">
        <v>494</v>
      </c>
      <c r="C593">
        <v>70285100</v>
      </c>
      <c r="D593">
        <v>940</v>
      </c>
      <c r="E593">
        <v>30854700</v>
      </c>
      <c r="F593" t="s">
        <v>999</v>
      </c>
      <c r="G593" s="1">
        <v>45236</v>
      </c>
      <c r="H593">
        <v>5413742</v>
      </c>
      <c r="I593">
        <v>96</v>
      </c>
      <c r="J593" t="s">
        <v>140</v>
      </c>
      <c r="K593" s="8" t="str">
        <f>IFERROR(IF(AND(VLOOKUP($C593,Hes!$A:$B, 1, FALSE), $M593&lt;&gt;" "), "Ingresada", "Falta Ingresar"), " ")</f>
        <v>Falta Ingresar</v>
      </c>
      <c r="L593" s="4" t="str">
        <f>IFERROR(VLOOKUP($C593,Observaciones!$A:$B,2,FALSE)," ")</f>
        <v>VEND ENVIA INFORME</v>
      </c>
      <c r="M593" t="s">
        <v>681</v>
      </c>
      <c r="N593" s="5" t="s">
        <v>841</v>
      </c>
      <c r="O593" s="5">
        <v>30854700</v>
      </c>
      <c r="P593" s="5">
        <v>399921</v>
      </c>
      <c r="Q593" s="5">
        <v>75985</v>
      </c>
      <c r="R593" s="5">
        <v>475906</v>
      </c>
    </row>
    <row r="594" spans="1:18" x14ac:dyDescent="0.25">
      <c r="A594" t="s">
        <v>998</v>
      </c>
      <c r="B594" t="s">
        <v>494</v>
      </c>
      <c r="C594">
        <v>70285100</v>
      </c>
      <c r="D594">
        <v>43</v>
      </c>
      <c r="E594">
        <v>30856833</v>
      </c>
      <c r="F594" t="s">
        <v>999</v>
      </c>
      <c r="G594" s="1">
        <v>45236</v>
      </c>
      <c r="H594">
        <v>5413759</v>
      </c>
      <c r="I594">
        <v>96</v>
      </c>
      <c r="J594" t="s">
        <v>140</v>
      </c>
      <c r="K594" s="8" t="str">
        <f>IFERROR(IF(AND(VLOOKUP($C594,Hes!$A:$B, 1, FALSE), $M594&lt;&gt;" "), "Ingresada", "Falta Ingresar"), " ")</f>
        <v>Falta Ingresar</v>
      </c>
      <c r="L594" s="4" t="str">
        <f>IFERROR(VLOOKUP($C594,Observaciones!$A:$B,2,FALSE)," ")</f>
        <v>VEND ENVIA INFORME</v>
      </c>
      <c r="M594" t="s">
        <v>681</v>
      </c>
      <c r="N594" s="5" t="s">
        <v>841</v>
      </c>
      <c r="O594" s="5">
        <v>30856833</v>
      </c>
      <c r="P594" s="5">
        <v>10310</v>
      </c>
      <c r="Q594" s="5">
        <v>1959</v>
      </c>
      <c r="R594" s="5">
        <v>12269</v>
      </c>
    </row>
    <row r="595" spans="1:18" x14ac:dyDescent="0.25">
      <c r="A595" t="s">
        <v>998</v>
      </c>
      <c r="B595" t="s">
        <v>494</v>
      </c>
      <c r="C595">
        <v>70285100</v>
      </c>
      <c r="D595">
        <v>375</v>
      </c>
      <c r="E595">
        <v>30854672</v>
      </c>
      <c r="F595" t="s">
        <v>999</v>
      </c>
      <c r="G595" s="1">
        <v>45236</v>
      </c>
      <c r="H595">
        <v>5413761</v>
      </c>
      <c r="I595">
        <v>96</v>
      </c>
      <c r="J595" t="s">
        <v>140</v>
      </c>
      <c r="K595" s="8" t="str">
        <f>IFERROR(IF(AND(VLOOKUP($C595,Hes!$A:$B, 1, FALSE), $M595&lt;&gt;" "), "Ingresada", "Falta Ingresar"), " ")</f>
        <v>Falta Ingresar</v>
      </c>
      <c r="L595" s="4" t="str">
        <f>IFERROR(VLOOKUP($C595,Observaciones!$A:$B,2,FALSE)," ")</f>
        <v>VEND ENVIA INFORME</v>
      </c>
      <c r="M595" t="s">
        <v>681</v>
      </c>
      <c r="N595" s="5" t="s">
        <v>841</v>
      </c>
      <c r="O595" s="5">
        <v>30854672</v>
      </c>
      <c r="P595" s="5">
        <v>58800</v>
      </c>
      <c r="Q595" s="5">
        <v>11172</v>
      </c>
      <c r="R595" s="5">
        <v>69972</v>
      </c>
    </row>
    <row r="596" spans="1:18" x14ac:dyDescent="0.25">
      <c r="A596" t="s">
        <v>998</v>
      </c>
      <c r="B596" t="s">
        <v>494</v>
      </c>
      <c r="C596">
        <v>70285100</v>
      </c>
      <c r="D596">
        <v>375</v>
      </c>
      <c r="E596">
        <v>30854672</v>
      </c>
      <c r="F596" t="s">
        <v>999</v>
      </c>
      <c r="G596" s="1">
        <v>45236</v>
      </c>
      <c r="H596">
        <v>5413762</v>
      </c>
      <c r="I596">
        <v>96</v>
      </c>
      <c r="J596" t="s">
        <v>140</v>
      </c>
      <c r="K596" s="8" t="str">
        <f>IFERROR(IF(AND(VLOOKUP($C596,Hes!$A:$B, 1, FALSE), $M596&lt;&gt;" "), "Ingresada", "Falta Ingresar"), " ")</f>
        <v>Falta Ingresar</v>
      </c>
      <c r="L596" s="4" t="str">
        <f>IFERROR(VLOOKUP($C596,Observaciones!$A:$B,2,FALSE)," ")</f>
        <v>VEND ENVIA INFORME</v>
      </c>
      <c r="M596" t="s">
        <v>681</v>
      </c>
      <c r="N596" s="5" t="s">
        <v>841</v>
      </c>
      <c r="O596" s="5">
        <v>30854672</v>
      </c>
      <c r="P596" s="5">
        <v>2772</v>
      </c>
      <c r="Q596" s="5">
        <v>527</v>
      </c>
      <c r="R596" s="5">
        <v>3299</v>
      </c>
    </row>
    <row r="597" spans="1:18" x14ac:dyDescent="0.25">
      <c r="A597" t="s">
        <v>998</v>
      </c>
      <c r="B597" t="s">
        <v>494</v>
      </c>
      <c r="C597">
        <v>70285100</v>
      </c>
      <c r="D597">
        <v>722</v>
      </c>
      <c r="E597">
        <v>30856895</v>
      </c>
      <c r="F597" t="s">
        <v>999</v>
      </c>
      <c r="G597" s="1">
        <v>45236</v>
      </c>
      <c r="H597">
        <v>5413769</v>
      </c>
      <c r="I597">
        <v>96</v>
      </c>
      <c r="J597" t="s">
        <v>140</v>
      </c>
      <c r="K597" s="8" t="str">
        <f>IFERROR(IF(AND(VLOOKUP($C597,Hes!$A:$B, 1, FALSE), $M597&lt;&gt;" "), "Ingresada", "Falta Ingresar"), " ")</f>
        <v>Falta Ingresar</v>
      </c>
      <c r="L597" s="4" t="str">
        <f>IFERROR(VLOOKUP($C597,Observaciones!$A:$B,2,FALSE)," ")</f>
        <v>VEND ENVIA INFORME</v>
      </c>
      <c r="M597" t="s">
        <v>681</v>
      </c>
      <c r="N597" s="5" t="s">
        <v>841</v>
      </c>
      <c r="O597" s="5">
        <v>30856895</v>
      </c>
      <c r="P597" s="5">
        <v>218135</v>
      </c>
      <c r="Q597" s="5">
        <v>41446</v>
      </c>
      <c r="R597" s="5">
        <v>259581</v>
      </c>
    </row>
    <row r="598" spans="1:18" x14ac:dyDescent="0.25">
      <c r="A598" t="s">
        <v>998</v>
      </c>
      <c r="B598" t="s">
        <v>494</v>
      </c>
      <c r="C598">
        <v>70285100</v>
      </c>
      <c r="D598">
        <v>600</v>
      </c>
      <c r="E598">
        <v>30856153</v>
      </c>
      <c r="F598" t="s">
        <v>999</v>
      </c>
      <c r="G598" s="1">
        <v>45236</v>
      </c>
      <c r="H598">
        <v>5413826</v>
      </c>
      <c r="I598">
        <v>96</v>
      </c>
      <c r="J598" t="s">
        <v>140</v>
      </c>
      <c r="K598" s="8" t="str">
        <f>IFERROR(IF(AND(VLOOKUP($C598,Hes!$A:$B, 1, FALSE), $M598&lt;&gt;" "), "Ingresada", "Falta Ingresar"), " ")</f>
        <v>Falta Ingresar</v>
      </c>
      <c r="L598" s="4" t="str">
        <f>IFERROR(VLOOKUP($C598,Observaciones!$A:$B,2,FALSE)," ")</f>
        <v>VEND ENVIA INFORME</v>
      </c>
      <c r="M598" t="s">
        <v>681</v>
      </c>
      <c r="N598" s="5" t="s">
        <v>841</v>
      </c>
      <c r="O598" s="5">
        <v>30856153</v>
      </c>
      <c r="P598" s="5">
        <v>29321</v>
      </c>
      <c r="Q598" s="5">
        <v>5571</v>
      </c>
      <c r="R598" s="5">
        <v>34892</v>
      </c>
    </row>
    <row r="599" spans="1:18" x14ac:dyDescent="0.25">
      <c r="A599" t="s">
        <v>998</v>
      </c>
      <c r="B599" t="s">
        <v>494</v>
      </c>
      <c r="C599">
        <v>70285100</v>
      </c>
      <c r="D599">
        <v>325</v>
      </c>
      <c r="E599">
        <v>30856841</v>
      </c>
      <c r="F599" t="s">
        <v>999</v>
      </c>
      <c r="G599" s="1">
        <v>45236</v>
      </c>
      <c r="H599">
        <v>5413832</v>
      </c>
      <c r="I599">
        <v>96</v>
      </c>
      <c r="J599" t="s">
        <v>140</v>
      </c>
      <c r="K599" s="8" t="str">
        <f>IFERROR(IF(AND(VLOOKUP($C599,Hes!$A:$B, 1, FALSE), $M599&lt;&gt;" "), "Ingresada", "Falta Ingresar"), " ")</f>
        <v>Falta Ingresar</v>
      </c>
      <c r="L599" s="4" t="str">
        <f>IFERROR(VLOOKUP($C599,Observaciones!$A:$B,2,FALSE)," ")</f>
        <v>VEND ENVIA INFORME</v>
      </c>
      <c r="M599" t="s">
        <v>681</v>
      </c>
      <c r="N599" s="5" t="s">
        <v>841</v>
      </c>
      <c r="O599" s="5">
        <v>30856841</v>
      </c>
      <c r="P599" s="5">
        <v>20795</v>
      </c>
      <c r="Q599" s="5">
        <v>3951</v>
      </c>
      <c r="R599" s="5">
        <v>24746</v>
      </c>
    </row>
    <row r="600" spans="1:18" x14ac:dyDescent="0.25">
      <c r="A600" t="s">
        <v>998</v>
      </c>
      <c r="B600" t="s">
        <v>494</v>
      </c>
      <c r="C600">
        <v>70285100</v>
      </c>
      <c r="D600">
        <v>478</v>
      </c>
      <c r="E600">
        <v>30856571</v>
      </c>
      <c r="F600" t="s">
        <v>999</v>
      </c>
      <c r="G600" s="1">
        <v>45236</v>
      </c>
      <c r="H600">
        <v>5413833</v>
      </c>
      <c r="I600">
        <v>96</v>
      </c>
      <c r="J600" t="s">
        <v>140</v>
      </c>
      <c r="K600" s="8" t="str">
        <f>IFERROR(IF(AND(VLOOKUP($C600,Hes!$A:$B, 1, FALSE), $M600&lt;&gt;" "), "Ingresada", "Falta Ingresar"), " ")</f>
        <v>Falta Ingresar</v>
      </c>
      <c r="L600" s="4" t="str">
        <f>IFERROR(VLOOKUP($C600,Observaciones!$A:$B,2,FALSE)," ")</f>
        <v>VEND ENVIA INFORME</v>
      </c>
      <c r="M600" t="s">
        <v>681</v>
      </c>
      <c r="N600" s="5" t="s">
        <v>841</v>
      </c>
      <c r="O600" s="5">
        <v>30856571</v>
      </c>
      <c r="P600" s="5">
        <v>128218</v>
      </c>
      <c r="Q600" s="5">
        <v>24361</v>
      </c>
      <c r="R600" s="5">
        <v>152579</v>
      </c>
    </row>
    <row r="601" spans="1:18" x14ac:dyDescent="0.25">
      <c r="A601" t="s">
        <v>998</v>
      </c>
      <c r="B601" t="s">
        <v>494</v>
      </c>
      <c r="C601">
        <v>70285100</v>
      </c>
      <c r="D601">
        <v>407</v>
      </c>
      <c r="E601">
        <v>30856593</v>
      </c>
      <c r="F601" t="s">
        <v>999</v>
      </c>
      <c r="G601" s="1">
        <v>45236</v>
      </c>
      <c r="H601">
        <v>5413845</v>
      </c>
      <c r="I601">
        <v>96</v>
      </c>
      <c r="J601" t="s">
        <v>140</v>
      </c>
      <c r="K601" s="8" t="str">
        <f>IFERROR(IF(AND(VLOOKUP($C601,Hes!$A:$B, 1, FALSE), $M601&lt;&gt;" "), "Ingresada", "Falta Ingresar"), " ")</f>
        <v>Falta Ingresar</v>
      </c>
      <c r="L601" s="4" t="str">
        <f>IFERROR(VLOOKUP($C601,Observaciones!$A:$B,2,FALSE)," ")</f>
        <v>VEND ENVIA INFORME</v>
      </c>
      <c r="M601" t="s">
        <v>681</v>
      </c>
      <c r="N601" s="5" t="s">
        <v>841</v>
      </c>
      <c r="O601" s="5">
        <v>30856593</v>
      </c>
      <c r="P601" s="5">
        <v>164475</v>
      </c>
      <c r="Q601" s="5">
        <v>31250</v>
      </c>
      <c r="R601" s="5">
        <v>195725</v>
      </c>
    </row>
    <row r="602" spans="1:18" x14ac:dyDescent="0.25">
      <c r="A602" t="s">
        <v>998</v>
      </c>
      <c r="B602" t="s">
        <v>494</v>
      </c>
      <c r="C602">
        <v>70285100</v>
      </c>
      <c r="D602">
        <v>1096</v>
      </c>
      <c r="E602">
        <v>30856576</v>
      </c>
      <c r="F602" t="s">
        <v>999</v>
      </c>
      <c r="G602" s="1">
        <v>45236</v>
      </c>
      <c r="H602">
        <v>5413864</v>
      </c>
      <c r="I602">
        <v>96</v>
      </c>
      <c r="J602" t="s">
        <v>140</v>
      </c>
      <c r="K602" s="8" t="str">
        <f>IFERROR(IF(AND(VLOOKUP($C602,Hes!$A:$B, 1, FALSE), $M602&lt;&gt;" "), "Ingresada", "Falta Ingresar"), " ")</f>
        <v>Falta Ingresar</v>
      </c>
      <c r="L602" s="4" t="str">
        <f>IFERROR(VLOOKUP($C602,Observaciones!$A:$B,2,FALSE)," ")</f>
        <v>VEND ENVIA INFORME</v>
      </c>
      <c r="M602" t="s">
        <v>681</v>
      </c>
      <c r="N602" s="5" t="s">
        <v>841</v>
      </c>
      <c r="O602" s="5">
        <v>30856576</v>
      </c>
      <c r="P602" s="5">
        <v>49455</v>
      </c>
      <c r="Q602" s="5">
        <v>9396</v>
      </c>
      <c r="R602" s="5">
        <v>58851</v>
      </c>
    </row>
    <row r="603" spans="1:18" x14ac:dyDescent="0.25">
      <c r="A603" t="s">
        <v>998</v>
      </c>
      <c r="B603" t="s">
        <v>494</v>
      </c>
      <c r="C603">
        <v>70285100</v>
      </c>
      <c r="D603">
        <v>236</v>
      </c>
      <c r="E603">
        <v>30856469</v>
      </c>
      <c r="F603" t="s">
        <v>999</v>
      </c>
      <c r="G603" s="1">
        <v>45236</v>
      </c>
      <c r="H603">
        <v>5413878</v>
      </c>
      <c r="I603">
        <v>96</v>
      </c>
      <c r="J603" t="s">
        <v>140</v>
      </c>
      <c r="K603" s="8" t="str">
        <f>IFERROR(IF(AND(VLOOKUP($C603,Hes!$A:$B, 1, FALSE), $M603&lt;&gt;" "), "Ingresada", "Falta Ingresar"), " ")</f>
        <v>Falta Ingresar</v>
      </c>
      <c r="L603" s="4" t="str">
        <f>IFERROR(VLOOKUP($C603,Observaciones!$A:$B,2,FALSE)," ")</f>
        <v>VEND ENVIA INFORME</v>
      </c>
      <c r="M603" t="s">
        <v>681</v>
      </c>
      <c r="N603" s="5" t="s">
        <v>841</v>
      </c>
      <c r="O603" s="5">
        <v>30856469</v>
      </c>
      <c r="P603" s="5">
        <v>154573</v>
      </c>
      <c r="Q603" s="5">
        <v>29369</v>
      </c>
      <c r="R603" s="5">
        <v>183942</v>
      </c>
    </row>
    <row r="604" spans="1:18" x14ac:dyDescent="0.25">
      <c r="A604" t="s">
        <v>998</v>
      </c>
      <c r="B604" t="s">
        <v>494</v>
      </c>
      <c r="C604">
        <v>70285100</v>
      </c>
      <c r="D604">
        <v>167</v>
      </c>
      <c r="E604">
        <v>30856477</v>
      </c>
      <c r="F604" t="s">
        <v>999</v>
      </c>
      <c r="G604" s="1">
        <v>45236</v>
      </c>
      <c r="H604">
        <v>5413881</v>
      </c>
      <c r="I604">
        <v>96</v>
      </c>
      <c r="J604" t="s">
        <v>140</v>
      </c>
      <c r="K604" s="8" t="str">
        <f>IFERROR(IF(AND(VLOOKUP($C604,Hes!$A:$B, 1, FALSE), $M604&lt;&gt;" "), "Ingresada", "Falta Ingresar"), " ")</f>
        <v>Falta Ingresar</v>
      </c>
      <c r="L604" s="4" t="str">
        <f>IFERROR(VLOOKUP($C604,Observaciones!$A:$B,2,FALSE)," ")</f>
        <v>VEND ENVIA INFORME</v>
      </c>
      <c r="M604" t="s">
        <v>681</v>
      </c>
      <c r="N604" s="5" t="s">
        <v>841</v>
      </c>
      <c r="O604" s="5">
        <v>30856477</v>
      </c>
      <c r="P604" s="5">
        <v>299321</v>
      </c>
      <c r="Q604" s="5">
        <v>56871</v>
      </c>
      <c r="R604" s="5">
        <v>356192</v>
      </c>
    </row>
    <row r="605" spans="1:18" x14ac:dyDescent="0.25">
      <c r="A605" t="s">
        <v>998</v>
      </c>
      <c r="B605" t="s">
        <v>494</v>
      </c>
      <c r="C605">
        <v>70285100</v>
      </c>
      <c r="D605">
        <v>49</v>
      </c>
      <c r="E605">
        <v>30856731</v>
      </c>
      <c r="F605" t="s">
        <v>999</v>
      </c>
      <c r="G605" s="1">
        <v>45236</v>
      </c>
      <c r="H605">
        <v>5413888</v>
      </c>
      <c r="I605">
        <v>96</v>
      </c>
      <c r="J605" t="s">
        <v>140</v>
      </c>
      <c r="K605" s="8" t="str">
        <f>IFERROR(IF(AND(VLOOKUP($C605,Hes!$A:$B, 1, FALSE), $M605&lt;&gt;" "), "Ingresada", "Falta Ingresar"), " ")</f>
        <v>Falta Ingresar</v>
      </c>
      <c r="L605" s="4" t="str">
        <f>IFERROR(VLOOKUP($C605,Observaciones!$A:$B,2,FALSE)," ")</f>
        <v>VEND ENVIA INFORME</v>
      </c>
      <c r="M605" t="s">
        <v>681</v>
      </c>
      <c r="N605" s="5" t="s">
        <v>841</v>
      </c>
      <c r="O605" s="5">
        <v>30856731</v>
      </c>
      <c r="P605" s="5">
        <v>27098</v>
      </c>
      <c r="Q605" s="5">
        <v>5149</v>
      </c>
      <c r="R605" s="5">
        <v>32247</v>
      </c>
    </row>
    <row r="606" spans="1:18" x14ac:dyDescent="0.25">
      <c r="A606" t="s">
        <v>998</v>
      </c>
      <c r="B606" t="s">
        <v>494</v>
      </c>
      <c r="C606">
        <v>70285100</v>
      </c>
      <c r="D606">
        <v>782</v>
      </c>
      <c r="E606">
        <v>30853444</v>
      </c>
      <c r="F606" t="s">
        <v>999</v>
      </c>
      <c r="G606" s="1">
        <v>45236</v>
      </c>
      <c r="H606">
        <v>5413896</v>
      </c>
      <c r="I606">
        <v>96</v>
      </c>
      <c r="J606" t="s">
        <v>140</v>
      </c>
      <c r="K606" s="8" t="str">
        <f>IFERROR(IF(AND(VLOOKUP($C606,Hes!$A:$B, 1, FALSE), $M606&lt;&gt;" "), "Ingresada", "Falta Ingresar"), " ")</f>
        <v>Falta Ingresar</v>
      </c>
      <c r="L606" s="4" t="str">
        <f>IFERROR(VLOOKUP($C606,Observaciones!$A:$B,2,FALSE)," ")</f>
        <v>VEND ENVIA INFORME</v>
      </c>
      <c r="M606" t="s">
        <v>681</v>
      </c>
      <c r="N606" s="5" t="s">
        <v>841</v>
      </c>
      <c r="O606" s="5">
        <v>30853444</v>
      </c>
      <c r="P606" s="5">
        <v>49109</v>
      </c>
      <c r="Q606" s="5">
        <v>9331</v>
      </c>
      <c r="R606" s="5">
        <v>58440</v>
      </c>
    </row>
    <row r="607" spans="1:18" x14ac:dyDescent="0.25">
      <c r="A607" t="s">
        <v>998</v>
      </c>
      <c r="B607" t="s">
        <v>494</v>
      </c>
      <c r="C607">
        <v>70285100</v>
      </c>
      <c r="D607">
        <v>342</v>
      </c>
      <c r="E607">
        <v>30859671</v>
      </c>
      <c r="F607" t="s">
        <v>999</v>
      </c>
      <c r="G607" s="1">
        <v>45237</v>
      </c>
      <c r="H607">
        <v>5414090</v>
      </c>
      <c r="I607">
        <v>96</v>
      </c>
      <c r="J607" t="s">
        <v>140</v>
      </c>
      <c r="K607" s="8" t="str">
        <f>IFERROR(IF(AND(VLOOKUP($C607,Hes!$A:$B, 1, FALSE), $M607&lt;&gt;" "), "Ingresada", "Falta Ingresar"), " ")</f>
        <v>Falta Ingresar</v>
      </c>
      <c r="L607" s="4" t="str">
        <f>IFERROR(VLOOKUP($C607,Observaciones!$A:$B,2,FALSE)," ")</f>
        <v>VEND ENVIA INFORME</v>
      </c>
      <c r="M607" t="s">
        <v>681</v>
      </c>
      <c r="N607" s="5" t="s">
        <v>841</v>
      </c>
      <c r="O607" s="5">
        <v>30859671</v>
      </c>
      <c r="P607" s="5">
        <v>49930</v>
      </c>
      <c r="Q607" s="5">
        <v>9487</v>
      </c>
      <c r="R607" s="5">
        <v>59417</v>
      </c>
    </row>
    <row r="608" spans="1:18" x14ac:dyDescent="0.25">
      <c r="A608" t="s">
        <v>998</v>
      </c>
      <c r="B608" t="s">
        <v>494</v>
      </c>
      <c r="C608">
        <v>70285100</v>
      </c>
      <c r="D608">
        <v>1110</v>
      </c>
      <c r="E608">
        <v>30859678</v>
      </c>
      <c r="F608" t="s">
        <v>999</v>
      </c>
      <c r="G608" s="1">
        <v>45237</v>
      </c>
      <c r="H608">
        <v>5414096</v>
      </c>
      <c r="I608">
        <v>96</v>
      </c>
      <c r="J608" t="s">
        <v>140</v>
      </c>
      <c r="K608" s="8" t="str">
        <f>IFERROR(IF(AND(VLOOKUP($C608,Hes!$A:$B, 1, FALSE), $M608&lt;&gt;" "), "Ingresada", "Falta Ingresar"), " ")</f>
        <v>Falta Ingresar</v>
      </c>
      <c r="L608" s="4" t="str">
        <f>IFERROR(VLOOKUP($C608,Observaciones!$A:$B,2,FALSE)," ")</f>
        <v>VEND ENVIA INFORME</v>
      </c>
      <c r="M608" t="s">
        <v>681</v>
      </c>
      <c r="N608" s="5" t="s">
        <v>841</v>
      </c>
      <c r="O608" s="5">
        <v>30859678</v>
      </c>
      <c r="P608" s="5">
        <v>49292</v>
      </c>
      <c r="Q608" s="5">
        <v>9365</v>
      </c>
      <c r="R608" s="5">
        <v>58657</v>
      </c>
    </row>
    <row r="609" spans="1:18" x14ac:dyDescent="0.25">
      <c r="A609" t="s">
        <v>998</v>
      </c>
      <c r="B609" t="s">
        <v>494</v>
      </c>
      <c r="C609">
        <v>70285100</v>
      </c>
      <c r="D609">
        <v>528</v>
      </c>
      <c r="E609">
        <v>30859899</v>
      </c>
      <c r="F609" t="s">
        <v>999</v>
      </c>
      <c r="G609" s="1">
        <v>45237</v>
      </c>
      <c r="H609">
        <v>5414230</v>
      </c>
      <c r="I609">
        <v>96</v>
      </c>
      <c r="J609" t="s">
        <v>140</v>
      </c>
      <c r="K609" s="8" t="str">
        <f>IFERROR(IF(AND(VLOOKUP($C609,Hes!$A:$B, 1, FALSE), $M609&lt;&gt;" "), "Ingresada", "Falta Ingresar"), " ")</f>
        <v>Falta Ingresar</v>
      </c>
      <c r="L609" s="4" t="str">
        <f>IFERROR(VLOOKUP($C609,Observaciones!$A:$B,2,FALSE)," ")</f>
        <v>VEND ENVIA INFORME</v>
      </c>
      <c r="M609" t="s">
        <v>681</v>
      </c>
      <c r="N609" s="5" t="s">
        <v>841</v>
      </c>
      <c r="O609" s="5">
        <v>30859899</v>
      </c>
      <c r="P609" s="5">
        <v>38072</v>
      </c>
      <c r="Q609" s="5">
        <v>7234</v>
      </c>
      <c r="R609" s="5">
        <v>45306</v>
      </c>
    </row>
    <row r="610" spans="1:18" x14ac:dyDescent="0.25">
      <c r="A610" t="s">
        <v>998</v>
      </c>
      <c r="B610" t="s">
        <v>494</v>
      </c>
      <c r="C610">
        <v>70285100</v>
      </c>
      <c r="D610">
        <v>460</v>
      </c>
      <c r="E610">
        <v>30859672</v>
      </c>
      <c r="F610" t="s">
        <v>999</v>
      </c>
      <c r="G610" s="1">
        <v>45237</v>
      </c>
      <c r="H610">
        <v>5414234</v>
      </c>
      <c r="I610">
        <v>96</v>
      </c>
      <c r="J610" t="s">
        <v>140</v>
      </c>
      <c r="K610" s="8" t="str">
        <f>IFERROR(IF(AND(VLOOKUP($C610,Hes!$A:$B, 1, FALSE), $M610&lt;&gt;" "), "Ingresada", "Falta Ingresar"), " ")</f>
        <v>Falta Ingresar</v>
      </c>
      <c r="L610" s="4" t="str">
        <f>IFERROR(VLOOKUP($C610,Observaciones!$A:$B,2,FALSE)," ")</f>
        <v>VEND ENVIA INFORME</v>
      </c>
      <c r="M610" t="s">
        <v>681</v>
      </c>
      <c r="N610" s="5" t="s">
        <v>841</v>
      </c>
      <c r="O610" s="5">
        <v>30859672</v>
      </c>
      <c r="P610" s="5">
        <v>250599</v>
      </c>
      <c r="Q610" s="5">
        <v>47614</v>
      </c>
      <c r="R610" s="5">
        <v>298213</v>
      </c>
    </row>
    <row r="611" spans="1:18" x14ac:dyDescent="0.25">
      <c r="A611" t="s">
        <v>998</v>
      </c>
      <c r="B611" t="s">
        <v>494</v>
      </c>
      <c r="C611">
        <v>70285100</v>
      </c>
      <c r="D611">
        <v>370</v>
      </c>
      <c r="E611">
        <v>30859426</v>
      </c>
      <c r="F611" t="s">
        <v>999</v>
      </c>
      <c r="G611" s="1">
        <v>45237</v>
      </c>
      <c r="H611">
        <v>5414320</v>
      </c>
      <c r="I611">
        <v>96</v>
      </c>
      <c r="J611" t="s">
        <v>140</v>
      </c>
      <c r="K611" s="8" t="str">
        <f>IFERROR(IF(AND(VLOOKUP($C611,Hes!$A:$B, 1, FALSE), $M611&lt;&gt;" "), "Ingresada", "Falta Ingresar"), " ")</f>
        <v>Falta Ingresar</v>
      </c>
      <c r="L611" s="4" t="str">
        <f>IFERROR(VLOOKUP($C611,Observaciones!$A:$B,2,FALSE)," ")</f>
        <v>VEND ENVIA INFORME</v>
      </c>
      <c r="M611" t="s">
        <v>681</v>
      </c>
      <c r="N611" s="5" t="s">
        <v>841</v>
      </c>
      <c r="O611" s="5">
        <v>30859426</v>
      </c>
      <c r="P611" s="5">
        <v>17426</v>
      </c>
      <c r="Q611" s="5">
        <v>3311</v>
      </c>
      <c r="R611" s="5">
        <v>20737</v>
      </c>
    </row>
    <row r="612" spans="1:18" x14ac:dyDescent="0.25">
      <c r="A612" t="s">
        <v>998</v>
      </c>
      <c r="B612" t="s">
        <v>494</v>
      </c>
      <c r="C612">
        <v>70285100</v>
      </c>
      <c r="D612">
        <v>235</v>
      </c>
      <c r="E612">
        <v>30859680</v>
      </c>
      <c r="F612" t="s">
        <v>999</v>
      </c>
      <c r="G612" s="1">
        <v>45237</v>
      </c>
      <c r="H612">
        <v>5414347</v>
      </c>
      <c r="I612">
        <v>96</v>
      </c>
      <c r="J612" t="s">
        <v>140</v>
      </c>
      <c r="K612" s="8" t="str">
        <f>IFERROR(IF(AND(VLOOKUP($C612,Hes!$A:$B, 1, FALSE), $M612&lt;&gt;" "), "Ingresada", "Falta Ingresar"), " ")</f>
        <v>Falta Ingresar</v>
      </c>
      <c r="L612" s="4" t="str">
        <f>IFERROR(VLOOKUP($C612,Observaciones!$A:$B,2,FALSE)," ")</f>
        <v>VEND ENVIA INFORME</v>
      </c>
      <c r="M612" t="s">
        <v>681</v>
      </c>
      <c r="N612" s="5" t="s">
        <v>841</v>
      </c>
      <c r="O612" s="5">
        <v>30859680</v>
      </c>
      <c r="P612" s="5">
        <v>198557</v>
      </c>
      <c r="Q612" s="5">
        <v>37726</v>
      </c>
      <c r="R612" s="5">
        <v>236283</v>
      </c>
    </row>
    <row r="613" spans="1:18" x14ac:dyDescent="0.25">
      <c r="A613" t="s">
        <v>998</v>
      </c>
      <c r="B613" t="s">
        <v>494</v>
      </c>
      <c r="C613">
        <v>70285100</v>
      </c>
      <c r="D613">
        <v>226</v>
      </c>
      <c r="E613">
        <v>30860080</v>
      </c>
      <c r="F613" t="s">
        <v>999</v>
      </c>
      <c r="G613" s="1">
        <v>45237</v>
      </c>
      <c r="H613">
        <v>5414402</v>
      </c>
      <c r="I613">
        <v>96</v>
      </c>
      <c r="J613" t="s">
        <v>140</v>
      </c>
      <c r="K613" s="8" t="str">
        <f>IFERROR(IF(AND(VLOOKUP($C613,Hes!$A:$B, 1, FALSE), $M613&lt;&gt;" "), "Ingresada", "Falta Ingresar"), " ")</f>
        <v>Falta Ingresar</v>
      </c>
      <c r="L613" s="4" t="str">
        <f>IFERROR(VLOOKUP($C613,Observaciones!$A:$B,2,FALSE)," ")</f>
        <v>VEND ENVIA INFORME</v>
      </c>
      <c r="M613" t="s">
        <v>681</v>
      </c>
      <c r="N613" s="5" t="s">
        <v>841</v>
      </c>
      <c r="O613" s="5">
        <v>30860080</v>
      </c>
      <c r="P613" s="5">
        <v>179889</v>
      </c>
      <c r="Q613" s="5">
        <v>34179</v>
      </c>
      <c r="R613" s="5">
        <v>214068</v>
      </c>
    </row>
    <row r="614" spans="1:18" x14ac:dyDescent="0.25">
      <c r="A614" t="s">
        <v>998</v>
      </c>
      <c r="B614" t="s">
        <v>494</v>
      </c>
      <c r="C614">
        <v>70285100</v>
      </c>
      <c r="D614">
        <v>230</v>
      </c>
      <c r="E614">
        <v>30858897</v>
      </c>
      <c r="F614" t="s">
        <v>999</v>
      </c>
      <c r="G614" s="1">
        <v>45237</v>
      </c>
      <c r="H614">
        <v>5414406</v>
      </c>
      <c r="I614">
        <v>96</v>
      </c>
      <c r="J614" t="s">
        <v>140</v>
      </c>
      <c r="K614" s="8" t="str">
        <f>IFERROR(IF(AND(VLOOKUP($C614,Hes!$A:$B, 1, FALSE), $M614&lt;&gt;" "), "Ingresada", "Falta Ingresar"), " ")</f>
        <v>Falta Ingresar</v>
      </c>
      <c r="L614" s="4" t="str">
        <f>IFERROR(VLOOKUP($C614,Observaciones!$A:$B,2,FALSE)," ")</f>
        <v>VEND ENVIA INFORME</v>
      </c>
      <c r="M614" t="s">
        <v>681</v>
      </c>
      <c r="N614" s="5" t="s">
        <v>841</v>
      </c>
      <c r="O614" s="5">
        <v>30858897</v>
      </c>
      <c r="P614" s="5">
        <v>199595</v>
      </c>
      <c r="Q614" s="5">
        <v>37923</v>
      </c>
      <c r="R614" s="5">
        <v>237518</v>
      </c>
    </row>
    <row r="615" spans="1:18" x14ac:dyDescent="0.25">
      <c r="A615" t="s">
        <v>998</v>
      </c>
      <c r="B615" t="s">
        <v>494</v>
      </c>
      <c r="C615">
        <v>70285100</v>
      </c>
      <c r="D615">
        <v>0</v>
      </c>
      <c r="E615">
        <v>4561389246</v>
      </c>
      <c r="F615" t="s">
        <v>999</v>
      </c>
      <c r="G615" s="1">
        <v>45237</v>
      </c>
      <c r="H615">
        <v>5414426</v>
      </c>
      <c r="I615">
        <v>96</v>
      </c>
      <c r="J615" t="s">
        <v>140</v>
      </c>
      <c r="K615" s="8" t="str">
        <f>IFERROR(IF(AND(VLOOKUP($C615,Hes!$A:$B, 1, FALSE), $M615&lt;&gt;" "), "Ingresada", "Falta Ingresar"), " ")</f>
        <v>Falta Ingresar</v>
      </c>
      <c r="L615" s="4" t="str">
        <f>IFERROR(VLOOKUP($C615,Observaciones!$A:$B,2,FALSE)," ")</f>
        <v>VEND ENVIA INFORME</v>
      </c>
      <c r="M615" t="s">
        <v>681</v>
      </c>
      <c r="N615" s="5" t="s">
        <v>841</v>
      </c>
      <c r="O615" s="5">
        <v>30819758</v>
      </c>
      <c r="P615" s="5">
        <v>48908</v>
      </c>
      <c r="Q615" s="5">
        <v>9293</v>
      </c>
      <c r="R615" s="5">
        <v>58201</v>
      </c>
    </row>
    <row r="616" spans="1:18" x14ac:dyDescent="0.25">
      <c r="A616" t="s">
        <v>998</v>
      </c>
      <c r="B616" t="s">
        <v>494</v>
      </c>
      <c r="C616">
        <v>70285100</v>
      </c>
      <c r="D616">
        <v>730</v>
      </c>
      <c r="E616">
        <v>30861442</v>
      </c>
      <c r="F616" t="s">
        <v>999</v>
      </c>
      <c r="G616" s="1">
        <v>45237</v>
      </c>
      <c r="H616">
        <v>5414427</v>
      </c>
      <c r="I616">
        <v>96</v>
      </c>
      <c r="J616" t="s">
        <v>140</v>
      </c>
      <c r="K616" s="8" t="str">
        <f>IFERROR(IF(AND(VLOOKUP($C616,Hes!$A:$B, 1, FALSE), $M616&lt;&gt;" "), "Ingresada", "Falta Ingresar"), " ")</f>
        <v>Falta Ingresar</v>
      </c>
      <c r="L616" s="4" t="str">
        <f>IFERROR(VLOOKUP($C616,Observaciones!$A:$B,2,FALSE)," ")</f>
        <v>VEND ENVIA INFORME</v>
      </c>
      <c r="M616" t="s">
        <v>681</v>
      </c>
      <c r="N616" s="5" t="s">
        <v>841</v>
      </c>
      <c r="O616" s="5">
        <v>30861442</v>
      </c>
      <c r="P616" s="5">
        <v>10692</v>
      </c>
      <c r="Q616" s="5">
        <v>2031</v>
      </c>
      <c r="R616" s="5">
        <v>12723</v>
      </c>
    </row>
    <row r="617" spans="1:18" x14ac:dyDescent="0.25">
      <c r="A617" t="s">
        <v>998</v>
      </c>
      <c r="B617" t="s">
        <v>494</v>
      </c>
      <c r="C617">
        <v>70285100</v>
      </c>
      <c r="D617">
        <v>519</v>
      </c>
      <c r="E617">
        <v>30861086</v>
      </c>
      <c r="F617" t="s">
        <v>999</v>
      </c>
      <c r="G617" s="1">
        <v>45237</v>
      </c>
      <c r="H617">
        <v>5414430</v>
      </c>
      <c r="I617">
        <v>96</v>
      </c>
      <c r="J617" t="s">
        <v>140</v>
      </c>
      <c r="K617" s="8" t="str">
        <f>IFERROR(IF(AND(VLOOKUP($C617,Hes!$A:$B, 1, FALSE), $M617&lt;&gt;" "), "Ingresada", "Falta Ingresar"), " ")</f>
        <v>Falta Ingresar</v>
      </c>
      <c r="L617" s="4" t="str">
        <f>IFERROR(VLOOKUP($C617,Observaciones!$A:$B,2,FALSE)," ")</f>
        <v>VEND ENVIA INFORME</v>
      </c>
      <c r="M617" t="s">
        <v>681</v>
      </c>
      <c r="N617" s="5" t="s">
        <v>841</v>
      </c>
      <c r="O617" s="5">
        <v>30861086</v>
      </c>
      <c r="P617" s="5">
        <v>197016</v>
      </c>
      <c r="Q617" s="5">
        <v>37433</v>
      </c>
      <c r="R617" s="5">
        <v>234449</v>
      </c>
    </row>
    <row r="618" spans="1:18" x14ac:dyDescent="0.25">
      <c r="A618" t="s">
        <v>998</v>
      </c>
      <c r="B618" t="s">
        <v>494</v>
      </c>
      <c r="C618">
        <v>70285100</v>
      </c>
      <c r="D618">
        <v>227</v>
      </c>
      <c r="E618">
        <v>30861005</v>
      </c>
      <c r="F618" t="s">
        <v>999</v>
      </c>
      <c r="G618" s="1">
        <v>45237</v>
      </c>
      <c r="H618">
        <v>5414443</v>
      </c>
      <c r="I618">
        <v>96</v>
      </c>
      <c r="J618" t="s">
        <v>140</v>
      </c>
      <c r="K618" s="8" t="str">
        <f>IFERROR(IF(AND(VLOOKUP($C618,Hes!$A:$B, 1, FALSE), $M618&lt;&gt;" "), "Ingresada", "Falta Ingresar"), " ")</f>
        <v>Falta Ingresar</v>
      </c>
      <c r="L618" s="4" t="str">
        <f>IFERROR(VLOOKUP($C618,Observaciones!$A:$B,2,FALSE)," ")</f>
        <v>VEND ENVIA INFORME</v>
      </c>
      <c r="M618" t="s">
        <v>681</v>
      </c>
      <c r="N618" s="5" t="s">
        <v>841</v>
      </c>
      <c r="O618" s="5">
        <v>30861005</v>
      </c>
      <c r="P618" s="5">
        <v>131950</v>
      </c>
      <c r="Q618" s="5">
        <v>25071</v>
      </c>
      <c r="R618" s="5">
        <v>157021</v>
      </c>
    </row>
    <row r="619" spans="1:18" x14ac:dyDescent="0.25">
      <c r="A619" t="s">
        <v>998</v>
      </c>
      <c r="B619" t="s">
        <v>494</v>
      </c>
      <c r="C619">
        <v>70285100</v>
      </c>
      <c r="D619">
        <v>311</v>
      </c>
      <c r="E619">
        <v>30861045</v>
      </c>
      <c r="F619" t="s">
        <v>999</v>
      </c>
      <c r="G619" s="1">
        <v>45237</v>
      </c>
      <c r="H619">
        <v>5414500</v>
      </c>
      <c r="I619">
        <v>96</v>
      </c>
      <c r="J619" t="s">
        <v>140</v>
      </c>
      <c r="K619" s="8" t="str">
        <f>IFERROR(IF(AND(VLOOKUP($C619,Hes!$A:$B, 1, FALSE), $M619&lt;&gt;" "), "Ingresada", "Falta Ingresar"), " ")</f>
        <v>Falta Ingresar</v>
      </c>
      <c r="L619" s="4" t="str">
        <f>IFERROR(VLOOKUP($C619,Observaciones!$A:$B,2,FALSE)," ")</f>
        <v>VEND ENVIA INFORME</v>
      </c>
      <c r="M619" t="s">
        <v>681</v>
      </c>
      <c r="N619" s="5" t="s">
        <v>841</v>
      </c>
      <c r="O619" s="5">
        <v>30861045</v>
      </c>
      <c r="P619" s="5">
        <v>75837</v>
      </c>
      <c r="Q619" s="5">
        <v>14409</v>
      </c>
      <c r="R619" s="5">
        <v>90246</v>
      </c>
    </row>
    <row r="620" spans="1:18" x14ac:dyDescent="0.25">
      <c r="A620" t="s">
        <v>998</v>
      </c>
      <c r="B620" t="s">
        <v>494</v>
      </c>
      <c r="C620">
        <v>70285100</v>
      </c>
      <c r="D620">
        <v>1159</v>
      </c>
      <c r="E620">
        <v>30862749</v>
      </c>
      <c r="F620" t="s">
        <v>999</v>
      </c>
      <c r="G620" s="1">
        <v>45237</v>
      </c>
      <c r="H620">
        <v>5414508</v>
      </c>
      <c r="I620">
        <v>96</v>
      </c>
      <c r="J620" t="s">
        <v>140</v>
      </c>
      <c r="K620" s="8" t="str">
        <f>IFERROR(IF(AND(VLOOKUP($C620,Hes!$A:$B, 1, FALSE), $M620&lt;&gt;" "), "Ingresada", "Falta Ingresar"), " ")</f>
        <v>Falta Ingresar</v>
      </c>
      <c r="L620" s="4" t="str">
        <f>IFERROR(VLOOKUP($C620,Observaciones!$A:$B,2,FALSE)," ")</f>
        <v>VEND ENVIA INFORME</v>
      </c>
      <c r="M620" t="s">
        <v>681</v>
      </c>
      <c r="N620" s="5" t="s">
        <v>841</v>
      </c>
      <c r="O620" s="5">
        <v>30862749</v>
      </c>
      <c r="P620" s="5">
        <v>49292</v>
      </c>
      <c r="Q620" s="5">
        <v>9365</v>
      </c>
      <c r="R620" s="5">
        <v>58657</v>
      </c>
    </row>
    <row r="621" spans="1:18" x14ac:dyDescent="0.25">
      <c r="A621" t="s">
        <v>998</v>
      </c>
      <c r="B621" t="s">
        <v>494</v>
      </c>
      <c r="C621">
        <v>70285100</v>
      </c>
      <c r="D621">
        <v>205</v>
      </c>
      <c r="E621">
        <v>30862768</v>
      </c>
      <c r="F621" t="s">
        <v>999</v>
      </c>
      <c r="G621" s="1">
        <v>45237</v>
      </c>
      <c r="H621">
        <v>5414513</v>
      </c>
      <c r="I621">
        <v>96</v>
      </c>
      <c r="J621" t="s">
        <v>140</v>
      </c>
      <c r="K621" s="8" t="str">
        <f>IFERROR(IF(AND(VLOOKUP($C621,Hes!$A:$B, 1, FALSE), $M621&lt;&gt;" "), "Ingresada", "Falta Ingresar"), " ")</f>
        <v>Falta Ingresar</v>
      </c>
      <c r="L621" s="4" t="str">
        <f>IFERROR(VLOOKUP($C621,Observaciones!$A:$B,2,FALSE)," ")</f>
        <v>VEND ENVIA INFORME</v>
      </c>
      <c r="M621" t="s">
        <v>681</v>
      </c>
      <c r="N621" s="5" t="s">
        <v>841</v>
      </c>
      <c r="O621" s="5">
        <v>30862768</v>
      </c>
      <c r="P621" s="5">
        <v>10993</v>
      </c>
      <c r="Q621" s="5">
        <v>2089</v>
      </c>
      <c r="R621" s="5">
        <v>13082</v>
      </c>
    </row>
    <row r="622" spans="1:18" x14ac:dyDescent="0.25">
      <c r="A622" t="s">
        <v>998</v>
      </c>
      <c r="B622" t="s">
        <v>494</v>
      </c>
      <c r="C622">
        <v>70285100</v>
      </c>
      <c r="D622">
        <v>155</v>
      </c>
      <c r="E622">
        <v>4561389150</v>
      </c>
      <c r="F622" t="s">
        <v>999</v>
      </c>
      <c r="G622" s="1">
        <v>45237</v>
      </c>
      <c r="H622">
        <v>5414516</v>
      </c>
      <c r="I622">
        <v>96</v>
      </c>
      <c r="J622" t="s">
        <v>140</v>
      </c>
      <c r="K622" s="8" t="str">
        <f>IFERROR(IF(AND(VLOOKUP($C622,Hes!$A:$B, 1, FALSE), $M622&lt;&gt;" "), "Ingresada", "Falta Ingresar"), " ")</f>
        <v>Falta Ingresar</v>
      </c>
      <c r="L622" s="4" t="str">
        <f>IFERROR(VLOOKUP($C622,Observaciones!$A:$B,2,FALSE)," ")</f>
        <v>VEND ENVIA INFORME</v>
      </c>
      <c r="M622" t="s">
        <v>681</v>
      </c>
      <c r="N622" s="5" t="s">
        <v>841</v>
      </c>
      <c r="O622" s="5">
        <v>30803744</v>
      </c>
      <c r="P622" s="5">
        <v>16352</v>
      </c>
      <c r="Q622" s="5">
        <v>3107</v>
      </c>
      <c r="R622" s="5">
        <v>19459</v>
      </c>
    </row>
    <row r="623" spans="1:18" x14ac:dyDescent="0.25">
      <c r="A623" t="s">
        <v>998</v>
      </c>
      <c r="B623" t="s">
        <v>494</v>
      </c>
      <c r="C623">
        <v>70285100</v>
      </c>
      <c r="D623">
        <v>165</v>
      </c>
      <c r="E623">
        <v>30862765</v>
      </c>
      <c r="F623" t="s">
        <v>999</v>
      </c>
      <c r="G623" s="1">
        <v>45238</v>
      </c>
      <c r="H623">
        <v>5414719</v>
      </c>
      <c r="I623">
        <v>96</v>
      </c>
      <c r="J623" t="s">
        <v>140</v>
      </c>
      <c r="K623" s="8" t="str">
        <f>IFERROR(IF(AND(VLOOKUP($C623,Hes!$A:$B, 1, FALSE), $M623&lt;&gt;" "), "Ingresada", "Falta Ingresar"), " ")</f>
        <v>Falta Ingresar</v>
      </c>
      <c r="L623" s="4" t="str">
        <f>IFERROR(VLOOKUP($C623,Observaciones!$A:$B,2,FALSE)," ")</f>
        <v>VEND ENVIA INFORME</v>
      </c>
      <c r="M623" t="s">
        <v>681</v>
      </c>
      <c r="N623" s="5" t="s">
        <v>841</v>
      </c>
      <c r="O623" s="5">
        <v>30862765</v>
      </c>
      <c r="P623" s="5">
        <v>28178</v>
      </c>
      <c r="Q623" s="5">
        <v>5354</v>
      </c>
      <c r="R623" s="5">
        <v>33532</v>
      </c>
    </row>
    <row r="624" spans="1:18" x14ac:dyDescent="0.25">
      <c r="A624" t="s">
        <v>998</v>
      </c>
      <c r="B624" t="s">
        <v>494</v>
      </c>
      <c r="C624">
        <v>70285100</v>
      </c>
      <c r="D624">
        <v>188</v>
      </c>
      <c r="E624">
        <v>30863100</v>
      </c>
      <c r="F624" t="s">
        <v>999</v>
      </c>
      <c r="G624" s="1">
        <v>45237</v>
      </c>
      <c r="H624">
        <v>5414730</v>
      </c>
      <c r="I624">
        <v>96</v>
      </c>
      <c r="J624" t="s">
        <v>140</v>
      </c>
      <c r="K624" s="8" t="str">
        <f>IFERROR(IF(AND(VLOOKUP($C624,Hes!$A:$B, 1, FALSE), $M624&lt;&gt;" "), "Ingresada", "Falta Ingresar"), " ")</f>
        <v>Falta Ingresar</v>
      </c>
      <c r="L624" s="4" t="str">
        <f>IFERROR(VLOOKUP($C624,Observaciones!$A:$B,2,FALSE)," ")</f>
        <v>VEND ENVIA INFORME</v>
      </c>
      <c r="M624" t="s">
        <v>681</v>
      </c>
      <c r="N624" s="5" t="s">
        <v>841</v>
      </c>
      <c r="O624" s="5">
        <v>30863100</v>
      </c>
      <c r="P624" s="5">
        <v>12111</v>
      </c>
      <c r="Q624" s="5">
        <v>2301</v>
      </c>
      <c r="R624" s="5">
        <v>14412</v>
      </c>
    </row>
    <row r="625" spans="1:18" x14ac:dyDescent="0.25">
      <c r="A625" t="s">
        <v>998</v>
      </c>
      <c r="B625" t="s">
        <v>494</v>
      </c>
      <c r="C625">
        <v>70285100</v>
      </c>
      <c r="D625">
        <v>597</v>
      </c>
      <c r="E625">
        <v>30863105</v>
      </c>
      <c r="F625" t="s">
        <v>999</v>
      </c>
      <c r="G625" s="1">
        <v>45237</v>
      </c>
      <c r="H625">
        <v>5414743</v>
      </c>
      <c r="I625">
        <v>96</v>
      </c>
      <c r="J625" t="s">
        <v>140</v>
      </c>
      <c r="K625" s="8" t="str">
        <f>IFERROR(IF(AND(VLOOKUP($C625,Hes!$A:$B, 1, FALSE), $M625&lt;&gt;" "), "Ingresada", "Falta Ingresar"), " ")</f>
        <v>Falta Ingresar</v>
      </c>
      <c r="L625" s="4" t="str">
        <f>IFERROR(VLOOKUP($C625,Observaciones!$A:$B,2,FALSE)," ")</f>
        <v>VEND ENVIA INFORME</v>
      </c>
      <c r="M625" t="s">
        <v>681</v>
      </c>
      <c r="N625" s="5" t="s">
        <v>841</v>
      </c>
      <c r="O625" s="5">
        <v>30863105</v>
      </c>
      <c r="P625" s="5">
        <v>38131</v>
      </c>
      <c r="Q625" s="5">
        <v>7245</v>
      </c>
      <c r="R625" s="5">
        <v>45376</v>
      </c>
    </row>
    <row r="626" spans="1:18" x14ac:dyDescent="0.25">
      <c r="A626" t="s">
        <v>998</v>
      </c>
      <c r="B626" t="s">
        <v>494</v>
      </c>
      <c r="C626">
        <v>70285100</v>
      </c>
      <c r="D626">
        <v>348</v>
      </c>
      <c r="E626">
        <v>30863099</v>
      </c>
      <c r="F626" t="s">
        <v>999</v>
      </c>
      <c r="G626" s="1">
        <v>45237</v>
      </c>
      <c r="H626">
        <v>5414764</v>
      </c>
      <c r="I626">
        <v>96</v>
      </c>
      <c r="J626" t="s">
        <v>140</v>
      </c>
      <c r="K626" s="8" t="str">
        <f>IFERROR(IF(AND(VLOOKUP($C626,Hes!$A:$B, 1, FALSE), $M626&lt;&gt;" "), "Ingresada", "Falta Ingresar"), " ")</f>
        <v>Falta Ingresar</v>
      </c>
      <c r="L626" s="4" t="str">
        <f>IFERROR(VLOOKUP($C626,Observaciones!$A:$B,2,FALSE)," ")</f>
        <v>VEND ENVIA INFORME</v>
      </c>
      <c r="M626" t="s">
        <v>681</v>
      </c>
      <c r="N626" s="5" t="s">
        <v>841</v>
      </c>
      <c r="O626" s="5">
        <v>30863099</v>
      </c>
      <c r="P626" s="5">
        <v>22230</v>
      </c>
      <c r="Q626" s="5">
        <v>4224</v>
      </c>
      <c r="R626" s="5">
        <v>26454</v>
      </c>
    </row>
    <row r="627" spans="1:18" x14ac:dyDescent="0.25">
      <c r="A627" t="s">
        <v>998</v>
      </c>
      <c r="B627" t="s">
        <v>494</v>
      </c>
      <c r="C627">
        <v>70285100</v>
      </c>
      <c r="D627">
        <v>647</v>
      </c>
      <c r="E627">
        <v>30862745</v>
      </c>
      <c r="F627" t="s">
        <v>999</v>
      </c>
      <c r="G627" s="1">
        <v>45237</v>
      </c>
      <c r="H627">
        <v>5414794</v>
      </c>
      <c r="I627">
        <v>96</v>
      </c>
      <c r="J627" t="s">
        <v>140</v>
      </c>
      <c r="K627" s="8" t="str">
        <f>IFERROR(IF(AND(VLOOKUP($C627,Hes!$A:$B, 1, FALSE), $M627&lt;&gt;" "), "Ingresada", "Falta Ingresar"), " ")</f>
        <v>Falta Ingresar</v>
      </c>
      <c r="L627" s="4" t="str">
        <f>IFERROR(VLOOKUP($C627,Observaciones!$A:$B,2,FALSE)," ")</f>
        <v>VEND ENVIA INFORME</v>
      </c>
      <c r="M627" t="s">
        <v>681</v>
      </c>
      <c r="N627" s="5" t="s">
        <v>841</v>
      </c>
      <c r="O627" s="5">
        <v>30862745</v>
      </c>
      <c r="P627" s="5">
        <v>145600</v>
      </c>
      <c r="Q627" s="5">
        <v>27664</v>
      </c>
      <c r="R627" s="5">
        <v>173264</v>
      </c>
    </row>
    <row r="628" spans="1:18" x14ac:dyDescent="0.25">
      <c r="A628" t="s">
        <v>998</v>
      </c>
      <c r="B628" t="s">
        <v>494</v>
      </c>
      <c r="C628">
        <v>70285100</v>
      </c>
      <c r="D628">
        <v>203</v>
      </c>
      <c r="E628">
        <v>30862748</v>
      </c>
      <c r="F628" t="s">
        <v>999</v>
      </c>
      <c r="G628" s="1">
        <v>45237</v>
      </c>
      <c r="H628">
        <v>5414795</v>
      </c>
      <c r="I628">
        <v>96</v>
      </c>
      <c r="J628" t="s">
        <v>140</v>
      </c>
      <c r="K628" s="8" t="str">
        <f>IFERROR(IF(AND(VLOOKUP($C628,Hes!$A:$B, 1, FALSE), $M628&lt;&gt;" "), "Ingresada", "Falta Ingresar"), " ")</f>
        <v>Falta Ingresar</v>
      </c>
      <c r="L628" s="4" t="str">
        <f>IFERROR(VLOOKUP($C628,Observaciones!$A:$B,2,FALSE)," ")</f>
        <v>VEND ENVIA INFORME</v>
      </c>
      <c r="M628" t="s">
        <v>681</v>
      </c>
      <c r="N628" s="5" t="s">
        <v>841</v>
      </c>
      <c r="O628" s="5">
        <v>30862748</v>
      </c>
      <c r="P628" s="5">
        <v>127241</v>
      </c>
      <c r="Q628" s="5">
        <v>24176</v>
      </c>
      <c r="R628" s="5">
        <v>151417</v>
      </c>
    </row>
    <row r="629" spans="1:18" x14ac:dyDescent="0.25">
      <c r="A629" t="s">
        <v>998</v>
      </c>
      <c r="B629" t="s">
        <v>494</v>
      </c>
      <c r="C629">
        <v>70285100</v>
      </c>
      <c r="D629">
        <v>596</v>
      </c>
      <c r="E629">
        <v>30863102</v>
      </c>
      <c r="F629" t="s">
        <v>999</v>
      </c>
      <c r="G629" s="1">
        <v>45237</v>
      </c>
      <c r="H629">
        <v>5414800</v>
      </c>
      <c r="I629">
        <v>96</v>
      </c>
      <c r="J629" t="s">
        <v>140</v>
      </c>
      <c r="K629" s="8" t="str">
        <f>IFERROR(IF(AND(VLOOKUP($C629,Hes!$A:$B, 1, FALSE), $M629&lt;&gt;" "), "Ingresada", "Falta Ingresar"), " ")</f>
        <v>Falta Ingresar</v>
      </c>
      <c r="L629" s="4" t="str">
        <f>IFERROR(VLOOKUP($C629,Observaciones!$A:$B,2,FALSE)," ")</f>
        <v>VEND ENVIA INFORME</v>
      </c>
      <c r="M629" t="s">
        <v>681</v>
      </c>
      <c r="N629" s="5" t="s">
        <v>841</v>
      </c>
      <c r="O629" s="5">
        <v>30863102</v>
      </c>
      <c r="P629" s="5">
        <v>14810</v>
      </c>
      <c r="Q629" s="5">
        <v>2814</v>
      </c>
      <c r="R629" s="5">
        <v>17624</v>
      </c>
    </row>
    <row r="630" spans="1:18" x14ac:dyDescent="0.25">
      <c r="A630" t="s">
        <v>998</v>
      </c>
      <c r="B630" t="s">
        <v>494</v>
      </c>
      <c r="C630">
        <v>70285100</v>
      </c>
      <c r="D630">
        <v>189</v>
      </c>
      <c r="E630">
        <v>30863097</v>
      </c>
      <c r="F630" t="s">
        <v>999</v>
      </c>
      <c r="G630" s="1">
        <v>45237</v>
      </c>
      <c r="H630">
        <v>5414801</v>
      </c>
      <c r="I630">
        <v>96</v>
      </c>
      <c r="J630" t="s">
        <v>140</v>
      </c>
      <c r="K630" s="8" t="str">
        <f>IFERROR(IF(AND(VLOOKUP($C630,Hes!$A:$B, 1, FALSE), $M630&lt;&gt;" "), "Ingresada", "Falta Ingresar"), " ")</f>
        <v>Falta Ingresar</v>
      </c>
      <c r="L630" s="4" t="str">
        <f>IFERROR(VLOOKUP($C630,Observaciones!$A:$B,2,FALSE)," ")</f>
        <v>VEND ENVIA INFORME</v>
      </c>
      <c r="M630" t="s">
        <v>681</v>
      </c>
      <c r="N630" s="5" t="s">
        <v>841</v>
      </c>
      <c r="O630" s="5">
        <v>30863097</v>
      </c>
      <c r="P630" s="5">
        <v>33758</v>
      </c>
      <c r="Q630" s="5">
        <v>6414</v>
      </c>
      <c r="R630" s="5">
        <v>40172</v>
      </c>
    </row>
    <row r="631" spans="1:18" x14ac:dyDescent="0.25">
      <c r="A631" t="s">
        <v>998</v>
      </c>
      <c r="B631" t="s">
        <v>494</v>
      </c>
      <c r="C631">
        <v>70285100</v>
      </c>
      <c r="D631">
        <v>15</v>
      </c>
      <c r="E631">
        <v>30861031</v>
      </c>
      <c r="F631" t="s">
        <v>999</v>
      </c>
      <c r="G631" s="1">
        <v>45237</v>
      </c>
      <c r="H631">
        <v>5414840</v>
      </c>
      <c r="I631">
        <v>96</v>
      </c>
      <c r="J631" t="s">
        <v>140</v>
      </c>
      <c r="K631" s="8" t="str">
        <f>IFERROR(IF(AND(VLOOKUP($C631,Hes!$A:$B, 1, FALSE), $M631&lt;&gt;" "), "Ingresada", "Falta Ingresar"), " ")</f>
        <v>Falta Ingresar</v>
      </c>
      <c r="L631" s="4" t="str">
        <f>IFERROR(VLOOKUP($C631,Observaciones!$A:$B,2,FALSE)," ")</f>
        <v>VEND ENVIA INFORME</v>
      </c>
      <c r="M631" t="s">
        <v>681</v>
      </c>
      <c r="N631" s="5" t="s">
        <v>841</v>
      </c>
      <c r="O631" s="5">
        <v>30861031</v>
      </c>
      <c r="P631" s="5">
        <v>102453</v>
      </c>
      <c r="Q631" s="5">
        <v>19466</v>
      </c>
      <c r="R631" s="5">
        <v>121919</v>
      </c>
    </row>
    <row r="632" spans="1:18" x14ac:dyDescent="0.25">
      <c r="A632" t="s">
        <v>998</v>
      </c>
      <c r="B632" t="s">
        <v>494</v>
      </c>
      <c r="C632">
        <v>70285100</v>
      </c>
      <c r="D632">
        <v>717</v>
      </c>
      <c r="E632">
        <v>30861034</v>
      </c>
      <c r="F632" t="s">
        <v>999</v>
      </c>
      <c r="G632" s="1">
        <v>45237</v>
      </c>
      <c r="H632">
        <v>5414845</v>
      </c>
      <c r="I632">
        <v>96</v>
      </c>
      <c r="J632" t="s">
        <v>140</v>
      </c>
      <c r="K632" s="8" t="str">
        <f>IFERROR(IF(AND(VLOOKUP($C632,Hes!$A:$B, 1, FALSE), $M632&lt;&gt;" "), "Ingresada", "Falta Ingresar"), " ")</f>
        <v>Falta Ingresar</v>
      </c>
      <c r="L632" s="4" t="str">
        <f>IFERROR(VLOOKUP($C632,Observaciones!$A:$B,2,FALSE)," ")</f>
        <v>VEND ENVIA INFORME</v>
      </c>
      <c r="M632" t="s">
        <v>681</v>
      </c>
      <c r="N632" s="5" t="s">
        <v>841</v>
      </c>
      <c r="O632" s="5">
        <v>30861034</v>
      </c>
      <c r="P632" s="5">
        <v>52709</v>
      </c>
      <c r="Q632" s="5">
        <v>10015</v>
      </c>
      <c r="R632" s="5">
        <v>62724</v>
      </c>
    </row>
    <row r="633" spans="1:18" x14ac:dyDescent="0.25">
      <c r="A633" t="s">
        <v>998</v>
      </c>
      <c r="B633" t="s">
        <v>494</v>
      </c>
      <c r="C633">
        <v>70285100</v>
      </c>
      <c r="D633">
        <v>332</v>
      </c>
      <c r="E633">
        <v>30863106</v>
      </c>
      <c r="F633" t="s">
        <v>999</v>
      </c>
      <c r="G633" s="1">
        <v>45237</v>
      </c>
      <c r="H633">
        <v>5414851</v>
      </c>
      <c r="I633">
        <v>96</v>
      </c>
      <c r="J633" t="s">
        <v>140</v>
      </c>
      <c r="K633" s="8" t="str">
        <f>IFERROR(IF(AND(VLOOKUP($C633,Hes!$A:$B, 1, FALSE), $M633&lt;&gt;" "), "Ingresada", "Falta Ingresar"), " ")</f>
        <v>Falta Ingresar</v>
      </c>
      <c r="L633" s="4" t="str">
        <f>IFERROR(VLOOKUP($C633,Observaciones!$A:$B,2,FALSE)," ")</f>
        <v>VEND ENVIA INFORME</v>
      </c>
      <c r="M633" t="s">
        <v>681</v>
      </c>
      <c r="N633" s="5" t="s">
        <v>841</v>
      </c>
      <c r="O633" s="5">
        <v>30863106</v>
      </c>
      <c r="P633" s="5">
        <v>10776</v>
      </c>
      <c r="Q633" s="5">
        <v>2047</v>
      </c>
      <c r="R633" s="5">
        <v>12823</v>
      </c>
    </row>
    <row r="634" spans="1:18" x14ac:dyDescent="0.25">
      <c r="A634" t="s">
        <v>998</v>
      </c>
      <c r="B634" t="s">
        <v>494</v>
      </c>
      <c r="C634">
        <v>70285100</v>
      </c>
      <c r="D634">
        <v>715</v>
      </c>
      <c r="E634">
        <v>30863101</v>
      </c>
      <c r="F634" t="s">
        <v>999</v>
      </c>
      <c r="G634" s="1">
        <v>45237</v>
      </c>
      <c r="H634">
        <v>5414854</v>
      </c>
      <c r="I634">
        <v>96</v>
      </c>
      <c r="J634" t="s">
        <v>140</v>
      </c>
      <c r="K634" s="8" t="str">
        <f>IFERROR(IF(AND(VLOOKUP($C634,Hes!$A:$B, 1, FALSE), $M634&lt;&gt;" "), "Ingresada", "Falta Ingresar"), " ")</f>
        <v>Falta Ingresar</v>
      </c>
      <c r="L634" s="4" t="str">
        <f>IFERROR(VLOOKUP($C634,Observaciones!$A:$B,2,FALSE)," ")</f>
        <v>VEND ENVIA INFORME</v>
      </c>
      <c r="M634" t="s">
        <v>681</v>
      </c>
      <c r="N634" s="5" t="s">
        <v>841</v>
      </c>
      <c r="O634" s="5">
        <v>30863101</v>
      </c>
      <c r="P634" s="5">
        <v>17980</v>
      </c>
      <c r="Q634" s="5">
        <v>3416</v>
      </c>
      <c r="R634" s="5">
        <v>21396</v>
      </c>
    </row>
    <row r="635" spans="1:18" x14ac:dyDescent="0.25">
      <c r="A635" t="s">
        <v>998</v>
      </c>
      <c r="B635" t="s">
        <v>494</v>
      </c>
      <c r="C635">
        <v>70285100</v>
      </c>
      <c r="D635">
        <v>331</v>
      </c>
      <c r="E635">
        <v>30863104</v>
      </c>
      <c r="F635" t="s">
        <v>999</v>
      </c>
      <c r="G635" s="1">
        <v>45237</v>
      </c>
      <c r="H635">
        <v>5414855</v>
      </c>
      <c r="I635">
        <v>96</v>
      </c>
      <c r="J635" t="s">
        <v>140</v>
      </c>
      <c r="K635" s="8" t="str">
        <f>IFERROR(IF(AND(VLOOKUP($C635,Hes!$A:$B, 1, FALSE), $M635&lt;&gt;" "), "Ingresada", "Falta Ingresar"), " ")</f>
        <v>Falta Ingresar</v>
      </c>
      <c r="L635" s="4" t="str">
        <f>IFERROR(VLOOKUP($C635,Observaciones!$A:$B,2,FALSE)," ")</f>
        <v>VEND ENVIA INFORME</v>
      </c>
      <c r="M635" t="s">
        <v>681</v>
      </c>
      <c r="N635" s="5" t="s">
        <v>841</v>
      </c>
      <c r="O635" s="5">
        <v>30863104</v>
      </c>
      <c r="P635" s="5">
        <v>13251</v>
      </c>
      <c r="Q635" s="5">
        <v>2518</v>
      </c>
      <c r="R635" s="5">
        <v>15769</v>
      </c>
    </row>
    <row r="636" spans="1:18" x14ac:dyDescent="0.25">
      <c r="A636" t="s">
        <v>998</v>
      </c>
      <c r="B636" t="s">
        <v>494</v>
      </c>
      <c r="C636">
        <v>70285100</v>
      </c>
      <c r="D636">
        <v>611</v>
      </c>
      <c r="E636">
        <v>30863094</v>
      </c>
      <c r="F636" t="s">
        <v>999</v>
      </c>
      <c r="G636" s="1">
        <v>45237</v>
      </c>
      <c r="H636">
        <v>5414895</v>
      </c>
      <c r="I636">
        <v>96</v>
      </c>
      <c r="J636" t="s">
        <v>140</v>
      </c>
      <c r="K636" s="8" t="str">
        <f>IFERROR(IF(AND(VLOOKUP($C636,Hes!$A:$B, 1, FALSE), $M636&lt;&gt;" "), "Ingresada", "Falta Ingresar"), " ")</f>
        <v>Falta Ingresar</v>
      </c>
      <c r="L636" s="4" t="str">
        <f>IFERROR(VLOOKUP($C636,Observaciones!$A:$B,2,FALSE)," ")</f>
        <v>VEND ENVIA INFORME</v>
      </c>
      <c r="M636" t="s">
        <v>681</v>
      </c>
      <c r="N636" s="5" t="s">
        <v>841</v>
      </c>
      <c r="O636" s="5">
        <v>30863094</v>
      </c>
      <c r="P636" s="5">
        <v>44375</v>
      </c>
      <c r="Q636" s="5">
        <v>8431</v>
      </c>
      <c r="R636" s="5">
        <v>52806</v>
      </c>
    </row>
    <row r="637" spans="1:18" x14ac:dyDescent="0.25">
      <c r="A637" t="s">
        <v>998</v>
      </c>
      <c r="B637" t="s">
        <v>494</v>
      </c>
      <c r="C637">
        <v>70285100</v>
      </c>
      <c r="D637">
        <v>954</v>
      </c>
      <c r="E637">
        <v>30861476</v>
      </c>
      <c r="F637" t="s">
        <v>999</v>
      </c>
      <c r="G637" s="1">
        <v>45238</v>
      </c>
      <c r="H637">
        <v>5414943</v>
      </c>
      <c r="I637">
        <v>96</v>
      </c>
      <c r="J637" t="s">
        <v>140</v>
      </c>
      <c r="K637" s="8" t="str">
        <f>IFERROR(IF(AND(VLOOKUP($C637,Hes!$A:$B, 1, FALSE), $M637&lt;&gt;" "), "Ingresada", "Falta Ingresar"), " ")</f>
        <v>Falta Ingresar</v>
      </c>
      <c r="L637" s="4" t="str">
        <f>IFERROR(VLOOKUP($C637,Observaciones!$A:$B,2,FALSE)," ")</f>
        <v>VEND ENVIA INFORME</v>
      </c>
      <c r="M637" t="s">
        <v>681</v>
      </c>
      <c r="N637" s="5" t="s">
        <v>841</v>
      </c>
      <c r="O637" s="5">
        <v>30861476</v>
      </c>
      <c r="P637" s="5">
        <v>10323</v>
      </c>
      <c r="Q637" s="5">
        <v>1961</v>
      </c>
      <c r="R637" s="5">
        <v>12284</v>
      </c>
    </row>
    <row r="638" spans="1:18" x14ac:dyDescent="0.25">
      <c r="A638" t="s">
        <v>998</v>
      </c>
      <c r="B638" t="s">
        <v>494</v>
      </c>
      <c r="C638">
        <v>70285100</v>
      </c>
      <c r="D638">
        <v>37</v>
      </c>
      <c r="E638">
        <v>30860975</v>
      </c>
      <c r="F638" t="s">
        <v>999</v>
      </c>
      <c r="G638" s="1">
        <v>45238</v>
      </c>
      <c r="H638">
        <v>5414950</v>
      </c>
      <c r="I638">
        <v>96</v>
      </c>
      <c r="J638" t="s">
        <v>140</v>
      </c>
      <c r="K638" s="8" t="str">
        <f>IFERROR(IF(AND(VLOOKUP($C638,Hes!$A:$B, 1, FALSE), $M638&lt;&gt;" "), "Ingresada", "Falta Ingresar"), " ")</f>
        <v>Falta Ingresar</v>
      </c>
      <c r="L638" s="4" t="str">
        <f>IFERROR(VLOOKUP($C638,Observaciones!$A:$B,2,FALSE)," ")</f>
        <v>VEND ENVIA INFORME</v>
      </c>
      <c r="M638" t="s">
        <v>681</v>
      </c>
      <c r="N638" s="5" t="s">
        <v>841</v>
      </c>
      <c r="O638" s="5">
        <v>30860975</v>
      </c>
      <c r="P638" s="5">
        <v>38706</v>
      </c>
      <c r="Q638" s="5">
        <v>7354</v>
      </c>
      <c r="R638" s="5">
        <v>46060</v>
      </c>
    </row>
    <row r="639" spans="1:18" x14ac:dyDescent="0.25">
      <c r="A639" t="s">
        <v>998</v>
      </c>
      <c r="B639" t="s">
        <v>494</v>
      </c>
      <c r="C639">
        <v>70285100</v>
      </c>
      <c r="D639">
        <v>257</v>
      </c>
      <c r="E639">
        <v>30862948</v>
      </c>
      <c r="F639" t="s">
        <v>999</v>
      </c>
      <c r="G639" s="1">
        <v>45238</v>
      </c>
      <c r="H639">
        <v>5414987</v>
      </c>
      <c r="I639">
        <v>96</v>
      </c>
      <c r="J639" t="s">
        <v>140</v>
      </c>
      <c r="K639" s="8" t="str">
        <f>IFERROR(IF(AND(VLOOKUP($C639,Hes!$A:$B, 1, FALSE), $M639&lt;&gt;" "), "Ingresada", "Falta Ingresar"), " ")</f>
        <v>Falta Ingresar</v>
      </c>
      <c r="L639" s="4" t="str">
        <f>IFERROR(VLOOKUP($C639,Observaciones!$A:$B,2,FALSE)," ")</f>
        <v>VEND ENVIA INFORME</v>
      </c>
      <c r="M639" t="s">
        <v>681</v>
      </c>
      <c r="N639" s="5" t="s">
        <v>841</v>
      </c>
      <c r="O639" s="5">
        <v>30862948</v>
      </c>
      <c r="P639" s="5">
        <v>11811</v>
      </c>
      <c r="Q639" s="5">
        <v>2244</v>
      </c>
      <c r="R639" s="5">
        <v>14055</v>
      </c>
    </row>
    <row r="640" spans="1:18" x14ac:dyDescent="0.25">
      <c r="A640" t="s">
        <v>998</v>
      </c>
      <c r="B640" t="s">
        <v>494</v>
      </c>
      <c r="C640">
        <v>70285100</v>
      </c>
      <c r="D640">
        <v>672</v>
      </c>
      <c r="E640">
        <v>30862772</v>
      </c>
      <c r="F640" t="s">
        <v>999</v>
      </c>
      <c r="G640" s="1">
        <v>45238</v>
      </c>
      <c r="H640">
        <v>5415000</v>
      </c>
      <c r="I640">
        <v>96</v>
      </c>
      <c r="J640" t="s">
        <v>140</v>
      </c>
      <c r="K640" s="8" t="str">
        <f>IFERROR(IF(AND(VLOOKUP($C640,Hes!$A:$B, 1, FALSE), $M640&lt;&gt;" "), "Ingresada", "Falta Ingresar"), " ")</f>
        <v>Falta Ingresar</v>
      </c>
      <c r="L640" s="4" t="str">
        <f>IFERROR(VLOOKUP($C640,Observaciones!$A:$B,2,FALSE)," ")</f>
        <v>VEND ENVIA INFORME</v>
      </c>
      <c r="M640" t="s">
        <v>681</v>
      </c>
      <c r="N640" s="5" t="s">
        <v>841</v>
      </c>
      <c r="O640" s="5">
        <v>30862772</v>
      </c>
      <c r="P640" s="5">
        <v>10360</v>
      </c>
      <c r="Q640" s="5">
        <v>1968</v>
      </c>
      <c r="R640" s="5">
        <v>12328</v>
      </c>
    </row>
    <row r="641" spans="1:18" x14ac:dyDescent="0.25">
      <c r="A641" t="s">
        <v>998</v>
      </c>
      <c r="B641" t="s">
        <v>494</v>
      </c>
      <c r="C641">
        <v>70285100</v>
      </c>
      <c r="D641">
        <v>615</v>
      </c>
      <c r="E641">
        <v>30862751</v>
      </c>
      <c r="F641" t="s">
        <v>999</v>
      </c>
      <c r="G641" s="1">
        <v>45238</v>
      </c>
      <c r="H641">
        <v>5415001</v>
      </c>
      <c r="I641">
        <v>96</v>
      </c>
      <c r="J641" t="s">
        <v>140</v>
      </c>
      <c r="K641" s="8" t="str">
        <f>IFERROR(IF(AND(VLOOKUP($C641,Hes!$A:$B, 1, FALSE), $M641&lt;&gt;" "), "Ingresada", "Falta Ingresar"), " ")</f>
        <v>Falta Ingresar</v>
      </c>
      <c r="L641" s="4" t="str">
        <f>IFERROR(VLOOKUP($C641,Observaciones!$A:$B,2,FALSE)," ")</f>
        <v>VEND ENVIA INFORME</v>
      </c>
      <c r="M641" t="s">
        <v>681</v>
      </c>
      <c r="N641" s="5" t="s">
        <v>841</v>
      </c>
      <c r="O641" s="5">
        <v>30862751</v>
      </c>
      <c r="P641" s="5">
        <v>34028</v>
      </c>
      <c r="Q641" s="5">
        <v>6465</v>
      </c>
      <c r="R641" s="5">
        <v>40493</v>
      </c>
    </row>
    <row r="642" spans="1:18" x14ac:dyDescent="0.25">
      <c r="A642" t="s">
        <v>998</v>
      </c>
      <c r="B642" t="s">
        <v>494</v>
      </c>
      <c r="C642">
        <v>70285100</v>
      </c>
      <c r="D642">
        <v>239</v>
      </c>
      <c r="E642">
        <v>30862755</v>
      </c>
      <c r="F642" t="s">
        <v>999</v>
      </c>
      <c r="G642" s="1">
        <v>45238</v>
      </c>
      <c r="H642">
        <v>5415002</v>
      </c>
      <c r="I642">
        <v>96</v>
      </c>
      <c r="J642" t="s">
        <v>140</v>
      </c>
      <c r="K642" s="8" t="str">
        <f>IFERROR(IF(AND(VLOOKUP($C642,Hes!$A:$B, 1, FALSE), $M642&lt;&gt;" "), "Ingresada", "Falta Ingresar"), " ")</f>
        <v>Falta Ingresar</v>
      </c>
      <c r="L642" s="4" t="str">
        <f>IFERROR(VLOOKUP($C642,Observaciones!$A:$B,2,FALSE)," ")</f>
        <v>VEND ENVIA INFORME</v>
      </c>
      <c r="M642" t="s">
        <v>681</v>
      </c>
      <c r="N642" s="5" t="s">
        <v>841</v>
      </c>
      <c r="O642" s="5">
        <v>30862755</v>
      </c>
      <c r="P642" s="5">
        <v>29769</v>
      </c>
      <c r="Q642" s="5">
        <v>5656</v>
      </c>
      <c r="R642" s="5">
        <v>35425</v>
      </c>
    </row>
    <row r="643" spans="1:18" x14ac:dyDescent="0.25">
      <c r="A643" t="s">
        <v>998</v>
      </c>
      <c r="B643" t="s">
        <v>494</v>
      </c>
      <c r="C643">
        <v>70285100</v>
      </c>
      <c r="D643">
        <v>163</v>
      </c>
      <c r="E643">
        <v>30862775</v>
      </c>
      <c r="F643" t="s">
        <v>999</v>
      </c>
      <c r="G643" s="1">
        <v>45238</v>
      </c>
      <c r="H643">
        <v>5415005</v>
      </c>
      <c r="I643">
        <v>96</v>
      </c>
      <c r="J643" t="s">
        <v>140</v>
      </c>
      <c r="K643" s="8" t="str">
        <f>IFERROR(IF(AND(VLOOKUP($C643,Hes!$A:$B, 1, FALSE), $M643&lt;&gt;" "), "Ingresada", "Falta Ingresar"), " ")</f>
        <v>Falta Ingresar</v>
      </c>
      <c r="L643" s="4" t="str">
        <f>IFERROR(VLOOKUP($C643,Observaciones!$A:$B,2,FALSE)," ")</f>
        <v>VEND ENVIA INFORME</v>
      </c>
      <c r="M643" t="s">
        <v>681</v>
      </c>
      <c r="N643" s="5" t="s">
        <v>841</v>
      </c>
      <c r="O643" s="5">
        <v>30862775</v>
      </c>
      <c r="P643" s="5">
        <v>34278</v>
      </c>
      <c r="Q643" s="5">
        <v>6513</v>
      </c>
      <c r="R643" s="5">
        <v>40791</v>
      </c>
    </row>
    <row r="644" spans="1:18" x14ac:dyDescent="0.25">
      <c r="A644" t="s">
        <v>998</v>
      </c>
      <c r="B644" t="s">
        <v>494</v>
      </c>
      <c r="C644">
        <v>70285100</v>
      </c>
      <c r="D644">
        <v>696</v>
      </c>
      <c r="E644">
        <v>30862784</v>
      </c>
      <c r="F644" t="s">
        <v>999</v>
      </c>
      <c r="G644" s="1">
        <v>45238</v>
      </c>
      <c r="H644">
        <v>5415008</v>
      </c>
      <c r="I644">
        <v>96</v>
      </c>
      <c r="J644" t="s">
        <v>140</v>
      </c>
      <c r="K644" s="8" t="str">
        <f>IFERROR(IF(AND(VLOOKUP($C644,Hes!$A:$B, 1, FALSE), $M644&lt;&gt;" "), "Ingresada", "Falta Ingresar"), " ")</f>
        <v>Falta Ingresar</v>
      </c>
      <c r="L644" s="4" t="str">
        <f>IFERROR(VLOOKUP($C644,Observaciones!$A:$B,2,FALSE)," ")</f>
        <v>VEND ENVIA INFORME</v>
      </c>
      <c r="M644" t="s">
        <v>681</v>
      </c>
      <c r="N644" s="5" t="s">
        <v>841</v>
      </c>
      <c r="O644" s="5">
        <v>30862784</v>
      </c>
      <c r="P644" s="5">
        <v>29168</v>
      </c>
      <c r="Q644" s="5">
        <v>5542</v>
      </c>
      <c r="R644" s="5">
        <v>34710</v>
      </c>
    </row>
    <row r="645" spans="1:18" x14ac:dyDescent="0.25">
      <c r="A645" t="s">
        <v>998</v>
      </c>
      <c r="B645" t="s">
        <v>494</v>
      </c>
      <c r="C645">
        <v>70285100</v>
      </c>
      <c r="D645">
        <v>293</v>
      </c>
      <c r="E645">
        <v>30862770</v>
      </c>
      <c r="F645" t="s">
        <v>999</v>
      </c>
      <c r="G645" s="1">
        <v>45238</v>
      </c>
      <c r="H645">
        <v>5415009</v>
      </c>
      <c r="I645">
        <v>96</v>
      </c>
      <c r="J645" t="s">
        <v>140</v>
      </c>
      <c r="K645" s="8" t="str">
        <f>IFERROR(IF(AND(VLOOKUP($C645,Hes!$A:$B, 1, FALSE), $M645&lt;&gt;" "), "Ingresada", "Falta Ingresar"), " ")</f>
        <v>Falta Ingresar</v>
      </c>
      <c r="L645" s="4" t="str">
        <f>IFERROR(VLOOKUP($C645,Observaciones!$A:$B,2,FALSE)," ")</f>
        <v>VEND ENVIA INFORME</v>
      </c>
      <c r="M645" t="s">
        <v>681</v>
      </c>
      <c r="N645" s="5" t="s">
        <v>841</v>
      </c>
      <c r="O645" s="5">
        <v>30862770</v>
      </c>
      <c r="P645" s="5">
        <v>14808</v>
      </c>
      <c r="Q645" s="5">
        <v>2814</v>
      </c>
      <c r="R645" s="5">
        <v>17622</v>
      </c>
    </row>
    <row r="646" spans="1:18" x14ac:dyDescent="0.25">
      <c r="A646" t="s">
        <v>998</v>
      </c>
      <c r="B646" t="s">
        <v>494</v>
      </c>
      <c r="C646">
        <v>70285100</v>
      </c>
      <c r="D646">
        <v>152</v>
      </c>
      <c r="E646">
        <v>30862757</v>
      </c>
      <c r="F646" t="s">
        <v>999</v>
      </c>
      <c r="G646" s="1">
        <v>45238</v>
      </c>
      <c r="H646">
        <v>5415011</v>
      </c>
      <c r="I646">
        <v>96</v>
      </c>
      <c r="J646" t="s">
        <v>140</v>
      </c>
      <c r="K646" s="8" t="str">
        <f>IFERROR(IF(AND(VLOOKUP($C646,Hes!$A:$B, 1, FALSE), $M646&lt;&gt;" "), "Ingresada", "Falta Ingresar"), " ")</f>
        <v>Falta Ingresar</v>
      </c>
      <c r="L646" s="4" t="str">
        <f>IFERROR(VLOOKUP($C646,Observaciones!$A:$B,2,FALSE)," ")</f>
        <v>VEND ENVIA INFORME</v>
      </c>
      <c r="M646" t="s">
        <v>681</v>
      </c>
      <c r="N646" s="5" t="s">
        <v>841</v>
      </c>
      <c r="O646" s="5">
        <v>30862757</v>
      </c>
      <c r="P646" s="5">
        <v>56304</v>
      </c>
      <c r="Q646" s="5">
        <v>10698</v>
      </c>
      <c r="R646" s="5">
        <v>67002</v>
      </c>
    </row>
    <row r="647" spans="1:18" x14ac:dyDescent="0.25">
      <c r="A647" t="s">
        <v>998</v>
      </c>
      <c r="B647" t="s">
        <v>494</v>
      </c>
      <c r="C647">
        <v>70285100</v>
      </c>
      <c r="D647">
        <v>164</v>
      </c>
      <c r="E647">
        <v>30862786</v>
      </c>
      <c r="F647" t="s">
        <v>999</v>
      </c>
      <c r="G647" s="1">
        <v>45238</v>
      </c>
      <c r="H647">
        <v>5415012</v>
      </c>
      <c r="I647">
        <v>96</v>
      </c>
      <c r="J647" t="s">
        <v>140</v>
      </c>
      <c r="K647" s="8" t="str">
        <f>IFERROR(IF(AND(VLOOKUP($C647,Hes!$A:$B, 1, FALSE), $M647&lt;&gt;" "), "Ingresada", "Falta Ingresar"), " ")</f>
        <v>Falta Ingresar</v>
      </c>
      <c r="L647" s="4" t="str">
        <f>IFERROR(VLOOKUP($C647,Observaciones!$A:$B,2,FALSE)," ")</f>
        <v>VEND ENVIA INFORME</v>
      </c>
      <c r="M647" t="s">
        <v>681</v>
      </c>
      <c r="N647" s="5" t="s">
        <v>841</v>
      </c>
      <c r="O647" s="5">
        <v>30862786</v>
      </c>
      <c r="P647" s="5">
        <v>17455</v>
      </c>
      <c r="Q647" s="5">
        <v>3316</v>
      </c>
      <c r="R647" s="5">
        <v>20771</v>
      </c>
    </row>
    <row r="648" spans="1:18" x14ac:dyDescent="0.25">
      <c r="A648" t="s">
        <v>998</v>
      </c>
      <c r="B648" t="s">
        <v>494</v>
      </c>
      <c r="C648">
        <v>70285100</v>
      </c>
      <c r="D648">
        <v>571</v>
      </c>
      <c r="E648">
        <v>30862767</v>
      </c>
      <c r="F648" t="s">
        <v>999</v>
      </c>
      <c r="G648" s="1">
        <v>45238</v>
      </c>
      <c r="H648">
        <v>5415013</v>
      </c>
      <c r="I648">
        <v>96</v>
      </c>
      <c r="J648" t="s">
        <v>140</v>
      </c>
      <c r="K648" s="8" t="str">
        <f>IFERROR(IF(AND(VLOOKUP($C648,Hes!$A:$B, 1, FALSE), $M648&lt;&gt;" "), "Ingresada", "Falta Ingresar"), " ")</f>
        <v>Falta Ingresar</v>
      </c>
      <c r="L648" s="4" t="str">
        <f>IFERROR(VLOOKUP($C648,Observaciones!$A:$B,2,FALSE)," ")</f>
        <v>VEND ENVIA INFORME</v>
      </c>
      <c r="M648" t="s">
        <v>681</v>
      </c>
      <c r="N648" s="5" t="s">
        <v>841</v>
      </c>
      <c r="O648" s="5">
        <v>30862767</v>
      </c>
      <c r="P648" s="5">
        <v>23247</v>
      </c>
      <c r="Q648" s="5">
        <v>4417</v>
      </c>
      <c r="R648" s="5">
        <v>27664</v>
      </c>
    </row>
    <row r="649" spans="1:18" x14ac:dyDescent="0.25">
      <c r="A649" t="s">
        <v>998</v>
      </c>
      <c r="B649" t="s">
        <v>494</v>
      </c>
      <c r="C649">
        <v>70285100</v>
      </c>
      <c r="D649">
        <v>185</v>
      </c>
      <c r="E649">
        <v>30863096</v>
      </c>
      <c r="F649" t="s">
        <v>999</v>
      </c>
      <c r="G649" s="1">
        <v>45238</v>
      </c>
      <c r="H649">
        <v>5415031</v>
      </c>
      <c r="I649">
        <v>96</v>
      </c>
      <c r="J649" t="s">
        <v>140</v>
      </c>
      <c r="K649" s="8" t="str">
        <f>IFERROR(IF(AND(VLOOKUP($C649,Hes!$A:$B, 1, FALSE), $M649&lt;&gt;" "), "Ingresada", "Falta Ingresar"), " ")</f>
        <v>Falta Ingresar</v>
      </c>
      <c r="L649" s="4" t="str">
        <f>IFERROR(VLOOKUP($C649,Observaciones!$A:$B,2,FALSE)," ")</f>
        <v>VEND ENVIA INFORME</v>
      </c>
      <c r="M649" t="s">
        <v>681</v>
      </c>
      <c r="N649" s="5" t="s">
        <v>841</v>
      </c>
      <c r="O649" s="5">
        <v>30863096</v>
      </c>
      <c r="P649" s="5">
        <v>42680</v>
      </c>
      <c r="Q649" s="5">
        <v>8109</v>
      </c>
      <c r="R649" s="5">
        <v>50789</v>
      </c>
    </row>
    <row r="650" spans="1:18" x14ac:dyDescent="0.25">
      <c r="A650" t="s">
        <v>998</v>
      </c>
      <c r="B650" t="s">
        <v>494</v>
      </c>
      <c r="C650">
        <v>70285100</v>
      </c>
      <c r="D650">
        <v>387</v>
      </c>
      <c r="E650">
        <v>30862779</v>
      </c>
      <c r="F650" t="s">
        <v>999</v>
      </c>
      <c r="G650" s="1">
        <v>45238</v>
      </c>
      <c r="H650">
        <v>5415054</v>
      </c>
      <c r="I650">
        <v>96</v>
      </c>
      <c r="J650" t="s">
        <v>140</v>
      </c>
      <c r="K650" s="8" t="str">
        <f>IFERROR(IF(AND(VLOOKUP($C650,Hes!$A:$B, 1, FALSE), $M650&lt;&gt;" "), "Ingresada", "Falta Ingresar"), " ")</f>
        <v>Falta Ingresar</v>
      </c>
      <c r="L650" s="4" t="str">
        <f>IFERROR(VLOOKUP($C650,Observaciones!$A:$B,2,FALSE)," ")</f>
        <v>VEND ENVIA INFORME</v>
      </c>
      <c r="M650" t="s">
        <v>681</v>
      </c>
      <c r="N650" s="5" t="s">
        <v>841</v>
      </c>
      <c r="O650" s="5">
        <v>30862779</v>
      </c>
      <c r="P650" s="5">
        <v>27738</v>
      </c>
      <c r="Q650" s="5">
        <v>5270</v>
      </c>
      <c r="R650" s="5">
        <v>33008</v>
      </c>
    </row>
    <row r="651" spans="1:18" x14ac:dyDescent="0.25">
      <c r="A651" t="s">
        <v>998</v>
      </c>
      <c r="B651" t="s">
        <v>494</v>
      </c>
      <c r="C651">
        <v>70285100</v>
      </c>
      <c r="D651">
        <v>570</v>
      </c>
      <c r="E651">
        <v>30862788</v>
      </c>
      <c r="F651" t="s">
        <v>999</v>
      </c>
      <c r="G651" s="1">
        <v>45238</v>
      </c>
      <c r="H651">
        <v>5415055</v>
      </c>
      <c r="I651">
        <v>96</v>
      </c>
      <c r="J651" t="s">
        <v>140</v>
      </c>
      <c r="K651" s="8" t="str">
        <f>IFERROR(IF(AND(VLOOKUP($C651,Hes!$A:$B, 1, FALSE), $M651&lt;&gt;" "), "Ingresada", "Falta Ingresar"), " ")</f>
        <v>Falta Ingresar</v>
      </c>
      <c r="L651" s="4" t="str">
        <f>IFERROR(VLOOKUP($C651,Observaciones!$A:$B,2,FALSE)," ")</f>
        <v>VEND ENVIA INFORME</v>
      </c>
      <c r="M651" t="s">
        <v>681</v>
      </c>
      <c r="N651" s="5" t="s">
        <v>841</v>
      </c>
      <c r="O651" s="5">
        <v>30862788</v>
      </c>
      <c r="P651" s="5">
        <v>69998</v>
      </c>
      <c r="Q651" s="5">
        <v>13300</v>
      </c>
      <c r="R651" s="5">
        <v>83298</v>
      </c>
    </row>
    <row r="652" spans="1:18" x14ac:dyDescent="0.25">
      <c r="A652" t="s">
        <v>998</v>
      </c>
      <c r="B652" t="s">
        <v>494</v>
      </c>
      <c r="C652">
        <v>70285100</v>
      </c>
      <c r="D652">
        <v>153</v>
      </c>
      <c r="E652">
        <v>30862776</v>
      </c>
      <c r="F652" t="s">
        <v>999</v>
      </c>
      <c r="G652" s="1">
        <v>45238</v>
      </c>
      <c r="H652">
        <v>5415056</v>
      </c>
      <c r="I652">
        <v>96</v>
      </c>
      <c r="J652" t="s">
        <v>140</v>
      </c>
      <c r="K652" s="8" t="str">
        <f>IFERROR(IF(AND(VLOOKUP($C652,Hes!$A:$B, 1, FALSE), $M652&lt;&gt;" "), "Ingresada", "Falta Ingresar"), " ")</f>
        <v>Falta Ingresar</v>
      </c>
      <c r="L652" s="4" t="str">
        <f>IFERROR(VLOOKUP($C652,Observaciones!$A:$B,2,FALSE)," ")</f>
        <v>VEND ENVIA INFORME</v>
      </c>
      <c r="M652" t="s">
        <v>681</v>
      </c>
      <c r="N652" s="5" t="s">
        <v>841</v>
      </c>
      <c r="O652" s="5">
        <v>30862776</v>
      </c>
      <c r="P652" s="5">
        <v>25144</v>
      </c>
      <c r="Q652" s="5">
        <v>4777</v>
      </c>
      <c r="R652" s="5">
        <v>29921</v>
      </c>
    </row>
    <row r="653" spans="1:18" x14ac:dyDescent="0.25">
      <c r="A653" t="s">
        <v>998</v>
      </c>
      <c r="B653" t="s">
        <v>494</v>
      </c>
      <c r="C653">
        <v>70285100</v>
      </c>
      <c r="D653">
        <v>199</v>
      </c>
      <c r="E653">
        <v>30862766</v>
      </c>
      <c r="F653" t="s">
        <v>999</v>
      </c>
      <c r="G653" s="1">
        <v>45238</v>
      </c>
      <c r="H653">
        <v>5415068</v>
      </c>
      <c r="I653">
        <v>96</v>
      </c>
      <c r="J653" t="s">
        <v>140</v>
      </c>
      <c r="K653" s="8" t="str">
        <f>IFERROR(IF(AND(VLOOKUP($C653,Hes!$A:$B, 1, FALSE), $M653&lt;&gt;" "), "Ingresada", "Falta Ingresar"), " ")</f>
        <v>Falta Ingresar</v>
      </c>
      <c r="L653" s="4" t="str">
        <f>IFERROR(VLOOKUP($C653,Observaciones!$A:$B,2,FALSE)," ")</f>
        <v>VEND ENVIA INFORME</v>
      </c>
      <c r="M653" t="s">
        <v>681</v>
      </c>
      <c r="N653" s="5" t="s">
        <v>841</v>
      </c>
      <c r="O653" s="5">
        <v>30862766</v>
      </c>
      <c r="P653" s="5">
        <v>14271</v>
      </c>
      <c r="Q653" s="5">
        <v>2711</v>
      </c>
      <c r="R653" s="5">
        <v>16982</v>
      </c>
    </row>
    <row r="654" spans="1:18" x14ac:dyDescent="0.25">
      <c r="A654" t="s">
        <v>998</v>
      </c>
      <c r="B654" t="s">
        <v>494</v>
      </c>
      <c r="C654">
        <v>70285100</v>
      </c>
      <c r="D654">
        <v>703</v>
      </c>
      <c r="E654">
        <v>30862758</v>
      </c>
      <c r="F654" t="s">
        <v>999</v>
      </c>
      <c r="G654" s="1">
        <v>45238</v>
      </c>
      <c r="H654">
        <v>5415082</v>
      </c>
      <c r="I654">
        <v>96</v>
      </c>
      <c r="J654" t="s">
        <v>140</v>
      </c>
      <c r="K654" s="8" t="str">
        <f>IFERROR(IF(AND(VLOOKUP($C654,Hes!$A:$B, 1, FALSE), $M654&lt;&gt;" "), "Ingresada", "Falta Ingresar"), " ")</f>
        <v>Falta Ingresar</v>
      </c>
      <c r="L654" s="4" t="str">
        <f>IFERROR(VLOOKUP($C654,Observaciones!$A:$B,2,FALSE)," ")</f>
        <v>VEND ENVIA INFORME</v>
      </c>
      <c r="M654" t="s">
        <v>681</v>
      </c>
      <c r="N654" s="5" t="s">
        <v>841</v>
      </c>
      <c r="O654" s="5">
        <v>30862758</v>
      </c>
      <c r="P654" s="5">
        <v>28477</v>
      </c>
      <c r="Q654" s="5">
        <v>5411</v>
      </c>
      <c r="R654" s="5">
        <v>33888</v>
      </c>
    </row>
    <row r="655" spans="1:18" x14ac:dyDescent="0.25">
      <c r="A655" t="s">
        <v>998</v>
      </c>
      <c r="B655" t="s">
        <v>494</v>
      </c>
      <c r="C655">
        <v>70285100</v>
      </c>
      <c r="D655">
        <v>742</v>
      </c>
      <c r="E655">
        <v>30861417</v>
      </c>
      <c r="F655" t="s">
        <v>999</v>
      </c>
      <c r="G655" s="1">
        <v>45238</v>
      </c>
      <c r="H655">
        <v>5415108</v>
      </c>
      <c r="I655">
        <v>96</v>
      </c>
      <c r="J655" t="s">
        <v>140</v>
      </c>
      <c r="K655" s="8" t="str">
        <f>IFERROR(IF(AND(VLOOKUP($C655,Hes!$A:$B, 1, FALSE), $M655&lt;&gt;" "), "Ingresada", "Falta Ingresar"), " ")</f>
        <v>Falta Ingresar</v>
      </c>
      <c r="L655" s="4" t="str">
        <f>IFERROR(VLOOKUP($C655,Observaciones!$A:$B,2,FALSE)," ")</f>
        <v>VEND ENVIA INFORME</v>
      </c>
      <c r="M655" t="s">
        <v>681</v>
      </c>
      <c r="N655" s="5" t="s">
        <v>841</v>
      </c>
      <c r="O655" s="5">
        <v>30861417</v>
      </c>
      <c r="P655" s="5">
        <v>39743</v>
      </c>
      <c r="Q655" s="5">
        <v>7551</v>
      </c>
      <c r="R655" s="5">
        <v>47294</v>
      </c>
    </row>
    <row r="656" spans="1:18" x14ac:dyDescent="0.25">
      <c r="A656" t="s">
        <v>998</v>
      </c>
      <c r="B656" t="s">
        <v>494</v>
      </c>
      <c r="C656">
        <v>70285100</v>
      </c>
      <c r="D656">
        <v>302</v>
      </c>
      <c r="E656">
        <v>30861415</v>
      </c>
      <c r="F656" t="s">
        <v>999</v>
      </c>
      <c r="G656" s="1">
        <v>45238</v>
      </c>
      <c r="H656">
        <v>5415109</v>
      </c>
      <c r="I656">
        <v>96</v>
      </c>
      <c r="J656" t="s">
        <v>140</v>
      </c>
      <c r="K656" s="8" t="str">
        <f>IFERROR(IF(AND(VLOOKUP($C656,Hes!$A:$B, 1, FALSE), $M656&lt;&gt;" "), "Ingresada", "Falta Ingresar"), " ")</f>
        <v>Falta Ingresar</v>
      </c>
      <c r="L656" s="4" t="str">
        <f>IFERROR(VLOOKUP($C656,Observaciones!$A:$B,2,FALSE)," ")</f>
        <v>VEND ENVIA INFORME</v>
      </c>
      <c r="M656" t="s">
        <v>681</v>
      </c>
      <c r="N656" s="5" t="s">
        <v>841</v>
      </c>
      <c r="O656" s="5">
        <v>30861415</v>
      </c>
      <c r="P656" s="5">
        <v>83202</v>
      </c>
      <c r="Q656" s="5">
        <v>15808</v>
      </c>
      <c r="R656" s="5">
        <v>99010</v>
      </c>
    </row>
    <row r="657" spans="1:18" x14ac:dyDescent="0.25">
      <c r="A657" t="s">
        <v>998</v>
      </c>
      <c r="B657" t="s">
        <v>494</v>
      </c>
      <c r="C657">
        <v>70285100</v>
      </c>
      <c r="D657">
        <v>52</v>
      </c>
      <c r="E657">
        <v>30863336</v>
      </c>
      <c r="F657" t="s">
        <v>999</v>
      </c>
      <c r="G657" s="1">
        <v>45238</v>
      </c>
      <c r="H657">
        <v>5415136</v>
      </c>
      <c r="I657">
        <v>96</v>
      </c>
      <c r="J657" t="s">
        <v>140</v>
      </c>
      <c r="K657" s="8" t="str">
        <f>IFERROR(IF(AND(VLOOKUP($C657,Hes!$A:$B, 1, FALSE), $M657&lt;&gt;" "), "Ingresada", "Falta Ingresar"), " ")</f>
        <v>Falta Ingresar</v>
      </c>
      <c r="L657" s="4" t="str">
        <f>IFERROR(VLOOKUP($C657,Observaciones!$A:$B,2,FALSE)," ")</f>
        <v>VEND ENVIA INFORME</v>
      </c>
      <c r="M657" t="s">
        <v>681</v>
      </c>
      <c r="N657" s="5" t="s">
        <v>841</v>
      </c>
      <c r="O657" s="5">
        <v>30863336</v>
      </c>
      <c r="P657" s="5">
        <v>12684</v>
      </c>
      <c r="Q657" s="5">
        <v>2410</v>
      </c>
      <c r="R657" s="5">
        <v>15094</v>
      </c>
    </row>
    <row r="658" spans="1:18" x14ac:dyDescent="0.25">
      <c r="A658" t="s">
        <v>998</v>
      </c>
      <c r="B658" t="s">
        <v>494</v>
      </c>
      <c r="C658">
        <v>70285100</v>
      </c>
      <c r="D658">
        <v>598</v>
      </c>
      <c r="E658">
        <v>30863390</v>
      </c>
      <c r="F658" t="s">
        <v>999</v>
      </c>
      <c r="G658" s="1">
        <v>45238</v>
      </c>
      <c r="H658">
        <v>5415137</v>
      </c>
      <c r="I658">
        <v>96</v>
      </c>
      <c r="J658" t="s">
        <v>140</v>
      </c>
      <c r="K658" s="8" t="str">
        <f>IFERROR(IF(AND(VLOOKUP($C658,Hes!$A:$B, 1, FALSE), $M658&lt;&gt;" "), "Ingresada", "Falta Ingresar"), " ")</f>
        <v>Falta Ingresar</v>
      </c>
      <c r="L658" s="4" t="str">
        <f>IFERROR(VLOOKUP($C658,Observaciones!$A:$B,2,FALSE)," ")</f>
        <v>VEND ENVIA INFORME</v>
      </c>
      <c r="M658" t="s">
        <v>681</v>
      </c>
      <c r="N658" s="5" t="s">
        <v>841</v>
      </c>
      <c r="O658" s="5">
        <v>30863390</v>
      </c>
      <c r="P658" s="5">
        <v>55466</v>
      </c>
      <c r="Q658" s="5">
        <v>10539</v>
      </c>
      <c r="R658" s="5">
        <v>66005</v>
      </c>
    </row>
    <row r="659" spans="1:18" x14ac:dyDescent="0.25">
      <c r="A659" t="s">
        <v>998</v>
      </c>
      <c r="B659" t="s">
        <v>494</v>
      </c>
      <c r="C659">
        <v>70285100</v>
      </c>
      <c r="D659">
        <v>314</v>
      </c>
      <c r="E659">
        <v>30864085</v>
      </c>
      <c r="F659" t="s">
        <v>999</v>
      </c>
      <c r="G659" s="1">
        <v>45238</v>
      </c>
      <c r="H659">
        <v>5415139</v>
      </c>
      <c r="I659">
        <v>96</v>
      </c>
      <c r="J659" t="s">
        <v>140</v>
      </c>
      <c r="K659" s="8" t="str">
        <f>IFERROR(IF(AND(VLOOKUP($C659,Hes!$A:$B, 1, FALSE), $M659&lt;&gt;" "), "Ingresada", "Falta Ingresar"), " ")</f>
        <v>Falta Ingresar</v>
      </c>
      <c r="L659" s="4" t="str">
        <f>IFERROR(VLOOKUP($C659,Observaciones!$A:$B,2,FALSE)," ")</f>
        <v>VEND ENVIA INFORME</v>
      </c>
      <c r="M659" t="s">
        <v>681</v>
      </c>
      <c r="N659" s="5" t="s">
        <v>841</v>
      </c>
      <c r="O659" s="5">
        <v>30864085</v>
      </c>
      <c r="P659" s="5">
        <v>61615</v>
      </c>
      <c r="Q659" s="5">
        <v>11707</v>
      </c>
      <c r="R659" s="5">
        <v>73322</v>
      </c>
    </row>
    <row r="660" spans="1:18" x14ac:dyDescent="0.25">
      <c r="A660" t="s">
        <v>998</v>
      </c>
      <c r="B660" t="s">
        <v>494</v>
      </c>
      <c r="C660">
        <v>70285100</v>
      </c>
      <c r="D660">
        <v>532</v>
      </c>
      <c r="E660">
        <v>30862947</v>
      </c>
      <c r="F660" t="s">
        <v>999</v>
      </c>
      <c r="G660" s="1">
        <v>45238</v>
      </c>
      <c r="H660">
        <v>5415187</v>
      </c>
      <c r="I660">
        <v>96</v>
      </c>
      <c r="J660" t="s">
        <v>140</v>
      </c>
      <c r="K660" s="8" t="str">
        <f>IFERROR(IF(AND(VLOOKUP($C660,Hes!$A:$B, 1, FALSE), $M660&lt;&gt;" "), "Ingresada", "Falta Ingresar"), " ")</f>
        <v>Falta Ingresar</v>
      </c>
      <c r="L660" s="4" t="str">
        <f>IFERROR(VLOOKUP($C660,Observaciones!$A:$B,2,FALSE)," ")</f>
        <v>VEND ENVIA INFORME</v>
      </c>
      <c r="M660" t="s">
        <v>681</v>
      </c>
      <c r="N660" s="5" t="s">
        <v>841</v>
      </c>
      <c r="O660" s="5">
        <v>30862947</v>
      </c>
      <c r="P660" s="5">
        <v>309973</v>
      </c>
      <c r="Q660" s="5">
        <v>58895</v>
      </c>
      <c r="R660" s="5">
        <v>368868</v>
      </c>
    </row>
    <row r="661" spans="1:18" x14ac:dyDescent="0.25">
      <c r="A661" t="s">
        <v>998</v>
      </c>
      <c r="B661" t="s">
        <v>494</v>
      </c>
      <c r="C661">
        <v>70285100</v>
      </c>
      <c r="D661">
        <v>1210</v>
      </c>
      <c r="E661">
        <v>30862949</v>
      </c>
      <c r="F661" t="s">
        <v>999</v>
      </c>
      <c r="G661" s="1">
        <v>45238</v>
      </c>
      <c r="H661">
        <v>5415188</v>
      </c>
      <c r="I661">
        <v>96</v>
      </c>
      <c r="J661" t="s">
        <v>140</v>
      </c>
      <c r="K661" s="8" t="str">
        <f>IFERROR(IF(AND(VLOOKUP($C661,Hes!$A:$B, 1, FALSE), $M661&lt;&gt;" "), "Ingresada", "Falta Ingresar"), " ")</f>
        <v>Falta Ingresar</v>
      </c>
      <c r="L661" s="4" t="str">
        <f>IFERROR(VLOOKUP($C661,Observaciones!$A:$B,2,FALSE)," ")</f>
        <v>VEND ENVIA INFORME</v>
      </c>
      <c r="M661" t="s">
        <v>681</v>
      </c>
      <c r="N661" s="5" t="s">
        <v>841</v>
      </c>
      <c r="O661" s="5">
        <v>30862949</v>
      </c>
      <c r="P661" s="5">
        <v>99389</v>
      </c>
      <c r="Q661" s="5">
        <v>18884</v>
      </c>
      <c r="R661" s="5">
        <v>118273</v>
      </c>
    </row>
    <row r="662" spans="1:18" x14ac:dyDescent="0.25">
      <c r="A662" t="s">
        <v>998</v>
      </c>
      <c r="B662" t="s">
        <v>494</v>
      </c>
      <c r="C662">
        <v>70285100</v>
      </c>
      <c r="D662">
        <v>313</v>
      </c>
      <c r="E662">
        <v>30864831</v>
      </c>
      <c r="F662" t="s">
        <v>999</v>
      </c>
      <c r="G662" s="1">
        <v>45238</v>
      </c>
      <c r="H662">
        <v>5415210</v>
      </c>
      <c r="I662">
        <v>96</v>
      </c>
      <c r="J662" t="s">
        <v>140</v>
      </c>
      <c r="K662" s="8" t="str">
        <f>IFERROR(IF(AND(VLOOKUP($C662,Hes!$A:$B, 1, FALSE), $M662&lt;&gt;" "), "Ingresada", "Falta Ingresar"), " ")</f>
        <v>Falta Ingresar</v>
      </c>
      <c r="L662" s="4" t="str">
        <f>IFERROR(VLOOKUP($C662,Observaciones!$A:$B,2,FALSE)," ")</f>
        <v>VEND ENVIA INFORME</v>
      </c>
      <c r="M662" t="s">
        <v>681</v>
      </c>
      <c r="N662" s="5" t="s">
        <v>841</v>
      </c>
      <c r="O662" s="5">
        <v>30864831</v>
      </c>
      <c r="P662" s="5">
        <v>36457</v>
      </c>
      <c r="Q662" s="5">
        <v>6927</v>
      </c>
      <c r="R662" s="5">
        <v>43384</v>
      </c>
    </row>
    <row r="663" spans="1:18" x14ac:dyDescent="0.25">
      <c r="A663" t="s">
        <v>998</v>
      </c>
      <c r="B663" t="s">
        <v>494</v>
      </c>
      <c r="C663">
        <v>70285100</v>
      </c>
      <c r="D663">
        <v>580</v>
      </c>
      <c r="E663">
        <v>30863776</v>
      </c>
      <c r="F663" t="s">
        <v>999</v>
      </c>
      <c r="G663" s="1">
        <v>45238</v>
      </c>
      <c r="H663">
        <v>5415212</v>
      </c>
      <c r="I663">
        <v>96</v>
      </c>
      <c r="J663" t="s">
        <v>140</v>
      </c>
      <c r="K663" s="8" t="str">
        <f>IFERROR(IF(AND(VLOOKUP($C663,Hes!$A:$B, 1, FALSE), $M663&lt;&gt;" "), "Ingresada", "Falta Ingresar"), " ")</f>
        <v>Falta Ingresar</v>
      </c>
      <c r="L663" s="4" t="str">
        <f>IFERROR(VLOOKUP($C663,Observaciones!$A:$B,2,FALSE)," ")</f>
        <v>VEND ENVIA INFORME</v>
      </c>
      <c r="M663" t="s">
        <v>681</v>
      </c>
      <c r="N663" s="5" t="s">
        <v>841</v>
      </c>
      <c r="O663" s="5">
        <v>30863776</v>
      </c>
      <c r="P663" s="5">
        <v>27527</v>
      </c>
      <c r="Q663" s="5">
        <v>5230</v>
      </c>
      <c r="R663" s="5">
        <v>32757</v>
      </c>
    </row>
    <row r="664" spans="1:18" x14ac:dyDescent="0.25">
      <c r="A664" t="s">
        <v>998</v>
      </c>
      <c r="B664" t="s">
        <v>494</v>
      </c>
      <c r="C664">
        <v>70285100</v>
      </c>
      <c r="D664">
        <v>321</v>
      </c>
      <c r="E664">
        <v>30865060</v>
      </c>
      <c r="F664" t="s">
        <v>999</v>
      </c>
      <c r="G664" s="1">
        <v>45237</v>
      </c>
      <c r="H664">
        <v>5415229</v>
      </c>
      <c r="I664">
        <v>96</v>
      </c>
      <c r="J664" t="s">
        <v>140</v>
      </c>
      <c r="K664" s="8" t="str">
        <f>IFERROR(IF(AND(VLOOKUP($C664,Hes!$A:$B, 1, FALSE), $M664&lt;&gt;" "), "Ingresada", "Falta Ingresar"), " ")</f>
        <v>Falta Ingresar</v>
      </c>
      <c r="L664" s="4" t="str">
        <f>IFERROR(VLOOKUP($C664,Observaciones!$A:$B,2,FALSE)," ")</f>
        <v>VEND ENVIA INFORME</v>
      </c>
      <c r="M664" t="s">
        <v>681</v>
      </c>
      <c r="N664" s="5" t="s">
        <v>841</v>
      </c>
      <c r="O664" s="5">
        <v>30865060</v>
      </c>
      <c r="P664" s="5">
        <v>9513</v>
      </c>
      <c r="Q664" s="5">
        <v>1807</v>
      </c>
      <c r="R664" s="5">
        <v>11320</v>
      </c>
    </row>
    <row r="665" spans="1:18" x14ac:dyDescent="0.25">
      <c r="A665" t="s">
        <v>998</v>
      </c>
      <c r="B665" t="s">
        <v>494</v>
      </c>
      <c r="C665">
        <v>70285100</v>
      </c>
      <c r="D665">
        <v>180</v>
      </c>
      <c r="E665">
        <v>30863684</v>
      </c>
      <c r="F665" t="s">
        <v>999</v>
      </c>
      <c r="G665" s="1">
        <v>45238</v>
      </c>
      <c r="H665">
        <v>5415237</v>
      </c>
      <c r="I665">
        <v>96</v>
      </c>
      <c r="J665" t="s">
        <v>140</v>
      </c>
      <c r="K665" s="8" t="str">
        <f>IFERROR(IF(AND(VLOOKUP($C665,Hes!$A:$B, 1, FALSE), $M665&lt;&gt;" "), "Ingresada", "Falta Ingresar"), " ")</f>
        <v>Falta Ingresar</v>
      </c>
      <c r="L665" s="4" t="str">
        <f>IFERROR(VLOOKUP($C665,Observaciones!$A:$B,2,FALSE)," ")</f>
        <v>VEND ENVIA INFORME</v>
      </c>
      <c r="M665" t="s">
        <v>681</v>
      </c>
      <c r="N665" s="5" t="s">
        <v>841</v>
      </c>
      <c r="O665" s="5">
        <v>30863684</v>
      </c>
      <c r="P665" s="5">
        <v>68391</v>
      </c>
      <c r="Q665" s="5">
        <v>12994</v>
      </c>
      <c r="R665" s="5">
        <v>81385</v>
      </c>
    </row>
    <row r="666" spans="1:18" x14ac:dyDescent="0.25">
      <c r="A666" t="s">
        <v>998</v>
      </c>
      <c r="B666" t="s">
        <v>494</v>
      </c>
      <c r="C666">
        <v>70285100</v>
      </c>
      <c r="D666">
        <v>198</v>
      </c>
      <c r="E666">
        <v>30863563</v>
      </c>
      <c r="F666" t="s">
        <v>999</v>
      </c>
      <c r="G666" s="1">
        <v>45237</v>
      </c>
      <c r="H666">
        <v>5415252</v>
      </c>
      <c r="I666">
        <v>96</v>
      </c>
      <c r="J666" t="s">
        <v>140</v>
      </c>
      <c r="K666" s="8" t="str">
        <f>IFERROR(IF(AND(VLOOKUP($C666,Hes!$A:$B, 1, FALSE), $M666&lt;&gt;" "), "Ingresada", "Falta Ingresar"), " ")</f>
        <v>Falta Ingresar</v>
      </c>
      <c r="L666" s="4" t="str">
        <f>IFERROR(VLOOKUP($C666,Observaciones!$A:$B,2,FALSE)," ")</f>
        <v>VEND ENVIA INFORME</v>
      </c>
      <c r="M666" t="s">
        <v>681</v>
      </c>
      <c r="N666" s="5" t="s">
        <v>841</v>
      </c>
      <c r="O666" s="5">
        <v>30863563</v>
      </c>
      <c r="P666" s="5">
        <v>26965</v>
      </c>
      <c r="Q666" s="5">
        <v>5123</v>
      </c>
      <c r="R666" s="5">
        <v>32088</v>
      </c>
    </row>
    <row r="667" spans="1:18" x14ac:dyDescent="0.25">
      <c r="A667" t="s">
        <v>998</v>
      </c>
      <c r="B667" t="s">
        <v>494</v>
      </c>
      <c r="C667">
        <v>70285100</v>
      </c>
      <c r="D667">
        <v>631</v>
      </c>
      <c r="E667">
        <v>30861811</v>
      </c>
      <c r="F667" t="s">
        <v>999</v>
      </c>
      <c r="G667" s="1">
        <v>45237</v>
      </c>
      <c r="H667">
        <v>5415258</v>
      </c>
      <c r="I667">
        <v>96</v>
      </c>
      <c r="J667" t="s">
        <v>140</v>
      </c>
      <c r="K667" s="8" t="str">
        <f>IFERROR(IF(AND(VLOOKUP($C667,Hes!$A:$B, 1, FALSE), $M667&lt;&gt;" "), "Ingresada", "Falta Ingresar"), " ")</f>
        <v>Falta Ingresar</v>
      </c>
      <c r="L667" s="4" t="str">
        <f>IFERROR(VLOOKUP($C667,Observaciones!$A:$B,2,FALSE)," ")</f>
        <v>VEND ENVIA INFORME</v>
      </c>
      <c r="M667" t="s">
        <v>681</v>
      </c>
      <c r="N667" s="5" t="s">
        <v>841</v>
      </c>
      <c r="O667" s="5">
        <v>30861811</v>
      </c>
      <c r="P667" s="5">
        <v>136708</v>
      </c>
      <c r="Q667" s="5">
        <v>25975</v>
      </c>
      <c r="R667" s="5">
        <v>162683</v>
      </c>
    </row>
    <row r="668" spans="1:18" x14ac:dyDescent="0.25">
      <c r="A668" t="s">
        <v>998</v>
      </c>
      <c r="B668" t="s">
        <v>494</v>
      </c>
      <c r="C668">
        <v>70285100</v>
      </c>
      <c r="D668">
        <v>171</v>
      </c>
      <c r="E668">
        <v>30863857</v>
      </c>
      <c r="F668" t="s">
        <v>999</v>
      </c>
      <c r="G668" s="1">
        <v>45238</v>
      </c>
      <c r="H668">
        <v>5415290</v>
      </c>
      <c r="I668">
        <v>96</v>
      </c>
      <c r="J668" t="s">
        <v>140</v>
      </c>
      <c r="K668" s="8" t="str">
        <f>IFERROR(IF(AND(VLOOKUP($C668,Hes!$A:$B, 1, FALSE), $M668&lt;&gt;" "), "Ingresada", "Falta Ingresar"), " ")</f>
        <v>Falta Ingresar</v>
      </c>
      <c r="L668" s="4" t="str">
        <f>IFERROR(VLOOKUP($C668,Observaciones!$A:$B,2,FALSE)," ")</f>
        <v>VEND ENVIA INFORME</v>
      </c>
      <c r="M668" t="s">
        <v>681</v>
      </c>
      <c r="N668" s="5" t="s">
        <v>841</v>
      </c>
      <c r="O668" s="5">
        <v>30863857</v>
      </c>
      <c r="P668" s="5">
        <v>8360</v>
      </c>
      <c r="Q668" s="5">
        <v>1588</v>
      </c>
      <c r="R668" s="5">
        <v>9948</v>
      </c>
    </row>
    <row r="669" spans="1:18" x14ac:dyDescent="0.25">
      <c r="A669" t="s">
        <v>998</v>
      </c>
      <c r="B669" t="s">
        <v>494</v>
      </c>
      <c r="C669">
        <v>70285100</v>
      </c>
      <c r="D669">
        <v>582</v>
      </c>
      <c r="E669">
        <v>30863843</v>
      </c>
      <c r="F669" t="s">
        <v>999</v>
      </c>
      <c r="G669" s="1">
        <v>45238</v>
      </c>
      <c r="H669">
        <v>5415292</v>
      </c>
      <c r="I669">
        <v>96</v>
      </c>
      <c r="J669" t="s">
        <v>140</v>
      </c>
      <c r="K669" s="8" t="str">
        <f>IFERROR(IF(AND(VLOOKUP($C669,Hes!$A:$B, 1, FALSE), $M669&lt;&gt;" "), "Ingresada", "Falta Ingresar"), " ")</f>
        <v>Falta Ingresar</v>
      </c>
      <c r="L669" s="4" t="str">
        <f>IFERROR(VLOOKUP($C669,Observaciones!$A:$B,2,FALSE)," ")</f>
        <v>VEND ENVIA INFORME</v>
      </c>
      <c r="M669" t="s">
        <v>681</v>
      </c>
      <c r="N669" s="5" t="s">
        <v>841</v>
      </c>
      <c r="O669" s="5">
        <v>30863843</v>
      </c>
      <c r="P669" s="5">
        <v>27249</v>
      </c>
      <c r="Q669" s="5">
        <v>5177</v>
      </c>
      <c r="R669" s="5">
        <v>32426</v>
      </c>
    </row>
    <row r="670" spans="1:18" x14ac:dyDescent="0.25">
      <c r="A670" t="s">
        <v>998</v>
      </c>
      <c r="B670" t="s">
        <v>494</v>
      </c>
      <c r="C670">
        <v>70285100</v>
      </c>
      <c r="D670">
        <v>614</v>
      </c>
      <c r="E670">
        <v>30863699</v>
      </c>
      <c r="F670" t="s">
        <v>999</v>
      </c>
      <c r="G670" s="1">
        <v>45238</v>
      </c>
      <c r="H670">
        <v>5415296</v>
      </c>
      <c r="I670">
        <v>96</v>
      </c>
      <c r="J670" t="s">
        <v>140</v>
      </c>
      <c r="K670" s="8" t="str">
        <f>IFERROR(IF(AND(VLOOKUP($C670,Hes!$A:$B, 1, FALSE), $M670&lt;&gt;" "), "Ingresada", "Falta Ingresar"), " ")</f>
        <v>Falta Ingresar</v>
      </c>
      <c r="L670" s="4" t="str">
        <f>IFERROR(VLOOKUP($C670,Observaciones!$A:$B,2,FALSE)," ")</f>
        <v>VEND ENVIA INFORME</v>
      </c>
      <c r="M670" t="s">
        <v>681</v>
      </c>
      <c r="N670" s="5" t="s">
        <v>841</v>
      </c>
      <c r="O670" s="5">
        <v>30863699</v>
      </c>
      <c r="P670" s="5">
        <v>119323</v>
      </c>
      <c r="Q670" s="5">
        <v>22671</v>
      </c>
      <c r="R670" s="5">
        <v>141994</v>
      </c>
    </row>
    <row r="671" spans="1:18" x14ac:dyDescent="0.25">
      <c r="A671" t="s">
        <v>998</v>
      </c>
      <c r="B671" t="s">
        <v>494</v>
      </c>
      <c r="C671">
        <v>70285100</v>
      </c>
      <c r="D671">
        <v>693</v>
      </c>
      <c r="E671">
        <v>30865056</v>
      </c>
      <c r="F671" t="s">
        <v>999</v>
      </c>
      <c r="G671" s="1">
        <v>45238</v>
      </c>
      <c r="H671">
        <v>5415304</v>
      </c>
      <c r="I671">
        <v>96</v>
      </c>
      <c r="J671" t="s">
        <v>140</v>
      </c>
      <c r="K671" s="8" t="str">
        <f>IFERROR(IF(AND(VLOOKUP($C671,Hes!$A:$B, 1, FALSE), $M671&lt;&gt;" "), "Ingresada", "Falta Ingresar"), " ")</f>
        <v>Falta Ingresar</v>
      </c>
      <c r="L671" s="4" t="str">
        <f>IFERROR(VLOOKUP($C671,Observaciones!$A:$B,2,FALSE)," ")</f>
        <v>VEND ENVIA INFORME</v>
      </c>
      <c r="M671" t="s">
        <v>681</v>
      </c>
      <c r="N671" s="5" t="s">
        <v>841</v>
      </c>
      <c r="O671" s="5">
        <v>30865056</v>
      </c>
      <c r="P671" s="5">
        <v>16753</v>
      </c>
      <c r="Q671" s="5">
        <v>3183</v>
      </c>
      <c r="R671" s="5">
        <v>19936</v>
      </c>
    </row>
    <row r="672" spans="1:18" x14ac:dyDescent="0.25">
      <c r="A672" t="s">
        <v>998</v>
      </c>
      <c r="B672" t="s">
        <v>494</v>
      </c>
      <c r="C672">
        <v>70285100</v>
      </c>
      <c r="D672">
        <v>430</v>
      </c>
      <c r="E672">
        <v>30863652</v>
      </c>
      <c r="F672" t="s">
        <v>999</v>
      </c>
      <c r="G672" s="1">
        <v>45238</v>
      </c>
      <c r="H672">
        <v>5415310</v>
      </c>
      <c r="I672">
        <v>96</v>
      </c>
      <c r="J672" t="s">
        <v>140</v>
      </c>
      <c r="K672" s="8" t="str">
        <f>IFERROR(IF(AND(VLOOKUP($C672,Hes!$A:$B, 1, FALSE), $M672&lt;&gt;" "), "Ingresada", "Falta Ingresar"), " ")</f>
        <v>Falta Ingresar</v>
      </c>
      <c r="L672" s="4" t="str">
        <f>IFERROR(VLOOKUP($C672,Observaciones!$A:$B,2,FALSE)," ")</f>
        <v>VEND ENVIA INFORME</v>
      </c>
      <c r="M672" t="s">
        <v>681</v>
      </c>
      <c r="N672" s="5" t="s">
        <v>841</v>
      </c>
      <c r="O672" s="5">
        <v>30863652</v>
      </c>
      <c r="P672" s="5">
        <v>10815</v>
      </c>
      <c r="Q672" s="5">
        <v>2055</v>
      </c>
      <c r="R672" s="5">
        <v>12870</v>
      </c>
    </row>
    <row r="673" spans="1:18" x14ac:dyDescent="0.25">
      <c r="A673" t="s">
        <v>998</v>
      </c>
      <c r="B673" t="s">
        <v>494</v>
      </c>
      <c r="C673">
        <v>70285100</v>
      </c>
      <c r="D673">
        <v>181</v>
      </c>
      <c r="E673">
        <v>30863578</v>
      </c>
      <c r="F673" t="s">
        <v>999</v>
      </c>
      <c r="G673" s="1">
        <v>45238</v>
      </c>
      <c r="H673">
        <v>5415316</v>
      </c>
      <c r="I673">
        <v>96</v>
      </c>
      <c r="J673" t="s">
        <v>140</v>
      </c>
      <c r="K673" s="8" t="str">
        <f>IFERROR(IF(AND(VLOOKUP($C673,Hes!$A:$B, 1, FALSE), $M673&lt;&gt;" "), "Ingresada", "Falta Ingresar"), " ")</f>
        <v>Falta Ingresar</v>
      </c>
      <c r="L673" s="4" t="str">
        <f>IFERROR(VLOOKUP($C673,Observaciones!$A:$B,2,FALSE)," ")</f>
        <v>VEND ENVIA INFORME</v>
      </c>
      <c r="M673" t="s">
        <v>681</v>
      </c>
      <c r="N673" s="5" t="s">
        <v>841</v>
      </c>
      <c r="O673" s="5">
        <v>30863578</v>
      </c>
      <c r="P673" s="5">
        <v>60559</v>
      </c>
      <c r="Q673" s="5">
        <v>11506</v>
      </c>
      <c r="R673" s="5">
        <v>72065</v>
      </c>
    </row>
    <row r="674" spans="1:18" x14ac:dyDescent="0.25">
      <c r="A674" t="s">
        <v>998</v>
      </c>
      <c r="B674" t="s">
        <v>494</v>
      </c>
      <c r="C674">
        <v>70285100</v>
      </c>
      <c r="D674">
        <v>42</v>
      </c>
      <c r="E674">
        <v>30856745</v>
      </c>
      <c r="F674" t="s">
        <v>999</v>
      </c>
      <c r="G674" s="1">
        <v>45238</v>
      </c>
      <c r="H674">
        <v>5415329</v>
      </c>
      <c r="I674">
        <v>96</v>
      </c>
      <c r="J674" t="s">
        <v>140</v>
      </c>
      <c r="K674" s="8" t="str">
        <f>IFERROR(IF(AND(VLOOKUP($C674,Hes!$A:$B, 1, FALSE), $M674&lt;&gt;" "), "Ingresada", "Falta Ingresar"), " ")</f>
        <v>Falta Ingresar</v>
      </c>
      <c r="L674" s="4" t="str">
        <f>IFERROR(VLOOKUP($C674,Observaciones!$A:$B,2,FALSE)," ")</f>
        <v>VEND ENVIA INFORME</v>
      </c>
      <c r="M674" t="s">
        <v>681</v>
      </c>
      <c r="N674" s="5" t="s">
        <v>841</v>
      </c>
      <c r="O674" s="5">
        <v>30856745</v>
      </c>
      <c r="P674" s="5">
        <v>109210</v>
      </c>
      <c r="Q674" s="5">
        <v>20750</v>
      </c>
      <c r="R674" s="5">
        <v>129960</v>
      </c>
    </row>
    <row r="675" spans="1:18" x14ac:dyDescent="0.25">
      <c r="A675" t="s">
        <v>998</v>
      </c>
      <c r="B675" t="s">
        <v>494</v>
      </c>
      <c r="C675">
        <v>70285100</v>
      </c>
      <c r="D675">
        <v>644</v>
      </c>
      <c r="E675">
        <v>30866003</v>
      </c>
      <c r="F675" t="s">
        <v>999</v>
      </c>
      <c r="G675" s="1">
        <v>45238</v>
      </c>
      <c r="H675">
        <v>5415355</v>
      </c>
      <c r="I675">
        <v>96</v>
      </c>
      <c r="J675" t="s">
        <v>140</v>
      </c>
      <c r="K675" s="8" t="str">
        <f>IFERROR(IF(AND(VLOOKUP($C675,Hes!$A:$B, 1, FALSE), $M675&lt;&gt;" "), "Ingresada", "Falta Ingresar"), " ")</f>
        <v>Falta Ingresar</v>
      </c>
      <c r="L675" s="4" t="str">
        <f>IFERROR(VLOOKUP($C675,Observaciones!$A:$B,2,FALSE)," ")</f>
        <v>VEND ENVIA INFORME</v>
      </c>
      <c r="M675" t="s">
        <v>681</v>
      </c>
      <c r="N675" s="5" t="s">
        <v>841</v>
      </c>
      <c r="O675" s="5">
        <v>30866003</v>
      </c>
      <c r="P675" s="5">
        <v>81002</v>
      </c>
      <c r="Q675" s="5">
        <v>15390</v>
      </c>
      <c r="R675" s="5">
        <v>96392</v>
      </c>
    </row>
    <row r="676" spans="1:18" x14ac:dyDescent="0.25">
      <c r="A676" t="s">
        <v>998</v>
      </c>
      <c r="B676" t="s">
        <v>494</v>
      </c>
      <c r="C676">
        <v>70285100</v>
      </c>
      <c r="D676">
        <v>607</v>
      </c>
      <c r="E676">
        <v>30863653</v>
      </c>
      <c r="F676" t="s">
        <v>999</v>
      </c>
      <c r="G676" s="1">
        <v>45238</v>
      </c>
      <c r="H676">
        <v>5415373</v>
      </c>
      <c r="I676">
        <v>96</v>
      </c>
      <c r="J676" t="s">
        <v>140</v>
      </c>
      <c r="K676" s="8" t="str">
        <f>IFERROR(IF(AND(VLOOKUP($C676,Hes!$A:$B, 1, FALSE), $M676&lt;&gt;" "), "Ingresada", "Falta Ingresar"), " ")</f>
        <v>Falta Ingresar</v>
      </c>
      <c r="L676" s="4" t="str">
        <f>IFERROR(VLOOKUP($C676,Observaciones!$A:$B,2,FALSE)," ")</f>
        <v>VEND ENVIA INFORME</v>
      </c>
      <c r="M676" t="s">
        <v>681</v>
      </c>
      <c r="N676" s="5" t="s">
        <v>841</v>
      </c>
      <c r="O676" s="5">
        <v>30863653</v>
      </c>
      <c r="P676" s="5">
        <v>89097</v>
      </c>
      <c r="Q676" s="5">
        <v>16928</v>
      </c>
      <c r="R676" s="5">
        <v>106025</v>
      </c>
    </row>
    <row r="677" spans="1:18" x14ac:dyDescent="0.25">
      <c r="A677" t="s">
        <v>998</v>
      </c>
      <c r="B677" t="s">
        <v>494</v>
      </c>
      <c r="C677">
        <v>70285100</v>
      </c>
      <c r="D677">
        <v>593</v>
      </c>
      <c r="E677">
        <v>30863628</v>
      </c>
      <c r="F677" t="s">
        <v>999</v>
      </c>
      <c r="G677" s="1">
        <v>45238</v>
      </c>
      <c r="H677">
        <v>5415374</v>
      </c>
      <c r="I677">
        <v>96</v>
      </c>
      <c r="J677" t="s">
        <v>140</v>
      </c>
      <c r="K677" s="8" t="str">
        <f>IFERROR(IF(AND(VLOOKUP($C677,Hes!$A:$B, 1, FALSE), $M677&lt;&gt;" "), "Ingresada", "Falta Ingresar"), " ")</f>
        <v>Falta Ingresar</v>
      </c>
      <c r="L677" s="4" t="str">
        <f>IFERROR(VLOOKUP($C677,Observaciones!$A:$B,2,FALSE)," ")</f>
        <v>VEND ENVIA INFORME</v>
      </c>
      <c r="M677" t="s">
        <v>681</v>
      </c>
      <c r="N677" s="5" t="s">
        <v>841</v>
      </c>
      <c r="O677" s="5">
        <v>30863628</v>
      </c>
      <c r="P677" s="5">
        <v>130562</v>
      </c>
      <c r="Q677" s="5">
        <v>24807</v>
      </c>
      <c r="R677" s="5">
        <v>155369</v>
      </c>
    </row>
    <row r="678" spans="1:18" x14ac:dyDescent="0.25">
      <c r="A678" t="s">
        <v>998</v>
      </c>
      <c r="B678" t="s">
        <v>494</v>
      </c>
      <c r="C678">
        <v>70285100</v>
      </c>
      <c r="D678">
        <v>170</v>
      </c>
      <c r="E678">
        <v>30863585</v>
      </c>
      <c r="F678" t="s">
        <v>999</v>
      </c>
      <c r="G678" s="1">
        <v>45238</v>
      </c>
      <c r="H678">
        <v>5415375</v>
      </c>
      <c r="I678">
        <v>96</v>
      </c>
      <c r="J678" t="s">
        <v>140</v>
      </c>
      <c r="K678" s="8" t="str">
        <f>IFERROR(IF(AND(VLOOKUP($C678,Hes!$A:$B, 1, FALSE), $M678&lt;&gt;" "), "Ingresada", "Falta Ingresar"), " ")</f>
        <v>Falta Ingresar</v>
      </c>
      <c r="L678" s="4" t="str">
        <f>IFERROR(VLOOKUP($C678,Observaciones!$A:$B,2,FALSE)," ")</f>
        <v>VEND ENVIA INFORME</v>
      </c>
      <c r="M678" t="s">
        <v>681</v>
      </c>
      <c r="N678" s="5" t="s">
        <v>841</v>
      </c>
      <c r="O678" s="5">
        <v>30863585</v>
      </c>
      <c r="P678" s="5">
        <v>39136</v>
      </c>
      <c r="Q678" s="5">
        <v>7436</v>
      </c>
      <c r="R678" s="5">
        <v>46572</v>
      </c>
    </row>
    <row r="679" spans="1:18" x14ac:dyDescent="0.25">
      <c r="A679" t="s">
        <v>998</v>
      </c>
      <c r="B679" t="s">
        <v>494</v>
      </c>
      <c r="C679">
        <v>70285100</v>
      </c>
      <c r="D679">
        <v>578</v>
      </c>
      <c r="E679">
        <v>30863605</v>
      </c>
      <c r="F679" t="s">
        <v>999</v>
      </c>
      <c r="G679" s="1">
        <v>45238</v>
      </c>
      <c r="H679">
        <v>5415376</v>
      </c>
      <c r="I679">
        <v>96</v>
      </c>
      <c r="J679" t="s">
        <v>140</v>
      </c>
      <c r="K679" s="8" t="str">
        <f>IFERROR(IF(AND(VLOOKUP($C679,Hes!$A:$B, 1, FALSE), $M679&lt;&gt;" "), "Ingresada", "Falta Ingresar"), " ")</f>
        <v>Falta Ingresar</v>
      </c>
      <c r="L679" s="4" t="str">
        <f>IFERROR(VLOOKUP($C679,Observaciones!$A:$B,2,FALSE)," ")</f>
        <v>VEND ENVIA INFORME</v>
      </c>
      <c r="M679" t="s">
        <v>681</v>
      </c>
      <c r="N679" s="5" t="s">
        <v>841</v>
      </c>
      <c r="O679" s="5">
        <v>30863605</v>
      </c>
      <c r="P679" s="5">
        <v>24666</v>
      </c>
      <c r="Q679" s="5">
        <v>4687</v>
      </c>
      <c r="R679" s="5">
        <v>29353</v>
      </c>
    </row>
    <row r="680" spans="1:18" x14ac:dyDescent="0.25">
      <c r="A680" t="s">
        <v>998</v>
      </c>
      <c r="B680" t="s">
        <v>494</v>
      </c>
      <c r="C680">
        <v>70285100</v>
      </c>
      <c r="D680">
        <v>594</v>
      </c>
      <c r="E680">
        <v>30863662</v>
      </c>
      <c r="F680" t="s">
        <v>999</v>
      </c>
      <c r="G680" s="1">
        <v>45238</v>
      </c>
      <c r="H680">
        <v>5415377</v>
      </c>
      <c r="I680">
        <v>96</v>
      </c>
      <c r="J680" t="s">
        <v>140</v>
      </c>
      <c r="K680" s="8" t="str">
        <f>IFERROR(IF(AND(VLOOKUP($C680,Hes!$A:$B, 1, FALSE), $M680&lt;&gt;" "), "Ingresada", "Falta Ingresar"), " ")</f>
        <v>Falta Ingresar</v>
      </c>
      <c r="L680" s="4" t="str">
        <f>IFERROR(VLOOKUP($C680,Observaciones!$A:$B,2,FALSE)," ")</f>
        <v>VEND ENVIA INFORME</v>
      </c>
      <c r="M680" t="s">
        <v>681</v>
      </c>
      <c r="N680" s="5" t="s">
        <v>841</v>
      </c>
      <c r="O680" s="5">
        <v>30863662</v>
      </c>
      <c r="P680" s="5">
        <v>14826</v>
      </c>
      <c r="Q680" s="5">
        <v>2817</v>
      </c>
      <c r="R680" s="5">
        <v>17643</v>
      </c>
    </row>
    <row r="681" spans="1:18" x14ac:dyDescent="0.25">
      <c r="A681" t="s">
        <v>998</v>
      </c>
      <c r="B681" t="s">
        <v>494</v>
      </c>
      <c r="C681">
        <v>70285100</v>
      </c>
      <c r="D681">
        <v>314</v>
      </c>
      <c r="E681">
        <v>30864835</v>
      </c>
      <c r="F681" t="s">
        <v>999</v>
      </c>
      <c r="G681" s="1">
        <v>45238</v>
      </c>
      <c r="H681">
        <v>5415403</v>
      </c>
      <c r="I681">
        <v>96</v>
      </c>
      <c r="J681" t="s">
        <v>140</v>
      </c>
      <c r="K681" s="8" t="str">
        <f>IFERROR(IF(AND(VLOOKUP($C681,Hes!$A:$B, 1, FALSE), $M681&lt;&gt;" "), "Ingresada", "Falta Ingresar"), " ")</f>
        <v>Falta Ingresar</v>
      </c>
      <c r="L681" s="4" t="str">
        <f>IFERROR(VLOOKUP($C681,Observaciones!$A:$B,2,FALSE)," ")</f>
        <v>VEND ENVIA INFORME</v>
      </c>
      <c r="M681" t="s">
        <v>681</v>
      </c>
      <c r="N681" s="5" t="s">
        <v>841</v>
      </c>
      <c r="O681" s="5">
        <v>30864835</v>
      </c>
      <c r="P681" s="5">
        <v>73539</v>
      </c>
      <c r="Q681" s="5">
        <v>13972</v>
      </c>
      <c r="R681" s="5">
        <v>87511</v>
      </c>
    </row>
    <row r="682" spans="1:18" x14ac:dyDescent="0.25">
      <c r="A682" t="s">
        <v>998</v>
      </c>
      <c r="B682" t="s">
        <v>494</v>
      </c>
      <c r="C682">
        <v>70285100</v>
      </c>
      <c r="D682">
        <v>310</v>
      </c>
      <c r="E682">
        <v>30862944</v>
      </c>
      <c r="F682" t="s">
        <v>999</v>
      </c>
      <c r="G682" s="1">
        <v>45238</v>
      </c>
      <c r="H682">
        <v>5415417</v>
      </c>
      <c r="I682">
        <v>96</v>
      </c>
      <c r="J682" t="s">
        <v>140</v>
      </c>
      <c r="K682" s="8" t="str">
        <f>IFERROR(IF(AND(VLOOKUP($C682,Hes!$A:$B, 1, FALSE), $M682&lt;&gt;" "), "Ingresada", "Falta Ingresar"), " ")</f>
        <v>Falta Ingresar</v>
      </c>
      <c r="L682" s="4" t="str">
        <f>IFERROR(VLOOKUP($C682,Observaciones!$A:$B,2,FALSE)," ")</f>
        <v>VEND ENVIA INFORME</v>
      </c>
      <c r="M682" t="s">
        <v>681</v>
      </c>
      <c r="N682" s="5" t="s">
        <v>841</v>
      </c>
      <c r="O682" s="5">
        <v>30862944</v>
      </c>
      <c r="P682" s="5">
        <v>23012</v>
      </c>
      <c r="Q682" s="5">
        <v>4372</v>
      </c>
      <c r="R682" s="5">
        <v>27384</v>
      </c>
    </row>
    <row r="683" spans="1:18" x14ac:dyDescent="0.25">
      <c r="A683" t="s">
        <v>998</v>
      </c>
      <c r="B683" t="s">
        <v>494</v>
      </c>
      <c r="C683">
        <v>70285100</v>
      </c>
      <c r="D683">
        <v>45</v>
      </c>
      <c r="E683">
        <v>30861544</v>
      </c>
      <c r="F683" t="s">
        <v>999</v>
      </c>
      <c r="G683" s="1">
        <v>45238</v>
      </c>
      <c r="H683">
        <v>5415431</v>
      </c>
      <c r="I683">
        <v>96</v>
      </c>
      <c r="J683" t="s">
        <v>140</v>
      </c>
      <c r="K683" s="8" t="str">
        <f>IFERROR(IF(AND(VLOOKUP($C683,Hes!$A:$B, 1, FALSE), $M683&lt;&gt;" "), "Ingresada", "Falta Ingresar"), " ")</f>
        <v>Falta Ingresar</v>
      </c>
      <c r="L683" s="4" t="str">
        <f>IFERROR(VLOOKUP($C683,Observaciones!$A:$B,2,FALSE)," ")</f>
        <v>VEND ENVIA INFORME</v>
      </c>
      <c r="M683" t="s">
        <v>681</v>
      </c>
      <c r="N683" s="5" t="s">
        <v>841</v>
      </c>
      <c r="O683" s="5">
        <v>30861544</v>
      </c>
      <c r="P683" s="5">
        <v>10942</v>
      </c>
      <c r="Q683" s="5">
        <v>2079</v>
      </c>
      <c r="R683" s="5">
        <v>13021</v>
      </c>
    </row>
    <row r="684" spans="1:18" x14ac:dyDescent="0.25">
      <c r="A684" t="s">
        <v>998</v>
      </c>
      <c r="B684" t="s">
        <v>494</v>
      </c>
      <c r="C684">
        <v>70285100</v>
      </c>
      <c r="D684">
        <v>65</v>
      </c>
      <c r="E684">
        <v>30863717</v>
      </c>
      <c r="F684" t="s">
        <v>999</v>
      </c>
      <c r="G684" s="1">
        <v>45238</v>
      </c>
      <c r="H684">
        <v>5415465</v>
      </c>
      <c r="I684">
        <v>96</v>
      </c>
      <c r="J684" t="s">
        <v>140</v>
      </c>
      <c r="K684" s="8" t="str">
        <f>IFERROR(IF(AND(VLOOKUP($C684,Hes!$A:$B, 1, FALSE), $M684&lt;&gt;" "), "Ingresada", "Falta Ingresar"), " ")</f>
        <v>Falta Ingresar</v>
      </c>
      <c r="L684" s="4" t="str">
        <f>IFERROR(VLOOKUP($C684,Observaciones!$A:$B,2,FALSE)," ")</f>
        <v>VEND ENVIA INFORME</v>
      </c>
      <c r="M684" t="s">
        <v>681</v>
      </c>
      <c r="N684" s="5" t="s">
        <v>841</v>
      </c>
      <c r="O684" s="5">
        <v>30863717</v>
      </c>
      <c r="P684" s="5">
        <v>28986</v>
      </c>
      <c r="Q684" s="5">
        <v>5507</v>
      </c>
      <c r="R684" s="5">
        <v>34493</v>
      </c>
    </row>
    <row r="685" spans="1:18" x14ac:dyDescent="0.25">
      <c r="A685" t="s">
        <v>998</v>
      </c>
      <c r="B685" t="s">
        <v>494</v>
      </c>
      <c r="C685">
        <v>70285100</v>
      </c>
      <c r="D685">
        <v>174</v>
      </c>
      <c r="E685">
        <v>30863805</v>
      </c>
      <c r="F685" t="s">
        <v>999</v>
      </c>
      <c r="G685" s="1">
        <v>45238</v>
      </c>
      <c r="H685">
        <v>5415473</v>
      </c>
      <c r="I685">
        <v>96</v>
      </c>
      <c r="J685" t="s">
        <v>140</v>
      </c>
      <c r="K685" s="8" t="str">
        <f>IFERROR(IF(AND(VLOOKUP($C685,Hes!$A:$B, 1, FALSE), $M685&lt;&gt;" "), "Ingresada", "Falta Ingresar"), " ")</f>
        <v>Falta Ingresar</v>
      </c>
      <c r="L685" s="4" t="str">
        <f>IFERROR(VLOOKUP($C685,Observaciones!$A:$B,2,FALSE)," ")</f>
        <v>VEND ENVIA INFORME</v>
      </c>
      <c r="M685" t="s">
        <v>681</v>
      </c>
      <c r="N685" s="5" t="s">
        <v>841</v>
      </c>
      <c r="O685" s="5">
        <v>30863805</v>
      </c>
      <c r="P685" s="5">
        <v>24850</v>
      </c>
      <c r="Q685" s="5">
        <v>4722</v>
      </c>
      <c r="R685" s="5">
        <v>29572</v>
      </c>
    </row>
    <row r="686" spans="1:18" x14ac:dyDescent="0.25">
      <c r="A686" t="s">
        <v>998</v>
      </c>
      <c r="B686" t="s">
        <v>494</v>
      </c>
      <c r="C686">
        <v>70285100</v>
      </c>
      <c r="D686">
        <v>324</v>
      </c>
      <c r="E686">
        <v>30863802</v>
      </c>
      <c r="F686" t="s">
        <v>999</v>
      </c>
      <c r="G686" s="1">
        <v>45238</v>
      </c>
      <c r="H686">
        <v>5415474</v>
      </c>
      <c r="I686">
        <v>96</v>
      </c>
      <c r="J686" t="s">
        <v>140</v>
      </c>
      <c r="K686" s="8" t="str">
        <f>IFERROR(IF(AND(VLOOKUP($C686,Hes!$A:$B, 1, FALSE), $M686&lt;&gt;" "), "Ingresada", "Falta Ingresar"), " ")</f>
        <v>Falta Ingresar</v>
      </c>
      <c r="L686" s="4" t="str">
        <f>IFERROR(VLOOKUP($C686,Observaciones!$A:$B,2,FALSE)," ")</f>
        <v>VEND ENVIA INFORME</v>
      </c>
      <c r="M686" t="s">
        <v>681</v>
      </c>
      <c r="N686" s="5" t="s">
        <v>841</v>
      </c>
      <c r="O686" s="5">
        <v>30863802</v>
      </c>
      <c r="P686" s="5">
        <v>163796</v>
      </c>
      <c r="Q686" s="5">
        <v>31121</v>
      </c>
      <c r="R686" s="5">
        <v>194917</v>
      </c>
    </row>
    <row r="687" spans="1:18" x14ac:dyDescent="0.25">
      <c r="A687" t="s">
        <v>998</v>
      </c>
      <c r="B687" t="s">
        <v>494</v>
      </c>
      <c r="C687">
        <v>70285100</v>
      </c>
      <c r="D687">
        <v>592</v>
      </c>
      <c r="E687">
        <v>30863557</v>
      </c>
      <c r="F687" t="s">
        <v>999</v>
      </c>
      <c r="G687" s="1">
        <v>45238</v>
      </c>
      <c r="H687">
        <v>5415487</v>
      </c>
      <c r="I687">
        <v>96</v>
      </c>
      <c r="J687" t="s">
        <v>140</v>
      </c>
      <c r="K687" s="8" t="str">
        <f>IFERROR(IF(AND(VLOOKUP($C687,Hes!$A:$B, 1, FALSE), $M687&lt;&gt;" "), "Ingresada", "Falta Ingresar"), " ")</f>
        <v>Falta Ingresar</v>
      </c>
      <c r="L687" s="4" t="str">
        <f>IFERROR(VLOOKUP($C687,Observaciones!$A:$B,2,FALSE)," ")</f>
        <v>VEND ENVIA INFORME</v>
      </c>
      <c r="M687" t="s">
        <v>681</v>
      </c>
      <c r="N687" s="5" t="s">
        <v>841</v>
      </c>
      <c r="O687" s="5">
        <v>30863557</v>
      </c>
      <c r="P687" s="5">
        <v>106174</v>
      </c>
      <c r="Q687" s="5">
        <v>20173</v>
      </c>
      <c r="R687" s="5">
        <v>126347</v>
      </c>
    </row>
    <row r="688" spans="1:18" x14ac:dyDescent="0.25">
      <c r="A688" t="s">
        <v>998</v>
      </c>
      <c r="B688" t="s">
        <v>494</v>
      </c>
      <c r="C688">
        <v>70285100</v>
      </c>
      <c r="D688">
        <v>317</v>
      </c>
      <c r="E688">
        <v>30863797</v>
      </c>
      <c r="F688" t="s">
        <v>999</v>
      </c>
      <c r="G688" s="1">
        <v>45238</v>
      </c>
      <c r="H688">
        <v>5415493</v>
      </c>
      <c r="I688">
        <v>96</v>
      </c>
      <c r="J688" t="s">
        <v>140</v>
      </c>
      <c r="K688" s="8" t="str">
        <f>IFERROR(IF(AND(VLOOKUP($C688,Hes!$A:$B, 1, FALSE), $M688&lt;&gt;" "), "Ingresada", "Falta Ingresar"), " ")</f>
        <v>Falta Ingresar</v>
      </c>
      <c r="L688" s="4" t="str">
        <f>IFERROR(VLOOKUP($C688,Observaciones!$A:$B,2,FALSE)," ")</f>
        <v>VEND ENVIA INFORME</v>
      </c>
      <c r="M688" t="s">
        <v>681</v>
      </c>
      <c r="N688" s="5" t="s">
        <v>841</v>
      </c>
      <c r="O688" s="5">
        <v>30863797</v>
      </c>
      <c r="P688" s="5">
        <v>75911</v>
      </c>
      <c r="Q688" s="5">
        <v>14423</v>
      </c>
      <c r="R688" s="5">
        <v>90334</v>
      </c>
    </row>
    <row r="689" spans="1:18" x14ac:dyDescent="0.25">
      <c r="A689" t="s">
        <v>998</v>
      </c>
      <c r="B689" t="s">
        <v>494</v>
      </c>
      <c r="C689">
        <v>70285100</v>
      </c>
      <c r="D689">
        <v>622</v>
      </c>
      <c r="E689">
        <v>30864094</v>
      </c>
      <c r="F689" t="s">
        <v>999</v>
      </c>
      <c r="G689" s="1">
        <v>45238</v>
      </c>
      <c r="H689">
        <v>5415531</v>
      </c>
      <c r="I689">
        <v>96</v>
      </c>
      <c r="J689" t="s">
        <v>140</v>
      </c>
      <c r="K689" s="8" t="str">
        <f>IFERROR(IF(AND(VLOOKUP($C689,Hes!$A:$B, 1, FALSE), $M689&lt;&gt;" "), "Ingresada", "Falta Ingresar"), " ")</f>
        <v>Falta Ingresar</v>
      </c>
      <c r="L689" s="4" t="str">
        <f>IFERROR(VLOOKUP($C689,Observaciones!$A:$B,2,FALSE)," ")</f>
        <v>VEND ENVIA INFORME</v>
      </c>
      <c r="M689" t="s">
        <v>681</v>
      </c>
      <c r="N689" s="5" t="s">
        <v>841</v>
      </c>
      <c r="O689" s="5">
        <v>30864094</v>
      </c>
      <c r="P689" s="5">
        <v>14094</v>
      </c>
      <c r="Q689" s="5">
        <v>2678</v>
      </c>
      <c r="R689" s="5">
        <v>16772</v>
      </c>
    </row>
    <row r="690" spans="1:18" x14ac:dyDescent="0.25">
      <c r="A690" t="s">
        <v>998</v>
      </c>
      <c r="B690" t="s">
        <v>494</v>
      </c>
      <c r="C690">
        <v>70285100</v>
      </c>
      <c r="D690">
        <v>698</v>
      </c>
      <c r="E690">
        <v>30862945</v>
      </c>
      <c r="F690" t="s">
        <v>999</v>
      </c>
      <c r="G690" s="1">
        <v>45238</v>
      </c>
      <c r="H690">
        <v>5415539</v>
      </c>
      <c r="I690">
        <v>96</v>
      </c>
      <c r="J690" t="s">
        <v>140</v>
      </c>
      <c r="K690" s="8" t="str">
        <f>IFERROR(IF(AND(VLOOKUP($C690,Hes!$A:$B, 1, FALSE), $M690&lt;&gt;" "), "Ingresada", "Falta Ingresar"), " ")</f>
        <v>Falta Ingresar</v>
      </c>
      <c r="L690" s="4" t="str">
        <f>IFERROR(VLOOKUP($C690,Observaciones!$A:$B,2,FALSE)," ")</f>
        <v>VEND ENVIA INFORME</v>
      </c>
      <c r="M690" t="s">
        <v>681</v>
      </c>
      <c r="N690" s="5" t="s">
        <v>841</v>
      </c>
      <c r="O690" s="5">
        <v>30862945</v>
      </c>
      <c r="P690" s="5">
        <v>11978</v>
      </c>
      <c r="Q690" s="5">
        <v>2276</v>
      </c>
      <c r="R690" s="5">
        <v>14254</v>
      </c>
    </row>
    <row r="691" spans="1:18" x14ac:dyDescent="0.25">
      <c r="A691" t="s">
        <v>998</v>
      </c>
      <c r="B691" t="s">
        <v>494</v>
      </c>
      <c r="C691">
        <v>70285100</v>
      </c>
      <c r="D691">
        <v>533</v>
      </c>
      <c r="E691">
        <v>30862956</v>
      </c>
      <c r="F691" t="s">
        <v>999</v>
      </c>
      <c r="G691" s="1">
        <v>45238</v>
      </c>
      <c r="H691">
        <v>5415540</v>
      </c>
      <c r="I691">
        <v>96</v>
      </c>
      <c r="J691" t="s">
        <v>140</v>
      </c>
      <c r="K691" s="8" t="str">
        <f>IFERROR(IF(AND(VLOOKUP($C691,Hes!$A:$B, 1, FALSE), $M691&lt;&gt;" "), "Ingresada", "Falta Ingresar"), " ")</f>
        <v>Falta Ingresar</v>
      </c>
      <c r="L691" s="4" t="str">
        <f>IFERROR(VLOOKUP($C691,Observaciones!$A:$B,2,FALSE)," ")</f>
        <v>VEND ENVIA INFORME</v>
      </c>
      <c r="M691" t="s">
        <v>681</v>
      </c>
      <c r="N691" s="5" t="s">
        <v>841</v>
      </c>
      <c r="O691" s="5">
        <v>30862956</v>
      </c>
      <c r="P691" s="5">
        <v>169947</v>
      </c>
      <c r="Q691" s="5">
        <v>32290</v>
      </c>
      <c r="R691" s="5">
        <v>202237</v>
      </c>
    </row>
    <row r="692" spans="1:18" x14ac:dyDescent="0.25">
      <c r="A692" t="s">
        <v>998</v>
      </c>
      <c r="B692" t="s">
        <v>494</v>
      </c>
      <c r="C692">
        <v>70285100</v>
      </c>
      <c r="D692">
        <v>643</v>
      </c>
      <c r="E692">
        <v>30866061</v>
      </c>
      <c r="F692" t="s">
        <v>999</v>
      </c>
      <c r="G692" s="1">
        <v>45238</v>
      </c>
      <c r="H692">
        <v>5415544</v>
      </c>
      <c r="I692">
        <v>96</v>
      </c>
      <c r="J692" t="s">
        <v>140</v>
      </c>
      <c r="K692" s="8" t="str">
        <f>IFERROR(IF(AND(VLOOKUP($C692,Hes!$A:$B, 1, FALSE), $M692&lt;&gt;" "), "Ingresada", "Falta Ingresar"), " ")</f>
        <v>Falta Ingresar</v>
      </c>
      <c r="L692" s="4" t="str">
        <f>IFERROR(VLOOKUP($C692,Observaciones!$A:$B,2,FALSE)," ")</f>
        <v>VEND ENVIA INFORME</v>
      </c>
      <c r="M692" t="s">
        <v>681</v>
      </c>
      <c r="N692" s="5" t="s">
        <v>841</v>
      </c>
      <c r="O692" s="5">
        <v>30866061</v>
      </c>
      <c r="P692" s="5">
        <v>17317</v>
      </c>
      <c r="Q692" s="5">
        <v>3290</v>
      </c>
      <c r="R692" s="5">
        <v>20607</v>
      </c>
    </row>
    <row r="693" spans="1:18" x14ac:dyDescent="0.25">
      <c r="A693" t="s">
        <v>998</v>
      </c>
      <c r="B693" t="s">
        <v>494</v>
      </c>
      <c r="C693">
        <v>70285100</v>
      </c>
      <c r="D693">
        <v>744</v>
      </c>
      <c r="E693">
        <v>30863436</v>
      </c>
      <c r="F693" t="s">
        <v>999</v>
      </c>
      <c r="G693" s="1">
        <v>45238</v>
      </c>
      <c r="H693">
        <v>5415603</v>
      </c>
      <c r="I693">
        <v>96</v>
      </c>
      <c r="J693" t="s">
        <v>140</v>
      </c>
      <c r="K693" s="8" t="str">
        <f>IFERROR(IF(AND(VLOOKUP($C693,Hes!$A:$B, 1, FALSE), $M693&lt;&gt;" "), "Ingresada", "Falta Ingresar"), " ")</f>
        <v>Falta Ingresar</v>
      </c>
      <c r="L693" s="4" t="str">
        <f>IFERROR(VLOOKUP($C693,Observaciones!$A:$B,2,FALSE)," ")</f>
        <v>VEND ENVIA INFORME</v>
      </c>
      <c r="M693" t="s">
        <v>681</v>
      </c>
      <c r="N693" s="5" t="s">
        <v>841</v>
      </c>
      <c r="O693" s="5">
        <v>30863436</v>
      </c>
      <c r="P693" s="5">
        <v>49910</v>
      </c>
      <c r="Q693" s="5">
        <v>9483</v>
      </c>
      <c r="R693" s="5">
        <v>59393</v>
      </c>
    </row>
    <row r="694" spans="1:18" x14ac:dyDescent="0.25">
      <c r="A694" t="s">
        <v>998</v>
      </c>
      <c r="B694" t="s">
        <v>494</v>
      </c>
      <c r="C694">
        <v>70285100</v>
      </c>
      <c r="D694">
        <v>334</v>
      </c>
      <c r="E694">
        <v>30862785</v>
      </c>
      <c r="F694" t="s">
        <v>999</v>
      </c>
      <c r="G694" s="1">
        <v>45238</v>
      </c>
      <c r="H694">
        <v>5415649</v>
      </c>
      <c r="I694">
        <v>96</v>
      </c>
      <c r="J694" t="s">
        <v>140</v>
      </c>
      <c r="K694" s="8" t="str">
        <f>IFERROR(IF(AND(VLOOKUP($C694,Hes!$A:$B, 1, FALSE), $M694&lt;&gt;" "), "Ingresada", "Falta Ingresar"), " ")</f>
        <v>Falta Ingresar</v>
      </c>
      <c r="L694" s="4" t="str">
        <f>IFERROR(VLOOKUP($C694,Observaciones!$A:$B,2,FALSE)," ")</f>
        <v>VEND ENVIA INFORME</v>
      </c>
      <c r="M694" t="s">
        <v>681</v>
      </c>
      <c r="N694" s="5" t="s">
        <v>841</v>
      </c>
      <c r="O694" s="5">
        <v>30862785</v>
      </c>
      <c r="P694" s="5">
        <v>166497</v>
      </c>
      <c r="Q694" s="5">
        <v>31634</v>
      </c>
      <c r="R694" s="5">
        <v>198131</v>
      </c>
    </row>
    <row r="695" spans="1:18" x14ac:dyDescent="0.25">
      <c r="A695" t="s">
        <v>998</v>
      </c>
      <c r="B695" t="s">
        <v>494</v>
      </c>
      <c r="C695">
        <v>70285100</v>
      </c>
      <c r="D695">
        <v>68</v>
      </c>
      <c r="E695">
        <v>30864462</v>
      </c>
      <c r="F695" t="s">
        <v>999</v>
      </c>
      <c r="G695" s="1">
        <v>45238</v>
      </c>
      <c r="H695">
        <v>5415663</v>
      </c>
      <c r="I695">
        <v>96</v>
      </c>
      <c r="J695" t="s">
        <v>140</v>
      </c>
      <c r="K695" s="8" t="str">
        <f>IFERROR(IF(AND(VLOOKUP($C695,Hes!$A:$B, 1, FALSE), $M695&lt;&gt;" "), "Ingresada", "Falta Ingresar"), " ")</f>
        <v>Falta Ingresar</v>
      </c>
      <c r="L695" s="4" t="str">
        <f>IFERROR(VLOOKUP($C695,Observaciones!$A:$B,2,FALSE)," ")</f>
        <v>VEND ENVIA INFORME</v>
      </c>
      <c r="M695" t="s">
        <v>681</v>
      </c>
      <c r="N695" s="5" t="s">
        <v>841</v>
      </c>
      <c r="O695" s="5">
        <v>30864462</v>
      </c>
      <c r="P695" s="5">
        <v>28554</v>
      </c>
      <c r="Q695" s="5">
        <v>5425</v>
      </c>
      <c r="R695" s="5">
        <v>33979</v>
      </c>
    </row>
    <row r="696" spans="1:18" x14ac:dyDescent="0.25">
      <c r="A696" t="s">
        <v>998</v>
      </c>
      <c r="B696" t="s">
        <v>494</v>
      </c>
      <c r="C696">
        <v>70285100</v>
      </c>
      <c r="D696">
        <v>530</v>
      </c>
      <c r="E696">
        <v>30864260</v>
      </c>
      <c r="F696" t="s">
        <v>999</v>
      </c>
      <c r="G696" s="1">
        <v>45238</v>
      </c>
      <c r="H696">
        <v>5415759</v>
      </c>
      <c r="I696">
        <v>96</v>
      </c>
      <c r="J696" t="s">
        <v>140</v>
      </c>
      <c r="K696" s="8" t="str">
        <f>IFERROR(IF(AND(VLOOKUP($C696,Hes!$A:$B, 1, FALSE), $M696&lt;&gt;" "), "Ingresada", "Falta Ingresar"), " ")</f>
        <v>Falta Ingresar</v>
      </c>
      <c r="L696" s="4" t="str">
        <f>IFERROR(VLOOKUP($C696,Observaciones!$A:$B,2,FALSE)," ")</f>
        <v>VEND ENVIA INFORME</v>
      </c>
      <c r="M696" t="s">
        <v>681</v>
      </c>
      <c r="N696" s="5" t="s">
        <v>841</v>
      </c>
      <c r="O696" s="5">
        <v>30864260</v>
      </c>
      <c r="P696" s="5">
        <v>29418</v>
      </c>
      <c r="Q696" s="5">
        <v>5589</v>
      </c>
      <c r="R696" s="5">
        <v>35007</v>
      </c>
    </row>
    <row r="697" spans="1:18" x14ac:dyDescent="0.25">
      <c r="A697" t="s">
        <v>998</v>
      </c>
      <c r="B697" t="s">
        <v>494</v>
      </c>
      <c r="C697">
        <v>70285100</v>
      </c>
      <c r="D697">
        <v>663</v>
      </c>
      <c r="E697">
        <v>30863755</v>
      </c>
      <c r="F697" t="s">
        <v>999</v>
      </c>
      <c r="G697" s="1">
        <v>45238</v>
      </c>
      <c r="H697">
        <v>5415765</v>
      </c>
      <c r="I697">
        <v>96</v>
      </c>
      <c r="J697" t="s">
        <v>140</v>
      </c>
      <c r="K697" s="8" t="str">
        <f>IFERROR(IF(AND(VLOOKUP($C697,Hes!$A:$B, 1, FALSE), $M697&lt;&gt;" "), "Ingresada", "Falta Ingresar"), " ")</f>
        <v>Falta Ingresar</v>
      </c>
      <c r="L697" s="4" t="str">
        <f>IFERROR(VLOOKUP($C697,Observaciones!$A:$B,2,FALSE)," ")</f>
        <v>VEND ENVIA INFORME</v>
      </c>
      <c r="M697" t="s">
        <v>681</v>
      </c>
      <c r="N697" s="5" t="s">
        <v>841</v>
      </c>
      <c r="O697" s="5">
        <v>30863755</v>
      </c>
      <c r="P697" s="5">
        <v>30174</v>
      </c>
      <c r="Q697" s="5">
        <v>5733</v>
      </c>
      <c r="R697" s="5">
        <v>35907</v>
      </c>
    </row>
    <row r="698" spans="1:18" x14ac:dyDescent="0.25">
      <c r="A698" t="s">
        <v>998</v>
      </c>
      <c r="B698" t="s">
        <v>494</v>
      </c>
      <c r="C698">
        <v>70285100</v>
      </c>
      <c r="D698">
        <v>621</v>
      </c>
      <c r="E698">
        <v>30864069</v>
      </c>
      <c r="F698" t="s">
        <v>999</v>
      </c>
      <c r="G698" s="1">
        <v>45238</v>
      </c>
      <c r="H698">
        <v>5415767</v>
      </c>
      <c r="I698">
        <v>96</v>
      </c>
      <c r="J698" t="s">
        <v>140</v>
      </c>
      <c r="K698" s="8" t="str">
        <f>IFERROR(IF(AND(VLOOKUP($C698,Hes!$A:$B, 1, FALSE), $M698&lt;&gt;" "), "Ingresada", "Falta Ingresar"), " ")</f>
        <v>Falta Ingresar</v>
      </c>
      <c r="L698" s="4" t="str">
        <f>IFERROR(VLOOKUP($C698,Observaciones!$A:$B,2,FALSE)," ")</f>
        <v>VEND ENVIA INFORME</v>
      </c>
      <c r="M698" t="s">
        <v>681</v>
      </c>
      <c r="N698" s="5" t="s">
        <v>841</v>
      </c>
      <c r="O698" s="5">
        <v>30864069</v>
      </c>
      <c r="P698" s="5">
        <v>14933</v>
      </c>
      <c r="Q698" s="5">
        <v>2837</v>
      </c>
      <c r="R698" s="5">
        <v>17770</v>
      </c>
    </row>
    <row r="699" spans="1:18" x14ac:dyDescent="0.25">
      <c r="A699" t="s">
        <v>998</v>
      </c>
      <c r="B699" t="s">
        <v>494</v>
      </c>
      <c r="C699">
        <v>70285100</v>
      </c>
      <c r="D699">
        <v>913</v>
      </c>
      <c r="E699">
        <v>30863883</v>
      </c>
      <c r="F699" t="s">
        <v>999</v>
      </c>
      <c r="G699" s="1">
        <v>45238</v>
      </c>
      <c r="H699">
        <v>5415776</v>
      </c>
      <c r="I699">
        <v>96</v>
      </c>
      <c r="J699" t="s">
        <v>140</v>
      </c>
      <c r="K699" s="8" t="str">
        <f>IFERROR(IF(AND(VLOOKUP($C699,Hes!$A:$B, 1, FALSE), $M699&lt;&gt;" "), "Ingresada", "Falta Ingresar"), " ")</f>
        <v>Falta Ingresar</v>
      </c>
      <c r="L699" s="4" t="str">
        <f>IFERROR(VLOOKUP($C699,Observaciones!$A:$B,2,FALSE)," ")</f>
        <v>VEND ENVIA INFORME</v>
      </c>
      <c r="M699" t="s">
        <v>681</v>
      </c>
      <c r="N699" s="5" t="s">
        <v>841</v>
      </c>
      <c r="O699" s="5">
        <v>30863883</v>
      </c>
      <c r="P699" s="5">
        <v>10264</v>
      </c>
      <c r="Q699" s="5">
        <v>1950</v>
      </c>
      <c r="R699" s="5">
        <v>12214</v>
      </c>
    </row>
    <row r="700" spans="1:18" x14ac:dyDescent="0.25">
      <c r="F700" t="s">
        <v>1000</v>
      </c>
      <c r="K700" t="str">
        <f>IFERROR(IF(AND(VLOOKUP($C700,Hes!$A:$B, 1, FALSE), $M700&lt;&gt;" "), "Ingresada", "Falta Ingresar"), " ")</f>
        <v xml:space="preserve"> </v>
      </c>
      <c r="L700" s="4" t="str">
        <f>IFERROR(VLOOKUP($C700,Observaciones!$A:$B,2,FALSE)," ")</f>
        <v xml:space="preserve"> </v>
      </c>
      <c r="M700" t="s">
        <v>681</v>
      </c>
      <c r="P700" s="5">
        <v>21878722</v>
      </c>
      <c r="Q700" s="5">
        <v>4156954</v>
      </c>
      <c r="R700" s="5">
        <v>26035676</v>
      </c>
    </row>
    <row r="701" spans="1:18" x14ac:dyDescent="0.25">
      <c r="A701" t="s">
        <v>503</v>
      </c>
      <c r="B701" t="s">
        <v>509</v>
      </c>
      <c r="C701">
        <v>70360100</v>
      </c>
      <c r="D701">
        <v>0</v>
      </c>
      <c r="E701">
        <v>4500195546</v>
      </c>
      <c r="F701" t="s">
        <v>1001</v>
      </c>
      <c r="G701" s="1">
        <v>45232</v>
      </c>
      <c r="H701">
        <v>5411034</v>
      </c>
      <c r="I701">
        <v>409</v>
      </c>
      <c r="J701" t="s">
        <v>186</v>
      </c>
      <c r="K701" s="8" t="str">
        <f>IFERROR(IF(AND(VLOOKUP($C701,Hes!$A:$B, 1, FALSE), $M701&lt;&gt;" "), "Ingresada", "Falta Ingresar"), " ")</f>
        <v>Falta Ingresar</v>
      </c>
      <c r="L701" s="4" t="str">
        <f>IFERROR(VLOOKUP($C701,Observaciones!$A:$B,2,FALSE)," ")</f>
        <v>FACT LO INGRESADO</v>
      </c>
      <c r="M701" t="s">
        <v>681</v>
      </c>
      <c r="N701" s="5" t="s">
        <v>841</v>
      </c>
      <c r="O701" s="5">
        <v>30847437</v>
      </c>
      <c r="P701" s="5">
        <v>23480</v>
      </c>
      <c r="Q701" s="5">
        <v>4461</v>
      </c>
      <c r="R701" s="5">
        <v>27941</v>
      </c>
    </row>
    <row r="702" spans="1:18" x14ac:dyDescent="0.25">
      <c r="A702" t="s">
        <v>503</v>
      </c>
      <c r="B702" t="s">
        <v>509</v>
      </c>
      <c r="C702">
        <v>70360100</v>
      </c>
      <c r="D702">
        <v>0</v>
      </c>
      <c r="E702">
        <v>4500194706</v>
      </c>
      <c r="F702" t="s">
        <v>1001</v>
      </c>
      <c r="G702" s="1">
        <v>45233</v>
      </c>
      <c r="H702">
        <v>5411273</v>
      </c>
      <c r="I702">
        <v>409</v>
      </c>
      <c r="J702" t="s">
        <v>186</v>
      </c>
      <c r="K702" s="8" t="str">
        <f>IFERROR(IF(AND(VLOOKUP($C702,Hes!$A:$B, 1, FALSE), $M702&lt;&gt;" "), "Ingresada", "Falta Ingresar"), " ")</f>
        <v>Falta Ingresar</v>
      </c>
      <c r="L702" s="4" t="str">
        <f>IFERROR(VLOOKUP($C702,Observaciones!$A:$B,2,FALSE)," ")</f>
        <v>FACT LO INGRESADO</v>
      </c>
      <c r="M702" t="s">
        <v>681</v>
      </c>
      <c r="N702" s="5" t="s">
        <v>841</v>
      </c>
      <c r="O702" s="5">
        <v>30847403</v>
      </c>
      <c r="P702" s="5">
        <v>31328</v>
      </c>
      <c r="Q702" s="5">
        <v>5952</v>
      </c>
      <c r="R702" s="5">
        <v>37280</v>
      </c>
    </row>
    <row r="703" spans="1:18" x14ac:dyDescent="0.25">
      <c r="A703" t="s">
        <v>503</v>
      </c>
      <c r="B703" t="s">
        <v>509</v>
      </c>
      <c r="C703">
        <v>70360100</v>
      </c>
      <c r="D703">
        <v>0</v>
      </c>
      <c r="E703">
        <v>4500196151</v>
      </c>
      <c r="F703" t="s">
        <v>1001</v>
      </c>
      <c r="G703" s="1">
        <v>45237</v>
      </c>
      <c r="H703">
        <v>5414339</v>
      </c>
      <c r="I703">
        <v>409</v>
      </c>
      <c r="J703" t="s">
        <v>186</v>
      </c>
      <c r="K703" s="8" t="str">
        <f>IFERROR(IF(AND(VLOOKUP($C703,Hes!$A:$B, 1, FALSE), $M703&lt;&gt;" "), "Ingresada", "Falta Ingresar"), " ")</f>
        <v>Falta Ingresar</v>
      </c>
      <c r="L703" s="4" t="str">
        <f>IFERROR(VLOOKUP($C703,Observaciones!$A:$B,2,FALSE)," ")</f>
        <v>FACT LO INGRESADO</v>
      </c>
      <c r="M703" t="s">
        <v>681</v>
      </c>
      <c r="N703" s="5" t="s">
        <v>841</v>
      </c>
      <c r="O703" s="5">
        <v>30861047</v>
      </c>
      <c r="P703" s="5">
        <v>377925</v>
      </c>
      <c r="Q703" s="5">
        <v>71806</v>
      </c>
      <c r="R703" s="5">
        <v>449731</v>
      </c>
    </row>
    <row r="704" spans="1:18" x14ac:dyDescent="0.25">
      <c r="A704" t="s">
        <v>503</v>
      </c>
      <c r="B704" t="s">
        <v>509</v>
      </c>
      <c r="C704">
        <v>70360100</v>
      </c>
      <c r="D704">
        <v>0</v>
      </c>
      <c r="E704">
        <v>4500195683</v>
      </c>
      <c r="F704" t="s">
        <v>1001</v>
      </c>
      <c r="G704" s="1">
        <v>45238</v>
      </c>
      <c r="H704">
        <v>5415524</v>
      </c>
      <c r="I704">
        <v>409</v>
      </c>
      <c r="J704" t="s">
        <v>186</v>
      </c>
      <c r="K704" s="8" t="str">
        <f>IFERROR(IF(AND(VLOOKUP($C704,Hes!$A:$B, 1, FALSE), $M704&lt;&gt;" "), "Ingresada", "Falta Ingresar"), " ")</f>
        <v>Falta Ingresar</v>
      </c>
      <c r="L704" s="4" t="str">
        <f>IFERROR(VLOOKUP($C704,Observaciones!$A:$B,2,FALSE)," ")</f>
        <v>FACT LO INGRESADO</v>
      </c>
      <c r="M704" t="s">
        <v>681</v>
      </c>
      <c r="N704" s="5" t="s">
        <v>841</v>
      </c>
      <c r="O704" s="5">
        <v>30862831</v>
      </c>
      <c r="P704" s="5">
        <v>666166</v>
      </c>
      <c r="Q704" s="5">
        <v>126572</v>
      </c>
      <c r="R704" s="5">
        <v>792738</v>
      </c>
    </row>
    <row r="705" spans="1:18" x14ac:dyDescent="0.25">
      <c r="A705" t="s">
        <v>503</v>
      </c>
      <c r="B705" t="s">
        <v>509</v>
      </c>
      <c r="C705">
        <v>70360100</v>
      </c>
      <c r="D705">
        <v>0</v>
      </c>
      <c r="E705">
        <v>4500195941</v>
      </c>
      <c r="F705" t="s">
        <v>1001</v>
      </c>
      <c r="G705" s="1">
        <v>45238</v>
      </c>
      <c r="H705">
        <v>5415587</v>
      </c>
      <c r="I705">
        <v>409</v>
      </c>
      <c r="J705" t="s">
        <v>186</v>
      </c>
      <c r="K705" s="8" t="str">
        <f>IFERROR(IF(AND(VLOOKUP($C705,Hes!$A:$B, 1, FALSE), $M705&lt;&gt;" "), "Ingresada", "Falta Ingresar"), " ")</f>
        <v>Falta Ingresar</v>
      </c>
      <c r="L705" s="4" t="str">
        <f>IFERROR(VLOOKUP($C705,Observaciones!$A:$B,2,FALSE)," ")</f>
        <v>FACT LO INGRESADO</v>
      </c>
      <c r="M705" t="s">
        <v>681</v>
      </c>
      <c r="N705" s="5" t="s">
        <v>841</v>
      </c>
      <c r="O705" s="5">
        <v>30857770</v>
      </c>
      <c r="P705" s="5">
        <v>288692</v>
      </c>
      <c r="Q705" s="5">
        <v>54851</v>
      </c>
      <c r="R705" s="5">
        <v>343543</v>
      </c>
    </row>
    <row r="706" spans="1:18" x14ac:dyDescent="0.25">
      <c r="F706" t="s">
        <v>499</v>
      </c>
      <c r="K706" t="str">
        <f>IFERROR(IF(AND(VLOOKUP($C706,Hes!$A:$B, 1, FALSE), $M706&lt;&gt;" "), "Ingresada", "Falta Ingresar"), " ")</f>
        <v xml:space="preserve"> </v>
      </c>
      <c r="L706" s="4" t="str">
        <f>IFERROR(VLOOKUP($C706,Observaciones!$A:$B,2,FALSE)," ")</f>
        <v xml:space="preserve"> </v>
      </c>
      <c r="M706" t="s">
        <v>681</v>
      </c>
      <c r="P706" s="5">
        <v>1387591</v>
      </c>
      <c r="Q706" s="5">
        <v>263642</v>
      </c>
      <c r="R706" s="5">
        <v>1651233</v>
      </c>
    </row>
    <row r="707" spans="1:18" x14ac:dyDescent="0.25">
      <c r="A707" t="s">
        <v>503</v>
      </c>
      <c r="B707" t="s">
        <v>494</v>
      </c>
      <c r="C707">
        <v>70377400</v>
      </c>
      <c r="D707">
        <v>58</v>
      </c>
      <c r="E707">
        <v>30846357</v>
      </c>
      <c r="F707" t="s">
        <v>1002</v>
      </c>
      <c r="G707" s="1">
        <v>45231</v>
      </c>
      <c r="H707">
        <v>5410578</v>
      </c>
      <c r="I707">
        <v>132</v>
      </c>
      <c r="J707" t="s">
        <v>416</v>
      </c>
      <c r="K707" t="str">
        <f>IFERROR(IF(AND(VLOOKUP($C707,Hes!$A:$B, 1, FALSE), $M707&lt;&gt;" "), "Ingresada", "Falta Ingresar"), " ")</f>
        <v xml:space="preserve"> </v>
      </c>
      <c r="L707" s="4" t="str">
        <f>IFERROR(VLOOKUP($C707,Observaciones!$A:$B,2,FALSE)," ")</f>
        <v>O/C NO WEB FACT.INDIVIDUAL Y EL RESTO UNA SOLA FACTURA</v>
      </c>
      <c r="M707" t="s">
        <v>681</v>
      </c>
      <c r="O707" s="5">
        <v>30846357</v>
      </c>
      <c r="P707" s="5">
        <v>50470</v>
      </c>
      <c r="Q707" s="5">
        <v>9589</v>
      </c>
      <c r="R707" s="5">
        <v>60059</v>
      </c>
    </row>
    <row r="708" spans="1:18" x14ac:dyDescent="0.25">
      <c r="A708" t="s">
        <v>503</v>
      </c>
      <c r="B708" t="s">
        <v>494</v>
      </c>
      <c r="C708">
        <v>70377400</v>
      </c>
      <c r="D708">
        <v>88</v>
      </c>
      <c r="E708">
        <v>30846445</v>
      </c>
      <c r="F708" t="s">
        <v>1002</v>
      </c>
      <c r="G708" s="1">
        <v>45231</v>
      </c>
      <c r="H708">
        <v>5410656</v>
      </c>
      <c r="I708">
        <v>132</v>
      </c>
      <c r="J708" t="s">
        <v>416</v>
      </c>
      <c r="K708" t="str">
        <f>IFERROR(IF(AND(VLOOKUP($C708,Hes!$A:$B, 1, FALSE), $M708&lt;&gt;" "), "Ingresada", "Falta Ingresar"), " ")</f>
        <v xml:space="preserve"> </v>
      </c>
      <c r="L708" s="4" t="str">
        <f>IFERROR(VLOOKUP($C708,Observaciones!$A:$B,2,FALSE)," ")</f>
        <v>O/C NO WEB FACT.INDIVIDUAL Y EL RESTO UNA SOLA FACTURA</v>
      </c>
      <c r="M708" t="s">
        <v>681</v>
      </c>
      <c r="O708" s="5">
        <v>30846445</v>
      </c>
      <c r="P708" s="5">
        <v>24341</v>
      </c>
      <c r="Q708" s="5">
        <v>4625</v>
      </c>
      <c r="R708" s="5">
        <v>28966</v>
      </c>
    </row>
    <row r="709" spans="1:18" x14ac:dyDescent="0.25">
      <c r="A709" t="s">
        <v>503</v>
      </c>
      <c r="B709" t="s">
        <v>494</v>
      </c>
      <c r="C709">
        <v>70377400</v>
      </c>
      <c r="D709">
        <v>17</v>
      </c>
      <c r="E709">
        <v>30846376</v>
      </c>
      <c r="F709" t="s">
        <v>1002</v>
      </c>
      <c r="G709" s="1">
        <v>45231</v>
      </c>
      <c r="H709">
        <v>5410671</v>
      </c>
      <c r="I709">
        <v>132</v>
      </c>
      <c r="J709" t="s">
        <v>416</v>
      </c>
      <c r="K709" t="str">
        <f>IFERROR(IF(AND(VLOOKUP($C709,Hes!$A:$B, 1, FALSE), $M709&lt;&gt;" "), "Ingresada", "Falta Ingresar"), " ")</f>
        <v xml:space="preserve"> </v>
      </c>
      <c r="L709" s="4" t="str">
        <f>IFERROR(VLOOKUP($C709,Observaciones!$A:$B,2,FALSE)," ")</f>
        <v>O/C NO WEB FACT.INDIVIDUAL Y EL RESTO UNA SOLA FACTURA</v>
      </c>
      <c r="M709" t="s">
        <v>681</v>
      </c>
      <c r="O709" s="5">
        <v>30846376</v>
      </c>
      <c r="P709" s="5">
        <v>79244</v>
      </c>
      <c r="Q709" s="5">
        <v>15056</v>
      </c>
      <c r="R709" s="5">
        <v>94300</v>
      </c>
    </row>
    <row r="710" spans="1:18" x14ac:dyDescent="0.25">
      <c r="A710" t="s">
        <v>503</v>
      </c>
      <c r="B710" t="s">
        <v>494</v>
      </c>
      <c r="C710">
        <v>70377400</v>
      </c>
      <c r="D710">
        <v>10</v>
      </c>
      <c r="E710">
        <v>30845209</v>
      </c>
      <c r="F710" t="s">
        <v>1002</v>
      </c>
      <c r="G710" s="1">
        <v>45232</v>
      </c>
      <c r="H710">
        <v>5410716</v>
      </c>
      <c r="I710">
        <v>132</v>
      </c>
      <c r="J710" t="s">
        <v>416</v>
      </c>
      <c r="K710" t="str">
        <f>IFERROR(IF(AND(VLOOKUP($C710,Hes!$A:$B, 1, FALSE), $M710&lt;&gt;" "), "Ingresada", "Falta Ingresar"), " ")</f>
        <v xml:space="preserve"> </v>
      </c>
      <c r="L710" s="4" t="str">
        <f>IFERROR(VLOOKUP($C710,Observaciones!$A:$B,2,FALSE)," ")</f>
        <v>O/C NO WEB FACT.INDIVIDUAL Y EL RESTO UNA SOLA FACTURA</v>
      </c>
      <c r="M710" t="s">
        <v>681</v>
      </c>
      <c r="O710" s="5">
        <v>30845209</v>
      </c>
      <c r="P710" s="5">
        <v>469523</v>
      </c>
      <c r="Q710" s="5">
        <v>89209</v>
      </c>
      <c r="R710" s="5">
        <v>558732</v>
      </c>
    </row>
    <row r="711" spans="1:18" x14ac:dyDescent="0.25">
      <c r="A711" t="s">
        <v>503</v>
      </c>
      <c r="B711" t="s">
        <v>494</v>
      </c>
      <c r="C711">
        <v>70377400</v>
      </c>
      <c r="D711">
        <v>52</v>
      </c>
      <c r="E711">
        <v>30845214</v>
      </c>
      <c r="F711" t="s">
        <v>1002</v>
      </c>
      <c r="G711" s="1">
        <v>45232</v>
      </c>
      <c r="H711">
        <v>5410717</v>
      </c>
      <c r="I711">
        <v>132</v>
      </c>
      <c r="J711" t="s">
        <v>416</v>
      </c>
      <c r="K711" t="str">
        <f>IFERROR(IF(AND(VLOOKUP($C711,Hes!$A:$B, 1, FALSE), $M711&lt;&gt;" "), "Ingresada", "Falta Ingresar"), " ")</f>
        <v xml:space="preserve"> </v>
      </c>
      <c r="L711" s="4" t="str">
        <f>IFERROR(VLOOKUP($C711,Observaciones!$A:$B,2,FALSE)," ")</f>
        <v>O/C NO WEB FACT.INDIVIDUAL Y EL RESTO UNA SOLA FACTURA</v>
      </c>
      <c r="M711" t="s">
        <v>681</v>
      </c>
      <c r="O711" s="5">
        <v>30845214</v>
      </c>
      <c r="P711" s="5">
        <v>57575</v>
      </c>
      <c r="Q711" s="5">
        <v>10939</v>
      </c>
      <c r="R711" s="5">
        <v>68514</v>
      </c>
    </row>
    <row r="712" spans="1:18" x14ac:dyDescent="0.25">
      <c r="A712" t="s">
        <v>503</v>
      </c>
      <c r="B712" t="s">
        <v>494</v>
      </c>
      <c r="C712">
        <v>70377400</v>
      </c>
      <c r="D712">
        <v>33</v>
      </c>
      <c r="E712">
        <v>30845497</v>
      </c>
      <c r="F712" t="s">
        <v>1002</v>
      </c>
      <c r="G712" s="1">
        <v>45232</v>
      </c>
      <c r="H712">
        <v>5410721</v>
      </c>
      <c r="I712">
        <v>132</v>
      </c>
      <c r="J712" t="s">
        <v>416</v>
      </c>
      <c r="K712" t="str">
        <f>IFERROR(IF(AND(VLOOKUP($C712,Hes!$A:$B, 1, FALSE), $M712&lt;&gt;" "), "Ingresada", "Falta Ingresar"), " ")</f>
        <v xml:space="preserve"> </v>
      </c>
      <c r="L712" s="4" t="str">
        <f>IFERROR(VLOOKUP($C712,Observaciones!$A:$B,2,FALSE)," ")</f>
        <v>O/C NO WEB FACT.INDIVIDUAL Y EL RESTO UNA SOLA FACTURA</v>
      </c>
      <c r="M712" t="s">
        <v>681</v>
      </c>
      <c r="O712" s="5">
        <v>30845497</v>
      </c>
      <c r="P712" s="5">
        <v>33388</v>
      </c>
      <c r="Q712" s="5">
        <v>6344</v>
      </c>
      <c r="R712" s="5">
        <v>39732</v>
      </c>
    </row>
    <row r="713" spans="1:18" x14ac:dyDescent="0.25">
      <c r="A713" t="s">
        <v>503</v>
      </c>
      <c r="B713" t="s">
        <v>494</v>
      </c>
      <c r="C713">
        <v>70377400</v>
      </c>
      <c r="D713">
        <v>36</v>
      </c>
      <c r="E713">
        <v>30844107</v>
      </c>
      <c r="F713" t="s">
        <v>1002</v>
      </c>
      <c r="G713" s="1">
        <v>45232</v>
      </c>
      <c r="H713">
        <v>5410727</v>
      </c>
      <c r="I713">
        <v>132</v>
      </c>
      <c r="J713" t="s">
        <v>416</v>
      </c>
      <c r="K713" t="str">
        <f>IFERROR(IF(AND(VLOOKUP($C713,Hes!$A:$B, 1, FALSE), $M713&lt;&gt;" "), "Ingresada", "Falta Ingresar"), " ")</f>
        <v xml:space="preserve"> </v>
      </c>
      <c r="L713" s="4" t="str">
        <f>IFERROR(VLOOKUP($C713,Observaciones!$A:$B,2,FALSE)," ")</f>
        <v>O/C NO WEB FACT.INDIVIDUAL Y EL RESTO UNA SOLA FACTURA</v>
      </c>
      <c r="M713" t="s">
        <v>681</v>
      </c>
      <c r="O713" s="5">
        <v>30844107</v>
      </c>
      <c r="P713" s="5">
        <v>280353</v>
      </c>
      <c r="Q713" s="5">
        <v>53267</v>
      </c>
      <c r="R713" s="5">
        <v>333620</v>
      </c>
    </row>
    <row r="714" spans="1:18" x14ac:dyDescent="0.25">
      <c r="A714" t="s">
        <v>503</v>
      </c>
      <c r="B714" t="s">
        <v>494</v>
      </c>
      <c r="C714">
        <v>70377400</v>
      </c>
      <c r="D714">
        <v>53</v>
      </c>
      <c r="E714">
        <v>30845233</v>
      </c>
      <c r="F714" t="s">
        <v>1002</v>
      </c>
      <c r="G714" s="1">
        <v>45232</v>
      </c>
      <c r="H714">
        <v>5410730</v>
      </c>
      <c r="I714">
        <v>132</v>
      </c>
      <c r="J714" t="s">
        <v>416</v>
      </c>
      <c r="K714" t="str">
        <f>IFERROR(IF(AND(VLOOKUP($C714,Hes!$A:$B, 1, FALSE), $M714&lt;&gt;" "), "Ingresada", "Falta Ingresar"), " ")</f>
        <v xml:space="preserve"> </v>
      </c>
      <c r="L714" s="4" t="str">
        <f>IFERROR(VLOOKUP($C714,Observaciones!$A:$B,2,FALSE)," ")</f>
        <v>O/C NO WEB FACT.INDIVIDUAL Y EL RESTO UNA SOLA FACTURA</v>
      </c>
      <c r="M714" t="s">
        <v>681</v>
      </c>
      <c r="O714" s="5">
        <v>30845233</v>
      </c>
      <c r="P714" s="5">
        <v>49170</v>
      </c>
      <c r="Q714" s="5">
        <v>9342</v>
      </c>
      <c r="R714" s="5">
        <v>58512</v>
      </c>
    </row>
    <row r="715" spans="1:18" x14ac:dyDescent="0.25">
      <c r="A715" t="s">
        <v>503</v>
      </c>
      <c r="B715" t="s">
        <v>494</v>
      </c>
      <c r="C715">
        <v>70377400</v>
      </c>
      <c r="D715">
        <v>47</v>
      </c>
      <c r="E715">
        <v>30845820</v>
      </c>
      <c r="F715" t="s">
        <v>1002</v>
      </c>
      <c r="G715" s="1">
        <v>45232</v>
      </c>
      <c r="H715">
        <v>5410760</v>
      </c>
      <c r="I715">
        <v>132</v>
      </c>
      <c r="J715" t="s">
        <v>416</v>
      </c>
      <c r="K715" t="str">
        <f>IFERROR(IF(AND(VLOOKUP($C715,Hes!$A:$B, 1, FALSE), $M715&lt;&gt;" "), "Ingresada", "Falta Ingresar"), " ")</f>
        <v xml:space="preserve"> </v>
      </c>
      <c r="L715" s="4" t="str">
        <f>IFERROR(VLOOKUP($C715,Observaciones!$A:$B,2,FALSE)," ")</f>
        <v>O/C NO WEB FACT.INDIVIDUAL Y EL RESTO UNA SOLA FACTURA</v>
      </c>
      <c r="M715" t="s">
        <v>681</v>
      </c>
      <c r="O715" s="5">
        <v>30845820</v>
      </c>
      <c r="P715" s="5">
        <v>116464</v>
      </c>
      <c r="Q715" s="5">
        <v>22128</v>
      </c>
      <c r="R715" s="5">
        <v>138592</v>
      </c>
    </row>
    <row r="716" spans="1:18" x14ac:dyDescent="0.25">
      <c r="A716" t="s">
        <v>503</v>
      </c>
      <c r="B716" t="s">
        <v>494</v>
      </c>
      <c r="C716">
        <v>70377400</v>
      </c>
      <c r="D716">
        <v>98</v>
      </c>
      <c r="E716">
        <v>30845750</v>
      </c>
      <c r="F716" t="s">
        <v>1002</v>
      </c>
      <c r="G716" s="1">
        <v>45232</v>
      </c>
      <c r="H716">
        <v>5410762</v>
      </c>
      <c r="I716">
        <v>132</v>
      </c>
      <c r="J716" t="s">
        <v>416</v>
      </c>
      <c r="K716" t="str">
        <f>IFERROR(IF(AND(VLOOKUP($C716,Hes!$A:$B, 1, FALSE), $M716&lt;&gt;" "), "Ingresada", "Falta Ingresar"), " ")</f>
        <v xml:space="preserve"> </v>
      </c>
      <c r="L716" s="4" t="str">
        <f>IFERROR(VLOOKUP($C716,Observaciones!$A:$B,2,FALSE)," ")</f>
        <v>O/C NO WEB FACT.INDIVIDUAL Y EL RESTO UNA SOLA FACTURA</v>
      </c>
      <c r="M716" t="s">
        <v>681</v>
      </c>
      <c r="O716" s="5">
        <v>30845750</v>
      </c>
      <c r="P716" s="5">
        <v>98525</v>
      </c>
      <c r="Q716" s="5">
        <v>18720</v>
      </c>
      <c r="R716" s="5">
        <v>117245</v>
      </c>
    </row>
    <row r="717" spans="1:18" x14ac:dyDescent="0.25">
      <c r="A717" t="s">
        <v>503</v>
      </c>
      <c r="B717" t="s">
        <v>494</v>
      </c>
      <c r="C717">
        <v>70377400</v>
      </c>
      <c r="D717">
        <v>131</v>
      </c>
      <c r="E717">
        <v>30846043</v>
      </c>
      <c r="F717" t="s">
        <v>1002</v>
      </c>
      <c r="G717" s="1">
        <v>45232</v>
      </c>
      <c r="H717">
        <v>5410763</v>
      </c>
      <c r="I717">
        <v>132</v>
      </c>
      <c r="J717" t="s">
        <v>416</v>
      </c>
      <c r="K717" t="str">
        <f>IFERROR(IF(AND(VLOOKUP($C717,Hes!$A:$B, 1, FALSE), $M717&lt;&gt;" "), "Ingresada", "Falta Ingresar"), " ")</f>
        <v xml:space="preserve"> </v>
      </c>
      <c r="L717" s="4" t="str">
        <f>IFERROR(VLOOKUP($C717,Observaciones!$A:$B,2,FALSE)," ")</f>
        <v>O/C NO WEB FACT.INDIVIDUAL Y EL RESTO UNA SOLA FACTURA</v>
      </c>
      <c r="M717" t="s">
        <v>681</v>
      </c>
      <c r="O717" s="5">
        <v>30846043</v>
      </c>
      <c r="P717" s="5">
        <v>361455</v>
      </c>
      <c r="Q717" s="5">
        <v>68676</v>
      </c>
      <c r="R717" s="5">
        <v>430131</v>
      </c>
    </row>
    <row r="718" spans="1:18" x14ac:dyDescent="0.25">
      <c r="A718" t="s">
        <v>503</v>
      </c>
      <c r="B718" t="s">
        <v>494</v>
      </c>
      <c r="C718">
        <v>70377400</v>
      </c>
      <c r="D718">
        <v>130</v>
      </c>
      <c r="E718">
        <v>30846231</v>
      </c>
      <c r="F718" t="s">
        <v>1002</v>
      </c>
      <c r="G718" s="1">
        <v>45232</v>
      </c>
      <c r="H718">
        <v>5410764</v>
      </c>
      <c r="I718">
        <v>132</v>
      </c>
      <c r="J718" t="s">
        <v>416</v>
      </c>
      <c r="K718" t="str">
        <f>IFERROR(IF(AND(VLOOKUP($C718,Hes!$A:$B, 1, FALSE), $M718&lt;&gt;" "), "Ingresada", "Falta Ingresar"), " ")</f>
        <v xml:space="preserve"> </v>
      </c>
      <c r="L718" s="4" t="str">
        <f>IFERROR(VLOOKUP($C718,Observaciones!$A:$B,2,FALSE)," ")</f>
        <v>O/C NO WEB FACT.INDIVIDUAL Y EL RESTO UNA SOLA FACTURA</v>
      </c>
      <c r="M718" t="s">
        <v>681</v>
      </c>
      <c r="O718" s="5">
        <v>30846231</v>
      </c>
      <c r="P718" s="5">
        <v>119497</v>
      </c>
      <c r="Q718" s="5">
        <v>22704</v>
      </c>
      <c r="R718" s="5">
        <v>142201</v>
      </c>
    </row>
    <row r="719" spans="1:18" x14ac:dyDescent="0.25">
      <c r="A719" t="s">
        <v>503</v>
      </c>
      <c r="B719" t="s">
        <v>494</v>
      </c>
      <c r="C719">
        <v>70377400</v>
      </c>
      <c r="D719">
        <v>147</v>
      </c>
      <c r="E719">
        <v>30846294</v>
      </c>
      <c r="F719" t="s">
        <v>1002</v>
      </c>
      <c r="G719" s="1">
        <v>45232</v>
      </c>
      <c r="H719">
        <v>5410766</v>
      </c>
      <c r="I719">
        <v>132</v>
      </c>
      <c r="J719" t="s">
        <v>416</v>
      </c>
      <c r="K719" t="str">
        <f>IFERROR(IF(AND(VLOOKUP($C719,Hes!$A:$B, 1, FALSE), $M719&lt;&gt;" "), "Ingresada", "Falta Ingresar"), " ")</f>
        <v xml:space="preserve"> </v>
      </c>
      <c r="L719" s="4" t="str">
        <f>IFERROR(VLOOKUP($C719,Observaciones!$A:$B,2,FALSE)," ")</f>
        <v>O/C NO WEB FACT.INDIVIDUAL Y EL RESTO UNA SOLA FACTURA</v>
      </c>
      <c r="M719" t="s">
        <v>681</v>
      </c>
      <c r="O719" s="5">
        <v>30846294</v>
      </c>
      <c r="P719" s="5">
        <v>83259</v>
      </c>
      <c r="Q719" s="5">
        <v>15819</v>
      </c>
      <c r="R719" s="5">
        <v>99078</v>
      </c>
    </row>
    <row r="720" spans="1:18" x14ac:dyDescent="0.25">
      <c r="A720" t="s">
        <v>503</v>
      </c>
      <c r="B720" t="s">
        <v>494</v>
      </c>
      <c r="C720">
        <v>70377400</v>
      </c>
      <c r="D720">
        <v>28</v>
      </c>
      <c r="E720">
        <v>30845578</v>
      </c>
      <c r="F720" t="s">
        <v>1002</v>
      </c>
      <c r="G720" s="1">
        <v>45232</v>
      </c>
      <c r="H720">
        <v>5410767</v>
      </c>
      <c r="I720">
        <v>132</v>
      </c>
      <c r="J720" t="s">
        <v>416</v>
      </c>
      <c r="K720" t="str">
        <f>IFERROR(IF(AND(VLOOKUP($C720,Hes!$A:$B, 1, FALSE), $M720&lt;&gt;" "), "Ingresada", "Falta Ingresar"), " ")</f>
        <v xml:space="preserve"> </v>
      </c>
      <c r="L720" s="4" t="str">
        <f>IFERROR(VLOOKUP($C720,Observaciones!$A:$B,2,FALSE)," ")</f>
        <v>O/C NO WEB FACT.INDIVIDUAL Y EL RESTO UNA SOLA FACTURA</v>
      </c>
      <c r="M720" t="s">
        <v>681</v>
      </c>
      <c r="O720" s="5">
        <v>30845578</v>
      </c>
      <c r="P720" s="5">
        <v>62898</v>
      </c>
      <c r="Q720" s="5">
        <v>11951</v>
      </c>
      <c r="R720" s="5">
        <v>74849</v>
      </c>
    </row>
    <row r="721" spans="1:18" x14ac:dyDescent="0.25">
      <c r="A721" t="s">
        <v>503</v>
      </c>
      <c r="B721" t="s">
        <v>494</v>
      </c>
      <c r="C721">
        <v>70377400</v>
      </c>
      <c r="D721">
        <v>133</v>
      </c>
      <c r="E721">
        <v>30845973</v>
      </c>
      <c r="F721" t="s">
        <v>1002</v>
      </c>
      <c r="G721" s="1">
        <v>45232</v>
      </c>
      <c r="H721">
        <v>5410778</v>
      </c>
      <c r="I721">
        <v>132</v>
      </c>
      <c r="J721" t="s">
        <v>416</v>
      </c>
      <c r="K721" t="str">
        <f>IFERROR(IF(AND(VLOOKUP($C721,Hes!$A:$B, 1, FALSE), $M721&lt;&gt;" "), "Ingresada", "Falta Ingresar"), " ")</f>
        <v xml:space="preserve"> </v>
      </c>
      <c r="L721" s="4" t="str">
        <f>IFERROR(VLOOKUP($C721,Observaciones!$A:$B,2,FALSE)," ")</f>
        <v>O/C NO WEB FACT.INDIVIDUAL Y EL RESTO UNA SOLA FACTURA</v>
      </c>
      <c r="M721" t="s">
        <v>681</v>
      </c>
      <c r="O721" s="5">
        <v>30845973</v>
      </c>
      <c r="P721" s="5">
        <v>63397</v>
      </c>
      <c r="Q721" s="5">
        <v>12045</v>
      </c>
      <c r="R721" s="5">
        <v>75442</v>
      </c>
    </row>
    <row r="722" spans="1:18" x14ac:dyDescent="0.25">
      <c r="A722" t="s">
        <v>503</v>
      </c>
      <c r="B722" t="s">
        <v>494</v>
      </c>
      <c r="C722">
        <v>70377400</v>
      </c>
      <c r="D722">
        <v>150</v>
      </c>
      <c r="E722">
        <v>30845708</v>
      </c>
      <c r="F722" t="s">
        <v>1002</v>
      </c>
      <c r="G722" s="1">
        <v>45232</v>
      </c>
      <c r="H722">
        <v>5410779</v>
      </c>
      <c r="I722">
        <v>132</v>
      </c>
      <c r="J722" t="s">
        <v>416</v>
      </c>
      <c r="K722" t="str">
        <f>IFERROR(IF(AND(VLOOKUP($C722,Hes!$A:$B, 1, FALSE), $M722&lt;&gt;" "), "Ingresada", "Falta Ingresar"), " ")</f>
        <v xml:space="preserve"> </v>
      </c>
      <c r="L722" s="4" t="str">
        <f>IFERROR(VLOOKUP($C722,Observaciones!$A:$B,2,FALSE)," ")</f>
        <v>O/C NO WEB FACT.INDIVIDUAL Y EL RESTO UNA SOLA FACTURA</v>
      </c>
      <c r="M722" t="s">
        <v>681</v>
      </c>
      <c r="O722" s="5">
        <v>30845708</v>
      </c>
      <c r="P722" s="5">
        <v>150980</v>
      </c>
      <c r="Q722" s="5">
        <v>28686</v>
      </c>
      <c r="R722" s="5">
        <v>179666</v>
      </c>
    </row>
    <row r="723" spans="1:18" x14ac:dyDescent="0.25">
      <c r="A723" t="s">
        <v>503</v>
      </c>
      <c r="B723" t="s">
        <v>494</v>
      </c>
      <c r="C723">
        <v>70377400</v>
      </c>
      <c r="D723">
        <v>55</v>
      </c>
      <c r="E723">
        <v>30845849</v>
      </c>
      <c r="F723" t="s">
        <v>1002</v>
      </c>
      <c r="G723" s="1">
        <v>45232</v>
      </c>
      <c r="H723">
        <v>5410780</v>
      </c>
      <c r="I723">
        <v>132</v>
      </c>
      <c r="J723" t="s">
        <v>416</v>
      </c>
      <c r="K723" t="str">
        <f>IFERROR(IF(AND(VLOOKUP($C723,Hes!$A:$B, 1, FALSE), $M723&lt;&gt;" "), "Ingresada", "Falta Ingresar"), " ")</f>
        <v xml:space="preserve"> </v>
      </c>
      <c r="L723" s="4" t="str">
        <f>IFERROR(VLOOKUP($C723,Observaciones!$A:$B,2,FALSE)," ")</f>
        <v>O/C NO WEB FACT.INDIVIDUAL Y EL RESTO UNA SOLA FACTURA</v>
      </c>
      <c r="M723" t="s">
        <v>681</v>
      </c>
      <c r="O723" s="5">
        <v>30845849</v>
      </c>
      <c r="P723" s="5">
        <v>145631</v>
      </c>
      <c r="Q723" s="5">
        <v>27670</v>
      </c>
      <c r="R723" s="5">
        <v>173301</v>
      </c>
    </row>
    <row r="724" spans="1:18" x14ac:dyDescent="0.25">
      <c r="A724" t="s">
        <v>503</v>
      </c>
      <c r="B724" t="s">
        <v>494</v>
      </c>
      <c r="C724">
        <v>70377400</v>
      </c>
      <c r="D724">
        <v>115</v>
      </c>
      <c r="E724">
        <v>30845930</v>
      </c>
      <c r="F724" t="s">
        <v>1002</v>
      </c>
      <c r="G724" s="1">
        <v>45232</v>
      </c>
      <c r="H724">
        <v>5410787</v>
      </c>
      <c r="I724">
        <v>132</v>
      </c>
      <c r="J724" t="s">
        <v>416</v>
      </c>
      <c r="K724" t="str">
        <f>IFERROR(IF(AND(VLOOKUP($C724,Hes!$A:$B, 1, FALSE), $M724&lt;&gt;" "), "Ingresada", "Falta Ingresar"), " ")</f>
        <v xml:space="preserve"> </v>
      </c>
      <c r="L724" s="4" t="str">
        <f>IFERROR(VLOOKUP($C724,Observaciones!$A:$B,2,FALSE)," ")</f>
        <v>O/C NO WEB FACT.INDIVIDUAL Y EL RESTO UNA SOLA FACTURA</v>
      </c>
      <c r="M724" t="s">
        <v>681</v>
      </c>
      <c r="O724" s="5">
        <v>30845930</v>
      </c>
      <c r="P724" s="5">
        <v>300819</v>
      </c>
      <c r="Q724" s="5">
        <v>57156</v>
      </c>
      <c r="R724" s="5">
        <v>357975</v>
      </c>
    </row>
    <row r="725" spans="1:18" x14ac:dyDescent="0.25">
      <c r="A725" t="s">
        <v>503</v>
      </c>
      <c r="B725" t="s">
        <v>494</v>
      </c>
      <c r="C725">
        <v>70377400</v>
      </c>
      <c r="D725">
        <v>22</v>
      </c>
      <c r="E725">
        <v>30845203</v>
      </c>
      <c r="F725" t="s">
        <v>1002</v>
      </c>
      <c r="G725" s="1">
        <v>45232</v>
      </c>
      <c r="H725">
        <v>5410791</v>
      </c>
      <c r="I725">
        <v>132</v>
      </c>
      <c r="J725" t="s">
        <v>416</v>
      </c>
      <c r="K725" t="str">
        <f>IFERROR(IF(AND(VLOOKUP($C725,Hes!$A:$B, 1, FALSE), $M725&lt;&gt;" "), "Ingresada", "Falta Ingresar"), " ")</f>
        <v xml:space="preserve"> </v>
      </c>
      <c r="L725" s="4" t="str">
        <f>IFERROR(VLOOKUP($C725,Observaciones!$A:$B,2,FALSE)," ")</f>
        <v>O/C NO WEB FACT.INDIVIDUAL Y EL RESTO UNA SOLA FACTURA</v>
      </c>
      <c r="M725" t="s">
        <v>681</v>
      </c>
      <c r="O725" s="5">
        <v>30845203</v>
      </c>
      <c r="P725" s="5">
        <v>306871</v>
      </c>
      <c r="Q725" s="5">
        <v>58305</v>
      </c>
      <c r="R725" s="5">
        <v>365176</v>
      </c>
    </row>
    <row r="726" spans="1:18" x14ac:dyDescent="0.25">
      <c r="A726" t="s">
        <v>503</v>
      </c>
      <c r="B726" t="s">
        <v>494</v>
      </c>
      <c r="C726">
        <v>70377400</v>
      </c>
      <c r="D726">
        <v>35</v>
      </c>
      <c r="E726">
        <v>30845675</v>
      </c>
      <c r="F726" t="s">
        <v>1002</v>
      </c>
      <c r="G726" s="1">
        <v>45232</v>
      </c>
      <c r="H726">
        <v>5410792</v>
      </c>
      <c r="I726">
        <v>132</v>
      </c>
      <c r="J726" t="s">
        <v>416</v>
      </c>
      <c r="K726" t="str">
        <f>IFERROR(IF(AND(VLOOKUP($C726,Hes!$A:$B, 1, FALSE), $M726&lt;&gt;" "), "Ingresada", "Falta Ingresar"), " ")</f>
        <v xml:space="preserve"> </v>
      </c>
      <c r="L726" s="4" t="str">
        <f>IFERROR(VLOOKUP($C726,Observaciones!$A:$B,2,FALSE)," ")</f>
        <v>O/C NO WEB FACT.INDIVIDUAL Y EL RESTO UNA SOLA FACTURA</v>
      </c>
      <c r="M726" t="s">
        <v>681</v>
      </c>
      <c r="O726" s="5">
        <v>30845675</v>
      </c>
      <c r="P726" s="5">
        <v>326165</v>
      </c>
      <c r="Q726" s="5">
        <v>61971</v>
      </c>
      <c r="R726" s="5">
        <v>388136</v>
      </c>
    </row>
    <row r="727" spans="1:18" x14ac:dyDescent="0.25">
      <c r="A727" t="s">
        <v>503</v>
      </c>
      <c r="B727" t="s">
        <v>494</v>
      </c>
      <c r="C727">
        <v>70377400</v>
      </c>
      <c r="D727">
        <v>149</v>
      </c>
      <c r="E727">
        <v>30845208</v>
      </c>
      <c r="F727" t="s">
        <v>1002</v>
      </c>
      <c r="G727" s="1">
        <v>45232</v>
      </c>
      <c r="H727">
        <v>5410794</v>
      </c>
      <c r="I727">
        <v>132</v>
      </c>
      <c r="J727" t="s">
        <v>416</v>
      </c>
      <c r="K727" t="str">
        <f>IFERROR(IF(AND(VLOOKUP($C727,Hes!$A:$B, 1, FALSE), $M727&lt;&gt;" "), "Ingresada", "Falta Ingresar"), " ")</f>
        <v xml:space="preserve"> </v>
      </c>
      <c r="L727" s="4" t="str">
        <f>IFERROR(VLOOKUP($C727,Observaciones!$A:$B,2,FALSE)," ")</f>
        <v>O/C NO WEB FACT.INDIVIDUAL Y EL RESTO UNA SOLA FACTURA</v>
      </c>
      <c r="M727" t="s">
        <v>681</v>
      </c>
      <c r="O727" s="5">
        <v>30845208</v>
      </c>
      <c r="P727" s="5">
        <v>170928</v>
      </c>
      <c r="Q727" s="5">
        <v>32476</v>
      </c>
      <c r="R727" s="5">
        <v>203404</v>
      </c>
    </row>
    <row r="728" spans="1:18" x14ac:dyDescent="0.25">
      <c r="A728" t="s">
        <v>503</v>
      </c>
      <c r="B728" t="s">
        <v>494</v>
      </c>
      <c r="C728">
        <v>70377400</v>
      </c>
      <c r="D728">
        <v>149</v>
      </c>
      <c r="E728">
        <v>30845208</v>
      </c>
      <c r="F728" t="s">
        <v>1002</v>
      </c>
      <c r="G728" s="1">
        <v>45232</v>
      </c>
      <c r="H728">
        <v>5410795</v>
      </c>
      <c r="I728">
        <v>132</v>
      </c>
      <c r="J728" t="s">
        <v>416</v>
      </c>
      <c r="K728" t="str">
        <f>IFERROR(IF(AND(VLOOKUP($C728,Hes!$A:$B, 1, FALSE), $M728&lt;&gt;" "), "Ingresada", "Falta Ingresar"), " ")</f>
        <v xml:space="preserve"> </v>
      </c>
      <c r="L728" s="4" t="str">
        <f>IFERROR(VLOOKUP($C728,Observaciones!$A:$B,2,FALSE)," ")</f>
        <v>O/C NO WEB FACT.INDIVIDUAL Y EL RESTO UNA SOLA FACTURA</v>
      </c>
      <c r="M728" t="s">
        <v>681</v>
      </c>
      <c r="O728" s="5">
        <v>30845208</v>
      </c>
      <c r="P728" s="5">
        <v>139023</v>
      </c>
      <c r="Q728" s="5">
        <v>26414</v>
      </c>
      <c r="R728" s="5">
        <v>165437</v>
      </c>
    </row>
    <row r="729" spans="1:18" x14ac:dyDescent="0.25">
      <c r="A729" t="s">
        <v>503</v>
      </c>
      <c r="B729" t="s">
        <v>494</v>
      </c>
      <c r="C729">
        <v>70377400</v>
      </c>
      <c r="D729">
        <v>146</v>
      </c>
      <c r="E729">
        <v>30845215</v>
      </c>
      <c r="F729" t="s">
        <v>1002</v>
      </c>
      <c r="G729" s="1">
        <v>45232</v>
      </c>
      <c r="H729">
        <v>5410800</v>
      </c>
      <c r="I729">
        <v>132</v>
      </c>
      <c r="J729" t="s">
        <v>416</v>
      </c>
      <c r="K729" t="str">
        <f>IFERROR(IF(AND(VLOOKUP($C729,Hes!$A:$B, 1, FALSE), $M729&lt;&gt;" "), "Ingresada", "Falta Ingresar"), " ")</f>
        <v xml:space="preserve"> </v>
      </c>
      <c r="L729" s="4" t="str">
        <f>IFERROR(VLOOKUP($C729,Observaciones!$A:$B,2,FALSE)," ")</f>
        <v>O/C NO WEB FACT.INDIVIDUAL Y EL RESTO UNA SOLA FACTURA</v>
      </c>
      <c r="M729" t="s">
        <v>681</v>
      </c>
      <c r="O729" s="5">
        <v>30845215</v>
      </c>
      <c r="P729" s="5">
        <v>70191</v>
      </c>
      <c r="Q729" s="5">
        <v>13336</v>
      </c>
      <c r="R729" s="5">
        <v>83527</v>
      </c>
    </row>
    <row r="730" spans="1:18" x14ac:dyDescent="0.25">
      <c r="A730" t="s">
        <v>503</v>
      </c>
      <c r="B730" t="s">
        <v>494</v>
      </c>
      <c r="C730">
        <v>70377400</v>
      </c>
      <c r="D730">
        <v>135</v>
      </c>
      <c r="E730">
        <v>30846003</v>
      </c>
      <c r="F730" t="s">
        <v>1002</v>
      </c>
      <c r="G730" s="1">
        <v>45232</v>
      </c>
      <c r="H730">
        <v>5410804</v>
      </c>
      <c r="I730">
        <v>132</v>
      </c>
      <c r="J730" t="s">
        <v>416</v>
      </c>
      <c r="K730" t="str">
        <f>IFERROR(IF(AND(VLOOKUP($C730,Hes!$A:$B, 1, FALSE), $M730&lt;&gt;" "), "Ingresada", "Falta Ingresar"), " ")</f>
        <v xml:space="preserve"> </v>
      </c>
      <c r="L730" s="4" t="str">
        <f>IFERROR(VLOOKUP($C730,Observaciones!$A:$B,2,FALSE)," ")</f>
        <v>O/C NO WEB FACT.INDIVIDUAL Y EL RESTO UNA SOLA FACTURA</v>
      </c>
      <c r="M730" t="s">
        <v>681</v>
      </c>
      <c r="O730" s="5">
        <v>30846003</v>
      </c>
      <c r="P730" s="5">
        <v>36284</v>
      </c>
      <c r="Q730" s="5">
        <v>6894</v>
      </c>
      <c r="R730" s="5">
        <v>43178</v>
      </c>
    </row>
    <row r="731" spans="1:18" x14ac:dyDescent="0.25">
      <c r="A731" t="s">
        <v>503</v>
      </c>
      <c r="B731" t="s">
        <v>494</v>
      </c>
      <c r="C731">
        <v>70377400</v>
      </c>
      <c r="D731">
        <v>13</v>
      </c>
      <c r="E731">
        <v>30845217</v>
      </c>
      <c r="F731" t="s">
        <v>1002</v>
      </c>
      <c r="G731" s="1">
        <v>45232</v>
      </c>
      <c r="H731">
        <v>5410805</v>
      </c>
      <c r="I731">
        <v>132</v>
      </c>
      <c r="J731" t="s">
        <v>416</v>
      </c>
      <c r="K731" t="str">
        <f>IFERROR(IF(AND(VLOOKUP($C731,Hes!$A:$B, 1, FALSE), $M731&lt;&gt;" "), "Ingresada", "Falta Ingresar"), " ")</f>
        <v xml:space="preserve"> </v>
      </c>
      <c r="L731" s="4" t="str">
        <f>IFERROR(VLOOKUP($C731,Observaciones!$A:$B,2,FALSE)," ")</f>
        <v>O/C NO WEB FACT.INDIVIDUAL Y EL RESTO UNA SOLA FACTURA</v>
      </c>
      <c r="M731" t="s">
        <v>681</v>
      </c>
      <c r="O731" s="5">
        <v>30845217</v>
      </c>
      <c r="P731" s="5">
        <v>23992</v>
      </c>
      <c r="Q731" s="5">
        <v>4558</v>
      </c>
      <c r="R731" s="5">
        <v>28550</v>
      </c>
    </row>
    <row r="732" spans="1:18" x14ac:dyDescent="0.25">
      <c r="A732" t="s">
        <v>503</v>
      </c>
      <c r="B732" t="s">
        <v>494</v>
      </c>
      <c r="C732">
        <v>70377400</v>
      </c>
      <c r="D732">
        <v>20</v>
      </c>
      <c r="E732">
        <v>30845218</v>
      </c>
      <c r="F732" t="s">
        <v>1002</v>
      </c>
      <c r="G732" s="1">
        <v>45232</v>
      </c>
      <c r="H732">
        <v>5410808</v>
      </c>
      <c r="I732">
        <v>132</v>
      </c>
      <c r="J732" t="s">
        <v>416</v>
      </c>
      <c r="K732" t="str">
        <f>IFERROR(IF(AND(VLOOKUP($C732,Hes!$A:$B, 1, FALSE), $M732&lt;&gt;" "), "Ingresada", "Falta Ingresar"), " ")</f>
        <v xml:space="preserve"> </v>
      </c>
      <c r="L732" s="4" t="str">
        <f>IFERROR(VLOOKUP($C732,Observaciones!$A:$B,2,FALSE)," ")</f>
        <v>O/C NO WEB FACT.INDIVIDUAL Y EL RESTO UNA SOLA FACTURA</v>
      </c>
      <c r="M732" t="s">
        <v>681</v>
      </c>
      <c r="O732" s="5">
        <v>30845218</v>
      </c>
      <c r="P732" s="5">
        <v>218560</v>
      </c>
      <c r="Q732" s="5">
        <v>41526</v>
      </c>
      <c r="R732" s="5">
        <v>260086</v>
      </c>
    </row>
    <row r="733" spans="1:18" x14ac:dyDescent="0.25">
      <c r="A733" t="s">
        <v>503</v>
      </c>
      <c r="B733" t="s">
        <v>494</v>
      </c>
      <c r="C733">
        <v>70377400</v>
      </c>
      <c r="D733">
        <v>62</v>
      </c>
      <c r="E733">
        <v>30845221</v>
      </c>
      <c r="F733" t="s">
        <v>1002</v>
      </c>
      <c r="G733" s="1">
        <v>45232</v>
      </c>
      <c r="H733">
        <v>5410809</v>
      </c>
      <c r="I733">
        <v>132</v>
      </c>
      <c r="J733" t="s">
        <v>416</v>
      </c>
      <c r="K733" t="str">
        <f>IFERROR(IF(AND(VLOOKUP($C733,Hes!$A:$B, 1, FALSE), $M733&lt;&gt;" "), "Ingresada", "Falta Ingresar"), " ")</f>
        <v xml:space="preserve"> </v>
      </c>
      <c r="L733" s="4" t="str">
        <f>IFERROR(VLOOKUP($C733,Observaciones!$A:$B,2,FALSE)," ")</f>
        <v>O/C NO WEB FACT.INDIVIDUAL Y EL RESTO UNA SOLA FACTURA</v>
      </c>
      <c r="M733" t="s">
        <v>681</v>
      </c>
      <c r="O733" s="5">
        <v>30845221</v>
      </c>
      <c r="P733" s="5">
        <v>111714</v>
      </c>
      <c r="Q733" s="5">
        <v>21226</v>
      </c>
      <c r="R733" s="5">
        <v>132940</v>
      </c>
    </row>
    <row r="734" spans="1:18" x14ac:dyDescent="0.25">
      <c r="A734" t="s">
        <v>503</v>
      </c>
      <c r="B734" t="s">
        <v>494</v>
      </c>
      <c r="C734">
        <v>70377400</v>
      </c>
      <c r="D734">
        <v>74</v>
      </c>
      <c r="E734">
        <v>30845199</v>
      </c>
      <c r="F734" t="s">
        <v>1002</v>
      </c>
      <c r="G734" s="1">
        <v>45232</v>
      </c>
      <c r="H734">
        <v>5410817</v>
      </c>
      <c r="I734">
        <v>132</v>
      </c>
      <c r="J734" t="s">
        <v>416</v>
      </c>
      <c r="K734" t="str">
        <f>IFERROR(IF(AND(VLOOKUP($C734,Hes!$A:$B, 1, FALSE), $M734&lt;&gt;" "), "Ingresada", "Falta Ingresar"), " ")</f>
        <v xml:space="preserve"> </v>
      </c>
      <c r="L734" s="4" t="str">
        <f>IFERROR(VLOOKUP($C734,Observaciones!$A:$B,2,FALSE)," ")</f>
        <v>O/C NO WEB FACT.INDIVIDUAL Y EL RESTO UNA SOLA FACTURA</v>
      </c>
      <c r="M734" t="s">
        <v>681</v>
      </c>
      <c r="O734" s="5">
        <v>30845199</v>
      </c>
      <c r="P734" s="5">
        <v>124012</v>
      </c>
      <c r="Q734" s="5">
        <v>23562</v>
      </c>
      <c r="R734" s="5">
        <v>147574</v>
      </c>
    </row>
    <row r="735" spans="1:18" x14ac:dyDescent="0.25">
      <c r="A735" t="s">
        <v>503</v>
      </c>
      <c r="B735" t="s">
        <v>494</v>
      </c>
      <c r="C735">
        <v>70377400</v>
      </c>
      <c r="D735">
        <v>46</v>
      </c>
      <c r="E735">
        <v>30845224</v>
      </c>
      <c r="F735" t="s">
        <v>1002</v>
      </c>
      <c r="G735" s="1">
        <v>45232</v>
      </c>
      <c r="H735">
        <v>5410820</v>
      </c>
      <c r="I735">
        <v>132</v>
      </c>
      <c r="J735" t="s">
        <v>416</v>
      </c>
      <c r="K735" t="str">
        <f>IFERROR(IF(AND(VLOOKUP($C735,Hes!$A:$B, 1, FALSE), $M735&lt;&gt;" "), "Ingresada", "Falta Ingresar"), " ")</f>
        <v xml:space="preserve"> </v>
      </c>
      <c r="L735" s="4" t="str">
        <f>IFERROR(VLOOKUP($C735,Observaciones!$A:$B,2,FALSE)," ")</f>
        <v>O/C NO WEB FACT.INDIVIDUAL Y EL RESTO UNA SOLA FACTURA</v>
      </c>
      <c r="M735" t="s">
        <v>681</v>
      </c>
      <c r="O735" s="5">
        <v>30845224</v>
      </c>
      <c r="P735" s="5">
        <v>45470</v>
      </c>
      <c r="Q735" s="5">
        <v>8639</v>
      </c>
      <c r="R735" s="5">
        <v>54109</v>
      </c>
    </row>
    <row r="736" spans="1:18" x14ac:dyDescent="0.25">
      <c r="A736" t="s">
        <v>503</v>
      </c>
      <c r="B736" t="s">
        <v>494</v>
      </c>
      <c r="C736">
        <v>70377400</v>
      </c>
      <c r="D736">
        <v>77</v>
      </c>
      <c r="E736">
        <v>30846350</v>
      </c>
      <c r="F736" t="s">
        <v>1002</v>
      </c>
      <c r="G736" s="1">
        <v>45231</v>
      </c>
      <c r="H736">
        <v>5410834</v>
      </c>
      <c r="I736">
        <v>132</v>
      </c>
      <c r="J736" t="s">
        <v>416</v>
      </c>
      <c r="K736" t="str">
        <f>IFERROR(IF(AND(VLOOKUP($C736,Hes!$A:$B, 1, FALSE), $M736&lt;&gt;" "), "Ingresada", "Falta Ingresar"), " ")</f>
        <v xml:space="preserve"> </v>
      </c>
      <c r="L736" s="4" t="str">
        <f>IFERROR(VLOOKUP($C736,Observaciones!$A:$B,2,FALSE)," ")</f>
        <v>O/C NO WEB FACT.INDIVIDUAL Y EL RESTO UNA SOLA FACTURA</v>
      </c>
      <c r="M736" t="s">
        <v>681</v>
      </c>
      <c r="O736" s="5">
        <v>30846350</v>
      </c>
      <c r="P736" s="5">
        <v>22080</v>
      </c>
      <c r="Q736" s="5">
        <v>4195</v>
      </c>
      <c r="R736" s="5">
        <v>26275</v>
      </c>
    </row>
    <row r="737" spans="1:18" x14ac:dyDescent="0.25">
      <c r="A737" t="s">
        <v>503</v>
      </c>
      <c r="B737" t="s">
        <v>494</v>
      </c>
      <c r="C737">
        <v>70377400</v>
      </c>
      <c r="D737">
        <v>59</v>
      </c>
      <c r="E737">
        <v>30846492</v>
      </c>
      <c r="F737" t="s">
        <v>1002</v>
      </c>
      <c r="G737" s="1">
        <v>45231</v>
      </c>
      <c r="H737">
        <v>5410893</v>
      </c>
      <c r="I737">
        <v>132</v>
      </c>
      <c r="J737" t="s">
        <v>416</v>
      </c>
      <c r="K737" t="str">
        <f>IFERROR(IF(AND(VLOOKUP($C737,Hes!$A:$B, 1, FALSE), $M737&lt;&gt;" "), "Ingresada", "Falta Ingresar"), " ")</f>
        <v xml:space="preserve"> </v>
      </c>
      <c r="L737" s="4" t="str">
        <f>IFERROR(VLOOKUP($C737,Observaciones!$A:$B,2,FALSE)," ")</f>
        <v>O/C NO WEB FACT.INDIVIDUAL Y EL RESTO UNA SOLA FACTURA</v>
      </c>
      <c r="M737" t="s">
        <v>681</v>
      </c>
      <c r="O737" s="5">
        <v>30846492</v>
      </c>
      <c r="P737" s="5">
        <v>89757</v>
      </c>
      <c r="Q737" s="5">
        <v>17054</v>
      </c>
      <c r="R737" s="5">
        <v>106811</v>
      </c>
    </row>
    <row r="738" spans="1:18" x14ac:dyDescent="0.25">
      <c r="A738" t="s">
        <v>503</v>
      </c>
      <c r="B738" t="s">
        <v>494</v>
      </c>
      <c r="C738">
        <v>70377400</v>
      </c>
      <c r="D738">
        <v>156</v>
      </c>
      <c r="E738">
        <v>30846634</v>
      </c>
      <c r="F738" t="s">
        <v>1002</v>
      </c>
      <c r="G738" s="1">
        <v>45232</v>
      </c>
      <c r="H738">
        <v>5410931</v>
      </c>
      <c r="I738">
        <v>132</v>
      </c>
      <c r="J738" t="s">
        <v>416</v>
      </c>
      <c r="K738" t="str">
        <f>IFERROR(IF(AND(VLOOKUP($C738,Hes!$A:$B, 1, FALSE), $M738&lt;&gt;" "), "Ingresada", "Falta Ingresar"), " ")</f>
        <v xml:space="preserve"> </v>
      </c>
      <c r="L738" s="4" t="str">
        <f>IFERROR(VLOOKUP($C738,Observaciones!$A:$B,2,FALSE)," ")</f>
        <v>O/C NO WEB FACT.INDIVIDUAL Y EL RESTO UNA SOLA FACTURA</v>
      </c>
      <c r="M738" t="s">
        <v>681</v>
      </c>
      <c r="O738" s="5">
        <v>30846634</v>
      </c>
      <c r="P738" s="5">
        <v>34156</v>
      </c>
      <c r="Q738" s="5">
        <v>6490</v>
      </c>
      <c r="R738" s="5">
        <v>40646</v>
      </c>
    </row>
    <row r="739" spans="1:18" x14ac:dyDescent="0.25">
      <c r="A739" t="s">
        <v>503</v>
      </c>
      <c r="B739" t="s">
        <v>494</v>
      </c>
      <c r="C739">
        <v>70377400</v>
      </c>
      <c r="D739">
        <v>134</v>
      </c>
      <c r="E739">
        <v>30846148</v>
      </c>
      <c r="F739" t="s">
        <v>1002</v>
      </c>
      <c r="G739" s="1">
        <v>45232</v>
      </c>
      <c r="H739">
        <v>5410932</v>
      </c>
      <c r="I739">
        <v>132</v>
      </c>
      <c r="J739" t="s">
        <v>416</v>
      </c>
      <c r="K739" t="str">
        <f>IFERROR(IF(AND(VLOOKUP($C739,Hes!$A:$B, 1, FALSE), $M739&lt;&gt;" "), "Ingresada", "Falta Ingresar"), " ")</f>
        <v xml:space="preserve"> </v>
      </c>
      <c r="L739" s="4" t="str">
        <f>IFERROR(VLOOKUP($C739,Observaciones!$A:$B,2,FALSE)," ")</f>
        <v>O/C NO WEB FACT.INDIVIDUAL Y EL RESTO UNA SOLA FACTURA</v>
      </c>
      <c r="M739" t="s">
        <v>681</v>
      </c>
      <c r="O739" s="5">
        <v>30846148</v>
      </c>
      <c r="P739" s="5">
        <v>109817</v>
      </c>
      <c r="Q739" s="5">
        <v>20865</v>
      </c>
      <c r="R739" s="5">
        <v>130682</v>
      </c>
    </row>
    <row r="740" spans="1:18" x14ac:dyDescent="0.25">
      <c r="A740" t="s">
        <v>503</v>
      </c>
      <c r="B740" t="s">
        <v>494</v>
      </c>
      <c r="C740">
        <v>70377400</v>
      </c>
      <c r="D740">
        <v>120</v>
      </c>
      <c r="E740">
        <v>30846810</v>
      </c>
      <c r="F740" t="s">
        <v>1002</v>
      </c>
      <c r="G740" s="1">
        <v>45232</v>
      </c>
      <c r="H740">
        <v>5410955</v>
      </c>
      <c r="I740">
        <v>132</v>
      </c>
      <c r="J740" t="s">
        <v>416</v>
      </c>
      <c r="K740" t="str">
        <f>IFERROR(IF(AND(VLOOKUP($C740,Hes!$A:$B, 1, FALSE), $M740&lt;&gt;" "), "Ingresada", "Falta Ingresar"), " ")</f>
        <v xml:space="preserve"> </v>
      </c>
      <c r="L740" s="4" t="str">
        <f>IFERROR(VLOOKUP($C740,Observaciones!$A:$B,2,FALSE)," ")</f>
        <v>O/C NO WEB FACT.INDIVIDUAL Y EL RESTO UNA SOLA FACTURA</v>
      </c>
      <c r="M740" t="s">
        <v>681</v>
      </c>
      <c r="O740" s="5">
        <v>30846810</v>
      </c>
      <c r="P740" s="5">
        <v>20743</v>
      </c>
      <c r="Q740" s="5">
        <v>3941</v>
      </c>
      <c r="R740" s="5">
        <v>24684</v>
      </c>
    </row>
    <row r="741" spans="1:18" x14ac:dyDescent="0.25">
      <c r="A741" t="s">
        <v>503</v>
      </c>
      <c r="B741" t="s">
        <v>494</v>
      </c>
      <c r="C741">
        <v>70377400</v>
      </c>
      <c r="D741">
        <v>106</v>
      </c>
      <c r="E741">
        <v>30846610</v>
      </c>
      <c r="F741" t="s">
        <v>1002</v>
      </c>
      <c r="G741" s="1">
        <v>45232</v>
      </c>
      <c r="H741">
        <v>5410961</v>
      </c>
      <c r="I741">
        <v>132</v>
      </c>
      <c r="J741" t="s">
        <v>416</v>
      </c>
      <c r="K741" t="str">
        <f>IFERROR(IF(AND(VLOOKUP($C741,Hes!$A:$B, 1, FALSE), $M741&lt;&gt;" "), "Ingresada", "Falta Ingresar"), " ")</f>
        <v xml:space="preserve"> </v>
      </c>
      <c r="L741" s="4" t="str">
        <f>IFERROR(VLOOKUP($C741,Observaciones!$A:$B,2,FALSE)," ")</f>
        <v>O/C NO WEB FACT.INDIVIDUAL Y EL RESTO UNA SOLA FACTURA</v>
      </c>
      <c r="M741" t="s">
        <v>681</v>
      </c>
      <c r="O741" s="5">
        <v>30846610</v>
      </c>
      <c r="P741" s="5">
        <v>45355</v>
      </c>
      <c r="Q741" s="5">
        <v>8617</v>
      </c>
      <c r="R741" s="5">
        <v>53972</v>
      </c>
    </row>
    <row r="742" spans="1:18" x14ac:dyDescent="0.25">
      <c r="A742" t="s">
        <v>503</v>
      </c>
      <c r="B742" t="s">
        <v>494</v>
      </c>
      <c r="C742">
        <v>70377400</v>
      </c>
      <c r="D742">
        <v>16</v>
      </c>
      <c r="E742">
        <v>30845897</v>
      </c>
      <c r="F742" t="s">
        <v>1002</v>
      </c>
      <c r="G742" s="1">
        <v>45232</v>
      </c>
      <c r="H742">
        <v>5410962</v>
      </c>
      <c r="I742">
        <v>132</v>
      </c>
      <c r="J742" t="s">
        <v>416</v>
      </c>
      <c r="K742" t="str">
        <f>IFERROR(IF(AND(VLOOKUP($C742,Hes!$A:$B, 1, FALSE), $M742&lt;&gt;" "), "Ingresada", "Falta Ingresar"), " ")</f>
        <v xml:space="preserve"> </v>
      </c>
      <c r="L742" s="4" t="str">
        <f>IFERROR(VLOOKUP($C742,Observaciones!$A:$B,2,FALSE)," ")</f>
        <v>O/C NO WEB FACT.INDIVIDUAL Y EL RESTO UNA SOLA FACTURA</v>
      </c>
      <c r="M742" t="s">
        <v>681</v>
      </c>
      <c r="O742" s="5">
        <v>30845897</v>
      </c>
      <c r="P742" s="5">
        <v>353638</v>
      </c>
      <c r="Q742" s="5">
        <v>67191</v>
      </c>
      <c r="R742" s="5">
        <v>431979</v>
      </c>
    </row>
    <row r="743" spans="1:18" x14ac:dyDescent="0.25">
      <c r="A743" t="s">
        <v>503</v>
      </c>
      <c r="B743" t="s">
        <v>494</v>
      </c>
      <c r="C743">
        <v>70377400</v>
      </c>
      <c r="D743">
        <v>48</v>
      </c>
      <c r="E743">
        <v>30846399</v>
      </c>
      <c r="F743" t="s">
        <v>1002</v>
      </c>
      <c r="G743" s="1">
        <v>45232</v>
      </c>
      <c r="H743">
        <v>5411064</v>
      </c>
      <c r="I743">
        <v>132</v>
      </c>
      <c r="J743" t="s">
        <v>416</v>
      </c>
      <c r="K743" t="str">
        <f>IFERROR(IF(AND(VLOOKUP($C743,Hes!$A:$B, 1, FALSE), $M743&lt;&gt;" "), "Ingresada", "Falta Ingresar"), " ")</f>
        <v xml:space="preserve"> </v>
      </c>
      <c r="L743" s="4" t="str">
        <f>IFERROR(VLOOKUP($C743,Observaciones!$A:$B,2,FALSE)," ")</f>
        <v>O/C NO WEB FACT.INDIVIDUAL Y EL RESTO UNA SOLA FACTURA</v>
      </c>
      <c r="M743" t="s">
        <v>681</v>
      </c>
      <c r="O743" s="5">
        <v>30846399</v>
      </c>
      <c r="P743" s="5">
        <v>20309</v>
      </c>
      <c r="Q743" s="5">
        <v>3859</v>
      </c>
      <c r="R743" s="5">
        <v>24168</v>
      </c>
    </row>
    <row r="744" spans="1:18" x14ac:dyDescent="0.25">
      <c r="A744" t="s">
        <v>503</v>
      </c>
      <c r="B744" t="s">
        <v>494</v>
      </c>
      <c r="C744">
        <v>70377400</v>
      </c>
      <c r="D744">
        <v>103</v>
      </c>
      <c r="E744">
        <v>30847635</v>
      </c>
      <c r="F744" t="s">
        <v>1002</v>
      </c>
      <c r="G744" s="1">
        <v>45232</v>
      </c>
      <c r="H744">
        <v>5411137</v>
      </c>
      <c r="I744">
        <v>132</v>
      </c>
      <c r="J744" t="s">
        <v>416</v>
      </c>
      <c r="K744" t="str">
        <f>IFERROR(IF(AND(VLOOKUP($C744,Hes!$A:$B, 1, FALSE), $M744&lt;&gt;" "), "Ingresada", "Falta Ingresar"), " ")</f>
        <v xml:space="preserve"> </v>
      </c>
      <c r="L744" s="4" t="str">
        <f>IFERROR(VLOOKUP($C744,Observaciones!$A:$B,2,FALSE)," ")</f>
        <v>O/C NO WEB FACT.INDIVIDUAL Y EL RESTO UNA SOLA FACTURA</v>
      </c>
      <c r="M744" t="s">
        <v>681</v>
      </c>
      <c r="O744" s="5">
        <v>30847635</v>
      </c>
      <c r="P744" s="5">
        <v>229611</v>
      </c>
      <c r="Q744" s="5">
        <v>43626</v>
      </c>
      <c r="R744" s="5">
        <v>273237</v>
      </c>
    </row>
    <row r="745" spans="1:18" x14ac:dyDescent="0.25">
      <c r="A745" t="s">
        <v>503</v>
      </c>
      <c r="B745" t="s">
        <v>494</v>
      </c>
      <c r="C745">
        <v>70377400</v>
      </c>
      <c r="D745">
        <v>137</v>
      </c>
      <c r="E745">
        <v>30847597</v>
      </c>
      <c r="F745" t="s">
        <v>1002</v>
      </c>
      <c r="G745" s="1">
        <v>45232</v>
      </c>
      <c r="H745">
        <v>5411158</v>
      </c>
      <c r="I745">
        <v>132</v>
      </c>
      <c r="J745" t="s">
        <v>416</v>
      </c>
      <c r="K745" t="str">
        <f>IFERROR(IF(AND(VLOOKUP($C745,Hes!$A:$B, 1, FALSE), $M745&lt;&gt;" "), "Ingresada", "Falta Ingresar"), " ")</f>
        <v xml:space="preserve"> </v>
      </c>
      <c r="L745" s="4" t="str">
        <f>IFERROR(VLOOKUP($C745,Observaciones!$A:$B,2,FALSE)," ")</f>
        <v>O/C NO WEB FACT.INDIVIDUAL Y EL RESTO UNA SOLA FACTURA</v>
      </c>
      <c r="M745" t="s">
        <v>681</v>
      </c>
      <c r="O745" s="5">
        <v>30847597</v>
      </c>
      <c r="P745" s="5">
        <v>121890</v>
      </c>
      <c r="Q745" s="5">
        <v>23159</v>
      </c>
      <c r="R745" s="5">
        <v>145049</v>
      </c>
    </row>
    <row r="746" spans="1:18" x14ac:dyDescent="0.25">
      <c r="A746" t="s">
        <v>503</v>
      </c>
      <c r="B746" t="s">
        <v>494</v>
      </c>
      <c r="C746">
        <v>70377400</v>
      </c>
      <c r="D746">
        <v>16</v>
      </c>
      <c r="E746">
        <v>30847875</v>
      </c>
      <c r="F746" t="s">
        <v>1002</v>
      </c>
      <c r="G746" s="1">
        <v>45232</v>
      </c>
      <c r="H746">
        <v>5411162</v>
      </c>
      <c r="I746">
        <v>132</v>
      </c>
      <c r="J746" t="s">
        <v>416</v>
      </c>
      <c r="K746" t="str">
        <f>IFERROR(IF(AND(VLOOKUP($C746,Hes!$A:$B, 1, FALSE), $M746&lt;&gt;" "), "Ingresada", "Falta Ingresar"), " ")</f>
        <v xml:space="preserve"> </v>
      </c>
      <c r="L746" s="4" t="str">
        <f>IFERROR(VLOOKUP($C746,Observaciones!$A:$B,2,FALSE)," ")</f>
        <v>O/C NO WEB FACT.INDIVIDUAL Y EL RESTO UNA SOLA FACTURA</v>
      </c>
      <c r="M746" t="s">
        <v>681</v>
      </c>
      <c r="O746" s="5">
        <v>30847875</v>
      </c>
      <c r="P746" s="5">
        <v>28992</v>
      </c>
      <c r="Q746" s="5">
        <v>5508</v>
      </c>
      <c r="R746" s="5">
        <v>34500</v>
      </c>
    </row>
    <row r="747" spans="1:18" x14ac:dyDescent="0.25">
      <c r="A747" t="s">
        <v>503</v>
      </c>
      <c r="B747" t="s">
        <v>494</v>
      </c>
      <c r="C747">
        <v>70377400</v>
      </c>
      <c r="D747">
        <v>9</v>
      </c>
      <c r="E747">
        <v>30847721</v>
      </c>
      <c r="F747" t="s">
        <v>1002</v>
      </c>
      <c r="G747" s="1">
        <v>45232</v>
      </c>
      <c r="H747">
        <v>5411164</v>
      </c>
      <c r="I747">
        <v>132</v>
      </c>
      <c r="J747" t="s">
        <v>416</v>
      </c>
      <c r="K747" t="str">
        <f>IFERROR(IF(AND(VLOOKUP($C747,Hes!$A:$B, 1, FALSE), $M747&lt;&gt;" "), "Ingresada", "Falta Ingresar"), " ")</f>
        <v xml:space="preserve"> </v>
      </c>
      <c r="L747" s="4" t="str">
        <f>IFERROR(VLOOKUP($C747,Observaciones!$A:$B,2,FALSE)," ")</f>
        <v>O/C NO WEB FACT.INDIVIDUAL Y EL RESTO UNA SOLA FACTURA</v>
      </c>
      <c r="M747" t="s">
        <v>681</v>
      </c>
      <c r="O747" s="5">
        <v>30847721</v>
      </c>
      <c r="P747" s="5">
        <v>48582</v>
      </c>
      <c r="Q747" s="5">
        <v>9231</v>
      </c>
      <c r="R747" s="5">
        <v>57813</v>
      </c>
    </row>
    <row r="748" spans="1:18" x14ac:dyDescent="0.25">
      <c r="A748" t="s">
        <v>503</v>
      </c>
      <c r="B748" t="s">
        <v>494</v>
      </c>
      <c r="C748">
        <v>70377400</v>
      </c>
      <c r="D748">
        <v>125</v>
      </c>
      <c r="E748">
        <v>30847580</v>
      </c>
      <c r="F748" t="s">
        <v>1002</v>
      </c>
      <c r="G748" s="1">
        <v>45232</v>
      </c>
      <c r="H748">
        <v>5411187</v>
      </c>
      <c r="I748">
        <v>132</v>
      </c>
      <c r="J748" t="s">
        <v>416</v>
      </c>
      <c r="K748" t="str">
        <f>IFERROR(IF(AND(VLOOKUP($C748,Hes!$A:$B, 1, FALSE), $M748&lt;&gt;" "), "Ingresada", "Falta Ingresar"), " ")</f>
        <v xml:space="preserve"> </v>
      </c>
      <c r="L748" s="4" t="str">
        <f>IFERROR(VLOOKUP($C748,Observaciones!$A:$B,2,FALSE)," ")</f>
        <v>O/C NO WEB FACT.INDIVIDUAL Y EL RESTO UNA SOLA FACTURA</v>
      </c>
      <c r="M748" t="s">
        <v>681</v>
      </c>
      <c r="O748" s="5">
        <v>30847580</v>
      </c>
      <c r="P748" s="5">
        <v>197461</v>
      </c>
      <c r="Q748" s="5">
        <v>37518</v>
      </c>
      <c r="R748" s="5">
        <v>234979</v>
      </c>
    </row>
    <row r="749" spans="1:18" x14ac:dyDescent="0.25">
      <c r="A749" t="s">
        <v>503</v>
      </c>
      <c r="B749" t="s">
        <v>494</v>
      </c>
      <c r="C749">
        <v>70377400</v>
      </c>
      <c r="D749">
        <v>69</v>
      </c>
      <c r="E749">
        <v>30846697</v>
      </c>
      <c r="F749" t="s">
        <v>1002</v>
      </c>
      <c r="G749" s="1">
        <v>45232</v>
      </c>
      <c r="H749">
        <v>5411188</v>
      </c>
      <c r="I749">
        <v>132</v>
      </c>
      <c r="J749" t="s">
        <v>416</v>
      </c>
      <c r="K749" t="str">
        <f>IFERROR(IF(AND(VLOOKUP($C749,Hes!$A:$B, 1, FALSE), $M749&lt;&gt;" "), "Ingresada", "Falta Ingresar"), " ")</f>
        <v xml:space="preserve"> </v>
      </c>
      <c r="L749" s="4" t="str">
        <f>IFERROR(VLOOKUP($C749,Observaciones!$A:$B,2,FALSE)," ")</f>
        <v>O/C NO WEB FACT.INDIVIDUAL Y EL RESTO UNA SOLA FACTURA</v>
      </c>
      <c r="M749" t="s">
        <v>681</v>
      </c>
      <c r="O749" s="5">
        <v>30846697</v>
      </c>
      <c r="P749" s="5">
        <v>45725</v>
      </c>
      <c r="Q749" s="5">
        <v>8688</v>
      </c>
      <c r="R749" s="5">
        <v>54413</v>
      </c>
    </row>
    <row r="750" spans="1:18" x14ac:dyDescent="0.25">
      <c r="A750" t="s">
        <v>503</v>
      </c>
      <c r="B750" t="s">
        <v>494</v>
      </c>
      <c r="C750">
        <v>70377400</v>
      </c>
      <c r="D750">
        <v>67</v>
      </c>
      <c r="E750">
        <v>30847755</v>
      </c>
      <c r="F750" t="s">
        <v>1002</v>
      </c>
      <c r="G750" s="1">
        <v>45232</v>
      </c>
      <c r="H750">
        <v>5411189</v>
      </c>
      <c r="I750">
        <v>132</v>
      </c>
      <c r="J750" t="s">
        <v>416</v>
      </c>
      <c r="K750" t="str">
        <f>IFERROR(IF(AND(VLOOKUP($C750,Hes!$A:$B, 1, FALSE), $M750&lt;&gt;" "), "Ingresada", "Falta Ingresar"), " ")</f>
        <v xml:space="preserve"> </v>
      </c>
      <c r="L750" s="4" t="str">
        <f>IFERROR(VLOOKUP($C750,Observaciones!$A:$B,2,FALSE)," ")</f>
        <v>O/C NO WEB FACT.INDIVIDUAL Y EL RESTO UNA SOLA FACTURA</v>
      </c>
      <c r="M750" t="s">
        <v>681</v>
      </c>
      <c r="O750" s="5">
        <v>30847755</v>
      </c>
      <c r="P750" s="5">
        <v>20281</v>
      </c>
      <c r="Q750" s="5">
        <v>3853</v>
      </c>
      <c r="R750" s="5">
        <v>24134</v>
      </c>
    </row>
    <row r="751" spans="1:18" x14ac:dyDescent="0.25">
      <c r="A751" t="s">
        <v>503</v>
      </c>
      <c r="B751" t="s">
        <v>494</v>
      </c>
      <c r="C751">
        <v>70377400</v>
      </c>
      <c r="D751">
        <v>3</v>
      </c>
      <c r="E751">
        <v>30847677</v>
      </c>
      <c r="F751" t="s">
        <v>1002</v>
      </c>
      <c r="G751" s="1">
        <v>45233</v>
      </c>
      <c r="H751">
        <v>5411320</v>
      </c>
      <c r="I751">
        <v>132</v>
      </c>
      <c r="J751" t="s">
        <v>416</v>
      </c>
      <c r="K751" t="str">
        <f>IFERROR(IF(AND(VLOOKUP($C751,Hes!$A:$B, 1, FALSE), $M751&lt;&gt;" "), "Ingresada", "Falta Ingresar"), " ")</f>
        <v xml:space="preserve"> </v>
      </c>
      <c r="L751" s="4" t="str">
        <f>IFERROR(VLOOKUP($C751,Observaciones!$A:$B,2,FALSE)," ")</f>
        <v>O/C NO WEB FACT.INDIVIDUAL Y EL RESTO UNA SOLA FACTURA</v>
      </c>
      <c r="M751" t="s">
        <v>681</v>
      </c>
      <c r="O751" s="5">
        <v>30847677</v>
      </c>
      <c r="P751" s="5">
        <v>126118</v>
      </c>
      <c r="Q751" s="5">
        <v>23962</v>
      </c>
      <c r="R751" s="5">
        <v>150080</v>
      </c>
    </row>
    <row r="752" spans="1:18" x14ac:dyDescent="0.25">
      <c r="A752" t="s">
        <v>503</v>
      </c>
      <c r="B752" t="s">
        <v>494</v>
      </c>
      <c r="C752">
        <v>70377400</v>
      </c>
      <c r="D752">
        <v>48</v>
      </c>
      <c r="E752">
        <v>30848655</v>
      </c>
      <c r="F752" t="s">
        <v>1002</v>
      </c>
      <c r="G752" s="1">
        <v>45233</v>
      </c>
      <c r="H752">
        <v>5411349</v>
      </c>
      <c r="I752">
        <v>132</v>
      </c>
      <c r="J752" t="s">
        <v>416</v>
      </c>
      <c r="K752" t="str">
        <f>IFERROR(IF(AND(VLOOKUP($C752,Hes!$A:$B, 1, FALSE), $M752&lt;&gt;" "), "Ingresada", "Falta Ingresar"), " ")</f>
        <v xml:space="preserve"> </v>
      </c>
      <c r="L752" s="4" t="str">
        <f>IFERROR(VLOOKUP($C752,Observaciones!$A:$B,2,FALSE)," ")</f>
        <v>O/C NO WEB FACT.INDIVIDUAL Y EL RESTO UNA SOLA FACTURA</v>
      </c>
      <c r="M752" t="s">
        <v>681</v>
      </c>
      <c r="O752" s="5">
        <v>30848655</v>
      </c>
      <c r="P752" s="5">
        <v>47877</v>
      </c>
      <c r="Q752" s="5">
        <v>9097</v>
      </c>
      <c r="R752" s="5">
        <v>56974</v>
      </c>
    </row>
    <row r="753" spans="1:18" x14ac:dyDescent="0.25">
      <c r="A753" t="s">
        <v>503</v>
      </c>
      <c r="B753" t="s">
        <v>494</v>
      </c>
      <c r="C753">
        <v>70377400</v>
      </c>
      <c r="D753">
        <v>63</v>
      </c>
      <c r="E753">
        <v>30847072</v>
      </c>
      <c r="F753" t="s">
        <v>1002</v>
      </c>
      <c r="G753" s="1">
        <v>45233</v>
      </c>
      <c r="H753">
        <v>5411693</v>
      </c>
      <c r="I753">
        <v>132</v>
      </c>
      <c r="J753" t="s">
        <v>416</v>
      </c>
      <c r="K753" t="str">
        <f>IFERROR(IF(AND(VLOOKUP($C753,Hes!$A:$B, 1, FALSE), $M753&lt;&gt;" "), "Ingresada", "Falta Ingresar"), " ")</f>
        <v xml:space="preserve"> </v>
      </c>
      <c r="L753" s="4" t="str">
        <f>IFERROR(VLOOKUP($C753,Observaciones!$A:$B,2,FALSE)," ")</f>
        <v>O/C NO WEB FACT.INDIVIDUAL Y EL RESTO UNA SOLA FACTURA</v>
      </c>
      <c r="M753" t="s">
        <v>681</v>
      </c>
      <c r="O753" s="5">
        <v>30847072</v>
      </c>
      <c r="P753" s="5">
        <v>80498</v>
      </c>
      <c r="Q753" s="5">
        <v>15295</v>
      </c>
      <c r="R753" s="5">
        <v>95793</v>
      </c>
    </row>
    <row r="754" spans="1:18" x14ac:dyDescent="0.25">
      <c r="A754" t="s">
        <v>503</v>
      </c>
      <c r="B754" t="s">
        <v>494</v>
      </c>
      <c r="C754">
        <v>70377400</v>
      </c>
      <c r="D754">
        <v>77</v>
      </c>
      <c r="E754">
        <v>30848811</v>
      </c>
      <c r="F754" t="s">
        <v>1002</v>
      </c>
      <c r="G754" s="1">
        <v>45234</v>
      </c>
      <c r="H754">
        <v>5411756</v>
      </c>
      <c r="I754">
        <v>132</v>
      </c>
      <c r="J754" t="s">
        <v>416</v>
      </c>
      <c r="K754" t="str">
        <f>IFERROR(IF(AND(VLOOKUP($C754,Hes!$A:$B, 1, FALSE), $M754&lt;&gt;" "), "Ingresada", "Falta Ingresar"), " ")</f>
        <v xml:space="preserve"> </v>
      </c>
      <c r="L754" s="4" t="str">
        <f>IFERROR(VLOOKUP($C754,Observaciones!$A:$B,2,FALSE)," ")</f>
        <v>O/C NO WEB FACT.INDIVIDUAL Y EL RESTO UNA SOLA FACTURA</v>
      </c>
      <c r="M754" t="s">
        <v>681</v>
      </c>
      <c r="O754" s="5">
        <v>30848811</v>
      </c>
      <c r="P754" s="5">
        <v>41148</v>
      </c>
      <c r="Q754" s="5">
        <v>7818</v>
      </c>
      <c r="R754" s="5">
        <v>48966</v>
      </c>
    </row>
    <row r="755" spans="1:18" x14ac:dyDescent="0.25">
      <c r="A755" t="s">
        <v>503</v>
      </c>
      <c r="B755" t="s">
        <v>494</v>
      </c>
      <c r="C755">
        <v>70377400</v>
      </c>
      <c r="D755">
        <v>59</v>
      </c>
      <c r="E755">
        <v>30848374</v>
      </c>
      <c r="F755" t="s">
        <v>1002</v>
      </c>
      <c r="G755" s="1">
        <v>45234</v>
      </c>
      <c r="H755">
        <v>5411844</v>
      </c>
      <c r="I755">
        <v>132</v>
      </c>
      <c r="J755" t="s">
        <v>416</v>
      </c>
      <c r="K755" t="str">
        <f>IFERROR(IF(AND(VLOOKUP($C755,Hes!$A:$B, 1, FALSE), $M755&lt;&gt;" "), "Ingresada", "Falta Ingresar"), " ")</f>
        <v xml:space="preserve"> </v>
      </c>
      <c r="L755" s="4" t="str">
        <f>IFERROR(VLOOKUP($C755,Observaciones!$A:$B,2,FALSE)," ")</f>
        <v>O/C NO WEB FACT.INDIVIDUAL Y EL RESTO UNA SOLA FACTURA</v>
      </c>
      <c r="M755" t="s">
        <v>681</v>
      </c>
      <c r="O755" s="5">
        <v>30848374</v>
      </c>
      <c r="P755" s="5">
        <v>32161</v>
      </c>
      <c r="Q755" s="5">
        <v>6111</v>
      </c>
      <c r="R755" s="5">
        <v>38272</v>
      </c>
    </row>
    <row r="756" spans="1:18" x14ac:dyDescent="0.25">
      <c r="A756" t="s">
        <v>503</v>
      </c>
      <c r="B756" t="s">
        <v>494</v>
      </c>
      <c r="C756">
        <v>70377400</v>
      </c>
      <c r="D756">
        <v>17</v>
      </c>
      <c r="E756">
        <v>30848777</v>
      </c>
      <c r="F756" t="s">
        <v>1002</v>
      </c>
      <c r="G756" s="1">
        <v>45236</v>
      </c>
      <c r="H756">
        <v>5411929</v>
      </c>
      <c r="I756">
        <v>132</v>
      </c>
      <c r="J756" t="s">
        <v>416</v>
      </c>
      <c r="K756" t="str">
        <f>IFERROR(IF(AND(VLOOKUP($C756,Hes!$A:$B, 1, FALSE), $M756&lt;&gt;" "), "Ingresada", "Falta Ingresar"), " ")</f>
        <v xml:space="preserve"> </v>
      </c>
      <c r="L756" s="4" t="str">
        <f>IFERROR(VLOOKUP($C756,Observaciones!$A:$B,2,FALSE)," ")</f>
        <v>O/C NO WEB FACT.INDIVIDUAL Y EL RESTO UNA SOLA FACTURA</v>
      </c>
      <c r="M756" t="s">
        <v>681</v>
      </c>
      <c r="O756" s="5">
        <v>30848777</v>
      </c>
      <c r="P756" s="5">
        <v>51329</v>
      </c>
      <c r="Q756" s="5">
        <v>9753</v>
      </c>
      <c r="R756" s="5">
        <v>61082</v>
      </c>
    </row>
    <row r="757" spans="1:18" x14ac:dyDescent="0.25">
      <c r="A757" t="s">
        <v>503</v>
      </c>
      <c r="B757" t="s">
        <v>494</v>
      </c>
      <c r="C757">
        <v>70377400</v>
      </c>
      <c r="D757">
        <v>88</v>
      </c>
      <c r="E757">
        <v>30848458</v>
      </c>
      <c r="F757" t="s">
        <v>1002</v>
      </c>
      <c r="G757" s="1">
        <v>45236</v>
      </c>
      <c r="H757">
        <v>5411964</v>
      </c>
      <c r="I757">
        <v>132</v>
      </c>
      <c r="J757" t="s">
        <v>416</v>
      </c>
      <c r="K757" t="str">
        <f>IFERROR(IF(AND(VLOOKUP($C757,Hes!$A:$B, 1, FALSE), $M757&lt;&gt;" "), "Ingresada", "Falta Ingresar"), " ")</f>
        <v xml:space="preserve"> </v>
      </c>
      <c r="L757" s="4" t="str">
        <f>IFERROR(VLOOKUP($C757,Observaciones!$A:$B,2,FALSE)," ")</f>
        <v>O/C NO WEB FACT.INDIVIDUAL Y EL RESTO UNA SOLA FACTURA</v>
      </c>
      <c r="M757" t="s">
        <v>681</v>
      </c>
      <c r="O757" s="5">
        <v>30848458</v>
      </c>
      <c r="P757" s="5">
        <v>37546</v>
      </c>
      <c r="Q757" s="5">
        <v>7134</v>
      </c>
      <c r="R757" s="5">
        <v>44680</v>
      </c>
    </row>
    <row r="758" spans="1:18" x14ac:dyDescent="0.25">
      <c r="A758" t="s">
        <v>503</v>
      </c>
      <c r="B758" t="s">
        <v>494</v>
      </c>
      <c r="C758">
        <v>70377400</v>
      </c>
      <c r="D758">
        <v>58</v>
      </c>
      <c r="E758">
        <v>30848807</v>
      </c>
      <c r="F758" t="s">
        <v>1002</v>
      </c>
      <c r="G758" s="1">
        <v>45236</v>
      </c>
      <c r="H758">
        <v>5412016</v>
      </c>
      <c r="I758">
        <v>132</v>
      </c>
      <c r="J758" t="s">
        <v>416</v>
      </c>
      <c r="K758" t="str">
        <f>IFERROR(IF(AND(VLOOKUP($C758,Hes!$A:$B, 1, FALSE), $M758&lt;&gt;" "), "Ingresada", "Falta Ingresar"), " ")</f>
        <v xml:space="preserve"> </v>
      </c>
      <c r="L758" s="4" t="str">
        <f>IFERROR(VLOOKUP($C758,Observaciones!$A:$B,2,FALSE)," ")</f>
        <v>O/C NO WEB FACT.INDIVIDUAL Y EL RESTO UNA SOLA FACTURA</v>
      </c>
      <c r="M758" t="s">
        <v>681</v>
      </c>
      <c r="O758" s="5">
        <v>30848807</v>
      </c>
      <c r="P758" s="5">
        <v>83816</v>
      </c>
      <c r="Q758" s="5">
        <v>15925</v>
      </c>
      <c r="R758" s="5">
        <v>99741</v>
      </c>
    </row>
    <row r="759" spans="1:18" x14ac:dyDescent="0.25">
      <c r="A759" t="s">
        <v>503</v>
      </c>
      <c r="B759" t="s">
        <v>494</v>
      </c>
      <c r="C759">
        <v>70377400</v>
      </c>
      <c r="D759">
        <v>115</v>
      </c>
      <c r="E759">
        <v>30857689</v>
      </c>
      <c r="F759" t="s">
        <v>1002</v>
      </c>
      <c r="G759" s="1">
        <v>45236</v>
      </c>
      <c r="H759">
        <v>5413223</v>
      </c>
      <c r="I759">
        <v>132</v>
      </c>
      <c r="J759" t="s">
        <v>416</v>
      </c>
      <c r="K759" t="str">
        <f>IFERROR(IF(AND(VLOOKUP($C759,Hes!$A:$B, 1, FALSE), $M759&lt;&gt;" "), "Ingresada", "Falta Ingresar"), " ")</f>
        <v xml:space="preserve"> </v>
      </c>
      <c r="L759" s="4" t="str">
        <f>IFERROR(VLOOKUP($C759,Observaciones!$A:$B,2,FALSE)," ")</f>
        <v>O/C NO WEB FACT.INDIVIDUAL Y EL RESTO UNA SOLA FACTURA</v>
      </c>
      <c r="M759" t="s">
        <v>681</v>
      </c>
      <c r="O759" s="5">
        <v>30857689</v>
      </c>
      <c r="P759" s="5">
        <v>52520</v>
      </c>
      <c r="Q759" s="5">
        <v>9979</v>
      </c>
      <c r="R759" s="5">
        <v>62499</v>
      </c>
    </row>
    <row r="760" spans="1:18" x14ac:dyDescent="0.25">
      <c r="A760" t="s">
        <v>503</v>
      </c>
      <c r="B760" t="s">
        <v>494</v>
      </c>
      <c r="C760">
        <v>70377400</v>
      </c>
      <c r="D760">
        <v>21</v>
      </c>
      <c r="E760">
        <v>30857638</v>
      </c>
      <c r="F760" t="s">
        <v>1002</v>
      </c>
      <c r="G760" s="1">
        <v>45236</v>
      </c>
      <c r="H760">
        <v>5413515</v>
      </c>
      <c r="I760">
        <v>132</v>
      </c>
      <c r="J760" t="s">
        <v>416</v>
      </c>
      <c r="K760" t="str">
        <f>IFERROR(IF(AND(VLOOKUP($C760,Hes!$A:$B, 1, FALSE), $M760&lt;&gt;" "), "Ingresada", "Falta Ingresar"), " ")</f>
        <v xml:space="preserve"> </v>
      </c>
      <c r="L760" s="4" t="str">
        <f>IFERROR(VLOOKUP($C760,Observaciones!$A:$B,2,FALSE)," ")</f>
        <v>O/C NO WEB FACT.INDIVIDUAL Y EL RESTO UNA SOLA FACTURA</v>
      </c>
      <c r="M760" t="s">
        <v>681</v>
      </c>
      <c r="O760" s="5">
        <v>30857638</v>
      </c>
      <c r="P760" s="5">
        <v>157560</v>
      </c>
      <c r="Q760" s="5">
        <v>29936</v>
      </c>
      <c r="R760" s="5">
        <v>187496</v>
      </c>
    </row>
    <row r="761" spans="1:18" x14ac:dyDescent="0.25">
      <c r="A761" t="s">
        <v>503</v>
      </c>
      <c r="B761" t="s">
        <v>494</v>
      </c>
      <c r="C761">
        <v>70377400</v>
      </c>
      <c r="D761">
        <v>62</v>
      </c>
      <c r="E761">
        <v>30859120</v>
      </c>
      <c r="F761" t="s">
        <v>1002</v>
      </c>
      <c r="G761" s="1">
        <v>45237</v>
      </c>
      <c r="H761">
        <v>5414003</v>
      </c>
      <c r="I761">
        <v>132</v>
      </c>
      <c r="J761" t="s">
        <v>416</v>
      </c>
      <c r="K761" t="str">
        <f>IFERROR(IF(AND(VLOOKUP($C761,Hes!$A:$B, 1, FALSE), $M761&lt;&gt;" "), "Ingresada", "Falta Ingresar"), " ")</f>
        <v xml:space="preserve"> </v>
      </c>
      <c r="L761" s="4" t="str">
        <f>IFERROR(VLOOKUP($C761,Observaciones!$A:$B,2,FALSE)," ")</f>
        <v>O/C NO WEB FACT.INDIVIDUAL Y EL RESTO UNA SOLA FACTURA</v>
      </c>
      <c r="M761" t="s">
        <v>681</v>
      </c>
      <c r="O761" s="5">
        <v>30859120</v>
      </c>
      <c r="P761" s="5">
        <v>20574</v>
      </c>
      <c r="Q761" s="5">
        <v>3909</v>
      </c>
      <c r="R761" s="5">
        <v>24483</v>
      </c>
    </row>
    <row r="762" spans="1:18" x14ac:dyDescent="0.25">
      <c r="F762" t="s">
        <v>719</v>
      </c>
      <c r="K762" t="str">
        <f>IFERROR(IF(AND(VLOOKUP($C762,Hes!$A:$B, 1, FALSE), $M762&lt;&gt;" "), "Ingresada", "Falta Ingresar"), " ")</f>
        <v xml:space="preserve"> </v>
      </c>
      <c r="L762" s="4" t="str">
        <f>IFERROR(VLOOKUP($C762,Observaciones!$A:$B,2,FALSE)," ")</f>
        <v xml:space="preserve"> </v>
      </c>
      <c r="M762" t="s">
        <v>681</v>
      </c>
      <c r="P762" s="5">
        <v>6239743</v>
      </c>
      <c r="Q762" s="5">
        <v>1185547</v>
      </c>
      <c r="R762" s="5">
        <v>7436440</v>
      </c>
    </row>
    <row r="763" spans="1:18" x14ac:dyDescent="0.25">
      <c r="A763" t="s">
        <v>1003</v>
      </c>
      <c r="B763" t="s">
        <v>494</v>
      </c>
      <c r="C763">
        <v>70574900</v>
      </c>
      <c r="D763">
        <v>5</v>
      </c>
      <c r="E763">
        <v>4300003114</v>
      </c>
      <c r="F763" t="s">
        <v>1004</v>
      </c>
      <c r="G763" s="1">
        <v>45232</v>
      </c>
      <c r="H763">
        <v>5410713</v>
      </c>
      <c r="I763">
        <v>12</v>
      </c>
      <c r="J763" t="s">
        <v>319</v>
      </c>
      <c r="K763" t="str">
        <f>IFERROR(IF(AND(VLOOKUP($C763,Hes!$A:$B, 1, FALSE), $M763&lt;&gt;" "), "Ingresada", "Falta Ingresar"), " ")</f>
        <v xml:space="preserve"> </v>
      </c>
      <c r="L763" s="4" t="str">
        <f>IFERROR(VLOOKUP($C763,Observaciones!$A:$B,2,FALSE)," ")</f>
        <v>VENDEDOR ENVIA INFORME</v>
      </c>
      <c r="M763" t="s">
        <v>681</v>
      </c>
      <c r="O763" s="5">
        <v>30800722</v>
      </c>
      <c r="P763" s="5">
        <v>12221068</v>
      </c>
      <c r="Q763" s="5">
        <v>2322003</v>
      </c>
      <c r="R763" s="5">
        <v>14543071</v>
      </c>
    </row>
    <row r="764" spans="1:18" x14ac:dyDescent="0.25">
      <c r="A764" t="s">
        <v>1003</v>
      </c>
      <c r="B764" t="s">
        <v>494</v>
      </c>
      <c r="C764">
        <v>70574900</v>
      </c>
      <c r="D764">
        <v>1108</v>
      </c>
      <c r="E764">
        <v>30845216</v>
      </c>
      <c r="F764" t="s">
        <v>1004</v>
      </c>
      <c r="G764" s="1">
        <v>45231</v>
      </c>
      <c r="H764">
        <v>5410838</v>
      </c>
      <c r="I764">
        <v>12</v>
      </c>
      <c r="J764" t="s">
        <v>319</v>
      </c>
      <c r="K764" t="str">
        <f>IFERROR(IF(AND(VLOOKUP($C764,Hes!$A:$B, 1, FALSE), $M764&lt;&gt;" "), "Ingresada", "Falta Ingresar"), " ")</f>
        <v xml:space="preserve"> </v>
      </c>
      <c r="L764" s="4" t="str">
        <f>IFERROR(VLOOKUP($C764,Observaciones!$A:$B,2,FALSE)," ")</f>
        <v>VENDEDOR ENVIA INFORME</v>
      </c>
      <c r="M764" t="s">
        <v>681</v>
      </c>
      <c r="O764" s="5">
        <v>30845216</v>
      </c>
      <c r="P764" s="5">
        <v>246680</v>
      </c>
      <c r="Q764" s="5">
        <v>46869</v>
      </c>
      <c r="R764" s="5">
        <v>293549</v>
      </c>
    </row>
    <row r="765" spans="1:18" x14ac:dyDescent="0.25">
      <c r="A765" t="s">
        <v>1003</v>
      </c>
      <c r="B765" t="s">
        <v>494</v>
      </c>
      <c r="C765">
        <v>70574900</v>
      </c>
      <c r="D765">
        <v>1144</v>
      </c>
      <c r="E765">
        <v>4200190755</v>
      </c>
      <c r="F765" t="s">
        <v>1004</v>
      </c>
      <c r="G765" s="1">
        <v>45231</v>
      </c>
      <c r="H765">
        <v>5410839</v>
      </c>
      <c r="I765">
        <v>12</v>
      </c>
      <c r="J765" t="s">
        <v>319</v>
      </c>
      <c r="K765" t="str">
        <f>IFERROR(IF(AND(VLOOKUP($C765,Hes!$A:$B, 1, FALSE), $M765&lt;&gt;" "), "Ingresada", "Falta Ingresar"), " ")</f>
        <v xml:space="preserve"> </v>
      </c>
      <c r="L765" s="4" t="str">
        <f>IFERROR(VLOOKUP($C765,Observaciones!$A:$B,2,FALSE)," ")</f>
        <v>VENDEDOR ENVIA INFORME</v>
      </c>
      <c r="M765" t="s">
        <v>681</v>
      </c>
      <c r="O765" s="5">
        <v>30843461</v>
      </c>
      <c r="P765" s="5">
        <v>471969</v>
      </c>
      <c r="Q765" s="5">
        <v>89674</v>
      </c>
      <c r="R765" s="5">
        <v>561643</v>
      </c>
    </row>
    <row r="766" spans="1:18" x14ac:dyDescent="0.25">
      <c r="A766" t="s">
        <v>1003</v>
      </c>
      <c r="B766" t="s">
        <v>494</v>
      </c>
      <c r="C766">
        <v>70574900</v>
      </c>
      <c r="D766">
        <v>1109</v>
      </c>
      <c r="E766">
        <v>30845228</v>
      </c>
      <c r="F766" t="s">
        <v>1004</v>
      </c>
      <c r="G766" s="1">
        <v>45231</v>
      </c>
      <c r="H766">
        <v>5410840</v>
      </c>
      <c r="I766">
        <v>12</v>
      </c>
      <c r="J766" t="s">
        <v>319</v>
      </c>
      <c r="K766" t="str">
        <f>IFERROR(IF(AND(VLOOKUP($C766,Hes!$A:$B, 1, FALSE), $M766&lt;&gt;" "), "Ingresada", "Falta Ingresar"), " ")</f>
        <v xml:space="preserve"> </v>
      </c>
      <c r="L766" s="4" t="str">
        <f>IFERROR(VLOOKUP($C766,Observaciones!$A:$B,2,FALSE)," ")</f>
        <v>VENDEDOR ENVIA INFORME</v>
      </c>
      <c r="M766" t="s">
        <v>681</v>
      </c>
      <c r="O766" s="5">
        <v>30845228</v>
      </c>
      <c r="P766" s="5">
        <v>180126</v>
      </c>
      <c r="Q766" s="5">
        <v>34224</v>
      </c>
      <c r="R766" s="5">
        <v>214350</v>
      </c>
    </row>
    <row r="767" spans="1:18" x14ac:dyDescent="0.25">
      <c r="A767" t="s">
        <v>1003</v>
      </c>
      <c r="B767" t="s">
        <v>494</v>
      </c>
      <c r="C767">
        <v>70574900</v>
      </c>
      <c r="D767">
        <v>1105</v>
      </c>
      <c r="E767">
        <v>30845223</v>
      </c>
      <c r="F767" t="s">
        <v>1004</v>
      </c>
      <c r="G767" s="1">
        <v>45231</v>
      </c>
      <c r="H767">
        <v>5410841</v>
      </c>
      <c r="I767">
        <v>12</v>
      </c>
      <c r="J767" t="s">
        <v>319</v>
      </c>
      <c r="K767" t="str">
        <f>IFERROR(IF(AND(VLOOKUP($C767,Hes!$A:$B, 1, FALSE), $M767&lt;&gt;" "), "Ingresada", "Falta Ingresar"), " ")</f>
        <v xml:space="preserve"> </v>
      </c>
      <c r="L767" s="4" t="str">
        <f>IFERROR(VLOOKUP($C767,Observaciones!$A:$B,2,FALSE)," ")</f>
        <v>VENDEDOR ENVIA INFORME</v>
      </c>
      <c r="M767" t="s">
        <v>681</v>
      </c>
      <c r="O767" s="5">
        <v>30845223</v>
      </c>
      <c r="P767" s="5">
        <v>467177</v>
      </c>
      <c r="Q767" s="5">
        <v>88764</v>
      </c>
      <c r="R767" s="5">
        <v>555941</v>
      </c>
    </row>
    <row r="768" spans="1:18" x14ac:dyDescent="0.25">
      <c r="A768" t="s">
        <v>1003</v>
      </c>
      <c r="B768" t="s">
        <v>494</v>
      </c>
      <c r="C768">
        <v>70574900</v>
      </c>
      <c r="D768">
        <v>1150</v>
      </c>
      <c r="E768">
        <v>4200191010</v>
      </c>
      <c r="F768" t="s">
        <v>1004</v>
      </c>
      <c r="G768" s="1">
        <v>45231</v>
      </c>
      <c r="H768">
        <v>5410842</v>
      </c>
      <c r="I768">
        <v>12</v>
      </c>
      <c r="J768" t="s">
        <v>319</v>
      </c>
      <c r="K768" t="str">
        <f>IFERROR(IF(AND(VLOOKUP($C768,Hes!$A:$B, 1, FALSE), $M768&lt;&gt;" "), "Ingresada", "Falta Ingresar"), " ")</f>
        <v xml:space="preserve"> </v>
      </c>
      <c r="L768" s="4" t="str">
        <f>IFERROR(VLOOKUP($C768,Observaciones!$A:$B,2,FALSE)," ")</f>
        <v>VENDEDOR ENVIA INFORME</v>
      </c>
      <c r="M768" t="s">
        <v>681</v>
      </c>
      <c r="O768" s="5">
        <v>30845963</v>
      </c>
      <c r="P768" s="5">
        <v>36238</v>
      </c>
      <c r="Q768" s="5">
        <v>6885</v>
      </c>
      <c r="R768" s="5">
        <v>43123</v>
      </c>
    </row>
    <row r="769" spans="1:18" x14ac:dyDescent="0.25">
      <c r="A769" t="s">
        <v>1003</v>
      </c>
      <c r="B769" t="s">
        <v>494</v>
      </c>
      <c r="C769">
        <v>70574900</v>
      </c>
      <c r="D769">
        <v>1144</v>
      </c>
      <c r="E769">
        <v>4200191010</v>
      </c>
      <c r="F769" t="s">
        <v>1004</v>
      </c>
      <c r="G769" s="1">
        <v>45231</v>
      </c>
      <c r="H769">
        <v>5410843</v>
      </c>
      <c r="I769">
        <v>12</v>
      </c>
      <c r="J769" t="s">
        <v>319</v>
      </c>
      <c r="K769" t="str">
        <f>IFERROR(IF(AND(VLOOKUP($C769,Hes!$A:$B, 1, FALSE), $M769&lt;&gt;" "), "Ingresada", "Falta Ingresar"), " ")</f>
        <v xml:space="preserve"> </v>
      </c>
      <c r="L769" s="4" t="str">
        <f>IFERROR(VLOOKUP($C769,Observaciones!$A:$B,2,FALSE)," ")</f>
        <v>VENDEDOR ENVIA INFORME</v>
      </c>
      <c r="M769" t="s">
        <v>681</v>
      </c>
      <c r="O769" s="5">
        <v>30845798</v>
      </c>
      <c r="P769" s="5">
        <v>39320</v>
      </c>
      <c r="Q769" s="5">
        <v>7471</v>
      </c>
      <c r="R769" s="5">
        <v>46791</v>
      </c>
    </row>
    <row r="770" spans="1:18" x14ac:dyDescent="0.25">
      <c r="A770" t="s">
        <v>1003</v>
      </c>
      <c r="B770" t="s">
        <v>494</v>
      </c>
      <c r="C770">
        <v>70574900</v>
      </c>
      <c r="D770">
        <v>1103</v>
      </c>
      <c r="E770">
        <v>4200191010</v>
      </c>
      <c r="F770" t="s">
        <v>1004</v>
      </c>
      <c r="G770" s="1">
        <v>45231</v>
      </c>
      <c r="H770">
        <v>5410844</v>
      </c>
      <c r="I770">
        <v>12</v>
      </c>
      <c r="J770" t="s">
        <v>319</v>
      </c>
      <c r="K770" t="str">
        <f>IFERROR(IF(AND(VLOOKUP($C770,Hes!$A:$B, 1, FALSE), $M770&lt;&gt;" "), "Ingresada", "Falta Ingresar"), " ")</f>
        <v xml:space="preserve"> </v>
      </c>
      <c r="L770" s="4" t="str">
        <f>IFERROR(VLOOKUP($C770,Observaciones!$A:$B,2,FALSE)," ")</f>
        <v>VENDEDOR ENVIA INFORME</v>
      </c>
      <c r="M770" t="s">
        <v>681</v>
      </c>
      <c r="O770" s="5">
        <v>30845829</v>
      </c>
      <c r="P770" s="5">
        <v>183146</v>
      </c>
      <c r="Q770" s="5">
        <v>34798</v>
      </c>
      <c r="R770" s="5">
        <v>217944</v>
      </c>
    </row>
    <row r="771" spans="1:18" x14ac:dyDescent="0.25">
      <c r="A771" t="s">
        <v>1003</v>
      </c>
      <c r="B771" t="s">
        <v>494</v>
      </c>
      <c r="C771">
        <v>70574900</v>
      </c>
      <c r="D771">
        <v>1105</v>
      </c>
      <c r="E771">
        <v>30845225</v>
      </c>
      <c r="F771" t="s">
        <v>1004</v>
      </c>
      <c r="G771" s="1">
        <v>45231</v>
      </c>
      <c r="H771">
        <v>5410845</v>
      </c>
      <c r="I771">
        <v>12</v>
      </c>
      <c r="J771" t="s">
        <v>319</v>
      </c>
      <c r="K771" t="str">
        <f>IFERROR(IF(AND(VLOOKUP($C771,Hes!$A:$B, 1, FALSE), $M771&lt;&gt;" "), "Ingresada", "Falta Ingresar"), " ")</f>
        <v xml:space="preserve"> </v>
      </c>
      <c r="L771" s="4" t="str">
        <f>IFERROR(VLOOKUP($C771,Observaciones!$A:$B,2,FALSE)," ")</f>
        <v>VENDEDOR ENVIA INFORME</v>
      </c>
      <c r="M771" t="s">
        <v>681</v>
      </c>
      <c r="O771" s="5">
        <v>30845225</v>
      </c>
      <c r="P771" s="5">
        <v>27081</v>
      </c>
      <c r="Q771" s="5">
        <v>5145</v>
      </c>
      <c r="R771" s="5">
        <v>32226</v>
      </c>
    </row>
    <row r="772" spans="1:18" x14ac:dyDescent="0.25">
      <c r="A772" t="s">
        <v>1003</v>
      </c>
      <c r="B772" t="s">
        <v>494</v>
      </c>
      <c r="C772">
        <v>70574900</v>
      </c>
      <c r="D772">
        <v>1114</v>
      </c>
      <c r="E772">
        <v>30845232</v>
      </c>
      <c r="F772" t="s">
        <v>1004</v>
      </c>
      <c r="G772" s="1">
        <v>45231</v>
      </c>
      <c r="H772">
        <v>5410846</v>
      </c>
      <c r="I772">
        <v>12</v>
      </c>
      <c r="J772" t="s">
        <v>319</v>
      </c>
      <c r="K772" t="str">
        <f>IFERROR(IF(AND(VLOOKUP($C772,Hes!$A:$B, 1, FALSE), $M772&lt;&gt;" "), "Ingresada", "Falta Ingresar"), " ")</f>
        <v xml:space="preserve"> </v>
      </c>
      <c r="L772" s="4" t="str">
        <f>IFERROR(VLOOKUP($C772,Observaciones!$A:$B,2,FALSE)," ")</f>
        <v>VENDEDOR ENVIA INFORME</v>
      </c>
      <c r="M772" t="s">
        <v>681</v>
      </c>
      <c r="O772" s="5">
        <v>30845232</v>
      </c>
      <c r="P772" s="5">
        <v>61977</v>
      </c>
      <c r="Q772" s="5">
        <v>11776</v>
      </c>
      <c r="R772" s="5">
        <v>73753</v>
      </c>
    </row>
    <row r="773" spans="1:18" x14ac:dyDescent="0.25">
      <c r="A773" t="s">
        <v>1003</v>
      </c>
      <c r="B773" t="s">
        <v>494</v>
      </c>
      <c r="C773">
        <v>70574900</v>
      </c>
      <c r="D773">
        <v>1108</v>
      </c>
      <c r="E773">
        <v>30845220</v>
      </c>
      <c r="F773" t="s">
        <v>1004</v>
      </c>
      <c r="G773" s="1">
        <v>45231</v>
      </c>
      <c r="H773">
        <v>5410847</v>
      </c>
      <c r="I773">
        <v>12</v>
      </c>
      <c r="J773" t="s">
        <v>319</v>
      </c>
      <c r="K773" t="str">
        <f>IFERROR(IF(AND(VLOOKUP($C773,Hes!$A:$B, 1, FALSE), $M773&lt;&gt;" "), "Ingresada", "Falta Ingresar"), " ")</f>
        <v xml:space="preserve"> </v>
      </c>
      <c r="L773" s="4" t="str">
        <f>IFERROR(VLOOKUP($C773,Observaciones!$A:$B,2,FALSE)," ")</f>
        <v>VENDEDOR ENVIA INFORME</v>
      </c>
      <c r="M773" t="s">
        <v>681</v>
      </c>
      <c r="O773" s="5">
        <v>30845220</v>
      </c>
      <c r="P773" s="5">
        <v>56496</v>
      </c>
      <c r="Q773" s="5">
        <v>10734</v>
      </c>
      <c r="R773" s="5">
        <v>67230</v>
      </c>
    </row>
    <row r="774" spans="1:18" x14ac:dyDescent="0.25">
      <c r="A774" t="s">
        <v>1003</v>
      </c>
      <c r="B774" t="s">
        <v>494</v>
      </c>
      <c r="C774">
        <v>70574900</v>
      </c>
      <c r="D774">
        <v>1102</v>
      </c>
      <c r="E774">
        <v>30844805</v>
      </c>
      <c r="F774" t="s">
        <v>1004</v>
      </c>
      <c r="G774" s="1">
        <v>45231</v>
      </c>
      <c r="H774">
        <v>5410848</v>
      </c>
      <c r="I774">
        <v>12</v>
      </c>
      <c r="J774" t="s">
        <v>319</v>
      </c>
      <c r="K774" t="str">
        <f>IFERROR(IF(AND(VLOOKUP($C774,Hes!$A:$B, 1, FALSE), $M774&lt;&gt;" "), "Ingresada", "Falta Ingresar"), " ")</f>
        <v xml:space="preserve"> </v>
      </c>
      <c r="L774" s="4" t="str">
        <f>IFERROR(VLOOKUP($C774,Observaciones!$A:$B,2,FALSE)," ")</f>
        <v>VENDEDOR ENVIA INFORME</v>
      </c>
      <c r="M774" t="s">
        <v>681</v>
      </c>
      <c r="O774" s="5">
        <v>30844805</v>
      </c>
      <c r="P774" s="5">
        <v>69955</v>
      </c>
      <c r="Q774" s="5">
        <v>13291</v>
      </c>
      <c r="R774" s="5">
        <v>83246</v>
      </c>
    </row>
    <row r="775" spans="1:18" x14ac:dyDescent="0.25">
      <c r="A775" t="s">
        <v>1003</v>
      </c>
      <c r="B775" t="s">
        <v>494</v>
      </c>
      <c r="C775">
        <v>70574900</v>
      </c>
      <c r="D775">
        <v>1110</v>
      </c>
      <c r="E775">
        <v>4200190755</v>
      </c>
      <c r="F775" t="s">
        <v>1004</v>
      </c>
      <c r="G775" s="1">
        <v>45231</v>
      </c>
      <c r="H775">
        <v>5410849</v>
      </c>
      <c r="I775">
        <v>12</v>
      </c>
      <c r="J775" t="s">
        <v>319</v>
      </c>
      <c r="K775" t="str">
        <f>IFERROR(IF(AND(VLOOKUP($C775,Hes!$A:$B, 1, FALSE), $M775&lt;&gt;" "), "Ingresada", "Falta Ingresar"), " ")</f>
        <v xml:space="preserve"> </v>
      </c>
      <c r="L775" s="4" t="str">
        <f>IFERROR(VLOOKUP($C775,Observaciones!$A:$B,2,FALSE)," ")</f>
        <v>VENDEDOR ENVIA INFORME</v>
      </c>
      <c r="M775" t="s">
        <v>681</v>
      </c>
      <c r="O775" s="5">
        <v>30843386</v>
      </c>
      <c r="P775" s="5">
        <v>470237</v>
      </c>
      <c r="Q775" s="5">
        <v>89345</v>
      </c>
      <c r="R775" s="5">
        <v>559582</v>
      </c>
    </row>
    <row r="776" spans="1:18" x14ac:dyDescent="0.25">
      <c r="A776" t="s">
        <v>1003</v>
      </c>
      <c r="B776" t="s">
        <v>494</v>
      </c>
      <c r="C776">
        <v>70574900</v>
      </c>
      <c r="D776">
        <v>1102</v>
      </c>
      <c r="E776">
        <v>30844699</v>
      </c>
      <c r="F776" t="s">
        <v>1004</v>
      </c>
      <c r="G776" s="1">
        <v>45231</v>
      </c>
      <c r="H776">
        <v>5410850</v>
      </c>
      <c r="I776">
        <v>12</v>
      </c>
      <c r="J776" t="s">
        <v>319</v>
      </c>
      <c r="K776" t="str">
        <f>IFERROR(IF(AND(VLOOKUP($C776,Hes!$A:$B, 1, FALSE), $M776&lt;&gt;" "), "Ingresada", "Falta Ingresar"), " ")</f>
        <v xml:space="preserve"> </v>
      </c>
      <c r="L776" s="4" t="str">
        <f>IFERROR(VLOOKUP($C776,Observaciones!$A:$B,2,FALSE)," ")</f>
        <v>VENDEDOR ENVIA INFORME</v>
      </c>
      <c r="M776" t="s">
        <v>681</v>
      </c>
      <c r="O776" s="5">
        <v>30844699</v>
      </c>
      <c r="P776" s="5">
        <v>363386</v>
      </c>
      <c r="Q776" s="5">
        <v>69043</v>
      </c>
      <c r="R776" s="5">
        <v>432429</v>
      </c>
    </row>
    <row r="777" spans="1:18" x14ac:dyDescent="0.25">
      <c r="A777" t="s">
        <v>1003</v>
      </c>
      <c r="B777" t="s">
        <v>494</v>
      </c>
      <c r="C777">
        <v>70574900</v>
      </c>
      <c r="D777">
        <v>1114</v>
      </c>
      <c r="E777">
        <v>30845231</v>
      </c>
      <c r="F777" t="s">
        <v>1004</v>
      </c>
      <c r="G777" s="1">
        <v>45231</v>
      </c>
      <c r="H777">
        <v>5410853</v>
      </c>
      <c r="I777">
        <v>12</v>
      </c>
      <c r="J777" t="s">
        <v>319</v>
      </c>
      <c r="K777" t="str">
        <f>IFERROR(IF(AND(VLOOKUP($C777,Hes!$A:$B, 1, FALSE), $M777&lt;&gt;" "), "Ingresada", "Falta Ingresar"), " ")</f>
        <v xml:space="preserve"> </v>
      </c>
      <c r="L777" s="4" t="str">
        <f>IFERROR(VLOOKUP($C777,Observaciones!$A:$B,2,FALSE)," ")</f>
        <v>VENDEDOR ENVIA INFORME</v>
      </c>
      <c r="M777" t="s">
        <v>681</v>
      </c>
      <c r="O777" s="5">
        <v>30845231</v>
      </c>
      <c r="P777" s="5">
        <v>446763</v>
      </c>
      <c r="Q777" s="5">
        <v>84885</v>
      </c>
      <c r="R777" s="5">
        <v>531648</v>
      </c>
    </row>
    <row r="778" spans="1:18" x14ac:dyDescent="0.25">
      <c r="A778" t="s">
        <v>1003</v>
      </c>
      <c r="B778" t="s">
        <v>494</v>
      </c>
      <c r="C778">
        <v>70574900</v>
      </c>
      <c r="D778">
        <v>1107</v>
      </c>
      <c r="E778">
        <v>30845160</v>
      </c>
      <c r="F778" t="s">
        <v>1004</v>
      </c>
      <c r="G778" s="1">
        <v>45231</v>
      </c>
      <c r="H778">
        <v>5410854</v>
      </c>
      <c r="I778">
        <v>12</v>
      </c>
      <c r="J778" t="s">
        <v>319</v>
      </c>
      <c r="K778" t="str">
        <f>IFERROR(IF(AND(VLOOKUP($C778,Hes!$A:$B, 1, FALSE), $M778&lt;&gt;" "), "Ingresada", "Falta Ingresar"), " ")</f>
        <v xml:space="preserve"> </v>
      </c>
      <c r="L778" s="4" t="str">
        <f>IFERROR(VLOOKUP($C778,Observaciones!$A:$B,2,FALSE)," ")</f>
        <v>VENDEDOR ENVIA INFORME</v>
      </c>
      <c r="M778" t="s">
        <v>681</v>
      </c>
      <c r="O778" s="5">
        <v>30845160</v>
      </c>
      <c r="P778" s="5">
        <v>352452</v>
      </c>
      <c r="Q778" s="5">
        <v>66966</v>
      </c>
      <c r="R778" s="5">
        <v>419418</v>
      </c>
    </row>
    <row r="779" spans="1:18" x14ac:dyDescent="0.25">
      <c r="A779" t="s">
        <v>1003</v>
      </c>
      <c r="B779" t="s">
        <v>494</v>
      </c>
      <c r="C779">
        <v>70574900</v>
      </c>
      <c r="D779">
        <v>1107</v>
      </c>
      <c r="E779">
        <v>30845168</v>
      </c>
      <c r="F779" t="s">
        <v>1004</v>
      </c>
      <c r="G779" s="1">
        <v>45231</v>
      </c>
      <c r="H779">
        <v>5410855</v>
      </c>
      <c r="I779">
        <v>12</v>
      </c>
      <c r="J779" t="s">
        <v>319</v>
      </c>
      <c r="K779" t="str">
        <f>IFERROR(IF(AND(VLOOKUP($C779,Hes!$A:$B, 1, FALSE), $M779&lt;&gt;" "), "Ingresada", "Falta Ingresar"), " ")</f>
        <v xml:space="preserve"> </v>
      </c>
      <c r="L779" s="4" t="str">
        <f>IFERROR(VLOOKUP($C779,Observaciones!$A:$B,2,FALSE)," ")</f>
        <v>VENDEDOR ENVIA INFORME</v>
      </c>
      <c r="M779" t="s">
        <v>681</v>
      </c>
      <c r="O779" s="5">
        <v>30845168</v>
      </c>
      <c r="P779" s="5">
        <v>107279</v>
      </c>
      <c r="Q779" s="5">
        <v>20383</v>
      </c>
      <c r="R779" s="5">
        <v>127662</v>
      </c>
    </row>
    <row r="780" spans="1:18" x14ac:dyDescent="0.25">
      <c r="A780" t="s">
        <v>1003</v>
      </c>
      <c r="B780" t="s">
        <v>494</v>
      </c>
      <c r="C780">
        <v>70574900</v>
      </c>
      <c r="D780">
        <v>1106</v>
      </c>
      <c r="E780">
        <v>30845210</v>
      </c>
      <c r="F780" t="s">
        <v>1004</v>
      </c>
      <c r="G780" s="1">
        <v>45231</v>
      </c>
      <c r="H780">
        <v>5410856</v>
      </c>
      <c r="I780">
        <v>12</v>
      </c>
      <c r="J780" t="s">
        <v>319</v>
      </c>
      <c r="K780" t="str">
        <f>IFERROR(IF(AND(VLOOKUP($C780,Hes!$A:$B, 1, FALSE), $M780&lt;&gt;" "), "Ingresada", "Falta Ingresar"), " ")</f>
        <v xml:space="preserve"> </v>
      </c>
      <c r="L780" s="4" t="str">
        <f>IFERROR(VLOOKUP($C780,Observaciones!$A:$B,2,FALSE)," ")</f>
        <v>VENDEDOR ENVIA INFORME</v>
      </c>
      <c r="M780" t="s">
        <v>681</v>
      </c>
      <c r="O780" s="5">
        <v>30845210</v>
      </c>
      <c r="P780" s="5">
        <v>131008</v>
      </c>
      <c r="Q780" s="5">
        <v>24892</v>
      </c>
      <c r="R780" s="5">
        <v>155900</v>
      </c>
    </row>
    <row r="781" spans="1:18" x14ac:dyDescent="0.25">
      <c r="A781" t="s">
        <v>1003</v>
      </c>
      <c r="B781" t="s">
        <v>494</v>
      </c>
      <c r="C781">
        <v>70574900</v>
      </c>
      <c r="D781">
        <v>1118</v>
      </c>
      <c r="E781">
        <v>4200191043</v>
      </c>
      <c r="F781" t="s">
        <v>1004</v>
      </c>
      <c r="G781" s="1">
        <v>45231</v>
      </c>
      <c r="H781">
        <v>5410860</v>
      </c>
      <c r="I781">
        <v>12</v>
      </c>
      <c r="J781" t="s">
        <v>319</v>
      </c>
      <c r="K781" t="str">
        <f>IFERROR(IF(AND(VLOOKUP($C781,Hes!$A:$B, 1, FALSE), $M781&lt;&gt;" "), "Ingresada", "Falta Ingresar"), " ")</f>
        <v xml:space="preserve"> </v>
      </c>
      <c r="L781" s="4" t="str">
        <f>IFERROR(VLOOKUP($C781,Observaciones!$A:$B,2,FALSE)," ")</f>
        <v>VENDEDOR ENVIA INFORME</v>
      </c>
      <c r="M781" t="s">
        <v>681</v>
      </c>
      <c r="O781" s="5">
        <v>30847180</v>
      </c>
      <c r="P781" s="5">
        <v>38896</v>
      </c>
      <c r="Q781" s="5">
        <v>7390</v>
      </c>
      <c r="R781" s="5">
        <v>46286</v>
      </c>
    </row>
    <row r="782" spans="1:18" x14ac:dyDescent="0.25">
      <c r="A782" t="s">
        <v>1003</v>
      </c>
      <c r="B782" t="s">
        <v>494</v>
      </c>
      <c r="C782">
        <v>70574900</v>
      </c>
      <c r="D782">
        <v>1120</v>
      </c>
      <c r="E782">
        <v>4200191010</v>
      </c>
      <c r="F782" t="s">
        <v>1004</v>
      </c>
      <c r="G782" s="1">
        <v>45231</v>
      </c>
      <c r="H782">
        <v>5410862</v>
      </c>
      <c r="I782">
        <v>12</v>
      </c>
      <c r="J782" t="s">
        <v>319</v>
      </c>
      <c r="K782" t="str">
        <f>IFERROR(IF(AND(VLOOKUP($C782,Hes!$A:$B, 1, FALSE), $M782&lt;&gt;" "), "Ingresada", "Falta Ingresar"), " ")</f>
        <v xml:space="preserve"> </v>
      </c>
      <c r="L782" s="4" t="str">
        <f>IFERROR(VLOOKUP($C782,Observaciones!$A:$B,2,FALSE)," ")</f>
        <v>VENDEDOR ENVIA INFORME</v>
      </c>
      <c r="M782" t="s">
        <v>681</v>
      </c>
      <c r="O782" s="5">
        <v>30846170</v>
      </c>
      <c r="P782" s="5">
        <v>27418</v>
      </c>
      <c r="Q782" s="5">
        <v>5209</v>
      </c>
      <c r="R782" s="5">
        <v>32627</v>
      </c>
    </row>
    <row r="783" spans="1:18" x14ac:dyDescent="0.25">
      <c r="A783" t="s">
        <v>1003</v>
      </c>
      <c r="B783" t="s">
        <v>494</v>
      </c>
      <c r="C783">
        <v>70574900</v>
      </c>
      <c r="D783">
        <v>1128</v>
      </c>
      <c r="E783">
        <v>4200190755</v>
      </c>
      <c r="F783" t="s">
        <v>1004</v>
      </c>
      <c r="G783" s="1">
        <v>45231</v>
      </c>
      <c r="H783">
        <v>5410864</v>
      </c>
      <c r="I783">
        <v>12</v>
      </c>
      <c r="J783" t="s">
        <v>319</v>
      </c>
      <c r="K783" t="str">
        <f>IFERROR(IF(AND(VLOOKUP($C783,Hes!$A:$B, 1, FALSE), $M783&lt;&gt;" "), "Ingresada", "Falta Ingresar"), " ")</f>
        <v xml:space="preserve"> </v>
      </c>
      <c r="L783" s="4" t="str">
        <f>IFERROR(VLOOKUP($C783,Observaciones!$A:$B,2,FALSE)," ")</f>
        <v>VENDEDOR ENVIA INFORME</v>
      </c>
      <c r="M783" t="s">
        <v>681</v>
      </c>
      <c r="O783" s="5">
        <v>30844005</v>
      </c>
      <c r="P783" s="5">
        <v>178423</v>
      </c>
      <c r="Q783" s="5">
        <v>33900</v>
      </c>
      <c r="R783" s="5">
        <v>212323</v>
      </c>
    </row>
    <row r="784" spans="1:18" x14ac:dyDescent="0.25">
      <c r="A784" t="s">
        <v>1003</v>
      </c>
      <c r="B784" t="s">
        <v>494</v>
      </c>
      <c r="C784">
        <v>70574900</v>
      </c>
      <c r="D784">
        <v>1110</v>
      </c>
      <c r="E784">
        <v>4200191010</v>
      </c>
      <c r="F784" t="s">
        <v>1004</v>
      </c>
      <c r="G784" s="1">
        <v>45231</v>
      </c>
      <c r="H784">
        <v>5410866</v>
      </c>
      <c r="I784">
        <v>12</v>
      </c>
      <c r="J784" t="s">
        <v>319</v>
      </c>
      <c r="K784" t="str">
        <f>IFERROR(IF(AND(VLOOKUP($C784,Hes!$A:$B, 1, FALSE), $M784&lt;&gt;" "), "Ingresada", "Falta Ingresar"), " ")</f>
        <v xml:space="preserve"> </v>
      </c>
      <c r="L784" s="4" t="str">
        <f>IFERROR(VLOOKUP($C784,Observaciones!$A:$B,2,FALSE)," ")</f>
        <v>VENDEDOR ENVIA INFORME</v>
      </c>
      <c r="M784" t="s">
        <v>681</v>
      </c>
      <c r="O784" s="5">
        <v>30846102</v>
      </c>
      <c r="P784" s="5">
        <v>155312</v>
      </c>
      <c r="Q784" s="5">
        <v>29509</v>
      </c>
      <c r="R784" s="5">
        <v>184821</v>
      </c>
    </row>
    <row r="785" spans="1:18" x14ac:dyDescent="0.25">
      <c r="A785" t="s">
        <v>1003</v>
      </c>
      <c r="B785" t="s">
        <v>494</v>
      </c>
      <c r="C785">
        <v>70574900</v>
      </c>
      <c r="D785">
        <v>1103</v>
      </c>
      <c r="E785">
        <v>4200191043</v>
      </c>
      <c r="F785" t="s">
        <v>1004</v>
      </c>
      <c r="G785" s="1">
        <v>45231</v>
      </c>
      <c r="H785">
        <v>5410867</v>
      </c>
      <c r="I785">
        <v>12</v>
      </c>
      <c r="J785" t="s">
        <v>319</v>
      </c>
      <c r="K785" t="str">
        <f>IFERROR(IF(AND(VLOOKUP($C785,Hes!$A:$B, 1, FALSE), $M785&lt;&gt;" "), "Ingresada", "Falta Ingresar"), " ")</f>
        <v xml:space="preserve"> </v>
      </c>
      <c r="L785" s="4" t="str">
        <f>IFERROR(VLOOKUP($C785,Observaciones!$A:$B,2,FALSE)," ")</f>
        <v>VENDEDOR ENVIA INFORME</v>
      </c>
      <c r="M785" t="s">
        <v>681</v>
      </c>
      <c r="O785" s="5">
        <v>30846859</v>
      </c>
      <c r="P785" s="5">
        <v>163169</v>
      </c>
      <c r="Q785" s="5">
        <v>31002</v>
      </c>
      <c r="R785" s="5">
        <v>194171</v>
      </c>
    </row>
    <row r="786" spans="1:18" x14ac:dyDescent="0.25">
      <c r="A786" t="s">
        <v>1003</v>
      </c>
      <c r="B786" t="s">
        <v>494</v>
      </c>
      <c r="C786">
        <v>70574900</v>
      </c>
      <c r="D786">
        <v>1101</v>
      </c>
      <c r="E786">
        <v>4200191043</v>
      </c>
      <c r="F786" t="s">
        <v>1004</v>
      </c>
      <c r="G786" s="1">
        <v>45231</v>
      </c>
      <c r="H786">
        <v>5410868</v>
      </c>
      <c r="I786">
        <v>12</v>
      </c>
      <c r="J786" t="s">
        <v>319</v>
      </c>
      <c r="K786" t="str">
        <f>IFERROR(IF(AND(VLOOKUP($C786,Hes!$A:$B, 1, FALSE), $M786&lt;&gt;" "), "Ingresada", "Falta Ingresar"), " ")</f>
        <v xml:space="preserve"> </v>
      </c>
      <c r="L786" s="4" t="str">
        <f>IFERROR(VLOOKUP($C786,Observaciones!$A:$B,2,FALSE)," ")</f>
        <v>VENDEDOR ENVIA INFORME</v>
      </c>
      <c r="M786" t="s">
        <v>681</v>
      </c>
      <c r="O786" s="5">
        <v>30846613</v>
      </c>
      <c r="P786" s="5">
        <v>169266</v>
      </c>
      <c r="Q786" s="5">
        <v>32161</v>
      </c>
      <c r="R786" s="5">
        <v>201427</v>
      </c>
    </row>
    <row r="787" spans="1:18" x14ac:dyDescent="0.25">
      <c r="A787" t="s">
        <v>1003</v>
      </c>
      <c r="B787" t="s">
        <v>494</v>
      </c>
      <c r="C787">
        <v>70574900</v>
      </c>
      <c r="D787">
        <v>1150</v>
      </c>
      <c r="E787">
        <v>4200191043</v>
      </c>
      <c r="F787" t="s">
        <v>1004</v>
      </c>
      <c r="G787" s="1">
        <v>45231</v>
      </c>
      <c r="H787">
        <v>5410869</v>
      </c>
      <c r="I787">
        <v>12</v>
      </c>
      <c r="J787" t="s">
        <v>319</v>
      </c>
      <c r="K787" t="str">
        <f>IFERROR(IF(AND(VLOOKUP($C787,Hes!$A:$B, 1, FALSE), $M787&lt;&gt;" "), "Ingresada", "Falta Ingresar"), " ")</f>
        <v xml:space="preserve"> </v>
      </c>
      <c r="L787" s="4" t="str">
        <f>IFERROR(VLOOKUP($C787,Observaciones!$A:$B,2,FALSE)," ")</f>
        <v>VENDEDOR ENVIA INFORME</v>
      </c>
      <c r="M787" t="s">
        <v>681</v>
      </c>
      <c r="O787" s="5">
        <v>30847124</v>
      </c>
      <c r="P787" s="5">
        <v>88224</v>
      </c>
      <c r="Q787" s="5">
        <v>16763</v>
      </c>
      <c r="R787" s="5">
        <v>104987</v>
      </c>
    </row>
    <row r="788" spans="1:18" x14ac:dyDescent="0.25">
      <c r="A788" t="s">
        <v>1003</v>
      </c>
      <c r="B788" t="s">
        <v>494</v>
      </c>
      <c r="C788">
        <v>70574900</v>
      </c>
      <c r="D788">
        <v>1118</v>
      </c>
      <c r="E788">
        <v>4200191010</v>
      </c>
      <c r="F788" t="s">
        <v>1004</v>
      </c>
      <c r="G788" s="1">
        <v>45231</v>
      </c>
      <c r="H788">
        <v>5410870</v>
      </c>
      <c r="I788">
        <v>12</v>
      </c>
      <c r="J788" t="s">
        <v>319</v>
      </c>
      <c r="K788" t="str">
        <f>IFERROR(IF(AND(VLOOKUP($C788,Hes!$A:$B, 1, FALSE), $M788&lt;&gt;" "), "Ingresada", "Falta Ingresar"), " ")</f>
        <v xml:space="preserve"> </v>
      </c>
      <c r="L788" s="4" t="str">
        <f>IFERROR(VLOOKUP($C788,Observaciones!$A:$B,2,FALSE)," ")</f>
        <v>VENDEDOR ENVIA INFORME</v>
      </c>
      <c r="M788" t="s">
        <v>681</v>
      </c>
      <c r="O788" s="5">
        <v>30845913</v>
      </c>
      <c r="P788" s="5">
        <v>20513</v>
      </c>
      <c r="Q788" s="5">
        <v>3897</v>
      </c>
      <c r="R788" s="5">
        <v>24410</v>
      </c>
    </row>
    <row r="789" spans="1:18" x14ac:dyDescent="0.25">
      <c r="A789" t="s">
        <v>1003</v>
      </c>
      <c r="B789" t="s">
        <v>494</v>
      </c>
      <c r="C789">
        <v>70574900</v>
      </c>
      <c r="D789">
        <v>1104</v>
      </c>
      <c r="E789">
        <v>4200191010</v>
      </c>
      <c r="F789" t="s">
        <v>1004</v>
      </c>
      <c r="G789" s="1">
        <v>45231</v>
      </c>
      <c r="H789">
        <v>5410878</v>
      </c>
      <c r="I789">
        <v>12</v>
      </c>
      <c r="J789" t="s">
        <v>319</v>
      </c>
      <c r="K789" t="str">
        <f>IFERROR(IF(AND(VLOOKUP($C789,Hes!$A:$B, 1, FALSE), $M789&lt;&gt;" "), "Ingresada", "Falta Ingresar"), " ")</f>
        <v xml:space="preserve"> </v>
      </c>
      <c r="L789" s="4" t="str">
        <f>IFERROR(VLOOKUP($C789,Observaciones!$A:$B,2,FALSE)," ")</f>
        <v>VENDEDOR ENVIA INFORME</v>
      </c>
      <c r="M789" t="s">
        <v>681</v>
      </c>
      <c r="O789" s="5">
        <v>30846152</v>
      </c>
      <c r="P789" s="5">
        <v>69725</v>
      </c>
      <c r="Q789" s="5">
        <v>13248</v>
      </c>
      <c r="R789" s="5">
        <v>82973</v>
      </c>
    </row>
    <row r="790" spans="1:18" x14ac:dyDescent="0.25">
      <c r="A790" t="s">
        <v>1003</v>
      </c>
      <c r="B790" t="s">
        <v>494</v>
      </c>
      <c r="C790">
        <v>70574900</v>
      </c>
      <c r="D790">
        <v>1106</v>
      </c>
      <c r="E790">
        <v>30845207</v>
      </c>
      <c r="F790" t="s">
        <v>1004</v>
      </c>
      <c r="G790" s="1">
        <v>45231</v>
      </c>
      <c r="H790">
        <v>5410888</v>
      </c>
      <c r="I790">
        <v>12</v>
      </c>
      <c r="J790" t="s">
        <v>319</v>
      </c>
      <c r="K790" t="str">
        <f>IFERROR(IF(AND(VLOOKUP($C790,Hes!$A:$B, 1, FALSE), $M790&lt;&gt;" "), "Ingresada", "Falta Ingresar"), " ")</f>
        <v xml:space="preserve"> </v>
      </c>
      <c r="L790" s="4" t="str">
        <f>IFERROR(VLOOKUP($C790,Observaciones!$A:$B,2,FALSE)," ")</f>
        <v>VENDEDOR ENVIA INFORME</v>
      </c>
      <c r="M790" t="s">
        <v>681</v>
      </c>
      <c r="O790" s="5">
        <v>30845207</v>
      </c>
      <c r="P790" s="5">
        <v>424219</v>
      </c>
      <c r="Q790" s="5">
        <v>80602</v>
      </c>
      <c r="R790" s="5">
        <v>504821</v>
      </c>
    </row>
    <row r="791" spans="1:18" x14ac:dyDescent="0.25">
      <c r="A791" t="s">
        <v>1003</v>
      </c>
      <c r="B791" t="s">
        <v>494</v>
      </c>
      <c r="C791">
        <v>70574900</v>
      </c>
      <c r="D791">
        <v>2325</v>
      </c>
      <c r="E791">
        <v>4200190468</v>
      </c>
      <c r="F791" t="s">
        <v>1004</v>
      </c>
      <c r="G791" s="1">
        <v>45233</v>
      </c>
      <c r="H791">
        <v>5411386</v>
      </c>
      <c r="I791">
        <v>12</v>
      </c>
      <c r="J791" t="s">
        <v>319</v>
      </c>
      <c r="K791" t="str">
        <f>IFERROR(IF(AND(VLOOKUP($C791,Hes!$A:$B, 1, FALSE), $M791&lt;&gt;" "), "Ingresada", "Falta Ingresar"), " ")</f>
        <v xml:space="preserve"> </v>
      </c>
      <c r="L791" s="4" t="str">
        <f>IFERROR(VLOOKUP($C791,Observaciones!$A:$B,2,FALSE)," ")</f>
        <v>VENDEDOR ENVIA INFORME</v>
      </c>
      <c r="M791" t="s">
        <v>681</v>
      </c>
      <c r="O791" s="5">
        <v>30848122</v>
      </c>
      <c r="P791" s="5">
        <v>384842</v>
      </c>
      <c r="Q791" s="5">
        <v>73120</v>
      </c>
      <c r="R791" s="5">
        <v>457962</v>
      </c>
    </row>
    <row r="792" spans="1:18" x14ac:dyDescent="0.25">
      <c r="A792" t="s">
        <v>1003</v>
      </c>
      <c r="B792" t="s">
        <v>494</v>
      </c>
      <c r="C792">
        <v>70574900</v>
      </c>
      <c r="D792">
        <v>2361</v>
      </c>
      <c r="E792">
        <v>4200190457</v>
      </c>
      <c r="F792" t="s">
        <v>1004</v>
      </c>
      <c r="G792" s="1">
        <v>45233</v>
      </c>
      <c r="H792">
        <v>5411536</v>
      </c>
      <c r="I792">
        <v>12</v>
      </c>
      <c r="J792" t="s">
        <v>319</v>
      </c>
      <c r="K792" t="str">
        <f>IFERROR(IF(AND(VLOOKUP($C792,Hes!$A:$B, 1, FALSE), $M792&lt;&gt;" "), "Ingresada", "Falta Ingresar"), " ")</f>
        <v xml:space="preserve"> </v>
      </c>
      <c r="L792" s="4" t="str">
        <f>IFERROR(VLOOKUP($C792,Observaciones!$A:$B,2,FALSE)," ")</f>
        <v>VENDEDOR ENVIA INFORME</v>
      </c>
      <c r="M792" t="s">
        <v>681</v>
      </c>
      <c r="O792" s="5">
        <v>30850638</v>
      </c>
      <c r="P792" s="5">
        <v>18980</v>
      </c>
      <c r="Q792" s="5">
        <v>3606</v>
      </c>
      <c r="R792" s="5">
        <v>22586</v>
      </c>
    </row>
    <row r="793" spans="1:18" x14ac:dyDescent="0.25">
      <c r="A793" t="s">
        <v>1003</v>
      </c>
      <c r="B793" t="s">
        <v>494</v>
      </c>
      <c r="C793">
        <v>70574900</v>
      </c>
      <c r="D793">
        <v>2396</v>
      </c>
      <c r="E793">
        <v>4200190457</v>
      </c>
      <c r="F793" t="s">
        <v>1004</v>
      </c>
      <c r="G793" s="1">
        <v>45233</v>
      </c>
      <c r="H793">
        <v>5411602</v>
      </c>
      <c r="I793">
        <v>12</v>
      </c>
      <c r="J793" t="s">
        <v>319</v>
      </c>
      <c r="K793" t="str">
        <f>IFERROR(IF(AND(VLOOKUP($C793,Hes!$A:$B, 1, FALSE), $M793&lt;&gt;" "), "Ingresada", "Falta Ingresar"), " ")</f>
        <v xml:space="preserve"> </v>
      </c>
      <c r="L793" s="4" t="str">
        <f>IFERROR(VLOOKUP($C793,Observaciones!$A:$B,2,FALSE)," ")</f>
        <v>VENDEDOR ENVIA INFORME</v>
      </c>
      <c r="M793" t="s">
        <v>681</v>
      </c>
      <c r="O793" s="5">
        <v>30848157</v>
      </c>
      <c r="P793" s="5">
        <v>192689</v>
      </c>
      <c r="Q793" s="5">
        <v>36611</v>
      </c>
      <c r="R793" s="5">
        <v>229300</v>
      </c>
    </row>
    <row r="794" spans="1:18" x14ac:dyDescent="0.25">
      <c r="A794" t="s">
        <v>1003</v>
      </c>
      <c r="B794" t="s">
        <v>494</v>
      </c>
      <c r="C794">
        <v>70574900</v>
      </c>
      <c r="D794">
        <v>2392</v>
      </c>
      <c r="E794">
        <v>4200190457</v>
      </c>
      <c r="F794" t="s">
        <v>1004</v>
      </c>
      <c r="G794" s="1">
        <v>45233</v>
      </c>
      <c r="H794">
        <v>5411611</v>
      </c>
      <c r="I794">
        <v>12</v>
      </c>
      <c r="J794" t="s">
        <v>319</v>
      </c>
      <c r="K794" t="str">
        <f>IFERROR(IF(AND(VLOOKUP($C794,Hes!$A:$B, 1, FALSE), $M794&lt;&gt;" "), "Ingresada", "Falta Ingresar"), " ")</f>
        <v xml:space="preserve"> </v>
      </c>
      <c r="L794" s="4" t="str">
        <f>IFERROR(VLOOKUP($C794,Observaciones!$A:$B,2,FALSE)," ")</f>
        <v>VENDEDOR ENVIA INFORME</v>
      </c>
      <c r="M794" t="s">
        <v>681</v>
      </c>
      <c r="O794" s="5">
        <v>30850341</v>
      </c>
      <c r="P794" s="5">
        <v>115386</v>
      </c>
      <c r="Q794" s="5">
        <v>21923</v>
      </c>
      <c r="R794" s="5">
        <v>137309</v>
      </c>
    </row>
    <row r="795" spans="1:18" x14ac:dyDescent="0.25">
      <c r="A795" t="s">
        <v>1003</v>
      </c>
      <c r="B795" t="s">
        <v>494</v>
      </c>
      <c r="C795">
        <v>70574900</v>
      </c>
      <c r="D795">
        <v>2306</v>
      </c>
      <c r="E795">
        <v>4200190457</v>
      </c>
      <c r="F795" t="s">
        <v>1004</v>
      </c>
      <c r="G795" s="1">
        <v>45233</v>
      </c>
      <c r="H795">
        <v>5411663</v>
      </c>
      <c r="I795">
        <v>12</v>
      </c>
      <c r="J795" t="s">
        <v>319</v>
      </c>
      <c r="K795" t="str">
        <f>IFERROR(IF(AND(VLOOKUP($C795,Hes!$A:$B, 1, FALSE), $M795&lt;&gt;" "), "Ingresada", "Falta Ingresar"), " ")</f>
        <v xml:space="preserve"> </v>
      </c>
      <c r="L795" s="4" t="str">
        <f>IFERROR(VLOOKUP($C795,Observaciones!$A:$B,2,FALSE)," ")</f>
        <v>VENDEDOR ENVIA INFORME</v>
      </c>
      <c r="M795" t="s">
        <v>681</v>
      </c>
      <c r="O795" s="5">
        <v>30850372</v>
      </c>
      <c r="P795" s="5">
        <v>489792</v>
      </c>
      <c r="Q795" s="5">
        <v>93060</v>
      </c>
      <c r="R795" s="5">
        <v>582852</v>
      </c>
    </row>
    <row r="796" spans="1:18" x14ac:dyDescent="0.25">
      <c r="A796" t="s">
        <v>1003</v>
      </c>
      <c r="B796" t="s">
        <v>494</v>
      </c>
      <c r="C796">
        <v>70574900</v>
      </c>
      <c r="D796">
        <v>2308</v>
      </c>
      <c r="E796">
        <v>4200190457</v>
      </c>
      <c r="F796" t="s">
        <v>1004</v>
      </c>
      <c r="G796" s="1">
        <v>45233</v>
      </c>
      <c r="H796">
        <v>5411676</v>
      </c>
      <c r="I796">
        <v>12</v>
      </c>
      <c r="J796" t="s">
        <v>319</v>
      </c>
      <c r="K796" t="str">
        <f>IFERROR(IF(AND(VLOOKUP($C796,Hes!$A:$B, 1, FALSE), $M796&lt;&gt;" "), "Ingresada", "Falta Ingresar"), " ")</f>
        <v xml:space="preserve"> </v>
      </c>
      <c r="L796" s="4" t="str">
        <f>IFERROR(VLOOKUP($C796,Observaciones!$A:$B,2,FALSE)," ")</f>
        <v>VENDEDOR ENVIA INFORME</v>
      </c>
      <c r="M796" t="s">
        <v>681</v>
      </c>
      <c r="O796" s="5">
        <v>30850352</v>
      </c>
      <c r="P796" s="5">
        <v>744856</v>
      </c>
      <c r="Q796" s="5">
        <v>141523</v>
      </c>
      <c r="R796" s="5">
        <v>886379</v>
      </c>
    </row>
    <row r="797" spans="1:18" x14ac:dyDescent="0.25">
      <c r="A797" t="s">
        <v>1003</v>
      </c>
      <c r="B797" t="s">
        <v>494</v>
      </c>
      <c r="C797">
        <v>70574900</v>
      </c>
      <c r="D797">
        <v>1132</v>
      </c>
      <c r="E797">
        <v>30844571</v>
      </c>
      <c r="F797" t="s">
        <v>1004</v>
      </c>
      <c r="G797" s="1">
        <v>45234</v>
      </c>
      <c r="H797">
        <v>5411770</v>
      </c>
      <c r="I797">
        <v>12</v>
      </c>
      <c r="J797" t="s">
        <v>319</v>
      </c>
      <c r="K797" t="str">
        <f>IFERROR(IF(AND(VLOOKUP($C797,Hes!$A:$B, 1, FALSE), $M797&lt;&gt;" "), "Ingresada", "Falta Ingresar"), " ")</f>
        <v xml:space="preserve"> </v>
      </c>
      <c r="L797" s="4" t="str">
        <f>IFERROR(VLOOKUP($C797,Observaciones!$A:$B,2,FALSE)," ")</f>
        <v>VENDEDOR ENVIA INFORME</v>
      </c>
      <c r="M797" t="s">
        <v>681</v>
      </c>
      <c r="O797" s="5">
        <v>30844571</v>
      </c>
      <c r="P797" s="5">
        <v>43629</v>
      </c>
      <c r="Q797" s="5">
        <v>8290</v>
      </c>
      <c r="R797" s="5">
        <v>51919</v>
      </c>
    </row>
    <row r="798" spans="1:18" x14ac:dyDescent="0.25">
      <c r="A798" t="s">
        <v>1003</v>
      </c>
      <c r="B798" t="s">
        <v>494</v>
      </c>
      <c r="C798">
        <v>70574900</v>
      </c>
      <c r="D798">
        <v>1111</v>
      </c>
      <c r="E798">
        <v>30847625</v>
      </c>
      <c r="F798" t="s">
        <v>1004</v>
      </c>
      <c r="G798" s="1">
        <v>45234</v>
      </c>
      <c r="H798">
        <v>5411771</v>
      </c>
      <c r="I798">
        <v>12</v>
      </c>
      <c r="J798" t="s">
        <v>319</v>
      </c>
      <c r="K798" t="str">
        <f>IFERROR(IF(AND(VLOOKUP($C798,Hes!$A:$B, 1, FALSE), $M798&lt;&gt;" "), "Ingresada", "Falta Ingresar"), " ")</f>
        <v xml:space="preserve"> </v>
      </c>
      <c r="L798" s="4" t="str">
        <f>IFERROR(VLOOKUP($C798,Observaciones!$A:$B,2,FALSE)," ")</f>
        <v>VENDEDOR ENVIA INFORME</v>
      </c>
      <c r="M798" t="s">
        <v>681</v>
      </c>
      <c r="O798" s="5">
        <v>30847625</v>
      </c>
      <c r="P798" s="5">
        <v>70354</v>
      </c>
      <c r="Q798" s="5">
        <v>13367</v>
      </c>
      <c r="R798" s="5">
        <v>83721</v>
      </c>
    </row>
    <row r="799" spans="1:18" x14ac:dyDescent="0.25">
      <c r="A799" t="s">
        <v>1003</v>
      </c>
      <c r="B799" t="s">
        <v>494</v>
      </c>
      <c r="C799">
        <v>70574900</v>
      </c>
      <c r="D799">
        <v>1111</v>
      </c>
      <c r="E799">
        <v>30847571</v>
      </c>
      <c r="F799" t="s">
        <v>1004</v>
      </c>
      <c r="G799" s="1">
        <v>45234</v>
      </c>
      <c r="H799">
        <v>5411772</v>
      </c>
      <c r="I799">
        <v>12</v>
      </c>
      <c r="J799" t="s">
        <v>319</v>
      </c>
      <c r="K799" t="str">
        <f>IFERROR(IF(AND(VLOOKUP($C799,Hes!$A:$B, 1, FALSE), $M799&lt;&gt;" "), "Ingresada", "Falta Ingresar"), " ")</f>
        <v xml:space="preserve"> </v>
      </c>
      <c r="L799" s="4" t="str">
        <f>IFERROR(VLOOKUP($C799,Observaciones!$A:$B,2,FALSE)," ")</f>
        <v>VENDEDOR ENVIA INFORME</v>
      </c>
      <c r="M799" t="s">
        <v>681</v>
      </c>
      <c r="O799" s="5">
        <v>30847571</v>
      </c>
      <c r="P799" s="5">
        <v>33623</v>
      </c>
      <c r="Q799" s="5">
        <v>6388</v>
      </c>
      <c r="R799" s="5">
        <v>40011</v>
      </c>
    </row>
    <row r="800" spans="1:18" x14ac:dyDescent="0.25">
      <c r="A800" t="s">
        <v>1003</v>
      </c>
      <c r="B800" t="s">
        <v>494</v>
      </c>
      <c r="C800">
        <v>70574900</v>
      </c>
      <c r="D800">
        <v>1132</v>
      </c>
      <c r="E800">
        <v>30848153</v>
      </c>
      <c r="F800" t="s">
        <v>1004</v>
      </c>
      <c r="G800" s="1">
        <v>45234</v>
      </c>
      <c r="H800">
        <v>5411773</v>
      </c>
      <c r="I800">
        <v>12</v>
      </c>
      <c r="J800" t="s">
        <v>319</v>
      </c>
      <c r="K800" t="str">
        <f>IFERROR(IF(AND(VLOOKUP($C800,Hes!$A:$B, 1, FALSE), $M800&lt;&gt;" "), "Ingresada", "Falta Ingresar"), " ")</f>
        <v xml:space="preserve"> </v>
      </c>
      <c r="L800" s="4" t="str">
        <f>IFERROR(VLOOKUP($C800,Observaciones!$A:$B,2,FALSE)," ")</f>
        <v>VENDEDOR ENVIA INFORME</v>
      </c>
      <c r="M800" t="s">
        <v>681</v>
      </c>
      <c r="O800" s="5">
        <v>30848153</v>
      </c>
      <c r="P800" s="5">
        <v>74164</v>
      </c>
      <c r="Q800" s="5">
        <v>14091</v>
      </c>
      <c r="R800" s="5">
        <v>88255</v>
      </c>
    </row>
    <row r="801" spans="1:18" x14ac:dyDescent="0.25">
      <c r="A801" t="s">
        <v>1003</v>
      </c>
      <c r="B801" t="s">
        <v>494</v>
      </c>
      <c r="C801">
        <v>70574900</v>
      </c>
      <c r="D801">
        <v>1132</v>
      </c>
      <c r="E801">
        <v>30848222</v>
      </c>
      <c r="F801" t="s">
        <v>1004</v>
      </c>
      <c r="G801" s="1">
        <v>45234</v>
      </c>
      <c r="H801">
        <v>5411774</v>
      </c>
      <c r="I801">
        <v>12</v>
      </c>
      <c r="J801" t="s">
        <v>319</v>
      </c>
      <c r="K801" t="str">
        <f>IFERROR(IF(AND(VLOOKUP($C801,Hes!$A:$B, 1, FALSE), $M801&lt;&gt;" "), "Ingresada", "Falta Ingresar"), " ")</f>
        <v xml:space="preserve"> </v>
      </c>
      <c r="L801" s="4" t="str">
        <f>IFERROR(VLOOKUP($C801,Observaciones!$A:$B,2,FALSE)," ")</f>
        <v>VENDEDOR ENVIA INFORME</v>
      </c>
      <c r="M801" t="s">
        <v>681</v>
      </c>
      <c r="O801" s="5">
        <v>30848222</v>
      </c>
      <c r="P801" s="5">
        <v>84007</v>
      </c>
      <c r="Q801" s="5">
        <v>15961</v>
      </c>
      <c r="R801" s="5">
        <v>99968</v>
      </c>
    </row>
    <row r="802" spans="1:18" x14ac:dyDescent="0.25">
      <c r="A802" t="s">
        <v>1003</v>
      </c>
      <c r="B802" t="s">
        <v>494</v>
      </c>
      <c r="C802">
        <v>70574900</v>
      </c>
      <c r="D802">
        <v>1112</v>
      </c>
      <c r="E802">
        <v>30844006</v>
      </c>
      <c r="F802" t="s">
        <v>1004</v>
      </c>
      <c r="G802" s="1">
        <v>45234</v>
      </c>
      <c r="H802">
        <v>5411783</v>
      </c>
      <c r="I802">
        <v>12</v>
      </c>
      <c r="J802" t="s">
        <v>319</v>
      </c>
      <c r="K802" t="str">
        <f>IFERROR(IF(AND(VLOOKUP($C802,Hes!$A:$B, 1, FALSE), $M802&lt;&gt;" "), "Ingresada", "Falta Ingresar"), " ")</f>
        <v xml:space="preserve"> </v>
      </c>
      <c r="L802" s="4" t="str">
        <f>IFERROR(VLOOKUP($C802,Observaciones!$A:$B,2,FALSE)," ")</f>
        <v>VENDEDOR ENVIA INFORME</v>
      </c>
      <c r="M802" t="s">
        <v>681</v>
      </c>
      <c r="O802" s="5">
        <v>30844006</v>
      </c>
      <c r="P802" s="5">
        <v>545898</v>
      </c>
      <c r="Q802" s="5">
        <v>103721</v>
      </c>
      <c r="R802" s="5">
        <v>649619</v>
      </c>
    </row>
    <row r="803" spans="1:18" x14ac:dyDescent="0.25">
      <c r="A803" t="s">
        <v>1003</v>
      </c>
      <c r="B803" t="s">
        <v>494</v>
      </c>
      <c r="C803">
        <v>70574900</v>
      </c>
      <c r="D803">
        <v>1112</v>
      </c>
      <c r="E803">
        <v>30844050</v>
      </c>
      <c r="F803" t="s">
        <v>1004</v>
      </c>
      <c r="G803" s="1">
        <v>45234</v>
      </c>
      <c r="H803">
        <v>5411784</v>
      </c>
      <c r="I803">
        <v>12</v>
      </c>
      <c r="J803" t="s">
        <v>319</v>
      </c>
      <c r="K803" t="str">
        <f>IFERROR(IF(AND(VLOOKUP($C803,Hes!$A:$B, 1, FALSE), $M803&lt;&gt;" "), "Ingresada", "Falta Ingresar"), " ")</f>
        <v xml:space="preserve"> </v>
      </c>
      <c r="L803" s="4" t="str">
        <f>IFERROR(VLOOKUP($C803,Observaciones!$A:$B,2,FALSE)," ")</f>
        <v>VENDEDOR ENVIA INFORME</v>
      </c>
      <c r="M803" t="s">
        <v>681</v>
      </c>
      <c r="O803" s="5">
        <v>30844050</v>
      </c>
      <c r="P803" s="5">
        <v>60042</v>
      </c>
      <c r="Q803" s="5">
        <v>11408</v>
      </c>
      <c r="R803" s="5">
        <v>71450</v>
      </c>
    </row>
    <row r="804" spans="1:18" x14ac:dyDescent="0.25">
      <c r="A804" t="s">
        <v>1003</v>
      </c>
      <c r="B804" t="s">
        <v>494</v>
      </c>
      <c r="C804">
        <v>70574900</v>
      </c>
      <c r="D804">
        <v>1127</v>
      </c>
      <c r="E804">
        <v>30844469</v>
      </c>
      <c r="F804" t="s">
        <v>1004</v>
      </c>
      <c r="G804" s="1">
        <v>45234</v>
      </c>
      <c r="H804">
        <v>5411785</v>
      </c>
      <c r="I804">
        <v>12</v>
      </c>
      <c r="J804" t="s">
        <v>319</v>
      </c>
      <c r="K804" t="str">
        <f>IFERROR(IF(AND(VLOOKUP($C804,Hes!$A:$B, 1, FALSE), $M804&lt;&gt;" "), "Ingresada", "Falta Ingresar"), " ")</f>
        <v xml:space="preserve"> </v>
      </c>
      <c r="L804" s="4" t="str">
        <f>IFERROR(VLOOKUP($C804,Observaciones!$A:$B,2,FALSE)," ")</f>
        <v>VENDEDOR ENVIA INFORME</v>
      </c>
      <c r="M804" t="s">
        <v>681</v>
      </c>
      <c r="O804" s="5">
        <v>30844469</v>
      </c>
      <c r="P804" s="5">
        <v>38086</v>
      </c>
      <c r="Q804" s="5">
        <v>7236</v>
      </c>
      <c r="R804" s="5">
        <v>45322</v>
      </c>
    </row>
    <row r="805" spans="1:18" x14ac:dyDescent="0.25">
      <c r="A805" t="s">
        <v>1003</v>
      </c>
      <c r="B805" t="s">
        <v>494</v>
      </c>
      <c r="C805">
        <v>70574900</v>
      </c>
      <c r="D805">
        <v>1127</v>
      </c>
      <c r="E805">
        <v>30844428</v>
      </c>
      <c r="F805" t="s">
        <v>1004</v>
      </c>
      <c r="G805" s="1">
        <v>45234</v>
      </c>
      <c r="H805">
        <v>5411786</v>
      </c>
      <c r="I805">
        <v>12</v>
      </c>
      <c r="J805" t="s">
        <v>319</v>
      </c>
      <c r="K805" t="str">
        <f>IFERROR(IF(AND(VLOOKUP($C805,Hes!$A:$B, 1, FALSE), $M805&lt;&gt;" "), "Ingresada", "Falta Ingresar"), " ")</f>
        <v xml:space="preserve"> </v>
      </c>
      <c r="L805" s="4" t="str">
        <f>IFERROR(VLOOKUP($C805,Observaciones!$A:$B,2,FALSE)," ")</f>
        <v>VENDEDOR ENVIA INFORME</v>
      </c>
      <c r="M805" t="s">
        <v>681</v>
      </c>
      <c r="O805" s="5">
        <v>30844428</v>
      </c>
      <c r="P805" s="5">
        <v>478101</v>
      </c>
      <c r="Q805" s="5">
        <v>90839</v>
      </c>
      <c r="R805" s="5">
        <v>568940</v>
      </c>
    </row>
    <row r="806" spans="1:18" x14ac:dyDescent="0.25">
      <c r="A806" t="s">
        <v>1003</v>
      </c>
      <c r="B806" t="s">
        <v>494</v>
      </c>
      <c r="C806">
        <v>70574900</v>
      </c>
      <c r="D806">
        <v>1111</v>
      </c>
      <c r="E806">
        <v>30843906</v>
      </c>
      <c r="F806" t="s">
        <v>1004</v>
      </c>
      <c r="G806" s="1">
        <v>45234</v>
      </c>
      <c r="H806">
        <v>5411789</v>
      </c>
      <c r="I806">
        <v>12</v>
      </c>
      <c r="J806" t="s">
        <v>319</v>
      </c>
      <c r="K806" t="str">
        <f>IFERROR(IF(AND(VLOOKUP($C806,Hes!$A:$B, 1, FALSE), $M806&lt;&gt;" "), "Ingresada", "Falta Ingresar"), " ")</f>
        <v xml:space="preserve"> </v>
      </c>
      <c r="L806" s="4" t="str">
        <f>IFERROR(VLOOKUP($C806,Observaciones!$A:$B,2,FALSE)," ")</f>
        <v>VENDEDOR ENVIA INFORME</v>
      </c>
      <c r="M806" t="s">
        <v>681</v>
      </c>
      <c r="O806" s="5">
        <v>30843906</v>
      </c>
      <c r="P806" s="5">
        <v>92012</v>
      </c>
      <c r="Q806" s="5">
        <v>17482</v>
      </c>
      <c r="R806" s="5">
        <v>109494</v>
      </c>
    </row>
    <row r="807" spans="1:18" x14ac:dyDescent="0.25">
      <c r="A807" t="s">
        <v>1003</v>
      </c>
      <c r="B807" t="s">
        <v>494</v>
      </c>
      <c r="C807">
        <v>70574900</v>
      </c>
      <c r="D807">
        <v>1111</v>
      </c>
      <c r="E807">
        <v>30843884</v>
      </c>
      <c r="F807" t="s">
        <v>1004</v>
      </c>
      <c r="G807" s="1">
        <v>45234</v>
      </c>
      <c r="H807">
        <v>5411799</v>
      </c>
      <c r="I807">
        <v>12</v>
      </c>
      <c r="J807" t="s">
        <v>319</v>
      </c>
      <c r="K807" t="str">
        <f>IFERROR(IF(AND(VLOOKUP($C807,Hes!$A:$B, 1, FALSE), $M807&lt;&gt;" "), "Ingresada", "Falta Ingresar"), " ")</f>
        <v xml:space="preserve"> </v>
      </c>
      <c r="L807" s="4" t="str">
        <f>IFERROR(VLOOKUP($C807,Observaciones!$A:$B,2,FALSE)," ")</f>
        <v>VENDEDOR ENVIA INFORME</v>
      </c>
      <c r="M807" t="s">
        <v>681</v>
      </c>
      <c r="O807" s="5">
        <v>30843884</v>
      </c>
      <c r="P807" s="5">
        <v>628779</v>
      </c>
      <c r="Q807" s="5">
        <v>119468</v>
      </c>
      <c r="R807" s="5">
        <v>748247</v>
      </c>
    </row>
    <row r="808" spans="1:18" x14ac:dyDescent="0.25">
      <c r="A808" t="s">
        <v>1003</v>
      </c>
      <c r="B808" t="s">
        <v>494</v>
      </c>
      <c r="C808">
        <v>70574900</v>
      </c>
      <c r="D808">
        <v>1123</v>
      </c>
      <c r="E808">
        <v>30848400</v>
      </c>
      <c r="F808" t="s">
        <v>1004</v>
      </c>
      <c r="G808" s="1">
        <v>45234</v>
      </c>
      <c r="H808">
        <v>5411801</v>
      </c>
      <c r="I808">
        <v>12</v>
      </c>
      <c r="J808" t="s">
        <v>319</v>
      </c>
      <c r="K808" t="str">
        <f>IFERROR(IF(AND(VLOOKUP($C808,Hes!$A:$B, 1, FALSE), $M808&lt;&gt;" "), "Ingresada", "Falta Ingresar"), " ")</f>
        <v xml:space="preserve"> </v>
      </c>
      <c r="L808" s="4" t="str">
        <f>IFERROR(VLOOKUP($C808,Observaciones!$A:$B,2,FALSE)," ")</f>
        <v>VENDEDOR ENVIA INFORME</v>
      </c>
      <c r="M808" t="s">
        <v>681</v>
      </c>
      <c r="O808" s="5">
        <v>30848400</v>
      </c>
      <c r="P808" s="5">
        <v>87630</v>
      </c>
      <c r="Q808" s="5">
        <v>16650</v>
      </c>
      <c r="R808" s="5">
        <v>104280</v>
      </c>
    </row>
    <row r="809" spans="1:18" x14ac:dyDescent="0.25">
      <c r="A809" t="s">
        <v>1003</v>
      </c>
      <c r="B809" t="s">
        <v>494</v>
      </c>
      <c r="C809">
        <v>70574900</v>
      </c>
      <c r="D809">
        <v>1148</v>
      </c>
      <c r="E809">
        <v>4200191043</v>
      </c>
      <c r="F809" t="s">
        <v>1004</v>
      </c>
      <c r="G809" s="1">
        <v>45234</v>
      </c>
      <c r="H809">
        <v>5411809</v>
      </c>
      <c r="I809">
        <v>12</v>
      </c>
      <c r="J809" t="s">
        <v>319</v>
      </c>
      <c r="K809" t="str">
        <f>IFERROR(IF(AND(VLOOKUP($C809,Hes!$A:$B, 1, FALSE), $M809&lt;&gt;" "), "Ingresada", "Falta Ingresar"), " ")</f>
        <v xml:space="preserve"> </v>
      </c>
      <c r="L809" s="4" t="str">
        <f>IFERROR(VLOOKUP($C809,Observaciones!$A:$B,2,FALSE)," ")</f>
        <v>VENDEDOR ENVIA INFORME</v>
      </c>
      <c r="M809" t="s">
        <v>681</v>
      </c>
      <c r="O809" s="5">
        <v>30847542</v>
      </c>
      <c r="P809" s="5">
        <v>115850</v>
      </c>
      <c r="Q809" s="5">
        <v>22012</v>
      </c>
      <c r="R809" s="5">
        <v>137862</v>
      </c>
    </row>
    <row r="810" spans="1:18" x14ac:dyDescent="0.25">
      <c r="A810" t="s">
        <v>1003</v>
      </c>
      <c r="B810" t="s">
        <v>494</v>
      </c>
      <c r="C810">
        <v>70574900</v>
      </c>
      <c r="D810">
        <v>1113</v>
      </c>
      <c r="E810">
        <v>4200191043</v>
      </c>
      <c r="F810" t="s">
        <v>1004</v>
      </c>
      <c r="G810" s="1">
        <v>45234</v>
      </c>
      <c r="H810">
        <v>5411812</v>
      </c>
      <c r="I810">
        <v>12</v>
      </c>
      <c r="J810" t="s">
        <v>319</v>
      </c>
      <c r="K810" t="str">
        <f>IFERROR(IF(AND(VLOOKUP($C810,Hes!$A:$B, 1, FALSE), $M810&lt;&gt;" "), "Ingresada", "Falta Ingresar"), " ")</f>
        <v xml:space="preserve"> </v>
      </c>
      <c r="L810" s="4" t="str">
        <f>IFERROR(VLOOKUP($C810,Observaciones!$A:$B,2,FALSE)," ")</f>
        <v>VENDEDOR ENVIA INFORME</v>
      </c>
      <c r="M810" t="s">
        <v>681</v>
      </c>
      <c r="O810" s="5">
        <v>30847001</v>
      </c>
      <c r="P810" s="5">
        <v>190730</v>
      </c>
      <c r="Q810" s="5">
        <v>36239</v>
      </c>
      <c r="R810" s="5">
        <v>226969</v>
      </c>
    </row>
    <row r="811" spans="1:18" x14ac:dyDescent="0.25">
      <c r="A811" t="s">
        <v>1003</v>
      </c>
      <c r="B811" t="s">
        <v>494</v>
      </c>
      <c r="C811">
        <v>70574900</v>
      </c>
      <c r="D811">
        <v>1112</v>
      </c>
      <c r="E811">
        <v>30847822</v>
      </c>
      <c r="F811" t="s">
        <v>1004</v>
      </c>
      <c r="G811" s="1">
        <v>45234</v>
      </c>
      <c r="H811">
        <v>5411813</v>
      </c>
      <c r="I811">
        <v>12</v>
      </c>
      <c r="J811" t="s">
        <v>319</v>
      </c>
      <c r="K811" t="str">
        <f>IFERROR(IF(AND(VLOOKUP($C811,Hes!$A:$B, 1, FALSE), $M811&lt;&gt;" "), "Ingresada", "Falta Ingresar"), " ")</f>
        <v xml:space="preserve"> </v>
      </c>
      <c r="L811" s="4" t="str">
        <f>IFERROR(VLOOKUP($C811,Observaciones!$A:$B,2,FALSE)," ")</f>
        <v>VENDEDOR ENVIA INFORME</v>
      </c>
      <c r="M811" t="s">
        <v>681</v>
      </c>
      <c r="O811" s="5">
        <v>30847822</v>
      </c>
      <c r="P811" s="5">
        <v>83221</v>
      </c>
      <c r="Q811" s="5">
        <v>15812</v>
      </c>
      <c r="R811" s="5">
        <v>99033</v>
      </c>
    </row>
    <row r="812" spans="1:18" x14ac:dyDescent="0.25">
      <c r="A812" t="s">
        <v>1003</v>
      </c>
      <c r="B812" t="s">
        <v>494</v>
      </c>
      <c r="C812">
        <v>70574900</v>
      </c>
      <c r="D812">
        <v>1127</v>
      </c>
      <c r="E812">
        <v>30847832</v>
      </c>
      <c r="F812" t="s">
        <v>1004</v>
      </c>
      <c r="G812" s="1">
        <v>45234</v>
      </c>
      <c r="H812">
        <v>5411814</v>
      </c>
      <c r="I812">
        <v>12</v>
      </c>
      <c r="J812" t="s">
        <v>319</v>
      </c>
      <c r="K812" t="str">
        <f>IFERROR(IF(AND(VLOOKUP($C812,Hes!$A:$B, 1, FALSE), $M812&lt;&gt;" "), "Ingresada", "Falta Ingresar"), " ")</f>
        <v xml:space="preserve"> </v>
      </c>
      <c r="L812" s="4" t="str">
        <f>IFERROR(VLOOKUP($C812,Observaciones!$A:$B,2,FALSE)," ")</f>
        <v>VENDEDOR ENVIA INFORME</v>
      </c>
      <c r="M812" t="s">
        <v>681</v>
      </c>
      <c r="O812" s="5">
        <v>30847832</v>
      </c>
      <c r="P812" s="5">
        <v>61518</v>
      </c>
      <c r="Q812" s="5">
        <v>11688</v>
      </c>
      <c r="R812" s="5">
        <v>73206</v>
      </c>
    </row>
    <row r="813" spans="1:18" x14ac:dyDescent="0.25">
      <c r="A813" t="s">
        <v>1003</v>
      </c>
      <c r="B813" t="s">
        <v>494</v>
      </c>
      <c r="C813">
        <v>70574900</v>
      </c>
      <c r="D813">
        <v>1127</v>
      </c>
      <c r="E813">
        <v>30848124</v>
      </c>
      <c r="F813" t="s">
        <v>1004</v>
      </c>
      <c r="G813" s="1">
        <v>45234</v>
      </c>
      <c r="H813">
        <v>5411815</v>
      </c>
      <c r="I813">
        <v>12</v>
      </c>
      <c r="J813" t="s">
        <v>319</v>
      </c>
      <c r="K813" t="str">
        <f>IFERROR(IF(AND(VLOOKUP($C813,Hes!$A:$B, 1, FALSE), $M813&lt;&gt;" "), "Ingresada", "Falta Ingresar"), " ")</f>
        <v xml:space="preserve"> </v>
      </c>
      <c r="L813" s="4" t="str">
        <f>IFERROR(VLOOKUP($C813,Observaciones!$A:$B,2,FALSE)," ")</f>
        <v>VENDEDOR ENVIA INFORME</v>
      </c>
      <c r="M813" t="s">
        <v>681</v>
      </c>
      <c r="O813" s="5">
        <v>30848124</v>
      </c>
      <c r="P813" s="5">
        <v>83532</v>
      </c>
      <c r="Q813" s="5">
        <v>15871</v>
      </c>
      <c r="R813" s="5">
        <v>99403</v>
      </c>
    </row>
    <row r="814" spans="1:18" x14ac:dyDescent="0.25">
      <c r="A814" t="s">
        <v>1003</v>
      </c>
      <c r="B814" t="s">
        <v>494</v>
      </c>
      <c r="C814">
        <v>70574900</v>
      </c>
      <c r="D814">
        <v>1112</v>
      </c>
      <c r="E814">
        <v>30847746</v>
      </c>
      <c r="F814" t="s">
        <v>1004</v>
      </c>
      <c r="G814" s="1">
        <v>45234</v>
      </c>
      <c r="H814">
        <v>5411816</v>
      </c>
      <c r="I814">
        <v>12</v>
      </c>
      <c r="J814" t="s">
        <v>319</v>
      </c>
      <c r="K814" t="str">
        <f>IFERROR(IF(AND(VLOOKUP($C814,Hes!$A:$B, 1, FALSE), $M814&lt;&gt;" "), "Ingresada", "Falta Ingresar"), " ")</f>
        <v xml:space="preserve"> </v>
      </c>
      <c r="L814" s="4" t="str">
        <f>IFERROR(VLOOKUP($C814,Observaciones!$A:$B,2,FALSE)," ")</f>
        <v>VENDEDOR ENVIA INFORME</v>
      </c>
      <c r="M814" t="s">
        <v>681</v>
      </c>
      <c r="O814" s="5">
        <v>30847746</v>
      </c>
      <c r="P814" s="5">
        <v>88420</v>
      </c>
      <c r="Q814" s="5">
        <v>16800</v>
      </c>
      <c r="R814" s="5">
        <v>105220</v>
      </c>
    </row>
    <row r="815" spans="1:18" x14ac:dyDescent="0.25">
      <c r="A815" t="s">
        <v>1003</v>
      </c>
      <c r="B815" t="s">
        <v>494</v>
      </c>
      <c r="C815">
        <v>70574900</v>
      </c>
      <c r="D815">
        <v>1148</v>
      </c>
      <c r="E815">
        <v>4200191010</v>
      </c>
      <c r="F815" t="s">
        <v>1004</v>
      </c>
      <c r="G815" s="1">
        <v>45234</v>
      </c>
      <c r="H815">
        <v>5411817</v>
      </c>
      <c r="I815">
        <v>12</v>
      </c>
      <c r="J815" t="s">
        <v>319</v>
      </c>
      <c r="K815" t="str">
        <f>IFERROR(IF(AND(VLOOKUP($C815,Hes!$A:$B, 1, FALSE), $M815&lt;&gt;" "), "Ingresada", "Falta Ingresar"), " ")</f>
        <v xml:space="preserve"> </v>
      </c>
      <c r="L815" s="4" t="str">
        <f>IFERROR(VLOOKUP($C815,Observaciones!$A:$B,2,FALSE)," ")</f>
        <v>VENDEDOR ENVIA INFORME</v>
      </c>
      <c r="M815" t="s">
        <v>681</v>
      </c>
      <c r="O815" s="5">
        <v>30845850</v>
      </c>
      <c r="P815" s="5">
        <v>68107</v>
      </c>
      <c r="Q815" s="5">
        <v>12940</v>
      </c>
      <c r="R815" s="5">
        <v>81047</v>
      </c>
    </row>
    <row r="816" spans="1:18" x14ac:dyDescent="0.25">
      <c r="A816" t="s">
        <v>1003</v>
      </c>
      <c r="B816" t="s">
        <v>494</v>
      </c>
      <c r="C816">
        <v>70574900</v>
      </c>
      <c r="D816">
        <v>1146</v>
      </c>
      <c r="E816">
        <v>4200191043</v>
      </c>
      <c r="F816" t="s">
        <v>1004</v>
      </c>
      <c r="G816" s="1">
        <v>45234</v>
      </c>
      <c r="H816">
        <v>5411821</v>
      </c>
      <c r="I816">
        <v>12</v>
      </c>
      <c r="J816" t="s">
        <v>319</v>
      </c>
      <c r="K816" t="str">
        <f>IFERROR(IF(AND(VLOOKUP($C816,Hes!$A:$B, 1, FALSE), $M816&lt;&gt;" "), "Ingresada", "Falta Ingresar"), " ")</f>
        <v xml:space="preserve"> </v>
      </c>
      <c r="L816" s="4" t="str">
        <f>IFERROR(VLOOKUP($C816,Observaciones!$A:$B,2,FALSE)," ")</f>
        <v>VENDEDOR ENVIA INFORME</v>
      </c>
      <c r="M816" t="s">
        <v>681</v>
      </c>
      <c r="O816" s="5">
        <v>30847526</v>
      </c>
      <c r="P816" s="5">
        <v>21005</v>
      </c>
      <c r="Q816" s="5">
        <v>3991</v>
      </c>
      <c r="R816" s="5">
        <v>24996</v>
      </c>
    </row>
    <row r="817" spans="1:18" x14ac:dyDescent="0.25">
      <c r="A817" t="s">
        <v>1003</v>
      </c>
      <c r="B817" t="s">
        <v>494</v>
      </c>
      <c r="C817">
        <v>70574900</v>
      </c>
      <c r="D817">
        <v>1114</v>
      </c>
      <c r="E817">
        <v>30848832</v>
      </c>
      <c r="F817" t="s">
        <v>1004</v>
      </c>
      <c r="G817" s="1">
        <v>45234</v>
      </c>
      <c r="H817">
        <v>5411823</v>
      </c>
      <c r="I817">
        <v>12</v>
      </c>
      <c r="J817" t="s">
        <v>319</v>
      </c>
      <c r="K817" t="str">
        <f>IFERROR(IF(AND(VLOOKUP($C817,Hes!$A:$B, 1, FALSE), $M817&lt;&gt;" "), "Ingresada", "Falta Ingresar"), " ")</f>
        <v xml:space="preserve"> </v>
      </c>
      <c r="L817" s="4" t="str">
        <f>IFERROR(VLOOKUP($C817,Observaciones!$A:$B,2,FALSE)," ")</f>
        <v>VENDEDOR ENVIA INFORME</v>
      </c>
      <c r="M817" t="s">
        <v>681</v>
      </c>
      <c r="O817" s="5">
        <v>30848832</v>
      </c>
      <c r="P817" s="5">
        <v>33623</v>
      </c>
      <c r="Q817" s="5">
        <v>6388</v>
      </c>
      <c r="R817" s="5">
        <v>40011</v>
      </c>
    </row>
    <row r="818" spans="1:18" x14ac:dyDescent="0.25">
      <c r="A818" t="s">
        <v>1003</v>
      </c>
      <c r="B818" t="s">
        <v>494</v>
      </c>
      <c r="C818">
        <v>70574900</v>
      </c>
      <c r="D818">
        <v>1109</v>
      </c>
      <c r="E818">
        <v>30848825</v>
      </c>
      <c r="F818" t="s">
        <v>1004</v>
      </c>
      <c r="G818" s="1">
        <v>45234</v>
      </c>
      <c r="H818">
        <v>5411824</v>
      </c>
      <c r="I818">
        <v>12</v>
      </c>
      <c r="J818" t="s">
        <v>319</v>
      </c>
      <c r="K818" t="str">
        <f>IFERROR(IF(AND(VLOOKUP($C818,Hes!$A:$B, 1, FALSE), $M818&lt;&gt;" "), "Ingresada", "Falta Ingresar"), " ")</f>
        <v xml:space="preserve"> </v>
      </c>
      <c r="L818" s="4" t="str">
        <f>IFERROR(VLOOKUP($C818,Observaciones!$A:$B,2,FALSE)," ")</f>
        <v>VENDEDOR ENVIA INFORME</v>
      </c>
      <c r="M818" t="s">
        <v>681</v>
      </c>
      <c r="O818" s="5">
        <v>30848825</v>
      </c>
      <c r="P818" s="5">
        <v>107787</v>
      </c>
      <c r="Q818" s="5">
        <v>20480</v>
      </c>
      <c r="R818" s="5">
        <v>128267</v>
      </c>
    </row>
    <row r="819" spans="1:18" x14ac:dyDescent="0.25">
      <c r="A819" t="s">
        <v>1003</v>
      </c>
      <c r="B819" t="s">
        <v>494</v>
      </c>
      <c r="C819">
        <v>70574900</v>
      </c>
      <c r="D819">
        <v>1104</v>
      </c>
      <c r="E819">
        <v>4200191043</v>
      </c>
      <c r="F819" t="s">
        <v>1004</v>
      </c>
      <c r="G819" s="1">
        <v>45234</v>
      </c>
      <c r="H819">
        <v>5411825</v>
      </c>
      <c r="I819">
        <v>12</v>
      </c>
      <c r="J819" t="s">
        <v>319</v>
      </c>
      <c r="K819" t="str">
        <f>IFERROR(IF(AND(VLOOKUP($C819,Hes!$A:$B, 1, FALSE), $M819&lt;&gt;" "), "Ingresada", "Falta Ingresar"), " ")</f>
        <v xml:space="preserve"> </v>
      </c>
      <c r="L819" s="4" t="str">
        <f>IFERROR(VLOOKUP($C819,Observaciones!$A:$B,2,FALSE)," ")</f>
        <v>VENDEDOR ENVIA INFORME</v>
      </c>
      <c r="M819" t="s">
        <v>681</v>
      </c>
      <c r="O819" s="5">
        <v>30848310</v>
      </c>
      <c r="P819" s="5">
        <v>152024</v>
      </c>
      <c r="Q819" s="5">
        <v>28885</v>
      </c>
      <c r="R819" s="5">
        <v>180909</v>
      </c>
    </row>
    <row r="820" spans="1:18" x14ac:dyDescent="0.25">
      <c r="A820" t="s">
        <v>1003</v>
      </c>
      <c r="B820" t="s">
        <v>494</v>
      </c>
      <c r="C820">
        <v>70574900</v>
      </c>
      <c r="D820">
        <v>1109</v>
      </c>
      <c r="E820">
        <v>30848831</v>
      </c>
      <c r="F820" t="s">
        <v>1004</v>
      </c>
      <c r="G820" s="1">
        <v>45234</v>
      </c>
      <c r="H820">
        <v>5411827</v>
      </c>
      <c r="I820">
        <v>12</v>
      </c>
      <c r="J820" t="s">
        <v>319</v>
      </c>
      <c r="K820" t="str">
        <f>IFERROR(IF(AND(VLOOKUP($C820,Hes!$A:$B, 1, FALSE), $M820&lt;&gt;" "), "Ingresada", "Falta Ingresar"), " ")</f>
        <v xml:space="preserve"> </v>
      </c>
      <c r="L820" s="4" t="str">
        <f>IFERROR(VLOOKUP($C820,Observaciones!$A:$B,2,FALSE)," ")</f>
        <v>VENDEDOR ENVIA INFORME</v>
      </c>
      <c r="M820" t="s">
        <v>681</v>
      </c>
      <c r="O820" s="5">
        <v>30848831</v>
      </c>
      <c r="P820" s="5">
        <v>31842</v>
      </c>
      <c r="Q820" s="5">
        <v>6050</v>
      </c>
      <c r="R820" s="5">
        <v>37892</v>
      </c>
    </row>
    <row r="821" spans="1:18" x14ac:dyDescent="0.25">
      <c r="A821" t="s">
        <v>1003</v>
      </c>
      <c r="B821" t="s">
        <v>494</v>
      </c>
      <c r="C821">
        <v>70574900</v>
      </c>
      <c r="D821">
        <v>1144</v>
      </c>
      <c r="E821">
        <v>4200191043</v>
      </c>
      <c r="F821" t="s">
        <v>1004</v>
      </c>
      <c r="G821" s="1">
        <v>45234</v>
      </c>
      <c r="H821">
        <v>5411829</v>
      </c>
      <c r="I821">
        <v>12</v>
      </c>
      <c r="J821" t="s">
        <v>319</v>
      </c>
      <c r="K821" t="str">
        <f>IFERROR(IF(AND(VLOOKUP($C821,Hes!$A:$B, 1, FALSE), $M821&lt;&gt;" "), "Ingresada", "Falta Ingresar"), " ")</f>
        <v xml:space="preserve"> </v>
      </c>
      <c r="L821" s="4" t="str">
        <f>IFERROR(VLOOKUP($C821,Observaciones!$A:$B,2,FALSE)," ")</f>
        <v>VENDEDOR ENVIA INFORME</v>
      </c>
      <c r="M821" t="s">
        <v>681</v>
      </c>
      <c r="O821" s="5">
        <v>30847512</v>
      </c>
      <c r="P821" s="5">
        <v>154543</v>
      </c>
      <c r="Q821" s="5">
        <v>29363</v>
      </c>
      <c r="R821" s="5">
        <v>183906</v>
      </c>
    </row>
    <row r="822" spans="1:18" x14ac:dyDescent="0.25">
      <c r="A822" t="s">
        <v>1003</v>
      </c>
      <c r="B822" t="s">
        <v>494</v>
      </c>
      <c r="C822">
        <v>70574900</v>
      </c>
      <c r="D822">
        <v>1114</v>
      </c>
      <c r="E822">
        <v>30848837</v>
      </c>
      <c r="F822" t="s">
        <v>1004</v>
      </c>
      <c r="G822" s="1">
        <v>45234</v>
      </c>
      <c r="H822">
        <v>5411833</v>
      </c>
      <c r="I822">
        <v>12</v>
      </c>
      <c r="J822" t="s">
        <v>319</v>
      </c>
      <c r="K822" t="str">
        <f>IFERROR(IF(AND(VLOOKUP($C822,Hes!$A:$B, 1, FALSE), $M822&lt;&gt;" "), "Ingresada", "Falta Ingresar"), " ")</f>
        <v xml:space="preserve"> </v>
      </c>
      <c r="L822" s="4" t="str">
        <f>IFERROR(VLOOKUP($C822,Observaciones!$A:$B,2,FALSE)," ")</f>
        <v>VENDEDOR ENVIA INFORME</v>
      </c>
      <c r="M822" t="s">
        <v>681</v>
      </c>
      <c r="O822" s="5">
        <v>30848837</v>
      </c>
      <c r="P822" s="5">
        <v>83809</v>
      </c>
      <c r="Q822" s="5">
        <v>15924</v>
      </c>
      <c r="R822" s="5">
        <v>99733</v>
      </c>
    </row>
    <row r="823" spans="1:18" x14ac:dyDescent="0.25">
      <c r="A823" t="s">
        <v>1003</v>
      </c>
      <c r="B823" t="s">
        <v>494</v>
      </c>
      <c r="C823">
        <v>70574900</v>
      </c>
      <c r="D823">
        <v>1108</v>
      </c>
      <c r="E823">
        <v>30848822</v>
      </c>
      <c r="F823" t="s">
        <v>1004</v>
      </c>
      <c r="G823" s="1">
        <v>45234</v>
      </c>
      <c r="H823">
        <v>5411834</v>
      </c>
      <c r="I823">
        <v>12</v>
      </c>
      <c r="J823" t="s">
        <v>319</v>
      </c>
      <c r="K823" t="str">
        <f>IFERROR(IF(AND(VLOOKUP($C823,Hes!$A:$B, 1, FALSE), $M823&lt;&gt;" "), "Ingresada", "Falta Ingresar"), " ")</f>
        <v xml:space="preserve"> </v>
      </c>
      <c r="L823" s="4" t="str">
        <f>IFERROR(VLOOKUP($C823,Observaciones!$A:$B,2,FALSE)," ")</f>
        <v>VENDEDOR ENVIA INFORME</v>
      </c>
      <c r="M823" t="s">
        <v>681</v>
      </c>
      <c r="O823" s="5">
        <v>30848822</v>
      </c>
      <c r="P823" s="5">
        <v>83951</v>
      </c>
      <c r="Q823" s="5">
        <v>15951</v>
      </c>
      <c r="R823" s="5">
        <v>99902</v>
      </c>
    </row>
    <row r="824" spans="1:18" x14ac:dyDescent="0.25">
      <c r="A824" t="s">
        <v>1003</v>
      </c>
      <c r="B824" t="s">
        <v>494</v>
      </c>
      <c r="C824">
        <v>70574900</v>
      </c>
      <c r="D824">
        <v>1107</v>
      </c>
      <c r="E824">
        <v>30848303</v>
      </c>
      <c r="F824" t="s">
        <v>1004</v>
      </c>
      <c r="G824" s="1">
        <v>45234</v>
      </c>
      <c r="H824">
        <v>5411839</v>
      </c>
      <c r="I824">
        <v>12</v>
      </c>
      <c r="J824" t="s">
        <v>319</v>
      </c>
      <c r="K824" t="str">
        <f>IFERROR(IF(AND(VLOOKUP($C824,Hes!$A:$B, 1, FALSE), $M824&lt;&gt;" "), "Ingresada", "Falta Ingresar"), " ")</f>
        <v xml:space="preserve"> </v>
      </c>
      <c r="L824" s="4" t="str">
        <f>IFERROR(VLOOKUP($C824,Observaciones!$A:$B,2,FALSE)," ")</f>
        <v>VENDEDOR ENVIA INFORME</v>
      </c>
      <c r="M824" t="s">
        <v>681</v>
      </c>
      <c r="O824" s="5">
        <v>30848303</v>
      </c>
      <c r="P824" s="5">
        <v>167822</v>
      </c>
      <c r="Q824" s="5">
        <v>31886</v>
      </c>
      <c r="R824" s="5">
        <v>199708</v>
      </c>
    </row>
    <row r="825" spans="1:18" x14ac:dyDescent="0.25">
      <c r="A825" t="s">
        <v>1003</v>
      </c>
      <c r="B825" t="s">
        <v>494</v>
      </c>
      <c r="C825">
        <v>70574900</v>
      </c>
      <c r="D825">
        <v>1107</v>
      </c>
      <c r="E825">
        <v>30848455</v>
      </c>
      <c r="F825" t="s">
        <v>1004</v>
      </c>
      <c r="G825" s="1">
        <v>45234</v>
      </c>
      <c r="H825">
        <v>5411840</v>
      </c>
      <c r="I825">
        <v>12</v>
      </c>
      <c r="J825" t="s">
        <v>319</v>
      </c>
      <c r="K825" t="str">
        <f>IFERROR(IF(AND(VLOOKUP($C825,Hes!$A:$B, 1, FALSE), $M825&lt;&gt;" "), "Ingresada", "Falta Ingresar"), " ")</f>
        <v xml:space="preserve"> </v>
      </c>
      <c r="L825" s="4" t="str">
        <f>IFERROR(VLOOKUP($C825,Observaciones!$A:$B,2,FALSE)," ")</f>
        <v>VENDEDOR ENVIA INFORME</v>
      </c>
      <c r="M825" t="s">
        <v>681</v>
      </c>
      <c r="O825" s="5">
        <v>30848455</v>
      </c>
      <c r="P825" s="5">
        <v>83816</v>
      </c>
      <c r="Q825" s="5">
        <v>15925</v>
      </c>
      <c r="R825" s="5">
        <v>99741</v>
      </c>
    </row>
    <row r="826" spans="1:18" x14ac:dyDescent="0.25">
      <c r="A826" t="s">
        <v>1003</v>
      </c>
      <c r="B826" t="s">
        <v>494</v>
      </c>
      <c r="C826">
        <v>70574900</v>
      </c>
      <c r="D826">
        <v>1106</v>
      </c>
      <c r="E826">
        <v>30848530</v>
      </c>
      <c r="F826" t="s">
        <v>1004</v>
      </c>
      <c r="G826" s="1">
        <v>45234</v>
      </c>
      <c r="H826">
        <v>5411842</v>
      </c>
      <c r="I826">
        <v>12</v>
      </c>
      <c r="J826" t="s">
        <v>319</v>
      </c>
      <c r="K826" t="str">
        <f>IFERROR(IF(AND(VLOOKUP($C826,Hes!$A:$B, 1, FALSE), $M826&lt;&gt;" "), "Ingresada", "Falta Ingresar"), " ")</f>
        <v xml:space="preserve"> </v>
      </c>
      <c r="L826" s="4" t="str">
        <f>IFERROR(VLOOKUP($C826,Observaciones!$A:$B,2,FALSE)," ")</f>
        <v>VENDEDOR ENVIA INFORME</v>
      </c>
      <c r="M826" t="s">
        <v>681</v>
      </c>
      <c r="O826" s="5">
        <v>30848530</v>
      </c>
      <c r="P826" s="5">
        <v>67246</v>
      </c>
      <c r="Q826" s="5">
        <v>12777</v>
      </c>
      <c r="R826" s="5">
        <v>80023</v>
      </c>
    </row>
    <row r="827" spans="1:18" x14ac:dyDescent="0.25">
      <c r="A827" t="s">
        <v>1003</v>
      </c>
      <c r="B827" t="s">
        <v>494</v>
      </c>
      <c r="C827">
        <v>70574900</v>
      </c>
      <c r="D827">
        <v>1106</v>
      </c>
      <c r="E827">
        <v>30848813</v>
      </c>
      <c r="F827" t="s">
        <v>1004</v>
      </c>
      <c r="G827" s="1">
        <v>45234</v>
      </c>
      <c r="H827">
        <v>5411843</v>
      </c>
      <c r="I827">
        <v>12</v>
      </c>
      <c r="J827" t="s">
        <v>319</v>
      </c>
      <c r="K827" t="str">
        <f>IFERROR(IF(AND(VLOOKUP($C827,Hes!$A:$B, 1, FALSE), $M827&lt;&gt;" "), "Ingresada", "Falta Ingresar"), " ")</f>
        <v xml:space="preserve"> </v>
      </c>
      <c r="L827" s="4" t="str">
        <f>IFERROR(VLOOKUP($C827,Observaciones!$A:$B,2,FALSE)," ")</f>
        <v>VENDEDOR ENVIA INFORME</v>
      </c>
      <c r="M827" t="s">
        <v>681</v>
      </c>
      <c r="O827" s="5">
        <v>30848813</v>
      </c>
      <c r="P827" s="5">
        <v>83894</v>
      </c>
      <c r="Q827" s="5">
        <v>15940</v>
      </c>
      <c r="R827" s="5">
        <v>99834</v>
      </c>
    </row>
    <row r="828" spans="1:18" x14ac:dyDescent="0.25">
      <c r="A828" t="s">
        <v>1003</v>
      </c>
      <c r="B828" t="s">
        <v>494</v>
      </c>
      <c r="C828">
        <v>70574900</v>
      </c>
      <c r="D828">
        <v>1116</v>
      </c>
      <c r="E828">
        <v>4200191043</v>
      </c>
      <c r="F828" t="s">
        <v>1004</v>
      </c>
      <c r="G828" s="1">
        <v>45234</v>
      </c>
      <c r="H828">
        <v>5411852</v>
      </c>
      <c r="I828">
        <v>12</v>
      </c>
      <c r="J828" t="s">
        <v>319</v>
      </c>
      <c r="K828" t="str">
        <f>IFERROR(IF(AND(VLOOKUP($C828,Hes!$A:$B, 1, FALSE), $M828&lt;&gt;" "), "Ingresada", "Falta Ingresar"), " ")</f>
        <v xml:space="preserve"> </v>
      </c>
      <c r="L828" s="4" t="str">
        <f>IFERROR(VLOOKUP($C828,Observaciones!$A:$B,2,FALSE)," ")</f>
        <v>VENDEDOR ENVIA INFORME</v>
      </c>
      <c r="M828" t="s">
        <v>681</v>
      </c>
      <c r="O828" s="5">
        <v>30846317</v>
      </c>
      <c r="P828" s="5">
        <v>114107</v>
      </c>
      <c r="Q828" s="5">
        <v>21680</v>
      </c>
      <c r="R828" s="5">
        <v>135787</v>
      </c>
    </row>
    <row r="829" spans="1:18" x14ac:dyDescent="0.25">
      <c r="A829" t="s">
        <v>1003</v>
      </c>
      <c r="B829" t="s">
        <v>494</v>
      </c>
      <c r="C829">
        <v>70574900</v>
      </c>
      <c r="D829">
        <v>1110</v>
      </c>
      <c r="E829">
        <v>4200191043</v>
      </c>
      <c r="F829" t="s">
        <v>1004</v>
      </c>
      <c r="G829" s="1">
        <v>45234</v>
      </c>
      <c r="H829">
        <v>5411858</v>
      </c>
      <c r="I829">
        <v>12</v>
      </c>
      <c r="J829" t="s">
        <v>319</v>
      </c>
      <c r="K829" t="str">
        <f>IFERROR(IF(AND(VLOOKUP($C829,Hes!$A:$B, 1, FALSE), $M829&lt;&gt;" "), "Ingresada", "Falta Ingresar"), " ")</f>
        <v xml:space="preserve"> </v>
      </c>
      <c r="L829" s="4" t="str">
        <f>IFERROR(VLOOKUP($C829,Observaciones!$A:$B,2,FALSE)," ")</f>
        <v>VENDEDOR ENVIA INFORME</v>
      </c>
      <c r="M829" t="s">
        <v>681</v>
      </c>
      <c r="O829" s="5">
        <v>30847567</v>
      </c>
      <c r="P829" s="5">
        <v>75682</v>
      </c>
      <c r="Q829" s="5">
        <v>14380</v>
      </c>
      <c r="R829" s="5">
        <v>90062</v>
      </c>
    </row>
    <row r="830" spans="1:18" x14ac:dyDescent="0.25">
      <c r="A830" t="s">
        <v>1003</v>
      </c>
      <c r="B830" t="s">
        <v>494</v>
      </c>
      <c r="C830">
        <v>70574900</v>
      </c>
      <c r="D830">
        <v>1102</v>
      </c>
      <c r="E830">
        <v>30848282</v>
      </c>
      <c r="F830" t="s">
        <v>1004</v>
      </c>
      <c r="G830" s="1">
        <v>45234</v>
      </c>
      <c r="H830">
        <v>5411861</v>
      </c>
      <c r="I830">
        <v>12</v>
      </c>
      <c r="J830" t="s">
        <v>319</v>
      </c>
      <c r="K830" t="str">
        <f>IFERROR(IF(AND(VLOOKUP($C830,Hes!$A:$B, 1, FALSE), $M830&lt;&gt;" "), "Ingresada", "Falta Ingresar"), " ")</f>
        <v xml:space="preserve"> </v>
      </c>
      <c r="L830" s="4" t="str">
        <f>IFERROR(VLOOKUP($C830,Observaciones!$A:$B,2,FALSE)," ")</f>
        <v>VENDEDOR ENVIA INFORME</v>
      </c>
      <c r="M830" t="s">
        <v>681</v>
      </c>
      <c r="O830" s="5">
        <v>30848282</v>
      </c>
      <c r="P830" s="5">
        <v>48393</v>
      </c>
      <c r="Q830" s="5">
        <v>9195</v>
      </c>
      <c r="R830" s="5">
        <v>57588</v>
      </c>
    </row>
    <row r="831" spans="1:18" x14ac:dyDescent="0.25">
      <c r="A831" t="s">
        <v>1003</v>
      </c>
      <c r="B831" t="s">
        <v>494</v>
      </c>
      <c r="C831">
        <v>70574900</v>
      </c>
      <c r="D831">
        <v>1115</v>
      </c>
      <c r="E831">
        <v>30843766</v>
      </c>
      <c r="F831" t="s">
        <v>1004</v>
      </c>
      <c r="G831" s="1">
        <v>45234</v>
      </c>
      <c r="H831">
        <v>5411865</v>
      </c>
      <c r="I831">
        <v>12</v>
      </c>
      <c r="J831" t="s">
        <v>319</v>
      </c>
      <c r="K831" t="str">
        <f>IFERROR(IF(AND(VLOOKUP($C831,Hes!$A:$B, 1, FALSE), $M831&lt;&gt;" "), "Ingresada", "Falta Ingresar"), " ")</f>
        <v xml:space="preserve"> </v>
      </c>
      <c r="L831" s="4" t="str">
        <f>IFERROR(VLOOKUP($C831,Observaciones!$A:$B,2,FALSE)," ")</f>
        <v>VENDEDOR ENVIA INFORME</v>
      </c>
      <c r="M831" t="s">
        <v>681</v>
      </c>
      <c r="O831" s="5">
        <v>30843766</v>
      </c>
      <c r="P831" s="5">
        <v>92922</v>
      </c>
      <c r="Q831" s="5">
        <v>17655</v>
      </c>
      <c r="R831" s="5">
        <v>110577</v>
      </c>
    </row>
    <row r="832" spans="1:18" x14ac:dyDescent="0.25">
      <c r="A832" t="s">
        <v>1003</v>
      </c>
      <c r="B832" t="s">
        <v>494</v>
      </c>
      <c r="C832">
        <v>70574900</v>
      </c>
      <c r="D832">
        <v>1115</v>
      </c>
      <c r="E832">
        <v>30847551</v>
      </c>
      <c r="F832" t="s">
        <v>1004</v>
      </c>
      <c r="G832" s="1">
        <v>45234</v>
      </c>
      <c r="H832">
        <v>5411866</v>
      </c>
      <c r="I832">
        <v>12</v>
      </c>
      <c r="J832" t="s">
        <v>319</v>
      </c>
      <c r="K832" t="str">
        <f>IFERROR(IF(AND(VLOOKUP($C832,Hes!$A:$B, 1, FALSE), $M832&lt;&gt;" "), "Ingresada", "Falta Ingresar"), " ")</f>
        <v xml:space="preserve"> </v>
      </c>
      <c r="L832" s="4" t="str">
        <f>IFERROR(VLOOKUP($C832,Observaciones!$A:$B,2,FALSE)," ")</f>
        <v>VENDEDOR ENVIA INFORME</v>
      </c>
      <c r="M832" t="s">
        <v>681</v>
      </c>
      <c r="O832" s="5">
        <v>30847551</v>
      </c>
      <c r="P832" s="5">
        <v>82387</v>
      </c>
      <c r="Q832" s="5">
        <v>15654</v>
      </c>
      <c r="R832" s="5">
        <v>98041</v>
      </c>
    </row>
    <row r="833" spans="1:18" x14ac:dyDescent="0.25">
      <c r="A833" t="s">
        <v>1003</v>
      </c>
      <c r="B833" t="s">
        <v>494</v>
      </c>
      <c r="C833">
        <v>70574900</v>
      </c>
      <c r="D833">
        <v>1126</v>
      </c>
      <c r="E833">
        <v>30846858</v>
      </c>
      <c r="F833" t="s">
        <v>1004</v>
      </c>
      <c r="G833" s="1">
        <v>45234</v>
      </c>
      <c r="H833">
        <v>5411886</v>
      </c>
      <c r="I833">
        <v>12</v>
      </c>
      <c r="J833" t="s">
        <v>319</v>
      </c>
      <c r="K833" t="str">
        <f>IFERROR(IF(AND(VLOOKUP($C833,Hes!$A:$B, 1, FALSE), $M833&lt;&gt;" "), "Ingresada", "Falta Ingresar"), " ")</f>
        <v xml:space="preserve"> </v>
      </c>
      <c r="L833" s="4" t="str">
        <f>IFERROR(VLOOKUP($C833,Observaciones!$A:$B,2,FALSE)," ")</f>
        <v>VENDEDOR ENVIA INFORME</v>
      </c>
      <c r="M833" t="s">
        <v>681</v>
      </c>
      <c r="O833" s="5">
        <v>30846858</v>
      </c>
      <c r="P833" s="5">
        <v>121102</v>
      </c>
      <c r="Q833" s="5">
        <v>23009</v>
      </c>
      <c r="R833" s="5">
        <v>144111</v>
      </c>
    </row>
    <row r="834" spans="1:18" x14ac:dyDescent="0.25">
      <c r="A834" t="s">
        <v>1003</v>
      </c>
      <c r="B834" t="s">
        <v>494</v>
      </c>
      <c r="C834">
        <v>70574900</v>
      </c>
      <c r="D834">
        <v>1125</v>
      </c>
      <c r="E834">
        <v>30846890</v>
      </c>
      <c r="F834" t="s">
        <v>1004</v>
      </c>
      <c r="G834" s="1">
        <v>45234</v>
      </c>
      <c r="H834">
        <v>5411887</v>
      </c>
      <c r="I834">
        <v>12</v>
      </c>
      <c r="J834" t="s">
        <v>319</v>
      </c>
      <c r="K834" t="str">
        <f>IFERROR(IF(AND(VLOOKUP($C834,Hes!$A:$B, 1, FALSE), $M834&lt;&gt;" "), "Ingresada", "Falta Ingresar"), " ")</f>
        <v xml:space="preserve"> </v>
      </c>
      <c r="L834" s="4" t="str">
        <f>IFERROR(VLOOKUP($C834,Observaciones!$A:$B,2,FALSE)," ")</f>
        <v>VENDEDOR ENVIA INFORME</v>
      </c>
      <c r="M834" t="s">
        <v>681</v>
      </c>
      <c r="O834" s="5">
        <v>30846890</v>
      </c>
      <c r="P834" s="5">
        <v>67246</v>
      </c>
      <c r="Q834" s="5">
        <v>12777</v>
      </c>
      <c r="R834" s="5">
        <v>80023</v>
      </c>
    </row>
    <row r="835" spans="1:18" x14ac:dyDescent="0.25">
      <c r="A835" t="s">
        <v>1003</v>
      </c>
      <c r="B835" t="s">
        <v>494</v>
      </c>
      <c r="C835">
        <v>70574900</v>
      </c>
      <c r="D835">
        <v>1126</v>
      </c>
      <c r="E835">
        <v>30843453</v>
      </c>
      <c r="F835" t="s">
        <v>1004</v>
      </c>
      <c r="G835" s="1">
        <v>45234</v>
      </c>
      <c r="H835">
        <v>5411888</v>
      </c>
      <c r="I835">
        <v>12</v>
      </c>
      <c r="J835" t="s">
        <v>319</v>
      </c>
      <c r="K835" t="str">
        <f>IFERROR(IF(AND(VLOOKUP($C835,Hes!$A:$B, 1, FALSE), $M835&lt;&gt;" "), "Ingresada", "Falta Ingresar"), " ")</f>
        <v xml:space="preserve"> </v>
      </c>
      <c r="L835" s="4" t="str">
        <f>IFERROR(VLOOKUP($C835,Observaciones!$A:$B,2,FALSE)," ")</f>
        <v>VENDEDOR ENVIA INFORME</v>
      </c>
      <c r="M835" t="s">
        <v>681</v>
      </c>
      <c r="O835" s="5">
        <v>30843453</v>
      </c>
      <c r="P835" s="5">
        <v>25490</v>
      </c>
      <c r="Q835" s="5">
        <v>4843</v>
      </c>
      <c r="R835" s="5">
        <v>30333</v>
      </c>
    </row>
    <row r="836" spans="1:18" x14ac:dyDescent="0.25">
      <c r="A836" t="s">
        <v>1003</v>
      </c>
      <c r="B836" t="s">
        <v>494</v>
      </c>
      <c r="C836">
        <v>70574900</v>
      </c>
      <c r="D836">
        <v>1126</v>
      </c>
      <c r="E836">
        <v>30844123</v>
      </c>
      <c r="F836" t="s">
        <v>1004</v>
      </c>
      <c r="G836" s="1">
        <v>45234</v>
      </c>
      <c r="H836">
        <v>5411889</v>
      </c>
      <c r="I836">
        <v>12</v>
      </c>
      <c r="J836" t="s">
        <v>319</v>
      </c>
      <c r="K836" t="str">
        <f>IFERROR(IF(AND(VLOOKUP($C836,Hes!$A:$B, 1, FALSE), $M836&lt;&gt;" "), "Ingresada", "Falta Ingresar"), " ")</f>
        <v xml:space="preserve"> </v>
      </c>
      <c r="L836" s="4" t="str">
        <f>IFERROR(VLOOKUP($C836,Observaciones!$A:$B,2,FALSE)," ")</f>
        <v>VENDEDOR ENVIA INFORME</v>
      </c>
      <c r="M836" t="s">
        <v>681</v>
      </c>
      <c r="O836" s="5">
        <v>30844123</v>
      </c>
      <c r="P836" s="5">
        <v>832922</v>
      </c>
      <c r="Q836" s="5">
        <v>158255</v>
      </c>
      <c r="R836" s="5">
        <v>991177</v>
      </c>
    </row>
    <row r="837" spans="1:18" x14ac:dyDescent="0.25">
      <c r="A837" t="s">
        <v>1003</v>
      </c>
      <c r="B837" t="s">
        <v>494</v>
      </c>
      <c r="C837">
        <v>70574900</v>
      </c>
      <c r="D837">
        <v>1125</v>
      </c>
      <c r="E837">
        <v>30844241</v>
      </c>
      <c r="F837" t="s">
        <v>1004</v>
      </c>
      <c r="G837" s="1">
        <v>45234</v>
      </c>
      <c r="H837">
        <v>5411890</v>
      </c>
      <c r="I837">
        <v>12</v>
      </c>
      <c r="J837" t="s">
        <v>319</v>
      </c>
      <c r="K837" t="str">
        <f>IFERROR(IF(AND(VLOOKUP($C837,Hes!$A:$B, 1, FALSE), $M837&lt;&gt;" "), "Ingresada", "Falta Ingresar"), " ")</f>
        <v xml:space="preserve"> </v>
      </c>
      <c r="L837" s="4" t="str">
        <f>IFERROR(VLOOKUP($C837,Observaciones!$A:$B,2,FALSE)," ")</f>
        <v>VENDEDOR ENVIA INFORME</v>
      </c>
      <c r="M837" t="s">
        <v>681</v>
      </c>
      <c r="O837" s="5">
        <v>30844241</v>
      </c>
      <c r="P837" s="5">
        <v>629440</v>
      </c>
      <c r="Q837" s="5">
        <v>119594</v>
      </c>
      <c r="R837" s="5">
        <v>749034</v>
      </c>
    </row>
    <row r="838" spans="1:18" x14ac:dyDescent="0.25">
      <c r="A838" t="s">
        <v>1003</v>
      </c>
      <c r="B838" t="s">
        <v>494</v>
      </c>
      <c r="C838">
        <v>70574900</v>
      </c>
      <c r="D838">
        <v>1126</v>
      </c>
      <c r="E838">
        <v>30846842</v>
      </c>
      <c r="F838" t="s">
        <v>1004</v>
      </c>
      <c r="G838" s="1">
        <v>45234</v>
      </c>
      <c r="H838">
        <v>5411891</v>
      </c>
      <c r="I838">
        <v>12</v>
      </c>
      <c r="J838" t="s">
        <v>319</v>
      </c>
      <c r="K838" t="str">
        <f>IFERROR(IF(AND(VLOOKUP($C838,Hes!$A:$B, 1, FALSE), $M838&lt;&gt;" "), "Ingresada", "Falta Ingresar"), " ")</f>
        <v xml:space="preserve"> </v>
      </c>
      <c r="L838" s="4" t="str">
        <f>IFERROR(VLOOKUP($C838,Observaciones!$A:$B,2,FALSE)," ")</f>
        <v>VENDEDOR ENVIA INFORME</v>
      </c>
      <c r="M838" t="s">
        <v>681</v>
      </c>
      <c r="O838" s="5">
        <v>30846842</v>
      </c>
      <c r="P838" s="5">
        <v>124809</v>
      </c>
      <c r="Q838" s="5">
        <v>23714</v>
      </c>
      <c r="R838" s="5">
        <v>148523</v>
      </c>
    </row>
    <row r="839" spans="1:18" x14ac:dyDescent="0.25">
      <c r="A839" t="s">
        <v>1003</v>
      </c>
      <c r="B839" t="s">
        <v>494</v>
      </c>
      <c r="C839">
        <v>70574900</v>
      </c>
      <c r="D839">
        <v>1125</v>
      </c>
      <c r="E839">
        <v>30847122</v>
      </c>
      <c r="F839" t="s">
        <v>1004</v>
      </c>
      <c r="G839" s="1">
        <v>45234</v>
      </c>
      <c r="H839">
        <v>5411892</v>
      </c>
      <c r="I839">
        <v>12</v>
      </c>
      <c r="J839" t="s">
        <v>319</v>
      </c>
      <c r="K839" t="str">
        <f>IFERROR(IF(AND(VLOOKUP($C839,Hes!$A:$B, 1, FALSE), $M839&lt;&gt;" "), "Ingresada", "Falta Ingresar"), " ")</f>
        <v xml:space="preserve"> </v>
      </c>
      <c r="L839" s="4" t="str">
        <f>IFERROR(VLOOKUP($C839,Observaciones!$A:$B,2,FALSE)," ")</f>
        <v>VENDEDOR ENVIA INFORME</v>
      </c>
      <c r="M839" t="s">
        <v>681</v>
      </c>
      <c r="O839" s="5">
        <v>30847122</v>
      </c>
      <c r="P839" s="5">
        <v>124442</v>
      </c>
      <c r="Q839" s="5">
        <v>23644</v>
      </c>
      <c r="R839" s="5">
        <v>148086</v>
      </c>
    </row>
    <row r="840" spans="1:18" x14ac:dyDescent="0.25">
      <c r="A840" t="s">
        <v>1003</v>
      </c>
      <c r="B840" t="s">
        <v>494</v>
      </c>
      <c r="C840">
        <v>70574900</v>
      </c>
      <c r="D840">
        <v>1125</v>
      </c>
      <c r="E840">
        <v>30843695</v>
      </c>
      <c r="F840" t="s">
        <v>1004</v>
      </c>
      <c r="G840" s="1">
        <v>45234</v>
      </c>
      <c r="H840">
        <v>5411893</v>
      </c>
      <c r="I840">
        <v>12</v>
      </c>
      <c r="J840" t="s">
        <v>319</v>
      </c>
      <c r="K840" t="str">
        <f>IFERROR(IF(AND(VLOOKUP($C840,Hes!$A:$B, 1, FALSE), $M840&lt;&gt;" "), "Ingresada", "Falta Ingresar"), " ")</f>
        <v xml:space="preserve"> </v>
      </c>
      <c r="L840" s="4" t="str">
        <f>IFERROR(VLOOKUP($C840,Observaciones!$A:$B,2,FALSE)," ")</f>
        <v>VENDEDOR ENVIA INFORME</v>
      </c>
      <c r="M840" t="s">
        <v>681</v>
      </c>
      <c r="O840" s="5">
        <v>30843695</v>
      </c>
      <c r="P840" s="5">
        <v>41498</v>
      </c>
      <c r="Q840" s="5">
        <v>7885</v>
      </c>
      <c r="R840" s="5">
        <v>49383</v>
      </c>
    </row>
    <row r="841" spans="1:18" x14ac:dyDescent="0.25">
      <c r="A841" t="s">
        <v>1003</v>
      </c>
      <c r="B841" t="s">
        <v>494</v>
      </c>
      <c r="C841">
        <v>70574900</v>
      </c>
      <c r="D841">
        <v>1115</v>
      </c>
      <c r="E841">
        <v>30844352</v>
      </c>
      <c r="F841" t="s">
        <v>1004</v>
      </c>
      <c r="G841" s="1">
        <v>45234</v>
      </c>
      <c r="H841">
        <v>5411894</v>
      </c>
      <c r="I841">
        <v>12</v>
      </c>
      <c r="J841" t="s">
        <v>319</v>
      </c>
      <c r="K841" t="str">
        <f>IFERROR(IF(AND(VLOOKUP($C841,Hes!$A:$B, 1, FALSE), $M841&lt;&gt;" "), "Ingresada", "Falta Ingresar"), " ")</f>
        <v xml:space="preserve"> </v>
      </c>
      <c r="L841" s="4" t="str">
        <f>IFERROR(VLOOKUP($C841,Observaciones!$A:$B,2,FALSE)," ")</f>
        <v>VENDEDOR ENVIA INFORME</v>
      </c>
      <c r="M841" t="s">
        <v>681</v>
      </c>
      <c r="O841" s="5">
        <v>30844352</v>
      </c>
      <c r="P841" s="5">
        <v>256140</v>
      </c>
      <c r="Q841" s="5">
        <v>48667</v>
      </c>
      <c r="R841" s="5">
        <v>304807</v>
      </c>
    </row>
    <row r="842" spans="1:18" x14ac:dyDescent="0.25">
      <c r="A842" t="s">
        <v>1003</v>
      </c>
      <c r="B842" t="s">
        <v>494</v>
      </c>
      <c r="C842">
        <v>70574900</v>
      </c>
      <c r="D842">
        <v>1124</v>
      </c>
      <c r="E842">
        <v>4200191043</v>
      </c>
      <c r="F842" t="s">
        <v>1004</v>
      </c>
      <c r="G842" s="1">
        <v>45236</v>
      </c>
      <c r="H842">
        <v>5411975</v>
      </c>
      <c r="I842">
        <v>12</v>
      </c>
      <c r="J842" t="s">
        <v>319</v>
      </c>
      <c r="K842" t="str">
        <f>IFERROR(IF(AND(VLOOKUP($C842,Hes!$A:$B, 1, FALSE), $M842&lt;&gt;" "), "Ingresada", "Falta Ingresar"), " ")</f>
        <v xml:space="preserve"> </v>
      </c>
      <c r="L842" s="4" t="str">
        <f>IFERROR(VLOOKUP($C842,Observaciones!$A:$B,2,FALSE)," ")</f>
        <v>VENDEDOR ENVIA INFORME</v>
      </c>
      <c r="M842" t="s">
        <v>681</v>
      </c>
      <c r="O842" s="5">
        <v>30846731</v>
      </c>
      <c r="P842" s="5">
        <v>73551</v>
      </c>
      <c r="Q842" s="5">
        <v>13975</v>
      </c>
      <c r="R842" s="5">
        <v>87526</v>
      </c>
    </row>
    <row r="843" spans="1:18" x14ac:dyDescent="0.25">
      <c r="A843" t="s">
        <v>1003</v>
      </c>
      <c r="B843" t="s">
        <v>494</v>
      </c>
      <c r="C843">
        <v>70574900</v>
      </c>
      <c r="D843">
        <v>1148</v>
      </c>
      <c r="E843">
        <v>30850735</v>
      </c>
      <c r="F843" t="s">
        <v>1004</v>
      </c>
      <c r="G843" s="1">
        <v>45234</v>
      </c>
      <c r="H843">
        <v>5412167</v>
      </c>
      <c r="I843">
        <v>12</v>
      </c>
      <c r="J843" t="s">
        <v>319</v>
      </c>
      <c r="K843" t="str">
        <f>IFERROR(IF(AND(VLOOKUP($C843,Hes!$A:$B, 1, FALSE), $M843&lt;&gt;" "), "Ingresada", "Falta Ingresar"), " ")</f>
        <v xml:space="preserve"> </v>
      </c>
      <c r="L843" s="4" t="str">
        <f>IFERROR(VLOOKUP($C843,Observaciones!$A:$B,2,FALSE)," ")</f>
        <v>VENDEDOR ENVIA INFORME</v>
      </c>
      <c r="M843" t="s">
        <v>681</v>
      </c>
      <c r="O843" s="5">
        <v>30850735</v>
      </c>
      <c r="P843" s="5">
        <v>355798</v>
      </c>
      <c r="Q843" s="5">
        <v>67602</v>
      </c>
      <c r="R843" s="5">
        <v>423400</v>
      </c>
    </row>
    <row r="844" spans="1:18" x14ac:dyDescent="0.25">
      <c r="A844" t="s">
        <v>1003</v>
      </c>
      <c r="B844" t="s">
        <v>494</v>
      </c>
      <c r="C844">
        <v>70574900</v>
      </c>
      <c r="D844">
        <v>1140</v>
      </c>
      <c r="E844">
        <v>30850648</v>
      </c>
      <c r="F844" t="s">
        <v>1004</v>
      </c>
      <c r="G844" s="1">
        <v>45234</v>
      </c>
      <c r="H844">
        <v>5412175</v>
      </c>
      <c r="I844">
        <v>12</v>
      </c>
      <c r="J844" t="s">
        <v>319</v>
      </c>
      <c r="K844" t="str">
        <f>IFERROR(IF(AND(VLOOKUP($C844,Hes!$A:$B, 1, FALSE), $M844&lt;&gt;" "), "Ingresada", "Falta Ingresar"), " ")</f>
        <v xml:space="preserve"> </v>
      </c>
      <c r="L844" s="4" t="str">
        <f>IFERROR(VLOOKUP($C844,Observaciones!$A:$B,2,FALSE)," ")</f>
        <v>VENDEDOR ENVIA INFORME</v>
      </c>
      <c r="M844" t="s">
        <v>681</v>
      </c>
      <c r="O844" s="5">
        <v>30850648</v>
      </c>
      <c r="P844" s="5">
        <v>1182418</v>
      </c>
      <c r="Q844" s="5">
        <v>224659</v>
      </c>
      <c r="R844" s="5">
        <v>1407077</v>
      </c>
    </row>
    <row r="845" spans="1:18" x14ac:dyDescent="0.25">
      <c r="A845" t="s">
        <v>1003</v>
      </c>
      <c r="B845" t="s">
        <v>494</v>
      </c>
      <c r="C845">
        <v>70574900</v>
      </c>
      <c r="D845">
        <v>2372</v>
      </c>
      <c r="E845">
        <v>4200190457</v>
      </c>
      <c r="F845" t="s">
        <v>1004</v>
      </c>
      <c r="G845" s="1">
        <v>45233</v>
      </c>
      <c r="H845">
        <v>5412196</v>
      </c>
      <c r="I845">
        <v>12</v>
      </c>
      <c r="J845" t="s">
        <v>319</v>
      </c>
      <c r="K845" t="str">
        <f>IFERROR(IF(AND(VLOOKUP($C845,Hes!$A:$B, 1, FALSE), $M845&lt;&gt;" "), "Ingresada", "Falta Ingresar"), " ")</f>
        <v xml:space="preserve"> </v>
      </c>
      <c r="L845" s="4" t="str">
        <f>IFERROR(VLOOKUP($C845,Observaciones!$A:$B,2,FALSE)," ")</f>
        <v>VENDEDOR ENVIA INFORME</v>
      </c>
      <c r="M845" t="s">
        <v>681</v>
      </c>
      <c r="O845" s="5">
        <v>30850647</v>
      </c>
      <c r="P845" s="5">
        <v>174640</v>
      </c>
      <c r="Q845" s="5">
        <v>33182</v>
      </c>
      <c r="R845" s="5">
        <v>207822</v>
      </c>
    </row>
    <row r="846" spans="1:18" x14ac:dyDescent="0.25">
      <c r="A846" t="s">
        <v>1003</v>
      </c>
      <c r="B846" t="s">
        <v>494</v>
      </c>
      <c r="C846">
        <v>70574900</v>
      </c>
      <c r="D846">
        <v>2400</v>
      </c>
      <c r="E846">
        <v>4200190457</v>
      </c>
      <c r="F846" t="s">
        <v>1004</v>
      </c>
      <c r="G846" s="1">
        <v>45236</v>
      </c>
      <c r="H846">
        <v>5412373</v>
      </c>
      <c r="I846">
        <v>12</v>
      </c>
      <c r="J846" t="s">
        <v>319</v>
      </c>
      <c r="K846" t="str">
        <f>IFERROR(IF(AND(VLOOKUP($C846,Hes!$A:$B, 1, FALSE), $M846&lt;&gt;" "), "Ingresada", "Falta Ingresar"), " ")</f>
        <v xml:space="preserve"> </v>
      </c>
      <c r="L846" s="4" t="str">
        <f>IFERROR(VLOOKUP($C846,Observaciones!$A:$B,2,FALSE)," ")</f>
        <v>VENDEDOR ENVIA INFORME</v>
      </c>
      <c r="M846" t="s">
        <v>681</v>
      </c>
      <c r="O846" s="5">
        <v>30851118</v>
      </c>
      <c r="P846" s="5">
        <v>696374</v>
      </c>
      <c r="Q846" s="5">
        <v>132311</v>
      </c>
      <c r="R846" s="5">
        <v>828685</v>
      </c>
    </row>
    <row r="847" spans="1:18" x14ac:dyDescent="0.25">
      <c r="A847" t="s">
        <v>1003</v>
      </c>
      <c r="B847" t="s">
        <v>494</v>
      </c>
      <c r="C847">
        <v>70574900</v>
      </c>
      <c r="D847">
        <v>1101</v>
      </c>
      <c r="E847">
        <v>4200190557</v>
      </c>
      <c r="F847" t="s">
        <v>1004</v>
      </c>
      <c r="G847" s="1">
        <v>45234</v>
      </c>
      <c r="H847">
        <v>5412536</v>
      </c>
      <c r="I847">
        <v>12</v>
      </c>
      <c r="J847" t="s">
        <v>319</v>
      </c>
      <c r="K847" t="str">
        <f>IFERROR(IF(AND(VLOOKUP($C847,Hes!$A:$B, 1, FALSE), $M847&lt;&gt;" "), "Ingresada", "Falta Ingresar"), " ")</f>
        <v xml:space="preserve"> </v>
      </c>
      <c r="L847" s="4" t="str">
        <f>IFERROR(VLOOKUP($C847,Observaciones!$A:$B,2,FALSE)," ")</f>
        <v>VENDEDOR ENVIA INFORME</v>
      </c>
      <c r="M847" t="s">
        <v>681</v>
      </c>
      <c r="O847" s="5">
        <v>30850977</v>
      </c>
      <c r="P847" s="5">
        <v>474902</v>
      </c>
      <c r="Q847" s="5">
        <v>90231</v>
      </c>
      <c r="R847" s="5">
        <v>565133</v>
      </c>
    </row>
    <row r="848" spans="1:18" x14ac:dyDescent="0.25">
      <c r="A848" t="s">
        <v>1003</v>
      </c>
      <c r="B848" t="s">
        <v>494</v>
      </c>
      <c r="C848">
        <v>70574900</v>
      </c>
      <c r="D848">
        <v>318</v>
      </c>
      <c r="E848">
        <v>4200191487</v>
      </c>
      <c r="F848" t="s">
        <v>1004</v>
      </c>
      <c r="G848" s="1">
        <v>45235</v>
      </c>
      <c r="H848">
        <v>5412602</v>
      </c>
      <c r="I848">
        <v>12</v>
      </c>
      <c r="J848" t="s">
        <v>319</v>
      </c>
      <c r="K848" t="str">
        <f>IFERROR(IF(AND(VLOOKUP($C848,Hes!$A:$B, 1, FALSE), $M848&lt;&gt;" "), "Ingresada", "Falta Ingresar"), " ")</f>
        <v xml:space="preserve"> </v>
      </c>
      <c r="L848" s="4" t="str">
        <f>IFERROR(VLOOKUP($C848,Observaciones!$A:$B,2,FALSE)," ")</f>
        <v>VENDEDOR ENVIA INFORME</v>
      </c>
      <c r="M848" t="s">
        <v>681</v>
      </c>
      <c r="O848" s="5">
        <v>30852732</v>
      </c>
      <c r="P848" s="5">
        <v>912125</v>
      </c>
      <c r="Q848" s="5">
        <v>173304</v>
      </c>
      <c r="R848" s="5">
        <v>1085429</v>
      </c>
    </row>
    <row r="849" spans="1:18" x14ac:dyDescent="0.25">
      <c r="A849" t="s">
        <v>1003</v>
      </c>
      <c r="B849" t="s">
        <v>494</v>
      </c>
      <c r="C849">
        <v>70574900</v>
      </c>
      <c r="D849">
        <v>705</v>
      </c>
      <c r="E849">
        <v>4200190115</v>
      </c>
      <c r="F849" t="s">
        <v>1004</v>
      </c>
      <c r="G849" s="1">
        <v>45236</v>
      </c>
      <c r="H849">
        <v>5412672</v>
      </c>
      <c r="I849">
        <v>12</v>
      </c>
      <c r="J849" t="s">
        <v>319</v>
      </c>
      <c r="K849" t="str">
        <f>IFERROR(IF(AND(VLOOKUP($C849,Hes!$A:$B, 1, FALSE), $M849&lt;&gt;" "), "Ingresada", "Falta Ingresar"), " ")</f>
        <v xml:space="preserve"> </v>
      </c>
      <c r="L849" s="4" t="str">
        <f>IFERROR(VLOOKUP($C849,Observaciones!$A:$B,2,FALSE)," ")</f>
        <v>VENDEDOR ENVIA INFORME</v>
      </c>
      <c r="M849" t="s">
        <v>681</v>
      </c>
      <c r="O849" s="5">
        <v>30848305</v>
      </c>
      <c r="P849" s="5">
        <v>93113</v>
      </c>
      <c r="Q849" s="5">
        <v>17691</v>
      </c>
      <c r="R849" s="5">
        <v>110804</v>
      </c>
    </row>
    <row r="850" spans="1:18" x14ac:dyDescent="0.25">
      <c r="A850" t="s">
        <v>1003</v>
      </c>
      <c r="B850" t="s">
        <v>494</v>
      </c>
      <c r="C850">
        <v>70574900</v>
      </c>
      <c r="D850">
        <v>706</v>
      </c>
      <c r="E850">
        <v>4200190135</v>
      </c>
      <c r="F850" t="s">
        <v>1004</v>
      </c>
      <c r="G850" s="1">
        <v>45236</v>
      </c>
      <c r="H850">
        <v>5412673</v>
      </c>
      <c r="I850">
        <v>12</v>
      </c>
      <c r="J850" t="s">
        <v>319</v>
      </c>
      <c r="K850" t="str">
        <f>IFERROR(IF(AND(VLOOKUP($C850,Hes!$A:$B, 1, FALSE), $M850&lt;&gt;" "), "Ingresada", "Falta Ingresar"), " ")</f>
        <v xml:space="preserve"> </v>
      </c>
      <c r="L850" s="4" t="str">
        <f>IFERROR(VLOOKUP($C850,Observaciones!$A:$B,2,FALSE)," ")</f>
        <v>VENDEDOR ENVIA INFORME</v>
      </c>
      <c r="M850" t="s">
        <v>681</v>
      </c>
      <c r="O850" s="5">
        <v>30848058</v>
      </c>
      <c r="P850" s="5">
        <v>486821</v>
      </c>
      <c r="Q850" s="5">
        <v>92496</v>
      </c>
      <c r="R850" s="5">
        <v>579317</v>
      </c>
    </row>
    <row r="851" spans="1:18" x14ac:dyDescent="0.25">
      <c r="A851" t="s">
        <v>1003</v>
      </c>
      <c r="B851" t="s">
        <v>494</v>
      </c>
      <c r="C851">
        <v>70574900</v>
      </c>
      <c r="D851">
        <v>738</v>
      </c>
      <c r="E851">
        <v>4200190361</v>
      </c>
      <c r="F851" t="s">
        <v>1004</v>
      </c>
      <c r="G851" s="1">
        <v>45236</v>
      </c>
      <c r="H851">
        <v>5412728</v>
      </c>
      <c r="I851">
        <v>12</v>
      </c>
      <c r="J851" t="s">
        <v>319</v>
      </c>
      <c r="K851" t="str">
        <f>IFERROR(IF(AND(VLOOKUP($C851,Hes!$A:$B, 1, FALSE), $M851&lt;&gt;" "), "Ingresada", "Falta Ingresar"), " ")</f>
        <v xml:space="preserve"> </v>
      </c>
      <c r="L851" s="4" t="str">
        <f>IFERROR(VLOOKUP($C851,Observaciones!$A:$B,2,FALSE)," ")</f>
        <v>VENDEDOR ENVIA INFORME</v>
      </c>
      <c r="M851" t="s">
        <v>681</v>
      </c>
      <c r="O851" s="5">
        <v>30849436</v>
      </c>
      <c r="P851" s="5">
        <v>387479</v>
      </c>
      <c r="Q851" s="5">
        <v>73621</v>
      </c>
      <c r="R851" s="5">
        <v>461100</v>
      </c>
    </row>
    <row r="852" spans="1:18" x14ac:dyDescent="0.25">
      <c r="A852" t="s">
        <v>1003</v>
      </c>
      <c r="B852" t="s">
        <v>494</v>
      </c>
      <c r="C852">
        <v>70574900</v>
      </c>
      <c r="D852">
        <v>702</v>
      </c>
      <c r="E852">
        <v>4200190066</v>
      </c>
      <c r="F852" t="s">
        <v>1004</v>
      </c>
      <c r="G852" s="1">
        <v>45236</v>
      </c>
      <c r="H852">
        <v>5412731</v>
      </c>
      <c r="I852">
        <v>12</v>
      </c>
      <c r="J852" t="s">
        <v>319</v>
      </c>
      <c r="K852" t="str">
        <f>IFERROR(IF(AND(VLOOKUP($C852,Hes!$A:$B, 1, FALSE), $M852&lt;&gt;" "), "Ingresada", "Falta Ingresar"), " ")</f>
        <v xml:space="preserve"> </v>
      </c>
      <c r="L852" s="4" t="str">
        <f>IFERROR(VLOOKUP($C852,Observaciones!$A:$B,2,FALSE)," ")</f>
        <v>VENDEDOR ENVIA INFORME</v>
      </c>
      <c r="M852" t="s">
        <v>681</v>
      </c>
      <c r="O852" s="5">
        <v>30847974</v>
      </c>
      <c r="P852" s="5">
        <v>29528</v>
      </c>
      <c r="Q852" s="5">
        <v>5610</v>
      </c>
      <c r="R852" s="5">
        <v>35138</v>
      </c>
    </row>
    <row r="853" spans="1:18" x14ac:dyDescent="0.25">
      <c r="A853" t="s">
        <v>1003</v>
      </c>
      <c r="B853" t="s">
        <v>494</v>
      </c>
      <c r="C853">
        <v>70574900</v>
      </c>
      <c r="D853">
        <v>713</v>
      </c>
      <c r="E853">
        <v>4200190328</v>
      </c>
      <c r="F853" t="s">
        <v>1004</v>
      </c>
      <c r="G853" s="1">
        <v>45236</v>
      </c>
      <c r="H853">
        <v>5412754</v>
      </c>
      <c r="I853">
        <v>12</v>
      </c>
      <c r="J853" t="s">
        <v>319</v>
      </c>
      <c r="K853" t="str">
        <f>IFERROR(IF(AND(VLOOKUP($C853,Hes!$A:$B, 1, FALSE), $M853&lt;&gt;" "), "Ingresada", "Falta Ingresar"), " ")</f>
        <v xml:space="preserve"> </v>
      </c>
      <c r="L853" s="4" t="str">
        <f>IFERROR(VLOOKUP($C853,Observaciones!$A:$B,2,FALSE)," ")</f>
        <v>VENDEDOR ENVIA INFORME</v>
      </c>
      <c r="M853" t="s">
        <v>681</v>
      </c>
      <c r="O853" s="5">
        <v>30849090</v>
      </c>
      <c r="P853" s="5">
        <v>558328</v>
      </c>
      <c r="Q853" s="5">
        <v>106082</v>
      </c>
      <c r="R853" s="5">
        <v>664410</v>
      </c>
    </row>
    <row r="854" spans="1:18" x14ac:dyDescent="0.25">
      <c r="A854" t="s">
        <v>1003</v>
      </c>
      <c r="B854" t="s">
        <v>494</v>
      </c>
      <c r="C854">
        <v>70574900</v>
      </c>
      <c r="D854">
        <v>718</v>
      </c>
      <c r="E854">
        <v>4200190722</v>
      </c>
      <c r="F854" t="s">
        <v>1004</v>
      </c>
      <c r="G854" s="1">
        <v>45236</v>
      </c>
      <c r="H854">
        <v>5412766</v>
      </c>
      <c r="I854">
        <v>12</v>
      </c>
      <c r="J854" t="s">
        <v>319</v>
      </c>
      <c r="K854" t="str">
        <f>IFERROR(IF(AND(VLOOKUP($C854,Hes!$A:$B, 1, FALSE), $M854&lt;&gt;" "), "Ingresada", "Falta Ingresar"), " ")</f>
        <v xml:space="preserve"> </v>
      </c>
      <c r="L854" s="4" t="str">
        <f>IFERROR(VLOOKUP($C854,Observaciones!$A:$B,2,FALSE)," ")</f>
        <v>VENDEDOR ENVIA INFORME</v>
      </c>
      <c r="M854" t="s">
        <v>681</v>
      </c>
      <c r="O854" s="5">
        <v>30849391</v>
      </c>
      <c r="P854" s="5">
        <v>62016</v>
      </c>
      <c r="Q854" s="5">
        <v>11783</v>
      </c>
      <c r="R854" s="5">
        <v>73799</v>
      </c>
    </row>
    <row r="855" spans="1:18" x14ac:dyDescent="0.25">
      <c r="A855" t="s">
        <v>1003</v>
      </c>
      <c r="B855" t="s">
        <v>494</v>
      </c>
      <c r="C855">
        <v>70574900</v>
      </c>
      <c r="D855">
        <v>323</v>
      </c>
      <c r="E855">
        <v>4200191480</v>
      </c>
      <c r="F855" t="s">
        <v>1004</v>
      </c>
      <c r="G855" s="1">
        <v>45234</v>
      </c>
      <c r="H855">
        <v>5412804</v>
      </c>
      <c r="I855">
        <v>12</v>
      </c>
      <c r="J855" t="s">
        <v>319</v>
      </c>
      <c r="K855" t="str">
        <f>IFERROR(IF(AND(VLOOKUP($C855,Hes!$A:$B, 1, FALSE), $M855&lt;&gt;" "), "Ingresada", "Falta Ingresar"), " ")</f>
        <v xml:space="preserve"> </v>
      </c>
      <c r="L855" s="4" t="str">
        <f>IFERROR(VLOOKUP($C855,Observaciones!$A:$B,2,FALSE)," ")</f>
        <v>VENDEDOR ENVIA INFORME</v>
      </c>
      <c r="M855" t="s">
        <v>681</v>
      </c>
      <c r="O855" s="5">
        <v>30854348</v>
      </c>
      <c r="P855" s="5">
        <v>304575</v>
      </c>
      <c r="Q855" s="5">
        <v>57869</v>
      </c>
      <c r="R855" s="5">
        <v>362444</v>
      </c>
    </row>
    <row r="856" spans="1:18" x14ac:dyDescent="0.25">
      <c r="A856" t="s">
        <v>1003</v>
      </c>
      <c r="B856" t="s">
        <v>494</v>
      </c>
      <c r="C856">
        <v>70574900</v>
      </c>
      <c r="D856">
        <v>723</v>
      </c>
      <c r="E856">
        <v>4200190687</v>
      </c>
      <c r="F856" t="s">
        <v>1004</v>
      </c>
      <c r="G856" s="1">
        <v>45236</v>
      </c>
      <c r="H856">
        <v>5412805</v>
      </c>
      <c r="I856">
        <v>12</v>
      </c>
      <c r="J856" t="s">
        <v>319</v>
      </c>
      <c r="K856" t="str">
        <f>IFERROR(IF(AND(VLOOKUP($C856,Hes!$A:$B, 1, FALSE), $M856&lt;&gt;" "), "Ingresada", "Falta Ingresar"), " ")</f>
        <v xml:space="preserve"> </v>
      </c>
      <c r="L856" s="4" t="str">
        <f>IFERROR(VLOOKUP($C856,Observaciones!$A:$B,2,FALSE)," ")</f>
        <v>VENDEDOR ENVIA INFORME</v>
      </c>
      <c r="M856" t="s">
        <v>681</v>
      </c>
      <c r="O856" s="5">
        <v>30849607</v>
      </c>
      <c r="P856" s="5">
        <v>83293</v>
      </c>
      <c r="Q856" s="5">
        <v>15826</v>
      </c>
      <c r="R856" s="5">
        <v>99119</v>
      </c>
    </row>
    <row r="857" spans="1:18" x14ac:dyDescent="0.25">
      <c r="A857" t="s">
        <v>1003</v>
      </c>
      <c r="B857" t="s">
        <v>494</v>
      </c>
      <c r="C857">
        <v>70574900</v>
      </c>
      <c r="D857">
        <v>721</v>
      </c>
      <c r="E857">
        <v>4200190445</v>
      </c>
      <c r="F857" t="s">
        <v>1004</v>
      </c>
      <c r="G857" s="1">
        <v>45236</v>
      </c>
      <c r="H857">
        <v>5412806</v>
      </c>
      <c r="I857">
        <v>12</v>
      </c>
      <c r="J857" t="s">
        <v>319</v>
      </c>
      <c r="K857" t="str">
        <f>IFERROR(IF(AND(VLOOKUP($C857,Hes!$A:$B, 1, FALSE), $M857&lt;&gt;" "), "Ingresada", "Falta Ingresar"), " ")</f>
        <v xml:space="preserve"> </v>
      </c>
      <c r="L857" s="4" t="str">
        <f>IFERROR(VLOOKUP($C857,Observaciones!$A:$B,2,FALSE)," ")</f>
        <v>VENDEDOR ENVIA INFORME</v>
      </c>
      <c r="M857" t="s">
        <v>681</v>
      </c>
      <c r="O857" s="5">
        <v>30849503</v>
      </c>
      <c r="P857" s="5">
        <v>481222</v>
      </c>
      <c r="Q857" s="5">
        <v>91432</v>
      </c>
      <c r="R857" s="5">
        <v>572654</v>
      </c>
    </row>
    <row r="858" spans="1:18" x14ac:dyDescent="0.25">
      <c r="A858" t="s">
        <v>1003</v>
      </c>
      <c r="B858" t="s">
        <v>494</v>
      </c>
      <c r="C858">
        <v>70574900</v>
      </c>
      <c r="D858">
        <v>708</v>
      </c>
      <c r="E858">
        <v>4200190162</v>
      </c>
      <c r="F858" t="s">
        <v>1004</v>
      </c>
      <c r="G858" s="1">
        <v>45236</v>
      </c>
      <c r="H858">
        <v>5412825</v>
      </c>
      <c r="I858">
        <v>12</v>
      </c>
      <c r="J858" t="s">
        <v>319</v>
      </c>
      <c r="K858" t="str">
        <f>IFERROR(IF(AND(VLOOKUP($C858,Hes!$A:$B, 1, FALSE), $M858&lt;&gt;" "), "Ingresada", "Falta Ingresar"), " ")</f>
        <v xml:space="preserve"> </v>
      </c>
      <c r="L858" s="4" t="str">
        <f>IFERROR(VLOOKUP($C858,Observaciones!$A:$B,2,FALSE)," ")</f>
        <v>VENDEDOR ENVIA INFORME</v>
      </c>
      <c r="M858" t="s">
        <v>681</v>
      </c>
      <c r="O858" s="5">
        <v>30848115</v>
      </c>
      <c r="P858" s="5">
        <v>214618</v>
      </c>
      <c r="Q858" s="5">
        <v>40777</v>
      </c>
      <c r="R858" s="5">
        <v>255395</v>
      </c>
    </row>
    <row r="859" spans="1:18" x14ac:dyDescent="0.25">
      <c r="A859" t="s">
        <v>1003</v>
      </c>
      <c r="B859" t="s">
        <v>494</v>
      </c>
      <c r="C859">
        <v>70574900</v>
      </c>
      <c r="D859">
        <v>709</v>
      </c>
      <c r="E859">
        <v>4200190845</v>
      </c>
      <c r="F859" t="s">
        <v>1004</v>
      </c>
      <c r="G859" s="1">
        <v>45236</v>
      </c>
      <c r="H859">
        <v>5412828</v>
      </c>
      <c r="I859">
        <v>12</v>
      </c>
      <c r="J859" t="s">
        <v>319</v>
      </c>
      <c r="K859" t="str">
        <f>IFERROR(IF(AND(VLOOKUP($C859,Hes!$A:$B, 1, FALSE), $M859&lt;&gt;" "), "Ingresada", "Falta Ingresar"), " ")</f>
        <v xml:space="preserve"> </v>
      </c>
      <c r="L859" s="4" t="str">
        <f>IFERROR(VLOOKUP($C859,Observaciones!$A:$B,2,FALSE)," ")</f>
        <v>VENDEDOR ENVIA INFORME</v>
      </c>
      <c r="M859" t="s">
        <v>681</v>
      </c>
      <c r="O859" s="5">
        <v>30848607</v>
      </c>
      <c r="P859" s="5">
        <v>396073</v>
      </c>
      <c r="Q859" s="5">
        <v>75254</v>
      </c>
      <c r="R859" s="5">
        <v>471327</v>
      </c>
    </row>
    <row r="860" spans="1:18" x14ac:dyDescent="0.25">
      <c r="A860" t="s">
        <v>1003</v>
      </c>
      <c r="B860" t="s">
        <v>494</v>
      </c>
      <c r="C860">
        <v>70574900</v>
      </c>
      <c r="D860">
        <v>715</v>
      </c>
      <c r="E860">
        <v>4200190686</v>
      </c>
      <c r="F860" t="s">
        <v>1004</v>
      </c>
      <c r="G860" s="1">
        <v>45236</v>
      </c>
      <c r="H860">
        <v>5412829</v>
      </c>
      <c r="I860">
        <v>12</v>
      </c>
      <c r="J860" t="s">
        <v>319</v>
      </c>
      <c r="K860" t="str">
        <f>IFERROR(IF(AND(VLOOKUP($C860,Hes!$A:$B, 1, FALSE), $M860&lt;&gt;" "), "Ingresada", "Falta Ingresar"), " ")</f>
        <v xml:space="preserve"> </v>
      </c>
      <c r="L860" s="4" t="str">
        <f>IFERROR(VLOOKUP($C860,Observaciones!$A:$B,2,FALSE)," ")</f>
        <v>VENDEDOR ENVIA INFORME</v>
      </c>
      <c r="M860" t="s">
        <v>681</v>
      </c>
      <c r="O860" s="5">
        <v>30849210</v>
      </c>
      <c r="P860" s="5">
        <v>585703</v>
      </c>
      <c r="Q860" s="5">
        <v>111284</v>
      </c>
      <c r="R860" s="5">
        <v>696987</v>
      </c>
    </row>
    <row r="861" spans="1:18" x14ac:dyDescent="0.25">
      <c r="A861" t="s">
        <v>1003</v>
      </c>
      <c r="B861" t="s">
        <v>494</v>
      </c>
      <c r="C861">
        <v>70574900</v>
      </c>
      <c r="D861">
        <v>703</v>
      </c>
      <c r="E861">
        <v>4200191265</v>
      </c>
      <c r="F861" t="s">
        <v>1004</v>
      </c>
      <c r="G861" s="1">
        <v>45236</v>
      </c>
      <c r="H861">
        <v>5412830</v>
      </c>
      <c r="I861">
        <v>12</v>
      </c>
      <c r="J861" t="s">
        <v>319</v>
      </c>
      <c r="K861" t="str">
        <f>IFERROR(IF(AND(VLOOKUP($C861,Hes!$A:$B, 1, FALSE), $M861&lt;&gt;" "), "Ingresada", "Falta Ingresar"), " ")</f>
        <v xml:space="preserve"> </v>
      </c>
      <c r="L861" s="4" t="str">
        <f>IFERROR(VLOOKUP($C861,Observaciones!$A:$B,2,FALSE)," ")</f>
        <v>VENDEDOR ENVIA INFORME</v>
      </c>
      <c r="M861" t="s">
        <v>681</v>
      </c>
      <c r="O861" s="5">
        <v>30855896</v>
      </c>
      <c r="P861" s="5">
        <v>32574</v>
      </c>
      <c r="Q861" s="5">
        <v>6189</v>
      </c>
      <c r="R861" s="5">
        <v>38763</v>
      </c>
    </row>
    <row r="862" spans="1:18" x14ac:dyDescent="0.25">
      <c r="A862" t="s">
        <v>1003</v>
      </c>
      <c r="B862" t="s">
        <v>494</v>
      </c>
      <c r="C862">
        <v>70574900</v>
      </c>
      <c r="D862">
        <v>706</v>
      </c>
      <c r="E862">
        <v>4200191276</v>
      </c>
      <c r="F862" t="s">
        <v>1004</v>
      </c>
      <c r="G862" s="1">
        <v>45236</v>
      </c>
      <c r="H862">
        <v>5412831</v>
      </c>
      <c r="I862">
        <v>12</v>
      </c>
      <c r="J862" t="s">
        <v>319</v>
      </c>
      <c r="K862" t="str">
        <f>IFERROR(IF(AND(VLOOKUP($C862,Hes!$A:$B, 1, FALSE), $M862&lt;&gt;" "), "Ingresada", "Falta Ingresar"), " ")</f>
        <v xml:space="preserve"> </v>
      </c>
      <c r="L862" s="4" t="str">
        <f>IFERROR(VLOOKUP($C862,Observaciones!$A:$B,2,FALSE)," ")</f>
        <v>VENDEDOR ENVIA INFORME</v>
      </c>
      <c r="M862" t="s">
        <v>681</v>
      </c>
      <c r="O862" s="5">
        <v>30855927</v>
      </c>
      <c r="P862" s="5">
        <v>40960</v>
      </c>
      <c r="Q862" s="5">
        <v>7782</v>
      </c>
      <c r="R862" s="5">
        <v>48742</v>
      </c>
    </row>
    <row r="863" spans="1:18" x14ac:dyDescent="0.25">
      <c r="A863" t="s">
        <v>1003</v>
      </c>
      <c r="B863" t="s">
        <v>494</v>
      </c>
      <c r="C863">
        <v>70574900</v>
      </c>
      <c r="D863">
        <v>720</v>
      </c>
      <c r="E863">
        <v>4200190382</v>
      </c>
      <c r="F863" t="s">
        <v>1004</v>
      </c>
      <c r="G863" s="1">
        <v>45236</v>
      </c>
      <c r="H863">
        <v>5412858</v>
      </c>
      <c r="I863">
        <v>12</v>
      </c>
      <c r="J863" t="s">
        <v>319</v>
      </c>
      <c r="K863" t="str">
        <f>IFERROR(IF(AND(VLOOKUP($C863,Hes!$A:$B, 1, FALSE), $M863&lt;&gt;" "), "Ingresada", "Falta Ingresar"), " ")</f>
        <v xml:space="preserve"> </v>
      </c>
      <c r="L863" s="4" t="str">
        <f>IFERROR(VLOOKUP($C863,Observaciones!$A:$B,2,FALSE)," ")</f>
        <v>VENDEDOR ENVIA INFORME</v>
      </c>
      <c r="M863" t="s">
        <v>681</v>
      </c>
      <c r="O863" s="5">
        <v>30849455</v>
      </c>
      <c r="P863" s="5">
        <v>68149</v>
      </c>
      <c r="Q863" s="5">
        <v>12948</v>
      </c>
      <c r="R863" s="5">
        <v>81097</v>
      </c>
    </row>
    <row r="864" spans="1:18" x14ac:dyDescent="0.25">
      <c r="A864" t="s">
        <v>1003</v>
      </c>
      <c r="B864" t="s">
        <v>494</v>
      </c>
      <c r="C864">
        <v>70574900</v>
      </c>
      <c r="D864">
        <v>742</v>
      </c>
      <c r="E864">
        <v>4200190693</v>
      </c>
      <c r="F864" t="s">
        <v>1004</v>
      </c>
      <c r="G864" s="1">
        <v>45236</v>
      </c>
      <c r="H864">
        <v>5412862</v>
      </c>
      <c r="I864">
        <v>12</v>
      </c>
      <c r="J864" t="s">
        <v>319</v>
      </c>
      <c r="K864" t="str">
        <f>IFERROR(IF(AND(VLOOKUP($C864,Hes!$A:$B, 1, FALSE), $M864&lt;&gt;" "), "Ingresada", "Falta Ingresar"), " ")</f>
        <v xml:space="preserve"> </v>
      </c>
      <c r="L864" s="4" t="str">
        <f>IFERROR(VLOOKUP($C864,Observaciones!$A:$B,2,FALSE)," ")</f>
        <v>VENDEDOR ENVIA INFORME</v>
      </c>
      <c r="M864" t="s">
        <v>681</v>
      </c>
      <c r="O864" s="5">
        <v>30847916</v>
      </c>
      <c r="P864" s="5">
        <v>472025</v>
      </c>
      <c r="Q864" s="5">
        <v>89685</v>
      </c>
      <c r="R864" s="5">
        <v>561710</v>
      </c>
    </row>
    <row r="865" spans="1:18" x14ac:dyDescent="0.25">
      <c r="A865" t="s">
        <v>1003</v>
      </c>
      <c r="B865" t="s">
        <v>494</v>
      </c>
      <c r="C865">
        <v>70574900</v>
      </c>
      <c r="D865">
        <v>704</v>
      </c>
      <c r="E865">
        <v>4200190091</v>
      </c>
      <c r="F865" t="s">
        <v>1004</v>
      </c>
      <c r="G865" s="1">
        <v>45236</v>
      </c>
      <c r="H865">
        <v>5412863</v>
      </c>
      <c r="I865">
        <v>12</v>
      </c>
      <c r="J865" t="s">
        <v>319</v>
      </c>
      <c r="K865" t="str">
        <f>IFERROR(IF(AND(VLOOKUP($C865,Hes!$A:$B, 1, FALSE), $M865&lt;&gt;" "), "Ingresada", "Falta Ingresar"), " ")</f>
        <v xml:space="preserve"> </v>
      </c>
      <c r="L865" s="4" t="str">
        <f>IFERROR(VLOOKUP($C865,Observaciones!$A:$B,2,FALSE)," ")</f>
        <v>VENDEDOR ENVIA INFORME</v>
      </c>
      <c r="M865" t="s">
        <v>681</v>
      </c>
      <c r="O865" s="5">
        <v>30848022</v>
      </c>
      <c r="P865" s="5">
        <v>173195</v>
      </c>
      <c r="Q865" s="5">
        <v>32907</v>
      </c>
      <c r="R865" s="5">
        <v>206102</v>
      </c>
    </row>
    <row r="866" spans="1:18" x14ac:dyDescent="0.25">
      <c r="A866" t="s">
        <v>1003</v>
      </c>
      <c r="B866" t="s">
        <v>494</v>
      </c>
      <c r="C866">
        <v>70574900</v>
      </c>
      <c r="D866">
        <v>701</v>
      </c>
      <c r="E866">
        <v>4200190683</v>
      </c>
      <c r="F866" t="s">
        <v>1004</v>
      </c>
      <c r="G866" s="1">
        <v>45236</v>
      </c>
      <c r="H866">
        <v>5412864</v>
      </c>
      <c r="I866">
        <v>12</v>
      </c>
      <c r="J866" t="s">
        <v>319</v>
      </c>
      <c r="K866" t="str">
        <f>IFERROR(IF(AND(VLOOKUP($C866,Hes!$A:$B, 1, FALSE), $M866&lt;&gt;" "), "Ingresada", "Falta Ingresar"), " ")</f>
        <v xml:space="preserve"> </v>
      </c>
      <c r="L866" s="4" t="str">
        <f>IFERROR(VLOOKUP($C866,Observaciones!$A:$B,2,FALSE)," ")</f>
        <v>VENDEDOR ENVIA INFORME</v>
      </c>
      <c r="M866" t="s">
        <v>681</v>
      </c>
      <c r="O866" s="5">
        <v>30847841</v>
      </c>
      <c r="P866" s="5">
        <v>538862</v>
      </c>
      <c r="Q866" s="5">
        <v>102384</v>
      </c>
      <c r="R866" s="5">
        <v>641246</v>
      </c>
    </row>
    <row r="867" spans="1:18" x14ac:dyDescent="0.25">
      <c r="A867" t="s">
        <v>1003</v>
      </c>
      <c r="B867" t="s">
        <v>494</v>
      </c>
      <c r="C867">
        <v>70574900</v>
      </c>
      <c r="D867">
        <v>711</v>
      </c>
      <c r="E867">
        <v>4200190678</v>
      </c>
      <c r="F867" t="s">
        <v>1004</v>
      </c>
      <c r="G867" s="1">
        <v>45236</v>
      </c>
      <c r="H867">
        <v>5412865</v>
      </c>
      <c r="I867">
        <v>12</v>
      </c>
      <c r="J867" t="s">
        <v>319</v>
      </c>
      <c r="K867" t="str">
        <f>IFERROR(IF(AND(VLOOKUP($C867,Hes!$A:$B, 1, FALSE), $M867&lt;&gt;" "), "Ingresada", "Falta Ingresar"), " ")</f>
        <v xml:space="preserve"> </v>
      </c>
      <c r="L867" s="4" t="str">
        <f>IFERROR(VLOOKUP($C867,Observaciones!$A:$B,2,FALSE)," ")</f>
        <v>VENDEDOR ENVIA INFORME</v>
      </c>
      <c r="M867" t="s">
        <v>681</v>
      </c>
      <c r="O867" s="5">
        <v>30848667</v>
      </c>
      <c r="P867" s="5">
        <v>671058</v>
      </c>
      <c r="Q867" s="5">
        <v>127501</v>
      </c>
      <c r="R867" s="5">
        <v>798559</v>
      </c>
    </row>
    <row r="868" spans="1:18" x14ac:dyDescent="0.25">
      <c r="A868" t="s">
        <v>1003</v>
      </c>
      <c r="B868" t="s">
        <v>494</v>
      </c>
      <c r="C868">
        <v>70574900</v>
      </c>
      <c r="D868">
        <v>703</v>
      </c>
      <c r="E868">
        <v>4200190075</v>
      </c>
      <c r="F868" t="s">
        <v>1004</v>
      </c>
      <c r="G868" s="1">
        <v>45236</v>
      </c>
      <c r="H868">
        <v>5412866</v>
      </c>
      <c r="I868">
        <v>12</v>
      </c>
      <c r="J868" t="s">
        <v>319</v>
      </c>
      <c r="K868" t="str">
        <f>IFERROR(IF(AND(VLOOKUP($C868,Hes!$A:$B, 1, FALSE), $M868&lt;&gt;" "), "Ingresada", "Falta Ingresar"), " ")</f>
        <v xml:space="preserve"> </v>
      </c>
      <c r="L868" s="4" t="str">
        <f>IFERROR(VLOOKUP($C868,Observaciones!$A:$B,2,FALSE)," ")</f>
        <v>VENDEDOR ENVIA INFORME</v>
      </c>
      <c r="M868" t="s">
        <v>681</v>
      </c>
      <c r="O868" s="5">
        <v>30847989</v>
      </c>
      <c r="P868" s="5">
        <v>149345</v>
      </c>
      <c r="Q868" s="5">
        <v>28376</v>
      </c>
      <c r="R868" s="5">
        <v>177721</v>
      </c>
    </row>
    <row r="869" spans="1:18" x14ac:dyDescent="0.25">
      <c r="A869" t="s">
        <v>1003</v>
      </c>
      <c r="B869" t="s">
        <v>494</v>
      </c>
      <c r="C869">
        <v>70574900</v>
      </c>
      <c r="D869">
        <v>712</v>
      </c>
      <c r="E869">
        <v>4200190295</v>
      </c>
      <c r="F869" t="s">
        <v>1004</v>
      </c>
      <c r="G869" s="1">
        <v>45236</v>
      </c>
      <c r="H869">
        <v>5412867</v>
      </c>
      <c r="I869">
        <v>12</v>
      </c>
      <c r="J869" t="s">
        <v>319</v>
      </c>
      <c r="K869" t="str">
        <f>IFERROR(IF(AND(VLOOKUP($C869,Hes!$A:$B, 1, FALSE), $M869&lt;&gt;" "), "Ingresada", "Falta Ingresar"), " ")</f>
        <v xml:space="preserve"> </v>
      </c>
      <c r="L869" s="4" t="str">
        <f>IFERROR(VLOOKUP($C869,Observaciones!$A:$B,2,FALSE)," ")</f>
        <v>VENDEDOR ENVIA INFORME</v>
      </c>
      <c r="M869" t="s">
        <v>681</v>
      </c>
      <c r="O869" s="5">
        <v>30848695</v>
      </c>
      <c r="P869" s="5">
        <v>391445</v>
      </c>
      <c r="Q869" s="5">
        <v>74375</v>
      </c>
      <c r="R869" s="5">
        <v>465820</v>
      </c>
    </row>
    <row r="870" spans="1:18" x14ac:dyDescent="0.25">
      <c r="A870" t="s">
        <v>1003</v>
      </c>
      <c r="B870" t="s">
        <v>494</v>
      </c>
      <c r="C870">
        <v>70574900</v>
      </c>
      <c r="D870">
        <v>720</v>
      </c>
      <c r="E870">
        <v>4200191001</v>
      </c>
      <c r="F870" t="s">
        <v>1004</v>
      </c>
      <c r="G870" s="1">
        <v>45236</v>
      </c>
      <c r="H870">
        <v>5412877</v>
      </c>
      <c r="I870">
        <v>12</v>
      </c>
      <c r="J870" t="s">
        <v>319</v>
      </c>
      <c r="K870" t="str">
        <f>IFERROR(IF(AND(VLOOKUP($C870,Hes!$A:$B, 1, FALSE), $M870&lt;&gt;" "), "Ingresada", "Falta Ingresar"), " ")</f>
        <v xml:space="preserve"> </v>
      </c>
      <c r="L870" s="4" t="str">
        <f>IFERROR(VLOOKUP($C870,Observaciones!$A:$B,2,FALSE)," ")</f>
        <v>VENDEDOR ENVIA INFORME</v>
      </c>
      <c r="M870" t="s">
        <v>681</v>
      </c>
      <c r="O870" s="5">
        <v>30850180</v>
      </c>
      <c r="P870" s="5">
        <v>11714</v>
      </c>
      <c r="Q870" s="5">
        <v>2226</v>
      </c>
      <c r="R870" s="5">
        <v>13940</v>
      </c>
    </row>
    <row r="871" spans="1:18" x14ac:dyDescent="0.25">
      <c r="A871" t="s">
        <v>1003</v>
      </c>
      <c r="B871" t="s">
        <v>494</v>
      </c>
      <c r="C871">
        <v>70574900</v>
      </c>
      <c r="D871">
        <v>741</v>
      </c>
      <c r="E871">
        <v>4200190852</v>
      </c>
      <c r="F871" t="s">
        <v>1004</v>
      </c>
      <c r="G871" s="1">
        <v>45236</v>
      </c>
      <c r="H871">
        <v>5412878</v>
      </c>
      <c r="I871">
        <v>12</v>
      </c>
      <c r="J871" t="s">
        <v>319</v>
      </c>
      <c r="K871" t="str">
        <f>IFERROR(IF(AND(VLOOKUP($C871,Hes!$A:$B, 1, FALSE), $M871&lt;&gt;" "), "Ingresada", "Falta Ingresar"), " ")</f>
        <v xml:space="preserve"> </v>
      </c>
      <c r="L871" s="4" t="str">
        <f>IFERROR(VLOOKUP($C871,Observaciones!$A:$B,2,FALSE)," ")</f>
        <v>VENDEDOR ENVIA INFORME</v>
      </c>
      <c r="M871" t="s">
        <v>681</v>
      </c>
      <c r="O871" s="5">
        <v>30849578</v>
      </c>
      <c r="P871" s="5">
        <v>234292</v>
      </c>
      <c r="Q871" s="5">
        <v>44515</v>
      </c>
      <c r="R871" s="5">
        <v>278807</v>
      </c>
    </row>
    <row r="872" spans="1:18" x14ac:dyDescent="0.25">
      <c r="A872" t="s">
        <v>1003</v>
      </c>
      <c r="B872" t="s">
        <v>494</v>
      </c>
      <c r="C872">
        <v>70574900</v>
      </c>
      <c r="D872">
        <v>717</v>
      </c>
      <c r="E872">
        <v>4200190595</v>
      </c>
      <c r="F872" t="s">
        <v>1004</v>
      </c>
      <c r="G872" s="1">
        <v>45236</v>
      </c>
      <c r="H872">
        <v>5412879</v>
      </c>
      <c r="I872">
        <v>12</v>
      </c>
      <c r="J872" t="s">
        <v>319</v>
      </c>
      <c r="K872" t="str">
        <f>IFERROR(IF(AND(VLOOKUP($C872,Hes!$A:$B, 1, FALSE), $M872&lt;&gt;" "), "Ingresada", "Falta Ingresar"), " ")</f>
        <v xml:space="preserve"> </v>
      </c>
      <c r="L872" s="4" t="str">
        <f>IFERROR(VLOOKUP($C872,Observaciones!$A:$B,2,FALSE)," ")</f>
        <v>VENDEDOR ENVIA INFORME</v>
      </c>
      <c r="M872" t="s">
        <v>681</v>
      </c>
      <c r="O872" s="5">
        <v>30849297</v>
      </c>
      <c r="P872" s="5">
        <v>509169</v>
      </c>
      <c r="Q872" s="5">
        <v>96742</v>
      </c>
      <c r="R872" s="5">
        <v>605911</v>
      </c>
    </row>
    <row r="873" spans="1:18" x14ac:dyDescent="0.25">
      <c r="A873" t="s">
        <v>1003</v>
      </c>
      <c r="B873" t="s">
        <v>494</v>
      </c>
      <c r="C873">
        <v>70574900</v>
      </c>
      <c r="D873">
        <v>719</v>
      </c>
      <c r="E873">
        <v>4200190349</v>
      </c>
      <c r="F873" t="s">
        <v>1004</v>
      </c>
      <c r="G873" s="1">
        <v>45236</v>
      </c>
      <c r="H873">
        <v>5412880</v>
      </c>
      <c r="I873">
        <v>12</v>
      </c>
      <c r="J873" t="s">
        <v>319</v>
      </c>
      <c r="K873" t="str">
        <f>IFERROR(IF(AND(VLOOKUP($C873,Hes!$A:$B, 1, FALSE), $M873&lt;&gt;" "), "Ingresada", "Falta Ingresar"), " ")</f>
        <v xml:space="preserve"> </v>
      </c>
      <c r="L873" s="4" t="str">
        <f>IFERROR(VLOOKUP($C873,Observaciones!$A:$B,2,FALSE)," ")</f>
        <v>VENDEDOR ENVIA INFORME</v>
      </c>
      <c r="M873" t="s">
        <v>681</v>
      </c>
      <c r="O873" s="5">
        <v>30849405</v>
      </c>
      <c r="P873" s="5">
        <v>416375</v>
      </c>
      <c r="Q873" s="5">
        <v>79111</v>
      </c>
      <c r="R873" s="5">
        <v>495486</v>
      </c>
    </row>
    <row r="874" spans="1:18" x14ac:dyDescent="0.25">
      <c r="A874" t="s">
        <v>1003</v>
      </c>
      <c r="B874" t="s">
        <v>494</v>
      </c>
      <c r="C874">
        <v>70574900</v>
      </c>
      <c r="D874">
        <v>739</v>
      </c>
      <c r="E874">
        <v>4200190681</v>
      </c>
      <c r="F874" t="s">
        <v>1004</v>
      </c>
      <c r="G874" s="1">
        <v>45236</v>
      </c>
      <c r="H874">
        <v>5412881</v>
      </c>
      <c r="I874">
        <v>12</v>
      </c>
      <c r="J874" t="s">
        <v>319</v>
      </c>
      <c r="K874" t="str">
        <f>IFERROR(IF(AND(VLOOKUP($C874,Hes!$A:$B, 1, FALSE), $M874&lt;&gt;" "), "Ingresada", "Falta Ingresar"), " ")</f>
        <v xml:space="preserve"> </v>
      </c>
      <c r="L874" s="4" t="str">
        <f>IFERROR(VLOOKUP($C874,Observaciones!$A:$B,2,FALSE)," ")</f>
        <v>VENDEDOR ENVIA INFORME</v>
      </c>
      <c r="M874" t="s">
        <v>681</v>
      </c>
      <c r="O874" s="5">
        <v>30849350</v>
      </c>
      <c r="P874" s="5">
        <v>208580</v>
      </c>
      <c r="Q874" s="5">
        <v>39630</v>
      </c>
      <c r="R874" s="5">
        <v>248210</v>
      </c>
    </row>
    <row r="875" spans="1:18" x14ac:dyDescent="0.25">
      <c r="A875" t="s">
        <v>1003</v>
      </c>
      <c r="B875" t="s">
        <v>494</v>
      </c>
      <c r="C875">
        <v>70574900</v>
      </c>
      <c r="D875">
        <v>712</v>
      </c>
      <c r="E875">
        <v>4200190991</v>
      </c>
      <c r="F875" t="s">
        <v>1004</v>
      </c>
      <c r="G875" s="1">
        <v>45236</v>
      </c>
      <c r="H875">
        <v>5412882</v>
      </c>
      <c r="I875">
        <v>12</v>
      </c>
      <c r="J875" t="s">
        <v>319</v>
      </c>
      <c r="K875" t="str">
        <f>IFERROR(IF(AND(VLOOKUP($C875,Hes!$A:$B, 1, FALSE), $M875&lt;&gt;" "), "Ingresada", "Falta Ingresar"), " ")</f>
        <v xml:space="preserve"> </v>
      </c>
      <c r="L875" s="4" t="str">
        <f>IFERROR(VLOOKUP($C875,Observaciones!$A:$B,2,FALSE)," ")</f>
        <v>VENDEDOR ENVIA INFORME</v>
      </c>
      <c r="M875" t="s">
        <v>681</v>
      </c>
      <c r="O875" s="5">
        <v>30850038</v>
      </c>
      <c r="P875" s="5">
        <v>85458</v>
      </c>
      <c r="Q875" s="5">
        <v>16237</v>
      </c>
      <c r="R875" s="5">
        <v>101695</v>
      </c>
    </row>
    <row r="876" spans="1:18" x14ac:dyDescent="0.25">
      <c r="A876" t="s">
        <v>1003</v>
      </c>
      <c r="B876" t="s">
        <v>494</v>
      </c>
      <c r="C876">
        <v>70574900</v>
      </c>
      <c r="D876">
        <v>716</v>
      </c>
      <c r="E876">
        <v>4200190993</v>
      </c>
      <c r="F876" t="s">
        <v>1004</v>
      </c>
      <c r="G876" s="1">
        <v>45236</v>
      </c>
      <c r="H876">
        <v>5412892</v>
      </c>
      <c r="I876">
        <v>12</v>
      </c>
      <c r="J876" t="s">
        <v>319</v>
      </c>
      <c r="K876" t="str">
        <f>IFERROR(IF(AND(VLOOKUP($C876,Hes!$A:$B, 1, FALSE), $M876&lt;&gt;" "), "Ingresada", "Falta Ingresar"), " ")</f>
        <v xml:space="preserve"> </v>
      </c>
      <c r="L876" s="4" t="str">
        <f>IFERROR(VLOOKUP($C876,Observaciones!$A:$B,2,FALSE)," ")</f>
        <v>VENDEDOR ENVIA INFORME</v>
      </c>
      <c r="M876" t="s">
        <v>681</v>
      </c>
      <c r="O876" s="5">
        <v>30850067</v>
      </c>
      <c r="P876" s="5">
        <v>96830</v>
      </c>
      <c r="Q876" s="5">
        <v>18398</v>
      </c>
      <c r="R876" s="5">
        <v>115228</v>
      </c>
    </row>
    <row r="877" spans="1:18" x14ac:dyDescent="0.25">
      <c r="A877" t="s">
        <v>1003</v>
      </c>
      <c r="B877" t="s">
        <v>494</v>
      </c>
      <c r="C877">
        <v>70574900</v>
      </c>
      <c r="D877">
        <v>722</v>
      </c>
      <c r="E877">
        <v>4200190450</v>
      </c>
      <c r="F877" t="s">
        <v>1004</v>
      </c>
      <c r="G877" s="1">
        <v>45236</v>
      </c>
      <c r="H877">
        <v>5412903</v>
      </c>
      <c r="I877">
        <v>12</v>
      </c>
      <c r="J877" t="s">
        <v>319</v>
      </c>
      <c r="K877" t="str">
        <f>IFERROR(IF(AND(VLOOKUP($C877,Hes!$A:$B, 1, FALSE), $M877&lt;&gt;" "), "Ingresada", "Falta Ingresar"), " ")</f>
        <v xml:space="preserve"> </v>
      </c>
      <c r="L877" s="4" t="str">
        <f>IFERROR(VLOOKUP($C877,Observaciones!$A:$B,2,FALSE)," ")</f>
        <v>VENDEDOR ENVIA INFORME</v>
      </c>
      <c r="M877" t="s">
        <v>681</v>
      </c>
      <c r="O877" s="5">
        <v>30849542</v>
      </c>
      <c r="P877" s="5">
        <v>191884</v>
      </c>
      <c r="Q877" s="5">
        <v>36458</v>
      </c>
      <c r="R877" s="5">
        <v>228342</v>
      </c>
    </row>
    <row r="878" spans="1:18" x14ac:dyDescent="0.25">
      <c r="A878" t="s">
        <v>1003</v>
      </c>
      <c r="B878" t="s">
        <v>494</v>
      </c>
      <c r="C878">
        <v>70574900</v>
      </c>
      <c r="D878">
        <v>717</v>
      </c>
      <c r="E878">
        <v>4200190995</v>
      </c>
      <c r="F878" t="s">
        <v>1004</v>
      </c>
      <c r="G878" s="1">
        <v>45236</v>
      </c>
      <c r="H878">
        <v>5412916</v>
      </c>
      <c r="I878">
        <v>12</v>
      </c>
      <c r="J878" t="s">
        <v>319</v>
      </c>
      <c r="K878" t="str">
        <f>IFERROR(IF(AND(VLOOKUP($C878,Hes!$A:$B, 1, FALSE), $M878&lt;&gt;" "), "Ingresada", "Falta Ingresar"), " ")</f>
        <v xml:space="preserve"> </v>
      </c>
      <c r="L878" s="4" t="str">
        <f>IFERROR(VLOOKUP($C878,Observaciones!$A:$B,2,FALSE)," ")</f>
        <v>VENDEDOR ENVIA INFORME</v>
      </c>
      <c r="M878" t="s">
        <v>681</v>
      </c>
      <c r="O878" s="5">
        <v>30850076</v>
      </c>
      <c r="P878" s="5">
        <v>182031</v>
      </c>
      <c r="Q878" s="5">
        <v>34586</v>
      </c>
      <c r="R878" s="5">
        <v>216617</v>
      </c>
    </row>
    <row r="879" spans="1:18" x14ac:dyDescent="0.25">
      <c r="A879" t="s">
        <v>1003</v>
      </c>
      <c r="B879" t="s">
        <v>494</v>
      </c>
      <c r="C879">
        <v>70574900</v>
      </c>
      <c r="D879">
        <v>722</v>
      </c>
      <c r="E879">
        <v>4200191005</v>
      </c>
      <c r="F879" t="s">
        <v>1004</v>
      </c>
      <c r="G879" s="1">
        <v>45236</v>
      </c>
      <c r="H879">
        <v>5412918</v>
      </c>
      <c r="I879">
        <v>12</v>
      </c>
      <c r="J879" t="s">
        <v>319</v>
      </c>
      <c r="K879" t="str">
        <f>IFERROR(IF(AND(VLOOKUP($C879,Hes!$A:$B, 1, FALSE), $M879&lt;&gt;" "), "Ingresada", "Falta Ingresar"), " ")</f>
        <v xml:space="preserve"> </v>
      </c>
      <c r="L879" s="4" t="str">
        <f>IFERROR(VLOOKUP($C879,Observaciones!$A:$B,2,FALSE)," ")</f>
        <v>VENDEDOR ENVIA INFORME</v>
      </c>
      <c r="M879" t="s">
        <v>681</v>
      </c>
      <c r="O879" s="5">
        <v>30850203</v>
      </c>
      <c r="P879" s="5">
        <v>80400</v>
      </c>
      <c r="Q879" s="5">
        <v>15276</v>
      </c>
      <c r="R879" s="5">
        <v>95676</v>
      </c>
    </row>
    <row r="880" spans="1:18" x14ac:dyDescent="0.25">
      <c r="A880" t="s">
        <v>1003</v>
      </c>
      <c r="B880" t="s">
        <v>494</v>
      </c>
      <c r="C880">
        <v>70574900</v>
      </c>
      <c r="D880">
        <v>707</v>
      </c>
      <c r="E880">
        <v>4200191289</v>
      </c>
      <c r="F880" t="s">
        <v>1004</v>
      </c>
      <c r="G880" s="1">
        <v>45236</v>
      </c>
      <c r="H880">
        <v>5412919</v>
      </c>
      <c r="I880">
        <v>12</v>
      </c>
      <c r="J880" t="s">
        <v>319</v>
      </c>
      <c r="K880" t="str">
        <f>IFERROR(IF(AND(VLOOKUP($C880,Hes!$A:$B, 1, FALSE), $M880&lt;&gt;" "), "Ingresada", "Falta Ingresar"), " ")</f>
        <v xml:space="preserve"> </v>
      </c>
      <c r="L880" s="4" t="str">
        <f>IFERROR(VLOOKUP($C880,Observaciones!$A:$B,2,FALSE)," ")</f>
        <v>VENDEDOR ENVIA INFORME</v>
      </c>
      <c r="M880" t="s">
        <v>681</v>
      </c>
      <c r="O880" s="5">
        <v>30855977</v>
      </c>
      <c r="P880" s="5">
        <v>36271</v>
      </c>
      <c r="Q880" s="5">
        <v>6891</v>
      </c>
      <c r="R880" s="5">
        <v>43162</v>
      </c>
    </row>
    <row r="881" spans="1:18" x14ac:dyDescent="0.25">
      <c r="A881" t="s">
        <v>1003</v>
      </c>
      <c r="B881" t="s">
        <v>494</v>
      </c>
      <c r="C881">
        <v>70574900</v>
      </c>
      <c r="D881">
        <v>700</v>
      </c>
      <c r="E881">
        <v>4200191405</v>
      </c>
      <c r="F881" t="s">
        <v>1004</v>
      </c>
      <c r="G881" s="1">
        <v>45236</v>
      </c>
      <c r="H881">
        <v>5412931</v>
      </c>
      <c r="I881">
        <v>12</v>
      </c>
      <c r="J881" t="s">
        <v>319</v>
      </c>
      <c r="K881" t="str">
        <f>IFERROR(IF(AND(VLOOKUP($C881,Hes!$A:$B, 1, FALSE), $M881&lt;&gt;" "), "Ingresada", "Falta Ingresar"), " ")</f>
        <v xml:space="preserve"> </v>
      </c>
      <c r="L881" s="4" t="str">
        <f>IFERROR(VLOOKUP($C881,Observaciones!$A:$B,2,FALSE)," ")</f>
        <v>VENDEDOR ENVIA INFORME</v>
      </c>
      <c r="M881" t="s">
        <v>681</v>
      </c>
      <c r="O881" s="5">
        <v>30856109</v>
      </c>
      <c r="P881" s="5">
        <v>98280</v>
      </c>
      <c r="Q881" s="5">
        <v>18673</v>
      </c>
      <c r="R881" s="5">
        <v>116953</v>
      </c>
    </row>
    <row r="882" spans="1:18" x14ac:dyDescent="0.25">
      <c r="A882" t="s">
        <v>1003</v>
      </c>
      <c r="B882" t="s">
        <v>494</v>
      </c>
      <c r="C882">
        <v>70574900</v>
      </c>
      <c r="D882">
        <v>702</v>
      </c>
      <c r="E882">
        <v>4200191264</v>
      </c>
      <c r="F882" t="s">
        <v>1004</v>
      </c>
      <c r="G882" s="1">
        <v>45236</v>
      </c>
      <c r="H882">
        <v>5412934</v>
      </c>
      <c r="I882">
        <v>12</v>
      </c>
      <c r="J882" t="s">
        <v>319</v>
      </c>
      <c r="K882" t="str">
        <f>IFERROR(IF(AND(VLOOKUP($C882,Hes!$A:$B, 1, FALSE), $M882&lt;&gt;" "), "Ingresada", "Falta Ingresar"), " ")</f>
        <v xml:space="preserve"> </v>
      </c>
      <c r="L882" s="4" t="str">
        <f>IFERROR(VLOOKUP($C882,Observaciones!$A:$B,2,FALSE)," ")</f>
        <v>VENDEDOR ENVIA INFORME</v>
      </c>
      <c r="M882" t="s">
        <v>681</v>
      </c>
      <c r="O882" s="5">
        <v>30855876</v>
      </c>
      <c r="P882" s="5">
        <v>18596</v>
      </c>
      <c r="Q882" s="5">
        <v>3533</v>
      </c>
      <c r="R882" s="5">
        <v>22129</v>
      </c>
    </row>
    <row r="883" spans="1:18" x14ac:dyDescent="0.25">
      <c r="A883" t="s">
        <v>1003</v>
      </c>
      <c r="B883" t="s">
        <v>494</v>
      </c>
      <c r="C883">
        <v>70574900</v>
      </c>
      <c r="D883">
        <v>704</v>
      </c>
      <c r="E883">
        <v>4200191269</v>
      </c>
      <c r="F883" t="s">
        <v>1004</v>
      </c>
      <c r="G883" s="1">
        <v>45236</v>
      </c>
      <c r="H883">
        <v>5412935</v>
      </c>
      <c r="I883">
        <v>12</v>
      </c>
      <c r="J883" t="s">
        <v>319</v>
      </c>
      <c r="K883" t="str">
        <f>IFERROR(IF(AND(VLOOKUP($C883,Hes!$A:$B, 1, FALSE), $M883&lt;&gt;" "), "Ingresada", "Falta Ingresar"), " ")</f>
        <v xml:space="preserve"> </v>
      </c>
      <c r="L883" s="4" t="str">
        <f>IFERROR(VLOOKUP($C883,Observaciones!$A:$B,2,FALSE)," ")</f>
        <v>VENDEDOR ENVIA INFORME</v>
      </c>
      <c r="M883" t="s">
        <v>681</v>
      </c>
      <c r="O883" s="5">
        <v>30855906</v>
      </c>
      <c r="P883" s="5">
        <v>23436</v>
      </c>
      <c r="Q883" s="5">
        <v>4453</v>
      </c>
      <c r="R883" s="5">
        <v>27889</v>
      </c>
    </row>
    <row r="884" spans="1:18" x14ac:dyDescent="0.25">
      <c r="A884" t="s">
        <v>1003</v>
      </c>
      <c r="B884" t="s">
        <v>494</v>
      </c>
      <c r="C884">
        <v>70574900</v>
      </c>
      <c r="D884">
        <v>2337</v>
      </c>
      <c r="E884">
        <v>4200190457</v>
      </c>
      <c r="F884" t="s">
        <v>1004</v>
      </c>
      <c r="G884" s="1">
        <v>45236</v>
      </c>
      <c r="H884">
        <v>5412943</v>
      </c>
      <c r="I884">
        <v>12</v>
      </c>
      <c r="J884" t="s">
        <v>319</v>
      </c>
      <c r="K884" t="str">
        <f>IFERROR(IF(AND(VLOOKUP($C884,Hes!$A:$B, 1, FALSE), $M884&lt;&gt;" "), "Ingresada", "Falta Ingresar"), " ")</f>
        <v xml:space="preserve"> </v>
      </c>
      <c r="L884" s="4" t="str">
        <f>IFERROR(VLOOKUP($C884,Observaciones!$A:$B,2,FALSE)," ")</f>
        <v>VENDEDOR ENVIA INFORME</v>
      </c>
      <c r="M884" t="s">
        <v>681</v>
      </c>
      <c r="O884" s="5">
        <v>30851943</v>
      </c>
      <c r="P884" s="5">
        <v>581738</v>
      </c>
      <c r="Q884" s="5">
        <v>110530</v>
      </c>
      <c r="R884" s="5">
        <v>692268</v>
      </c>
    </row>
    <row r="885" spans="1:18" x14ac:dyDescent="0.25">
      <c r="A885" t="s">
        <v>1003</v>
      </c>
      <c r="B885" t="s">
        <v>494</v>
      </c>
      <c r="C885">
        <v>70574900</v>
      </c>
      <c r="D885">
        <v>335</v>
      </c>
      <c r="E885">
        <v>4200191104</v>
      </c>
      <c r="F885" t="s">
        <v>1004</v>
      </c>
      <c r="G885" s="1">
        <v>45234</v>
      </c>
      <c r="H885">
        <v>5412958</v>
      </c>
      <c r="I885">
        <v>12</v>
      </c>
      <c r="J885" t="s">
        <v>319</v>
      </c>
      <c r="K885" t="str">
        <f>IFERROR(IF(AND(VLOOKUP($C885,Hes!$A:$B, 1, FALSE), $M885&lt;&gt;" "), "Ingresada", "Falta Ingresar"), " ")</f>
        <v xml:space="preserve"> </v>
      </c>
      <c r="L885" s="4" t="str">
        <f>IFERROR(VLOOKUP($C885,Observaciones!$A:$B,2,FALSE)," ")</f>
        <v>VENDEDOR ENVIA INFORME</v>
      </c>
      <c r="M885" t="s">
        <v>681</v>
      </c>
      <c r="O885" s="5">
        <v>30854525</v>
      </c>
      <c r="P885" s="5">
        <v>398363</v>
      </c>
      <c r="Q885" s="5">
        <v>75689</v>
      </c>
      <c r="R885" s="5">
        <v>474052</v>
      </c>
    </row>
    <row r="886" spans="1:18" x14ac:dyDescent="0.25">
      <c r="A886" t="s">
        <v>1003</v>
      </c>
      <c r="B886" t="s">
        <v>494</v>
      </c>
      <c r="C886">
        <v>70574900</v>
      </c>
      <c r="D886">
        <v>339</v>
      </c>
      <c r="E886">
        <v>4200191482</v>
      </c>
      <c r="F886" t="s">
        <v>1004</v>
      </c>
      <c r="G886" s="1">
        <v>45235</v>
      </c>
      <c r="H886">
        <v>5412961</v>
      </c>
      <c r="I886">
        <v>12</v>
      </c>
      <c r="J886" t="s">
        <v>319</v>
      </c>
      <c r="K886" t="str">
        <f>IFERROR(IF(AND(VLOOKUP($C886,Hes!$A:$B, 1, FALSE), $M886&lt;&gt;" "), "Ingresada", "Falta Ingresar"), " ")</f>
        <v xml:space="preserve"> </v>
      </c>
      <c r="L886" s="4" t="str">
        <f>IFERROR(VLOOKUP($C886,Observaciones!$A:$B,2,FALSE)," ")</f>
        <v>VENDEDOR ENVIA INFORME</v>
      </c>
      <c r="M886" t="s">
        <v>681</v>
      </c>
      <c r="O886" s="5">
        <v>30853843</v>
      </c>
      <c r="P886" s="5">
        <v>401667</v>
      </c>
      <c r="Q886" s="5">
        <v>76317</v>
      </c>
      <c r="R886" s="5">
        <v>477984</v>
      </c>
    </row>
    <row r="887" spans="1:18" x14ac:dyDescent="0.25">
      <c r="A887" t="s">
        <v>1003</v>
      </c>
      <c r="B887" t="s">
        <v>494</v>
      </c>
      <c r="C887">
        <v>70574900</v>
      </c>
      <c r="D887">
        <v>346</v>
      </c>
      <c r="E887">
        <v>4200191460</v>
      </c>
      <c r="F887" t="s">
        <v>1004</v>
      </c>
      <c r="G887" s="1">
        <v>45235</v>
      </c>
      <c r="H887">
        <v>5412962</v>
      </c>
      <c r="I887">
        <v>12</v>
      </c>
      <c r="J887" t="s">
        <v>319</v>
      </c>
      <c r="K887" t="str">
        <f>IFERROR(IF(AND(VLOOKUP($C887,Hes!$A:$B, 1, FALSE), $M887&lt;&gt;" "), "Ingresada", "Falta Ingresar"), " ")</f>
        <v xml:space="preserve"> </v>
      </c>
      <c r="L887" s="4" t="str">
        <f>IFERROR(VLOOKUP($C887,Observaciones!$A:$B,2,FALSE)," ")</f>
        <v>VENDEDOR ENVIA INFORME</v>
      </c>
      <c r="M887" t="s">
        <v>681</v>
      </c>
      <c r="O887" s="5">
        <v>30853885</v>
      </c>
      <c r="P887" s="5">
        <v>150840</v>
      </c>
      <c r="Q887" s="5">
        <v>28660</v>
      </c>
      <c r="R887" s="5">
        <v>179500</v>
      </c>
    </row>
    <row r="888" spans="1:18" x14ac:dyDescent="0.25">
      <c r="A888" t="s">
        <v>1003</v>
      </c>
      <c r="B888" t="s">
        <v>494</v>
      </c>
      <c r="C888">
        <v>70574900</v>
      </c>
      <c r="D888">
        <v>330</v>
      </c>
      <c r="E888">
        <v>4200191464</v>
      </c>
      <c r="F888" t="s">
        <v>1004</v>
      </c>
      <c r="G888" s="1">
        <v>45235</v>
      </c>
      <c r="H888">
        <v>5412963</v>
      </c>
      <c r="I888">
        <v>12</v>
      </c>
      <c r="J888" t="s">
        <v>319</v>
      </c>
      <c r="K888" t="str">
        <f>IFERROR(IF(AND(VLOOKUP($C888,Hes!$A:$B, 1, FALSE), $M888&lt;&gt;" "), "Ingresada", "Falta Ingresar"), " ")</f>
        <v xml:space="preserve"> </v>
      </c>
      <c r="L888" s="4" t="str">
        <f>IFERROR(VLOOKUP($C888,Observaciones!$A:$B,2,FALSE)," ")</f>
        <v>VENDEDOR ENVIA INFORME</v>
      </c>
      <c r="M888" t="s">
        <v>681</v>
      </c>
      <c r="O888" s="5">
        <v>30853806</v>
      </c>
      <c r="P888" s="5">
        <v>390903</v>
      </c>
      <c r="Q888" s="5">
        <v>74272</v>
      </c>
      <c r="R888" s="5">
        <v>465175</v>
      </c>
    </row>
    <row r="889" spans="1:18" x14ac:dyDescent="0.25">
      <c r="A889" t="s">
        <v>1003</v>
      </c>
      <c r="B889" t="s">
        <v>494</v>
      </c>
      <c r="C889">
        <v>70574900</v>
      </c>
      <c r="D889">
        <v>336</v>
      </c>
      <c r="E889">
        <v>4200191489</v>
      </c>
      <c r="F889" t="s">
        <v>1004</v>
      </c>
      <c r="G889" s="1">
        <v>45235</v>
      </c>
      <c r="H889">
        <v>5412964</v>
      </c>
      <c r="I889">
        <v>12</v>
      </c>
      <c r="J889" t="s">
        <v>319</v>
      </c>
      <c r="K889" t="str">
        <f>IFERROR(IF(AND(VLOOKUP($C889,Hes!$A:$B, 1, FALSE), $M889&lt;&gt;" "), "Ingresada", "Falta Ingresar"), " ")</f>
        <v xml:space="preserve"> </v>
      </c>
      <c r="L889" s="4" t="str">
        <f>IFERROR(VLOOKUP($C889,Observaciones!$A:$B,2,FALSE)," ")</f>
        <v>VENDEDOR ENVIA INFORME</v>
      </c>
      <c r="M889" t="s">
        <v>681</v>
      </c>
      <c r="O889" s="5">
        <v>30853707</v>
      </c>
      <c r="P889" s="5">
        <v>819881</v>
      </c>
      <c r="Q889" s="5">
        <v>155777</v>
      </c>
      <c r="R889" s="5">
        <v>975658</v>
      </c>
    </row>
    <row r="890" spans="1:18" x14ac:dyDescent="0.25">
      <c r="A890" t="s">
        <v>1003</v>
      </c>
      <c r="B890" t="s">
        <v>494</v>
      </c>
      <c r="C890">
        <v>70574900</v>
      </c>
      <c r="D890">
        <v>311</v>
      </c>
      <c r="E890">
        <v>4200191469</v>
      </c>
      <c r="F890" t="s">
        <v>1004</v>
      </c>
      <c r="G890" s="1">
        <v>45235</v>
      </c>
      <c r="H890">
        <v>5412965</v>
      </c>
      <c r="I890">
        <v>12</v>
      </c>
      <c r="J890" t="s">
        <v>319</v>
      </c>
      <c r="K890" t="str">
        <f>IFERROR(IF(AND(VLOOKUP($C890,Hes!$A:$B, 1, FALSE), $M890&lt;&gt;" "), "Ingresada", "Falta Ingresar"), " ")</f>
        <v xml:space="preserve"> </v>
      </c>
      <c r="L890" s="4" t="str">
        <f>IFERROR(VLOOKUP($C890,Observaciones!$A:$B,2,FALSE)," ")</f>
        <v>VENDEDOR ENVIA INFORME</v>
      </c>
      <c r="M890" t="s">
        <v>681</v>
      </c>
      <c r="O890" s="5">
        <v>30853678</v>
      </c>
      <c r="P890" s="5">
        <v>185881</v>
      </c>
      <c r="Q890" s="5">
        <v>35317</v>
      </c>
      <c r="R890" s="5">
        <v>221198</v>
      </c>
    </row>
    <row r="891" spans="1:18" x14ac:dyDescent="0.25">
      <c r="A891" t="s">
        <v>1003</v>
      </c>
      <c r="B891" t="s">
        <v>494</v>
      </c>
      <c r="C891">
        <v>70574900</v>
      </c>
      <c r="D891">
        <v>319</v>
      </c>
      <c r="E891">
        <v>4200191491</v>
      </c>
      <c r="F891" t="s">
        <v>1004</v>
      </c>
      <c r="G891" s="1">
        <v>45235</v>
      </c>
      <c r="H891">
        <v>5412966</v>
      </c>
      <c r="I891">
        <v>12</v>
      </c>
      <c r="J891" t="s">
        <v>319</v>
      </c>
      <c r="K891" t="str">
        <f>IFERROR(IF(AND(VLOOKUP($C891,Hes!$A:$B, 1, FALSE), $M891&lt;&gt;" "), "Ingresada", "Falta Ingresar"), " ")</f>
        <v xml:space="preserve"> </v>
      </c>
      <c r="L891" s="4" t="str">
        <f>IFERROR(VLOOKUP($C891,Observaciones!$A:$B,2,FALSE)," ")</f>
        <v>VENDEDOR ENVIA INFORME</v>
      </c>
      <c r="M891" t="s">
        <v>681</v>
      </c>
      <c r="O891" s="5">
        <v>30854028</v>
      </c>
      <c r="P891" s="5">
        <v>378397</v>
      </c>
      <c r="Q891" s="5">
        <v>71895</v>
      </c>
      <c r="R891" s="5">
        <v>450292</v>
      </c>
    </row>
    <row r="892" spans="1:18" x14ac:dyDescent="0.25">
      <c r="A892" t="s">
        <v>1003</v>
      </c>
      <c r="B892" t="s">
        <v>494</v>
      </c>
      <c r="C892">
        <v>70574900</v>
      </c>
      <c r="D892">
        <v>304</v>
      </c>
      <c r="E892">
        <v>4200191486</v>
      </c>
      <c r="F892" t="s">
        <v>1004</v>
      </c>
      <c r="G892" s="1">
        <v>45235</v>
      </c>
      <c r="H892">
        <v>5412967</v>
      </c>
      <c r="I892">
        <v>12</v>
      </c>
      <c r="J892" t="s">
        <v>319</v>
      </c>
      <c r="K892" t="str">
        <f>IFERROR(IF(AND(VLOOKUP($C892,Hes!$A:$B, 1, FALSE), $M892&lt;&gt;" "), "Ingresada", "Falta Ingresar"), " ")</f>
        <v xml:space="preserve"> </v>
      </c>
      <c r="L892" s="4" t="str">
        <f>IFERROR(VLOOKUP($C892,Observaciones!$A:$B,2,FALSE)," ")</f>
        <v>VENDEDOR ENVIA INFORME</v>
      </c>
      <c r="M892" t="s">
        <v>681</v>
      </c>
      <c r="O892" s="5">
        <v>30853612</v>
      </c>
      <c r="P892" s="5">
        <v>974197</v>
      </c>
      <c r="Q892" s="5">
        <v>185097</v>
      </c>
      <c r="R892" s="5">
        <v>1159294</v>
      </c>
    </row>
    <row r="893" spans="1:18" x14ac:dyDescent="0.25">
      <c r="A893" t="s">
        <v>1003</v>
      </c>
      <c r="B893" t="s">
        <v>494</v>
      </c>
      <c r="C893">
        <v>70574900</v>
      </c>
      <c r="D893">
        <v>332</v>
      </c>
      <c r="E893">
        <v>4200191462</v>
      </c>
      <c r="F893" t="s">
        <v>1004</v>
      </c>
      <c r="G893" s="1">
        <v>45235</v>
      </c>
      <c r="H893">
        <v>5412968</v>
      </c>
      <c r="I893">
        <v>12</v>
      </c>
      <c r="J893" t="s">
        <v>319</v>
      </c>
      <c r="K893" t="str">
        <f>IFERROR(IF(AND(VLOOKUP($C893,Hes!$A:$B, 1, FALSE), $M893&lt;&gt;" "), "Ingresada", "Falta Ingresar"), " ")</f>
        <v xml:space="preserve"> </v>
      </c>
      <c r="L893" s="4" t="str">
        <f>IFERROR(VLOOKUP($C893,Observaciones!$A:$B,2,FALSE)," ")</f>
        <v>VENDEDOR ENVIA INFORME</v>
      </c>
      <c r="M893" t="s">
        <v>681</v>
      </c>
      <c r="O893" s="5">
        <v>30854166</v>
      </c>
      <c r="P893" s="5">
        <v>370962</v>
      </c>
      <c r="Q893" s="5">
        <v>70483</v>
      </c>
      <c r="R893" s="5">
        <v>441445</v>
      </c>
    </row>
    <row r="894" spans="1:18" x14ac:dyDescent="0.25">
      <c r="A894" t="s">
        <v>1003</v>
      </c>
      <c r="B894" t="s">
        <v>494</v>
      </c>
      <c r="C894">
        <v>70574900</v>
      </c>
      <c r="D894">
        <v>724</v>
      </c>
      <c r="E894">
        <v>4200190454</v>
      </c>
      <c r="F894" t="s">
        <v>1004</v>
      </c>
      <c r="G894" s="1">
        <v>45236</v>
      </c>
      <c r="H894">
        <v>5412976</v>
      </c>
      <c r="I894">
        <v>12</v>
      </c>
      <c r="J894" t="s">
        <v>319</v>
      </c>
      <c r="K894" t="str">
        <f>IFERROR(IF(AND(VLOOKUP($C894,Hes!$A:$B, 1, FALSE), $M894&lt;&gt;" "), "Ingresada", "Falta Ingresar"), " ")</f>
        <v xml:space="preserve"> </v>
      </c>
      <c r="L894" s="4" t="str">
        <f>IFERROR(VLOOKUP($C894,Observaciones!$A:$B,2,FALSE)," ")</f>
        <v>VENDEDOR ENVIA INFORME</v>
      </c>
      <c r="M894" t="s">
        <v>681</v>
      </c>
      <c r="O894" s="5">
        <v>30849620</v>
      </c>
      <c r="P894" s="5">
        <v>185144</v>
      </c>
      <c r="Q894" s="5">
        <v>35177</v>
      </c>
      <c r="R894" s="5">
        <v>220321</v>
      </c>
    </row>
    <row r="895" spans="1:18" x14ac:dyDescent="0.25">
      <c r="A895" t="s">
        <v>1003</v>
      </c>
      <c r="B895" t="s">
        <v>494</v>
      </c>
      <c r="C895">
        <v>70574900</v>
      </c>
      <c r="D895">
        <v>700</v>
      </c>
      <c r="E895">
        <v>4200190876</v>
      </c>
      <c r="F895" t="s">
        <v>1004</v>
      </c>
      <c r="G895" s="1">
        <v>45236</v>
      </c>
      <c r="H895">
        <v>5412979</v>
      </c>
      <c r="I895">
        <v>12</v>
      </c>
      <c r="J895" t="s">
        <v>319</v>
      </c>
      <c r="K895" t="str">
        <f>IFERROR(IF(AND(VLOOKUP($C895,Hes!$A:$B, 1, FALSE), $M895&lt;&gt;" "), "Ingresada", "Falta Ingresar"), " ")</f>
        <v xml:space="preserve"> </v>
      </c>
      <c r="L895" s="4" t="str">
        <f>IFERROR(VLOOKUP($C895,Observaciones!$A:$B,2,FALSE)," ")</f>
        <v>VENDEDOR ENVIA INFORME</v>
      </c>
      <c r="M895" t="s">
        <v>681</v>
      </c>
      <c r="O895" s="5">
        <v>30849828</v>
      </c>
      <c r="P895" s="5">
        <v>215757</v>
      </c>
      <c r="Q895" s="5">
        <v>40994</v>
      </c>
      <c r="R895" s="5">
        <v>256751</v>
      </c>
    </row>
    <row r="896" spans="1:18" x14ac:dyDescent="0.25">
      <c r="A896" t="s">
        <v>1003</v>
      </c>
      <c r="B896" t="s">
        <v>494</v>
      </c>
      <c r="C896">
        <v>70574900</v>
      </c>
      <c r="D896">
        <v>742</v>
      </c>
      <c r="E896">
        <v>4200191262</v>
      </c>
      <c r="F896" t="s">
        <v>1004</v>
      </c>
      <c r="G896" s="1">
        <v>45236</v>
      </c>
      <c r="H896">
        <v>5412986</v>
      </c>
      <c r="I896">
        <v>12</v>
      </c>
      <c r="J896" t="s">
        <v>319</v>
      </c>
      <c r="K896" t="str">
        <f>IFERROR(IF(AND(VLOOKUP($C896,Hes!$A:$B, 1, FALSE), $M896&lt;&gt;" "), "Ingresada", "Falta Ingresar"), " ")</f>
        <v xml:space="preserve"> </v>
      </c>
      <c r="L896" s="4" t="str">
        <f>IFERROR(VLOOKUP($C896,Observaciones!$A:$B,2,FALSE)," ")</f>
        <v>VENDEDOR ENVIA INFORME</v>
      </c>
      <c r="M896" t="s">
        <v>681</v>
      </c>
      <c r="O896" s="5">
        <v>30855631</v>
      </c>
      <c r="P896" s="5">
        <v>8640</v>
      </c>
      <c r="Q896" s="5">
        <v>1642</v>
      </c>
      <c r="R896" s="5">
        <v>10282</v>
      </c>
    </row>
    <row r="897" spans="1:18" x14ac:dyDescent="0.25">
      <c r="A897" t="s">
        <v>1003</v>
      </c>
      <c r="B897" t="s">
        <v>494</v>
      </c>
      <c r="C897">
        <v>70574900</v>
      </c>
      <c r="D897">
        <v>322</v>
      </c>
      <c r="E897">
        <v>4200191463</v>
      </c>
      <c r="F897" t="s">
        <v>1004</v>
      </c>
      <c r="G897" s="1">
        <v>45234</v>
      </c>
      <c r="H897">
        <v>5412990</v>
      </c>
      <c r="I897">
        <v>12</v>
      </c>
      <c r="J897" t="s">
        <v>319</v>
      </c>
      <c r="K897" t="str">
        <f>IFERROR(IF(AND(VLOOKUP($C897,Hes!$A:$B, 1, FALSE), $M897&lt;&gt;" "), "Ingresada", "Falta Ingresar"), " ")</f>
        <v xml:space="preserve"> </v>
      </c>
      <c r="L897" s="4" t="str">
        <f>IFERROR(VLOOKUP($C897,Observaciones!$A:$B,2,FALSE)," ")</f>
        <v>VENDEDOR ENVIA INFORME</v>
      </c>
      <c r="M897" t="s">
        <v>681</v>
      </c>
      <c r="O897" s="5">
        <v>30854297</v>
      </c>
      <c r="P897" s="5">
        <v>707449</v>
      </c>
      <c r="Q897" s="5">
        <v>134415</v>
      </c>
      <c r="R897" s="5">
        <v>841864</v>
      </c>
    </row>
    <row r="898" spans="1:18" x14ac:dyDescent="0.25">
      <c r="A898" t="s">
        <v>1003</v>
      </c>
      <c r="B898" t="s">
        <v>494</v>
      </c>
      <c r="C898">
        <v>70574900</v>
      </c>
      <c r="D898">
        <v>307</v>
      </c>
      <c r="E898">
        <v>4200191477</v>
      </c>
      <c r="F898" t="s">
        <v>1004</v>
      </c>
      <c r="G898" s="1">
        <v>45235</v>
      </c>
      <c r="H898">
        <v>5412993</v>
      </c>
      <c r="I898">
        <v>12</v>
      </c>
      <c r="J898" t="s">
        <v>319</v>
      </c>
      <c r="K898" t="str">
        <f>IFERROR(IF(AND(VLOOKUP($C898,Hes!$A:$B, 1, FALSE), $M898&lt;&gt;" "), "Ingresada", "Falta Ingresar"), " ")</f>
        <v xml:space="preserve"> </v>
      </c>
      <c r="L898" s="4" t="str">
        <f>IFERROR(VLOOKUP($C898,Observaciones!$A:$B,2,FALSE)," ")</f>
        <v>VENDEDOR ENVIA INFORME</v>
      </c>
      <c r="M898" t="s">
        <v>681</v>
      </c>
      <c r="O898" s="5">
        <v>30853643</v>
      </c>
      <c r="P898" s="5">
        <v>519681</v>
      </c>
      <c r="Q898" s="5">
        <v>98739</v>
      </c>
      <c r="R898" s="5">
        <v>618420</v>
      </c>
    </row>
    <row r="899" spans="1:18" x14ac:dyDescent="0.25">
      <c r="A899" t="s">
        <v>1003</v>
      </c>
      <c r="B899" t="s">
        <v>494</v>
      </c>
      <c r="C899">
        <v>70574900</v>
      </c>
      <c r="D899">
        <v>313</v>
      </c>
      <c r="E899">
        <v>4200191098</v>
      </c>
      <c r="F899" t="s">
        <v>1004</v>
      </c>
      <c r="G899" s="1">
        <v>45235</v>
      </c>
      <c r="H899">
        <v>5412994</v>
      </c>
      <c r="I899">
        <v>12</v>
      </c>
      <c r="J899" t="s">
        <v>319</v>
      </c>
      <c r="K899" t="str">
        <f>IFERROR(IF(AND(VLOOKUP($C899,Hes!$A:$B, 1, FALSE), $M899&lt;&gt;" "), "Ingresada", "Falta Ingresar"), " ")</f>
        <v xml:space="preserve"> </v>
      </c>
      <c r="L899" s="4" t="str">
        <f>IFERROR(VLOOKUP($C899,Observaciones!$A:$B,2,FALSE)," ")</f>
        <v>VENDEDOR ENVIA INFORME</v>
      </c>
      <c r="M899" t="s">
        <v>681</v>
      </c>
      <c r="O899" s="5">
        <v>30855777</v>
      </c>
      <c r="P899" s="5">
        <v>448621</v>
      </c>
      <c r="Q899" s="5">
        <v>85238</v>
      </c>
      <c r="R899" s="5">
        <v>533859</v>
      </c>
    </row>
    <row r="900" spans="1:18" x14ac:dyDescent="0.25">
      <c r="A900" t="s">
        <v>1003</v>
      </c>
      <c r="B900" t="s">
        <v>494</v>
      </c>
      <c r="C900">
        <v>70574900</v>
      </c>
      <c r="D900">
        <v>355</v>
      </c>
      <c r="E900">
        <v>4200191471</v>
      </c>
      <c r="F900" t="s">
        <v>1004</v>
      </c>
      <c r="G900" s="1">
        <v>45235</v>
      </c>
      <c r="H900">
        <v>5412996</v>
      </c>
      <c r="I900">
        <v>12</v>
      </c>
      <c r="J900" t="s">
        <v>319</v>
      </c>
      <c r="K900" t="str">
        <f>IFERROR(IF(AND(VLOOKUP($C900,Hes!$A:$B, 1, FALSE), $M900&lt;&gt;" "), "Ingresada", "Falta Ingresar"), " ")</f>
        <v xml:space="preserve"> </v>
      </c>
      <c r="L900" s="4" t="str">
        <f>IFERROR(VLOOKUP($C900,Observaciones!$A:$B,2,FALSE)," ")</f>
        <v>VENDEDOR ENVIA INFORME</v>
      </c>
      <c r="M900" t="s">
        <v>681</v>
      </c>
      <c r="O900" s="5">
        <v>30854228</v>
      </c>
      <c r="P900" s="5">
        <v>671078</v>
      </c>
      <c r="Q900" s="5">
        <v>127505</v>
      </c>
      <c r="R900" s="5">
        <v>798583</v>
      </c>
    </row>
    <row r="901" spans="1:18" x14ac:dyDescent="0.25">
      <c r="A901" t="s">
        <v>1003</v>
      </c>
      <c r="B901" t="s">
        <v>494</v>
      </c>
      <c r="C901">
        <v>70574900</v>
      </c>
      <c r="D901">
        <v>704</v>
      </c>
      <c r="E901">
        <v>4200190984</v>
      </c>
      <c r="F901" t="s">
        <v>1004</v>
      </c>
      <c r="G901" s="1">
        <v>45236</v>
      </c>
      <c r="H901">
        <v>5412999</v>
      </c>
      <c r="I901">
        <v>12</v>
      </c>
      <c r="J901" t="s">
        <v>319</v>
      </c>
      <c r="K901" t="str">
        <f>IFERROR(IF(AND(VLOOKUP($C901,Hes!$A:$B, 1, FALSE), $M901&lt;&gt;" "), "Ingresada", "Falta Ingresar"), " ")</f>
        <v xml:space="preserve"> </v>
      </c>
      <c r="L901" s="4" t="str">
        <f>IFERROR(VLOOKUP($C901,Observaciones!$A:$B,2,FALSE)," ")</f>
        <v>VENDEDOR ENVIA INFORME</v>
      </c>
      <c r="M901" t="s">
        <v>681</v>
      </c>
      <c r="O901" s="5">
        <v>30850008</v>
      </c>
      <c r="P901" s="5">
        <v>46836</v>
      </c>
      <c r="Q901" s="5">
        <v>8899</v>
      </c>
      <c r="R901" s="5">
        <v>55735</v>
      </c>
    </row>
    <row r="902" spans="1:18" x14ac:dyDescent="0.25">
      <c r="A902" t="s">
        <v>1003</v>
      </c>
      <c r="B902" t="s">
        <v>494</v>
      </c>
      <c r="C902">
        <v>70574900</v>
      </c>
      <c r="D902">
        <v>703</v>
      </c>
      <c r="E902">
        <v>4200190983</v>
      </c>
      <c r="F902" t="s">
        <v>1004</v>
      </c>
      <c r="G902" s="1">
        <v>45236</v>
      </c>
      <c r="H902">
        <v>5413000</v>
      </c>
      <c r="I902">
        <v>12</v>
      </c>
      <c r="J902" t="s">
        <v>319</v>
      </c>
      <c r="K902" t="str">
        <f>IFERROR(IF(AND(VLOOKUP($C902,Hes!$A:$B, 1, FALSE), $M902&lt;&gt;" "), "Ingresada", "Falta Ingresar"), " ")</f>
        <v xml:space="preserve"> </v>
      </c>
      <c r="L902" s="4" t="str">
        <f>IFERROR(VLOOKUP($C902,Observaciones!$A:$B,2,FALSE)," ")</f>
        <v>VENDEDOR ENVIA INFORME</v>
      </c>
      <c r="M902" t="s">
        <v>681</v>
      </c>
      <c r="O902" s="5">
        <v>30850000</v>
      </c>
      <c r="P902" s="5">
        <v>39210</v>
      </c>
      <c r="Q902" s="5">
        <v>7450</v>
      </c>
      <c r="R902" s="5">
        <v>46660</v>
      </c>
    </row>
    <row r="903" spans="1:18" x14ac:dyDescent="0.25">
      <c r="A903" t="s">
        <v>1003</v>
      </c>
      <c r="B903" t="s">
        <v>494</v>
      </c>
      <c r="C903">
        <v>70574900</v>
      </c>
      <c r="D903">
        <v>724</v>
      </c>
      <c r="E903">
        <v>4200191007</v>
      </c>
      <c r="F903" t="s">
        <v>1004</v>
      </c>
      <c r="G903" s="1">
        <v>45236</v>
      </c>
      <c r="H903">
        <v>5413001</v>
      </c>
      <c r="I903">
        <v>12</v>
      </c>
      <c r="J903" t="s">
        <v>319</v>
      </c>
      <c r="K903" t="str">
        <f>IFERROR(IF(AND(VLOOKUP($C903,Hes!$A:$B, 1, FALSE), $M903&lt;&gt;" "), "Ingresada", "Falta Ingresar"), " ")</f>
        <v xml:space="preserve"> </v>
      </c>
      <c r="L903" s="4" t="str">
        <f>IFERROR(VLOOKUP($C903,Observaciones!$A:$B,2,FALSE)," ")</f>
        <v>VENDEDOR ENVIA INFORME</v>
      </c>
      <c r="M903" t="s">
        <v>681</v>
      </c>
      <c r="O903" s="5">
        <v>30850233</v>
      </c>
      <c r="P903" s="5">
        <v>11979</v>
      </c>
      <c r="Q903" s="5">
        <v>2276</v>
      </c>
      <c r="R903" s="5">
        <v>14255</v>
      </c>
    </row>
    <row r="904" spans="1:18" x14ac:dyDescent="0.25">
      <c r="A904" t="s">
        <v>1003</v>
      </c>
      <c r="B904" t="s">
        <v>494</v>
      </c>
      <c r="C904">
        <v>70574900</v>
      </c>
      <c r="D904">
        <v>701</v>
      </c>
      <c r="E904">
        <v>4200190981</v>
      </c>
      <c r="F904" t="s">
        <v>1004</v>
      </c>
      <c r="G904" s="1">
        <v>45236</v>
      </c>
      <c r="H904">
        <v>5413005</v>
      </c>
      <c r="I904">
        <v>12</v>
      </c>
      <c r="J904" t="s">
        <v>319</v>
      </c>
      <c r="K904" t="str">
        <f>IFERROR(IF(AND(VLOOKUP($C904,Hes!$A:$B, 1, FALSE), $M904&lt;&gt;" "), "Ingresada", "Falta Ingresar"), " ")</f>
        <v xml:space="preserve"> </v>
      </c>
      <c r="L904" s="4" t="str">
        <f>IFERROR(VLOOKUP($C904,Observaciones!$A:$B,2,FALSE)," ")</f>
        <v>VENDEDOR ENVIA INFORME</v>
      </c>
      <c r="M904" t="s">
        <v>681</v>
      </c>
      <c r="O904" s="5">
        <v>30849966</v>
      </c>
      <c r="P904" s="5">
        <v>30907</v>
      </c>
      <c r="Q904" s="5">
        <v>5872</v>
      </c>
      <c r="R904" s="5">
        <v>36779</v>
      </c>
    </row>
    <row r="905" spans="1:18" x14ac:dyDescent="0.25">
      <c r="A905" t="s">
        <v>1003</v>
      </c>
      <c r="B905" t="s">
        <v>494</v>
      </c>
      <c r="C905">
        <v>70574900</v>
      </c>
      <c r="D905">
        <v>706</v>
      </c>
      <c r="E905">
        <v>4200190987</v>
      </c>
      <c r="F905" t="s">
        <v>1004</v>
      </c>
      <c r="G905" s="1">
        <v>45236</v>
      </c>
      <c r="H905">
        <v>5413006</v>
      </c>
      <c r="I905">
        <v>12</v>
      </c>
      <c r="J905" t="s">
        <v>319</v>
      </c>
      <c r="K905" t="str">
        <f>IFERROR(IF(AND(VLOOKUP($C905,Hes!$A:$B, 1, FALSE), $M905&lt;&gt;" "), "Ingresada", "Falta Ingresar"), " ")</f>
        <v xml:space="preserve"> </v>
      </c>
      <c r="L905" s="4" t="str">
        <f>IFERROR(VLOOKUP($C905,Observaciones!$A:$B,2,FALSE)," ")</f>
        <v>VENDEDOR ENVIA INFORME</v>
      </c>
      <c r="M905" t="s">
        <v>681</v>
      </c>
      <c r="O905" s="5">
        <v>30850018</v>
      </c>
      <c r="P905" s="5">
        <v>19605</v>
      </c>
      <c r="Q905" s="5">
        <v>3725</v>
      </c>
      <c r="R905" s="5">
        <v>23330</v>
      </c>
    </row>
    <row r="906" spans="1:18" x14ac:dyDescent="0.25">
      <c r="A906" t="s">
        <v>1003</v>
      </c>
      <c r="B906" t="s">
        <v>494</v>
      </c>
      <c r="C906">
        <v>70574900</v>
      </c>
      <c r="D906">
        <v>742</v>
      </c>
      <c r="E906">
        <v>4200190982</v>
      </c>
      <c r="F906" t="s">
        <v>1004</v>
      </c>
      <c r="G906" s="1">
        <v>45236</v>
      </c>
      <c r="H906">
        <v>5413008</v>
      </c>
      <c r="I906">
        <v>12</v>
      </c>
      <c r="J906" t="s">
        <v>319</v>
      </c>
      <c r="K906" t="str">
        <f>IFERROR(IF(AND(VLOOKUP($C906,Hes!$A:$B, 1, FALSE), $M906&lt;&gt;" "), "Ingresada", "Falta Ingresar"), " ")</f>
        <v xml:space="preserve"> </v>
      </c>
      <c r="L906" s="4" t="str">
        <f>IFERROR(VLOOKUP($C906,Observaciones!$A:$B,2,FALSE)," ")</f>
        <v>VENDEDOR ENVIA INFORME</v>
      </c>
      <c r="M906" t="s">
        <v>681</v>
      </c>
      <c r="O906" s="5">
        <v>30849984</v>
      </c>
      <c r="P906" s="5">
        <v>31584</v>
      </c>
      <c r="Q906" s="5">
        <v>6001</v>
      </c>
      <c r="R906" s="5">
        <v>37585</v>
      </c>
    </row>
    <row r="907" spans="1:18" x14ac:dyDescent="0.25">
      <c r="A907" t="s">
        <v>1003</v>
      </c>
      <c r="B907" t="s">
        <v>494</v>
      </c>
      <c r="C907">
        <v>70574900</v>
      </c>
      <c r="D907">
        <v>705</v>
      </c>
      <c r="E907">
        <v>4200190986</v>
      </c>
      <c r="F907" t="s">
        <v>1004</v>
      </c>
      <c r="G907" s="1">
        <v>45236</v>
      </c>
      <c r="H907">
        <v>5413009</v>
      </c>
      <c r="I907">
        <v>12</v>
      </c>
      <c r="J907" t="s">
        <v>319</v>
      </c>
      <c r="K907" t="str">
        <f>IFERROR(IF(AND(VLOOKUP($C907,Hes!$A:$B, 1, FALSE), $M907&lt;&gt;" "), "Ingresada", "Falta Ingresar"), " ")</f>
        <v xml:space="preserve"> </v>
      </c>
      <c r="L907" s="4" t="str">
        <f>IFERROR(VLOOKUP($C907,Observaciones!$A:$B,2,FALSE)," ")</f>
        <v>VENDEDOR ENVIA INFORME</v>
      </c>
      <c r="M907" t="s">
        <v>681</v>
      </c>
      <c r="O907" s="5">
        <v>30850012</v>
      </c>
      <c r="P907" s="5">
        <v>20585</v>
      </c>
      <c r="Q907" s="5">
        <v>3911</v>
      </c>
      <c r="R907" s="5">
        <v>24496</v>
      </c>
    </row>
    <row r="908" spans="1:18" x14ac:dyDescent="0.25">
      <c r="A908" t="s">
        <v>1003</v>
      </c>
      <c r="B908" t="s">
        <v>494</v>
      </c>
      <c r="C908">
        <v>70574900</v>
      </c>
      <c r="D908">
        <v>713</v>
      </c>
      <c r="E908">
        <v>4200190989</v>
      </c>
      <c r="F908" t="s">
        <v>1004</v>
      </c>
      <c r="G908" s="1">
        <v>45236</v>
      </c>
      <c r="H908">
        <v>5413010</v>
      </c>
      <c r="I908">
        <v>12</v>
      </c>
      <c r="J908" t="s">
        <v>319</v>
      </c>
      <c r="K908" t="str">
        <f>IFERROR(IF(AND(VLOOKUP($C908,Hes!$A:$B, 1, FALSE), $M908&lt;&gt;" "), "Ingresada", "Falta Ingresar"), " ")</f>
        <v xml:space="preserve"> </v>
      </c>
      <c r="L908" s="4" t="str">
        <f>IFERROR(VLOOKUP($C908,Observaciones!$A:$B,2,FALSE)," ")</f>
        <v>VENDEDOR ENVIA INFORME</v>
      </c>
      <c r="M908" t="s">
        <v>681</v>
      </c>
      <c r="O908" s="5">
        <v>30850049</v>
      </c>
      <c r="P908" s="5">
        <v>23958</v>
      </c>
      <c r="Q908" s="5">
        <v>4552</v>
      </c>
      <c r="R908" s="5">
        <v>28510</v>
      </c>
    </row>
    <row r="909" spans="1:18" x14ac:dyDescent="0.25">
      <c r="A909" t="s">
        <v>1003</v>
      </c>
      <c r="B909" t="s">
        <v>494</v>
      </c>
      <c r="C909">
        <v>70574900</v>
      </c>
      <c r="D909">
        <v>710</v>
      </c>
      <c r="E909">
        <v>4200190988</v>
      </c>
      <c r="F909" t="s">
        <v>1004</v>
      </c>
      <c r="G909" s="1">
        <v>45236</v>
      </c>
      <c r="H909">
        <v>5413012</v>
      </c>
      <c r="I909">
        <v>12</v>
      </c>
      <c r="J909" t="s">
        <v>319</v>
      </c>
      <c r="K909" t="str">
        <f>IFERROR(IF(AND(VLOOKUP($C909,Hes!$A:$B, 1, FALSE), $M909&lt;&gt;" "), "Ingresada", "Falta Ingresar"), " ")</f>
        <v xml:space="preserve"> </v>
      </c>
      <c r="L909" s="4" t="str">
        <f>IFERROR(VLOOKUP($C909,Observaciones!$A:$B,2,FALSE)," ")</f>
        <v>VENDEDOR ENVIA INFORME</v>
      </c>
      <c r="M909" t="s">
        <v>681</v>
      </c>
      <c r="O909" s="5">
        <v>30850024</v>
      </c>
      <c r="P909" s="5">
        <v>43120</v>
      </c>
      <c r="Q909" s="5">
        <v>8193</v>
      </c>
      <c r="R909" s="5">
        <v>51313</v>
      </c>
    </row>
    <row r="910" spans="1:18" x14ac:dyDescent="0.25">
      <c r="A910" t="s">
        <v>1003</v>
      </c>
      <c r="B910" t="s">
        <v>494</v>
      </c>
      <c r="C910">
        <v>70574900</v>
      </c>
      <c r="D910">
        <v>715</v>
      </c>
      <c r="E910">
        <v>4200190992</v>
      </c>
      <c r="F910" t="s">
        <v>1004</v>
      </c>
      <c r="G910" s="1">
        <v>45236</v>
      </c>
      <c r="H910">
        <v>5413015</v>
      </c>
      <c r="I910">
        <v>12</v>
      </c>
      <c r="J910" t="s">
        <v>319</v>
      </c>
      <c r="K910" t="str">
        <f>IFERROR(IF(AND(VLOOKUP($C910,Hes!$A:$B, 1, FALSE), $M910&lt;&gt;" "), "Ingresada", "Falta Ingresar"), " ")</f>
        <v xml:space="preserve"> </v>
      </c>
      <c r="L910" s="4" t="str">
        <f>IFERROR(VLOOKUP($C910,Observaciones!$A:$B,2,FALSE)," ")</f>
        <v>VENDEDOR ENVIA INFORME</v>
      </c>
      <c r="M910" t="s">
        <v>681</v>
      </c>
      <c r="O910" s="5">
        <v>30850058</v>
      </c>
      <c r="P910" s="5">
        <v>109020</v>
      </c>
      <c r="Q910" s="5">
        <v>20714</v>
      </c>
      <c r="R910" s="5">
        <v>129734</v>
      </c>
    </row>
    <row r="911" spans="1:18" x14ac:dyDescent="0.25">
      <c r="A911" t="s">
        <v>1003</v>
      </c>
      <c r="B911" t="s">
        <v>494</v>
      </c>
      <c r="C911">
        <v>70574900</v>
      </c>
      <c r="D911">
        <v>711</v>
      </c>
      <c r="E911">
        <v>4200191321</v>
      </c>
      <c r="F911" t="s">
        <v>1004</v>
      </c>
      <c r="G911" s="1">
        <v>45236</v>
      </c>
      <c r="H911">
        <v>5413019</v>
      </c>
      <c r="I911">
        <v>12</v>
      </c>
      <c r="J911" t="s">
        <v>319</v>
      </c>
      <c r="K911" t="str">
        <f>IFERROR(IF(AND(VLOOKUP($C911,Hes!$A:$B, 1, FALSE), $M911&lt;&gt;" "), "Ingresada", "Falta Ingresar"), " ")</f>
        <v xml:space="preserve"> </v>
      </c>
      <c r="L911" s="4" t="str">
        <f>IFERROR(VLOOKUP($C911,Observaciones!$A:$B,2,FALSE)," ")</f>
        <v>VENDEDOR ENVIA INFORME</v>
      </c>
      <c r="M911" t="s">
        <v>681</v>
      </c>
      <c r="O911" s="5">
        <v>30856069</v>
      </c>
      <c r="P911" s="5">
        <v>36646</v>
      </c>
      <c r="Q911" s="5">
        <v>6963</v>
      </c>
      <c r="R911" s="5">
        <v>43609</v>
      </c>
    </row>
    <row r="912" spans="1:18" x14ac:dyDescent="0.25">
      <c r="A912" t="s">
        <v>1003</v>
      </c>
      <c r="B912" t="s">
        <v>494</v>
      </c>
      <c r="C912">
        <v>70574900</v>
      </c>
      <c r="D912">
        <v>315</v>
      </c>
      <c r="E912">
        <v>4200191483</v>
      </c>
      <c r="F912" t="s">
        <v>1004</v>
      </c>
      <c r="G912" s="1">
        <v>45235</v>
      </c>
      <c r="H912">
        <v>5413036</v>
      </c>
      <c r="I912">
        <v>12</v>
      </c>
      <c r="J912" t="s">
        <v>319</v>
      </c>
      <c r="K912" t="str">
        <f>IFERROR(IF(AND(VLOOKUP($C912,Hes!$A:$B, 1, FALSE), $M912&lt;&gt;" "), "Ingresada", "Falta Ingresar"), " ")</f>
        <v xml:space="preserve"> </v>
      </c>
      <c r="L912" s="4" t="str">
        <f>IFERROR(VLOOKUP($C912,Observaciones!$A:$B,2,FALSE)," ")</f>
        <v>VENDEDOR ENVIA INFORME</v>
      </c>
      <c r="M912" t="s">
        <v>681</v>
      </c>
      <c r="O912" s="5">
        <v>30853760</v>
      </c>
      <c r="P912" s="5">
        <v>523602</v>
      </c>
      <c r="Q912" s="5">
        <v>99484</v>
      </c>
      <c r="R912" s="5">
        <v>623086</v>
      </c>
    </row>
    <row r="913" spans="1:18" x14ac:dyDescent="0.25">
      <c r="A913" t="s">
        <v>1003</v>
      </c>
      <c r="B913" t="s">
        <v>494</v>
      </c>
      <c r="C913">
        <v>70574900</v>
      </c>
      <c r="D913">
        <v>312</v>
      </c>
      <c r="E913">
        <v>4200191101</v>
      </c>
      <c r="F913" t="s">
        <v>1004</v>
      </c>
      <c r="G913" s="1">
        <v>45235</v>
      </c>
      <c r="H913">
        <v>5413037</v>
      </c>
      <c r="I913">
        <v>12</v>
      </c>
      <c r="J913" t="s">
        <v>319</v>
      </c>
      <c r="K913" t="str">
        <f>IFERROR(IF(AND(VLOOKUP($C913,Hes!$A:$B, 1, FALSE), $M913&lt;&gt;" "), "Ingresada", "Falta Ingresar"), " ")</f>
        <v xml:space="preserve"> </v>
      </c>
      <c r="L913" s="4" t="str">
        <f>IFERROR(VLOOKUP($C913,Observaciones!$A:$B,2,FALSE)," ")</f>
        <v>VENDEDOR ENVIA INFORME</v>
      </c>
      <c r="M913" t="s">
        <v>681</v>
      </c>
      <c r="O913" s="5">
        <v>30855959</v>
      </c>
      <c r="P913" s="5">
        <v>350037</v>
      </c>
      <c r="Q913" s="5">
        <v>66507</v>
      </c>
      <c r="R913" s="5">
        <v>416544</v>
      </c>
    </row>
    <row r="914" spans="1:18" x14ac:dyDescent="0.25">
      <c r="A914" t="s">
        <v>1003</v>
      </c>
      <c r="B914" t="s">
        <v>494</v>
      </c>
      <c r="C914">
        <v>70574900</v>
      </c>
      <c r="D914">
        <v>305</v>
      </c>
      <c r="E914">
        <v>4200191091</v>
      </c>
      <c r="F914" t="s">
        <v>1004</v>
      </c>
      <c r="G914" s="1">
        <v>45235</v>
      </c>
      <c r="H914">
        <v>5413038</v>
      </c>
      <c r="I914">
        <v>12</v>
      </c>
      <c r="J914" t="s">
        <v>319</v>
      </c>
      <c r="K914" t="str">
        <f>IFERROR(IF(AND(VLOOKUP($C914,Hes!$A:$B, 1, FALSE), $M914&lt;&gt;" "), "Ingresada", "Falta Ingresar"), " ")</f>
        <v xml:space="preserve"> </v>
      </c>
      <c r="L914" s="4" t="str">
        <f>IFERROR(VLOOKUP($C914,Observaciones!$A:$B,2,FALSE)," ")</f>
        <v>VENDEDOR ENVIA INFORME</v>
      </c>
      <c r="M914" t="s">
        <v>681</v>
      </c>
      <c r="O914" s="5">
        <v>30855603</v>
      </c>
      <c r="P914" s="5">
        <v>685631</v>
      </c>
      <c r="Q914" s="5">
        <v>130270</v>
      </c>
      <c r="R914" s="5">
        <v>815901</v>
      </c>
    </row>
    <row r="915" spans="1:18" x14ac:dyDescent="0.25">
      <c r="A915" t="s">
        <v>1003</v>
      </c>
      <c r="B915" t="s">
        <v>494</v>
      </c>
      <c r="C915">
        <v>70574900</v>
      </c>
      <c r="D915">
        <v>320</v>
      </c>
      <c r="E915">
        <v>4200191490</v>
      </c>
      <c r="F915" t="s">
        <v>1004</v>
      </c>
      <c r="G915" s="1">
        <v>45235</v>
      </c>
      <c r="H915">
        <v>5413039</v>
      </c>
      <c r="I915">
        <v>12</v>
      </c>
      <c r="J915" t="s">
        <v>319</v>
      </c>
      <c r="K915" t="str">
        <f>IFERROR(IF(AND(VLOOKUP($C915,Hes!$A:$B, 1, FALSE), $M915&lt;&gt;" "), "Ingresada", "Falta Ingresar"), " ")</f>
        <v xml:space="preserve"> </v>
      </c>
      <c r="L915" s="4" t="str">
        <f>IFERROR(VLOOKUP($C915,Observaciones!$A:$B,2,FALSE)," ")</f>
        <v>VENDEDOR ENVIA INFORME</v>
      </c>
      <c r="M915" t="s">
        <v>681</v>
      </c>
      <c r="O915" s="5">
        <v>30854066</v>
      </c>
      <c r="P915" s="5">
        <v>202706</v>
      </c>
      <c r="Q915" s="5">
        <v>38514</v>
      </c>
      <c r="R915" s="5">
        <v>241220</v>
      </c>
    </row>
    <row r="916" spans="1:18" x14ac:dyDescent="0.25">
      <c r="A916" t="s">
        <v>1003</v>
      </c>
      <c r="B916" t="s">
        <v>494</v>
      </c>
      <c r="C916">
        <v>70574900</v>
      </c>
      <c r="D916">
        <v>710</v>
      </c>
      <c r="E916">
        <v>4200190261</v>
      </c>
      <c r="F916" t="s">
        <v>1004</v>
      </c>
      <c r="G916" s="1">
        <v>45236</v>
      </c>
      <c r="H916">
        <v>5413042</v>
      </c>
      <c r="I916">
        <v>12</v>
      </c>
      <c r="J916" t="s">
        <v>319</v>
      </c>
      <c r="K916" t="str">
        <f>IFERROR(IF(AND(VLOOKUP($C916,Hes!$A:$B, 1, FALSE), $M916&lt;&gt;" "), "Ingresada", "Falta Ingresar"), " ")</f>
        <v xml:space="preserve"> </v>
      </c>
      <c r="L916" s="4" t="str">
        <f>IFERROR(VLOOKUP($C916,Observaciones!$A:$B,2,FALSE)," ")</f>
        <v>VENDEDOR ENVIA INFORME</v>
      </c>
      <c r="M916" t="s">
        <v>681</v>
      </c>
      <c r="O916" s="5">
        <v>30848228</v>
      </c>
      <c r="P916" s="5">
        <v>466424</v>
      </c>
      <c r="Q916" s="5">
        <v>88621</v>
      </c>
      <c r="R916" s="5">
        <v>555045</v>
      </c>
    </row>
    <row r="917" spans="1:18" x14ac:dyDescent="0.25">
      <c r="A917" t="s">
        <v>1003</v>
      </c>
      <c r="B917" t="s">
        <v>494</v>
      </c>
      <c r="C917">
        <v>70574900</v>
      </c>
      <c r="D917">
        <v>726</v>
      </c>
      <c r="E917">
        <v>4200190680</v>
      </c>
      <c r="F917" t="s">
        <v>1004</v>
      </c>
      <c r="G917" s="1">
        <v>45236</v>
      </c>
      <c r="H917">
        <v>5413044</v>
      </c>
      <c r="I917">
        <v>12</v>
      </c>
      <c r="J917" t="s">
        <v>319</v>
      </c>
      <c r="K917" t="str">
        <f>IFERROR(IF(AND(VLOOKUP($C917,Hes!$A:$B, 1, FALSE), $M917&lt;&gt;" "), "Ingresada", "Falta Ingresar"), " ")</f>
        <v xml:space="preserve"> </v>
      </c>
      <c r="L917" s="4" t="str">
        <f>IFERROR(VLOOKUP($C917,Observaciones!$A:$B,2,FALSE)," ")</f>
        <v>VENDEDOR ENVIA INFORME</v>
      </c>
      <c r="M917" t="s">
        <v>681</v>
      </c>
      <c r="O917" s="5">
        <v>30849736</v>
      </c>
      <c r="P917" s="5">
        <v>114220</v>
      </c>
      <c r="Q917" s="5">
        <v>21702</v>
      </c>
      <c r="R917" s="5">
        <v>135922</v>
      </c>
    </row>
    <row r="918" spans="1:18" x14ac:dyDescent="0.25">
      <c r="A918" t="s">
        <v>1003</v>
      </c>
      <c r="B918" t="s">
        <v>494</v>
      </c>
      <c r="C918">
        <v>70574900</v>
      </c>
      <c r="D918">
        <v>709</v>
      </c>
      <c r="E918">
        <v>4200191315</v>
      </c>
      <c r="F918" t="s">
        <v>1004</v>
      </c>
      <c r="G918" s="1">
        <v>45236</v>
      </c>
      <c r="H918">
        <v>5413048</v>
      </c>
      <c r="I918">
        <v>12</v>
      </c>
      <c r="J918" t="s">
        <v>319</v>
      </c>
      <c r="K918" t="str">
        <f>IFERROR(IF(AND(VLOOKUP($C918,Hes!$A:$B, 1, FALSE), $M918&lt;&gt;" "), "Ingresada", "Falta Ingresar"), " ")</f>
        <v xml:space="preserve"> </v>
      </c>
      <c r="L918" s="4" t="str">
        <f>IFERROR(VLOOKUP($C918,Observaciones!$A:$B,2,FALSE)," ")</f>
        <v>VENDEDOR ENVIA INFORME</v>
      </c>
      <c r="M918" t="s">
        <v>681</v>
      </c>
      <c r="O918" s="5">
        <v>30856020</v>
      </c>
      <c r="P918" s="5">
        <v>68458</v>
      </c>
      <c r="Q918" s="5">
        <v>13007</v>
      </c>
      <c r="R918" s="5">
        <v>81465</v>
      </c>
    </row>
    <row r="919" spans="1:18" x14ac:dyDescent="0.25">
      <c r="A919" t="s">
        <v>1003</v>
      </c>
      <c r="B919" t="s">
        <v>494</v>
      </c>
      <c r="C919">
        <v>70574900</v>
      </c>
      <c r="D919">
        <v>708</v>
      </c>
      <c r="E919">
        <v>4200191312</v>
      </c>
      <c r="F919" t="s">
        <v>1004</v>
      </c>
      <c r="G919" s="1">
        <v>45236</v>
      </c>
      <c r="H919">
        <v>5413083</v>
      </c>
      <c r="I919">
        <v>12</v>
      </c>
      <c r="J919" t="s">
        <v>319</v>
      </c>
      <c r="K919" t="str">
        <f>IFERROR(IF(AND(VLOOKUP($C919,Hes!$A:$B, 1, FALSE), $M919&lt;&gt;" "), "Ingresada", "Falta Ingresar"), " ")</f>
        <v xml:space="preserve"> </v>
      </c>
      <c r="L919" s="4" t="str">
        <f>IFERROR(VLOOKUP($C919,Observaciones!$A:$B,2,FALSE)," ")</f>
        <v>VENDEDOR ENVIA INFORME</v>
      </c>
      <c r="M919" t="s">
        <v>681</v>
      </c>
      <c r="O919" s="5">
        <v>30856000</v>
      </c>
      <c r="P919" s="5">
        <v>33532</v>
      </c>
      <c r="Q919" s="5">
        <v>6371</v>
      </c>
      <c r="R919" s="5">
        <v>39903</v>
      </c>
    </row>
    <row r="920" spans="1:18" x14ac:dyDescent="0.25">
      <c r="A920" t="s">
        <v>1003</v>
      </c>
      <c r="B920" t="s">
        <v>494</v>
      </c>
      <c r="C920">
        <v>70574900</v>
      </c>
      <c r="D920">
        <v>342</v>
      </c>
      <c r="E920">
        <v>4200191479</v>
      </c>
      <c r="F920" t="s">
        <v>1004</v>
      </c>
      <c r="G920" s="1">
        <v>45235</v>
      </c>
      <c r="H920">
        <v>5413097</v>
      </c>
      <c r="I920">
        <v>12</v>
      </c>
      <c r="J920" t="s">
        <v>319</v>
      </c>
      <c r="K920" t="str">
        <f>IFERROR(IF(AND(VLOOKUP($C920,Hes!$A:$B, 1, FALSE), $M920&lt;&gt;" "), "Ingresada", "Falta Ingresar"), " ")</f>
        <v xml:space="preserve"> </v>
      </c>
      <c r="L920" s="4" t="str">
        <f>IFERROR(VLOOKUP($C920,Observaciones!$A:$B,2,FALSE)," ")</f>
        <v>VENDEDOR ENVIA INFORME</v>
      </c>
      <c r="M920" t="s">
        <v>681</v>
      </c>
      <c r="O920" s="5">
        <v>30856039</v>
      </c>
      <c r="P920" s="5">
        <v>1374762</v>
      </c>
      <c r="Q920" s="5">
        <v>261205</v>
      </c>
      <c r="R920" s="5">
        <v>1635967</v>
      </c>
    </row>
    <row r="921" spans="1:18" x14ac:dyDescent="0.25">
      <c r="A921" t="s">
        <v>1003</v>
      </c>
      <c r="B921" t="s">
        <v>494</v>
      </c>
      <c r="C921">
        <v>70574900</v>
      </c>
      <c r="D921">
        <v>721</v>
      </c>
      <c r="E921">
        <v>4200119003</v>
      </c>
      <c r="F921" t="s">
        <v>1004</v>
      </c>
      <c r="G921" s="1">
        <v>45236</v>
      </c>
      <c r="H921">
        <v>5413137</v>
      </c>
      <c r="I921">
        <v>12</v>
      </c>
      <c r="J921" t="s">
        <v>319</v>
      </c>
      <c r="K921" t="str">
        <f>IFERROR(IF(AND(VLOOKUP($C921,Hes!$A:$B, 1, FALSE), $M921&lt;&gt;" "), "Ingresada", "Falta Ingresar"), " ")</f>
        <v xml:space="preserve"> </v>
      </c>
      <c r="L921" s="4" t="str">
        <f>IFERROR(VLOOKUP($C921,Observaciones!$A:$B,2,FALSE)," ")</f>
        <v>VENDEDOR ENVIA INFORME</v>
      </c>
      <c r="M921" t="s">
        <v>681</v>
      </c>
      <c r="O921" s="5">
        <v>30850186</v>
      </c>
      <c r="P921" s="5">
        <v>83302</v>
      </c>
      <c r="Q921" s="5">
        <v>15827</v>
      </c>
      <c r="R921" s="5">
        <v>99129</v>
      </c>
    </row>
    <row r="922" spans="1:18" x14ac:dyDescent="0.25">
      <c r="A922" t="s">
        <v>1003</v>
      </c>
      <c r="B922" t="s">
        <v>494</v>
      </c>
      <c r="C922">
        <v>70574900</v>
      </c>
      <c r="D922">
        <v>719</v>
      </c>
      <c r="E922">
        <v>4200190998</v>
      </c>
      <c r="F922" t="s">
        <v>1004</v>
      </c>
      <c r="G922" s="1">
        <v>45236</v>
      </c>
      <c r="H922">
        <v>5413139</v>
      </c>
      <c r="I922">
        <v>12</v>
      </c>
      <c r="J922" t="s">
        <v>319</v>
      </c>
      <c r="K922" t="str">
        <f>IFERROR(IF(AND(VLOOKUP($C922,Hes!$A:$B, 1, FALSE), $M922&lt;&gt;" "), "Ingresada", "Falta Ingresar"), " ")</f>
        <v xml:space="preserve"> </v>
      </c>
      <c r="L922" s="4" t="str">
        <f>IFERROR(VLOOKUP($C922,Observaciones!$A:$B,2,FALSE)," ")</f>
        <v>VENDEDOR ENVIA INFORME</v>
      </c>
      <c r="M922" t="s">
        <v>681</v>
      </c>
      <c r="O922" s="5">
        <v>30850165</v>
      </c>
      <c r="P922" s="5">
        <v>93957</v>
      </c>
      <c r="Q922" s="5">
        <v>17852</v>
      </c>
      <c r="R922" s="5">
        <v>111809</v>
      </c>
    </row>
    <row r="923" spans="1:18" x14ac:dyDescent="0.25">
      <c r="A923" t="s">
        <v>1003</v>
      </c>
      <c r="B923" t="s">
        <v>494</v>
      </c>
      <c r="C923">
        <v>70574900</v>
      </c>
      <c r="D923">
        <v>716</v>
      </c>
      <c r="E923">
        <v>4200190342</v>
      </c>
      <c r="F923" t="s">
        <v>1004</v>
      </c>
      <c r="G923" s="1">
        <v>45236</v>
      </c>
      <c r="H923">
        <v>5413143</v>
      </c>
      <c r="I923">
        <v>12</v>
      </c>
      <c r="J923" t="s">
        <v>319</v>
      </c>
      <c r="K923" t="str">
        <f>IFERROR(IF(AND(VLOOKUP($C923,Hes!$A:$B, 1, FALSE), $M923&lt;&gt;" "), "Ingresada", "Falta Ingresar"), " ")</f>
        <v xml:space="preserve"> </v>
      </c>
      <c r="L923" s="4" t="str">
        <f>IFERROR(VLOOKUP($C923,Observaciones!$A:$B,2,FALSE)," ")</f>
        <v>VENDEDOR ENVIA INFORME</v>
      </c>
      <c r="M923" t="s">
        <v>681</v>
      </c>
      <c r="O923" s="5">
        <v>30849262</v>
      </c>
      <c r="P923" s="5">
        <v>331215</v>
      </c>
      <c r="Q923" s="5">
        <v>62931</v>
      </c>
      <c r="R923" s="5">
        <v>394146</v>
      </c>
    </row>
    <row r="924" spans="1:18" x14ac:dyDescent="0.25">
      <c r="A924" t="s">
        <v>1003</v>
      </c>
      <c r="B924" t="s">
        <v>494</v>
      </c>
      <c r="C924">
        <v>70574900</v>
      </c>
      <c r="D924">
        <v>707</v>
      </c>
      <c r="E924">
        <v>4200190588</v>
      </c>
      <c r="F924" t="s">
        <v>1004</v>
      </c>
      <c r="G924" s="1">
        <v>45236</v>
      </c>
      <c r="H924">
        <v>5413150</v>
      </c>
      <c r="I924">
        <v>12</v>
      </c>
      <c r="J924" t="s">
        <v>319</v>
      </c>
      <c r="K924" t="str">
        <f>IFERROR(IF(AND(VLOOKUP($C924,Hes!$A:$B, 1, FALSE), $M924&lt;&gt;" "), "Ingresada", "Falta Ingresar"), " ")</f>
        <v xml:space="preserve"> </v>
      </c>
      <c r="L924" s="4" t="str">
        <f>IFERROR(VLOOKUP($C924,Observaciones!$A:$B,2,FALSE)," ")</f>
        <v>VENDEDOR ENVIA INFORME</v>
      </c>
      <c r="M924" t="s">
        <v>681</v>
      </c>
      <c r="O924" s="5">
        <v>30848515</v>
      </c>
      <c r="P924" s="5">
        <v>709034</v>
      </c>
      <c r="Q924" s="5">
        <v>134716</v>
      </c>
      <c r="R924" s="5">
        <v>843750</v>
      </c>
    </row>
    <row r="925" spans="1:18" x14ac:dyDescent="0.25">
      <c r="A925" t="s">
        <v>1003</v>
      </c>
      <c r="B925" t="s">
        <v>494</v>
      </c>
      <c r="C925">
        <v>70574900</v>
      </c>
      <c r="D925">
        <v>2307</v>
      </c>
      <c r="E925">
        <v>4200190457</v>
      </c>
      <c r="F925" t="s">
        <v>1004</v>
      </c>
      <c r="G925" s="1">
        <v>45236</v>
      </c>
      <c r="H925">
        <v>5413431</v>
      </c>
      <c r="I925">
        <v>12</v>
      </c>
      <c r="J925" t="s">
        <v>319</v>
      </c>
      <c r="K925" t="str">
        <f>IFERROR(IF(AND(VLOOKUP($C925,Hes!$A:$B, 1, FALSE), $M925&lt;&gt;" "), "Ingresada", "Falta Ingresar"), " ")</f>
        <v xml:space="preserve"> </v>
      </c>
      <c r="L925" s="4" t="str">
        <f>IFERROR(VLOOKUP($C925,Observaciones!$A:$B,2,FALSE)," ")</f>
        <v>VENDEDOR ENVIA INFORME</v>
      </c>
      <c r="M925" t="s">
        <v>681</v>
      </c>
      <c r="O925" s="5">
        <v>30851546</v>
      </c>
      <c r="P925" s="5">
        <v>422234</v>
      </c>
      <c r="Q925" s="5">
        <v>80224</v>
      </c>
      <c r="R925" s="5">
        <v>502458</v>
      </c>
    </row>
    <row r="926" spans="1:18" x14ac:dyDescent="0.25">
      <c r="A926" t="s">
        <v>1003</v>
      </c>
      <c r="B926" t="s">
        <v>494</v>
      </c>
      <c r="C926">
        <v>70574900</v>
      </c>
      <c r="D926">
        <v>1107</v>
      </c>
      <c r="E926">
        <v>30857355</v>
      </c>
      <c r="F926" t="s">
        <v>1004</v>
      </c>
      <c r="G926" s="1">
        <v>45237</v>
      </c>
      <c r="H926">
        <v>5413977</v>
      </c>
      <c r="I926">
        <v>12</v>
      </c>
      <c r="J926" t="s">
        <v>319</v>
      </c>
      <c r="K926" t="str">
        <f>IFERROR(IF(AND(VLOOKUP($C926,Hes!$A:$B, 1, FALSE), $M926&lt;&gt;" "), "Ingresada", "Falta Ingresar"), " ")</f>
        <v xml:space="preserve"> </v>
      </c>
      <c r="L926" s="4" t="str">
        <f>IFERROR(VLOOKUP($C926,Observaciones!$A:$B,2,FALSE)," ")</f>
        <v>VENDEDOR ENVIA INFORME</v>
      </c>
      <c r="M926" t="s">
        <v>681</v>
      </c>
      <c r="O926" s="5">
        <v>30857355</v>
      </c>
      <c r="P926" s="5">
        <v>574470</v>
      </c>
      <c r="Q926" s="5">
        <v>109149</v>
      </c>
      <c r="R926" s="5">
        <v>683619</v>
      </c>
    </row>
    <row r="927" spans="1:18" x14ac:dyDescent="0.25">
      <c r="A927" t="s">
        <v>1003</v>
      </c>
      <c r="B927" t="s">
        <v>494</v>
      </c>
      <c r="C927">
        <v>70574900</v>
      </c>
      <c r="D927">
        <v>1130</v>
      </c>
      <c r="E927">
        <v>30856471</v>
      </c>
      <c r="F927" t="s">
        <v>1004</v>
      </c>
      <c r="G927" s="1">
        <v>45237</v>
      </c>
      <c r="H927">
        <v>5413993</v>
      </c>
      <c r="I927">
        <v>12</v>
      </c>
      <c r="J927" t="s">
        <v>319</v>
      </c>
      <c r="K927" t="str">
        <f>IFERROR(IF(AND(VLOOKUP($C927,Hes!$A:$B, 1, FALSE), $M927&lt;&gt;" "), "Ingresada", "Falta Ingresar"), " ")</f>
        <v xml:space="preserve"> </v>
      </c>
      <c r="L927" s="4" t="str">
        <f>IFERROR(VLOOKUP($C927,Observaciones!$A:$B,2,FALSE)," ")</f>
        <v>VENDEDOR ENVIA INFORME</v>
      </c>
      <c r="M927" t="s">
        <v>681</v>
      </c>
      <c r="O927" s="5">
        <v>30856471</v>
      </c>
      <c r="P927" s="5">
        <v>246804</v>
      </c>
      <c r="Q927" s="5">
        <v>46893</v>
      </c>
      <c r="R927" s="5">
        <v>293697</v>
      </c>
    </row>
    <row r="928" spans="1:18" x14ac:dyDescent="0.25">
      <c r="A928" t="s">
        <v>1003</v>
      </c>
      <c r="B928" t="s">
        <v>494</v>
      </c>
      <c r="C928">
        <v>70574900</v>
      </c>
      <c r="D928">
        <v>2336</v>
      </c>
      <c r="E928">
        <v>4200190468</v>
      </c>
      <c r="F928" t="s">
        <v>1004</v>
      </c>
      <c r="G928" s="1">
        <v>45237</v>
      </c>
      <c r="H928">
        <v>5414104</v>
      </c>
      <c r="I928">
        <v>12</v>
      </c>
      <c r="J928" t="s">
        <v>319</v>
      </c>
      <c r="K928" t="str">
        <f>IFERROR(IF(AND(VLOOKUP($C928,Hes!$A:$B, 1, FALSE), $M928&lt;&gt;" "), "Ingresada", "Falta Ingresar"), " ")</f>
        <v xml:space="preserve"> </v>
      </c>
      <c r="L928" s="4" t="str">
        <f>IFERROR(VLOOKUP($C928,Observaciones!$A:$B,2,FALSE)," ")</f>
        <v>VENDEDOR ENVIA INFORME</v>
      </c>
      <c r="M928" t="s">
        <v>681</v>
      </c>
      <c r="O928" s="5">
        <v>30857039</v>
      </c>
      <c r="P928" s="5">
        <v>40640</v>
      </c>
      <c r="Q928" s="5">
        <v>7722</v>
      </c>
      <c r="R928" s="5">
        <v>48362</v>
      </c>
    </row>
    <row r="929" spans="1:18" x14ac:dyDescent="0.25">
      <c r="A929" t="s">
        <v>1003</v>
      </c>
      <c r="B929" t="s">
        <v>494</v>
      </c>
      <c r="C929">
        <v>70574900</v>
      </c>
      <c r="D929">
        <v>2366</v>
      </c>
      <c r="E929">
        <v>4200190372</v>
      </c>
      <c r="F929" t="s">
        <v>1004</v>
      </c>
      <c r="G929" s="1">
        <v>45237</v>
      </c>
      <c r="H929">
        <v>5414112</v>
      </c>
      <c r="I929">
        <v>12</v>
      </c>
      <c r="J929" t="s">
        <v>319</v>
      </c>
      <c r="K929" t="str">
        <f>IFERROR(IF(AND(VLOOKUP($C929,Hes!$A:$B, 1, FALSE), $M929&lt;&gt;" "), "Ingresada", "Falta Ingresar"), " ")</f>
        <v xml:space="preserve"> </v>
      </c>
      <c r="L929" s="4" t="str">
        <f>IFERROR(VLOOKUP($C929,Observaciones!$A:$B,2,FALSE)," ")</f>
        <v>VENDEDOR ENVIA INFORME</v>
      </c>
      <c r="M929" t="s">
        <v>681</v>
      </c>
      <c r="O929" s="5">
        <v>30858436</v>
      </c>
      <c r="P929" s="5">
        <v>47850</v>
      </c>
      <c r="Q929" s="5">
        <v>9092</v>
      </c>
      <c r="R929" s="5">
        <v>56942</v>
      </c>
    </row>
    <row r="930" spans="1:18" x14ac:dyDescent="0.25">
      <c r="A930" t="s">
        <v>1003</v>
      </c>
      <c r="B930" t="s">
        <v>494</v>
      </c>
      <c r="C930">
        <v>70574900</v>
      </c>
      <c r="D930">
        <v>495</v>
      </c>
      <c r="E930">
        <v>4200190875</v>
      </c>
      <c r="F930" t="s">
        <v>1004</v>
      </c>
      <c r="G930" s="1">
        <v>45237</v>
      </c>
      <c r="H930">
        <v>5414124</v>
      </c>
      <c r="I930">
        <v>12</v>
      </c>
      <c r="J930" t="s">
        <v>319</v>
      </c>
      <c r="K930" t="str">
        <f>IFERROR(IF(AND(VLOOKUP($C930,Hes!$A:$B, 1, FALSE), $M930&lt;&gt;" "), "Ingresada", "Falta Ingresar"), " ")</f>
        <v xml:space="preserve"> </v>
      </c>
      <c r="L930" s="4" t="str">
        <f>IFERROR(VLOOKUP($C930,Observaciones!$A:$B,2,FALSE)," ")</f>
        <v>VENDEDOR ENVIA INFORME</v>
      </c>
      <c r="M930" t="s">
        <v>681</v>
      </c>
      <c r="O930" s="5">
        <v>30858559</v>
      </c>
      <c r="P930" s="5">
        <v>31705</v>
      </c>
      <c r="Q930" s="5">
        <v>6024</v>
      </c>
      <c r="R930" s="5">
        <v>37729</v>
      </c>
    </row>
    <row r="931" spans="1:18" x14ac:dyDescent="0.25">
      <c r="A931" t="s">
        <v>1003</v>
      </c>
      <c r="B931" t="s">
        <v>494</v>
      </c>
      <c r="C931">
        <v>70574900</v>
      </c>
      <c r="D931">
        <v>500</v>
      </c>
      <c r="E931">
        <v>4200190875</v>
      </c>
      <c r="F931" t="s">
        <v>1004</v>
      </c>
      <c r="G931" s="1">
        <v>45237</v>
      </c>
      <c r="H931">
        <v>5414128</v>
      </c>
      <c r="I931">
        <v>12</v>
      </c>
      <c r="J931" t="s">
        <v>319</v>
      </c>
      <c r="K931" t="str">
        <f>IFERROR(IF(AND(VLOOKUP($C931,Hes!$A:$B, 1, FALSE), $M931&lt;&gt;" "), "Ingresada", "Falta Ingresar"), " ")</f>
        <v xml:space="preserve"> </v>
      </c>
      <c r="L931" s="4" t="str">
        <f>IFERROR(VLOOKUP($C931,Observaciones!$A:$B,2,FALSE)," ")</f>
        <v>VENDEDOR ENVIA INFORME</v>
      </c>
      <c r="M931" t="s">
        <v>681</v>
      </c>
      <c r="O931" s="5">
        <v>30858558</v>
      </c>
      <c r="P931" s="5">
        <v>31705</v>
      </c>
      <c r="Q931" s="5">
        <v>6024</v>
      </c>
      <c r="R931" s="5">
        <v>37729</v>
      </c>
    </row>
    <row r="932" spans="1:18" x14ac:dyDescent="0.25">
      <c r="A932" t="s">
        <v>1003</v>
      </c>
      <c r="B932" t="s">
        <v>494</v>
      </c>
      <c r="C932">
        <v>70574900</v>
      </c>
      <c r="D932">
        <v>516</v>
      </c>
      <c r="E932">
        <v>4200190875</v>
      </c>
      <c r="F932" t="s">
        <v>1004</v>
      </c>
      <c r="G932" s="1">
        <v>45237</v>
      </c>
      <c r="H932">
        <v>5414134</v>
      </c>
      <c r="I932">
        <v>12</v>
      </c>
      <c r="J932" t="s">
        <v>319</v>
      </c>
      <c r="K932" t="str">
        <f>IFERROR(IF(AND(VLOOKUP($C932,Hes!$A:$B, 1, FALSE), $M932&lt;&gt;" "), "Ingresada", "Falta Ingresar"), " ")</f>
        <v xml:space="preserve"> </v>
      </c>
      <c r="L932" s="4" t="str">
        <f>IFERROR(VLOOKUP($C932,Observaciones!$A:$B,2,FALSE)," ")</f>
        <v>VENDEDOR ENVIA INFORME</v>
      </c>
      <c r="M932" t="s">
        <v>681</v>
      </c>
      <c r="O932" s="5">
        <v>30858553</v>
      </c>
      <c r="P932" s="5">
        <v>31705</v>
      </c>
      <c r="Q932" s="5">
        <v>6024</v>
      </c>
      <c r="R932" s="5">
        <v>37729</v>
      </c>
    </row>
    <row r="933" spans="1:18" x14ac:dyDescent="0.25">
      <c r="A933" t="s">
        <v>1003</v>
      </c>
      <c r="B933" t="s">
        <v>494</v>
      </c>
      <c r="C933">
        <v>70574900</v>
      </c>
      <c r="D933">
        <v>2334</v>
      </c>
      <c r="E933">
        <v>4200190468</v>
      </c>
      <c r="F933" t="s">
        <v>1004</v>
      </c>
      <c r="G933" s="1">
        <v>45237</v>
      </c>
      <c r="H933">
        <v>5414182</v>
      </c>
      <c r="I933">
        <v>12</v>
      </c>
      <c r="J933" t="s">
        <v>319</v>
      </c>
      <c r="K933" t="str">
        <f>IFERROR(IF(AND(VLOOKUP($C933,Hes!$A:$B, 1, FALSE), $M933&lt;&gt;" "), "Ingresada", "Falta Ingresar"), " ")</f>
        <v xml:space="preserve"> </v>
      </c>
      <c r="L933" s="4" t="str">
        <f>IFERROR(VLOOKUP($C933,Observaciones!$A:$B,2,FALSE)," ")</f>
        <v>VENDEDOR ENVIA INFORME</v>
      </c>
      <c r="M933" t="s">
        <v>681</v>
      </c>
      <c r="O933" s="5">
        <v>30856994</v>
      </c>
      <c r="P933" s="5">
        <v>144036</v>
      </c>
      <c r="Q933" s="5">
        <v>27367</v>
      </c>
      <c r="R933" s="5">
        <v>171403</v>
      </c>
    </row>
    <row r="934" spans="1:18" x14ac:dyDescent="0.25">
      <c r="A934" t="s">
        <v>1003</v>
      </c>
      <c r="B934" t="s">
        <v>494</v>
      </c>
      <c r="C934">
        <v>70574900</v>
      </c>
      <c r="D934">
        <v>2374</v>
      </c>
      <c r="E934">
        <v>4200190457</v>
      </c>
      <c r="F934" t="s">
        <v>1004</v>
      </c>
      <c r="G934" s="1">
        <v>45237</v>
      </c>
      <c r="H934">
        <v>5414183</v>
      </c>
      <c r="I934">
        <v>12</v>
      </c>
      <c r="J934" t="s">
        <v>319</v>
      </c>
      <c r="K934" t="str">
        <f>IFERROR(IF(AND(VLOOKUP($C934,Hes!$A:$B, 1, FALSE), $M934&lt;&gt;" "), "Ingresada", "Falta Ingresar"), " ")</f>
        <v xml:space="preserve"> </v>
      </c>
      <c r="L934" s="4" t="str">
        <f>IFERROR(VLOOKUP($C934,Observaciones!$A:$B,2,FALSE)," ")</f>
        <v>VENDEDOR ENVIA INFORME</v>
      </c>
      <c r="M934" t="s">
        <v>681</v>
      </c>
      <c r="O934" s="5">
        <v>30856666</v>
      </c>
      <c r="P934" s="5">
        <v>311370</v>
      </c>
      <c r="Q934" s="5">
        <v>59160</v>
      </c>
      <c r="R934" s="5">
        <v>370530</v>
      </c>
    </row>
    <row r="935" spans="1:18" x14ac:dyDescent="0.25">
      <c r="A935" t="s">
        <v>1003</v>
      </c>
      <c r="B935" t="s">
        <v>494</v>
      </c>
      <c r="C935">
        <v>70574900</v>
      </c>
      <c r="D935">
        <v>2303</v>
      </c>
      <c r="E935">
        <v>4200190457</v>
      </c>
      <c r="F935" t="s">
        <v>1004</v>
      </c>
      <c r="G935" s="1">
        <v>45237</v>
      </c>
      <c r="H935">
        <v>5414185</v>
      </c>
      <c r="I935">
        <v>12</v>
      </c>
      <c r="J935" t="s">
        <v>319</v>
      </c>
      <c r="K935" t="str">
        <f>IFERROR(IF(AND(VLOOKUP($C935,Hes!$A:$B, 1, FALSE), $M935&lt;&gt;" "), "Ingresada", "Falta Ingresar"), " ")</f>
        <v xml:space="preserve"> </v>
      </c>
      <c r="L935" s="4" t="str">
        <f>IFERROR(VLOOKUP($C935,Observaciones!$A:$B,2,FALSE)," ")</f>
        <v>VENDEDOR ENVIA INFORME</v>
      </c>
      <c r="M935" t="s">
        <v>681</v>
      </c>
      <c r="O935" s="5">
        <v>30856532</v>
      </c>
      <c r="P935" s="5">
        <v>335410</v>
      </c>
      <c r="Q935" s="5">
        <v>63728</v>
      </c>
      <c r="R935" s="5">
        <v>399138</v>
      </c>
    </row>
    <row r="936" spans="1:18" x14ac:dyDescent="0.25">
      <c r="A936" t="s">
        <v>1003</v>
      </c>
      <c r="B936" t="s">
        <v>494</v>
      </c>
      <c r="C936">
        <v>70574900</v>
      </c>
      <c r="D936">
        <v>2332</v>
      </c>
      <c r="E936">
        <v>4200190468</v>
      </c>
      <c r="F936" t="s">
        <v>1004</v>
      </c>
      <c r="G936" s="1">
        <v>45237</v>
      </c>
      <c r="H936">
        <v>5414188</v>
      </c>
      <c r="I936">
        <v>12</v>
      </c>
      <c r="J936" t="s">
        <v>319</v>
      </c>
      <c r="K936" t="str">
        <f>IFERROR(IF(AND(VLOOKUP($C936,Hes!$A:$B, 1, FALSE), $M936&lt;&gt;" "), "Ingresada", "Falta Ingresar"), " ")</f>
        <v xml:space="preserve"> </v>
      </c>
      <c r="L936" s="4" t="str">
        <f>IFERROR(VLOOKUP($C936,Observaciones!$A:$B,2,FALSE)," ")</f>
        <v>VENDEDOR ENVIA INFORME</v>
      </c>
      <c r="M936" t="s">
        <v>681</v>
      </c>
      <c r="O936" s="5">
        <v>30857022</v>
      </c>
      <c r="P936" s="5">
        <v>82820</v>
      </c>
      <c r="Q936" s="5">
        <v>15736</v>
      </c>
      <c r="R936" s="5">
        <v>98556</v>
      </c>
    </row>
    <row r="937" spans="1:18" x14ac:dyDescent="0.25">
      <c r="A937" t="s">
        <v>1003</v>
      </c>
      <c r="B937" t="s">
        <v>494</v>
      </c>
      <c r="C937">
        <v>70574900</v>
      </c>
      <c r="D937">
        <v>2326</v>
      </c>
      <c r="E937">
        <v>4200190468</v>
      </c>
      <c r="F937" t="s">
        <v>1004</v>
      </c>
      <c r="G937" s="1">
        <v>45237</v>
      </c>
      <c r="H937">
        <v>5414216</v>
      </c>
      <c r="I937">
        <v>12</v>
      </c>
      <c r="J937" t="s">
        <v>319</v>
      </c>
      <c r="K937" t="str">
        <f>IFERROR(IF(AND(VLOOKUP($C937,Hes!$A:$B, 1, FALSE), $M937&lt;&gt;" "), "Ingresada", "Falta Ingresar"), " ")</f>
        <v xml:space="preserve"> </v>
      </c>
      <c r="L937" s="4" t="str">
        <f>IFERROR(VLOOKUP($C937,Observaciones!$A:$B,2,FALSE)," ")</f>
        <v>VENDEDOR ENVIA INFORME</v>
      </c>
      <c r="M937" t="s">
        <v>681</v>
      </c>
      <c r="O937" s="5">
        <v>30856927</v>
      </c>
      <c r="P937" s="5">
        <v>365855</v>
      </c>
      <c r="Q937" s="5">
        <v>69512</v>
      </c>
      <c r="R937" s="5">
        <v>435367</v>
      </c>
    </row>
    <row r="938" spans="1:18" x14ac:dyDescent="0.25">
      <c r="A938" t="s">
        <v>1003</v>
      </c>
      <c r="B938" t="s">
        <v>494</v>
      </c>
      <c r="C938">
        <v>70574900</v>
      </c>
      <c r="D938">
        <v>2301</v>
      </c>
      <c r="E938">
        <v>4200190457</v>
      </c>
      <c r="F938" t="s">
        <v>1004</v>
      </c>
      <c r="G938" s="1">
        <v>45237</v>
      </c>
      <c r="H938">
        <v>5414217</v>
      </c>
      <c r="I938">
        <v>12</v>
      </c>
      <c r="J938" t="s">
        <v>319</v>
      </c>
      <c r="K938" t="str">
        <f>IFERROR(IF(AND(VLOOKUP($C938,Hes!$A:$B, 1, FALSE), $M938&lt;&gt;" "), "Ingresada", "Falta Ingresar"), " ")</f>
        <v xml:space="preserve"> </v>
      </c>
      <c r="L938" s="4" t="str">
        <f>IFERROR(VLOOKUP($C938,Observaciones!$A:$B,2,FALSE)," ")</f>
        <v>VENDEDOR ENVIA INFORME</v>
      </c>
      <c r="M938" t="s">
        <v>681</v>
      </c>
      <c r="O938" s="5">
        <v>30856548</v>
      </c>
      <c r="P938" s="5">
        <v>28170</v>
      </c>
      <c r="Q938" s="5">
        <v>5352</v>
      </c>
      <c r="R938" s="5">
        <v>33522</v>
      </c>
    </row>
    <row r="939" spans="1:18" x14ac:dyDescent="0.25">
      <c r="A939" t="s">
        <v>1003</v>
      </c>
      <c r="B939" t="s">
        <v>494</v>
      </c>
      <c r="C939">
        <v>70574900</v>
      </c>
      <c r="D939">
        <v>2343</v>
      </c>
      <c r="E939">
        <v>4200190468</v>
      </c>
      <c r="F939" t="s">
        <v>1004</v>
      </c>
      <c r="G939" s="1">
        <v>45237</v>
      </c>
      <c r="H939">
        <v>5414236</v>
      </c>
      <c r="I939">
        <v>12</v>
      </c>
      <c r="J939" t="s">
        <v>319</v>
      </c>
      <c r="K939" t="str">
        <f>IFERROR(IF(AND(VLOOKUP($C939,Hes!$A:$B, 1, FALSE), $M939&lt;&gt;" "), "Ingresada", "Falta Ingresar"), " ")</f>
        <v xml:space="preserve"> </v>
      </c>
      <c r="L939" s="4" t="str">
        <f>IFERROR(VLOOKUP($C939,Observaciones!$A:$B,2,FALSE)," ")</f>
        <v>VENDEDOR ENVIA INFORME</v>
      </c>
      <c r="M939" t="s">
        <v>681</v>
      </c>
      <c r="O939" s="5">
        <v>30857686</v>
      </c>
      <c r="P939" s="5">
        <v>76970</v>
      </c>
      <c r="Q939" s="5">
        <v>14624</v>
      </c>
      <c r="R939" s="5">
        <v>91594</v>
      </c>
    </row>
    <row r="940" spans="1:18" x14ac:dyDescent="0.25">
      <c r="A940" t="s">
        <v>1003</v>
      </c>
      <c r="B940" t="s">
        <v>494</v>
      </c>
      <c r="C940">
        <v>70574900</v>
      </c>
      <c r="D940">
        <v>2348</v>
      </c>
      <c r="E940">
        <v>4200190372</v>
      </c>
      <c r="F940" t="s">
        <v>1004</v>
      </c>
      <c r="G940" s="1">
        <v>45237</v>
      </c>
      <c r="H940">
        <v>5414237</v>
      </c>
      <c r="I940">
        <v>12</v>
      </c>
      <c r="J940" t="s">
        <v>319</v>
      </c>
      <c r="K940" t="str">
        <f>IFERROR(IF(AND(VLOOKUP($C940,Hes!$A:$B, 1, FALSE), $M940&lt;&gt;" "), "Ingresada", "Falta Ingresar"), " ")</f>
        <v xml:space="preserve"> </v>
      </c>
      <c r="L940" s="4" t="str">
        <f>IFERROR(VLOOKUP($C940,Observaciones!$A:$B,2,FALSE)," ")</f>
        <v>VENDEDOR ENVIA INFORME</v>
      </c>
      <c r="M940" t="s">
        <v>681</v>
      </c>
      <c r="O940" s="5">
        <v>30857812</v>
      </c>
      <c r="P940" s="5">
        <v>113060</v>
      </c>
      <c r="Q940" s="5">
        <v>21481</v>
      </c>
      <c r="R940" s="5">
        <v>134541</v>
      </c>
    </row>
    <row r="941" spans="1:18" x14ac:dyDescent="0.25">
      <c r="A941" t="s">
        <v>1003</v>
      </c>
      <c r="B941" t="s">
        <v>494</v>
      </c>
      <c r="C941">
        <v>70574900</v>
      </c>
      <c r="D941">
        <v>2340</v>
      </c>
      <c r="E941">
        <v>4200190457</v>
      </c>
      <c r="F941" t="s">
        <v>1004</v>
      </c>
      <c r="G941" s="1">
        <v>45237</v>
      </c>
      <c r="H941">
        <v>5414240</v>
      </c>
      <c r="I941">
        <v>12</v>
      </c>
      <c r="J941" t="s">
        <v>319</v>
      </c>
      <c r="K941" t="str">
        <f>IFERROR(IF(AND(VLOOKUP($C941,Hes!$A:$B, 1, FALSE), $M941&lt;&gt;" "), "Ingresada", "Falta Ingresar"), " ")</f>
        <v xml:space="preserve"> </v>
      </c>
      <c r="L941" s="4" t="str">
        <f>IFERROR(VLOOKUP($C941,Observaciones!$A:$B,2,FALSE)," ")</f>
        <v>VENDEDOR ENVIA INFORME</v>
      </c>
      <c r="M941" t="s">
        <v>681</v>
      </c>
      <c r="O941" s="5">
        <v>30856606</v>
      </c>
      <c r="P941" s="5">
        <v>659936</v>
      </c>
      <c r="Q941" s="5">
        <v>125388</v>
      </c>
      <c r="R941" s="5">
        <v>785324</v>
      </c>
    </row>
    <row r="942" spans="1:18" x14ac:dyDescent="0.25">
      <c r="A942" t="s">
        <v>1003</v>
      </c>
      <c r="B942" t="s">
        <v>494</v>
      </c>
      <c r="C942">
        <v>70574900</v>
      </c>
      <c r="D942">
        <v>2364</v>
      </c>
      <c r="E942">
        <v>4200190468</v>
      </c>
      <c r="F942" t="s">
        <v>1004</v>
      </c>
      <c r="G942" s="1">
        <v>45237</v>
      </c>
      <c r="H942">
        <v>5414241</v>
      </c>
      <c r="I942">
        <v>12</v>
      </c>
      <c r="J942" t="s">
        <v>319</v>
      </c>
      <c r="K942" t="str">
        <f>IFERROR(IF(AND(VLOOKUP($C942,Hes!$A:$B, 1, FALSE), $M942&lt;&gt;" "), "Ingresada", "Falta Ingresar"), " ")</f>
        <v xml:space="preserve"> </v>
      </c>
      <c r="L942" s="4" t="str">
        <f>IFERROR(VLOOKUP($C942,Observaciones!$A:$B,2,FALSE)," ")</f>
        <v>VENDEDOR ENVIA INFORME</v>
      </c>
      <c r="M942" t="s">
        <v>681</v>
      </c>
      <c r="O942" s="5">
        <v>30857191</v>
      </c>
      <c r="P942" s="5">
        <v>29329</v>
      </c>
      <c r="Q942" s="5">
        <v>5573</v>
      </c>
      <c r="R942" s="5">
        <v>34902</v>
      </c>
    </row>
    <row r="943" spans="1:18" x14ac:dyDescent="0.25">
      <c r="A943" t="s">
        <v>1003</v>
      </c>
      <c r="B943" t="s">
        <v>494</v>
      </c>
      <c r="C943">
        <v>70574900</v>
      </c>
      <c r="D943">
        <v>2329</v>
      </c>
      <c r="E943">
        <v>4200190468</v>
      </c>
      <c r="F943" t="s">
        <v>1004</v>
      </c>
      <c r="G943" s="1">
        <v>45237</v>
      </c>
      <c r="H943">
        <v>5414279</v>
      </c>
      <c r="I943">
        <v>12</v>
      </c>
      <c r="J943" t="s">
        <v>319</v>
      </c>
      <c r="K943" t="str">
        <f>IFERROR(IF(AND(VLOOKUP($C943,Hes!$A:$B, 1, FALSE), $M943&lt;&gt;" "), "Ingresada", "Falta Ingresar"), " ")</f>
        <v xml:space="preserve"> </v>
      </c>
      <c r="L943" s="4" t="str">
        <f>IFERROR(VLOOKUP($C943,Observaciones!$A:$B,2,FALSE)," ")</f>
        <v>VENDEDOR ENVIA INFORME</v>
      </c>
      <c r="M943" t="s">
        <v>681</v>
      </c>
      <c r="O943" s="5">
        <v>30857625</v>
      </c>
      <c r="P943" s="5">
        <v>773485</v>
      </c>
      <c r="Q943" s="5">
        <v>146962</v>
      </c>
      <c r="R943" s="5">
        <v>920447</v>
      </c>
    </row>
    <row r="944" spans="1:18" x14ac:dyDescent="0.25">
      <c r="A944" t="s">
        <v>1003</v>
      </c>
      <c r="B944" t="s">
        <v>494</v>
      </c>
      <c r="C944">
        <v>70574900</v>
      </c>
      <c r="D944">
        <v>2354</v>
      </c>
      <c r="E944">
        <v>4200190400</v>
      </c>
      <c r="F944" t="s">
        <v>1004</v>
      </c>
      <c r="G944" s="1">
        <v>45237</v>
      </c>
      <c r="H944">
        <v>5414301</v>
      </c>
      <c r="I944">
        <v>12</v>
      </c>
      <c r="J944" t="s">
        <v>319</v>
      </c>
      <c r="K944" t="str">
        <f>IFERROR(IF(AND(VLOOKUP($C944,Hes!$A:$B, 1, FALSE), $M944&lt;&gt;" "), "Ingresada", "Falta Ingresar"), " ")</f>
        <v xml:space="preserve"> </v>
      </c>
      <c r="L944" s="4" t="str">
        <f>IFERROR(VLOOKUP($C944,Observaciones!$A:$B,2,FALSE)," ")</f>
        <v>VENDEDOR ENVIA INFORME</v>
      </c>
      <c r="M944" t="s">
        <v>681</v>
      </c>
      <c r="O944" s="5">
        <v>30858474</v>
      </c>
      <c r="P944" s="5">
        <v>1566950</v>
      </c>
      <c r="Q944" s="5">
        <v>297721</v>
      </c>
      <c r="R944" s="5">
        <v>1864671</v>
      </c>
    </row>
    <row r="945" spans="1:18" x14ac:dyDescent="0.25">
      <c r="A945" t="s">
        <v>1003</v>
      </c>
      <c r="B945" t="s">
        <v>494</v>
      </c>
      <c r="C945">
        <v>70574900</v>
      </c>
      <c r="D945">
        <v>2375</v>
      </c>
      <c r="E945">
        <v>4200190400</v>
      </c>
      <c r="F945" t="s">
        <v>1004</v>
      </c>
      <c r="G945" s="1">
        <v>45237</v>
      </c>
      <c r="H945">
        <v>5414302</v>
      </c>
      <c r="I945">
        <v>12</v>
      </c>
      <c r="J945" t="s">
        <v>319</v>
      </c>
      <c r="K945" t="str">
        <f>IFERROR(IF(AND(VLOOKUP($C945,Hes!$A:$B, 1, FALSE), $M945&lt;&gt;" "), "Ingresada", "Falta Ingresar"), " ")</f>
        <v xml:space="preserve"> </v>
      </c>
      <c r="L945" s="4" t="str">
        <f>IFERROR(VLOOKUP($C945,Observaciones!$A:$B,2,FALSE)," ")</f>
        <v>VENDEDOR ENVIA INFORME</v>
      </c>
      <c r="M945" t="s">
        <v>681</v>
      </c>
      <c r="O945" s="5">
        <v>30858518</v>
      </c>
      <c r="P945" s="5">
        <v>955310</v>
      </c>
      <c r="Q945" s="5">
        <v>181509</v>
      </c>
      <c r="R945" s="5">
        <v>1136819</v>
      </c>
    </row>
    <row r="946" spans="1:18" x14ac:dyDescent="0.25">
      <c r="A946" t="s">
        <v>1003</v>
      </c>
      <c r="B946" t="s">
        <v>494</v>
      </c>
      <c r="C946">
        <v>70574900</v>
      </c>
      <c r="D946">
        <v>2368</v>
      </c>
      <c r="E946">
        <v>4200190372</v>
      </c>
      <c r="F946" t="s">
        <v>1004</v>
      </c>
      <c r="G946" s="1">
        <v>45237</v>
      </c>
      <c r="H946">
        <v>5414326</v>
      </c>
      <c r="I946">
        <v>12</v>
      </c>
      <c r="J946" t="s">
        <v>319</v>
      </c>
      <c r="K946" t="str">
        <f>IFERROR(IF(AND(VLOOKUP($C946,Hes!$A:$B, 1, FALSE), $M946&lt;&gt;" "), "Ingresada", "Falta Ingresar"), " ")</f>
        <v xml:space="preserve"> </v>
      </c>
      <c r="L946" s="4" t="str">
        <f>IFERROR(VLOOKUP($C946,Observaciones!$A:$B,2,FALSE)," ")</f>
        <v>VENDEDOR ENVIA INFORME</v>
      </c>
      <c r="M946" t="s">
        <v>681</v>
      </c>
      <c r="O946" s="5">
        <v>30858440</v>
      </c>
      <c r="P946" s="5">
        <v>73725</v>
      </c>
      <c r="Q946" s="5">
        <v>14008</v>
      </c>
      <c r="R946" s="5">
        <v>87733</v>
      </c>
    </row>
    <row r="947" spans="1:18" x14ac:dyDescent="0.25">
      <c r="A947" t="s">
        <v>1003</v>
      </c>
      <c r="B947" t="s">
        <v>494</v>
      </c>
      <c r="C947">
        <v>70574900</v>
      </c>
      <c r="D947">
        <v>2384</v>
      </c>
      <c r="E947">
        <v>4200190372</v>
      </c>
      <c r="F947" t="s">
        <v>1004</v>
      </c>
      <c r="G947" s="1">
        <v>45237</v>
      </c>
      <c r="H947">
        <v>5414327</v>
      </c>
      <c r="I947">
        <v>12</v>
      </c>
      <c r="J947" t="s">
        <v>319</v>
      </c>
      <c r="K947" t="str">
        <f>IFERROR(IF(AND(VLOOKUP($C947,Hes!$A:$B, 1, FALSE), $M947&lt;&gt;" "), "Ingresada", "Falta Ingresar"), " ")</f>
        <v xml:space="preserve"> </v>
      </c>
      <c r="L947" s="4" t="str">
        <f>IFERROR(VLOOKUP($C947,Observaciones!$A:$B,2,FALSE)," ")</f>
        <v>VENDEDOR ENVIA INFORME</v>
      </c>
      <c r="M947" t="s">
        <v>681</v>
      </c>
      <c r="O947" s="5">
        <v>30858447</v>
      </c>
      <c r="P947" s="5">
        <v>789788</v>
      </c>
      <c r="Q947" s="5">
        <v>150060</v>
      </c>
      <c r="R947" s="5">
        <v>939848</v>
      </c>
    </row>
    <row r="948" spans="1:18" x14ac:dyDescent="0.25">
      <c r="A948" t="s">
        <v>1003</v>
      </c>
      <c r="B948" t="s">
        <v>494</v>
      </c>
      <c r="C948">
        <v>70574900</v>
      </c>
      <c r="D948">
        <v>2383</v>
      </c>
      <c r="E948">
        <v>4200190372</v>
      </c>
      <c r="F948" t="s">
        <v>1004</v>
      </c>
      <c r="G948" s="1">
        <v>45237</v>
      </c>
      <c r="H948">
        <v>5414329</v>
      </c>
      <c r="I948">
        <v>12</v>
      </c>
      <c r="J948" t="s">
        <v>319</v>
      </c>
      <c r="K948" t="str">
        <f>IFERROR(IF(AND(VLOOKUP($C948,Hes!$A:$B, 1, FALSE), $M948&lt;&gt;" "), "Ingresada", "Falta Ingresar"), " ")</f>
        <v xml:space="preserve"> </v>
      </c>
      <c r="L948" s="4" t="str">
        <f>IFERROR(VLOOKUP($C948,Observaciones!$A:$B,2,FALSE)," ")</f>
        <v>VENDEDOR ENVIA INFORME</v>
      </c>
      <c r="M948" t="s">
        <v>681</v>
      </c>
      <c r="O948" s="5">
        <v>30857916</v>
      </c>
      <c r="P948" s="5">
        <v>175220</v>
      </c>
      <c r="Q948" s="5">
        <v>33292</v>
      </c>
      <c r="R948" s="5">
        <v>208512</v>
      </c>
    </row>
    <row r="949" spans="1:18" x14ac:dyDescent="0.25">
      <c r="A949" t="s">
        <v>1003</v>
      </c>
      <c r="B949" t="s">
        <v>494</v>
      </c>
      <c r="C949">
        <v>70574900</v>
      </c>
      <c r="D949">
        <v>2395</v>
      </c>
      <c r="E949">
        <v>4200190468</v>
      </c>
      <c r="F949" t="s">
        <v>1004</v>
      </c>
      <c r="G949" s="1">
        <v>45237</v>
      </c>
      <c r="H949">
        <v>5414334</v>
      </c>
      <c r="I949">
        <v>12</v>
      </c>
      <c r="J949" t="s">
        <v>319</v>
      </c>
      <c r="K949" t="str">
        <f>IFERROR(IF(AND(VLOOKUP($C949,Hes!$A:$B, 1, FALSE), $M949&lt;&gt;" "), "Ingresada", "Falta Ingresar"), " ")</f>
        <v xml:space="preserve"> </v>
      </c>
      <c r="L949" s="4" t="str">
        <f>IFERROR(VLOOKUP($C949,Observaciones!$A:$B,2,FALSE)," ")</f>
        <v>VENDEDOR ENVIA INFORME</v>
      </c>
      <c r="M949" t="s">
        <v>681</v>
      </c>
      <c r="O949" s="5">
        <v>30857666</v>
      </c>
      <c r="P949" s="5">
        <v>644470</v>
      </c>
      <c r="Q949" s="5">
        <v>122449</v>
      </c>
      <c r="R949" s="5">
        <v>766919</v>
      </c>
    </row>
    <row r="950" spans="1:18" x14ac:dyDescent="0.25">
      <c r="A950" t="s">
        <v>1003</v>
      </c>
      <c r="B950" t="s">
        <v>494</v>
      </c>
      <c r="C950">
        <v>70574900</v>
      </c>
      <c r="D950">
        <v>2339</v>
      </c>
      <c r="E950">
        <v>4200190457</v>
      </c>
      <c r="F950" t="s">
        <v>1004</v>
      </c>
      <c r="G950" s="1">
        <v>45237</v>
      </c>
      <c r="H950">
        <v>5414335</v>
      </c>
      <c r="I950">
        <v>12</v>
      </c>
      <c r="J950" t="s">
        <v>319</v>
      </c>
      <c r="K950" t="str">
        <f>IFERROR(IF(AND(VLOOKUP($C950,Hes!$A:$B, 1, FALSE), $M950&lt;&gt;" "), "Ingresada", "Falta Ingresar"), " ")</f>
        <v xml:space="preserve"> </v>
      </c>
      <c r="L950" s="4" t="str">
        <f>IFERROR(VLOOKUP($C950,Observaciones!$A:$B,2,FALSE)," ")</f>
        <v>VENDEDOR ENVIA INFORME</v>
      </c>
      <c r="M950" t="s">
        <v>681</v>
      </c>
      <c r="O950" s="5">
        <v>30856592</v>
      </c>
      <c r="P950" s="5">
        <v>802776</v>
      </c>
      <c r="Q950" s="5">
        <v>152527</v>
      </c>
      <c r="R950" s="5">
        <v>955303</v>
      </c>
    </row>
    <row r="951" spans="1:18" x14ac:dyDescent="0.25">
      <c r="A951" t="s">
        <v>1003</v>
      </c>
      <c r="B951" t="s">
        <v>494</v>
      </c>
      <c r="C951">
        <v>70574900</v>
      </c>
      <c r="D951">
        <v>2344</v>
      </c>
      <c r="E951">
        <v>4200190468</v>
      </c>
      <c r="F951" t="s">
        <v>1004</v>
      </c>
      <c r="G951" s="1">
        <v>45237</v>
      </c>
      <c r="H951">
        <v>5414336</v>
      </c>
      <c r="I951">
        <v>12</v>
      </c>
      <c r="J951" t="s">
        <v>319</v>
      </c>
      <c r="K951" t="str">
        <f>IFERROR(IF(AND(VLOOKUP($C951,Hes!$A:$B, 1, FALSE), $M951&lt;&gt;" "), "Ingresada", "Falta Ingresar"), " ")</f>
        <v xml:space="preserve"> </v>
      </c>
      <c r="L951" s="4" t="str">
        <f>IFERROR(VLOOKUP($C951,Observaciones!$A:$B,2,FALSE)," ")</f>
        <v>VENDEDOR ENVIA INFORME</v>
      </c>
      <c r="M951" t="s">
        <v>681</v>
      </c>
      <c r="O951" s="5">
        <v>30857413</v>
      </c>
      <c r="P951" s="5">
        <v>887588</v>
      </c>
      <c r="Q951" s="5">
        <v>168642</v>
      </c>
      <c r="R951" s="5">
        <v>1056230</v>
      </c>
    </row>
    <row r="952" spans="1:18" x14ac:dyDescent="0.25">
      <c r="A952" t="s">
        <v>1003</v>
      </c>
      <c r="B952" t="s">
        <v>494</v>
      </c>
      <c r="C952">
        <v>70574900</v>
      </c>
      <c r="D952">
        <v>331</v>
      </c>
      <c r="E952">
        <v>4200191093</v>
      </c>
      <c r="F952" t="s">
        <v>1004</v>
      </c>
      <c r="G952" s="1">
        <v>45237</v>
      </c>
      <c r="H952">
        <v>5414506</v>
      </c>
      <c r="I952">
        <v>12</v>
      </c>
      <c r="J952" t="s">
        <v>319</v>
      </c>
      <c r="K952" t="str">
        <f>IFERROR(IF(AND(VLOOKUP($C952,Hes!$A:$B, 1, FALSE), $M952&lt;&gt;" "), "Ingresada", "Falta Ingresar"), " ")</f>
        <v xml:space="preserve"> </v>
      </c>
      <c r="L952" s="4" t="str">
        <f>IFERROR(VLOOKUP($C952,Observaciones!$A:$B,2,FALSE)," ")</f>
        <v>VENDEDOR ENVIA INFORME</v>
      </c>
      <c r="M952" t="s">
        <v>681</v>
      </c>
      <c r="O952" s="5">
        <v>30859648</v>
      </c>
      <c r="P952" s="5">
        <v>35222</v>
      </c>
      <c r="Q952" s="5">
        <v>6692</v>
      </c>
      <c r="R952" s="5">
        <v>41914</v>
      </c>
    </row>
    <row r="953" spans="1:18" x14ac:dyDescent="0.25">
      <c r="A953" t="s">
        <v>1003</v>
      </c>
      <c r="B953" t="s">
        <v>494</v>
      </c>
      <c r="C953">
        <v>70574900</v>
      </c>
      <c r="D953">
        <v>327</v>
      </c>
      <c r="E953">
        <v>4200191102</v>
      </c>
      <c r="F953" t="s">
        <v>1004</v>
      </c>
      <c r="G953" s="1">
        <v>45237</v>
      </c>
      <c r="H953">
        <v>5414873</v>
      </c>
      <c r="I953">
        <v>12</v>
      </c>
      <c r="J953" t="s">
        <v>319</v>
      </c>
      <c r="K953" t="str">
        <f>IFERROR(IF(AND(VLOOKUP($C953,Hes!$A:$B, 1, FALSE), $M953&lt;&gt;" "), "Ingresada", "Falta Ingresar"), " ")</f>
        <v xml:space="preserve"> </v>
      </c>
      <c r="L953" s="4" t="str">
        <f>IFERROR(VLOOKUP($C953,Observaciones!$A:$B,2,FALSE)," ")</f>
        <v>VENDEDOR ENVIA INFORME</v>
      </c>
      <c r="M953" t="s">
        <v>681</v>
      </c>
      <c r="O953" s="5">
        <v>30860446</v>
      </c>
      <c r="P953" s="5">
        <v>413862</v>
      </c>
      <c r="Q953" s="5">
        <v>78634</v>
      </c>
      <c r="R953" s="5">
        <v>492496</v>
      </c>
    </row>
    <row r="954" spans="1:18" x14ac:dyDescent="0.25">
      <c r="A954" t="s">
        <v>1003</v>
      </c>
      <c r="B954" t="s">
        <v>494</v>
      </c>
      <c r="C954">
        <v>70574900</v>
      </c>
      <c r="D954">
        <v>306</v>
      </c>
      <c r="E954">
        <v>4200191089</v>
      </c>
      <c r="F954" t="s">
        <v>1004</v>
      </c>
      <c r="G954" s="1">
        <v>45237</v>
      </c>
      <c r="H954">
        <v>5414896</v>
      </c>
      <c r="I954">
        <v>12</v>
      </c>
      <c r="J954" t="s">
        <v>319</v>
      </c>
      <c r="K954" t="str">
        <f>IFERROR(IF(AND(VLOOKUP($C954,Hes!$A:$B, 1, FALSE), $M954&lt;&gt;" "), "Ingresada", "Falta Ingresar"), " ")</f>
        <v xml:space="preserve"> </v>
      </c>
      <c r="L954" s="4" t="str">
        <f>IFERROR(VLOOKUP($C954,Observaciones!$A:$B,2,FALSE)," ")</f>
        <v>VENDEDOR ENVIA INFORME</v>
      </c>
      <c r="M954" t="s">
        <v>681</v>
      </c>
      <c r="O954" s="5">
        <v>30859315</v>
      </c>
      <c r="P954" s="5">
        <v>420573</v>
      </c>
      <c r="Q954" s="5">
        <v>79909</v>
      </c>
      <c r="R954" s="5">
        <v>500482</v>
      </c>
    </row>
    <row r="955" spans="1:18" x14ac:dyDescent="0.25">
      <c r="A955" t="s">
        <v>1003</v>
      </c>
      <c r="B955" t="s">
        <v>494</v>
      </c>
      <c r="C955">
        <v>70574900</v>
      </c>
      <c r="D955">
        <v>329</v>
      </c>
      <c r="E955">
        <v>4200191092</v>
      </c>
      <c r="F955" t="s">
        <v>1004</v>
      </c>
      <c r="G955" s="1">
        <v>45237</v>
      </c>
      <c r="H955">
        <v>5414897</v>
      </c>
      <c r="I955">
        <v>12</v>
      </c>
      <c r="J955" t="s">
        <v>319</v>
      </c>
      <c r="K955" t="str">
        <f>IFERROR(IF(AND(VLOOKUP($C955,Hes!$A:$B, 1, FALSE), $M955&lt;&gt;" "), "Ingresada", "Falta Ingresar"), " ")</f>
        <v xml:space="preserve"> </v>
      </c>
      <c r="L955" s="4" t="str">
        <f>IFERROR(VLOOKUP($C955,Observaciones!$A:$B,2,FALSE)," ")</f>
        <v>VENDEDOR ENVIA INFORME</v>
      </c>
      <c r="M955" t="s">
        <v>681</v>
      </c>
      <c r="O955" s="5">
        <v>30859507</v>
      </c>
      <c r="P955" s="5">
        <v>85203</v>
      </c>
      <c r="Q955" s="5">
        <v>16189</v>
      </c>
      <c r="R955" s="5">
        <v>101392</v>
      </c>
    </row>
    <row r="956" spans="1:18" x14ac:dyDescent="0.25">
      <c r="A956" t="s">
        <v>1003</v>
      </c>
      <c r="B956" t="s">
        <v>494</v>
      </c>
      <c r="C956">
        <v>70574900</v>
      </c>
      <c r="D956">
        <v>341</v>
      </c>
      <c r="E956">
        <v>4200191099</v>
      </c>
      <c r="F956" t="s">
        <v>1004</v>
      </c>
      <c r="G956" s="1">
        <v>45237</v>
      </c>
      <c r="H956">
        <v>5414898</v>
      </c>
      <c r="I956">
        <v>12</v>
      </c>
      <c r="J956" t="s">
        <v>319</v>
      </c>
      <c r="K956" t="str">
        <f>IFERROR(IF(AND(VLOOKUP($C956,Hes!$A:$B, 1, FALSE), $M956&lt;&gt;" "), "Ingresada", "Falta Ingresar"), " ")</f>
        <v xml:space="preserve"> </v>
      </c>
      <c r="L956" s="4" t="str">
        <f>IFERROR(VLOOKUP($C956,Observaciones!$A:$B,2,FALSE)," ")</f>
        <v>VENDEDOR ENVIA INFORME</v>
      </c>
      <c r="M956" t="s">
        <v>681</v>
      </c>
      <c r="O956" s="5">
        <v>30860253</v>
      </c>
      <c r="P956" s="5">
        <v>419611</v>
      </c>
      <c r="Q956" s="5">
        <v>79726</v>
      </c>
      <c r="R956" s="5">
        <v>499337</v>
      </c>
    </row>
    <row r="957" spans="1:18" x14ac:dyDescent="0.25">
      <c r="A957" t="s">
        <v>1003</v>
      </c>
      <c r="B957" t="s">
        <v>494</v>
      </c>
      <c r="C957">
        <v>70574900</v>
      </c>
      <c r="D957">
        <v>328</v>
      </c>
      <c r="E957">
        <v>4200191100</v>
      </c>
      <c r="F957" t="s">
        <v>1004</v>
      </c>
      <c r="G957" s="1">
        <v>45237</v>
      </c>
      <c r="H957">
        <v>5414901</v>
      </c>
      <c r="I957">
        <v>12</v>
      </c>
      <c r="J957" t="s">
        <v>319</v>
      </c>
      <c r="K957" t="str">
        <f>IFERROR(IF(AND(VLOOKUP($C957,Hes!$A:$B, 1, FALSE), $M957&lt;&gt;" "), "Ingresada", "Falta Ingresar"), " ")</f>
        <v xml:space="preserve"> </v>
      </c>
      <c r="L957" s="4" t="str">
        <f>IFERROR(VLOOKUP($C957,Observaciones!$A:$B,2,FALSE)," ")</f>
        <v>VENDEDOR ENVIA INFORME</v>
      </c>
      <c r="M957" t="s">
        <v>681</v>
      </c>
      <c r="O957" s="5">
        <v>30860364</v>
      </c>
      <c r="P957" s="5">
        <v>524701</v>
      </c>
      <c r="Q957" s="5">
        <v>99693</v>
      </c>
      <c r="R957" s="5">
        <v>624394</v>
      </c>
    </row>
    <row r="958" spans="1:18" x14ac:dyDescent="0.25">
      <c r="A958" t="s">
        <v>1003</v>
      </c>
      <c r="B958" t="s">
        <v>494</v>
      </c>
      <c r="C958">
        <v>70574900</v>
      </c>
      <c r="D958">
        <v>325</v>
      </c>
      <c r="E958">
        <v>4200191103</v>
      </c>
      <c r="F958" t="s">
        <v>1004</v>
      </c>
      <c r="G958" s="1">
        <v>45238</v>
      </c>
      <c r="H958">
        <v>5415029</v>
      </c>
      <c r="I958">
        <v>12</v>
      </c>
      <c r="J958" t="s">
        <v>319</v>
      </c>
      <c r="K958" t="str">
        <f>IFERROR(IF(AND(VLOOKUP($C958,Hes!$A:$B, 1, FALSE), $M958&lt;&gt;" "), "Ingresada", "Falta Ingresar"), " ")</f>
        <v xml:space="preserve"> </v>
      </c>
      <c r="L958" s="4" t="str">
        <f>IFERROR(VLOOKUP($C958,Observaciones!$A:$B,2,FALSE)," ")</f>
        <v>VENDEDOR ENVIA INFORME</v>
      </c>
      <c r="M958" t="s">
        <v>681</v>
      </c>
      <c r="O958" s="5">
        <v>30860514</v>
      </c>
      <c r="P958" s="5">
        <v>256237</v>
      </c>
      <c r="Q958" s="5">
        <v>48685</v>
      </c>
      <c r="R958" s="5">
        <v>304922</v>
      </c>
    </row>
    <row r="959" spans="1:18" x14ac:dyDescent="0.25">
      <c r="A959" t="s">
        <v>1003</v>
      </c>
      <c r="B959" t="s">
        <v>494</v>
      </c>
      <c r="C959">
        <v>70574900</v>
      </c>
      <c r="D959">
        <v>314</v>
      </c>
      <c r="E959">
        <v>4200191096</v>
      </c>
      <c r="F959" t="s">
        <v>1004</v>
      </c>
      <c r="G959" s="1">
        <v>45238</v>
      </c>
      <c r="H959">
        <v>5415091</v>
      </c>
      <c r="I959">
        <v>12</v>
      </c>
      <c r="J959" t="s">
        <v>319</v>
      </c>
      <c r="K959" t="str">
        <f>IFERROR(IF(AND(VLOOKUP($C959,Hes!$A:$B, 1, FALSE), $M959&lt;&gt;" "), "Ingresada", "Falta Ingresar"), " ")</f>
        <v xml:space="preserve"> </v>
      </c>
      <c r="L959" s="4" t="str">
        <f>IFERROR(VLOOKUP($C959,Observaciones!$A:$B,2,FALSE)," ")</f>
        <v>VENDEDOR ENVIA INFORME</v>
      </c>
      <c r="M959" t="s">
        <v>681</v>
      </c>
      <c r="O959" s="5">
        <v>30859870</v>
      </c>
      <c r="P959" s="5">
        <v>506537</v>
      </c>
      <c r="Q959" s="5">
        <v>96242</v>
      </c>
      <c r="R959" s="5">
        <v>602779</v>
      </c>
    </row>
    <row r="960" spans="1:18" x14ac:dyDescent="0.25">
      <c r="A960" t="s">
        <v>1003</v>
      </c>
      <c r="B960" t="s">
        <v>494</v>
      </c>
      <c r="C960">
        <v>70574900</v>
      </c>
      <c r="D960">
        <v>334</v>
      </c>
      <c r="E960">
        <v>4200191484</v>
      </c>
      <c r="F960" t="s">
        <v>1004</v>
      </c>
      <c r="G960" s="1">
        <v>45238</v>
      </c>
      <c r="H960">
        <v>5415158</v>
      </c>
      <c r="I960">
        <v>12</v>
      </c>
      <c r="J960" t="s">
        <v>319</v>
      </c>
      <c r="K960" t="str">
        <f>IFERROR(IF(AND(VLOOKUP($C960,Hes!$A:$B, 1, FALSE), $M960&lt;&gt;" "), "Ingresada", "Falta Ingresar"), " ")</f>
        <v xml:space="preserve"> </v>
      </c>
      <c r="L960" s="4" t="str">
        <f>IFERROR(VLOOKUP($C960,Observaciones!$A:$B,2,FALSE)," ")</f>
        <v>VENDEDOR ENVIA INFORME</v>
      </c>
      <c r="M960" t="s">
        <v>681</v>
      </c>
      <c r="O960" s="5">
        <v>30862736</v>
      </c>
      <c r="P960" s="5">
        <v>60256</v>
      </c>
      <c r="Q960" s="5">
        <v>11449</v>
      </c>
      <c r="R960" s="5">
        <v>71705</v>
      </c>
    </row>
    <row r="961" spans="1:18" x14ac:dyDescent="0.25">
      <c r="A961" t="s">
        <v>1003</v>
      </c>
      <c r="B961" t="s">
        <v>494</v>
      </c>
      <c r="C961">
        <v>70574900</v>
      </c>
      <c r="D961">
        <v>354</v>
      </c>
      <c r="E961">
        <v>4200191548</v>
      </c>
      <c r="F961" t="s">
        <v>1004</v>
      </c>
      <c r="G961" s="1">
        <v>45237</v>
      </c>
      <c r="H961">
        <v>5415251</v>
      </c>
      <c r="I961">
        <v>12</v>
      </c>
      <c r="J961" t="s">
        <v>319</v>
      </c>
      <c r="K961" t="str">
        <f>IFERROR(IF(AND(VLOOKUP($C961,Hes!$A:$B, 1, FALSE), $M961&lt;&gt;" "), "Ingresada", "Falta Ingresar"), " ")</f>
        <v xml:space="preserve"> </v>
      </c>
      <c r="L961" s="4" t="str">
        <f>IFERROR(VLOOKUP($C961,Observaciones!$A:$B,2,FALSE)," ")</f>
        <v>VENDEDOR ENVIA INFORME</v>
      </c>
      <c r="M961" t="s">
        <v>681</v>
      </c>
      <c r="O961" s="5">
        <v>30862608</v>
      </c>
      <c r="P961" s="5">
        <v>511148</v>
      </c>
      <c r="Q961" s="5">
        <v>97118</v>
      </c>
      <c r="R961" s="5">
        <v>608266</v>
      </c>
    </row>
    <row r="962" spans="1:18" x14ac:dyDescent="0.25">
      <c r="A962" t="s">
        <v>1003</v>
      </c>
      <c r="B962" t="s">
        <v>494</v>
      </c>
      <c r="C962">
        <v>70574900</v>
      </c>
      <c r="D962">
        <v>326</v>
      </c>
      <c r="E962">
        <v>4200191090</v>
      </c>
      <c r="F962" t="s">
        <v>1004</v>
      </c>
      <c r="G962" s="1">
        <v>45237</v>
      </c>
      <c r="H962">
        <v>5415288</v>
      </c>
      <c r="I962">
        <v>12</v>
      </c>
      <c r="J962" t="s">
        <v>319</v>
      </c>
      <c r="K962" t="str">
        <f>IFERROR(IF(AND(VLOOKUP($C962,Hes!$A:$B, 1, FALSE), $M962&lt;&gt;" "), "Ingresada", "Falta Ingresar"), " ")</f>
        <v xml:space="preserve"> </v>
      </c>
      <c r="L962" s="4" t="str">
        <f>IFERROR(VLOOKUP($C962,Observaciones!$A:$B,2,FALSE)," ")</f>
        <v>VENDEDOR ENVIA INFORME</v>
      </c>
      <c r="M962" t="s">
        <v>681</v>
      </c>
      <c r="O962" s="5">
        <v>30859433</v>
      </c>
      <c r="P962" s="5">
        <v>101005</v>
      </c>
      <c r="Q962" s="5">
        <v>19191</v>
      </c>
      <c r="R962" s="5">
        <v>120196</v>
      </c>
    </row>
    <row r="963" spans="1:18" x14ac:dyDescent="0.25">
      <c r="A963" t="s">
        <v>1003</v>
      </c>
      <c r="B963" t="s">
        <v>494</v>
      </c>
      <c r="C963">
        <v>70574900</v>
      </c>
      <c r="D963">
        <v>333</v>
      </c>
      <c r="E963">
        <v>4200191535</v>
      </c>
      <c r="F963" t="s">
        <v>1004</v>
      </c>
      <c r="G963" s="1">
        <v>45238</v>
      </c>
      <c r="H963">
        <v>5415346</v>
      </c>
      <c r="I963">
        <v>12</v>
      </c>
      <c r="J963" t="s">
        <v>319</v>
      </c>
      <c r="K963" t="str">
        <f>IFERROR(IF(AND(VLOOKUP($C963,Hes!$A:$B, 1, FALSE), $M963&lt;&gt;" "), "Ingresada", "Falta Ingresar"), " ")</f>
        <v xml:space="preserve"> </v>
      </c>
      <c r="L963" s="4" t="str">
        <f>IFERROR(VLOOKUP($C963,Observaciones!$A:$B,2,FALSE)," ")</f>
        <v>VENDEDOR ENVIA INFORME</v>
      </c>
      <c r="M963" t="s">
        <v>681</v>
      </c>
      <c r="O963" s="5">
        <v>30862133</v>
      </c>
      <c r="P963" s="5">
        <v>266746</v>
      </c>
      <c r="Q963" s="5">
        <v>50682</v>
      </c>
      <c r="R963" s="5">
        <v>317428</v>
      </c>
    </row>
    <row r="964" spans="1:18" x14ac:dyDescent="0.25">
      <c r="A964" t="s">
        <v>1003</v>
      </c>
      <c r="B964" t="s">
        <v>494</v>
      </c>
      <c r="C964">
        <v>70574900</v>
      </c>
      <c r="D964">
        <v>316</v>
      </c>
      <c r="E964">
        <v>4200191177</v>
      </c>
      <c r="F964" t="s">
        <v>1004</v>
      </c>
      <c r="G964" s="1">
        <v>45238</v>
      </c>
      <c r="H964">
        <v>5415347</v>
      </c>
      <c r="I964">
        <v>12</v>
      </c>
      <c r="J964" t="s">
        <v>319</v>
      </c>
      <c r="K964" t="str">
        <f>IFERROR(IF(AND(VLOOKUP($C964,Hes!$A:$B, 1, FALSE), $M964&lt;&gt;" "), "Ingresada", "Falta Ingresar"), " ")</f>
        <v xml:space="preserve"> </v>
      </c>
      <c r="L964" s="4" t="str">
        <f>IFERROR(VLOOKUP($C964,Observaciones!$A:$B,2,FALSE)," ")</f>
        <v>VENDEDOR ENVIA INFORME</v>
      </c>
      <c r="M964" t="s">
        <v>681</v>
      </c>
      <c r="O964" s="5">
        <v>30861978</v>
      </c>
      <c r="P964" s="5">
        <v>537162</v>
      </c>
      <c r="Q964" s="5">
        <v>102061</v>
      </c>
      <c r="R964" s="5">
        <v>639223</v>
      </c>
    </row>
    <row r="965" spans="1:18" x14ac:dyDescent="0.25">
      <c r="A965" t="s">
        <v>1003</v>
      </c>
      <c r="B965" t="s">
        <v>494</v>
      </c>
      <c r="C965">
        <v>70574900</v>
      </c>
      <c r="D965">
        <v>321</v>
      </c>
      <c r="E965">
        <v>4200191530</v>
      </c>
      <c r="F965" t="s">
        <v>1004</v>
      </c>
      <c r="G965" s="1">
        <v>45238</v>
      </c>
      <c r="H965">
        <v>5415350</v>
      </c>
      <c r="I965">
        <v>12</v>
      </c>
      <c r="J965" t="s">
        <v>319</v>
      </c>
      <c r="K965" t="str">
        <f>IFERROR(IF(AND(VLOOKUP($C965,Hes!$A:$B, 1, FALSE), $M965&lt;&gt;" "), "Ingresada", "Falta Ingresar"), " ")</f>
        <v xml:space="preserve"> </v>
      </c>
      <c r="L965" s="4" t="str">
        <f>IFERROR(VLOOKUP($C965,Observaciones!$A:$B,2,FALSE)," ")</f>
        <v>VENDEDOR ENVIA INFORME</v>
      </c>
      <c r="M965" t="s">
        <v>681</v>
      </c>
      <c r="O965" s="5">
        <v>30862404</v>
      </c>
      <c r="P965" s="5">
        <v>335865</v>
      </c>
      <c r="Q965" s="5">
        <v>63814</v>
      </c>
      <c r="R965" s="5">
        <v>399679</v>
      </c>
    </row>
    <row r="966" spans="1:18" x14ac:dyDescent="0.25">
      <c r="A966" t="s">
        <v>1003</v>
      </c>
      <c r="B966" t="s">
        <v>494</v>
      </c>
      <c r="C966">
        <v>70574900</v>
      </c>
      <c r="D966">
        <v>347</v>
      </c>
      <c r="E966">
        <v>4200191178</v>
      </c>
      <c r="F966" t="s">
        <v>1004</v>
      </c>
      <c r="G966" s="1">
        <v>45238</v>
      </c>
      <c r="H966">
        <v>5415356</v>
      </c>
      <c r="I966">
        <v>12</v>
      </c>
      <c r="J966" t="s">
        <v>319</v>
      </c>
      <c r="K966" t="str">
        <f>IFERROR(IF(AND(VLOOKUP($C966,Hes!$A:$B, 1, FALSE), $M966&lt;&gt;" "), "Ingresada", "Falta Ingresar"), " ")</f>
        <v xml:space="preserve"> </v>
      </c>
      <c r="L966" s="4" t="str">
        <f>IFERROR(VLOOKUP($C966,Observaciones!$A:$B,2,FALSE)," ")</f>
        <v>VENDEDOR ENVIA INFORME</v>
      </c>
      <c r="M966" t="s">
        <v>681</v>
      </c>
      <c r="O966" s="5">
        <v>30862293</v>
      </c>
      <c r="P966" s="5">
        <v>268879</v>
      </c>
      <c r="Q966" s="5">
        <v>51087</v>
      </c>
      <c r="R966" s="5">
        <v>319966</v>
      </c>
    </row>
    <row r="967" spans="1:18" x14ac:dyDescent="0.25">
      <c r="A967" t="s">
        <v>1003</v>
      </c>
      <c r="B967" t="s">
        <v>494</v>
      </c>
      <c r="C967">
        <v>70574900</v>
      </c>
      <c r="D967">
        <v>324</v>
      </c>
      <c r="E967">
        <v>4200191508</v>
      </c>
      <c r="F967" t="s">
        <v>1004</v>
      </c>
      <c r="G967" s="1">
        <v>45238</v>
      </c>
      <c r="H967">
        <v>5415408</v>
      </c>
      <c r="I967">
        <v>12</v>
      </c>
      <c r="J967" t="s">
        <v>319</v>
      </c>
      <c r="K967" t="str">
        <f>IFERROR(IF(AND(VLOOKUP($C967,Hes!$A:$B, 1, FALSE), $M967&lt;&gt;" "), "Ingresada", "Falta Ingresar"), " ")</f>
        <v xml:space="preserve"> </v>
      </c>
      <c r="L967" s="4" t="str">
        <f>IFERROR(VLOOKUP($C967,Observaciones!$A:$B,2,FALSE)," ")</f>
        <v>VENDEDOR ENVIA INFORME</v>
      </c>
      <c r="M967" t="s">
        <v>681</v>
      </c>
      <c r="O967" s="5">
        <v>30862653</v>
      </c>
      <c r="P967" s="5">
        <v>884477</v>
      </c>
      <c r="Q967" s="5">
        <v>168051</v>
      </c>
      <c r="R967" s="5">
        <v>1052528</v>
      </c>
    </row>
    <row r="968" spans="1:18" x14ac:dyDescent="0.25">
      <c r="A968" t="s">
        <v>1003</v>
      </c>
      <c r="B968" t="s">
        <v>494</v>
      </c>
      <c r="C968">
        <v>70574900</v>
      </c>
      <c r="D968">
        <v>353</v>
      </c>
      <c r="E968">
        <v>4200191174</v>
      </c>
      <c r="F968" t="s">
        <v>1004</v>
      </c>
      <c r="G968" s="1">
        <v>45238</v>
      </c>
      <c r="H968">
        <v>5415542</v>
      </c>
      <c r="I968">
        <v>12</v>
      </c>
      <c r="J968" t="s">
        <v>319</v>
      </c>
      <c r="K968" t="str">
        <f>IFERROR(IF(AND(VLOOKUP($C968,Hes!$A:$B, 1, FALSE), $M968&lt;&gt;" "), "Ingresada", "Falta Ingresar"), " ")</f>
        <v xml:space="preserve"> </v>
      </c>
      <c r="L968" s="4" t="str">
        <f>IFERROR(VLOOKUP($C968,Observaciones!$A:$B,2,FALSE)," ")</f>
        <v>VENDEDOR ENVIA INFORME</v>
      </c>
      <c r="M968" t="s">
        <v>681</v>
      </c>
      <c r="O968" s="5">
        <v>30862508</v>
      </c>
      <c r="P968" s="5">
        <v>196371</v>
      </c>
      <c r="Q968" s="5">
        <v>37310</v>
      </c>
      <c r="R968" s="5">
        <v>233681</v>
      </c>
    </row>
    <row r="969" spans="1:18" x14ac:dyDescent="0.25">
      <c r="A969" t="s">
        <v>1003</v>
      </c>
      <c r="B969" t="s">
        <v>494</v>
      </c>
      <c r="C969">
        <v>70574900</v>
      </c>
      <c r="D969">
        <v>338</v>
      </c>
      <c r="E969">
        <v>4200191176</v>
      </c>
      <c r="F969" t="s">
        <v>1004</v>
      </c>
      <c r="G969" s="1">
        <v>45238</v>
      </c>
      <c r="H969">
        <v>5415591</v>
      </c>
      <c r="I969">
        <v>12</v>
      </c>
      <c r="J969" t="s">
        <v>319</v>
      </c>
      <c r="K969" t="str">
        <f>IFERROR(IF(AND(VLOOKUP($C969,Hes!$A:$B, 1, FALSE), $M969&lt;&gt;" "), "Ingresada", "Falta Ingresar"), " ")</f>
        <v xml:space="preserve"> </v>
      </c>
      <c r="L969" s="4" t="str">
        <f>IFERROR(VLOOKUP($C969,Observaciones!$A:$B,2,FALSE)," ")</f>
        <v>VENDEDOR ENVIA INFORME</v>
      </c>
      <c r="M969" t="s">
        <v>681</v>
      </c>
      <c r="O969" s="5">
        <v>30861698</v>
      </c>
      <c r="P969" s="5">
        <v>396314</v>
      </c>
      <c r="Q969" s="5">
        <v>75300</v>
      </c>
      <c r="R969" s="5">
        <v>471614</v>
      </c>
    </row>
    <row r="970" spans="1:18" x14ac:dyDescent="0.25">
      <c r="A970" t="s">
        <v>1003</v>
      </c>
      <c r="B970" t="s">
        <v>494</v>
      </c>
      <c r="C970">
        <v>70574900</v>
      </c>
      <c r="D970">
        <v>310</v>
      </c>
      <c r="E970">
        <v>4200191094</v>
      </c>
      <c r="F970" t="s">
        <v>1004</v>
      </c>
      <c r="G970" s="1">
        <v>45238</v>
      </c>
      <c r="H970">
        <v>5415592</v>
      </c>
      <c r="I970">
        <v>12</v>
      </c>
      <c r="J970" t="s">
        <v>319</v>
      </c>
      <c r="K970" t="str">
        <f>IFERROR(IF(AND(VLOOKUP($C970,Hes!$A:$B, 1, FALSE), $M970&lt;&gt;" "), "Ingresada", "Falta Ingresar"), " ")</f>
        <v xml:space="preserve"> </v>
      </c>
      <c r="L970" s="4" t="str">
        <f>IFERROR(VLOOKUP($C970,Observaciones!$A:$B,2,FALSE)," ")</f>
        <v>VENDEDOR ENVIA INFORME</v>
      </c>
      <c r="M970" t="s">
        <v>681</v>
      </c>
      <c r="O970" s="5">
        <v>30859704</v>
      </c>
      <c r="P970" s="5">
        <v>525589</v>
      </c>
      <c r="Q970" s="5">
        <v>99862</v>
      </c>
      <c r="R970" s="5">
        <v>625451</v>
      </c>
    </row>
    <row r="971" spans="1:18" x14ac:dyDescent="0.25">
      <c r="A971" t="s">
        <v>1003</v>
      </c>
      <c r="B971" t="s">
        <v>494</v>
      </c>
      <c r="C971">
        <v>70574900</v>
      </c>
      <c r="D971">
        <v>350</v>
      </c>
      <c r="E971">
        <v>4200191527</v>
      </c>
      <c r="F971" t="s">
        <v>1004</v>
      </c>
      <c r="G971" s="1">
        <v>45238</v>
      </c>
      <c r="H971">
        <v>5415593</v>
      </c>
      <c r="I971">
        <v>12</v>
      </c>
      <c r="J971" t="s">
        <v>319</v>
      </c>
      <c r="K971" t="str">
        <f>IFERROR(IF(AND(VLOOKUP($C971,Hes!$A:$B, 1, FALSE), $M971&lt;&gt;" "), "Ingresada", "Falta Ingresar"), " ")</f>
        <v xml:space="preserve"> </v>
      </c>
      <c r="L971" s="4" t="str">
        <f>IFERROR(VLOOKUP($C971,Observaciones!$A:$B,2,FALSE)," ")</f>
        <v>VENDEDOR ENVIA INFORME</v>
      </c>
      <c r="M971" t="s">
        <v>681</v>
      </c>
      <c r="O971" s="5">
        <v>30861774</v>
      </c>
      <c r="P971" s="5">
        <v>354715</v>
      </c>
      <c r="Q971" s="5">
        <v>67396</v>
      </c>
      <c r="R971" s="5">
        <v>422111</v>
      </c>
    </row>
    <row r="972" spans="1:18" x14ac:dyDescent="0.25">
      <c r="A972" t="s">
        <v>1003</v>
      </c>
      <c r="B972" t="s">
        <v>494</v>
      </c>
      <c r="C972">
        <v>70574900</v>
      </c>
      <c r="D972">
        <v>308</v>
      </c>
      <c r="E972">
        <v>4200191173</v>
      </c>
      <c r="F972" t="s">
        <v>1004</v>
      </c>
      <c r="G972" s="1">
        <v>45238</v>
      </c>
      <c r="H972">
        <v>5415594</v>
      </c>
      <c r="I972">
        <v>12</v>
      </c>
      <c r="J972" t="s">
        <v>319</v>
      </c>
      <c r="K972" t="str">
        <f>IFERROR(IF(AND(VLOOKUP($C972,Hes!$A:$B, 1, FALSE), $M972&lt;&gt;" "), "Ingresada", "Falta Ingresar"), " ")</f>
        <v xml:space="preserve"> </v>
      </c>
      <c r="L972" s="4" t="str">
        <f>IFERROR(VLOOKUP($C972,Observaciones!$A:$B,2,FALSE)," ")</f>
        <v>VENDEDOR ENVIA INFORME</v>
      </c>
      <c r="M972" t="s">
        <v>681</v>
      </c>
      <c r="O972" s="5">
        <v>30861573</v>
      </c>
      <c r="P972" s="5">
        <v>306368</v>
      </c>
      <c r="Q972" s="5">
        <v>58210</v>
      </c>
      <c r="R972" s="5">
        <v>364578</v>
      </c>
    </row>
    <row r="973" spans="1:18" x14ac:dyDescent="0.25">
      <c r="A973" t="s">
        <v>1003</v>
      </c>
      <c r="B973" t="s">
        <v>494</v>
      </c>
      <c r="C973">
        <v>70574900</v>
      </c>
      <c r="D973">
        <v>302</v>
      </c>
      <c r="E973">
        <v>4200191171</v>
      </c>
      <c r="F973" t="s">
        <v>1004</v>
      </c>
      <c r="G973" s="1">
        <v>45238</v>
      </c>
      <c r="H973">
        <v>5415595</v>
      </c>
      <c r="I973">
        <v>12</v>
      </c>
      <c r="J973" t="s">
        <v>319</v>
      </c>
      <c r="K973" t="str">
        <f>IFERROR(IF(AND(VLOOKUP($C973,Hes!$A:$B, 1, FALSE), $M973&lt;&gt;" "), "Ingresada", "Falta Ingresar"), " ")</f>
        <v xml:space="preserve"> </v>
      </c>
      <c r="L973" s="4" t="str">
        <f>IFERROR(VLOOKUP($C973,Observaciones!$A:$B,2,FALSE)," ")</f>
        <v>VENDEDOR ENVIA INFORME</v>
      </c>
      <c r="M973" t="s">
        <v>681</v>
      </c>
      <c r="O973" s="5">
        <v>30861418</v>
      </c>
      <c r="P973" s="5">
        <v>548548</v>
      </c>
      <c r="Q973" s="5">
        <v>104224</v>
      </c>
      <c r="R973" s="5">
        <v>652772</v>
      </c>
    </row>
    <row r="974" spans="1:18" x14ac:dyDescent="0.25">
      <c r="A974" t="s">
        <v>1003</v>
      </c>
      <c r="B974" t="s">
        <v>494</v>
      </c>
      <c r="C974">
        <v>70574900</v>
      </c>
      <c r="D974">
        <v>345</v>
      </c>
      <c r="E974">
        <v>4200191541</v>
      </c>
      <c r="F974" t="s">
        <v>1004</v>
      </c>
      <c r="G974" s="1">
        <v>45238</v>
      </c>
      <c r="H974">
        <v>5415596</v>
      </c>
      <c r="I974">
        <v>12</v>
      </c>
      <c r="J974" t="s">
        <v>319</v>
      </c>
      <c r="K974" t="str">
        <f>IFERROR(IF(AND(VLOOKUP($C974,Hes!$A:$B, 1, FALSE), $M974&lt;&gt;" "), "Ingresada", "Falta Ingresar"), " ")</f>
        <v xml:space="preserve"> </v>
      </c>
      <c r="L974" s="4" t="str">
        <f>IFERROR(VLOOKUP($C974,Observaciones!$A:$B,2,FALSE)," ")</f>
        <v>VENDEDOR ENVIA INFORME</v>
      </c>
      <c r="M974" t="s">
        <v>681</v>
      </c>
      <c r="O974" s="5">
        <v>30861875</v>
      </c>
      <c r="P974" s="5">
        <v>272039</v>
      </c>
      <c r="Q974" s="5">
        <v>51687</v>
      </c>
      <c r="R974" s="5">
        <v>323726</v>
      </c>
    </row>
    <row r="975" spans="1:18" x14ac:dyDescent="0.25">
      <c r="A975" t="s">
        <v>1003</v>
      </c>
      <c r="B975" t="s">
        <v>494</v>
      </c>
      <c r="C975">
        <v>70574900</v>
      </c>
      <c r="D975">
        <v>345</v>
      </c>
      <c r="E975">
        <v>4200191541</v>
      </c>
      <c r="F975" t="s">
        <v>1004</v>
      </c>
      <c r="G975" s="1">
        <v>45238</v>
      </c>
      <c r="H975">
        <v>5415597</v>
      </c>
      <c r="I975">
        <v>12</v>
      </c>
      <c r="J975" t="s">
        <v>319</v>
      </c>
      <c r="K975" t="str">
        <f>IFERROR(IF(AND(VLOOKUP($C975,Hes!$A:$B, 1, FALSE), $M975&lt;&gt;" "), "Ingresada", "Falta Ingresar"), " ")</f>
        <v xml:space="preserve"> </v>
      </c>
      <c r="L975" s="4" t="str">
        <f>IFERROR(VLOOKUP($C975,Observaciones!$A:$B,2,FALSE)," ")</f>
        <v>VENDEDOR ENVIA INFORME</v>
      </c>
      <c r="M975" t="s">
        <v>681</v>
      </c>
      <c r="O975" s="5">
        <v>30861875</v>
      </c>
      <c r="P975" s="5">
        <v>58116</v>
      </c>
      <c r="Q975" s="5">
        <v>11042</v>
      </c>
      <c r="R975" s="5">
        <v>69158</v>
      </c>
    </row>
    <row r="976" spans="1:18" x14ac:dyDescent="0.25">
      <c r="A976" t="s">
        <v>1003</v>
      </c>
      <c r="B976" t="s">
        <v>494</v>
      </c>
      <c r="C976">
        <v>70574900</v>
      </c>
      <c r="D976">
        <v>303</v>
      </c>
      <c r="E976">
        <v>4200191175</v>
      </c>
      <c r="F976" t="s">
        <v>1004</v>
      </c>
      <c r="G976" s="1">
        <v>45238</v>
      </c>
      <c r="H976">
        <v>5415598</v>
      </c>
      <c r="I976">
        <v>12</v>
      </c>
      <c r="J976" t="s">
        <v>319</v>
      </c>
      <c r="K976" t="str">
        <f>IFERROR(IF(AND(VLOOKUP($C976,Hes!$A:$B, 1, FALSE), $M976&lt;&gt;" "), "Ingresada", "Falta Ingresar"), " ")</f>
        <v xml:space="preserve"> </v>
      </c>
      <c r="L976" s="4" t="str">
        <f>IFERROR(VLOOKUP($C976,Observaciones!$A:$B,2,FALSE)," ")</f>
        <v>VENDEDOR ENVIA INFORME</v>
      </c>
      <c r="M976" t="s">
        <v>681</v>
      </c>
      <c r="O976" s="5">
        <v>30861455</v>
      </c>
      <c r="P976" s="5">
        <v>522578</v>
      </c>
      <c r="Q976" s="5">
        <v>99290</v>
      </c>
      <c r="R976" s="5">
        <v>621868</v>
      </c>
    </row>
    <row r="977" spans="1:18" x14ac:dyDescent="0.25">
      <c r="A977" t="s">
        <v>1003</v>
      </c>
      <c r="B977" t="s">
        <v>494</v>
      </c>
      <c r="C977">
        <v>70574900</v>
      </c>
      <c r="D977">
        <v>301</v>
      </c>
      <c r="E977">
        <v>4200191172</v>
      </c>
      <c r="F977" t="s">
        <v>1004</v>
      </c>
      <c r="G977" s="1">
        <v>45238</v>
      </c>
      <c r="H977">
        <v>5415599</v>
      </c>
      <c r="I977">
        <v>12</v>
      </c>
      <c r="J977" t="s">
        <v>319</v>
      </c>
      <c r="K977" t="str">
        <f>IFERROR(IF(AND(VLOOKUP($C977,Hes!$A:$B, 1, FALSE), $M977&lt;&gt;" "), "Ingresada", "Falta Ingresar"), " ")</f>
        <v xml:space="preserve"> </v>
      </c>
      <c r="L977" s="4" t="str">
        <f>IFERROR(VLOOKUP($C977,Observaciones!$A:$B,2,FALSE)," ")</f>
        <v>VENDEDOR ENVIA INFORME</v>
      </c>
      <c r="M977" t="s">
        <v>681</v>
      </c>
      <c r="O977" s="5">
        <v>30861304</v>
      </c>
      <c r="P977" s="5">
        <v>1007478</v>
      </c>
      <c r="Q977" s="5">
        <v>191421</v>
      </c>
      <c r="R977" s="5">
        <v>1198899</v>
      </c>
    </row>
    <row r="978" spans="1:18" x14ac:dyDescent="0.25">
      <c r="A978" t="s">
        <v>1003</v>
      </c>
      <c r="B978" t="s">
        <v>494</v>
      </c>
      <c r="C978">
        <v>70574900</v>
      </c>
      <c r="D978">
        <v>320</v>
      </c>
      <c r="E978">
        <v>4200191490</v>
      </c>
      <c r="F978" t="s">
        <v>1004</v>
      </c>
      <c r="G978" s="1">
        <v>45238</v>
      </c>
      <c r="H978">
        <v>5415600</v>
      </c>
      <c r="I978">
        <v>12</v>
      </c>
      <c r="J978" t="s">
        <v>319</v>
      </c>
      <c r="K978" t="str">
        <f>IFERROR(IF(AND(VLOOKUP($C978,Hes!$A:$B, 1, FALSE), $M978&lt;&gt;" "), "Ingresada", "Falta Ingresar"), " ")</f>
        <v xml:space="preserve"> </v>
      </c>
      <c r="L978" s="4" t="str">
        <f>IFERROR(VLOOKUP($C978,Observaciones!$A:$B,2,FALSE)," ")</f>
        <v>VENDEDOR ENVIA INFORME</v>
      </c>
      <c r="M978" t="s">
        <v>681</v>
      </c>
      <c r="O978" s="5">
        <v>30864873</v>
      </c>
      <c r="P978" s="5">
        <v>87910</v>
      </c>
      <c r="Q978" s="5">
        <v>16703</v>
      </c>
      <c r="R978" s="5">
        <v>104613</v>
      </c>
    </row>
    <row r="979" spans="1:18" x14ac:dyDescent="0.25">
      <c r="F979" t="s">
        <v>1005</v>
      </c>
      <c r="K979" t="str">
        <f>IFERROR(IF(AND(VLOOKUP($C979,Hes!$A:$B, 1, FALSE), $M979&lt;&gt;" "), "Ingresada", "Falta Ingresar"), " ")</f>
        <v xml:space="preserve"> </v>
      </c>
      <c r="L979" s="4" t="str">
        <f>IFERROR(VLOOKUP($C979,Observaciones!$A:$B,2,FALSE)," ")</f>
        <v xml:space="preserve"> </v>
      </c>
      <c r="M979" t="s">
        <v>681</v>
      </c>
      <c r="P979" s="5">
        <v>71139639</v>
      </c>
      <c r="Q979" s="5">
        <v>13516533</v>
      </c>
      <c r="R979" s="5">
        <v>84656172</v>
      </c>
    </row>
    <row r="980" spans="1:18" x14ac:dyDescent="0.25">
      <c r="A980" t="s">
        <v>496</v>
      </c>
      <c r="B980" t="s">
        <v>494</v>
      </c>
      <c r="C980">
        <v>70941900</v>
      </c>
      <c r="D980">
        <v>14</v>
      </c>
      <c r="E980">
        <v>54290</v>
      </c>
      <c r="F980" t="s">
        <v>1006</v>
      </c>
      <c r="G980" s="1">
        <v>45232</v>
      </c>
      <c r="H980">
        <v>5410676</v>
      </c>
      <c r="I980">
        <v>391</v>
      </c>
      <c r="J980" t="s">
        <v>456</v>
      </c>
      <c r="K980" t="str">
        <f>IFERROR(IF(AND(VLOOKUP($C980,Hes!$A:$B, 1, FALSE), $M980&lt;&gt;" "), "Ingresada", "Falta Ingresar"), " ")</f>
        <v xml:space="preserve"> </v>
      </c>
      <c r="L980" s="4" t="str">
        <f>IFERROR(VLOOKUP($C980,Observaciones!$A:$B,2,FALSE)," ")</f>
        <v xml:space="preserve"> </v>
      </c>
      <c r="M980" t="s">
        <v>681</v>
      </c>
      <c r="O980" s="5">
        <v>30846683</v>
      </c>
      <c r="P980" s="5">
        <v>288450</v>
      </c>
      <c r="Q980" s="5">
        <v>54806</v>
      </c>
      <c r="R980" s="5">
        <v>343256</v>
      </c>
    </row>
    <row r="981" spans="1:18" x14ac:dyDescent="0.25">
      <c r="A981" t="s">
        <v>496</v>
      </c>
      <c r="B981" t="s">
        <v>494</v>
      </c>
      <c r="C981">
        <v>70941900</v>
      </c>
      <c r="D981">
        <v>2</v>
      </c>
      <c r="E981">
        <v>54290</v>
      </c>
      <c r="F981" t="s">
        <v>1006</v>
      </c>
      <c r="G981" s="1">
        <v>45232</v>
      </c>
      <c r="H981">
        <v>5410677</v>
      </c>
      <c r="I981">
        <v>391</v>
      </c>
      <c r="J981" t="s">
        <v>456</v>
      </c>
      <c r="K981" t="str">
        <f>IFERROR(IF(AND(VLOOKUP($C981,Hes!$A:$B, 1, FALSE), $M981&lt;&gt;" "), "Ingresada", "Falta Ingresar"), " ")</f>
        <v xml:space="preserve"> </v>
      </c>
      <c r="L981" s="4" t="str">
        <f>IFERROR(VLOOKUP($C981,Observaciones!$A:$B,2,FALSE)," ")</f>
        <v xml:space="preserve"> </v>
      </c>
      <c r="M981" t="s">
        <v>681</v>
      </c>
      <c r="O981" s="5">
        <v>30846602</v>
      </c>
      <c r="P981" s="5">
        <v>576900</v>
      </c>
      <c r="Q981" s="5">
        <v>109611</v>
      </c>
      <c r="R981" s="5">
        <v>686511</v>
      </c>
    </row>
    <row r="982" spans="1:18" x14ac:dyDescent="0.25">
      <c r="A982" t="s">
        <v>496</v>
      </c>
      <c r="B982" t="s">
        <v>494</v>
      </c>
      <c r="C982">
        <v>70941900</v>
      </c>
      <c r="D982">
        <v>33</v>
      </c>
      <c r="E982">
        <v>54290</v>
      </c>
      <c r="F982" t="s">
        <v>1006</v>
      </c>
      <c r="G982" s="1">
        <v>45232</v>
      </c>
      <c r="H982">
        <v>5410774</v>
      </c>
      <c r="I982">
        <v>391</v>
      </c>
      <c r="J982" t="s">
        <v>456</v>
      </c>
      <c r="K982" t="str">
        <f>IFERROR(IF(AND(VLOOKUP($C982,Hes!$A:$B, 1, FALSE), $M982&lt;&gt;" "), "Ingresada", "Falta Ingresar"), " ")</f>
        <v xml:space="preserve"> </v>
      </c>
      <c r="L982" s="4" t="str">
        <f>IFERROR(VLOOKUP($C982,Observaciones!$A:$B,2,FALSE)," ")</f>
        <v xml:space="preserve"> </v>
      </c>
      <c r="M982" t="s">
        <v>681</v>
      </c>
      <c r="O982" s="5">
        <v>30846601</v>
      </c>
      <c r="P982" s="5">
        <v>576900</v>
      </c>
      <c r="Q982" s="5">
        <v>109611</v>
      </c>
      <c r="R982" s="5">
        <v>686511</v>
      </c>
    </row>
    <row r="983" spans="1:18" x14ac:dyDescent="0.25">
      <c r="A983" t="s">
        <v>496</v>
      </c>
      <c r="B983" t="s">
        <v>494</v>
      </c>
      <c r="C983">
        <v>70941900</v>
      </c>
      <c r="D983">
        <v>11</v>
      </c>
      <c r="E983">
        <v>54290</v>
      </c>
      <c r="F983" t="s">
        <v>1006</v>
      </c>
      <c r="G983" s="1">
        <v>45232</v>
      </c>
      <c r="H983">
        <v>5410938</v>
      </c>
      <c r="I983">
        <v>391</v>
      </c>
      <c r="J983" t="s">
        <v>456</v>
      </c>
      <c r="K983" t="str">
        <f>IFERROR(IF(AND(VLOOKUP($C983,Hes!$A:$B, 1, FALSE), $M983&lt;&gt;" "), "Ingresada", "Falta Ingresar"), " ")</f>
        <v xml:space="preserve"> </v>
      </c>
      <c r="L983" s="4" t="str">
        <f>IFERROR(VLOOKUP($C983,Observaciones!$A:$B,2,FALSE)," ")</f>
        <v xml:space="preserve"> </v>
      </c>
      <c r="M983" t="s">
        <v>681</v>
      </c>
      <c r="O983" s="5">
        <v>30846641</v>
      </c>
      <c r="P983" s="5">
        <v>417900</v>
      </c>
      <c r="Q983" s="5">
        <v>79401</v>
      </c>
      <c r="R983" s="5">
        <v>497301</v>
      </c>
    </row>
    <row r="984" spans="1:18" x14ac:dyDescent="0.25">
      <c r="A984" t="s">
        <v>496</v>
      </c>
      <c r="B984" t="s">
        <v>494</v>
      </c>
      <c r="C984">
        <v>70941900</v>
      </c>
      <c r="D984">
        <v>32</v>
      </c>
      <c r="E984">
        <v>54290</v>
      </c>
      <c r="F984" t="s">
        <v>1006</v>
      </c>
      <c r="G984" s="1">
        <v>45232</v>
      </c>
      <c r="H984">
        <v>5410945</v>
      </c>
      <c r="I984">
        <v>391</v>
      </c>
      <c r="J984" t="s">
        <v>456</v>
      </c>
      <c r="K984" t="str">
        <f>IFERROR(IF(AND(VLOOKUP($C984,Hes!$A:$B, 1, FALSE), $M984&lt;&gt;" "), "Ingresada", "Falta Ingresar"), " ")</f>
        <v xml:space="preserve"> </v>
      </c>
      <c r="L984" s="4" t="str">
        <f>IFERROR(VLOOKUP($C984,Observaciones!$A:$B,2,FALSE)," ")</f>
        <v xml:space="preserve"> </v>
      </c>
      <c r="M984" t="s">
        <v>681</v>
      </c>
      <c r="O984" s="5">
        <v>30846569</v>
      </c>
      <c r="P984" s="5">
        <v>865350</v>
      </c>
      <c r="Q984" s="5">
        <v>164417</v>
      </c>
      <c r="R984" s="5">
        <v>1029767</v>
      </c>
    </row>
    <row r="985" spans="1:18" x14ac:dyDescent="0.25">
      <c r="A985" t="s">
        <v>496</v>
      </c>
      <c r="B985" t="s">
        <v>494</v>
      </c>
      <c r="C985">
        <v>70941900</v>
      </c>
      <c r="D985">
        <v>30</v>
      </c>
      <c r="E985">
        <v>54290</v>
      </c>
      <c r="F985" t="s">
        <v>1006</v>
      </c>
      <c r="G985" s="1">
        <v>45232</v>
      </c>
      <c r="H985">
        <v>5410948</v>
      </c>
      <c r="I985">
        <v>391</v>
      </c>
      <c r="J985" t="s">
        <v>456</v>
      </c>
      <c r="K985" t="str">
        <f>IFERROR(IF(AND(VLOOKUP($C985,Hes!$A:$B, 1, FALSE), $M985&lt;&gt;" "), "Ingresada", "Falta Ingresar"), " ")</f>
        <v xml:space="preserve"> </v>
      </c>
      <c r="L985" s="4" t="str">
        <f>IFERROR(VLOOKUP($C985,Observaciones!$A:$B,2,FALSE)," ")</f>
        <v xml:space="preserve"> </v>
      </c>
      <c r="M985" t="s">
        <v>681</v>
      </c>
      <c r="O985" s="5">
        <v>30846462</v>
      </c>
      <c r="P985" s="5">
        <v>576900</v>
      </c>
      <c r="Q985" s="5">
        <v>109611</v>
      </c>
      <c r="R985" s="5">
        <v>686511</v>
      </c>
    </row>
    <row r="986" spans="1:18" x14ac:dyDescent="0.25">
      <c r="A986" t="s">
        <v>496</v>
      </c>
      <c r="B986" t="s">
        <v>494</v>
      </c>
      <c r="C986">
        <v>70941900</v>
      </c>
      <c r="D986">
        <v>17</v>
      </c>
      <c r="E986">
        <v>54290</v>
      </c>
      <c r="F986" t="s">
        <v>1006</v>
      </c>
      <c r="G986" s="1">
        <v>45232</v>
      </c>
      <c r="H986">
        <v>5410967</v>
      </c>
      <c r="I986">
        <v>391</v>
      </c>
      <c r="J986" t="s">
        <v>456</v>
      </c>
      <c r="K986" t="str">
        <f>IFERROR(IF(AND(VLOOKUP($C986,Hes!$A:$B, 1, FALSE), $M986&lt;&gt;" "), "Ingresada", "Falta Ingresar"), " ")</f>
        <v xml:space="preserve"> </v>
      </c>
      <c r="L986" s="4" t="str">
        <f>IFERROR(VLOOKUP($C986,Observaciones!$A:$B,2,FALSE)," ")</f>
        <v xml:space="preserve"> </v>
      </c>
      <c r="M986" t="s">
        <v>681</v>
      </c>
      <c r="O986" s="5">
        <v>30846672</v>
      </c>
      <c r="P986" s="5">
        <v>288450</v>
      </c>
      <c r="Q986" s="5">
        <v>54806</v>
      </c>
      <c r="R986" s="5">
        <v>343256</v>
      </c>
    </row>
    <row r="987" spans="1:18" x14ac:dyDescent="0.25">
      <c r="A987" t="s">
        <v>496</v>
      </c>
      <c r="B987" t="s">
        <v>494</v>
      </c>
      <c r="C987">
        <v>70941900</v>
      </c>
      <c r="D987">
        <v>18</v>
      </c>
      <c r="E987">
        <v>54290</v>
      </c>
      <c r="F987" t="s">
        <v>1006</v>
      </c>
      <c r="G987" s="1">
        <v>45232</v>
      </c>
      <c r="H987">
        <v>5410968</v>
      </c>
      <c r="I987">
        <v>391</v>
      </c>
      <c r="J987" t="s">
        <v>456</v>
      </c>
      <c r="K987" t="str">
        <f>IFERROR(IF(AND(VLOOKUP($C987,Hes!$A:$B, 1, FALSE), $M987&lt;&gt;" "), "Ingresada", "Falta Ingresar"), " ")</f>
        <v xml:space="preserve"> </v>
      </c>
      <c r="L987" s="4" t="str">
        <f>IFERROR(VLOOKUP($C987,Observaciones!$A:$B,2,FALSE)," ")</f>
        <v xml:space="preserve"> </v>
      </c>
      <c r="M987" t="s">
        <v>681</v>
      </c>
      <c r="O987" s="5">
        <v>30846680</v>
      </c>
      <c r="P987" s="5">
        <v>288450</v>
      </c>
      <c r="Q987" s="5">
        <v>54806</v>
      </c>
      <c r="R987" s="5">
        <v>343256</v>
      </c>
    </row>
    <row r="988" spans="1:18" x14ac:dyDescent="0.25">
      <c r="A988" t="s">
        <v>496</v>
      </c>
      <c r="B988" t="s">
        <v>494</v>
      </c>
      <c r="C988">
        <v>70941900</v>
      </c>
      <c r="D988">
        <v>15</v>
      </c>
      <c r="E988">
        <v>54290</v>
      </c>
      <c r="F988" t="s">
        <v>1006</v>
      </c>
      <c r="G988" s="1">
        <v>45232</v>
      </c>
      <c r="H988">
        <v>5410969</v>
      </c>
      <c r="I988">
        <v>391</v>
      </c>
      <c r="J988" t="s">
        <v>456</v>
      </c>
      <c r="K988" t="str">
        <f>IFERROR(IF(AND(VLOOKUP($C988,Hes!$A:$B, 1, FALSE), $M988&lt;&gt;" "), "Ingresada", "Falta Ingresar"), " ")</f>
        <v xml:space="preserve"> </v>
      </c>
      <c r="L988" s="4" t="str">
        <f>IFERROR(VLOOKUP($C988,Observaciones!$A:$B,2,FALSE)," ")</f>
        <v xml:space="preserve"> </v>
      </c>
      <c r="M988" t="s">
        <v>681</v>
      </c>
      <c r="O988" s="5">
        <v>30846733</v>
      </c>
      <c r="P988" s="5">
        <v>461520</v>
      </c>
      <c r="Q988" s="5">
        <v>87689</v>
      </c>
      <c r="R988" s="5">
        <v>549209</v>
      </c>
    </row>
    <row r="989" spans="1:18" x14ac:dyDescent="0.25">
      <c r="A989" t="s">
        <v>496</v>
      </c>
      <c r="B989" t="s">
        <v>494</v>
      </c>
      <c r="C989">
        <v>70941900</v>
      </c>
      <c r="D989">
        <v>31</v>
      </c>
      <c r="E989">
        <v>54290</v>
      </c>
      <c r="F989" t="s">
        <v>1006</v>
      </c>
      <c r="G989" s="1">
        <v>45232</v>
      </c>
      <c r="H989">
        <v>5410970</v>
      </c>
      <c r="I989">
        <v>391</v>
      </c>
      <c r="J989" t="s">
        <v>456</v>
      </c>
      <c r="K989" t="str">
        <f>IFERROR(IF(AND(VLOOKUP($C989,Hes!$A:$B, 1, FALSE), $M989&lt;&gt;" "), "Ingresada", "Falta Ingresar"), " ")</f>
        <v xml:space="preserve"> </v>
      </c>
      <c r="L989" s="4" t="str">
        <f>IFERROR(VLOOKUP($C989,Observaciones!$A:$B,2,FALSE)," ")</f>
        <v xml:space="preserve"> </v>
      </c>
      <c r="M989" t="s">
        <v>681</v>
      </c>
      <c r="O989" s="5">
        <v>30846558</v>
      </c>
      <c r="P989" s="5">
        <v>403830</v>
      </c>
      <c r="Q989" s="5">
        <v>76728</v>
      </c>
      <c r="R989" s="5">
        <v>480558</v>
      </c>
    </row>
    <row r="990" spans="1:18" x14ac:dyDescent="0.25">
      <c r="A990" t="s">
        <v>496</v>
      </c>
      <c r="B990" t="s">
        <v>494</v>
      </c>
      <c r="C990">
        <v>70941900</v>
      </c>
      <c r="D990">
        <v>3</v>
      </c>
      <c r="E990">
        <v>54290</v>
      </c>
      <c r="F990" t="s">
        <v>1006</v>
      </c>
      <c r="G990" s="1">
        <v>45232</v>
      </c>
      <c r="H990">
        <v>5410971</v>
      </c>
      <c r="I990">
        <v>391</v>
      </c>
      <c r="J990" t="s">
        <v>456</v>
      </c>
      <c r="K990" t="str">
        <f>IFERROR(IF(AND(VLOOKUP($C990,Hes!$A:$B, 1, FALSE), $M990&lt;&gt;" "), "Ingresada", "Falta Ingresar"), " ")</f>
        <v xml:space="preserve"> </v>
      </c>
      <c r="L990" s="4" t="str">
        <f>IFERROR(VLOOKUP($C990,Observaciones!$A:$B,2,FALSE)," ")</f>
        <v xml:space="preserve"> </v>
      </c>
      <c r="M990" t="s">
        <v>681</v>
      </c>
      <c r="O990" s="5">
        <v>30846600</v>
      </c>
      <c r="P990" s="5">
        <v>576900</v>
      </c>
      <c r="Q990" s="5">
        <v>109611</v>
      </c>
      <c r="R990" s="5">
        <v>686511</v>
      </c>
    </row>
    <row r="991" spans="1:18" x14ac:dyDescent="0.25">
      <c r="A991" t="s">
        <v>496</v>
      </c>
      <c r="B991" t="s">
        <v>494</v>
      </c>
      <c r="C991">
        <v>70941900</v>
      </c>
      <c r="D991">
        <v>8</v>
      </c>
      <c r="E991">
        <v>54290</v>
      </c>
      <c r="F991" t="s">
        <v>1006</v>
      </c>
      <c r="G991" s="1">
        <v>45232</v>
      </c>
      <c r="H991">
        <v>5410997</v>
      </c>
      <c r="I991">
        <v>391</v>
      </c>
      <c r="J991" t="s">
        <v>456</v>
      </c>
      <c r="K991" t="str">
        <f>IFERROR(IF(AND(VLOOKUP($C991,Hes!$A:$B, 1, FALSE), $M991&lt;&gt;" "), "Ingresada", "Falta Ingresar"), " ")</f>
        <v xml:space="preserve"> </v>
      </c>
      <c r="L991" s="4" t="str">
        <f>IFERROR(VLOOKUP($C991,Observaciones!$A:$B,2,FALSE)," ")</f>
        <v xml:space="preserve"> </v>
      </c>
      <c r="M991" t="s">
        <v>681</v>
      </c>
      <c r="O991" s="5">
        <v>30846539</v>
      </c>
      <c r="P991" s="5">
        <v>865350</v>
      </c>
      <c r="Q991" s="5">
        <v>164417</v>
      </c>
      <c r="R991" s="5">
        <v>1029767</v>
      </c>
    </row>
    <row r="992" spans="1:18" x14ac:dyDescent="0.25">
      <c r="A992" t="s">
        <v>496</v>
      </c>
      <c r="B992" t="s">
        <v>494</v>
      </c>
      <c r="C992">
        <v>70941900</v>
      </c>
      <c r="D992">
        <v>34</v>
      </c>
      <c r="E992">
        <v>54290</v>
      </c>
      <c r="F992" t="s">
        <v>1006</v>
      </c>
      <c r="G992" s="1">
        <v>45232</v>
      </c>
      <c r="H992">
        <v>5411023</v>
      </c>
      <c r="I992">
        <v>391</v>
      </c>
      <c r="J992" t="s">
        <v>456</v>
      </c>
      <c r="K992" t="str">
        <f>IFERROR(IF(AND(VLOOKUP($C992,Hes!$A:$B, 1, FALSE), $M992&lt;&gt;" "), "Ingresada", "Falta Ingresar"), " ")</f>
        <v xml:space="preserve"> </v>
      </c>
      <c r="L992" s="4" t="str">
        <f>IFERROR(VLOOKUP($C992,Observaciones!$A:$B,2,FALSE)," ")</f>
        <v xml:space="preserve"> </v>
      </c>
      <c r="M992" t="s">
        <v>681</v>
      </c>
      <c r="O992" s="5">
        <v>30846571</v>
      </c>
      <c r="P992" s="5">
        <v>865350</v>
      </c>
      <c r="Q992" s="5">
        <v>164417</v>
      </c>
      <c r="R992" s="5">
        <v>1029767</v>
      </c>
    </row>
    <row r="993" spans="1:18" x14ac:dyDescent="0.25">
      <c r="A993" t="s">
        <v>496</v>
      </c>
      <c r="B993" t="s">
        <v>494</v>
      </c>
      <c r="C993">
        <v>70941900</v>
      </c>
      <c r="D993">
        <v>12</v>
      </c>
      <c r="E993">
        <v>54290</v>
      </c>
      <c r="F993" t="s">
        <v>1006</v>
      </c>
      <c r="G993" s="1">
        <v>45232</v>
      </c>
      <c r="H993">
        <v>5411025</v>
      </c>
      <c r="I993">
        <v>391</v>
      </c>
      <c r="J993" t="s">
        <v>456</v>
      </c>
      <c r="K993" t="str">
        <f>IFERROR(IF(AND(VLOOKUP($C993,Hes!$A:$B, 1, FALSE), $M993&lt;&gt;" "), "Ingresada", "Falta Ingresar"), " ")</f>
        <v xml:space="preserve"> </v>
      </c>
      <c r="L993" s="4" t="str">
        <f>IFERROR(VLOOKUP($C993,Observaciones!$A:$B,2,FALSE)," ")</f>
        <v xml:space="preserve"> </v>
      </c>
      <c r="M993" t="s">
        <v>681</v>
      </c>
      <c r="O993" s="5">
        <v>30846655</v>
      </c>
      <c r="P993" s="5">
        <v>403830</v>
      </c>
      <c r="Q993" s="5">
        <v>76728</v>
      </c>
      <c r="R993" s="5">
        <v>480558</v>
      </c>
    </row>
    <row r="994" spans="1:18" x14ac:dyDescent="0.25">
      <c r="A994" t="s">
        <v>496</v>
      </c>
      <c r="B994" t="s">
        <v>494</v>
      </c>
      <c r="C994">
        <v>70941900</v>
      </c>
      <c r="D994">
        <v>35</v>
      </c>
      <c r="E994">
        <v>54290</v>
      </c>
      <c r="F994" t="s">
        <v>1006</v>
      </c>
      <c r="G994" s="1">
        <v>45232</v>
      </c>
      <c r="H994">
        <v>5411026</v>
      </c>
      <c r="I994">
        <v>391</v>
      </c>
      <c r="J994" t="s">
        <v>456</v>
      </c>
      <c r="K994" t="str">
        <f>IFERROR(IF(AND(VLOOKUP($C994,Hes!$A:$B, 1, FALSE), $M994&lt;&gt;" "), "Ingresada", "Falta Ingresar"), " ")</f>
        <v xml:space="preserve"> </v>
      </c>
      <c r="L994" s="4" t="str">
        <f>IFERROR(VLOOKUP($C994,Observaciones!$A:$B,2,FALSE)," ")</f>
        <v xml:space="preserve"> </v>
      </c>
      <c r="M994" t="s">
        <v>681</v>
      </c>
      <c r="O994" s="5">
        <v>30846572</v>
      </c>
      <c r="P994" s="5">
        <v>865350</v>
      </c>
      <c r="Q994" s="5">
        <v>164417</v>
      </c>
      <c r="R994" s="5">
        <v>1029767</v>
      </c>
    </row>
    <row r="995" spans="1:18" x14ac:dyDescent="0.25">
      <c r="A995" t="s">
        <v>496</v>
      </c>
      <c r="B995" t="s">
        <v>494</v>
      </c>
      <c r="C995">
        <v>70941900</v>
      </c>
      <c r="D995">
        <v>36</v>
      </c>
      <c r="E995">
        <v>54290</v>
      </c>
      <c r="F995" t="s">
        <v>1006</v>
      </c>
      <c r="G995" s="1">
        <v>45232</v>
      </c>
      <c r="H995">
        <v>5411027</v>
      </c>
      <c r="I995">
        <v>391</v>
      </c>
      <c r="J995" t="s">
        <v>456</v>
      </c>
      <c r="K995" t="str">
        <f>IFERROR(IF(AND(VLOOKUP($C995,Hes!$A:$B, 1, FALSE), $M995&lt;&gt;" "), "Ingresada", "Falta Ingresar"), " ")</f>
        <v xml:space="preserve"> </v>
      </c>
      <c r="L995" s="4" t="str">
        <f>IFERROR(VLOOKUP($C995,Observaciones!$A:$B,2,FALSE)," ")</f>
        <v xml:space="preserve"> </v>
      </c>
      <c r="M995" t="s">
        <v>681</v>
      </c>
      <c r="O995" s="5">
        <v>30846573</v>
      </c>
      <c r="P995" s="5">
        <v>865350</v>
      </c>
      <c r="Q995" s="5">
        <v>164417</v>
      </c>
      <c r="R995" s="5">
        <v>1029767</v>
      </c>
    </row>
    <row r="996" spans="1:18" x14ac:dyDescent="0.25">
      <c r="A996" t="s">
        <v>496</v>
      </c>
      <c r="B996" t="s">
        <v>494</v>
      </c>
      <c r="C996">
        <v>70941900</v>
      </c>
      <c r="D996">
        <v>0</v>
      </c>
      <c r="E996">
        <v>54290</v>
      </c>
      <c r="F996" t="s">
        <v>1006</v>
      </c>
      <c r="G996" s="1">
        <v>45232</v>
      </c>
      <c r="H996">
        <v>5411028</v>
      </c>
      <c r="I996">
        <v>391</v>
      </c>
      <c r="J996" t="s">
        <v>456</v>
      </c>
      <c r="K996" t="str">
        <f>IFERROR(IF(AND(VLOOKUP($C996,Hes!$A:$B, 1, FALSE), $M996&lt;&gt;" "), "Ingresada", "Falta Ingresar"), " ")</f>
        <v xml:space="preserve"> </v>
      </c>
      <c r="L996" s="4" t="str">
        <f>IFERROR(VLOOKUP($C996,Observaciones!$A:$B,2,FALSE)," ")</f>
        <v xml:space="preserve"> </v>
      </c>
      <c r="M996" t="s">
        <v>681</v>
      </c>
      <c r="O996" s="5">
        <v>30846778</v>
      </c>
      <c r="P996" s="5">
        <v>805410</v>
      </c>
      <c r="Q996" s="5">
        <v>153028</v>
      </c>
      <c r="R996" s="5">
        <v>958438</v>
      </c>
    </row>
    <row r="997" spans="1:18" x14ac:dyDescent="0.25">
      <c r="A997" t="s">
        <v>496</v>
      </c>
      <c r="B997" t="s">
        <v>494</v>
      </c>
      <c r="C997">
        <v>70941900</v>
      </c>
      <c r="D997">
        <v>16</v>
      </c>
      <c r="E997">
        <v>54290</v>
      </c>
      <c r="F997" t="s">
        <v>1006</v>
      </c>
      <c r="G997" s="1">
        <v>45232</v>
      </c>
      <c r="H997">
        <v>5411029</v>
      </c>
      <c r="I997">
        <v>391</v>
      </c>
      <c r="J997" t="s">
        <v>456</v>
      </c>
      <c r="K997" t="str">
        <f>IFERROR(IF(AND(VLOOKUP($C997,Hes!$A:$B, 1, FALSE), $M997&lt;&gt;" "), "Ingresada", "Falta Ingresar"), " ")</f>
        <v xml:space="preserve"> </v>
      </c>
      <c r="L997" s="4" t="str">
        <f>IFERROR(VLOOKUP($C997,Observaciones!$A:$B,2,FALSE)," ")</f>
        <v xml:space="preserve"> </v>
      </c>
      <c r="M997" t="s">
        <v>681</v>
      </c>
      <c r="O997" s="5">
        <v>30846603</v>
      </c>
      <c r="P997" s="5">
        <v>576900</v>
      </c>
      <c r="Q997" s="5">
        <v>109611</v>
      </c>
      <c r="R997" s="5">
        <v>686511</v>
      </c>
    </row>
    <row r="998" spans="1:18" x14ac:dyDescent="0.25">
      <c r="F998" t="s">
        <v>526</v>
      </c>
      <c r="K998" t="str">
        <f>IFERROR(IF(AND(VLOOKUP($C998,Hes!$A:$B, 1, FALSE), $M998&lt;&gt;" "), "Ingresada", "Falta Ingresar"), " ")</f>
        <v xml:space="preserve"> </v>
      </c>
      <c r="L998" s="4" t="str">
        <f>IFERROR(VLOOKUP($C998,Observaciones!$A:$B,2,FALSE)," ")</f>
        <v xml:space="preserve"> </v>
      </c>
      <c r="M998" t="s">
        <v>681</v>
      </c>
      <c r="P998" s="5">
        <v>10569090</v>
      </c>
      <c r="Q998" s="5">
        <v>2008132</v>
      </c>
      <c r="R998" s="5">
        <v>12577222</v>
      </c>
    </row>
    <row r="999" spans="1:18" x14ac:dyDescent="0.25">
      <c r="A999" t="s">
        <v>522</v>
      </c>
      <c r="B999" t="s">
        <v>494</v>
      </c>
      <c r="C999">
        <v>71234100</v>
      </c>
      <c r="D999">
        <v>5</v>
      </c>
      <c r="E999">
        <v>30845520</v>
      </c>
      <c r="F999" t="s">
        <v>1007</v>
      </c>
      <c r="G999" s="1">
        <v>45232</v>
      </c>
      <c r="H999">
        <v>5410793</v>
      </c>
      <c r="I999">
        <v>136</v>
      </c>
      <c r="J999" t="s">
        <v>313</v>
      </c>
      <c r="K999" t="str">
        <f>IFERROR(IF(AND(VLOOKUP($C999,Hes!$A:$B, 1, FALSE), $M999&lt;&gt;" "), "Ingresada", "Falta Ingresar"), " ")</f>
        <v xml:space="preserve"> </v>
      </c>
      <c r="L999" s="4" t="str">
        <f>IFERROR(VLOOKUP($C999,Observaciones!$A:$B,2,FALSE)," ")</f>
        <v>FACTURAR EL 29</v>
      </c>
      <c r="M999" t="s">
        <v>681</v>
      </c>
      <c r="O999" s="5">
        <v>30845520</v>
      </c>
      <c r="P999" s="5">
        <v>694077</v>
      </c>
      <c r="Q999" s="5">
        <v>131875</v>
      </c>
      <c r="R999" s="5">
        <v>825952</v>
      </c>
    </row>
    <row r="1000" spans="1:18" x14ac:dyDescent="0.25">
      <c r="A1000" t="s">
        <v>522</v>
      </c>
      <c r="B1000" t="s">
        <v>494</v>
      </c>
      <c r="C1000">
        <v>71234100</v>
      </c>
      <c r="D1000">
        <v>948</v>
      </c>
      <c r="E1000">
        <v>30849412</v>
      </c>
      <c r="F1000" t="s">
        <v>1007</v>
      </c>
      <c r="G1000" s="1">
        <v>45233</v>
      </c>
      <c r="H1000">
        <v>5411433</v>
      </c>
      <c r="I1000">
        <v>136</v>
      </c>
      <c r="J1000" t="s">
        <v>313</v>
      </c>
      <c r="K1000" t="str">
        <f>IFERROR(IF(AND(VLOOKUP($C1000,Hes!$A:$B, 1, FALSE), $M1000&lt;&gt;" "), "Ingresada", "Falta Ingresar"), " ")</f>
        <v xml:space="preserve"> </v>
      </c>
      <c r="L1000" s="4" t="str">
        <f>IFERROR(VLOOKUP($C1000,Observaciones!$A:$B,2,FALSE)," ")</f>
        <v>FACTURAR EL 29</v>
      </c>
      <c r="M1000" t="s">
        <v>681</v>
      </c>
      <c r="O1000" s="5">
        <v>30849412</v>
      </c>
      <c r="P1000" s="5">
        <v>379151</v>
      </c>
      <c r="Q1000" s="5">
        <v>72039</v>
      </c>
      <c r="R1000" s="5">
        <v>451190</v>
      </c>
    </row>
    <row r="1001" spans="1:18" x14ac:dyDescent="0.25">
      <c r="A1001" t="s">
        <v>522</v>
      </c>
      <c r="B1001" t="s">
        <v>494</v>
      </c>
      <c r="C1001">
        <v>71234100</v>
      </c>
      <c r="D1001">
        <v>95</v>
      </c>
      <c r="E1001">
        <v>30849496</v>
      </c>
      <c r="F1001" t="s">
        <v>1007</v>
      </c>
      <c r="G1001" s="1">
        <v>45233</v>
      </c>
      <c r="H1001">
        <v>5411487</v>
      </c>
      <c r="I1001">
        <v>136</v>
      </c>
      <c r="J1001" t="s">
        <v>313</v>
      </c>
      <c r="K1001" t="str">
        <f>IFERROR(IF(AND(VLOOKUP($C1001,Hes!$A:$B, 1, FALSE), $M1001&lt;&gt;" "), "Ingresada", "Falta Ingresar"), " ")</f>
        <v xml:space="preserve"> </v>
      </c>
      <c r="L1001" s="4" t="str">
        <f>IFERROR(VLOOKUP($C1001,Observaciones!$A:$B,2,FALSE)," ")</f>
        <v>FACTURAR EL 29</v>
      </c>
      <c r="M1001" t="s">
        <v>681</v>
      </c>
      <c r="O1001" s="5">
        <v>30849496</v>
      </c>
      <c r="P1001" s="5">
        <v>42479</v>
      </c>
      <c r="Q1001" s="5">
        <v>8071</v>
      </c>
      <c r="R1001" s="5">
        <v>50550</v>
      </c>
    </row>
    <row r="1002" spans="1:18" x14ac:dyDescent="0.25">
      <c r="A1002" t="s">
        <v>522</v>
      </c>
      <c r="B1002" t="s">
        <v>494</v>
      </c>
      <c r="C1002">
        <v>71234100</v>
      </c>
      <c r="D1002">
        <v>941</v>
      </c>
      <c r="E1002">
        <v>30849402</v>
      </c>
      <c r="F1002" t="s">
        <v>1007</v>
      </c>
      <c r="G1002" s="1">
        <v>45233</v>
      </c>
      <c r="H1002">
        <v>5412161</v>
      </c>
      <c r="I1002">
        <v>136</v>
      </c>
      <c r="J1002" t="s">
        <v>313</v>
      </c>
      <c r="K1002" t="str">
        <f>IFERROR(IF(AND(VLOOKUP($C1002,Hes!$A:$B, 1, FALSE), $M1002&lt;&gt;" "), "Ingresada", "Falta Ingresar"), " ")</f>
        <v xml:space="preserve"> </v>
      </c>
      <c r="L1002" s="4" t="str">
        <f>IFERROR(VLOOKUP($C1002,Observaciones!$A:$B,2,FALSE)," ")</f>
        <v>FACTURAR EL 29</v>
      </c>
      <c r="M1002" t="s">
        <v>681</v>
      </c>
      <c r="O1002" s="5">
        <v>30849402</v>
      </c>
      <c r="P1002" s="5">
        <v>1092194</v>
      </c>
      <c r="Q1002" s="5">
        <v>207517</v>
      </c>
      <c r="R1002" s="5">
        <v>1299711</v>
      </c>
    </row>
    <row r="1003" spans="1:18" x14ac:dyDescent="0.25">
      <c r="A1003" t="s">
        <v>522</v>
      </c>
      <c r="B1003" t="s">
        <v>494</v>
      </c>
      <c r="C1003">
        <v>71234100</v>
      </c>
      <c r="D1003">
        <v>120</v>
      </c>
      <c r="E1003">
        <v>30849423</v>
      </c>
      <c r="F1003" t="s">
        <v>1007</v>
      </c>
      <c r="G1003" s="1">
        <v>45236</v>
      </c>
      <c r="H1003">
        <v>5412390</v>
      </c>
      <c r="I1003">
        <v>136</v>
      </c>
      <c r="J1003" t="s">
        <v>313</v>
      </c>
      <c r="K1003" t="str">
        <f>IFERROR(IF(AND(VLOOKUP($C1003,Hes!$A:$B, 1, FALSE), $M1003&lt;&gt;" "), "Ingresada", "Falta Ingresar"), " ")</f>
        <v xml:space="preserve"> </v>
      </c>
      <c r="L1003" s="4" t="str">
        <f>IFERROR(VLOOKUP($C1003,Observaciones!$A:$B,2,FALSE)," ")</f>
        <v>FACTURAR EL 29</v>
      </c>
      <c r="M1003" t="s">
        <v>681</v>
      </c>
      <c r="O1003" s="5">
        <v>30849423</v>
      </c>
      <c r="P1003" s="5">
        <v>28543</v>
      </c>
      <c r="Q1003" s="5">
        <v>5423</v>
      </c>
      <c r="R1003" s="5">
        <v>33966</v>
      </c>
    </row>
    <row r="1004" spans="1:18" x14ac:dyDescent="0.25">
      <c r="A1004" t="s">
        <v>522</v>
      </c>
      <c r="B1004" t="s">
        <v>494</v>
      </c>
      <c r="C1004">
        <v>71234100</v>
      </c>
      <c r="D1004">
        <v>96</v>
      </c>
      <c r="E1004">
        <v>30849409</v>
      </c>
      <c r="F1004" t="s">
        <v>1007</v>
      </c>
      <c r="G1004" s="1">
        <v>45236</v>
      </c>
      <c r="H1004">
        <v>5412391</v>
      </c>
      <c r="I1004">
        <v>136</v>
      </c>
      <c r="J1004" t="s">
        <v>313</v>
      </c>
      <c r="K1004" t="str">
        <f>IFERROR(IF(AND(VLOOKUP($C1004,Hes!$A:$B, 1, FALSE), $M1004&lt;&gt;" "), "Ingresada", "Falta Ingresar"), " ")</f>
        <v xml:space="preserve"> </v>
      </c>
      <c r="L1004" s="4" t="str">
        <f>IFERROR(VLOOKUP($C1004,Observaciones!$A:$B,2,FALSE)," ")</f>
        <v>FACTURAR EL 29</v>
      </c>
      <c r="M1004" t="s">
        <v>681</v>
      </c>
      <c r="O1004" s="5">
        <v>30849409</v>
      </c>
      <c r="P1004" s="5">
        <v>44077</v>
      </c>
      <c r="Q1004" s="5">
        <v>8375</v>
      </c>
      <c r="R1004" s="5">
        <v>52452</v>
      </c>
    </row>
    <row r="1005" spans="1:18" x14ac:dyDescent="0.25">
      <c r="A1005" t="s">
        <v>522</v>
      </c>
      <c r="B1005" t="s">
        <v>494</v>
      </c>
      <c r="C1005">
        <v>71234100</v>
      </c>
      <c r="D1005">
        <v>77</v>
      </c>
      <c r="E1005">
        <v>30853026</v>
      </c>
      <c r="F1005" t="s">
        <v>1007</v>
      </c>
      <c r="G1005" s="1">
        <v>45236</v>
      </c>
      <c r="H1005">
        <v>5412790</v>
      </c>
      <c r="I1005">
        <v>136</v>
      </c>
      <c r="J1005" t="s">
        <v>313</v>
      </c>
      <c r="K1005" t="str">
        <f>IFERROR(IF(AND(VLOOKUP($C1005,Hes!$A:$B, 1, FALSE), $M1005&lt;&gt;" "), "Ingresada", "Falta Ingresar"), " ")</f>
        <v xml:space="preserve"> </v>
      </c>
      <c r="L1005" s="4" t="str">
        <f>IFERROR(VLOOKUP($C1005,Observaciones!$A:$B,2,FALSE)," ")</f>
        <v>FACTURAR EL 29</v>
      </c>
      <c r="M1005" t="s">
        <v>681</v>
      </c>
      <c r="O1005" s="5">
        <v>30853026</v>
      </c>
      <c r="P1005" s="5">
        <v>192947</v>
      </c>
      <c r="Q1005" s="5">
        <v>36660</v>
      </c>
      <c r="R1005" s="5">
        <v>229607</v>
      </c>
    </row>
    <row r="1006" spans="1:18" x14ac:dyDescent="0.25">
      <c r="A1006" t="s">
        <v>522</v>
      </c>
      <c r="B1006" t="s">
        <v>494</v>
      </c>
      <c r="C1006">
        <v>71234100</v>
      </c>
      <c r="D1006">
        <v>3</v>
      </c>
      <c r="E1006">
        <v>30849425</v>
      </c>
      <c r="F1006" t="s">
        <v>1007</v>
      </c>
      <c r="G1006" s="1">
        <v>45236</v>
      </c>
      <c r="H1006">
        <v>5412798</v>
      </c>
      <c r="I1006">
        <v>136</v>
      </c>
      <c r="J1006" t="s">
        <v>313</v>
      </c>
      <c r="K1006" t="str">
        <f>IFERROR(IF(AND(VLOOKUP($C1006,Hes!$A:$B, 1, FALSE), $M1006&lt;&gt;" "), "Ingresada", "Falta Ingresar"), " ")</f>
        <v xml:space="preserve"> </v>
      </c>
      <c r="L1006" s="4" t="str">
        <f>IFERROR(VLOOKUP($C1006,Observaciones!$A:$B,2,FALSE)," ")</f>
        <v>FACTURAR EL 29</v>
      </c>
      <c r="M1006" t="s">
        <v>681</v>
      </c>
      <c r="O1006" s="5">
        <v>30849425</v>
      </c>
      <c r="P1006" s="5">
        <v>109317</v>
      </c>
      <c r="Q1006" s="5">
        <v>20770</v>
      </c>
      <c r="R1006" s="5">
        <v>130087</v>
      </c>
    </row>
    <row r="1007" spans="1:18" x14ac:dyDescent="0.25">
      <c r="A1007" t="s">
        <v>522</v>
      </c>
      <c r="B1007" t="s">
        <v>494</v>
      </c>
      <c r="C1007">
        <v>71234100</v>
      </c>
      <c r="D1007">
        <v>945</v>
      </c>
      <c r="E1007">
        <v>30849407</v>
      </c>
      <c r="F1007" t="s">
        <v>1007</v>
      </c>
      <c r="G1007" s="1">
        <v>45236</v>
      </c>
      <c r="H1007">
        <v>5412942</v>
      </c>
      <c r="I1007">
        <v>136</v>
      </c>
      <c r="J1007" t="s">
        <v>313</v>
      </c>
      <c r="K1007" t="str">
        <f>IFERROR(IF(AND(VLOOKUP($C1007,Hes!$A:$B, 1, FALSE), $M1007&lt;&gt;" "), "Ingresada", "Falta Ingresar"), " ")</f>
        <v xml:space="preserve"> </v>
      </c>
      <c r="L1007" s="4" t="str">
        <f>IFERROR(VLOOKUP($C1007,Observaciones!$A:$B,2,FALSE)," ")</f>
        <v>FACTURAR EL 29</v>
      </c>
      <c r="M1007" t="s">
        <v>681</v>
      </c>
      <c r="O1007" s="5">
        <v>30849407</v>
      </c>
      <c r="P1007" s="5">
        <v>937586</v>
      </c>
      <c r="Q1007" s="5">
        <v>178141</v>
      </c>
      <c r="R1007" s="5">
        <v>1115727</v>
      </c>
    </row>
    <row r="1008" spans="1:18" x14ac:dyDescent="0.25">
      <c r="A1008" t="s">
        <v>522</v>
      </c>
      <c r="B1008" t="s">
        <v>494</v>
      </c>
      <c r="C1008">
        <v>71234100</v>
      </c>
      <c r="D1008">
        <v>942</v>
      </c>
      <c r="E1008">
        <v>30849433</v>
      </c>
      <c r="F1008" t="s">
        <v>1007</v>
      </c>
      <c r="G1008" s="1">
        <v>45236</v>
      </c>
      <c r="H1008">
        <v>5413021</v>
      </c>
      <c r="I1008">
        <v>136</v>
      </c>
      <c r="J1008" t="s">
        <v>313</v>
      </c>
      <c r="K1008" t="str">
        <f>IFERROR(IF(AND(VLOOKUP($C1008,Hes!$A:$B, 1, FALSE), $M1008&lt;&gt;" "), "Ingresada", "Falta Ingresar"), " ")</f>
        <v xml:space="preserve"> </v>
      </c>
      <c r="L1008" s="4" t="str">
        <f>IFERROR(VLOOKUP($C1008,Observaciones!$A:$B,2,FALSE)," ")</f>
        <v>FACTURAR EL 29</v>
      </c>
      <c r="M1008" t="s">
        <v>681</v>
      </c>
      <c r="O1008" s="5">
        <v>30849433</v>
      </c>
      <c r="P1008" s="5">
        <v>1260063</v>
      </c>
      <c r="Q1008" s="5">
        <v>239412</v>
      </c>
      <c r="R1008" s="5">
        <v>1499475</v>
      </c>
    </row>
    <row r="1009" spans="1:18" x14ac:dyDescent="0.25">
      <c r="A1009" t="s">
        <v>522</v>
      </c>
      <c r="B1009" t="s">
        <v>494</v>
      </c>
      <c r="C1009">
        <v>71234100</v>
      </c>
      <c r="D1009">
        <v>949</v>
      </c>
      <c r="E1009">
        <v>30849418</v>
      </c>
      <c r="F1009" t="s">
        <v>1007</v>
      </c>
      <c r="G1009" s="1">
        <v>45236</v>
      </c>
      <c r="H1009">
        <v>5413025</v>
      </c>
      <c r="I1009">
        <v>136</v>
      </c>
      <c r="J1009" t="s">
        <v>313</v>
      </c>
      <c r="K1009" t="str">
        <f>IFERROR(IF(AND(VLOOKUP($C1009,Hes!$A:$B, 1, FALSE), $M1009&lt;&gt;" "), "Ingresada", "Falta Ingresar"), " ")</f>
        <v xml:space="preserve"> </v>
      </c>
      <c r="L1009" s="4" t="str">
        <f>IFERROR(VLOOKUP($C1009,Observaciones!$A:$B,2,FALSE)," ")</f>
        <v>FACTURAR EL 29</v>
      </c>
      <c r="M1009" t="s">
        <v>681</v>
      </c>
      <c r="O1009" s="5">
        <v>30849418</v>
      </c>
      <c r="P1009" s="5">
        <v>377902</v>
      </c>
      <c r="Q1009" s="5">
        <v>71801</v>
      </c>
      <c r="R1009" s="5">
        <v>449703</v>
      </c>
    </row>
    <row r="1010" spans="1:18" x14ac:dyDescent="0.25">
      <c r="A1010" t="s">
        <v>522</v>
      </c>
      <c r="B1010" t="s">
        <v>494</v>
      </c>
      <c r="C1010">
        <v>71234100</v>
      </c>
      <c r="D1010">
        <v>72</v>
      </c>
      <c r="E1010">
        <v>30853073</v>
      </c>
      <c r="F1010" t="s">
        <v>1007</v>
      </c>
      <c r="G1010" s="1">
        <v>45236</v>
      </c>
      <c r="H1010">
        <v>5413059</v>
      </c>
      <c r="I1010">
        <v>136</v>
      </c>
      <c r="J1010" t="s">
        <v>313</v>
      </c>
      <c r="K1010" t="str">
        <f>IFERROR(IF(AND(VLOOKUP($C1010,Hes!$A:$B, 1, FALSE), $M1010&lt;&gt;" "), "Ingresada", "Falta Ingresar"), " ")</f>
        <v xml:space="preserve"> </v>
      </c>
      <c r="L1010" s="4" t="str">
        <f>IFERROR(VLOOKUP($C1010,Observaciones!$A:$B,2,FALSE)," ")</f>
        <v>FACTURAR EL 29</v>
      </c>
      <c r="M1010" t="s">
        <v>681</v>
      </c>
      <c r="O1010" s="5">
        <v>30853073</v>
      </c>
      <c r="P1010" s="5">
        <v>31505</v>
      </c>
      <c r="Q1010" s="5">
        <v>5986</v>
      </c>
      <c r="R1010" s="5">
        <v>37491</v>
      </c>
    </row>
    <row r="1011" spans="1:18" x14ac:dyDescent="0.25">
      <c r="A1011" t="s">
        <v>522</v>
      </c>
      <c r="B1011" t="s">
        <v>494</v>
      </c>
      <c r="C1011">
        <v>71234100</v>
      </c>
      <c r="D1011">
        <v>89</v>
      </c>
      <c r="E1011">
        <v>30853047</v>
      </c>
      <c r="F1011" t="s">
        <v>1007</v>
      </c>
      <c r="G1011" s="1">
        <v>45236</v>
      </c>
      <c r="H1011">
        <v>5413089</v>
      </c>
      <c r="I1011">
        <v>136</v>
      </c>
      <c r="J1011" t="s">
        <v>313</v>
      </c>
      <c r="K1011" t="str">
        <f>IFERROR(IF(AND(VLOOKUP($C1011,Hes!$A:$B, 1, FALSE), $M1011&lt;&gt;" "), "Ingresada", "Falta Ingresar"), " ")</f>
        <v xml:space="preserve"> </v>
      </c>
      <c r="L1011" s="4" t="str">
        <f>IFERROR(VLOOKUP($C1011,Observaciones!$A:$B,2,FALSE)," ")</f>
        <v>FACTURAR EL 29</v>
      </c>
      <c r="M1011" t="s">
        <v>681</v>
      </c>
      <c r="O1011" s="5">
        <v>30853047</v>
      </c>
      <c r="P1011" s="5">
        <v>35624</v>
      </c>
      <c r="Q1011" s="5">
        <v>6769</v>
      </c>
      <c r="R1011" s="5">
        <v>42393</v>
      </c>
    </row>
    <row r="1012" spans="1:18" x14ac:dyDescent="0.25">
      <c r="A1012" t="s">
        <v>522</v>
      </c>
      <c r="B1012" t="s">
        <v>494</v>
      </c>
      <c r="C1012">
        <v>71234100</v>
      </c>
      <c r="D1012">
        <v>127</v>
      </c>
      <c r="E1012">
        <v>30849490</v>
      </c>
      <c r="F1012" t="s">
        <v>1007</v>
      </c>
      <c r="G1012" s="1">
        <v>45236</v>
      </c>
      <c r="H1012">
        <v>5413198</v>
      </c>
      <c r="I1012">
        <v>136</v>
      </c>
      <c r="J1012" t="s">
        <v>313</v>
      </c>
      <c r="K1012" t="str">
        <f>IFERROR(IF(AND(VLOOKUP($C1012,Hes!$A:$B, 1, FALSE), $M1012&lt;&gt;" "), "Ingresada", "Falta Ingresar"), " ")</f>
        <v xml:space="preserve"> </v>
      </c>
      <c r="L1012" s="4" t="str">
        <f>IFERROR(VLOOKUP($C1012,Observaciones!$A:$B,2,FALSE)," ")</f>
        <v>FACTURAR EL 29</v>
      </c>
      <c r="M1012" t="s">
        <v>681</v>
      </c>
      <c r="O1012" s="5">
        <v>30849490</v>
      </c>
      <c r="P1012" s="5">
        <v>83805</v>
      </c>
      <c r="Q1012" s="5">
        <v>15923</v>
      </c>
      <c r="R1012" s="5">
        <v>99728</v>
      </c>
    </row>
    <row r="1013" spans="1:18" x14ac:dyDescent="0.25">
      <c r="A1013" t="s">
        <v>522</v>
      </c>
      <c r="B1013" t="s">
        <v>494</v>
      </c>
      <c r="C1013">
        <v>71234100</v>
      </c>
      <c r="D1013">
        <v>21</v>
      </c>
      <c r="E1013">
        <v>30849430</v>
      </c>
      <c r="F1013" t="s">
        <v>1007</v>
      </c>
      <c r="G1013" s="1">
        <v>45236</v>
      </c>
      <c r="H1013">
        <v>5413204</v>
      </c>
      <c r="I1013">
        <v>136</v>
      </c>
      <c r="J1013" t="s">
        <v>313</v>
      </c>
      <c r="K1013" t="str">
        <f>IFERROR(IF(AND(VLOOKUP($C1013,Hes!$A:$B, 1, FALSE), $M1013&lt;&gt;" "), "Ingresada", "Falta Ingresar"), " ")</f>
        <v xml:space="preserve"> </v>
      </c>
      <c r="L1013" s="4" t="str">
        <f>IFERROR(VLOOKUP($C1013,Observaciones!$A:$B,2,FALSE)," ")</f>
        <v>FACTURAR EL 29</v>
      </c>
      <c r="M1013" t="s">
        <v>681</v>
      </c>
      <c r="O1013" s="5">
        <v>30849430</v>
      </c>
      <c r="P1013" s="5">
        <v>271156</v>
      </c>
      <c r="Q1013" s="5">
        <v>51520</v>
      </c>
      <c r="R1013" s="5">
        <v>322676</v>
      </c>
    </row>
    <row r="1014" spans="1:18" x14ac:dyDescent="0.25">
      <c r="A1014" t="s">
        <v>522</v>
      </c>
      <c r="B1014" t="s">
        <v>494</v>
      </c>
      <c r="C1014">
        <v>71234100</v>
      </c>
      <c r="D1014">
        <v>31</v>
      </c>
      <c r="E1014">
        <v>30849421</v>
      </c>
      <c r="F1014" t="s">
        <v>1007</v>
      </c>
      <c r="G1014" s="1">
        <v>45236</v>
      </c>
      <c r="H1014">
        <v>5413434</v>
      </c>
      <c r="I1014">
        <v>136</v>
      </c>
      <c r="J1014" t="s">
        <v>313</v>
      </c>
      <c r="K1014" t="str">
        <f>IFERROR(IF(AND(VLOOKUP($C1014,Hes!$A:$B, 1, FALSE), $M1014&lt;&gt;" "), "Ingresada", "Falta Ingresar"), " ")</f>
        <v xml:space="preserve"> </v>
      </c>
      <c r="L1014" s="4" t="str">
        <f>IFERROR(VLOOKUP($C1014,Observaciones!$A:$B,2,FALSE)," ")</f>
        <v>FACTURAR EL 29</v>
      </c>
      <c r="M1014" t="s">
        <v>681</v>
      </c>
      <c r="O1014" s="5">
        <v>30849421</v>
      </c>
      <c r="P1014" s="5">
        <v>252433</v>
      </c>
      <c r="Q1014" s="5">
        <v>47962</v>
      </c>
      <c r="R1014" s="5">
        <v>300395</v>
      </c>
    </row>
    <row r="1015" spans="1:18" x14ac:dyDescent="0.25">
      <c r="A1015" t="s">
        <v>522</v>
      </c>
      <c r="B1015" t="s">
        <v>494</v>
      </c>
      <c r="C1015">
        <v>71234100</v>
      </c>
      <c r="D1015">
        <v>955</v>
      </c>
      <c r="E1015">
        <v>30859109</v>
      </c>
      <c r="F1015" t="s">
        <v>1007</v>
      </c>
      <c r="G1015" s="1">
        <v>45237</v>
      </c>
      <c r="H1015">
        <v>5413994</v>
      </c>
      <c r="I1015">
        <v>136</v>
      </c>
      <c r="J1015" t="s">
        <v>313</v>
      </c>
      <c r="K1015" t="str">
        <f>IFERROR(IF(AND(VLOOKUP($C1015,Hes!$A:$B, 1, FALSE), $M1015&lt;&gt;" "), "Ingresada", "Falta Ingresar"), " ")</f>
        <v xml:space="preserve"> </v>
      </c>
      <c r="L1015" s="4" t="str">
        <f>IFERROR(VLOOKUP($C1015,Observaciones!$A:$B,2,FALSE)," ")</f>
        <v>FACTURAR EL 29</v>
      </c>
      <c r="M1015" t="s">
        <v>681</v>
      </c>
      <c r="O1015" s="5">
        <v>30859109</v>
      </c>
      <c r="P1015" s="5">
        <v>42460</v>
      </c>
      <c r="Q1015" s="5">
        <v>8067</v>
      </c>
      <c r="R1015" s="5">
        <v>50527</v>
      </c>
    </row>
    <row r="1016" spans="1:18" x14ac:dyDescent="0.25">
      <c r="A1016" t="s">
        <v>522</v>
      </c>
      <c r="B1016" t="s">
        <v>494</v>
      </c>
      <c r="C1016">
        <v>71234100</v>
      </c>
      <c r="D1016">
        <v>13</v>
      </c>
      <c r="E1016">
        <v>30859156</v>
      </c>
      <c r="F1016" t="s">
        <v>1007</v>
      </c>
      <c r="G1016" s="1">
        <v>45237</v>
      </c>
      <c r="H1016">
        <v>5413995</v>
      </c>
      <c r="I1016">
        <v>136</v>
      </c>
      <c r="J1016" t="s">
        <v>313</v>
      </c>
      <c r="K1016" t="str">
        <f>IFERROR(IF(AND(VLOOKUP($C1016,Hes!$A:$B, 1, FALSE), $M1016&lt;&gt;" "), "Ingresada", "Falta Ingresar"), " ")</f>
        <v xml:space="preserve"> </v>
      </c>
      <c r="L1016" s="4" t="str">
        <f>IFERROR(VLOOKUP($C1016,Observaciones!$A:$B,2,FALSE)," ")</f>
        <v>FACTURAR EL 29</v>
      </c>
      <c r="M1016" t="s">
        <v>681</v>
      </c>
      <c r="O1016" s="5">
        <v>30859156</v>
      </c>
      <c r="P1016" s="5">
        <v>168147</v>
      </c>
      <c r="Q1016" s="5">
        <v>31948</v>
      </c>
      <c r="R1016" s="5">
        <v>200095</v>
      </c>
    </row>
    <row r="1017" spans="1:18" x14ac:dyDescent="0.25">
      <c r="A1017" t="s">
        <v>522</v>
      </c>
      <c r="B1017" t="s">
        <v>494</v>
      </c>
      <c r="C1017">
        <v>71234100</v>
      </c>
      <c r="D1017">
        <v>940</v>
      </c>
      <c r="E1017">
        <v>30859170</v>
      </c>
      <c r="F1017" t="s">
        <v>1007</v>
      </c>
      <c r="G1017" s="1">
        <v>45237</v>
      </c>
      <c r="H1017">
        <v>5414007</v>
      </c>
      <c r="I1017">
        <v>136</v>
      </c>
      <c r="J1017" t="s">
        <v>313</v>
      </c>
      <c r="K1017" t="str">
        <f>IFERROR(IF(AND(VLOOKUP($C1017,Hes!$A:$B, 1, FALSE), $M1017&lt;&gt;" "), "Ingresada", "Falta Ingresar"), " ")</f>
        <v xml:space="preserve"> </v>
      </c>
      <c r="L1017" s="4" t="str">
        <f>IFERROR(VLOOKUP($C1017,Observaciones!$A:$B,2,FALSE)," ")</f>
        <v>FACTURAR EL 29</v>
      </c>
      <c r="M1017" t="s">
        <v>681</v>
      </c>
      <c r="O1017" s="5">
        <v>30859170</v>
      </c>
      <c r="P1017" s="5">
        <v>1008467</v>
      </c>
      <c r="Q1017" s="5">
        <v>191609</v>
      </c>
      <c r="R1017" s="5">
        <v>1200076</v>
      </c>
    </row>
    <row r="1018" spans="1:18" x14ac:dyDescent="0.25">
      <c r="A1018" t="s">
        <v>522</v>
      </c>
      <c r="B1018" t="s">
        <v>494</v>
      </c>
      <c r="C1018">
        <v>71234100</v>
      </c>
      <c r="D1018">
        <v>947</v>
      </c>
      <c r="E1018">
        <v>30859179</v>
      </c>
      <c r="F1018" t="s">
        <v>1007</v>
      </c>
      <c r="G1018" s="1">
        <v>45237</v>
      </c>
      <c r="H1018">
        <v>5414008</v>
      </c>
      <c r="I1018">
        <v>136</v>
      </c>
      <c r="J1018" t="s">
        <v>313</v>
      </c>
      <c r="K1018" t="str">
        <f>IFERROR(IF(AND(VLOOKUP($C1018,Hes!$A:$B, 1, FALSE), $M1018&lt;&gt;" "), "Ingresada", "Falta Ingresar"), " ")</f>
        <v xml:space="preserve"> </v>
      </c>
      <c r="L1018" s="4" t="str">
        <f>IFERROR(VLOOKUP($C1018,Observaciones!$A:$B,2,FALSE)," ")</f>
        <v>FACTURAR EL 29</v>
      </c>
      <c r="M1018" t="s">
        <v>681</v>
      </c>
      <c r="O1018" s="5">
        <v>30859179</v>
      </c>
      <c r="P1018" s="5">
        <v>640450</v>
      </c>
      <c r="Q1018" s="5">
        <v>121686</v>
      </c>
      <c r="R1018" s="5">
        <v>762136</v>
      </c>
    </row>
    <row r="1019" spans="1:18" x14ac:dyDescent="0.25">
      <c r="A1019" t="s">
        <v>522</v>
      </c>
      <c r="B1019" t="s">
        <v>494</v>
      </c>
      <c r="C1019">
        <v>71234100</v>
      </c>
      <c r="D1019">
        <v>51</v>
      </c>
      <c r="E1019">
        <v>30859148</v>
      </c>
      <c r="F1019" t="s">
        <v>1007</v>
      </c>
      <c r="G1019" s="1">
        <v>45237</v>
      </c>
      <c r="H1019">
        <v>5414018</v>
      </c>
      <c r="I1019">
        <v>136</v>
      </c>
      <c r="J1019" t="s">
        <v>313</v>
      </c>
      <c r="K1019" t="str">
        <f>IFERROR(IF(AND(VLOOKUP($C1019,Hes!$A:$B, 1, FALSE), $M1019&lt;&gt;" "), "Ingresada", "Falta Ingresar"), " ")</f>
        <v xml:space="preserve"> </v>
      </c>
      <c r="L1019" s="4" t="str">
        <f>IFERROR(VLOOKUP($C1019,Observaciones!$A:$B,2,FALSE)," ")</f>
        <v>FACTURAR EL 29</v>
      </c>
      <c r="M1019" t="s">
        <v>681</v>
      </c>
      <c r="O1019" s="5">
        <v>30859148</v>
      </c>
      <c r="P1019" s="5">
        <v>84191</v>
      </c>
      <c r="Q1019" s="5">
        <v>15996</v>
      </c>
      <c r="R1019" s="5">
        <v>100187</v>
      </c>
    </row>
    <row r="1020" spans="1:18" x14ac:dyDescent="0.25">
      <c r="A1020" t="s">
        <v>522</v>
      </c>
      <c r="B1020" t="s">
        <v>494</v>
      </c>
      <c r="C1020">
        <v>71234100</v>
      </c>
      <c r="D1020">
        <v>82</v>
      </c>
      <c r="E1020">
        <v>30859133</v>
      </c>
      <c r="F1020" t="s">
        <v>1007</v>
      </c>
      <c r="G1020" s="1">
        <v>45237</v>
      </c>
      <c r="H1020">
        <v>5414046</v>
      </c>
      <c r="I1020">
        <v>136</v>
      </c>
      <c r="J1020" t="s">
        <v>313</v>
      </c>
      <c r="K1020" t="str">
        <f>IFERROR(IF(AND(VLOOKUP($C1020,Hes!$A:$B, 1, FALSE), $M1020&lt;&gt;" "), "Ingresada", "Falta Ingresar"), " ")</f>
        <v xml:space="preserve"> </v>
      </c>
      <c r="L1020" s="4" t="str">
        <f>IFERROR(VLOOKUP($C1020,Observaciones!$A:$B,2,FALSE)," ")</f>
        <v>FACTURAR EL 29</v>
      </c>
      <c r="M1020" t="s">
        <v>681</v>
      </c>
      <c r="O1020" s="5">
        <v>30859133</v>
      </c>
      <c r="P1020" s="5">
        <v>51431</v>
      </c>
      <c r="Q1020" s="5">
        <v>9772</v>
      </c>
      <c r="R1020" s="5">
        <v>61203</v>
      </c>
    </row>
    <row r="1021" spans="1:18" x14ac:dyDescent="0.25">
      <c r="A1021" t="s">
        <v>522</v>
      </c>
      <c r="B1021" t="s">
        <v>494</v>
      </c>
      <c r="C1021">
        <v>71234100</v>
      </c>
      <c r="D1021">
        <v>954</v>
      </c>
      <c r="E1021">
        <v>30859191</v>
      </c>
      <c r="F1021" t="s">
        <v>1007</v>
      </c>
      <c r="G1021" s="1">
        <v>45237</v>
      </c>
      <c r="H1021">
        <v>5414076</v>
      </c>
      <c r="I1021">
        <v>136</v>
      </c>
      <c r="J1021" t="s">
        <v>313</v>
      </c>
      <c r="K1021" t="str">
        <f>IFERROR(IF(AND(VLOOKUP($C1021,Hes!$A:$B, 1, FALSE), $M1021&lt;&gt;" "), "Ingresada", "Falta Ingresar"), " ")</f>
        <v xml:space="preserve"> </v>
      </c>
      <c r="L1021" s="4" t="str">
        <f>IFERROR(VLOOKUP($C1021,Observaciones!$A:$B,2,FALSE)," ")</f>
        <v>FACTURAR EL 29</v>
      </c>
      <c r="M1021" t="s">
        <v>681</v>
      </c>
      <c r="O1021" s="5">
        <v>30859191</v>
      </c>
      <c r="P1021" s="5">
        <v>167345</v>
      </c>
      <c r="Q1021" s="5">
        <v>31796</v>
      </c>
      <c r="R1021" s="5">
        <v>199141</v>
      </c>
    </row>
    <row r="1022" spans="1:18" x14ac:dyDescent="0.25">
      <c r="A1022" t="s">
        <v>522</v>
      </c>
      <c r="B1022" t="s">
        <v>494</v>
      </c>
      <c r="C1022">
        <v>71234100</v>
      </c>
      <c r="D1022">
        <v>952</v>
      </c>
      <c r="E1022">
        <v>30859166</v>
      </c>
      <c r="F1022" t="s">
        <v>1007</v>
      </c>
      <c r="G1022" s="1">
        <v>45237</v>
      </c>
      <c r="H1022">
        <v>5414081</v>
      </c>
      <c r="I1022">
        <v>136</v>
      </c>
      <c r="J1022" t="s">
        <v>313</v>
      </c>
      <c r="K1022" t="str">
        <f>IFERROR(IF(AND(VLOOKUP($C1022,Hes!$A:$B, 1, FALSE), $M1022&lt;&gt;" "), "Ingresada", "Falta Ingresar"), " ")</f>
        <v xml:space="preserve"> </v>
      </c>
      <c r="L1022" s="4" t="str">
        <f>IFERROR(VLOOKUP($C1022,Observaciones!$A:$B,2,FALSE)," ")</f>
        <v>FACTURAR EL 29</v>
      </c>
      <c r="M1022" t="s">
        <v>681</v>
      </c>
      <c r="O1022" s="5">
        <v>30859166</v>
      </c>
      <c r="P1022" s="5">
        <v>42315</v>
      </c>
      <c r="Q1022" s="5">
        <v>8040</v>
      </c>
      <c r="R1022" s="5">
        <v>50355</v>
      </c>
    </row>
    <row r="1023" spans="1:18" x14ac:dyDescent="0.25">
      <c r="A1023" t="s">
        <v>522</v>
      </c>
      <c r="B1023" t="s">
        <v>494</v>
      </c>
      <c r="C1023">
        <v>71234100</v>
      </c>
      <c r="D1023">
        <v>25</v>
      </c>
      <c r="E1023">
        <v>30859198</v>
      </c>
      <c r="F1023" t="s">
        <v>1007</v>
      </c>
      <c r="G1023" s="1">
        <v>45237</v>
      </c>
      <c r="H1023">
        <v>5414198</v>
      </c>
      <c r="I1023">
        <v>136</v>
      </c>
      <c r="J1023" t="s">
        <v>313</v>
      </c>
      <c r="K1023" t="str">
        <f>IFERROR(IF(AND(VLOOKUP($C1023,Hes!$A:$B, 1, FALSE), $M1023&lt;&gt;" "), "Ingresada", "Falta Ingresar"), " ")</f>
        <v xml:space="preserve"> </v>
      </c>
      <c r="L1023" s="4" t="str">
        <f>IFERROR(VLOOKUP($C1023,Observaciones!$A:$B,2,FALSE)," ")</f>
        <v>FACTURAR EL 29</v>
      </c>
      <c r="M1023" t="s">
        <v>681</v>
      </c>
      <c r="O1023" s="5">
        <v>30859198</v>
      </c>
      <c r="P1023" s="5">
        <v>239173</v>
      </c>
      <c r="Q1023" s="5">
        <v>45443</v>
      </c>
      <c r="R1023" s="5">
        <v>284616</v>
      </c>
    </row>
    <row r="1024" spans="1:18" x14ac:dyDescent="0.25">
      <c r="A1024" t="s">
        <v>522</v>
      </c>
      <c r="B1024" t="s">
        <v>494</v>
      </c>
      <c r="C1024">
        <v>71234100</v>
      </c>
      <c r="D1024">
        <v>25</v>
      </c>
      <c r="E1024">
        <v>30859198</v>
      </c>
      <c r="F1024" t="s">
        <v>1007</v>
      </c>
      <c r="G1024" s="1">
        <v>45237</v>
      </c>
      <c r="H1024">
        <v>5414199</v>
      </c>
      <c r="I1024">
        <v>136</v>
      </c>
      <c r="J1024" t="s">
        <v>313</v>
      </c>
      <c r="K1024" t="str">
        <f>IFERROR(IF(AND(VLOOKUP($C1024,Hes!$A:$B, 1, FALSE), $M1024&lt;&gt;" "), "Ingresada", "Falta Ingresar"), " ")</f>
        <v xml:space="preserve"> </v>
      </c>
      <c r="L1024" s="4" t="str">
        <f>IFERROR(VLOOKUP($C1024,Observaciones!$A:$B,2,FALSE)," ")</f>
        <v>FACTURAR EL 29</v>
      </c>
      <c r="M1024" t="s">
        <v>681</v>
      </c>
      <c r="O1024" s="5">
        <v>30859198</v>
      </c>
      <c r="P1024" s="5">
        <v>12932</v>
      </c>
      <c r="Q1024" s="5">
        <v>2457</v>
      </c>
      <c r="R1024" s="5">
        <v>15389</v>
      </c>
    </row>
    <row r="1025" spans="1:18" x14ac:dyDescent="0.25">
      <c r="A1025" t="s">
        <v>522</v>
      </c>
      <c r="B1025" t="s">
        <v>494</v>
      </c>
      <c r="C1025">
        <v>71234100</v>
      </c>
      <c r="D1025">
        <v>950</v>
      </c>
      <c r="E1025">
        <v>30860621</v>
      </c>
      <c r="F1025" t="s">
        <v>1007</v>
      </c>
      <c r="G1025" s="1">
        <v>45237</v>
      </c>
      <c r="H1025">
        <v>5414364</v>
      </c>
      <c r="I1025">
        <v>136</v>
      </c>
      <c r="J1025" t="s">
        <v>313</v>
      </c>
      <c r="K1025" t="str">
        <f>IFERROR(IF(AND(VLOOKUP($C1025,Hes!$A:$B, 1, FALSE), $M1025&lt;&gt;" "), "Ingresada", "Falta Ingresar"), " ")</f>
        <v xml:space="preserve"> </v>
      </c>
      <c r="L1025" s="4" t="str">
        <f>IFERROR(VLOOKUP($C1025,Observaciones!$A:$B,2,FALSE)," ")</f>
        <v>FACTURAR EL 29</v>
      </c>
      <c r="M1025" t="s">
        <v>681</v>
      </c>
      <c r="O1025" s="5">
        <v>30860621</v>
      </c>
      <c r="P1025" s="5">
        <v>1037470</v>
      </c>
      <c r="Q1025" s="5">
        <v>197119</v>
      </c>
      <c r="R1025" s="5">
        <v>1234589</v>
      </c>
    </row>
    <row r="1026" spans="1:18" x14ac:dyDescent="0.25">
      <c r="A1026" t="s">
        <v>522</v>
      </c>
      <c r="B1026" t="s">
        <v>494</v>
      </c>
      <c r="C1026">
        <v>71234100</v>
      </c>
      <c r="D1026">
        <v>944</v>
      </c>
      <c r="E1026">
        <v>30860142</v>
      </c>
      <c r="F1026" t="s">
        <v>1007</v>
      </c>
      <c r="G1026" s="1">
        <v>45237</v>
      </c>
      <c r="H1026">
        <v>5414375</v>
      </c>
      <c r="I1026">
        <v>136</v>
      </c>
      <c r="J1026" t="s">
        <v>313</v>
      </c>
      <c r="K1026" t="str">
        <f>IFERROR(IF(AND(VLOOKUP($C1026,Hes!$A:$B, 1, FALSE), $M1026&lt;&gt;" "), "Ingresada", "Falta Ingresar"), " ")</f>
        <v xml:space="preserve"> </v>
      </c>
      <c r="L1026" s="4" t="str">
        <f>IFERROR(VLOOKUP($C1026,Observaciones!$A:$B,2,FALSE)," ")</f>
        <v>FACTURAR EL 29</v>
      </c>
      <c r="M1026" t="s">
        <v>681</v>
      </c>
      <c r="O1026" s="5">
        <v>30860142</v>
      </c>
      <c r="P1026" s="5">
        <v>853332</v>
      </c>
      <c r="Q1026" s="5">
        <v>162133</v>
      </c>
      <c r="R1026" s="5">
        <v>1015465</v>
      </c>
    </row>
    <row r="1027" spans="1:18" x14ac:dyDescent="0.25">
      <c r="A1027" t="s">
        <v>522</v>
      </c>
      <c r="B1027" t="s">
        <v>494</v>
      </c>
      <c r="C1027">
        <v>71234100</v>
      </c>
      <c r="D1027">
        <v>84</v>
      </c>
      <c r="E1027">
        <v>30860155</v>
      </c>
      <c r="F1027" t="s">
        <v>1007</v>
      </c>
      <c r="G1027" s="1">
        <v>45237</v>
      </c>
      <c r="H1027">
        <v>5414387</v>
      </c>
      <c r="I1027">
        <v>136</v>
      </c>
      <c r="J1027" t="s">
        <v>313</v>
      </c>
      <c r="K1027" t="str">
        <f>IFERROR(IF(AND(VLOOKUP($C1027,Hes!$A:$B, 1, FALSE), $M1027&lt;&gt;" "), "Ingresada", "Falta Ingresar"), " ")</f>
        <v xml:space="preserve"> </v>
      </c>
      <c r="L1027" s="4" t="str">
        <f>IFERROR(VLOOKUP($C1027,Observaciones!$A:$B,2,FALSE)," ")</f>
        <v>FACTURAR EL 29</v>
      </c>
      <c r="M1027" t="s">
        <v>681</v>
      </c>
      <c r="O1027" s="5">
        <v>30860155</v>
      </c>
      <c r="P1027" s="5">
        <v>50340</v>
      </c>
      <c r="Q1027" s="5">
        <v>9565</v>
      </c>
      <c r="R1027" s="5">
        <v>59905</v>
      </c>
    </row>
    <row r="1028" spans="1:18" x14ac:dyDescent="0.25">
      <c r="A1028" t="s">
        <v>522</v>
      </c>
      <c r="B1028" t="s">
        <v>494</v>
      </c>
      <c r="C1028">
        <v>71234100</v>
      </c>
      <c r="D1028">
        <v>83</v>
      </c>
      <c r="E1028">
        <v>30859127</v>
      </c>
      <c r="F1028" t="s">
        <v>1007</v>
      </c>
      <c r="G1028" s="1">
        <v>45237</v>
      </c>
      <c r="H1028">
        <v>5414444</v>
      </c>
      <c r="I1028">
        <v>136</v>
      </c>
      <c r="J1028" t="s">
        <v>313</v>
      </c>
      <c r="K1028" t="str">
        <f>IFERROR(IF(AND(VLOOKUP($C1028,Hes!$A:$B, 1, FALSE), $M1028&lt;&gt;" "), "Ingresada", "Falta Ingresar"), " ")</f>
        <v xml:space="preserve"> </v>
      </c>
      <c r="L1028" s="4" t="str">
        <f>IFERROR(VLOOKUP($C1028,Observaciones!$A:$B,2,FALSE)," ")</f>
        <v>FACTURAR EL 29</v>
      </c>
      <c r="M1028" t="s">
        <v>681</v>
      </c>
      <c r="O1028" s="5">
        <v>30859127</v>
      </c>
      <c r="P1028" s="5">
        <v>42016</v>
      </c>
      <c r="Q1028" s="5">
        <v>7983</v>
      </c>
      <c r="R1028" s="5">
        <v>49999</v>
      </c>
    </row>
    <row r="1029" spans="1:18" x14ac:dyDescent="0.25">
      <c r="A1029" t="s">
        <v>522</v>
      </c>
      <c r="B1029" t="s">
        <v>494</v>
      </c>
      <c r="C1029">
        <v>71234100</v>
      </c>
      <c r="D1029">
        <v>24</v>
      </c>
      <c r="E1029">
        <v>30859184</v>
      </c>
      <c r="F1029" t="s">
        <v>1007</v>
      </c>
      <c r="G1029" s="1">
        <v>45237</v>
      </c>
      <c r="H1029">
        <v>5414445</v>
      </c>
      <c r="I1029">
        <v>136</v>
      </c>
      <c r="J1029" t="s">
        <v>313</v>
      </c>
      <c r="K1029" t="str">
        <f>IFERROR(IF(AND(VLOOKUP($C1029,Hes!$A:$B, 1, FALSE), $M1029&lt;&gt;" "), "Ingresada", "Falta Ingresar"), " ")</f>
        <v xml:space="preserve"> </v>
      </c>
      <c r="L1029" s="4" t="str">
        <f>IFERROR(VLOOKUP($C1029,Observaciones!$A:$B,2,FALSE)," ")</f>
        <v>FACTURAR EL 29</v>
      </c>
      <c r="M1029" t="s">
        <v>681</v>
      </c>
      <c r="O1029" s="5">
        <v>30859184</v>
      </c>
      <c r="P1029" s="5">
        <v>168857</v>
      </c>
      <c r="Q1029" s="5">
        <v>32083</v>
      </c>
      <c r="R1029" s="5">
        <v>200940</v>
      </c>
    </row>
    <row r="1030" spans="1:18" x14ac:dyDescent="0.25">
      <c r="A1030" t="s">
        <v>522</v>
      </c>
      <c r="B1030" t="s">
        <v>494</v>
      </c>
      <c r="C1030">
        <v>71234100</v>
      </c>
      <c r="D1030">
        <v>52</v>
      </c>
      <c r="E1030">
        <v>30861135</v>
      </c>
      <c r="F1030" t="s">
        <v>1007</v>
      </c>
      <c r="G1030" s="1">
        <v>45237</v>
      </c>
      <c r="H1030">
        <v>5414482</v>
      </c>
      <c r="I1030">
        <v>136</v>
      </c>
      <c r="J1030" t="s">
        <v>313</v>
      </c>
      <c r="K1030" t="str">
        <f>IFERROR(IF(AND(VLOOKUP($C1030,Hes!$A:$B, 1, FALSE), $M1030&lt;&gt;" "), "Ingresada", "Falta Ingresar"), " ")</f>
        <v xml:space="preserve"> </v>
      </c>
      <c r="L1030" s="4" t="str">
        <f>IFERROR(VLOOKUP($C1030,Observaciones!$A:$B,2,FALSE)," ")</f>
        <v>FACTURAR EL 29</v>
      </c>
      <c r="M1030" t="s">
        <v>681</v>
      </c>
      <c r="O1030" s="5">
        <v>30861135</v>
      </c>
      <c r="P1030" s="5">
        <v>892031</v>
      </c>
      <c r="Q1030" s="5">
        <v>169486</v>
      </c>
      <c r="R1030" s="5">
        <v>1061517</v>
      </c>
    </row>
    <row r="1031" spans="1:18" x14ac:dyDescent="0.25">
      <c r="A1031" t="s">
        <v>522</v>
      </c>
      <c r="B1031" t="s">
        <v>494</v>
      </c>
      <c r="C1031">
        <v>71234100</v>
      </c>
      <c r="D1031">
        <v>23</v>
      </c>
      <c r="E1031">
        <v>30861704</v>
      </c>
      <c r="F1031" t="s">
        <v>1007</v>
      </c>
      <c r="G1031" s="1">
        <v>45238</v>
      </c>
      <c r="H1031">
        <v>5415098</v>
      </c>
      <c r="I1031">
        <v>136</v>
      </c>
      <c r="J1031" t="s">
        <v>313</v>
      </c>
      <c r="K1031" t="str">
        <f>IFERROR(IF(AND(VLOOKUP($C1031,Hes!$A:$B, 1, FALSE), $M1031&lt;&gt;" "), "Ingresada", "Falta Ingresar"), " ")</f>
        <v xml:space="preserve"> </v>
      </c>
      <c r="L1031" s="4" t="str">
        <f>IFERROR(VLOOKUP($C1031,Observaciones!$A:$B,2,FALSE)," ")</f>
        <v>FACTURAR EL 29</v>
      </c>
      <c r="M1031" t="s">
        <v>681</v>
      </c>
      <c r="O1031" s="5">
        <v>30861704</v>
      </c>
      <c r="P1031" s="5">
        <v>210025</v>
      </c>
      <c r="Q1031" s="5">
        <v>39905</v>
      </c>
      <c r="R1031" s="5">
        <v>249930</v>
      </c>
    </row>
    <row r="1032" spans="1:18" x14ac:dyDescent="0.25">
      <c r="A1032" t="s">
        <v>522</v>
      </c>
      <c r="B1032" t="s">
        <v>494</v>
      </c>
      <c r="C1032">
        <v>71234100</v>
      </c>
      <c r="D1032">
        <v>54</v>
      </c>
      <c r="E1032">
        <v>30864267</v>
      </c>
      <c r="F1032" t="s">
        <v>1007</v>
      </c>
      <c r="G1032" s="1">
        <v>45238</v>
      </c>
      <c r="H1032">
        <v>5415421</v>
      </c>
      <c r="I1032">
        <v>136</v>
      </c>
      <c r="J1032" t="s">
        <v>313</v>
      </c>
      <c r="K1032" t="str">
        <f>IFERROR(IF(AND(VLOOKUP($C1032,Hes!$A:$B, 1, FALSE), $M1032&lt;&gt;" "), "Ingresada", "Falta Ingresar"), " ")</f>
        <v xml:space="preserve"> </v>
      </c>
      <c r="L1032" s="4" t="str">
        <f>IFERROR(VLOOKUP($C1032,Observaciones!$A:$B,2,FALSE)," ")</f>
        <v>FACTURAR EL 29</v>
      </c>
      <c r="M1032" t="s">
        <v>681</v>
      </c>
      <c r="O1032" s="5">
        <v>30864267</v>
      </c>
      <c r="P1032" s="5">
        <v>73123</v>
      </c>
      <c r="Q1032" s="5">
        <v>13893</v>
      </c>
      <c r="R1032" s="5">
        <v>87016</v>
      </c>
    </row>
    <row r="1033" spans="1:18" x14ac:dyDescent="0.25">
      <c r="A1033" t="s">
        <v>522</v>
      </c>
      <c r="B1033" t="s">
        <v>494</v>
      </c>
      <c r="C1033">
        <v>71234100</v>
      </c>
      <c r="D1033">
        <v>20</v>
      </c>
      <c r="E1033">
        <v>30860633</v>
      </c>
      <c r="F1033" t="s">
        <v>1007</v>
      </c>
      <c r="G1033" s="1">
        <v>45238</v>
      </c>
      <c r="H1033">
        <v>5415538</v>
      </c>
      <c r="I1033">
        <v>136</v>
      </c>
      <c r="J1033" t="s">
        <v>313</v>
      </c>
      <c r="K1033" t="str">
        <f>IFERROR(IF(AND(VLOOKUP($C1033,Hes!$A:$B, 1, FALSE), $M1033&lt;&gt;" "), "Ingresada", "Falta Ingresar"), " ")</f>
        <v xml:space="preserve"> </v>
      </c>
      <c r="L1033" s="4" t="str">
        <f>IFERROR(VLOOKUP($C1033,Observaciones!$A:$B,2,FALSE)," ")</f>
        <v>FACTURAR EL 29</v>
      </c>
      <c r="M1033" t="s">
        <v>681</v>
      </c>
      <c r="O1033" s="5">
        <v>30860633</v>
      </c>
      <c r="P1033" s="5">
        <v>168039</v>
      </c>
      <c r="Q1033" s="5">
        <v>31927</v>
      </c>
      <c r="R1033" s="5">
        <v>199966</v>
      </c>
    </row>
    <row r="1034" spans="1:18" x14ac:dyDescent="0.25">
      <c r="A1034" t="s">
        <v>522</v>
      </c>
      <c r="B1034" t="s">
        <v>494</v>
      </c>
      <c r="C1034">
        <v>71234100</v>
      </c>
      <c r="D1034">
        <v>77</v>
      </c>
      <c r="E1034">
        <v>30864143</v>
      </c>
      <c r="F1034" t="s">
        <v>1007</v>
      </c>
      <c r="G1034" s="1">
        <v>45238</v>
      </c>
      <c r="H1034">
        <v>5415610</v>
      </c>
      <c r="I1034">
        <v>136</v>
      </c>
      <c r="J1034" t="s">
        <v>313</v>
      </c>
      <c r="K1034" t="str">
        <f>IFERROR(IF(AND(VLOOKUP($C1034,Hes!$A:$B, 1, FALSE), $M1034&lt;&gt;" "), "Ingresada", "Falta Ingresar"), " ")</f>
        <v xml:space="preserve"> </v>
      </c>
      <c r="L1034" s="4" t="str">
        <f>IFERROR(VLOOKUP($C1034,Observaciones!$A:$B,2,FALSE)," ")</f>
        <v>FACTURAR EL 29</v>
      </c>
      <c r="M1034" t="s">
        <v>681</v>
      </c>
      <c r="O1034" s="5">
        <v>30864143</v>
      </c>
      <c r="P1034" s="5">
        <v>132910</v>
      </c>
      <c r="Q1034" s="5">
        <v>25253</v>
      </c>
      <c r="R1034" s="5">
        <v>158163</v>
      </c>
    </row>
    <row r="1035" spans="1:18" x14ac:dyDescent="0.25">
      <c r="A1035" t="s">
        <v>522</v>
      </c>
      <c r="B1035" t="s">
        <v>494</v>
      </c>
      <c r="C1035">
        <v>71234100</v>
      </c>
      <c r="D1035">
        <v>10</v>
      </c>
      <c r="E1035">
        <v>30865442</v>
      </c>
      <c r="F1035" t="s">
        <v>1007</v>
      </c>
      <c r="G1035" s="1">
        <v>45238</v>
      </c>
      <c r="H1035">
        <v>5415698</v>
      </c>
      <c r="I1035">
        <v>136</v>
      </c>
      <c r="J1035" t="s">
        <v>313</v>
      </c>
      <c r="K1035" t="str">
        <f>IFERROR(IF(AND(VLOOKUP($C1035,Hes!$A:$B, 1, FALSE), $M1035&lt;&gt;" "), "Ingresada", "Falta Ingresar"), " ")</f>
        <v xml:space="preserve"> </v>
      </c>
      <c r="L1035" s="4" t="str">
        <f>IFERROR(VLOOKUP($C1035,Observaciones!$A:$B,2,FALSE)," ")</f>
        <v>FACTURAR EL 29</v>
      </c>
      <c r="M1035" t="s">
        <v>681</v>
      </c>
      <c r="O1035" s="5">
        <v>30865442</v>
      </c>
      <c r="P1035" s="5">
        <v>349216</v>
      </c>
      <c r="Q1035" s="5">
        <v>66351</v>
      </c>
      <c r="R1035" s="5">
        <v>415567</v>
      </c>
    </row>
    <row r="1036" spans="1:18" x14ac:dyDescent="0.25">
      <c r="A1036" t="s">
        <v>522</v>
      </c>
      <c r="B1036" t="s">
        <v>494</v>
      </c>
      <c r="C1036">
        <v>71234100</v>
      </c>
      <c r="D1036">
        <v>915</v>
      </c>
      <c r="E1036">
        <v>30865490</v>
      </c>
      <c r="F1036" t="s">
        <v>1007</v>
      </c>
      <c r="G1036" s="1">
        <v>45238</v>
      </c>
      <c r="H1036">
        <v>5415746</v>
      </c>
      <c r="I1036">
        <v>136</v>
      </c>
      <c r="J1036" t="s">
        <v>313</v>
      </c>
      <c r="K1036" t="str">
        <f>IFERROR(IF(AND(VLOOKUP($C1036,Hes!$A:$B, 1, FALSE), $M1036&lt;&gt;" "), "Ingresada", "Falta Ingresar"), " ")</f>
        <v xml:space="preserve"> </v>
      </c>
      <c r="L1036" s="4" t="str">
        <f>IFERROR(VLOOKUP($C1036,Observaciones!$A:$B,2,FALSE)," ")</f>
        <v>FACTURAR EL 29</v>
      </c>
      <c r="M1036" t="s">
        <v>681</v>
      </c>
      <c r="O1036" s="5">
        <v>30865490</v>
      </c>
      <c r="P1036" s="5">
        <v>150380</v>
      </c>
      <c r="Q1036" s="5">
        <v>28572</v>
      </c>
      <c r="R1036" s="5">
        <v>178952</v>
      </c>
    </row>
    <row r="1037" spans="1:18" x14ac:dyDescent="0.25">
      <c r="A1037" t="s">
        <v>522</v>
      </c>
      <c r="B1037" t="s">
        <v>494</v>
      </c>
      <c r="C1037">
        <v>71234100</v>
      </c>
      <c r="D1037">
        <v>19</v>
      </c>
      <c r="E1037">
        <v>30861716</v>
      </c>
      <c r="F1037" t="s">
        <v>1007</v>
      </c>
      <c r="G1037" s="1">
        <v>45238</v>
      </c>
      <c r="H1037">
        <v>5415760</v>
      </c>
      <c r="I1037">
        <v>136</v>
      </c>
      <c r="J1037" t="s">
        <v>313</v>
      </c>
      <c r="K1037" t="str">
        <f>IFERROR(IF(AND(VLOOKUP($C1037,Hes!$A:$B, 1, FALSE), $M1037&lt;&gt;" "), "Ingresada", "Falta Ingresar"), " ")</f>
        <v xml:space="preserve"> </v>
      </c>
      <c r="L1037" s="4" t="str">
        <f>IFERROR(VLOOKUP($C1037,Observaciones!$A:$B,2,FALSE)," ")</f>
        <v>FACTURAR EL 29</v>
      </c>
      <c r="M1037" t="s">
        <v>681</v>
      </c>
      <c r="O1037" s="5">
        <v>30861716</v>
      </c>
      <c r="P1037" s="5">
        <v>252762</v>
      </c>
      <c r="Q1037" s="5">
        <v>48025</v>
      </c>
      <c r="R1037" s="5">
        <v>300787</v>
      </c>
    </row>
    <row r="1038" spans="1:18" x14ac:dyDescent="0.25">
      <c r="F1038" t="s">
        <v>517</v>
      </c>
      <c r="K1038" t="str">
        <f>IFERROR(IF(AND(VLOOKUP($C1038,Hes!$A:$B, 1, FALSE), $M1038&lt;&gt;" "), "Ingresada", "Falta Ingresar"), " ")</f>
        <v xml:space="preserve"> </v>
      </c>
      <c r="L1038" s="4" t="str">
        <f>IFERROR(VLOOKUP($C1038,Observaciones!$A:$B,2,FALSE)," ")</f>
        <v xml:space="preserve"> </v>
      </c>
      <c r="M1038" t="s">
        <v>681</v>
      </c>
      <c r="P1038" s="5">
        <v>12670271</v>
      </c>
      <c r="Q1038" s="5">
        <v>2407353</v>
      </c>
      <c r="R1038" s="5">
        <v>15077624</v>
      </c>
    </row>
    <row r="1039" spans="1:18" x14ac:dyDescent="0.25">
      <c r="A1039" t="s">
        <v>503</v>
      </c>
      <c r="B1039" t="s">
        <v>494</v>
      </c>
      <c r="C1039">
        <v>71309800</v>
      </c>
      <c r="D1039">
        <v>168</v>
      </c>
      <c r="E1039">
        <v>30840172</v>
      </c>
      <c r="F1039" t="s">
        <v>1008</v>
      </c>
      <c r="G1039" s="1">
        <v>45236</v>
      </c>
      <c r="H1039">
        <v>5413709</v>
      </c>
      <c r="I1039">
        <v>100</v>
      </c>
      <c r="J1039" t="s">
        <v>384</v>
      </c>
      <c r="K1039" t="str">
        <f>IFERROR(IF(AND(VLOOKUP($C1039,Hes!$A:$B, 1, FALSE), $M1039&lt;&gt;" "), "Ingresada", "Falta Ingresar"), " ")</f>
        <v xml:space="preserve"> </v>
      </c>
      <c r="L1039" s="4" t="s">
        <v>681</v>
      </c>
      <c r="M1039" t="s">
        <v>681</v>
      </c>
      <c r="O1039" s="5">
        <v>30840172</v>
      </c>
      <c r="P1039" s="5">
        <v>166619</v>
      </c>
      <c r="Q1039" s="5">
        <v>31658</v>
      </c>
      <c r="R1039" s="5">
        <v>198277</v>
      </c>
    </row>
    <row r="1040" spans="1:18" x14ac:dyDescent="0.25">
      <c r="A1040" t="s">
        <v>503</v>
      </c>
      <c r="B1040" t="s">
        <v>494</v>
      </c>
      <c r="C1040">
        <v>71309800</v>
      </c>
      <c r="D1040">
        <v>77</v>
      </c>
      <c r="E1040">
        <v>30863955</v>
      </c>
      <c r="F1040" t="s">
        <v>1008</v>
      </c>
      <c r="G1040" s="1">
        <v>45237</v>
      </c>
      <c r="H1040">
        <v>5415267</v>
      </c>
      <c r="I1040">
        <v>100</v>
      </c>
      <c r="J1040" t="s">
        <v>384</v>
      </c>
      <c r="K1040" t="str">
        <f>IFERROR(IF(AND(VLOOKUP($C1040,Hes!$A:$B, 1, FALSE), $M1040&lt;&gt;" "), "Ingresada", "Falta Ingresar"), " ")</f>
        <v xml:space="preserve"> </v>
      </c>
      <c r="L1040" s="4" t="s">
        <v>681</v>
      </c>
      <c r="M1040" t="s">
        <v>681</v>
      </c>
      <c r="O1040" s="5">
        <v>30863955</v>
      </c>
      <c r="P1040" s="5">
        <v>122034</v>
      </c>
      <c r="Q1040" s="5">
        <v>23186</v>
      </c>
      <c r="R1040" s="5">
        <v>145220</v>
      </c>
    </row>
    <row r="1041" spans="1:18" x14ac:dyDescent="0.25">
      <c r="A1041" t="s">
        <v>503</v>
      </c>
      <c r="B1041" t="s">
        <v>494</v>
      </c>
      <c r="C1041">
        <v>71309800</v>
      </c>
      <c r="D1041">
        <v>8</v>
      </c>
      <c r="E1041">
        <v>30863432</v>
      </c>
      <c r="F1041" t="s">
        <v>1008</v>
      </c>
      <c r="G1041" s="1">
        <v>45238</v>
      </c>
      <c r="H1041">
        <v>5415815</v>
      </c>
      <c r="I1041">
        <v>100</v>
      </c>
      <c r="J1041" t="s">
        <v>384</v>
      </c>
      <c r="K1041" t="str">
        <f>IFERROR(IF(AND(VLOOKUP($C1041,Hes!$A:$B, 1, FALSE), $M1041&lt;&gt;" "), "Ingresada", "Falta Ingresar"), " ")</f>
        <v xml:space="preserve"> </v>
      </c>
      <c r="L1041" s="4" t="s">
        <v>681</v>
      </c>
      <c r="M1041" t="s">
        <v>681</v>
      </c>
      <c r="O1041" s="5">
        <v>30863432</v>
      </c>
      <c r="P1041" s="5">
        <v>159902</v>
      </c>
      <c r="Q1041" s="5">
        <v>30381</v>
      </c>
      <c r="R1041" s="5">
        <v>190283</v>
      </c>
    </row>
    <row r="1042" spans="1:18" x14ac:dyDescent="0.25">
      <c r="F1042" t="s">
        <v>500</v>
      </c>
      <c r="K1042" t="str">
        <f>IFERROR(IF(AND(VLOOKUP($C1042,Hes!$A:$B, 1, FALSE), $M1042&lt;&gt;" "), "Ingresada", "Falta Ingresar"), " ")</f>
        <v xml:space="preserve"> </v>
      </c>
      <c r="L1042" s="4" t="str">
        <f>IFERROR(VLOOKUP($C1042,Observaciones!$A:$B,2,FALSE)," ")</f>
        <v xml:space="preserve"> </v>
      </c>
      <c r="M1042" t="s">
        <v>681</v>
      </c>
      <c r="P1042" s="5">
        <v>448555</v>
      </c>
      <c r="Q1042" s="5">
        <v>85225</v>
      </c>
      <c r="R1042" s="5">
        <v>533780</v>
      </c>
    </row>
    <row r="1043" spans="1:18" x14ac:dyDescent="0.25">
      <c r="A1043" t="s">
        <v>503</v>
      </c>
      <c r="B1043" t="s">
        <v>494</v>
      </c>
      <c r="C1043">
        <v>71387800</v>
      </c>
      <c r="D1043">
        <v>23</v>
      </c>
      <c r="E1043">
        <v>5105</v>
      </c>
      <c r="F1043" t="s">
        <v>1009</v>
      </c>
      <c r="G1043" s="1">
        <v>45232</v>
      </c>
      <c r="H1043">
        <v>5410942</v>
      </c>
      <c r="I1043">
        <v>23</v>
      </c>
      <c r="J1043" t="s">
        <v>174</v>
      </c>
      <c r="K1043" t="str">
        <f>IFERROR(IF(AND(VLOOKUP($C1043,Hes!$A:$B, 1, FALSE), $M1043&lt;&gt;" "), "Ingresada", "Falta Ingresar"), " ")</f>
        <v xml:space="preserve"> </v>
      </c>
      <c r="L1043" s="4" t="s">
        <v>681</v>
      </c>
      <c r="M1043" t="s">
        <v>681</v>
      </c>
      <c r="O1043" s="5">
        <v>30817545</v>
      </c>
      <c r="P1043" s="5">
        <v>448493</v>
      </c>
      <c r="Q1043" s="5">
        <v>85214</v>
      </c>
      <c r="R1043" s="5">
        <v>533707</v>
      </c>
    </row>
    <row r="1044" spans="1:18" x14ac:dyDescent="0.25">
      <c r="F1044" t="s">
        <v>495</v>
      </c>
      <c r="K1044" t="str">
        <f>IFERROR(IF(AND(VLOOKUP($C1044,Hes!$A:$B, 1, FALSE), $M1044&lt;&gt;" "), "Ingresada", "Falta Ingresar"), " ")</f>
        <v xml:space="preserve"> </v>
      </c>
      <c r="L1044" s="4" t="str">
        <f>IFERROR(VLOOKUP($C1044,Observaciones!$A:$B,2,FALSE)," ")</f>
        <v xml:space="preserve"> </v>
      </c>
      <c r="M1044" t="s">
        <v>681</v>
      </c>
      <c r="P1044" s="5">
        <v>448493</v>
      </c>
      <c r="Q1044" s="5">
        <v>85214</v>
      </c>
      <c r="R1044" s="5">
        <v>533707</v>
      </c>
    </row>
    <row r="1045" spans="1:18" x14ac:dyDescent="0.25">
      <c r="A1045" t="s">
        <v>503</v>
      </c>
      <c r="B1045" t="s">
        <v>494</v>
      </c>
      <c r="C1045">
        <v>71540100</v>
      </c>
      <c r="D1045">
        <v>18</v>
      </c>
      <c r="E1045">
        <v>204490</v>
      </c>
      <c r="F1045" t="s">
        <v>1010</v>
      </c>
      <c r="G1045" s="1">
        <v>45238</v>
      </c>
      <c r="H1045">
        <v>5415647</v>
      </c>
      <c r="I1045">
        <v>321</v>
      </c>
      <c r="J1045" t="s">
        <v>202</v>
      </c>
      <c r="K1045" t="str">
        <f>IFERROR(IF(AND(VLOOKUP($C1045,Hes!$A:$B, 1, FALSE), $M1045&lt;&gt;" "), "Ingresada", "Falta Ingresar"), " ")</f>
        <v xml:space="preserve"> </v>
      </c>
      <c r="L1045" s="4" t="s">
        <v>681</v>
      </c>
      <c r="M1045" t="s">
        <v>681</v>
      </c>
      <c r="O1045" s="5">
        <v>30860077</v>
      </c>
      <c r="P1045" s="5">
        <v>54700</v>
      </c>
      <c r="Q1045" s="5">
        <v>10393</v>
      </c>
      <c r="R1045" s="5">
        <v>65093</v>
      </c>
    </row>
    <row r="1046" spans="1:18" x14ac:dyDescent="0.25">
      <c r="F1046" t="s">
        <v>495</v>
      </c>
      <c r="K1046" t="str">
        <f>IFERROR(IF(AND(VLOOKUP($C1046,Hes!$A:$B, 1, FALSE), $M1046&lt;&gt;" "), "Ingresada", "Falta Ingresar"), " ")</f>
        <v xml:space="preserve"> </v>
      </c>
      <c r="L1046" s="4" t="str">
        <f>IFERROR(VLOOKUP($C1046,Observaciones!$A:$B,2,FALSE)," ")</f>
        <v xml:space="preserve"> </v>
      </c>
      <c r="M1046" t="s">
        <v>681</v>
      </c>
      <c r="P1046" s="5">
        <v>54700</v>
      </c>
      <c r="Q1046" s="5">
        <v>10393</v>
      </c>
      <c r="R1046" s="5">
        <v>65093</v>
      </c>
    </row>
    <row r="1047" spans="1:18" x14ac:dyDescent="0.25">
      <c r="A1047" t="s">
        <v>503</v>
      </c>
      <c r="B1047" t="s">
        <v>502</v>
      </c>
      <c r="C1047">
        <v>71543200</v>
      </c>
      <c r="D1047">
        <v>373</v>
      </c>
      <c r="E1047">
        <v>97663</v>
      </c>
      <c r="F1047" t="s">
        <v>687</v>
      </c>
      <c r="G1047" s="1">
        <v>45236</v>
      </c>
      <c r="H1047">
        <v>5412868</v>
      </c>
      <c r="I1047">
        <v>349</v>
      </c>
      <c r="J1047" t="s">
        <v>364</v>
      </c>
      <c r="K1047" s="8" t="str">
        <f>IFERROR(IF(AND(VLOOKUP($C1047,Hes!$A:$B, 1, FALSE), $M1047&lt;&gt;" "), "Ingresada", "Falta Ingresar"), " ")</f>
        <v>Falta Ingresar</v>
      </c>
      <c r="L1047" s="4" t="s">
        <v>681</v>
      </c>
      <c r="M1047" t="s">
        <v>681</v>
      </c>
      <c r="N1047" s="5" t="s">
        <v>841</v>
      </c>
      <c r="O1047" s="5">
        <v>30852297</v>
      </c>
      <c r="P1047" s="5">
        <v>16070</v>
      </c>
      <c r="Q1047" s="5">
        <v>3053</v>
      </c>
      <c r="R1047" s="5">
        <v>19123</v>
      </c>
    </row>
    <row r="1048" spans="1:18" x14ac:dyDescent="0.25">
      <c r="F1048" t="s">
        <v>495</v>
      </c>
      <c r="K1048" t="str">
        <f>IFERROR(IF(AND(VLOOKUP($C1048,Hes!$A:$B, 1, FALSE), $M1048&lt;&gt;" "), "Ingresada", "Falta Ingresar"), " ")</f>
        <v xml:space="preserve"> </v>
      </c>
      <c r="L1048" s="4" t="str">
        <f>IFERROR(VLOOKUP($C1048,Observaciones!$A:$B,2,FALSE)," ")</f>
        <v xml:space="preserve"> </v>
      </c>
      <c r="M1048" t="s">
        <v>681</v>
      </c>
      <c r="P1048" s="5">
        <v>16070</v>
      </c>
      <c r="Q1048" s="5">
        <v>3053</v>
      </c>
      <c r="R1048" s="5">
        <v>19123</v>
      </c>
    </row>
    <row r="1049" spans="1:18" x14ac:dyDescent="0.25">
      <c r="A1049" t="s">
        <v>503</v>
      </c>
      <c r="B1049" t="s">
        <v>494</v>
      </c>
      <c r="C1049">
        <v>71614000</v>
      </c>
      <c r="D1049">
        <v>5</v>
      </c>
      <c r="E1049">
        <v>4500051859</v>
      </c>
      <c r="F1049" t="s">
        <v>1011</v>
      </c>
      <c r="G1049" s="1">
        <v>45236</v>
      </c>
      <c r="H1049">
        <v>5413350</v>
      </c>
      <c r="I1049">
        <v>132</v>
      </c>
      <c r="J1049" t="s">
        <v>416</v>
      </c>
      <c r="K1049" t="str">
        <f>IFERROR(IF(AND(VLOOKUP($C1049,Hes!$A:$B, 1, FALSE), $M1049&lt;&gt;" "), "Ingresada", "Falta Ingresar"), " ")</f>
        <v xml:space="preserve"> </v>
      </c>
      <c r="L1049" s="4" t="s">
        <v>681</v>
      </c>
      <c r="M1049" t="s">
        <v>681</v>
      </c>
      <c r="O1049" s="5">
        <v>30857176</v>
      </c>
      <c r="P1049" s="5">
        <v>39555</v>
      </c>
      <c r="Q1049" s="5">
        <v>7515</v>
      </c>
      <c r="R1049" s="5">
        <v>47070</v>
      </c>
    </row>
    <row r="1050" spans="1:18" x14ac:dyDescent="0.25">
      <c r="A1050" t="s">
        <v>503</v>
      </c>
      <c r="B1050" t="s">
        <v>494</v>
      </c>
      <c r="C1050">
        <v>71614000</v>
      </c>
      <c r="D1050">
        <v>5</v>
      </c>
      <c r="E1050">
        <v>4500051875</v>
      </c>
      <c r="F1050" t="s">
        <v>1011</v>
      </c>
      <c r="G1050" s="1">
        <v>45236</v>
      </c>
      <c r="H1050">
        <v>5413532</v>
      </c>
      <c r="I1050">
        <v>132</v>
      </c>
      <c r="J1050" t="s">
        <v>416</v>
      </c>
      <c r="K1050" t="str">
        <f>IFERROR(IF(AND(VLOOKUP($C1050,Hes!$A:$B, 1, FALSE), $M1050&lt;&gt;" "), "Ingresada", "Falta Ingresar"), " ")</f>
        <v xml:space="preserve"> </v>
      </c>
      <c r="L1050" s="4" t="s">
        <v>681</v>
      </c>
      <c r="M1050" t="s">
        <v>681</v>
      </c>
      <c r="O1050" s="5">
        <v>30857188</v>
      </c>
      <c r="P1050" s="5">
        <v>345000</v>
      </c>
      <c r="Q1050" s="5">
        <v>65550</v>
      </c>
      <c r="R1050" s="5">
        <v>410550</v>
      </c>
    </row>
    <row r="1051" spans="1:18" x14ac:dyDescent="0.25">
      <c r="F1051" t="s">
        <v>497</v>
      </c>
      <c r="K1051" t="str">
        <f>IFERROR(IF(AND(VLOOKUP($C1051,Hes!$A:$B, 1, FALSE), $M1051&lt;&gt;" "), "Ingresada", "Falta Ingresar"), " ")</f>
        <v xml:space="preserve"> </v>
      </c>
      <c r="L1051" s="4" t="str">
        <f>IFERROR(VLOOKUP($C1051,Observaciones!$A:$B,2,FALSE)," ")</f>
        <v xml:space="preserve"> </v>
      </c>
      <c r="M1051" t="s">
        <v>681</v>
      </c>
      <c r="P1051" s="5">
        <v>384555</v>
      </c>
      <c r="Q1051" s="5">
        <v>73065</v>
      </c>
      <c r="R1051" s="5">
        <v>457620</v>
      </c>
    </row>
    <row r="1052" spans="1:18" x14ac:dyDescent="0.25">
      <c r="A1052" t="s">
        <v>503</v>
      </c>
      <c r="B1052" t="s">
        <v>494</v>
      </c>
      <c r="C1052">
        <v>71631900</v>
      </c>
      <c r="D1052">
        <v>2</v>
      </c>
      <c r="E1052">
        <v>4500031085</v>
      </c>
      <c r="F1052" t="s">
        <v>525</v>
      </c>
      <c r="G1052" s="1">
        <v>45231</v>
      </c>
      <c r="H1052">
        <v>5410627</v>
      </c>
      <c r="I1052">
        <v>326</v>
      </c>
      <c r="J1052" t="s">
        <v>246</v>
      </c>
      <c r="K1052" s="7" t="str">
        <f>IFERROR(IF(AND(VLOOKUP($C1052,Hes!$A:$B, 1, FALSE), $M1052&lt;&gt;" "), "Ingresada", "Falta Ingresar"), " ")</f>
        <v>Ingresada</v>
      </c>
      <c r="L1052" s="4" t="str">
        <f>IFERROR(VLOOKUP($C1052,Observaciones!$A:$B,2,FALSE)," ")</f>
        <v>SEGUN INFORME VENDEDOR</v>
      </c>
      <c r="M1052">
        <v>5000036161</v>
      </c>
      <c r="N1052" s="5" t="s">
        <v>841</v>
      </c>
      <c r="O1052" s="5">
        <v>30845148</v>
      </c>
      <c r="P1052" s="5">
        <v>212095</v>
      </c>
      <c r="Q1052" s="5">
        <v>40298</v>
      </c>
      <c r="R1052" s="5">
        <v>252393</v>
      </c>
    </row>
    <row r="1053" spans="1:18" x14ac:dyDescent="0.25">
      <c r="A1053" t="s">
        <v>503</v>
      </c>
      <c r="B1053" t="s">
        <v>494</v>
      </c>
      <c r="C1053">
        <v>71631900</v>
      </c>
      <c r="D1053">
        <v>2</v>
      </c>
      <c r="E1053">
        <v>4500031070</v>
      </c>
      <c r="F1053" t="s">
        <v>525</v>
      </c>
      <c r="G1053" s="1">
        <v>45231</v>
      </c>
      <c r="H1053">
        <v>5410628</v>
      </c>
      <c r="I1053">
        <v>326</v>
      </c>
      <c r="J1053" t="s">
        <v>246</v>
      </c>
      <c r="K1053" s="8" t="str">
        <f>IFERROR(IF(AND(VLOOKUP($C1053,Hes!$A:$B, 1, FALSE), $M1053&lt;&gt;" "), "Ingresada", "Falta Ingresar"), " ")</f>
        <v>Falta Ingresar</v>
      </c>
      <c r="L1053" s="4" t="str">
        <f>IFERROR(VLOOKUP($C1053,Observaciones!$A:$B,2,FALSE)," ")</f>
        <v>SEGUN INFORME VENDEDOR</v>
      </c>
      <c r="M1053" t="s">
        <v>681</v>
      </c>
      <c r="N1053" s="5" t="s">
        <v>841</v>
      </c>
      <c r="O1053" s="5">
        <v>30845109</v>
      </c>
      <c r="P1053" s="5">
        <v>183634</v>
      </c>
      <c r="Q1053" s="5">
        <v>34890</v>
      </c>
      <c r="R1053" s="5">
        <v>218524</v>
      </c>
    </row>
    <row r="1054" spans="1:18" x14ac:dyDescent="0.25">
      <c r="A1054" t="s">
        <v>503</v>
      </c>
      <c r="B1054" t="s">
        <v>494</v>
      </c>
      <c r="C1054">
        <v>71631900</v>
      </c>
      <c r="D1054">
        <v>2</v>
      </c>
      <c r="E1054">
        <v>4500031072</v>
      </c>
      <c r="F1054" t="s">
        <v>525</v>
      </c>
      <c r="G1054" s="1">
        <v>45231</v>
      </c>
      <c r="H1054">
        <v>5410631</v>
      </c>
      <c r="I1054">
        <v>326</v>
      </c>
      <c r="J1054" t="s">
        <v>246</v>
      </c>
      <c r="K1054" s="7" t="str">
        <f>IFERROR(IF(AND(VLOOKUP($C1054,Hes!$A:$B, 1, FALSE), $M1054&lt;&gt;" "), "Ingresada", "Falta Ingresar"), " ")</f>
        <v>Ingresada</v>
      </c>
      <c r="L1054" s="4" t="str">
        <f>IFERROR(VLOOKUP($C1054,Observaciones!$A:$B,2,FALSE)," ")</f>
        <v>SEGUN INFORME VENDEDOR</v>
      </c>
      <c r="M1054">
        <v>5000036162</v>
      </c>
      <c r="N1054" s="5" t="s">
        <v>841</v>
      </c>
      <c r="O1054" s="5">
        <v>30845122</v>
      </c>
      <c r="P1054" s="5">
        <v>298254</v>
      </c>
      <c r="Q1054" s="5">
        <v>56668</v>
      </c>
      <c r="R1054" s="5">
        <v>354922</v>
      </c>
    </row>
    <row r="1055" spans="1:18" x14ac:dyDescent="0.25">
      <c r="A1055" t="s">
        <v>503</v>
      </c>
      <c r="B1055" t="s">
        <v>494</v>
      </c>
      <c r="C1055">
        <v>71631900</v>
      </c>
      <c r="D1055">
        <v>2</v>
      </c>
      <c r="E1055">
        <v>4500030723</v>
      </c>
      <c r="F1055" t="s">
        <v>525</v>
      </c>
      <c r="G1055" s="1">
        <v>45231</v>
      </c>
      <c r="H1055">
        <v>5410632</v>
      </c>
      <c r="I1055">
        <v>326</v>
      </c>
      <c r="J1055" t="s">
        <v>246</v>
      </c>
      <c r="K1055" s="7" t="str">
        <f>IFERROR(IF(AND(VLOOKUP($C1055,Hes!$A:$B, 1, FALSE), $M1055&lt;&gt;" "), "Ingresada", "Falta Ingresar"), " ")</f>
        <v>Ingresada</v>
      </c>
      <c r="L1055" s="4" t="str">
        <f>IFERROR(VLOOKUP($C1055,Observaciones!$A:$B,2,FALSE)," ")</f>
        <v>SEGUN INFORME VENDEDOR</v>
      </c>
      <c r="M1055">
        <v>5000036164</v>
      </c>
      <c r="N1055" s="5" t="s">
        <v>841</v>
      </c>
      <c r="O1055" s="5">
        <v>30845400</v>
      </c>
      <c r="P1055" s="5">
        <v>399674</v>
      </c>
      <c r="Q1055" s="5">
        <v>75938</v>
      </c>
      <c r="R1055" s="5">
        <v>475612</v>
      </c>
    </row>
    <row r="1056" spans="1:18" x14ac:dyDescent="0.25">
      <c r="A1056" t="s">
        <v>503</v>
      </c>
      <c r="B1056" t="s">
        <v>494</v>
      </c>
      <c r="C1056">
        <v>71631900</v>
      </c>
      <c r="D1056">
        <v>2</v>
      </c>
      <c r="E1056">
        <v>4500030824</v>
      </c>
      <c r="F1056" t="s">
        <v>525</v>
      </c>
      <c r="G1056" s="1">
        <v>45231</v>
      </c>
      <c r="H1056">
        <v>5410633</v>
      </c>
      <c r="I1056">
        <v>326</v>
      </c>
      <c r="J1056" t="s">
        <v>246</v>
      </c>
      <c r="K1056" s="7" t="str">
        <f>IFERROR(IF(AND(VLOOKUP($C1056,Hes!$A:$B, 1, FALSE), $M1056&lt;&gt;" "), "Ingresada", "Falta Ingresar"), " ")</f>
        <v>Ingresada</v>
      </c>
      <c r="L1056" s="4" t="str">
        <f>IFERROR(VLOOKUP($C1056,Observaciones!$A:$B,2,FALSE)," ")</f>
        <v>SEGUN INFORME VENDEDOR</v>
      </c>
      <c r="M1056">
        <v>5000036165</v>
      </c>
      <c r="N1056" s="5" t="s">
        <v>841</v>
      </c>
      <c r="O1056" s="5">
        <v>30845340</v>
      </c>
      <c r="P1056" s="5">
        <v>44962</v>
      </c>
      <c r="Q1056" s="5">
        <v>8543</v>
      </c>
      <c r="R1056" s="5">
        <v>53505</v>
      </c>
    </row>
    <row r="1057" spans="1:18" x14ac:dyDescent="0.25">
      <c r="A1057" t="s">
        <v>503</v>
      </c>
      <c r="B1057" t="s">
        <v>494</v>
      </c>
      <c r="C1057">
        <v>71631900</v>
      </c>
      <c r="D1057">
        <v>2</v>
      </c>
      <c r="E1057">
        <v>4500030724</v>
      </c>
      <c r="F1057" t="s">
        <v>525</v>
      </c>
      <c r="G1057" s="1">
        <v>45231</v>
      </c>
      <c r="H1057">
        <v>5410635</v>
      </c>
      <c r="I1057">
        <v>326</v>
      </c>
      <c r="J1057" t="s">
        <v>246</v>
      </c>
      <c r="K1057" s="7" t="str">
        <f>IFERROR(IF(AND(VLOOKUP($C1057,Hes!$A:$B, 1, FALSE), $M1057&lt;&gt;" "), "Ingresada", "Falta Ingresar"), " ")</f>
        <v>Ingresada</v>
      </c>
      <c r="L1057" s="4" t="str">
        <f>IFERROR(VLOOKUP($C1057,Observaciones!$A:$B,2,FALSE)," ")</f>
        <v>SEGUN INFORME VENDEDOR</v>
      </c>
      <c r="M1057">
        <v>5000036137</v>
      </c>
      <c r="N1057" s="5" t="s">
        <v>841</v>
      </c>
      <c r="O1057" s="5">
        <v>30845352</v>
      </c>
      <c r="P1057" s="5">
        <v>277183</v>
      </c>
      <c r="Q1057" s="5">
        <v>52665</v>
      </c>
      <c r="R1057" s="5">
        <v>329848</v>
      </c>
    </row>
    <row r="1058" spans="1:18" x14ac:dyDescent="0.25">
      <c r="A1058" t="s">
        <v>503</v>
      </c>
      <c r="B1058" t="s">
        <v>494</v>
      </c>
      <c r="C1058">
        <v>71631900</v>
      </c>
      <c r="D1058">
        <v>225</v>
      </c>
      <c r="E1058">
        <v>4500027080</v>
      </c>
      <c r="F1058" t="s">
        <v>525</v>
      </c>
      <c r="G1058" s="1">
        <v>45231</v>
      </c>
      <c r="H1058">
        <v>5410823</v>
      </c>
      <c r="I1058">
        <v>2</v>
      </c>
      <c r="J1058" t="s">
        <v>242</v>
      </c>
      <c r="K1058" s="7" t="str">
        <f>IFERROR(IF(AND(VLOOKUP($C1058,Hes!$A:$B, 1, FALSE), $M1058&lt;&gt;" "), "Ingresada", "Falta Ingresar"), " ")</f>
        <v>Ingresada</v>
      </c>
      <c r="L1058" s="4" t="str">
        <f>IFERROR(VLOOKUP($C1058,Observaciones!$A:$B,2,FALSE)," ")</f>
        <v>SEGUN INFORME VENDEDOR</v>
      </c>
      <c r="M1058">
        <v>5000036070</v>
      </c>
      <c r="N1058" s="5" t="s">
        <v>841</v>
      </c>
      <c r="O1058" s="5">
        <v>30677514</v>
      </c>
      <c r="P1058" s="5">
        <v>29165</v>
      </c>
      <c r="Q1058" s="5">
        <v>5541</v>
      </c>
      <c r="R1058" s="5">
        <v>34706</v>
      </c>
    </row>
    <row r="1059" spans="1:18" x14ac:dyDescent="0.25">
      <c r="A1059" t="s">
        <v>503</v>
      </c>
      <c r="B1059" t="s">
        <v>494</v>
      </c>
      <c r="C1059">
        <v>71631900</v>
      </c>
      <c r="D1059">
        <v>4</v>
      </c>
      <c r="E1059">
        <v>4500031040</v>
      </c>
      <c r="F1059" t="s">
        <v>525</v>
      </c>
      <c r="G1059" s="1">
        <v>45231</v>
      </c>
      <c r="H1059">
        <v>5410835</v>
      </c>
      <c r="I1059">
        <v>326</v>
      </c>
      <c r="J1059" t="s">
        <v>246</v>
      </c>
      <c r="K1059" s="7" t="str">
        <f>IFERROR(IF(AND(VLOOKUP($C1059,Hes!$A:$B, 1, FALSE), $M1059&lt;&gt;" "), "Ingresada", "Falta Ingresar"), " ")</f>
        <v>Ingresada</v>
      </c>
      <c r="L1059" s="4" t="str">
        <f>IFERROR(VLOOKUP($C1059,Observaciones!$A:$B,2,FALSE)," ")</f>
        <v>SEGUN INFORME VENDEDOR</v>
      </c>
      <c r="M1059">
        <v>5000036032</v>
      </c>
      <c r="N1059" s="5" t="s">
        <v>841</v>
      </c>
      <c r="O1059" s="5">
        <v>30845100</v>
      </c>
      <c r="P1059" s="5">
        <v>332188</v>
      </c>
      <c r="Q1059" s="5">
        <v>63116</v>
      </c>
      <c r="R1059" s="5">
        <v>395304</v>
      </c>
    </row>
    <row r="1060" spans="1:18" x14ac:dyDescent="0.25">
      <c r="A1060" t="s">
        <v>503</v>
      </c>
      <c r="B1060" t="s">
        <v>494</v>
      </c>
      <c r="C1060">
        <v>71631900</v>
      </c>
      <c r="D1060">
        <v>1</v>
      </c>
      <c r="E1060">
        <v>4500030456</v>
      </c>
      <c r="F1060" t="s">
        <v>525</v>
      </c>
      <c r="G1060" s="1">
        <v>45232</v>
      </c>
      <c r="H1060">
        <v>5411147</v>
      </c>
      <c r="I1060">
        <v>326</v>
      </c>
      <c r="J1060" t="s">
        <v>246</v>
      </c>
      <c r="K1060" s="8" t="str">
        <f>IFERROR(IF(AND(VLOOKUP($C1060,Hes!$A:$B, 1, FALSE), $M1060&lt;&gt;" "), "Ingresada", "Falta Ingresar"), " ")</f>
        <v>Falta Ingresar</v>
      </c>
      <c r="L1060" s="4" t="str">
        <f>IFERROR(VLOOKUP($C1060,Observaciones!$A:$B,2,FALSE)," ")</f>
        <v>SEGUN INFORME VENDEDOR</v>
      </c>
      <c r="M1060" t="s">
        <v>681</v>
      </c>
      <c r="N1060" s="5" t="s">
        <v>841</v>
      </c>
      <c r="O1060" s="5">
        <v>30845561</v>
      </c>
      <c r="P1060" s="5">
        <v>87230</v>
      </c>
      <c r="Q1060" s="5">
        <v>16574</v>
      </c>
      <c r="R1060" s="5">
        <v>103804</v>
      </c>
    </row>
    <row r="1061" spans="1:18" x14ac:dyDescent="0.25">
      <c r="A1061" t="s">
        <v>503</v>
      </c>
      <c r="B1061" t="s">
        <v>494</v>
      </c>
      <c r="C1061">
        <v>71631900</v>
      </c>
      <c r="D1061">
        <v>1</v>
      </c>
      <c r="E1061">
        <v>4500030272</v>
      </c>
      <c r="F1061" t="s">
        <v>525</v>
      </c>
      <c r="G1061" s="1">
        <v>45233</v>
      </c>
      <c r="H1061">
        <v>5411560</v>
      </c>
      <c r="I1061">
        <v>2</v>
      </c>
      <c r="J1061" t="s">
        <v>242</v>
      </c>
      <c r="K1061" s="7" t="str">
        <f>IFERROR(IF(AND(VLOOKUP($C1061,Hes!$A:$B, 1, FALSE), $M1061&lt;&gt;" "), "Ingresada", "Falta Ingresar"), " ")</f>
        <v>Ingresada</v>
      </c>
      <c r="L1061" s="4" t="str">
        <f>IFERROR(VLOOKUP($C1061,Observaciones!$A:$B,2,FALSE)," ")</f>
        <v>SEGUN INFORME VENDEDOR</v>
      </c>
      <c r="M1061">
        <v>5000036621</v>
      </c>
      <c r="N1061" s="5" t="s">
        <v>841</v>
      </c>
      <c r="O1061" s="5">
        <v>30463771</v>
      </c>
      <c r="P1061" s="5">
        <v>262258</v>
      </c>
      <c r="Q1061" s="5">
        <v>49829</v>
      </c>
      <c r="R1061" s="5">
        <v>312087</v>
      </c>
    </row>
    <row r="1062" spans="1:18" x14ac:dyDescent="0.25">
      <c r="A1062" t="s">
        <v>503</v>
      </c>
      <c r="B1062" t="s">
        <v>494</v>
      </c>
      <c r="C1062">
        <v>71631900</v>
      </c>
      <c r="D1062">
        <v>4</v>
      </c>
      <c r="E1062">
        <v>4500031362</v>
      </c>
      <c r="F1062" t="s">
        <v>525</v>
      </c>
      <c r="G1062" s="1">
        <v>45235</v>
      </c>
      <c r="H1062">
        <v>5412085</v>
      </c>
      <c r="I1062">
        <v>2</v>
      </c>
      <c r="J1062" t="s">
        <v>242</v>
      </c>
      <c r="K1062" s="8" t="str">
        <f>IFERROR(IF(AND(VLOOKUP($C1062,Hes!$A:$B, 1, FALSE), $M1062&lt;&gt;" "), "Ingresada", "Falta Ingresar"), " ")</f>
        <v>Falta Ingresar</v>
      </c>
      <c r="L1062" s="4" t="str">
        <f>IFERROR(VLOOKUP($C1062,Observaciones!$A:$B,2,FALSE)," ")</f>
        <v>SEGUN INFORME VENDEDOR</v>
      </c>
      <c r="M1062" t="s">
        <v>681</v>
      </c>
      <c r="N1062" s="5" t="s">
        <v>841</v>
      </c>
      <c r="O1062" s="5">
        <v>30840099</v>
      </c>
      <c r="P1062" s="5">
        <v>91309</v>
      </c>
      <c r="Q1062" s="5">
        <v>17349</v>
      </c>
      <c r="R1062" s="5">
        <v>108658</v>
      </c>
    </row>
    <row r="1063" spans="1:18" x14ac:dyDescent="0.25">
      <c r="A1063" t="s">
        <v>503</v>
      </c>
      <c r="B1063" t="s">
        <v>494</v>
      </c>
      <c r="C1063">
        <v>71631900</v>
      </c>
      <c r="D1063">
        <v>2</v>
      </c>
      <c r="E1063">
        <v>4500031493</v>
      </c>
      <c r="F1063" t="s">
        <v>525</v>
      </c>
      <c r="G1063" s="1">
        <v>45236</v>
      </c>
      <c r="H1063">
        <v>5412631</v>
      </c>
      <c r="I1063">
        <v>2</v>
      </c>
      <c r="J1063" t="s">
        <v>242</v>
      </c>
      <c r="K1063" s="7" t="str">
        <f>IFERROR(IF(AND(VLOOKUP($C1063,Hes!$A:$B, 1, FALSE), $M1063&lt;&gt;" "), "Ingresada", "Falta Ingresar"), " ")</f>
        <v>Ingresada</v>
      </c>
      <c r="L1063" s="4" t="str">
        <f>IFERROR(VLOOKUP($C1063,Observaciones!$A:$B,2,FALSE)," ")</f>
        <v>SEGUN INFORME VENDEDOR</v>
      </c>
      <c r="M1063">
        <v>5000036569</v>
      </c>
      <c r="N1063" s="5" t="s">
        <v>841</v>
      </c>
      <c r="O1063" s="5">
        <v>30837778</v>
      </c>
      <c r="P1063" s="5">
        <v>38857</v>
      </c>
      <c r="Q1063" s="5">
        <v>7383</v>
      </c>
      <c r="R1063" s="5">
        <v>46240</v>
      </c>
    </row>
    <row r="1064" spans="1:18" x14ac:dyDescent="0.25">
      <c r="A1064" t="s">
        <v>503</v>
      </c>
      <c r="B1064" t="s">
        <v>494</v>
      </c>
      <c r="C1064">
        <v>71631900</v>
      </c>
      <c r="D1064">
        <v>2</v>
      </c>
      <c r="E1064">
        <v>4500031585</v>
      </c>
      <c r="F1064" t="s">
        <v>525</v>
      </c>
      <c r="G1064" s="1">
        <v>45236</v>
      </c>
      <c r="H1064">
        <v>5412764</v>
      </c>
      <c r="I1064">
        <v>2</v>
      </c>
      <c r="J1064" t="s">
        <v>242</v>
      </c>
      <c r="K1064" s="7" t="str">
        <f>IFERROR(IF(AND(VLOOKUP($C1064,Hes!$A:$B, 1, FALSE), $M1064&lt;&gt;" "), "Ingresada", "Falta Ingresar"), " ")</f>
        <v>Ingresada</v>
      </c>
      <c r="L1064" s="4" t="str">
        <f>IFERROR(VLOOKUP($C1064,Observaciones!$A:$B,2,FALSE)," ")</f>
        <v>SEGUN INFORME VENDEDOR</v>
      </c>
      <c r="M1064">
        <v>5000036492</v>
      </c>
      <c r="N1064" s="5" t="s">
        <v>841</v>
      </c>
      <c r="O1064" s="5">
        <v>30834795</v>
      </c>
      <c r="P1064" s="5">
        <v>478554</v>
      </c>
      <c r="Q1064" s="5">
        <v>90925</v>
      </c>
      <c r="R1064" s="5">
        <v>569479</v>
      </c>
    </row>
    <row r="1065" spans="1:18" x14ac:dyDescent="0.25">
      <c r="A1065" t="s">
        <v>503</v>
      </c>
      <c r="B1065" t="s">
        <v>494</v>
      </c>
      <c r="C1065">
        <v>71631900</v>
      </c>
      <c r="D1065">
        <v>2</v>
      </c>
      <c r="E1065">
        <v>4500031585</v>
      </c>
      <c r="F1065" t="s">
        <v>525</v>
      </c>
      <c r="G1065" s="1">
        <v>45236</v>
      </c>
      <c r="H1065">
        <v>5412765</v>
      </c>
      <c r="I1065">
        <v>2</v>
      </c>
      <c r="J1065" t="s">
        <v>242</v>
      </c>
      <c r="K1065" s="7" t="str">
        <f>IFERROR(IF(AND(VLOOKUP($C1065,Hes!$A:$B, 1, FALSE), $M1065&lt;&gt;" "), "Ingresada", "Falta Ingresar"), " ")</f>
        <v>Ingresada</v>
      </c>
      <c r="L1065" s="4" t="str">
        <f>IFERROR(VLOOKUP($C1065,Observaciones!$A:$B,2,FALSE)," ")</f>
        <v>SEGUN INFORME VENDEDOR</v>
      </c>
      <c r="M1065">
        <v>5000036511</v>
      </c>
      <c r="N1065" s="5" t="s">
        <v>841</v>
      </c>
      <c r="O1065" s="5">
        <v>30834795</v>
      </c>
      <c r="P1065" s="5">
        <v>38860</v>
      </c>
      <c r="Q1065" s="5">
        <v>7383</v>
      </c>
      <c r="R1065" s="5">
        <v>46243</v>
      </c>
    </row>
    <row r="1066" spans="1:18" x14ac:dyDescent="0.25">
      <c r="A1066" t="s">
        <v>503</v>
      </c>
      <c r="B1066" t="s">
        <v>494</v>
      </c>
      <c r="C1066">
        <v>71631900</v>
      </c>
      <c r="D1066">
        <v>154</v>
      </c>
      <c r="E1066">
        <v>4500030656</v>
      </c>
      <c r="F1066" t="s">
        <v>525</v>
      </c>
      <c r="G1066" s="1">
        <v>45234</v>
      </c>
      <c r="H1066">
        <v>5412803</v>
      </c>
      <c r="I1066">
        <v>2</v>
      </c>
      <c r="J1066" t="s">
        <v>242</v>
      </c>
      <c r="K1066" s="8" t="str">
        <f>IFERROR(IF(AND(VLOOKUP($C1066,Hes!$A:$B, 1, FALSE), $M1066&lt;&gt;" "), "Ingresada", "Falta Ingresar"), " ")</f>
        <v>Falta Ingresar</v>
      </c>
      <c r="L1066" s="4" t="str">
        <f>IFERROR(VLOOKUP($C1066,Observaciones!$A:$B,2,FALSE)," ")</f>
        <v>SEGUN INFORME VENDEDOR</v>
      </c>
      <c r="M1066" t="s">
        <v>681</v>
      </c>
      <c r="N1066" s="5" t="s">
        <v>841</v>
      </c>
      <c r="O1066" s="5">
        <v>30817514</v>
      </c>
      <c r="P1066" s="5">
        <v>586497</v>
      </c>
      <c r="Q1066" s="5">
        <v>111434</v>
      </c>
      <c r="R1066" s="5">
        <v>697931</v>
      </c>
    </row>
    <row r="1067" spans="1:18" x14ac:dyDescent="0.25">
      <c r="A1067" t="s">
        <v>503</v>
      </c>
      <c r="B1067" t="s">
        <v>494</v>
      </c>
      <c r="C1067">
        <v>71631900</v>
      </c>
      <c r="D1067">
        <v>2</v>
      </c>
      <c r="E1067">
        <v>4500061660</v>
      </c>
      <c r="F1067" t="s">
        <v>525</v>
      </c>
      <c r="G1067" s="1">
        <v>45236</v>
      </c>
      <c r="H1067">
        <v>5412920</v>
      </c>
      <c r="I1067">
        <v>2</v>
      </c>
      <c r="J1067" t="s">
        <v>242</v>
      </c>
      <c r="K1067" s="8" t="str">
        <f>IFERROR(IF(AND(VLOOKUP($C1067,Hes!$A:$B, 1, FALSE), $M1067&lt;&gt;" "), "Ingresada", "Falta Ingresar"), " ")</f>
        <v>Falta Ingresar</v>
      </c>
      <c r="L1067" s="4" t="str">
        <f>IFERROR(VLOOKUP($C1067,Observaciones!$A:$B,2,FALSE)," ")</f>
        <v>SEGUN INFORME VENDEDOR</v>
      </c>
      <c r="M1067" t="s">
        <v>681</v>
      </c>
      <c r="N1067" s="5" t="s">
        <v>841</v>
      </c>
      <c r="O1067" s="5">
        <v>30833699</v>
      </c>
      <c r="P1067" s="5">
        <v>26364</v>
      </c>
      <c r="Q1067" s="5">
        <v>5009</v>
      </c>
      <c r="R1067" s="5">
        <v>31373</v>
      </c>
    </row>
    <row r="1068" spans="1:18" x14ac:dyDescent="0.25">
      <c r="A1068" t="s">
        <v>503</v>
      </c>
      <c r="B1068" t="s">
        <v>494</v>
      </c>
      <c r="C1068">
        <v>71631900</v>
      </c>
      <c r="D1068">
        <v>1</v>
      </c>
      <c r="E1068">
        <v>4500031092</v>
      </c>
      <c r="F1068" t="s">
        <v>525</v>
      </c>
      <c r="G1068" s="1">
        <v>45236</v>
      </c>
      <c r="H1068">
        <v>5412946</v>
      </c>
      <c r="I1068">
        <v>2</v>
      </c>
      <c r="J1068" t="s">
        <v>242</v>
      </c>
      <c r="K1068" s="8" t="str">
        <f>IFERROR(IF(AND(VLOOKUP($C1068,Hes!$A:$B, 1, FALSE), $M1068&lt;&gt;" "), "Ingresada", "Falta Ingresar"), " ")</f>
        <v>Falta Ingresar</v>
      </c>
      <c r="L1068" s="4" t="str">
        <f>IFERROR(VLOOKUP($C1068,Observaciones!$A:$B,2,FALSE)," ")</f>
        <v>SEGUN INFORME VENDEDOR</v>
      </c>
      <c r="M1068" t="s">
        <v>681</v>
      </c>
      <c r="N1068" s="5" t="s">
        <v>841</v>
      </c>
      <c r="O1068" s="5">
        <v>30834165</v>
      </c>
      <c r="P1068" s="5">
        <v>85660</v>
      </c>
      <c r="Q1068" s="5">
        <v>16275</v>
      </c>
      <c r="R1068" s="5">
        <v>101935</v>
      </c>
    </row>
    <row r="1069" spans="1:18" x14ac:dyDescent="0.25">
      <c r="A1069" t="s">
        <v>503</v>
      </c>
      <c r="B1069" t="s">
        <v>494</v>
      </c>
      <c r="C1069">
        <v>71631900</v>
      </c>
      <c r="D1069">
        <v>154</v>
      </c>
      <c r="E1069">
        <v>4500028746</v>
      </c>
      <c r="F1069" t="s">
        <v>525</v>
      </c>
      <c r="G1069" s="1">
        <v>45234</v>
      </c>
      <c r="H1069">
        <v>5413034</v>
      </c>
      <c r="I1069">
        <v>2</v>
      </c>
      <c r="J1069" t="s">
        <v>242</v>
      </c>
      <c r="K1069" s="8" t="str">
        <f>IFERROR(IF(AND(VLOOKUP($C1069,Hes!$A:$B, 1, FALSE), $M1069&lt;&gt;" "), "Ingresada", "Falta Ingresar"), " ")</f>
        <v>Falta Ingresar</v>
      </c>
      <c r="L1069" s="4" t="str">
        <f>IFERROR(VLOOKUP($C1069,Observaciones!$A:$B,2,FALSE)," ")</f>
        <v>SEGUN INFORME VENDEDOR</v>
      </c>
      <c r="M1069" t="s">
        <v>681</v>
      </c>
      <c r="N1069" s="5" t="s">
        <v>841</v>
      </c>
      <c r="O1069" s="5">
        <v>30783369</v>
      </c>
      <c r="P1069" s="5">
        <v>349352</v>
      </c>
      <c r="Q1069" s="5">
        <v>66377</v>
      </c>
      <c r="R1069" s="5">
        <v>415729</v>
      </c>
    </row>
    <row r="1070" spans="1:18" x14ac:dyDescent="0.25">
      <c r="A1070" t="s">
        <v>503</v>
      </c>
      <c r="B1070" t="s">
        <v>494</v>
      </c>
      <c r="C1070">
        <v>71631900</v>
      </c>
      <c r="D1070">
        <v>154</v>
      </c>
      <c r="E1070">
        <v>4500028747</v>
      </c>
      <c r="F1070" t="s">
        <v>525</v>
      </c>
      <c r="G1070" s="1">
        <v>45234</v>
      </c>
      <c r="H1070">
        <v>5413074</v>
      </c>
      <c r="I1070">
        <v>2</v>
      </c>
      <c r="J1070" t="s">
        <v>242</v>
      </c>
      <c r="K1070" s="8" t="str">
        <f>IFERROR(IF(AND(VLOOKUP($C1070,Hes!$A:$B, 1, FALSE), $M1070&lt;&gt;" "), "Ingresada", "Falta Ingresar"), " ")</f>
        <v>Falta Ingresar</v>
      </c>
      <c r="L1070" s="4" t="str">
        <f>IFERROR(VLOOKUP($C1070,Observaciones!$A:$B,2,FALSE)," ")</f>
        <v>SEGUN INFORME VENDEDOR</v>
      </c>
      <c r="M1070" t="s">
        <v>681</v>
      </c>
      <c r="N1070" s="5" t="s">
        <v>841</v>
      </c>
      <c r="O1070" s="5">
        <v>30783328</v>
      </c>
      <c r="P1070" s="5">
        <v>139821</v>
      </c>
      <c r="Q1070" s="5">
        <v>26566</v>
      </c>
      <c r="R1070" s="5">
        <v>166387</v>
      </c>
    </row>
    <row r="1071" spans="1:18" x14ac:dyDescent="0.25">
      <c r="A1071" t="s">
        <v>503</v>
      </c>
      <c r="B1071" t="s">
        <v>494</v>
      </c>
      <c r="C1071">
        <v>71631900</v>
      </c>
      <c r="D1071">
        <v>2</v>
      </c>
      <c r="E1071">
        <v>4500031696</v>
      </c>
      <c r="F1071" t="s">
        <v>525</v>
      </c>
      <c r="G1071" s="1">
        <v>45236</v>
      </c>
      <c r="H1071">
        <v>5413156</v>
      </c>
      <c r="I1071">
        <v>326</v>
      </c>
      <c r="J1071" t="s">
        <v>246</v>
      </c>
      <c r="K1071" s="8" t="str">
        <f>IFERROR(IF(AND(VLOOKUP($C1071,Hes!$A:$B, 1, FALSE), $M1071&lt;&gt;" "), "Ingresada", "Falta Ingresar"), " ")</f>
        <v>Falta Ingresar</v>
      </c>
      <c r="L1071" s="4" t="str">
        <f>IFERROR(VLOOKUP($C1071,Observaciones!$A:$B,2,FALSE)," ")</f>
        <v>SEGUN INFORME VENDEDOR</v>
      </c>
      <c r="M1071" t="s">
        <v>681</v>
      </c>
      <c r="N1071" s="5" t="s">
        <v>841</v>
      </c>
      <c r="O1071" s="5">
        <v>30843791</v>
      </c>
      <c r="P1071" s="5">
        <v>599212</v>
      </c>
      <c r="Q1071" s="5">
        <v>113850</v>
      </c>
      <c r="R1071" s="5">
        <v>713062</v>
      </c>
    </row>
    <row r="1072" spans="1:18" x14ac:dyDescent="0.25">
      <c r="A1072" t="s">
        <v>503</v>
      </c>
      <c r="B1072" t="s">
        <v>494</v>
      </c>
      <c r="C1072">
        <v>71631900</v>
      </c>
      <c r="D1072">
        <v>1</v>
      </c>
      <c r="E1072">
        <v>4500031499</v>
      </c>
      <c r="F1072" t="s">
        <v>525</v>
      </c>
      <c r="G1072" s="1">
        <v>45236</v>
      </c>
      <c r="H1072">
        <v>5413319</v>
      </c>
      <c r="I1072">
        <v>2</v>
      </c>
      <c r="J1072" t="s">
        <v>242</v>
      </c>
      <c r="K1072" s="7" t="str">
        <f>IFERROR(IF(AND(VLOOKUP($C1072,Hes!$A:$B, 1, FALSE), $M1072&lt;&gt;" "), "Ingresada", "Falta Ingresar"), " ")</f>
        <v>Ingresada</v>
      </c>
      <c r="L1072" s="4" t="str">
        <f>IFERROR(VLOOKUP($C1072,Observaciones!$A:$B,2,FALSE)," ")</f>
        <v>SEGUN INFORME VENDEDOR</v>
      </c>
      <c r="M1072">
        <v>5000036730</v>
      </c>
      <c r="N1072" s="5" t="s">
        <v>841</v>
      </c>
      <c r="O1072" s="5">
        <v>30852596</v>
      </c>
      <c r="P1072" s="5">
        <v>26305</v>
      </c>
      <c r="Q1072" s="5">
        <v>4998</v>
      </c>
      <c r="R1072" s="5">
        <v>31303</v>
      </c>
    </row>
    <row r="1073" spans="1:18" x14ac:dyDescent="0.25">
      <c r="A1073" t="s">
        <v>503</v>
      </c>
      <c r="B1073" t="s">
        <v>494</v>
      </c>
      <c r="C1073">
        <v>71631900</v>
      </c>
      <c r="D1073">
        <v>29</v>
      </c>
      <c r="E1073">
        <v>30852942</v>
      </c>
      <c r="F1073" t="s">
        <v>525</v>
      </c>
      <c r="G1073" s="1">
        <v>45236</v>
      </c>
      <c r="H1073">
        <v>5413423</v>
      </c>
      <c r="I1073">
        <v>2</v>
      </c>
      <c r="J1073" t="s">
        <v>242</v>
      </c>
      <c r="K1073" s="8" t="str">
        <f>IFERROR(IF(AND(VLOOKUP($C1073,Hes!$A:$B, 1, FALSE), $M1073&lt;&gt;" "), "Ingresada", "Falta Ingresar"), " ")</f>
        <v>Falta Ingresar</v>
      </c>
      <c r="L1073" s="4" t="str">
        <f>IFERROR(VLOOKUP($C1073,Observaciones!$A:$B,2,FALSE)," ")</f>
        <v>SEGUN INFORME VENDEDOR</v>
      </c>
      <c r="M1073" t="s">
        <v>681</v>
      </c>
      <c r="N1073" s="5" t="s">
        <v>841</v>
      </c>
      <c r="O1073" s="5">
        <v>30852942</v>
      </c>
      <c r="P1073" s="5">
        <v>120989</v>
      </c>
      <c r="Q1073" s="5">
        <v>22988</v>
      </c>
      <c r="R1073" s="5">
        <v>148751</v>
      </c>
    </row>
    <row r="1074" spans="1:18" x14ac:dyDescent="0.25">
      <c r="A1074" t="s">
        <v>503</v>
      </c>
      <c r="B1074" t="s">
        <v>494</v>
      </c>
      <c r="C1074">
        <v>71631900</v>
      </c>
      <c r="D1074">
        <v>1</v>
      </c>
      <c r="E1074">
        <v>4500031423</v>
      </c>
      <c r="F1074" t="s">
        <v>525</v>
      </c>
      <c r="G1074" s="1">
        <v>45236</v>
      </c>
      <c r="H1074">
        <v>5413446</v>
      </c>
      <c r="I1074">
        <v>2</v>
      </c>
      <c r="J1074" t="s">
        <v>242</v>
      </c>
      <c r="K1074" s="8" t="str">
        <f>IFERROR(IF(AND(VLOOKUP($C1074,Hes!$A:$B, 1, FALSE), $M1074&lt;&gt;" "), "Ingresada", "Falta Ingresar"), " ")</f>
        <v>Falta Ingresar</v>
      </c>
      <c r="L1074" s="4" t="str">
        <f>IFERROR(VLOOKUP($C1074,Observaciones!$A:$B,2,FALSE)," ")</f>
        <v>SEGUN INFORME VENDEDOR</v>
      </c>
      <c r="M1074" t="s">
        <v>681</v>
      </c>
      <c r="N1074" s="5" t="s">
        <v>841</v>
      </c>
      <c r="O1074" s="5">
        <v>30827612</v>
      </c>
      <c r="P1074" s="5">
        <v>29122</v>
      </c>
      <c r="Q1074" s="5">
        <v>5533</v>
      </c>
      <c r="R1074" s="5">
        <v>34655</v>
      </c>
    </row>
    <row r="1075" spans="1:18" x14ac:dyDescent="0.25">
      <c r="A1075" t="s">
        <v>503</v>
      </c>
      <c r="B1075" t="s">
        <v>494</v>
      </c>
      <c r="C1075">
        <v>71631900</v>
      </c>
      <c r="D1075">
        <v>1</v>
      </c>
      <c r="E1075">
        <v>4500031545</v>
      </c>
      <c r="F1075" t="s">
        <v>525</v>
      </c>
      <c r="G1075" s="1">
        <v>45236</v>
      </c>
      <c r="H1075">
        <v>5413495</v>
      </c>
      <c r="I1075">
        <v>2</v>
      </c>
      <c r="J1075" t="s">
        <v>242</v>
      </c>
      <c r="K1075" s="8" t="str">
        <f>IFERROR(IF(AND(VLOOKUP($C1075,Hes!$A:$B, 1, FALSE), $M1075&lt;&gt;" "), "Ingresada", "Falta Ingresar"), " ")</f>
        <v>Falta Ingresar</v>
      </c>
      <c r="L1075" s="4" t="str">
        <f>IFERROR(VLOOKUP($C1075,Observaciones!$A:$B,2,FALSE)," ")</f>
        <v>SEGUN INFORME VENDEDOR</v>
      </c>
      <c r="M1075" t="s">
        <v>681</v>
      </c>
      <c r="N1075" s="5" t="s">
        <v>841</v>
      </c>
      <c r="O1075" s="5">
        <v>30813999</v>
      </c>
      <c r="P1075" s="5">
        <v>79415</v>
      </c>
      <c r="Q1075" s="5">
        <v>15089</v>
      </c>
      <c r="R1075" s="5">
        <v>94504</v>
      </c>
    </row>
    <row r="1076" spans="1:18" x14ac:dyDescent="0.25">
      <c r="A1076" t="s">
        <v>503</v>
      </c>
      <c r="B1076" t="s">
        <v>494</v>
      </c>
      <c r="C1076">
        <v>71631900</v>
      </c>
      <c r="D1076">
        <v>1</v>
      </c>
      <c r="E1076">
        <v>4500031546</v>
      </c>
      <c r="F1076" t="s">
        <v>525</v>
      </c>
      <c r="G1076" s="1">
        <v>45236</v>
      </c>
      <c r="H1076">
        <v>5413789</v>
      </c>
      <c r="I1076">
        <v>2</v>
      </c>
      <c r="J1076" t="s">
        <v>242</v>
      </c>
      <c r="K1076" s="8" t="str">
        <f>IFERROR(IF(AND(VLOOKUP($C1076,Hes!$A:$B, 1, FALSE), $M1076&lt;&gt;" "), "Ingresada", "Falta Ingresar"), " ")</f>
        <v>Falta Ingresar</v>
      </c>
      <c r="L1076" s="4" t="str">
        <f>IFERROR(VLOOKUP($C1076,Observaciones!$A:$B,2,FALSE)," ")</f>
        <v>SEGUN INFORME VENDEDOR</v>
      </c>
      <c r="M1076" t="s">
        <v>681</v>
      </c>
      <c r="N1076" s="5" t="s">
        <v>841</v>
      </c>
      <c r="O1076" s="5">
        <v>30814026</v>
      </c>
      <c r="P1076" s="5">
        <v>72592</v>
      </c>
      <c r="Q1076" s="5">
        <v>13792</v>
      </c>
      <c r="R1076" s="5">
        <v>86384</v>
      </c>
    </row>
    <row r="1077" spans="1:18" x14ac:dyDescent="0.25">
      <c r="A1077" t="s">
        <v>503</v>
      </c>
      <c r="B1077" t="s">
        <v>494</v>
      </c>
      <c r="C1077">
        <v>71631900</v>
      </c>
      <c r="D1077">
        <v>9</v>
      </c>
      <c r="E1077" t="s">
        <v>1012</v>
      </c>
      <c r="F1077" t="s">
        <v>525</v>
      </c>
      <c r="G1077" s="1">
        <v>45236</v>
      </c>
      <c r="H1077">
        <v>5413850</v>
      </c>
      <c r="I1077">
        <v>2</v>
      </c>
      <c r="J1077" t="s">
        <v>242</v>
      </c>
      <c r="K1077" s="8" t="str">
        <f>IFERROR(IF(AND(VLOOKUP($C1077,Hes!$A:$B, 1, FALSE), $M1077&lt;&gt;" "), "Ingresada", "Falta Ingresar"), " ")</f>
        <v>Falta Ingresar</v>
      </c>
      <c r="L1077" s="4" t="str">
        <f>IFERROR(VLOOKUP($C1077,Observaciones!$A:$B,2,FALSE)," ")</f>
        <v>SEGUN INFORME VENDEDOR</v>
      </c>
      <c r="M1077" t="s">
        <v>681</v>
      </c>
      <c r="N1077" s="5" t="s">
        <v>841</v>
      </c>
      <c r="O1077" s="5">
        <v>30856116</v>
      </c>
      <c r="P1077" s="5">
        <v>1424242</v>
      </c>
      <c r="Q1077" s="5">
        <v>270606</v>
      </c>
      <c r="R1077" s="5">
        <v>1694848</v>
      </c>
    </row>
    <row r="1078" spans="1:18" x14ac:dyDescent="0.25">
      <c r="A1078" t="s">
        <v>503</v>
      </c>
      <c r="B1078" t="s">
        <v>494</v>
      </c>
      <c r="C1078">
        <v>71631900</v>
      </c>
      <c r="D1078">
        <v>41</v>
      </c>
      <c r="E1078">
        <v>30859234</v>
      </c>
      <c r="F1078" t="s">
        <v>525</v>
      </c>
      <c r="G1078" s="1">
        <v>45237</v>
      </c>
      <c r="H1078">
        <v>5414102</v>
      </c>
      <c r="I1078">
        <v>2</v>
      </c>
      <c r="J1078" t="s">
        <v>242</v>
      </c>
      <c r="K1078" s="8" t="str">
        <f>IFERROR(IF(AND(VLOOKUP($C1078,Hes!$A:$B, 1, FALSE), $M1078&lt;&gt;" "), "Ingresada", "Falta Ingresar"), " ")</f>
        <v>Falta Ingresar</v>
      </c>
      <c r="L1078" s="4" t="str">
        <f>IFERROR(VLOOKUP($C1078,Observaciones!$A:$B,2,FALSE)," ")</f>
        <v>SEGUN INFORME VENDEDOR</v>
      </c>
      <c r="M1078" t="s">
        <v>681</v>
      </c>
      <c r="N1078" s="5" t="s">
        <v>841</v>
      </c>
      <c r="O1078" s="5">
        <v>30859234</v>
      </c>
      <c r="P1078" s="5">
        <v>25882</v>
      </c>
      <c r="Q1078" s="5">
        <v>4918</v>
      </c>
      <c r="R1078" s="5">
        <v>30800</v>
      </c>
    </row>
    <row r="1079" spans="1:18" x14ac:dyDescent="0.25">
      <c r="A1079" t="s">
        <v>503</v>
      </c>
      <c r="B1079" t="s">
        <v>494</v>
      </c>
      <c r="C1079">
        <v>71631900</v>
      </c>
      <c r="D1079">
        <v>0</v>
      </c>
      <c r="E1079" t="s">
        <v>1013</v>
      </c>
      <c r="F1079" t="s">
        <v>525</v>
      </c>
      <c r="G1079" s="1">
        <v>45237</v>
      </c>
      <c r="H1079">
        <v>5414492</v>
      </c>
      <c r="I1079">
        <v>2</v>
      </c>
      <c r="J1079" t="s">
        <v>242</v>
      </c>
      <c r="K1079" s="8" t="str">
        <f>IFERROR(IF(AND(VLOOKUP($C1079,Hes!$A:$B, 1, FALSE), $M1079&lt;&gt;" "), "Ingresada", "Falta Ingresar"), " ")</f>
        <v>Falta Ingresar</v>
      </c>
      <c r="L1079" s="4" t="str">
        <f>IFERROR(VLOOKUP($C1079,Observaciones!$A:$B,2,FALSE)," ")</f>
        <v>SEGUN INFORME VENDEDOR</v>
      </c>
      <c r="M1079" t="s">
        <v>681</v>
      </c>
      <c r="N1079" s="5" t="s">
        <v>841</v>
      </c>
      <c r="O1079" s="5">
        <v>30850035</v>
      </c>
      <c r="P1079" s="5">
        <v>6266025</v>
      </c>
      <c r="Q1079" s="5">
        <v>1190545</v>
      </c>
      <c r="R1079" s="5">
        <v>7456570</v>
      </c>
    </row>
    <row r="1080" spans="1:18" x14ac:dyDescent="0.25">
      <c r="A1080" t="s">
        <v>503</v>
      </c>
      <c r="B1080" t="s">
        <v>494</v>
      </c>
      <c r="C1080">
        <v>71631900</v>
      </c>
      <c r="D1080">
        <v>225</v>
      </c>
      <c r="E1080">
        <v>4500031645</v>
      </c>
      <c r="F1080" t="s">
        <v>525</v>
      </c>
      <c r="G1080" s="1">
        <v>45237</v>
      </c>
      <c r="H1080">
        <v>5414838</v>
      </c>
      <c r="I1080">
        <v>2</v>
      </c>
      <c r="J1080" t="s">
        <v>242</v>
      </c>
      <c r="K1080" s="8" t="str">
        <f>IFERROR(IF(AND(VLOOKUP($C1080,Hes!$A:$B, 1, FALSE), $M1080&lt;&gt;" "), "Ingresada", "Falta Ingresar"), " ")</f>
        <v>Falta Ingresar</v>
      </c>
      <c r="L1080" s="4" t="str">
        <f>IFERROR(VLOOKUP($C1080,Observaciones!$A:$B,2,FALSE)," ")</f>
        <v>SEGUN INFORME VENDEDOR</v>
      </c>
      <c r="M1080" t="s">
        <v>681</v>
      </c>
      <c r="N1080" s="5" t="s">
        <v>841</v>
      </c>
      <c r="O1080" s="5">
        <v>30817695</v>
      </c>
      <c r="P1080" s="5">
        <v>20698</v>
      </c>
      <c r="Q1080" s="5">
        <v>3933</v>
      </c>
      <c r="R1080" s="5">
        <v>24631</v>
      </c>
    </row>
    <row r="1081" spans="1:18" x14ac:dyDescent="0.25">
      <c r="A1081" t="s">
        <v>503</v>
      </c>
      <c r="B1081" t="s">
        <v>494</v>
      </c>
      <c r="C1081">
        <v>71631900</v>
      </c>
      <c r="D1081">
        <v>70</v>
      </c>
      <c r="E1081">
        <v>30863448</v>
      </c>
      <c r="F1081" t="s">
        <v>525</v>
      </c>
      <c r="G1081" s="1">
        <v>45238</v>
      </c>
      <c r="H1081">
        <v>5415041</v>
      </c>
      <c r="I1081">
        <v>2</v>
      </c>
      <c r="J1081" t="s">
        <v>242</v>
      </c>
      <c r="K1081" s="8" t="str">
        <f>IFERROR(IF(AND(VLOOKUP($C1081,Hes!$A:$B, 1, FALSE), $M1081&lt;&gt;" "), "Ingresada", "Falta Ingresar"), " ")</f>
        <v>Falta Ingresar</v>
      </c>
      <c r="L1081" s="4" t="str">
        <f>IFERROR(VLOOKUP($C1081,Observaciones!$A:$B,2,FALSE)," ")</f>
        <v>SEGUN INFORME VENDEDOR</v>
      </c>
      <c r="M1081" t="s">
        <v>681</v>
      </c>
      <c r="N1081" s="5" t="s">
        <v>841</v>
      </c>
      <c r="O1081" s="5">
        <v>30863448</v>
      </c>
      <c r="P1081" s="5">
        <v>37160</v>
      </c>
      <c r="Q1081" s="5">
        <v>7060</v>
      </c>
      <c r="R1081" s="5">
        <v>44220</v>
      </c>
    </row>
    <row r="1082" spans="1:18" x14ac:dyDescent="0.25">
      <c r="A1082" t="s">
        <v>503</v>
      </c>
      <c r="B1082" t="s">
        <v>494</v>
      </c>
      <c r="C1082">
        <v>71631900</v>
      </c>
      <c r="D1082">
        <v>0</v>
      </c>
      <c r="E1082">
        <v>4500031990</v>
      </c>
      <c r="F1082" t="s">
        <v>525</v>
      </c>
      <c r="G1082" s="1">
        <v>45238</v>
      </c>
      <c r="H1082">
        <v>5415530</v>
      </c>
      <c r="I1082">
        <v>2</v>
      </c>
      <c r="J1082" t="s">
        <v>242</v>
      </c>
      <c r="K1082" s="8" t="str">
        <f>IFERROR(IF(AND(VLOOKUP($C1082,Hes!$A:$B, 1, FALSE), $M1082&lt;&gt;" "), "Ingresada", "Falta Ingresar"), " ")</f>
        <v>Falta Ingresar</v>
      </c>
      <c r="L1082" s="4" t="str">
        <f>IFERROR(VLOOKUP($C1082,Observaciones!$A:$B,2,FALSE)," ")</f>
        <v>SEGUN INFORME VENDEDOR</v>
      </c>
      <c r="M1082" t="s">
        <v>681</v>
      </c>
      <c r="N1082" s="5" t="s">
        <v>841</v>
      </c>
      <c r="O1082" s="5">
        <v>30832512</v>
      </c>
      <c r="P1082" s="5">
        <v>493390</v>
      </c>
      <c r="Q1082" s="5">
        <v>93744</v>
      </c>
      <c r="R1082" s="5">
        <v>587134</v>
      </c>
    </row>
    <row r="1083" spans="1:18" x14ac:dyDescent="0.25">
      <c r="F1083" t="s">
        <v>1014</v>
      </c>
      <c r="K1083" t="str">
        <f>IFERROR(IF(AND(VLOOKUP($C1083,Hes!$A:$B, 1, FALSE), $M1083&lt;&gt;" "), "Ingresada", "Falta Ingresar"), " ")</f>
        <v xml:space="preserve"> </v>
      </c>
      <c r="L1083" s="4" t="str">
        <f>IFERROR(VLOOKUP($C1083,Observaciones!$A:$B,2,FALSE)," ")</f>
        <v xml:space="preserve"> </v>
      </c>
      <c r="M1083" t="s">
        <v>681</v>
      </c>
      <c r="P1083" s="5">
        <v>13156949</v>
      </c>
      <c r="Q1083" s="5">
        <v>2499819</v>
      </c>
      <c r="R1083" s="5">
        <v>15661542</v>
      </c>
    </row>
    <row r="1084" spans="1:18" x14ac:dyDescent="0.25">
      <c r="A1084" t="s">
        <v>513</v>
      </c>
      <c r="B1084" t="s">
        <v>494</v>
      </c>
      <c r="C1084">
        <v>71644300</v>
      </c>
      <c r="D1084">
        <v>2011</v>
      </c>
      <c r="E1084">
        <v>30844585</v>
      </c>
      <c r="F1084" t="s">
        <v>527</v>
      </c>
      <c r="G1084" s="1">
        <v>45232</v>
      </c>
      <c r="H1084">
        <v>5410729</v>
      </c>
      <c r="I1084">
        <v>132</v>
      </c>
      <c r="J1084" t="s">
        <v>416</v>
      </c>
      <c r="K1084" s="8" t="str">
        <f>IFERROR(IF(AND(VLOOKUP($C1084,Hes!$A:$B, 1, FALSE), $M1084&lt;&gt;" "), "Ingresada", "Falta Ingresar"), " ")</f>
        <v>Falta Ingresar</v>
      </c>
      <c r="L1084" s="4" t="s">
        <v>681</v>
      </c>
      <c r="M1084" t="s">
        <v>681</v>
      </c>
      <c r="N1084" s="5" t="s">
        <v>841</v>
      </c>
      <c r="O1084" s="5">
        <v>30844585</v>
      </c>
      <c r="P1084" s="5">
        <v>1157368</v>
      </c>
      <c r="Q1084" s="5">
        <v>219900</v>
      </c>
      <c r="R1084" s="5">
        <v>1377268</v>
      </c>
    </row>
    <row r="1085" spans="1:18" x14ac:dyDescent="0.25">
      <c r="A1085" t="s">
        <v>513</v>
      </c>
      <c r="B1085" t="s">
        <v>494</v>
      </c>
      <c r="C1085">
        <v>71644300</v>
      </c>
      <c r="D1085">
        <v>2008</v>
      </c>
      <c r="E1085">
        <v>30852066</v>
      </c>
      <c r="F1085" t="s">
        <v>527</v>
      </c>
      <c r="G1085" s="1">
        <v>45233</v>
      </c>
      <c r="H1085">
        <v>5411731</v>
      </c>
      <c r="I1085">
        <v>132</v>
      </c>
      <c r="J1085" t="s">
        <v>416</v>
      </c>
      <c r="K1085" s="8" t="str">
        <f>IFERROR(IF(AND(VLOOKUP($C1085,Hes!$A:$B, 1, FALSE), $M1085&lt;&gt;" "), "Ingresada", "Falta Ingresar"), " ")</f>
        <v>Falta Ingresar</v>
      </c>
      <c r="L1085" s="4" t="s">
        <v>681</v>
      </c>
      <c r="M1085" t="s">
        <v>681</v>
      </c>
      <c r="N1085" s="5" t="s">
        <v>841</v>
      </c>
      <c r="O1085" s="5">
        <v>30852066</v>
      </c>
      <c r="P1085" s="5">
        <v>26300</v>
      </c>
      <c r="Q1085" s="5">
        <v>4997</v>
      </c>
      <c r="R1085" s="5">
        <v>31297</v>
      </c>
    </row>
    <row r="1086" spans="1:18" x14ac:dyDescent="0.25">
      <c r="A1086" t="s">
        <v>513</v>
      </c>
      <c r="B1086" t="s">
        <v>494</v>
      </c>
      <c r="C1086">
        <v>71644300</v>
      </c>
      <c r="D1086">
        <v>2</v>
      </c>
      <c r="E1086">
        <v>4500004813</v>
      </c>
      <c r="F1086" t="s">
        <v>527</v>
      </c>
      <c r="G1086" s="1">
        <v>45236</v>
      </c>
      <c r="H1086">
        <v>5413164</v>
      </c>
      <c r="I1086">
        <v>132</v>
      </c>
      <c r="J1086" t="s">
        <v>416</v>
      </c>
      <c r="K1086" s="8" t="str">
        <f>IFERROR(IF(AND(VLOOKUP($C1086,Hes!$A:$B, 1, FALSE), $M1086&lt;&gt;" "), "Ingresada", "Falta Ingresar"), " ")</f>
        <v>Falta Ingresar</v>
      </c>
      <c r="L1086" s="4" t="s">
        <v>681</v>
      </c>
      <c r="M1086" t="s">
        <v>681</v>
      </c>
      <c r="N1086" s="5" t="s">
        <v>841</v>
      </c>
      <c r="O1086" s="5">
        <v>30844808</v>
      </c>
      <c r="P1086" s="5">
        <v>265438</v>
      </c>
      <c r="Q1086" s="5">
        <v>50433</v>
      </c>
      <c r="R1086" s="5">
        <v>315871</v>
      </c>
    </row>
    <row r="1087" spans="1:18" x14ac:dyDescent="0.25">
      <c r="A1087" t="s">
        <v>513</v>
      </c>
      <c r="B1087" t="s">
        <v>494</v>
      </c>
      <c r="C1087">
        <v>71644300</v>
      </c>
      <c r="D1087">
        <v>103</v>
      </c>
      <c r="E1087">
        <v>30842570</v>
      </c>
      <c r="F1087" t="s">
        <v>527</v>
      </c>
      <c r="G1087" s="1">
        <v>45238</v>
      </c>
      <c r="H1087">
        <v>5415037</v>
      </c>
      <c r="I1087">
        <v>132</v>
      </c>
      <c r="J1087" t="s">
        <v>416</v>
      </c>
      <c r="K1087" s="8" t="str">
        <f>IFERROR(IF(AND(VLOOKUP($C1087,Hes!$A:$B, 1, FALSE), $M1087&lt;&gt;" "), "Ingresada", "Falta Ingresar"), " ")</f>
        <v>Falta Ingresar</v>
      </c>
      <c r="L1087" s="4" t="s">
        <v>681</v>
      </c>
      <c r="M1087" t="s">
        <v>681</v>
      </c>
      <c r="N1087" s="5" t="s">
        <v>841</v>
      </c>
      <c r="O1087" s="5">
        <v>30862355</v>
      </c>
      <c r="P1087" s="5">
        <v>83153</v>
      </c>
      <c r="Q1087" s="5">
        <v>15799</v>
      </c>
      <c r="R1087" s="5">
        <v>98952</v>
      </c>
    </row>
    <row r="1088" spans="1:18" x14ac:dyDescent="0.25">
      <c r="F1088" t="s">
        <v>498</v>
      </c>
      <c r="K1088" t="str">
        <f>IFERROR(IF(AND(VLOOKUP($C1088,Hes!$A:$B, 1, FALSE), $M1088&lt;&gt;" "), "Ingresada", "Falta Ingresar"), " ")</f>
        <v xml:space="preserve"> </v>
      </c>
      <c r="L1088" s="4" t="str">
        <f>IFERROR(VLOOKUP($C1088,Observaciones!$A:$B,2,FALSE)," ")</f>
        <v xml:space="preserve"> </v>
      </c>
      <c r="M1088" t="s">
        <v>681</v>
      </c>
      <c r="P1088" s="5">
        <v>1532259</v>
      </c>
      <c r="Q1088" s="5">
        <v>291129</v>
      </c>
      <c r="R1088" s="5">
        <v>1823388</v>
      </c>
    </row>
    <row r="1089" spans="1:18" x14ac:dyDescent="0.25">
      <c r="A1089" t="s">
        <v>496</v>
      </c>
      <c r="B1089" t="s">
        <v>494</v>
      </c>
      <c r="C1089">
        <v>72101000</v>
      </c>
      <c r="D1089">
        <v>1618</v>
      </c>
      <c r="E1089">
        <v>30862225</v>
      </c>
      <c r="F1089" t="s">
        <v>1015</v>
      </c>
      <c r="G1089" s="1">
        <v>45238</v>
      </c>
      <c r="H1089">
        <v>5414972</v>
      </c>
      <c r="I1089">
        <v>25</v>
      </c>
      <c r="J1089" t="s">
        <v>323</v>
      </c>
      <c r="K1089" t="str">
        <f>IFERROR(IF(AND(VLOOKUP($C1089,Hes!$A:$B, 1, FALSE), $M1089&lt;&gt;" "), "Ingresada", "Falta Ingresar"), " ")</f>
        <v xml:space="preserve"> </v>
      </c>
      <c r="L1089" s="4" t="str">
        <f>IFERROR(VLOOKUP($C1089,Observaciones!$A:$B,2,FALSE)," ")</f>
        <v xml:space="preserve"> </v>
      </c>
      <c r="M1089" t="s">
        <v>681</v>
      </c>
      <c r="O1089" s="5">
        <v>30862225</v>
      </c>
      <c r="P1089" s="5">
        <v>157950</v>
      </c>
      <c r="Q1089" s="5">
        <v>30011</v>
      </c>
      <c r="R1089" s="5">
        <v>187961</v>
      </c>
    </row>
    <row r="1090" spans="1:18" x14ac:dyDescent="0.25">
      <c r="F1090" t="s">
        <v>495</v>
      </c>
      <c r="K1090" t="str">
        <f>IFERROR(IF(AND(VLOOKUP($C1090,Hes!$A:$B, 1, FALSE), $M1090&lt;&gt;" "), "Ingresada", "Falta Ingresar"), " ")</f>
        <v xml:space="preserve"> </v>
      </c>
      <c r="L1090" s="4" t="str">
        <f>IFERROR(VLOOKUP($C1090,Observaciones!$A:$B,2,FALSE)," ")</f>
        <v xml:space="preserve"> </v>
      </c>
      <c r="M1090" t="s">
        <v>681</v>
      </c>
      <c r="P1090" s="5">
        <v>157950</v>
      </c>
      <c r="Q1090" s="5">
        <v>30011</v>
      </c>
      <c r="R1090" s="5">
        <v>187961</v>
      </c>
    </row>
    <row r="1091" spans="1:18" x14ac:dyDescent="0.25">
      <c r="A1091" t="s">
        <v>496</v>
      </c>
      <c r="B1091" t="s">
        <v>494</v>
      </c>
      <c r="C1091">
        <v>72754700</v>
      </c>
      <c r="D1091">
        <v>64</v>
      </c>
      <c r="E1091">
        <v>4500621902</v>
      </c>
      <c r="F1091" t="s">
        <v>1016</v>
      </c>
      <c r="G1091" s="1">
        <v>45237</v>
      </c>
      <c r="H1091">
        <v>5414232</v>
      </c>
      <c r="I1091">
        <v>438</v>
      </c>
      <c r="J1091" t="s">
        <v>352</v>
      </c>
      <c r="K1091" t="str">
        <f>IFERROR(IF(AND(VLOOKUP($C1091,Hes!$A:$B, 1, FALSE), $M1091&lt;&gt;" "), "Ingresada", "Falta Ingresar"), " ")</f>
        <v xml:space="preserve"> </v>
      </c>
      <c r="L1091" s="4" t="str">
        <f>IFERROR(VLOOKUP($C1091,Observaciones!$A:$B,2,FALSE)," ")</f>
        <v>XOC Y CC</v>
      </c>
      <c r="M1091" t="s">
        <v>681</v>
      </c>
      <c r="O1091" s="5">
        <v>30847146</v>
      </c>
      <c r="P1091" s="5">
        <v>219860</v>
      </c>
      <c r="Q1091" s="5">
        <v>41773</v>
      </c>
      <c r="R1091" s="5">
        <v>261633</v>
      </c>
    </row>
    <row r="1092" spans="1:18" x14ac:dyDescent="0.25">
      <c r="F1092" t="s">
        <v>495</v>
      </c>
      <c r="K1092" t="str">
        <f>IFERROR(IF(AND(VLOOKUP($C1092,Hes!$A:$B, 1, FALSE), $M1092&lt;&gt;" "), "Ingresada", "Falta Ingresar"), " ")</f>
        <v xml:space="preserve"> </v>
      </c>
      <c r="L1092" s="4" t="str">
        <f>IFERROR(VLOOKUP($C1092,Observaciones!$A:$B,2,FALSE)," ")</f>
        <v xml:space="preserve"> </v>
      </c>
      <c r="M1092" t="s">
        <v>681</v>
      </c>
      <c r="P1092" s="5">
        <v>219860</v>
      </c>
      <c r="Q1092" s="5">
        <v>41773</v>
      </c>
      <c r="R1092" s="5">
        <v>261633</v>
      </c>
    </row>
    <row r="1093" spans="1:18" x14ac:dyDescent="0.25">
      <c r="A1093" t="s">
        <v>513</v>
      </c>
      <c r="B1093" t="s">
        <v>494</v>
      </c>
      <c r="C1093">
        <v>73118600</v>
      </c>
      <c r="D1093">
        <v>1</v>
      </c>
      <c r="E1093" t="s">
        <v>1017</v>
      </c>
      <c r="F1093" t="s">
        <v>1018</v>
      </c>
      <c r="G1093" s="1">
        <v>45233</v>
      </c>
      <c r="H1093">
        <v>5411262</v>
      </c>
      <c r="I1093">
        <v>58</v>
      </c>
      <c r="J1093" t="s">
        <v>230</v>
      </c>
      <c r="K1093" t="str">
        <f>IFERROR(IF(AND(VLOOKUP($C1093,Hes!$A:$B, 1, FALSE), $M1093&lt;&gt;" "), "Ingresada", "Falta Ingresar"), " ")</f>
        <v xml:space="preserve"> </v>
      </c>
      <c r="L1093" s="4" t="s">
        <v>681</v>
      </c>
      <c r="M1093" t="s">
        <v>681</v>
      </c>
      <c r="O1093" s="5">
        <v>30782319</v>
      </c>
      <c r="P1093" s="5">
        <v>228522</v>
      </c>
      <c r="Q1093" s="5">
        <v>43419</v>
      </c>
      <c r="R1093" s="5">
        <v>271941</v>
      </c>
    </row>
    <row r="1094" spans="1:18" x14ac:dyDescent="0.25">
      <c r="A1094" t="s">
        <v>513</v>
      </c>
      <c r="B1094" t="s">
        <v>494</v>
      </c>
      <c r="C1094">
        <v>73118600</v>
      </c>
      <c r="D1094">
        <v>2</v>
      </c>
      <c r="E1094" t="s">
        <v>1017</v>
      </c>
      <c r="F1094" t="s">
        <v>1018</v>
      </c>
      <c r="G1094" s="1">
        <v>45236</v>
      </c>
      <c r="H1094">
        <v>5412447</v>
      </c>
      <c r="I1094">
        <v>58</v>
      </c>
      <c r="J1094" t="s">
        <v>230</v>
      </c>
      <c r="K1094" t="str">
        <f>IFERROR(IF(AND(VLOOKUP($C1094,Hes!$A:$B, 1, FALSE), $M1094&lt;&gt;" "), "Ingresada", "Falta Ingresar"), " ")</f>
        <v xml:space="preserve"> </v>
      </c>
      <c r="L1094" s="4" t="s">
        <v>681</v>
      </c>
      <c r="M1094" t="s">
        <v>681</v>
      </c>
      <c r="O1094" s="5">
        <v>30852547</v>
      </c>
      <c r="P1094" s="5">
        <v>138059</v>
      </c>
      <c r="Q1094" s="5">
        <v>26231</v>
      </c>
      <c r="R1094" s="5">
        <v>164290</v>
      </c>
    </row>
    <row r="1095" spans="1:18" x14ac:dyDescent="0.25">
      <c r="A1095" t="s">
        <v>513</v>
      </c>
      <c r="B1095" t="s">
        <v>494</v>
      </c>
      <c r="C1095">
        <v>73118600</v>
      </c>
      <c r="D1095">
        <v>3</v>
      </c>
      <c r="E1095" t="s">
        <v>1017</v>
      </c>
      <c r="F1095" t="s">
        <v>1018</v>
      </c>
      <c r="G1095" s="1">
        <v>45236</v>
      </c>
      <c r="H1095">
        <v>5413326</v>
      </c>
      <c r="I1095">
        <v>58</v>
      </c>
      <c r="J1095" t="s">
        <v>230</v>
      </c>
      <c r="K1095" t="str">
        <f>IFERROR(IF(AND(VLOOKUP($C1095,Hes!$A:$B, 1, FALSE), $M1095&lt;&gt;" "), "Ingresada", "Falta Ingresar"), " ")</f>
        <v xml:space="preserve"> </v>
      </c>
      <c r="L1095" s="4" t="s">
        <v>681</v>
      </c>
      <c r="M1095" t="s">
        <v>681</v>
      </c>
      <c r="O1095" s="5">
        <v>30852580</v>
      </c>
      <c r="P1095" s="5">
        <v>18884</v>
      </c>
      <c r="Q1095" s="5">
        <v>3588</v>
      </c>
      <c r="R1095" s="5">
        <v>22472</v>
      </c>
    </row>
    <row r="1096" spans="1:18" x14ac:dyDescent="0.25">
      <c r="A1096" t="s">
        <v>513</v>
      </c>
      <c r="B1096" t="s">
        <v>494</v>
      </c>
      <c r="C1096">
        <v>73118600</v>
      </c>
      <c r="D1096">
        <v>0</v>
      </c>
      <c r="E1096" t="s">
        <v>1017</v>
      </c>
      <c r="F1096" t="s">
        <v>1018</v>
      </c>
      <c r="G1096" s="1">
        <v>45238</v>
      </c>
      <c r="H1096">
        <v>5414957</v>
      </c>
      <c r="I1096">
        <v>58</v>
      </c>
      <c r="J1096" t="s">
        <v>230</v>
      </c>
      <c r="K1096" t="str">
        <f>IFERROR(IF(AND(VLOOKUP($C1096,Hes!$A:$B, 1, FALSE), $M1096&lt;&gt;" "), "Ingresada", "Falta Ingresar"), " ")</f>
        <v xml:space="preserve"> </v>
      </c>
      <c r="L1096" s="4" t="s">
        <v>681</v>
      </c>
      <c r="M1096" t="s">
        <v>681</v>
      </c>
      <c r="O1096" s="5">
        <v>30861525</v>
      </c>
      <c r="P1096" s="5">
        <v>76021</v>
      </c>
      <c r="Q1096" s="5">
        <v>14444</v>
      </c>
      <c r="R1096" s="5">
        <v>90465</v>
      </c>
    </row>
    <row r="1097" spans="1:18" x14ac:dyDescent="0.25">
      <c r="F1097" t="s">
        <v>498</v>
      </c>
      <c r="K1097" t="str">
        <f>IFERROR(IF(AND(VLOOKUP($C1097,Hes!$A:$B, 1, FALSE), $M1097&lt;&gt;" "), "Ingresada", "Falta Ingresar"), " ")</f>
        <v xml:space="preserve"> </v>
      </c>
      <c r="L1097" s="4" t="str">
        <f>IFERROR(VLOOKUP($C1097,Observaciones!$A:$B,2,FALSE)," ")</f>
        <v xml:space="preserve"> </v>
      </c>
      <c r="M1097" t="s">
        <v>681</v>
      </c>
      <c r="P1097" s="5">
        <v>461486</v>
      </c>
      <c r="Q1097" s="5">
        <v>87682</v>
      </c>
      <c r="R1097" s="5">
        <v>549168</v>
      </c>
    </row>
    <row r="1098" spans="1:18" x14ac:dyDescent="0.25">
      <c r="A1098" t="s">
        <v>3</v>
      </c>
      <c r="B1098" t="s">
        <v>494</v>
      </c>
      <c r="C1098">
        <v>74805100</v>
      </c>
      <c r="D1098">
        <v>6</v>
      </c>
      <c r="E1098">
        <v>15128</v>
      </c>
      <c r="F1098" t="s">
        <v>1019</v>
      </c>
      <c r="G1098" s="1">
        <v>45232</v>
      </c>
      <c r="H1098">
        <v>5410698</v>
      </c>
      <c r="I1098">
        <v>23</v>
      </c>
      <c r="J1098" t="s">
        <v>174</v>
      </c>
      <c r="K1098" t="str">
        <f>IFERROR(IF(AND(VLOOKUP($C1098,Hes!$A:$B, 1, FALSE), $M1098&lt;&gt;" "), "Ingresada", "Falta Ingresar"), " ")</f>
        <v xml:space="preserve"> </v>
      </c>
      <c r="L1098" s="4" t="str">
        <f>IFERROR(VLOOKUP($C1098,Observaciones!$A:$B,2,FALSE)," ")</f>
        <v xml:space="preserve"> </v>
      </c>
      <c r="M1098" t="s">
        <v>681</v>
      </c>
      <c r="O1098" s="5">
        <v>30845038</v>
      </c>
      <c r="P1098" s="5">
        <v>60215</v>
      </c>
      <c r="Q1098" s="5">
        <v>11441</v>
      </c>
      <c r="R1098" s="5">
        <v>71656</v>
      </c>
    </row>
    <row r="1099" spans="1:18" x14ac:dyDescent="0.25">
      <c r="A1099" t="s">
        <v>3</v>
      </c>
      <c r="B1099" t="s">
        <v>494</v>
      </c>
      <c r="C1099">
        <v>74805100</v>
      </c>
      <c r="D1099">
        <v>3</v>
      </c>
      <c r="E1099">
        <v>30849112</v>
      </c>
      <c r="F1099" t="s">
        <v>1019</v>
      </c>
      <c r="G1099" s="1">
        <v>45233</v>
      </c>
      <c r="H1099">
        <v>5411294</v>
      </c>
      <c r="I1099">
        <v>23</v>
      </c>
      <c r="J1099" t="s">
        <v>174</v>
      </c>
      <c r="K1099" t="str">
        <f>IFERROR(IF(AND(VLOOKUP($C1099,Hes!$A:$B, 1, FALSE), $M1099&lt;&gt;" "), "Ingresada", "Falta Ingresar"), " ")</f>
        <v xml:space="preserve"> </v>
      </c>
      <c r="L1099" s="4" t="str">
        <f>IFERROR(VLOOKUP($C1099,Observaciones!$A:$B,2,FALSE)," ")</f>
        <v xml:space="preserve"> </v>
      </c>
      <c r="M1099" t="s">
        <v>681</v>
      </c>
      <c r="O1099" s="5">
        <v>30849112</v>
      </c>
      <c r="P1099" s="5">
        <v>110466</v>
      </c>
      <c r="Q1099" s="5">
        <v>20989</v>
      </c>
      <c r="R1099" s="5">
        <v>131455</v>
      </c>
    </row>
    <row r="1100" spans="1:18" x14ac:dyDescent="0.25">
      <c r="A1100" t="s">
        <v>3</v>
      </c>
      <c r="B1100" t="s">
        <v>494</v>
      </c>
      <c r="C1100">
        <v>74805100</v>
      </c>
      <c r="D1100">
        <v>3</v>
      </c>
      <c r="E1100">
        <v>30849811</v>
      </c>
      <c r="F1100" t="s">
        <v>1019</v>
      </c>
      <c r="G1100" s="1">
        <v>45233</v>
      </c>
      <c r="H1100">
        <v>5411370</v>
      </c>
      <c r="I1100">
        <v>23</v>
      </c>
      <c r="J1100" t="s">
        <v>174</v>
      </c>
      <c r="K1100" t="str">
        <f>IFERROR(IF(AND(VLOOKUP($C1100,Hes!$A:$B, 1, FALSE), $M1100&lt;&gt;" "), "Ingresada", "Falta Ingresar"), " ")</f>
        <v xml:space="preserve"> </v>
      </c>
      <c r="L1100" s="4" t="str">
        <f>IFERROR(VLOOKUP($C1100,Observaciones!$A:$B,2,FALSE)," ")</f>
        <v xml:space="preserve"> </v>
      </c>
      <c r="M1100" t="s">
        <v>681</v>
      </c>
      <c r="O1100" s="5">
        <v>30849811</v>
      </c>
      <c r="P1100" s="5">
        <v>84832</v>
      </c>
      <c r="Q1100" s="5">
        <v>16118</v>
      </c>
      <c r="R1100" s="5">
        <v>100950</v>
      </c>
    </row>
    <row r="1101" spans="1:18" x14ac:dyDescent="0.25">
      <c r="A1101" t="s">
        <v>3</v>
      </c>
      <c r="B1101" t="s">
        <v>494</v>
      </c>
      <c r="C1101">
        <v>74805100</v>
      </c>
      <c r="D1101">
        <v>3</v>
      </c>
      <c r="E1101">
        <v>30849763</v>
      </c>
      <c r="F1101" t="s">
        <v>1019</v>
      </c>
      <c r="G1101" s="1">
        <v>45233</v>
      </c>
      <c r="H1101">
        <v>5411390</v>
      </c>
      <c r="I1101">
        <v>23</v>
      </c>
      <c r="J1101" t="s">
        <v>174</v>
      </c>
      <c r="K1101" t="str">
        <f>IFERROR(IF(AND(VLOOKUP($C1101,Hes!$A:$B, 1, FALSE), $M1101&lt;&gt;" "), "Ingresada", "Falta Ingresar"), " ")</f>
        <v xml:space="preserve"> </v>
      </c>
      <c r="L1101" s="4" t="str">
        <f>IFERROR(VLOOKUP($C1101,Observaciones!$A:$B,2,FALSE)," ")</f>
        <v xml:space="preserve"> </v>
      </c>
      <c r="M1101" t="s">
        <v>681</v>
      </c>
      <c r="O1101" s="5">
        <v>30849763</v>
      </c>
      <c r="P1101" s="5">
        <v>119809</v>
      </c>
      <c r="Q1101" s="5">
        <v>22764</v>
      </c>
      <c r="R1101" s="5">
        <v>142573</v>
      </c>
    </row>
    <row r="1102" spans="1:18" x14ac:dyDescent="0.25">
      <c r="A1102" t="s">
        <v>3</v>
      </c>
      <c r="B1102" t="s">
        <v>494</v>
      </c>
      <c r="C1102">
        <v>74805100</v>
      </c>
      <c r="D1102">
        <v>3</v>
      </c>
      <c r="E1102">
        <v>30849469</v>
      </c>
      <c r="F1102" t="s">
        <v>1019</v>
      </c>
      <c r="G1102" s="1">
        <v>45233</v>
      </c>
      <c r="H1102">
        <v>5411391</v>
      </c>
      <c r="I1102">
        <v>23</v>
      </c>
      <c r="J1102" t="s">
        <v>174</v>
      </c>
      <c r="K1102" t="str">
        <f>IFERROR(IF(AND(VLOOKUP($C1102,Hes!$A:$B, 1, FALSE), $M1102&lt;&gt;" "), "Ingresada", "Falta Ingresar"), " ")</f>
        <v xml:space="preserve"> </v>
      </c>
      <c r="L1102" s="4" t="str">
        <f>IFERROR(VLOOKUP($C1102,Observaciones!$A:$B,2,FALSE)," ")</f>
        <v xml:space="preserve"> </v>
      </c>
      <c r="M1102" t="s">
        <v>681</v>
      </c>
      <c r="O1102" s="5">
        <v>30849469</v>
      </c>
      <c r="P1102" s="5">
        <v>84966</v>
      </c>
      <c r="Q1102" s="5">
        <v>16144</v>
      </c>
      <c r="R1102" s="5">
        <v>101110</v>
      </c>
    </row>
    <row r="1103" spans="1:18" x14ac:dyDescent="0.25">
      <c r="A1103" t="s">
        <v>3</v>
      </c>
      <c r="B1103" t="s">
        <v>494</v>
      </c>
      <c r="C1103">
        <v>74805100</v>
      </c>
      <c r="D1103">
        <v>1</v>
      </c>
      <c r="E1103">
        <v>30849548</v>
      </c>
      <c r="F1103" t="s">
        <v>1019</v>
      </c>
      <c r="G1103" s="1">
        <v>45233</v>
      </c>
      <c r="H1103">
        <v>5411427</v>
      </c>
      <c r="I1103">
        <v>23</v>
      </c>
      <c r="J1103" t="s">
        <v>174</v>
      </c>
      <c r="K1103" t="str">
        <f>IFERROR(IF(AND(VLOOKUP($C1103,Hes!$A:$B, 1, FALSE), $M1103&lt;&gt;" "), "Ingresada", "Falta Ingresar"), " ")</f>
        <v xml:space="preserve"> </v>
      </c>
      <c r="L1103" s="4" t="str">
        <f>IFERROR(VLOOKUP($C1103,Observaciones!$A:$B,2,FALSE)," ")</f>
        <v xml:space="preserve"> </v>
      </c>
      <c r="M1103" t="s">
        <v>681</v>
      </c>
      <c r="O1103" s="5">
        <v>30849548</v>
      </c>
      <c r="P1103" s="5">
        <v>238650</v>
      </c>
      <c r="Q1103" s="5">
        <v>45344</v>
      </c>
      <c r="R1103" s="5">
        <v>283994</v>
      </c>
    </row>
    <row r="1104" spans="1:18" x14ac:dyDescent="0.25">
      <c r="A1104" t="s">
        <v>3</v>
      </c>
      <c r="B1104" t="s">
        <v>494</v>
      </c>
      <c r="C1104">
        <v>74805100</v>
      </c>
      <c r="D1104">
        <v>3</v>
      </c>
      <c r="E1104">
        <v>30849869</v>
      </c>
      <c r="F1104" t="s">
        <v>1019</v>
      </c>
      <c r="G1104" s="1">
        <v>45233</v>
      </c>
      <c r="H1104">
        <v>5411454</v>
      </c>
      <c r="I1104">
        <v>23</v>
      </c>
      <c r="J1104" t="s">
        <v>174</v>
      </c>
      <c r="K1104" t="str">
        <f>IFERROR(IF(AND(VLOOKUP($C1104,Hes!$A:$B, 1, FALSE), $M1104&lt;&gt;" "), "Ingresada", "Falta Ingresar"), " ")</f>
        <v xml:space="preserve"> </v>
      </c>
      <c r="L1104" s="4" t="str">
        <f>IFERROR(VLOOKUP($C1104,Observaciones!$A:$B,2,FALSE)," ")</f>
        <v xml:space="preserve"> </v>
      </c>
      <c r="M1104" t="s">
        <v>681</v>
      </c>
      <c r="O1104" s="5">
        <v>30849869</v>
      </c>
      <c r="P1104" s="5">
        <v>127050</v>
      </c>
      <c r="Q1104" s="5">
        <v>24140</v>
      </c>
      <c r="R1104" s="5">
        <v>151190</v>
      </c>
    </row>
    <row r="1105" spans="1:18" x14ac:dyDescent="0.25">
      <c r="A1105" t="s">
        <v>3</v>
      </c>
      <c r="B1105" t="s">
        <v>494</v>
      </c>
      <c r="C1105">
        <v>74805100</v>
      </c>
      <c r="D1105">
        <v>7</v>
      </c>
      <c r="E1105">
        <v>30849076</v>
      </c>
      <c r="F1105" t="s">
        <v>1019</v>
      </c>
      <c r="G1105" s="1">
        <v>45233</v>
      </c>
      <c r="H1105">
        <v>5411563</v>
      </c>
      <c r="I1105">
        <v>23</v>
      </c>
      <c r="J1105" t="s">
        <v>174</v>
      </c>
      <c r="K1105" t="str">
        <f>IFERROR(IF(AND(VLOOKUP($C1105,Hes!$A:$B, 1, FALSE), $M1105&lt;&gt;" "), "Ingresada", "Falta Ingresar"), " ")</f>
        <v xml:space="preserve"> </v>
      </c>
      <c r="L1105" s="4" t="str">
        <f>IFERROR(VLOOKUP($C1105,Observaciones!$A:$B,2,FALSE)," ")</f>
        <v xml:space="preserve"> </v>
      </c>
      <c r="M1105" t="s">
        <v>681</v>
      </c>
      <c r="O1105" s="5">
        <v>30849076</v>
      </c>
      <c r="P1105" s="5">
        <v>295594</v>
      </c>
      <c r="Q1105" s="5">
        <v>56163</v>
      </c>
      <c r="R1105" s="5">
        <v>351757</v>
      </c>
    </row>
    <row r="1106" spans="1:18" x14ac:dyDescent="0.25">
      <c r="A1106" t="s">
        <v>3</v>
      </c>
      <c r="B1106" t="s">
        <v>494</v>
      </c>
      <c r="C1106">
        <v>74805100</v>
      </c>
      <c r="D1106">
        <v>8</v>
      </c>
      <c r="E1106">
        <v>30850613</v>
      </c>
      <c r="F1106" t="s">
        <v>1019</v>
      </c>
      <c r="G1106" s="1">
        <v>45233</v>
      </c>
      <c r="H1106">
        <v>5411667</v>
      </c>
      <c r="I1106">
        <v>23</v>
      </c>
      <c r="J1106" t="s">
        <v>174</v>
      </c>
      <c r="K1106" t="str">
        <f>IFERROR(IF(AND(VLOOKUP($C1106,Hes!$A:$B, 1, FALSE), $M1106&lt;&gt;" "), "Ingresada", "Falta Ingresar"), " ")</f>
        <v xml:space="preserve"> </v>
      </c>
      <c r="L1106" s="4" t="str">
        <f>IFERROR(VLOOKUP($C1106,Observaciones!$A:$B,2,FALSE)," ")</f>
        <v xml:space="preserve"> </v>
      </c>
      <c r="M1106" t="s">
        <v>681</v>
      </c>
      <c r="O1106" s="5">
        <v>30850613</v>
      </c>
      <c r="P1106" s="5">
        <v>463007</v>
      </c>
      <c r="Q1106" s="5">
        <v>87971</v>
      </c>
      <c r="R1106" s="5">
        <v>550978</v>
      </c>
    </row>
    <row r="1107" spans="1:18" x14ac:dyDescent="0.25">
      <c r="A1107" t="s">
        <v>3</v>
      </c>
      <c r="B1107" t="s">
        <v>494</v>
      </c>
      <c r="C1107">
        <v>74805100</v>
      </c>
      <c r="D1107">
        <v>5</v>
      </c>
      <c r="E1107">
        <v>30848893</v>
      </c>
      <c r="F1107" t="s">
        <v>1019</v>
      </c>
      <c r="G1107" s="1">
        <v>45233</v>
      </c>
      <c r="H1107">
        <v>5411682</v>
      </c>
      <c r="I1107">
        <v>23</v>
      </c>
      <c r="J1107" t="s">
        <v>174</v>
      </c>
      <c r="K1107" t="str">
        <f>IFERROR(IF(AND(VLOOKUP($C1107,Hes!$A:$B, 1, FALSE), $M1107&lt;&gt;" "), "Ingresada", "Falta Ingresar"), " ")</f>
        <v xml:space="preserve"> </v>
      </c>
      <c r="L1107" s="4" t="str">
        <f>IFERROR(VLOOKUP($C1107,Observaciones!$A:$B,2,FALSE)," ")</f>
        <v xml:space="preserve"> </v>
      </c>
      <c r="M1107" t="s">
        <v>681</v>
      </c>
      <c r="O1107" s="5">
        <v>30848893</v>
      </c>
      <c r="P1107" s="5">
        <v>112518</v>
      </c>
      <c r="Q1107" s="5">
        <v>21378</v>
      </c>
      <c r="R1107" s="5">
        <v>133896</v>
      </c>
    </row>
    <row r="1108" spans="1:18" x14ac:dyDescent="0.25">
      <c r="A1108" t="s">
        <v>3</v>
      </c>
      <c r="B1108" t="s">
        <v>494</v>
      </c>
      <c r="C1108">
        <v>74805100</v>
      </c>
      <c r="D1108">
        <v>1</v>
      </c>
      <c r="E1108">
        <v>30853436</v>
      </c>
      <c r="F1108" t="s">
        <v>1019</v>
      </c>
      <c r="G1108" s="1">
        <v>45236</v>
      </c>
      <c r="H1108">
        <v>5412786</v>
      </c>
      <c r="I1108">
        <v>23</v>
      </c>
      <c r="J1108" t="s">
        <v>174</v>
      </c>
      <c r="K1108" t="str">
        <f>IFERROR(IF(AND(VLOOKUP($C1108,Hes!$A:$B, 1, FALSE), $M1108&lt;&gt;" "), "Ingresada", "Falta Ingresar"), " ")</f>
        <v xml:space="preserve"> </v>
      </c>
      <c r="L1108" s="4" t="str">
        <f>IFERROR(VLOOKUP($C1108,Observaciones!$A:$B,2,FALSE)," ")</f>
        <v xml:space="preserve"> </v>
      </c>
      <c r="M1108" t="s">
        <v>681</v>
      </c>
      <c r="O1108" s="5">
        <v>30853436</v>
      </c>
      <c r="P1108" s="5">
        <v>222690</v>
      </c>
      <c r="Q1108" s="5">
        <v>42311</v>
      </c>
      <c r="R1108" s="5">
        <v>265001</v>
      </c>
    </row>
    <row r="1109" spans="1:18" x14ac:dyDescent="0.25">
      <c r="A1109" t="s">
        <v>3</v>
      </c>
      <c r="B1109" t="s">
        <v>494</v>
      </c>
      <c r="C1109">
        <v>74805100</v>
      </c>
      <c r="D1109">
        <v>1</v>
      </c>
      <c r="E1109">
        <v>30853950</v>
      </c>
      <c r="F1109" t="s">
        <v>1019</v>
      </c>
      <c r="G1109" s="1">
        <v>45236</v>
      </c>
      <c r="H1109">
        <v>5412952</v>
      </c>
      <c r="I1109">
        <v>23</v>
      </c>
      <c r="J1109" t="s">
        <v>174</v>
      </c>
      <c r="K1109" t="str">
        <f>IFERROR(IF(AND(VLOOKUP($C1109,Hes!$A:$B, 1, FALSE), $M1109&lt;&gt;" "), "Ingresada", "Falta Ingresar"), " ")</f>
        <v xml:space="preserve"> </v>
      </c>
      <c r="L1109" s="4" t="str">
        <f>IFERROR(VLOOKUP($C1109,Observaciones!$A:$B,2,FALSE)," ")</f>
        <v xml:space="preserve"> </v>
      </c>
      <c r="M1109" t="s">
        <v>681</v>
      </c>
      <c r="O1109" s="5">
        <v>30853950</v>
      </c>
      <c r="P1109" s="5">
        <v>21794</v>
      </c>
      <c r="Q1109" s="5">
        <v>4141</v>
      </c>
      <c r="R1109" s="5">
        <v>25935</v>
      </c>
    </row>
    <row r="1110" spans="1:18" x14ac:dyDescent="0.25">
      <c r="A1110" t="s">
        <v>3</v>
      </c>
      <c r="B1110" t="s">
        <v>494</v>
      </c>
      <c r="C1110">
        <v>74805100</v>
      </c>
      <c r="D1110">
        <v>1</v>
      </c>
      <c r="E1110">
        <v>30854798</v>
      </c>
      <c r="F1110" t="s">
        <v>1019</v>
      </c>
      <c r="G1110" s="1">
        <v>45236</v>
      </c>
      <c r="H1110">
        <v>5413183</v>
      </c>
      <c r="I1110">
        <v>23</v>
      </c>
      <c r="J1110" t="s">
        <v>174</v>
      </c>
      <c r="K1110" t="str">
        <f>IFERROR(IF(AND(VLOOKUP($C1110,Hes!$A:$B, 1, FALSE), $M1110&lt;&gt;" "), "Ingresada", "Falta Ingresar"), " ")</f>
        <v xml:space="preserve"> </v>
      </c>
      <c r="L1110" s="4" t="str">
        <f>IFERROR(VLOOKUP($C1110,Observaciones!$A:$B,2,FALSE)," ")</f>
        <v xml:space="preserve"> </v>
      </c>
      <c r="M1110" t="s">
        <v>681</v>
      </c>
      <c r="O1110" s="5">
        <v>30854798</v>
      </c>
      <c r="P1110" s="5">
        <v>145113</v>
      </c>
      <c r="Q1110" s="5">
        <v>27571</v>
      </c>
      <c r="R1110" s="5">
        <v>172684</v>
      </c>
    </row>
    <row r="1111" spans="1:18" x14ac:dyDescent="0.25">
      <c r="A1111" t="s">
        <v>3</v>
      </c>
      <c r="B1111" t="s">
        <v>494</v>
      </c>
      <c r="C1111">
        <v>74805100</v>
      </c>
      <c r="D1111">
        <v>9</v>
      </c>
      <c r="E1111">
        <v>30856081</v>
      </c>
      <c r="F1111" t="s">
        <v>1019</v>
      </c>
      <c r="G1111" s="1">
        <v>45236</v>
      </c>
      <c r="H1111">
        <v>5413551</v>
      </c>
      <c r="I1111">
        <v>23</v>
      </c>
      <c r="J1111" t="s">
        <v>174</v>
      </c>
      <c r="K1111" t="str">
        <f>IFERROR(IF(AND(VLOOKUP($C1111,Hes!$A:$B, 1, FALSE), $M1111&lt;&gt;" "), "Ingresada", "Falta Ingresar"), " ")</f>
        <v xml:space="preserve"> </v>
      </c>
      <c r="L1111" s="4" t="str">
        <f>IFERROR(VLOOKUP($C1111,Observaciones!$A:$B,2,FALSE)," ")</f>
        <v xml:space="preserve"> </v>
      </c>
      <c r="M1111" t="s">
        <v>681</v>
      </c>
      <c r="O1111" s="5">
        <v>30856081</v>
      </c>
      <c r="P1111" s="5">
        <v>32218</v>
      </c>
      <c r="Q1111" s="5">
        <v>6121</v>
      </c>
      <c r="R1111" s="5">
        <v>38339</v>
      </c>
    </row>
    <row r="1112" spans="1:18" x14ac:dyDescent="0.25">
      <c r="A1112" t="s">
        <v>3</v>
      </c>
      <c r="B1112" t="s">
        <v>494</v>
      </c>
      <c r="C1112">
        <v>74805100</v>
      </c>
      <c r="D1112">
        <v>13</v>
      </c>
      <c r="E1112">
        <v>30855849</v>
      </c>
      <c r="F1112" t="s">
        <v>1019</v>
      </c>
      <c r="G1112" s="1">
        <v>45236</v>
      </c>
      <c r="H1112">
        <v>5413572</v>
      </c>
      <c r="I1112">
        <v>23</v>
      </c>
      <c r="J1112" t="s">
        <v>174</v>
      </c>
      <c r="K1112" t="str">
        <f>IFERROR(IF(AND(VLOOKUP($C1112,Hes!$A:$B, 1, FALSE), $M1112&lt;&gt;" "), "Ingresada", "Falta Ingresar"), " ")</f>
        <v xml:space="preserve"> </v>
      </c>
      <c r="L1112" s="4" t="str">
        <f>IFERROR(VLOOKUP($C1112,Observaciones!$A:$B,2,FALSE)," ")</f>
        <v xml:space="preserve"> </v>
      </c>
      <c r="M1112" t="s">
        <v>681</v>
      </c>
      <c r="O1112" s="5">
        <v>30855849</v>
      </c>
      <c r="P1112" s="5">
        <v>336904</v>
      </c>
      <c r="Q1112" s="5">
        <v>64012</v>
      </c>
      <c r="R1112" s="5">
        <v>400916</v>
      </c>
    </row>
    <row r="1113" spans="1:18" x14ac:dyDescent="0.25">
      <c r="A1113" t="s">
        <v>3</v>
      </c>
      <c r="B1113" t="s">
        <v>494</v>
      </c>
      <c r="C1113">
        <v>74805100</v>
      </c>
      <c r="D1113">
        <v>1</v>
      </c>
      <c r="E1113">
        <v>30854370</v>
      </c>
      <c r="F1113" t="s">
        <v>1019</v>
      </c>
      <c r="G1113" s="1">
        <v>45236</v>
      </c>
      <c r="H1113">
        <v>5413589</v>
      </c>
      <c r="I1113">
        <v>23</v>
      </c>
      <c r="J1113" t="s">
        <v>174</v>
      </c>
      <c r="K1113" t="str">
        <f>IFERROR(IF(AND(VLOOKUP($C1113,Hes!$A:$B, 1, FALSE), $M1113&lt;&gt;" "), "Ingresada", "Falta Ingresar"), " ")</f>
        <v xml:space="preserve"> </v>
      </c>
      <c r="L1113" s="4" t="str">
        <f>IFERROR(VLOOKUP($C1113,Observaciones!$A:$B,2,FALSE)," ")</f>
        <v xml:space="preserve"> </v>
      </c>
      <c r="M1113" t="s">
        <v>681</v>
      </c>
      <c r="O1113" s="5">
        <v>30854370</v>
      </c>
      <c r="P1113" s="5">
        <v>71215</v>
      </c>
      <c r="Q1113" s="5">
        <v>13531</v>
      </c>
      <c r="R1113" s="5">
        <v>84746</v>
      </c>
    </row>
    <row r="1114" spans="1:18" x14ac:dyDescent="0.25">
      <c r="A1114" t="s">
        <v>3</v>
      </c>
      <c r="B1114" t="s">
        <v>494</v>
      </c>
      <c r="C1114">
        <v>74805100</v>
      </c>
      <c r="D1114">
        <v>9</v>
      </c>
      <c r="E1114">
        <v>30855968</v>
      </c>
      <c r="F1114" t="s">
        <v>1019</v>
      </c>
      <c r="G1114" s="1">
        <v>45236</v>
      </c>
      <c r="H1114">
        <v>5413594</v>
      </c>
      <c r="I1114">
        <v>23</v>
      </c>
      <c r="J1114" t="s">
        <v>174</v>
      </c>
      <c r="K1114" t="str">
        <f>IFERROR(IF(AND(VLOOKUP($C1114,Hes!$A:$B, 1, FALSE), $M1114&lt;&gt;" "), "Ingresada", "Falta Ingresar"), " ")</f>
        <v xml:space="preserve"> </v>
      </c>
      <c r="L1114" s="4" t="str">
        <f>IFERROR(VLOOKUP($C1114,Observaciones!$A:$B,2,FALSE)," ")</f>
        <v xml:space="preserve"> </v>
      </c>
      <c r="M1114" t="s">
        <v>681</v>
      </c>
      <c r="O1114" s="5">
        <v>30855968</v>
      </c>
      <c r="P1114" s="5">
        <v>118137</v>
      </c>
      <c r="Q1114" s="5">
        <v>22446</v>
      </c>
      <c r="R1114" s="5">
        <v>140583</v>
      </c>
    </row>
    <row r="1115" spans="1:18" x14ac:dyDescent="0.25">
      <c r="A1115" t="s">
        <v>3</v>
      </c>
      <c r="B1115" t="s">
        <v>494</v>
      </c>
      <c r="C1115">
        <v>74805100</v>
      </c>
      <c r="D1115">
        <v>1</v>
      </c>
      <c r="E1115">
        <v>30854290</v>
      </c>
      <c r="F1115" t="s">
        <v>1019</v>
      </c>
      <c r="G1115" s="1">
        <v>45236</v>
      </c>
      <c r="H1115">
        <v>5413630</v>
      </c>
      <c r="I1115">
        <v>23</v>
      </c>
      <c r="J1115" t="s">
        <v>174</v>
      </c>
      <c r="K1115" t="str">
        <f>IFERROR(IF(AND(VLOOKUP($C1115,Hes!$A:$B, 1, FALSE), $M1115&lt;&gt;" "), "Ingresada", "Falta Ingresar"), " ")</f>
        <v xml:space="preserve"> </v>
      </c>
      <c r="L1115" s="4" t="str">
        <f>IFERROR(VLOOKUP($C1115,Observaciones!$A:$B,2,FALSE)," ")</f>
        <v xml:space="preserve"> </v>
      </c>
      <c r="M1115" t="s">
        <v>681</v>
      </c>
      <c r="O1115" s="5">
        <v>30854290</v>
      </c>
      <c r="P1115" s="5">
        <v>181095</v>
      </c>
      <c r="Q1115" s="5">
        <v>34408</v>
      </c>
      <c r="R1115" s="5">
        <v>215503</v>
      </c>
    </row>
    <row r="1116" spans="1:18" x14ac:dyDescent="0.25">
      <c r="A1116" t="s">
        <v>3</v>
      </c>
      <c r="B1116" t="s">
        <v>494</v>
      </c>
      <c r="C1116">
        <v>74805100</v>
      </c>
      <c r="D1116">
        <v>7</v>
      </c>
      <c r="E1116">
        <v>30854100</v>
      </c>
      <c r="F1116" t="s">
        <v>1019</v>
      </c>
      <c r="G1116" s="1">
        <v>45236</v>
      </c>
      <c r="H1116">
        <v>5413691</v>
      </c>
      <c r="I1116">
        <v>23</v>
      </c>
      <c r="J1116" t="s">
        <v>174</v>
      </c>
      <c r="K1116" t="str">
        <f>IFERROR(IF(AND(VLOOKUP($C1116,Hes!$A:$B, 1, FALSE), $M1116&lt;&gt;" "), "Ingresada", "Falta Ingresar"), " ")</f>
        <v xml:space="preserve"> </v>
      </c>
      <c r="L1116" s="4" t="str">
        <f>IFERROR(VLOOKUP($C1116,Observaciones!$A:$B,2,FALSE)," ")</f>
        <v xml:space="preserve"> </v>
      </c>
      <c r="M1116" t="s">
        <v>681</v>
      </c>
      <c r="O1116" s="5">
        <v>30854100</v>
      </c>
      <c r="P1116" s="5">
        <v>430894</v>
      </c>
      <c r="Q1116" s="5">
        <v>81870</v>
      </c>
      <c r="R1116" s="5">
        <v>512764</v>
      </c>
    </row>
    <row r="1117" spans="1:18" x14ac:dyDescent="0.25">
      <c r="A1117" t="s">
        <v>3</v>
      </c>
      <c r="B1117" t="s">
        <v>494</v>
      </c>
      <c r="C1117">
        <v>74805100</v>
      </c>
      <c r="D1117">
        <v>1</v>
      </c>
      <c r="E1117">
        <v>30853485</v>
      </c>
      <c r="F1117" t="s">
        <v>1019</v>
      </c>
      <c r="G1117" s="1">
        <v>45236</v>
      </c>
      <c r="H1117">
        <v>5413885</v>
      </c>
      <c r="I1117">
        <v>23</v>
      </c>
      <c r="J1117" t="s">
        <v>174</v>
      </c>
      <c r="K1117" t="str">
        <f>IFERROR(IF(AND(VLOOKUP($C1117,Hes!$A:$B, 1, FALSE), $M1117&lt;&gt;" "), "Ingresada", "Falta Ingresar"), " ")</f>
        <v xml:space="preserve"> </v>
      </c>
      <c r="L1117" s="4" t="str">
        <f>IFERROR(VLOOKUP($C1117,Observaciones!$A:$B,2,FALSE)," ")</f>
        <v xml:space="preserve"> </v>
      </c>
      <c r="M1117" t="s">
        <v>681</v>
      </c>
      <c r="O1117" s="5">
        <v>30853485</v>
      </c>
      <c r="P1117" s="5">
        <v>486076</v>
      </c>
      <c r="Q1117" s="5">
        <v>92354</v>
      </c>
      <c r="R1117" s="5">
        <v>578430</v>
      </c>
    </row>
    <row r="1118" spans="1:18" x14ac:dyDescent="0.25">
      <c r="A1118" t="s">
        <v>3</v>
      </c>
      <c r="B1118" t="s">
        <v>494</v>
      </c>
      <c r="C1118">
        <v>74805100</v>
      </c>
      <c r="D1118">
        <v>3</v>
      </c>
      <c r="E1118">
        <v>30859195</v>
      </c>
      <c r="F1118" t="s">
        <v>1019</v>
      </c>
      <c r="G1118" s="1">
        <v>45237</v>
      </c>
      <c r="H1118">
        <v>5414250</v>
      </c>
      <c r="I1118">
        <v>23</v>
      </c>
      <c r="J1118" t="s">
        <v>174</v>
      </c>
      <c r="K1118" t="str">
        <f>IFERROR(IF(AND(VLOOKUP($C1118,Hes!$A:$B, 1, FALSE), $M1118&lt;&gt;" "), "Ingresada", "Falta Ingresar"), " ")</f>
        <v xml:space="preserve"> </v>
      </c>
      <c r="L1118" s="4" t="str">
        <f>IFERROR(VLOOKUP($C1118,Observaciones!$A:$B,2,FALSE)," ")</f>
        <v xml:space="preserve"> </v>
      </c>
      <c r="M1118" t="s">
        <v>681</v>
      </c>
      <c r="O1118" s="5">
        <v>30859195</v>
      </c>
      <c r="P1118" s="5">
        <v>59978</v>
      </c>
      <c r="Q1118" s="5">
        <v>11396</v>
      </c>
      <c r="R1118" s="5">
        <v>71374</v>
      </c>
    </row>
    <row r="1119" spans="1:18" x14ac:dyDescent="0.25">
      <c r="A1119" t="s">
        <v>3</v>
      </c>
      <c r="B1119" t="s">
        <v>494</v>
      </c>
      <c r="C1119">
        <v>74805100</v>
      </c>
      <c r="D1119">
        <v>2</v>
      </c>
      <c r="E1119">
        <v>30860355</v>
      </c>
      <c r="F1119" t="s">
        <v>1019</v>
      </c>
      <c r="G1119" s="1">
        <v>45237</v>
      </c>
      <c r="H1119">
        <v>5414359</v>
      </c>
      <c r="I1119">
        <v>23</v>
      </c>
      <c r="J1119" t="s">
        <v>174</v>
      </c>
      <c r="K1119" t="str">
        <f>IFERROR(IF(AND(VLOOKUP($C1119,Hes!$A:$B, 1, FALSE), $M1119&lt;&gt;" "), "Ingresada", "Falta Ingresar"), " ")</f>
        <v xml:space="preserve"> </v>
      </c>
      <c r="L1119" s="4" t="str">
        <f>IFERROR(VLOOKUP($C1119,Observaciones!$A:$B,2,FALSE)," ")</f>
        <v xml:space="preserve"> </v>
      </c>
      <c r="M1119" t="s">
        <v>681</v>
      </c>
      <c r="O1119" s="5">
        <v>30860355</v>
      </c>
      <c r="P1119" s="5">
        <v>80820</v>
      </c>
      <c r="Q1119" s="5">
        <v>15356</v>
      </c>
      <c r="R1119" s="5">
        <v>96176</v>
      </c>
    </row>
    <row r="1120" spans="1:18" x14ac:dyDescent="0.25">
      <c r="A1120" t="s">
        <v>3</v>
      </c>
      <c r="B1120" t="s">
        <v>494</v>
      </c>
      <c r="C1120">
        <v>74805100</v>
      </c>
      <c r="D1120">
        <v>4</v>
      </c>
      <c r="E1120">
        <v>30861827</v>
      </c>
      <c r="F1120" t="s">
        <v>1019</v>
      </c>
      <c r="G1120" s="1">
        <v>45238</v>
      </c>
      <c r="H1120">
        <v>5415089</v>
      </c>
      <c r="I1120">
        <v>23</v>
      </c>
      <c r="J1120" t="s">
        <v>174</v>
      </c>
      <c r="K1120" t="str">
        <f>IFERROR(IF(AND(VLOOKUP($C1120,Hes!$A:$B, 1, FALSE), $M1120&lt;&gt;" "), "Ingresada", "Falta Ingresar"), " ")</f>
        <v xml:space="preserve"> </v>
      </c>
      <c r="L1120" s="4" t="str">
        <f>IFERROR(VLOOKUP($C1120,Observaciones!$A:$B,2,FALSE)," ")</f>
        <v xml:space="preserve"> </v>
      </c>
      <c r="M1120" t="s">
        <v>681</v>
      </c>
      <c r="O1120" s="5">
        <v>30861827</v>
      </c>
      <c r="P1120" s="5">
        <v>660627</v>
      </c>
      <c r="Q1120" s="5">
        <v>125519</v>
      </c>
      <c r="R1120" s="5">
        <v>786146</v>
      </c>
    </row>
    <row r="1121" spans="1:18" x14ac:dyDescent="0.25">
      <c r="A1121" t="s">
        <v>3</v>
      </c>
      <c r="B1121" t="s">
        <v>494</v>
      </c>
      <c r="C1121">
        <v>74805100</v>
      </c>
      <c r="D1121">
        <v>3</v>
      </c>
      <c r="E1121">
        <v>15219</v>
      </c>
      <c r="F1121" t="s">
        <v>1019</v>
      </c>
      <c r="G1121" s="1">
        <v>45238</v>
      </c>
      <c r="H1121">
        <v>5415202</v>
      </c>
      <c r="I1121">
        <v>23</v>
      </c>
      <c r="J1121" t="s">
        <v>174</v>
      </c>
      <c r="K1121" t="str">
        <f>IFERROR(IF(AND(VLOOKUP($C1121,Hes!$A:$B, 1, FALSE), $M1121&lt;&gt;" "), "Ingresada", "Falta Ingresar"), " ")</f>
        <v xml:space="preserve"> </v>
      </c>
      <c r="L1121" s="4" t="str">
        <f>IFERROR(VLOOKUP($C1121,Observaciones!$A:$B,2,FALSE)," ")</f>
        <v xml:space="preserve"> </v>
      </c>
      <c r="M1121" t="s">
        <v>681</v>
      </c>
      <c r="O1121" s="5">
        <v>30859049</v>
      </c>
      <c r="P1121" s="5">
        <v>177440</v>
      </c>
      <c r="Q1121" s="5">
        <v>33714</v>
      </c>
      <c r="R1121" s="5">
        <v>211154</v>
      </c>
    </row>
    <row r="1122" spans="1:18" x14ac:dyDescent="0.25">
      <c r="A1122" t="s">
        <v>3</v>
      </c>
      <c r="B1122" t="s">
        <v>494</v>
      </c>
      <c r="C1122">
        <v>74805100</v>
      </c>
      <c r="D1122">
        <v>1</v>
      </c>
      <c r="E1122">
        <v>30861863</v>
      </c>
      <c r="F1122" t="s">
        <v>1019</v>
      </c>
      <c r="G1122" s="1">
        <v>45237</v>
      </c>
      <c r="H1122">
        <v>5415273</v>
      </c>
      <c r="I1122">
        <v>23</v>
      </c>
      <c r="J1122" t="s">
        <v>174</v>
      </c>
      <c r="K1122" t="str">
        <f>IFERROR(IF(AND(VLOOKUP($C1122,Hes!$A:$B, 1, FALSE), $M1122&lt;&gt;" "), "Ingresada", "Falta Ingresar"), " ")</f>
        <v xml:space="preserve"> </v>
      </c>
      <c r="L1122" s="4" t="str">
        <f>IFERROR(VLOOKUP($C1122,Observaciones!$A:$B,2,FALSE)," ")</f>
        <v xml:space="preserve"> </v>
      </c>
      <c r="M1122" t="s">
        <v>681</v>
      </c>
      <c r="O1122" s="5">
        <v>30861863</v>
      </c>
      <c r="P1122" s="5">
        <v>43140</v>
      </c>
      <c r="Q1122" s="5">
        <v>8197</v>
      </c>
      <c r="R1122" s="5">
        <v>51337</v>
      </c>
    </row>
    <row r="1123" spans="1:18" x14ac:dyDescent="0.25">
      <c r="A1123" t="s">
        <v>3</v>
      </c>
      <c r="B1123" t="s">
        <v>494</v>
      </c>
      <c r="C1123">
        <v>74805100</v>
      </c>
      <c r="D1123">
        <v>3</v>
      </c>
      <c r="E1123">
        <v>30866008</v>
      </c>
      <c r="F1123" t="s">
        <v>1019</v>
      </c>
      <c r="G1123" s="1">
        <v>45238</v>
      </c>
      <c r="H1123">
        <v>5415800</v>
      </c>
      <c r="I1123">
        <v>23</v>
      </c>
      <c r="J1123" t="s">
        <v>174</v>
      </c>
      <c r="K1123" t="str">
        <f>IFERROR(IF(AND(VLOOKUP($C1123,Hes!$A:$B, 1, FALSE), $M1123&lt;&gt;" "), "Ingresada", "Falta Ingresar"), " ")</f>
        <v xml:space="preserve"> </v>
      </c>
      <c r="L1123" s="4" t="str">
        <f>IFERROR(VLOOKUP($C1123,Observaciones!$A:$B,2,FALSE)," ")</f>
        <v xml:space="preserve"> </v>
      </c>
      <c r="M1123" t="s">
        <v>681</v>
      </c>
      <c r="O1123" s="5">
        <v>30866008</v>
      </c>
      <c r="P1123" s="5">
        <v>41664</v>
      </c>
      <c r="Q1123" s="5">
        <v>7916</v>
      </c>
      <c r="R1123" s="5">
        <v>49580</v>
      </c>
    </row>
    <row r="1124" spans="1:18" x14ac:dyDescent="0.25">
      <c r="F1124" t="s">
        <v>1020</v>
      </c>
      <c r="K1124" t="str">
        <f>IFERROR(IF(AND(VLOOKUP($C1124,Hes!$A:$B, 1, FALSE), $M1124&lt;&gt;" "), "Ingresada", "Falta Ingresar"), " ")</f>
        <v xml:space="preserve"> </v>
      </c>
      <c r="L1124" s="4" t="str">
        <f>IFERROR(VLOOKUP($C1124,Observaciones!$A:$B,2,FALSE)," ")</f>
        <v xml:space="preserve"> </v>
      </c>
      <c r="M1124" t="s">
        <v>681</v>
      </c>
      <c r="P1124" s="5">
        <v>4806912</v>
      </c>
      <c r="Q1124" s="5">
        <v>913315</v>
      </c>
      <c r="R1124" s="5">
        <v>5720227</v>
      </c>
    </row>
    <row r="1125" spans="1:18" x14ac:dyDescent="0.25">
      <c r="A1125" t="s">
        <v>503</v>
      </c>
      <c r="B1125" t="s">
        <v>494</v>
      </c>
      <c r="C1125">
        <v>75764900</v>
      </c>
      <c r="D1125">
        <v>6</v>
      </c>
      <c r="E1125" t="s">
        <v>1021</v>
      </c>
      <c r="F1125" t="s">
        <v>1022</v>
      </c>
      <c r="G1125" s="1">
        <v>45236</v>
      </c>
      <c r="H1125">
        <v>5412188</v>
      </c>
      <c r="I1125">
        <v>63</v>
      </c>
      <c r="J1125" t="s">
        <v>170</v>
      </c>
      <c r="K1125" s="8" t="str">
        <f>IFERROR(IF(AND(VLOOKUP($C1125,Hes!$A:$B, 1, FALSE), $M1125&lt;&gt;" "), "Ingresada", "Falta Ingresar"), " ")</f>
        <v>Falta Ingresar</v>
      </c>
      <c r="L1125" s="4" t="str">
        <f>IFERROR(VLOOKUP($C1125,Observaciones!$A:$B,2,FALSE)," ")</f>
        <v xml:space="preserve"> </v>
      </c>
      <c r="M1125" t="s">
        <v>681</v>
      </c>
      <c r="N1125" s="5" t="s">
        <v>841</v>
      </c>
      <c r="O1125" s="5">
        <v>30841966</v>
      </c>
      <c r="P1125" s="5">
        <v>198400</v>
      </c>
      <c r="Q1125" s="5">
        <v>37696</v>
      </c>
      <c r="R1125" s="5">
        <v>236096</v>
      </c>
    </row>
    <row r="1126" spans="1:18" x14ac:dyDescent="0.25">
      <c r="A1126" t="s">
        <v>503</v>
      </c>
      <c r="B1126" t="s">
        <v>494</v>
      </c>
      <c r="C1126">
        <v>75764900</v>
      </c>
      <c r="D1126">
        <v>3</v>
      </c>
      <c r="E1126" t="s">
        <v>1023</v>
      </c>
      <c r="F1126" t="s">
        <v>1022</v>
      </c>
      <c r="G1126" s="1">
        <v>45236</v>
      </c>
      <c r="H1126">
        <v>5412937</v>
      </c>
      <c r="I1126">
        <v>63</v>
      </c>
      <c r="J1126" t="s">
        <v>170</v>
      </c>
      <c r="K1126" s="8" t="str">
        <f>IFERROR(IF(AND(VLOOKUP($C1126,Hes!$A:$B, 1, FALSE), $M1126&lt;&gt;" "), "Ingresada", "Falta Ingresar"), " ")</f>
        <v>Falta Ingresar</v>
      </c>
      <c r="L1126" s="4" t="str">
        <f>IFERROR(VLOOKUP($C1126,Observaciones!$A:$B,2,FALSE)," ")</f>
        <v xml:space="preserve"> </v>
      </c>
      <c r="M1126" t="s">
        <v>681</v>
      </c>
      <c r="N1126" s="5" t="s">
        <v>841</v>
      </c>
      <c r="O1126" s="5">
        <v>30854858</v>
      </c>
      <c r="P1126" s="5">
        <v>859004</v>
      </c>
      <c r="Q1126" s="5">
        <v>163211</v>
      </c>
      <c r="R1126" s="5">
        <v>1022215</v>
      </c>
    </row>
    <row r="1127" spans="1:18" x14ac:dyDescent="0.25">
      <c r="F1127" t="s">
        <v>497</v>
      </c>
      <c r="K1127" t="str">
        <f>IFERROR(IF(AND(VLOOKUP($C1127,Hes!$A:$B, 1, FALSE), $M1127&lt;&gt;" "), "Ingresada", "Falta Ingresar"), " ")</f>
        <v xml:space="preserve"> </v>
      </c>
      <c r="L1127" s="4" t="str">
        <f>IFERROR(VLOOKUP($C1127,Observaciones!$A:$B,2,FALSE)," ")</f>
        <v xml:space="preserve"> </v>
      </c>
      <c r="M1127" t="s">
        <v>681</v>
      </c>
      <c r="P1127" s="5">
        <v>1057404</v>
      </c>
      <c r="Q1127" s="5">
        <v>200907</v>
      </c>
      <c r="R1127" s="5">
        <v>1258311</v>
      </c>
    </row>
    <row r="1128" spans="1:18" x14ac:dyDescent="0.25">
      <c r="A1128" t="s">
        <v>1024</v>
      </c>
      <c r="B1128" t="s">
        <v>494</v>
      </c>
      <c r="C1128">
        <v>76000739</v>
      </c>
      <c r="D1128">
        <v>94</v>
      </c>
      <c r="E1128">
        <v>30852335</v>
      </c>
      <c r="F1128" t="s">
        <v>1025</v>
      </c>
      <c r="G1128" s="1">
        <v>45236</v>
      </c>
      <c r="H1128">
        <v>5412554</v>
      </c>
      <c r="I1128">
        <v>81</v>
      </c>
      <c r="J1128" t="s">
        <v>144</v>
      </c>
      <c r="K1128" s="8" t="str">
        <f>IFERROR(IF(AND(VLOOKUP($C1128,Hes!$A:$B, 1, FALSE), $M1128&lt;&gt;" "), "Ingresada", "Falta Ingresar"), " ")</f>
        <v>Falta Ingresar</v>
      </c>
      <c r="L1128" s="4" t="str">
        <f>IFERROR(VLOOKUP($C1128,Observaciones!$A:$B,2,FALSE)," ")</f>
        <v>VEND DEBE ENVIAR INF XOC</v>
      </c>
      <c r="M1128" t="s">
        <v>681</v>
      </c>
      <c r="N1128" s="5" t="s">
        <v>841</v>
      </c>
      <c r="O1128" s="5">
        <v>30852335</v>
      </c>
      <c r="P1128" s="5">
        <v>32417</v>
      </c>
      <c r="Q1128" s="5">
        <v>6159</v>
      </c>
      <c r="R1128" s="5">
        <v>38576</v>
      </c>
    </row>
    <row r="1129" spans="1:18" x14ac:dyDescent="0.25">
      <c r="A1129" t="s">
        <v>1024</v>
      </c>
      <c r="B1129" t="s">
        <v>494</v>
      </c>
      <c r="C1129">
        <v>76000739</v>
      </c>
      <c r="D1129">
        <v>14</v>
      </c>
      <c r="E1129">
        <v>30852876</v>
      </c>
      <c r="F1129" t="s">
        <v>1025</v>
      </c>
      <c r="G1129" s="1">
        <v>45236</v>
      </c>
      <c r="H1129">
        <v>5412841</v>
      </c>
      <c r="I1129">
        <v>81</v>
      </c>
      <c r="J1129" t="s">
        <v>144</v>
      </c>
      <c r="K1129" s="8" t="str">
        <f>IFERROR(IF(AND(VLOOKUP($C1129,Hes!$A:$B, 1, FALSE), $M1129&lt;&gt;" "), "Ingresada", "Falta Ingresar"), " ")</f>
        <v>Falta Ingresar</v>
      </c>
      <c r="L1129" s="4" t="str">
        <f>IFERROR(VLOOKUP($C1129,Observaciones!$A:$B,2,FALSE)," ")</f>
        <v>VEND DEBE ENVIAR INF XOC</v>
      </c>
      <c r="M1129" t="s">
        <v>681</v>
      </c>
      <c r="N1129" s="5" t="s">
        <v>841</v>
      </c>
      <c r="O1129" s="5">
        <v>30852876</v>
      </c>
      <c r="P1129" s="5">
        <v>38795</v>
      </c>
      <c r="Q1129" s="5">
        <v>7371</v>
      </c>
      <c r="R1129" s="5">
        <v>46166</v>
      </c>
    </row>
    <row r="1130" spans="1:18" x14ac:dyDescent="0.25">
      <c r="A1130" t="s">
        <v>1024</v>
      </c>
      <c r="B1130" t="s">
        <v>494</v>
      </c>
      <c r="C1130">
        <v>76000739</v>
      </c>
      <c r="D1130">
        <v>14</v>
      </c>
      <c r="E1130">
        <v>30852871</v>
      </c>
      <c r="F1130" t="s">
        <v>1025</v>
      </c>
      <c r="G1130" s="1">
        <v>45236</v>
      </c>
      <c r="H1130">
        <v>5412844</v>
      </c>
      <c r="I1130">
        <v>81</v>
      </c>
      <c r="J1130" t="s">
        <v>144</v>
      </c>
      <c r="K1130" s="8" t="str">
        <f>IFERROR(IF(AND(VLOOKUP($C1130,Hes!$A:$B, 1, FALSE), $M1130&lt;&gt;" "), "Ingresada", "Falta Ingresar"), " ")</f>
        <v>Falta Ingresar</v>
      </c>
      <c r="L1130" s="4" t="str">
        <f>IFERROR(VLOOKUP($C1130,Observaciones!$A:$B,2,FALSE)," ")</f>
        <v>VEND DEBE ENVIAR INF XOC</v>
      </c>
      <c r="M1130" t="s">
        <v>681</v>
      </c>
      <c r="N1130" s="5" t="s">
        <v>841</v>
      </c>
      <c r="O1130" s="5">
        <v>30852871</v>
      </c>
      <c r="P1130" s="5">
        <v>20061</v>
      </c>
      <c r="Q1130" s="5">
        <v>3812</v>
      </c>
      <c r="R1130" s="5">
        <v>23873</v>
      </c>
    </row>
    <row r="1131" spans="1:18" x14ac:dyDescent="0.25">
      <c r="A1131" t="s">
        <v>1024</v>
      </c>
      <c r="B1131" t="s">
        <v>494</v>
      </c>
      <c r="C1131">
        <v>76000739</v>
      </c>
      <c r="D1131">
        <v>95</v>
      </c>
      <c r="E1131">
        <v>30852354</v>
      </c>
      <c r="F1131" t="s">
        <v>1025</v>
      </c>
      <c r="G1131" s="1">
        <v>45236</v>
      </c>
      <c r="H1131">
        <v>5413410</v>
      </c>
      <c r="I1131">
        <v>81</v>
      </c>
      <c r="J1131" t="s">
        <v>144</v>
      </c>
      <c r="K1131" s="8" t="str">
        <f>IFERROR(IF(AND(VLOOKUP($C1131,Hes!$A:$B, 1, FALSE), $M1131&lt;&gt;" "), "Ingresada", "Falta Ingresar"), " ")</f>
        <v>Falta Ingresar</v>
      </c>
      <c r="L1131" s="4" t="str">
        <f>IFERROR(VLOOKUP($C1131,Observaciones!$A:$B,2,FALSE)," ")</f>
        <v>VEND DEBE ENVIAR INF XOC</v>
      </c>
      <c r="M1131" t="s">
        <v>681</v>
      </c>
      <c r="N1131" s="5" t="s">
        <v>841</v>
      </c>
      <c r="O1131" s="5">
        <v>30852354</v>
      </c>
      <c r="P1131" s="5">
        <v>46960</v>
      </c>
      <c r="Q1131" s="5">
        <v>8922</v>
      </c>
      <c r="R1131" s="5">
        <v>55882</v>
      </c>
    </row>
    <row r="1132" spans="1:18" x14ac:dyDescent="0.25">
      <c r="A1132" t="s">
        <v>1024</v>
      </c>
      <c r="B1132" t="s">
        <v>494</v>
      </c>
      <c r="C1132">
        <v>76000739</v>
      </c>
      <c r="D1132">
        <v>21</v>
      </c>
      <c r="E1132">
        <v>30857866</v>
      </c>
      <c r="F1132" t="s">
        <v>1025</v>
      </c>
      <c r="G1132" s="1">
        <v>45236</v>
      </c>
      <c r="H1132">
        <v>5413647</v>
      </c>
      <c r="I1132">
        <v>81</v>
      </c>
      <c r="J1132" t="s">
        <v>144</v>
      </c>
      <c r="K1132" s="8" t="str">
        <f>IFERROR(IF(AND(VLOOKUP($C1132,Hes!$A:$B, 1, FALSE), $M1132&lt;&gt;" "), "Ingresada", "Falta Ingresar"), " ")</f>
        <v>Falta Ingresar</v>
      </c>
      <c r="L1132" s="4" t="str">
        <f>IFERROR(VLOOKUP($C1132,Observaciones!$A:$B,2,FALSE)," ")</f>
        <v>VEND DEBE ENVIAR INF XOC</v>
      </c>
      <c r="M1132" t="s">
        <v>681</v>
      </c>
      <c r="N1132" s="5" t="s">
        <v>841</v>
      </c>
      <c r="O1132" s="5">
        <v>30857866</v>
      </c>
      <c r="P1132" s="5">
        <v>82064</v>
      </c>
      <c r="Q1132" s="5">
        <v>15592</v>
      </c>
      <c r="R1132" s="5">
        <v>97656</v>
      </c>
    </row>
    <row r="1133" spans="1:18" x14ac:dyDescent="0.25">
      <c r="A1133" t="s">
        <v>1024</v>
      </c>
      <c r="B1133" t="s">
        <v>494</v>
      </c>
      <c r="C1133">
        <v>76000739</v>
      </c>
      <c r="D1133">
        <v>44</v>
      </c>
      <c r="E1133">
        <v>30858782</v>
      </c>
      <c r="F1133" t="s">
        <v>1025</v>
      </c>
      <c r="G1133" s="1">
        <v>45237</v>
      </c>
      <c r="H1133">
        <v>5414036</v>
      </c>
      <c r="I1133">
        <v>81</v>
      </c>
      <c r="J1133" t="s">
        <v>144</v>
      </c>
      <c r="K1133" s="8" t="str">
        <f>IFERROR(IF(AND(VLOOKUP($C1133,Hes!$A:$B, 1, FALSE), $M1133&lt;&gt;" "), "Ingresada", "Falta Ingresar"), " ")</f>
        <v>Falta Ingresar</v>
      </c>
      <c r="L1133" s="4" t="str">
        <f>IFERROR(VLOOKUP($C1133,Observaciones!$A:$B,2,FALSE)," ")</f>
        <v>VEND DEBE ENVIAR INF XOC</v>
      </c>
      <c r="M1133" t="s">
        <v>681</v>
      </c>
      <c r="N1133" s="5" t="s">
        <v>841</v>
      </c>
      <c r="O1133" s="5">
        <v>30858782</v>
      </c>
      <c r="P1133" s="5">
        <v>29533</v>
      </c>
      <c r="Q1133" s="5">
        <v>5611</v>
      </c>
      <c r="R1133" s="5">
        <v>35144</v>
      </c>
    </row>
    <row r="1134" spans="1:18" x14ac:dyDescent="0.25">
      <c r="A1134" t="s">
        <v>1024</v>
      </c>
      <c r="B1134" t="s">
        <v>494</v>
      </c>
      <c r="C1134">
        <v>76000739</v>
      </c>
      <c r="D1134">
        <v>52</v>
      </c>
      <c r="E1134">
        <v>30861494</v>
      </c>
      <c r="F1134" t="s">
        <v>1025</v>
      </c>
      <c r="G1134" s="1">
        <v>45238</v>
      </c>
      <c r="H1134">
        <v>5414528</v>
      </c>
      <c r="I1134">
        <v>81</v>
      </c>
      <c r="J1134" t="s">
        <v>144</v>
      </c>
      <c r="K1134" s="8" t="str">
        <f>IFERROR(IF(AND(VLOOKUP($C1134,Hes!$A:$B, 1, FALSE), $M1134&lt;&gt;" "), "Ingresada", "Falta Ingresar"), " ")</f>
        <v>Falta Ingresar</v>
      </c>
      <c r="L1134" s="4" t="str">
        <f>IFERROR(VLOOKUP($C1134,Observaciones!$A:$B,2,FALSE)," ")</f>
        <v>VEND DEBE ENVIAR INF XOC</v>
      </c>
      <c r="M1134" t="s">
        <v>681</v>
      </c>
      <c r="N1134" s="5" t="s">
        <v>841</v>
      </c>
      <c r="O1134" s="5">
        <v>30861494</v>
      </c>
      <c r="P1134" s="5">
        <v>77767</v>
      </c>
      <c r="Q1134" s="5">
        <v>14776</v>
      </c>
      <c r="R1134" s="5">
        <v>92543</v>
      </c>
    </row>
    <row r="1135" spans="1:18" x14ac:dyDescent="0.25">
      <c r="A1135" t="s">
        <v>1024</v>
      </c>
      <c r="B1135" t="s">
        <v>494</v>
      </c>
      <c r="C1135">
        <v>76000739</v>
      </c>
      <c r="D1135">
        <v>62</v>
      </c>
      <c r="E1135">
        <v>30863062</v>
      </c>
      <c r="F1135" t="s">
        <v>1025</v>
      </c>
      <c r="G1135" s="1">
        <v>45238</v>
      </c>
      <c r="H1135">
        <v>5415241</v>
      </c>
      <c r="I1135">
        <v>81</v>
      </c>
      <c r="J1135" t="s">
        <v>144</v>
      </c>
      <c r="K1135" s="8" t="str">
        <f>IFERROR(IF(AND(VLOOKUP($C1135,Hes!$A:$B, 1, FALSE), $M1135&lt;&gt;" "), "Ingresada", "Falta Ingresar"), " ")</f>
        <v>Falta Ingresar</v>
      </c>
      <c r="L1135" s="4" t="str">
        <f>IFERROR(VLOOKUP($C1135,Observaciones!$A:$B,2,FALSE)," ")</f>
        <v>VEND DEBE ENVIAR INF XOC</v>
      </c>
      <c r="M1135" t="s">
        <v>681</v>
      </c>
      <c r="N1135" s="5" t="s">
        <v>841</v>
      </c>
      <c r="O1135" s="5">
        <v>30863062</v>
      </c>
      <c r="P1135" s="5">
        <v>47321</v>
      </c>
      <c r="Q1135" s="5">
        <v>8991</v>
      </c>
      <c r="R1135" s="5">
        <v>56312</v>
      </c>
    </row>
    <row r="1136" spans="1:18" x14ac:dyDescent="0.25">
      <c r="A1136" t="s">
        <v>1024</v>
      </c>
      <c r="B1136" t="s">
        <v>494</v>
      </c>
      <c r="C1136">
        <v>76000739</v>
      </c>
      <c r="D1136">
        <v>33</v>
      </c>
      <c r="E1136">
        <v>30865764</v>
      </c>
      <c r="F1136" t="s">
        <v>1025</v>
      </c>
      <c r="G1136" s="1">
        <v>45238</v>
      </c>
      <c r="H1136">
        <v>5415771</v>
      </c>
      <c r="I1136">
        <v>81</v>
      </c>
      <c r="J1136" t="s">
        <v>144</v>
      </c>
      <c r="K1136" s="8" t="str">
        <f>IFERROR(IF(AND(VLOOKUP($C1136,Hes!$A:$B, 1, FALSE), $M1136&lt;&gt;" "), "Ingresada", "Falta Ingresar"), " ")</f>
        <v>Falta Ingresar</v>
      </c>
      <c r="L1136" s="4" t="str">
        <f>IFERROR(VLOOKUP($C1136,Observaciones!$A:$B,2,FALSE)," ")</f>
        <v>VEND DEBE ENVIAR INF XOC</v>
      </c>
      <c r="M1136" t="s">
        <v>681</v>
      </c>
      <c r="N1136" s="5" t="s">
        <v>841</v>
      </c>
      <c r="O1136" s="5">
        <v>30865764</v>
      </c>
      <c r="P1136" s="5">
        <v>99922</v>
      </c>
      <c r="Q1136" s="5">
        <v>18985</v>
      </c>
      <c r="R1136" s="5">
        <v>118907</v>
      </c>
    </row>
    <row r="1137" spans="1:18" x14ac:dyDescent="0.25">
      <c r="F1137" t="s">
        <v>514</v>
      </c>
      <c r="K1137" t="str">
        <f>IFERROR(IF(AND(VLOOKUP($C1137,Hes!$A:$B, 1, FALSE), $M1137&lt;&gt;" "), "Ingresada", "Falta Ingresar"), " ")</f>
        <v xml:space="preserve"> </v>
      </c>
      <c r="L1137" s="4" t="str">
        <f>IFERROR(VLOOKUP($C1137,Observaciones!$A:$B,2,FALSE)," ")</f>
        <v xml:space="preserve"> </v>
      </c>
      <c r="M1137" t="s">
        <v>681</v>
      </c>
      <c r="P1137" s="5">
        <v>474840</v>
      </c>
      <c r="Q1137" s="5">
        <v>90219</v>
      </c>
      <c r="R1137" s="5">
        <v>565059</v>
      </c>
    </row>
    <row r="1138" spans="1:18" x14ac:dyDescent="0.25">
      <c r="A1138" t="s">
        <v>503</v>
      </c>
      <c r="B1138" t="s">
        <v>494</v>
      </c>
      <c r="C1138">
        <v>76005001</v>
      </c>
      <c r="D1138">
        <v>10</v>
      </c>
      <c r="E1138">
        <v>4501062645</v>
      </c>
      <c r="F1138" t="s">
        <v>1026</v>
      </c>
      <c r="G1138" s="1">
        <v>45236</v>
      </c>
      <c r="H1138">
        <v>5413581</v>
      </c>
      <c r="I1138">
        <v>129</v>
      </c>
      <c r="J1138" t="s">
        <v>414</v>
      </c>
      <c r="K1138" t="str">
        <f>IFERROR(IF(AND(VLOOKUP($C1138,Hes!$A:$B, 1, FALSE), $M1138&lt;&gt;" "), "Ingresada", "Falta Ingresar"), " ")</f>
        <v xml:space="preserve"> </v>
      </c>
      <c r="L1138" s="4" t="s">
        <v>681</v>
      </c>
      <c r="M1138" t="s">
        <v>681</v>
      </c>
      <c r="O1138" s="5">
        <v>30822697</v>
      </c>
      <c r="P1138" s="5">
        <v>329984</v>
      </c>
      <c r="Q1138" s="5">
        <v>62697</v>
      </c>
      <c r="R1138" s="5">
        <v>392681</v>
      </c>
    </row>
    <row r="1139" spans="1:18" x14ac:dyDescent="0.25">
      <c r="F1139" t="s">
        <v>495</v>
      </c>
      <c r="K1139" t="str">
        <f>IFERROR(IF(AND(VLOOKUP($C1139,Hes!$A:$B, 1, FALSE), $M1139&lt;&gt;" "), "Ingresada", "Falta Ingresar"), " ")</f>
        <v xml:space="preserve"> </v>
      </c>
      <c r="L1139" s="4" t="str">
        <f>IFERROR(VLOOKUP($C1139,Observaciones!$A:$B,2,FALSE)," ")</f>
        <v xml:space="preserve"> </v>
      </c>
      <c r="M1139" t="s">
        <v>681</v>
      </c>
      <c r="P1139" s="5">
        <v>329984</v>
      </c>
      <c r="Q1139" s="5">
        <v>62697</v>
      </c>
      <c r="R1139" s="5">
        <v>392681</v>
      </c>
    </row>
    <row r="1140" spans="1:18" x14ac:dyDescent="0.25">
      <c r="A1140" t="s">
        <v>512</v>
      </c>
      <c r="B1140" t="s">
        <v>494</v>
      </c>
      <c r="C1140">
        <v>76005843</v>
      </c>
      <c r="D1140">
        <v>2</v>
      </c>
      <c r="E1140">
        <v>30859456</v>
      </c>
      <c r="F1140" t="s">
        <v>529</v>
      </c>
      <c r="G1140" s="1">
        <v>45237</v>
      </c>
      <c r="H1140">
        <v>5414290</v>
      </c>
      <c r="I1140">
        <v>181</v>
      </c>
      <c r="J1140" t="s">
        <v>206</v>
      </c>
      <c r="K1140" t="str">
        <f>IFERROR(IF(AND(VLOOKUP($C1140,Hes!$A:$B, 1, FALSE), $M1140&lt;&gt;" "), "Ingresada", "Falta Ingresar"), " ")</f>
        <v xml:space="preserve"> </v>
      </c>
      <c r="L1140" s="4" t="str">
        <f>IFERROR(VLOOKUP($C1140,Observaciones!$A:$B,2,FALSE)," ")</f>
        <v xml:space="preserve"> </v>
      </c>
      <c r="M1140" t="s">
        <v>681</v>
      </c>
      <c r="O1140" s="5">
        <v>30859456</v>
      </c>
      <c r="P1140" s="5">
        <v>121565</v>
      </c>
      <c r="Q1140" s="5">
        <v>23097</v>
      </c>
      <c r="R1140" s="5">
        <v>144662</v>
      </c>
    </row>
    <row r="1141" spans="1:18" x14ac:dyDescent="0.25">
      <c r="A1141" t="s">
        <v>512</v>
      </c>
      <c r="B1141" t="s">
        <v>494</v>
      </c>
      <c r="C1141">
        <v>76005843</v>
      </c>
      <c r="D1141">
        <v>2</v>
      </c>
      <c r="E1141">
        <v>30860022</v>
      </c>
      <c r="F1141" t="s">
        <v>529</v>
      </c>
      <c r="G1141" s="1">
        <v>45237</v>
      </c>
      <c r="H1141">
        <v>5414353</v>
      </c>
      <c r="I1141">
        <v>181</v>
      </c>
      <c r="J1141" t="s">
        <v>206</v>
      </c>
      <c r="K1141" t="str">
        <f>IFERROR(IF(AND(VLOOKUP($C1141,Hes!$A:$B, 1, FALSE), $M1141&lt;&gt;" "), "Ingresada", "Falta Ingresar"), " ")</f>
        <v xml:space="preserve"> </v>
      </c>
      <c r="L1141" s="4" t="str">
        <f>IFERROR(VLOOKUP($C1141,Observaciones!$A:$B,2,FALSE)," ")</f>
        <v xml:space="preserve"> </v>
      </c>
      <c r="M1141" t="s">
        <v>681</v>
      </c>
      <c r="O1141" s="5">
        <v>30860022</v>
      </c>
      <c r="P1141" s="5">
        <v>285894</v>
      </c>
      <c r="Q1141" s="5">
        <v>54320</v>
      </c>
      <c r="R1141" s="5">
        <v>340214</v>
      </c>
    </row>
    <row r="1142" spans="1:18" x14ac:dyDescent="0.25">
      <c r="A1142" t="s">
        <v>512</v>
      </c>
      <c r="B1142" t="s">
        <v>494</v>
      </c>
      <c r="C1142">
        <v>76005843</v>
      </c>
      <c r="D1142">
        <v>2</v>
      </c>
      <c r="E1142">
        <v>30860022</v>
      </c>
      <c r="F1142" t="s">
        <v>529</v>
      </c>
      <c r="G1142" s="1">
        <v>45237</v>
      </c>
      <c r="H1142">
        <v>5414354</v>
      </c>
      <c r="I1142">
        <v>181</v>
      </c>
      <c r="J1142" t="s">
        <v>206</v>
      </c>
      <c r="K1142" t="str">
        <f>IFERROR(IF(AND(VLOOKUP($C1142,Hes!$A:$B, 1, FALSE), $M1142&lt;&gt;" "), "Ingresada", "Falta Ingresar"), " ")</f>
        <v xml:space="preserve"> </v>
      </c>
      <c r="L1142" s="4" t="str">
        <f>IFERROR(VLOOKUP($C1142,Observaciones!$A:$B,2,FALSE)," ")</f>
        <v xml:space="preserve"> </v>
      </c>
      <c r="M1142" t="s">
        <v>681</v>
      </c>
      <c r="O1142" s="5">
        <v>30860022</v>
      </c>
      <c r="P1142" s="5">
        <v>94041</v>
      </c>
      <c r="Q1142" s="5">
        <v>17868</v>
      </c>
      <c r="R1142" s="5">
        <v>111909</v>
      </c>
    </row>
    <row r="1143" spans="1:18" x14ac:dyDescent="0.25">
      <c r="F1143" t="s">
        <v>500</v>
      </c>
      <c r="K1143" t="str">
        <f>IFERROR(IF(AND(VLOOKUP($C1143,Hes!$A:$B, 1, FALSE), $M1143&lt;&gt;" "), "Ingresada", "Falta Ingresar"), " ")</f>
        <v xml:space="preserve"> </v>
      </c>
      <c r="L1143" s="4" t="str">
        <f>IFERROR(VLOOKUP($C1143,Observaciones!$A:$B,2,FALSE)," ")</f>
        <v xml:space="preserve"> </v>
      </c>
      <c r="M1143" t="s">
        <v>681</v>
      </c>
      <c r="P1143" s="5">
        <v>501500</v>
      </c>
      <c r="Q1143" s="5">
        <v>95285</v>
      </c>
      <c r="R1143" s="5">
        <v>596785</v>
      </c>
    </row>
    <row r="1144" spans="1:18" x14ac:dyDescent="0.25">
      <c r="A1144" t="s">
        <v>1027</v>
      </c>
      <c r="B1144" t="s">
        <v>494</v>
      </c>
      <c r="C1144">
        <v>76005909</v>
      </c>
      <c r="D1144">
        <v>17</v>
      </c>
      <c r="E1144">
        <v>30864827</v>
      </c>
      <c r="F1144" t="s">
        <v>1028</v>
      </c>
      <c r="G1144" s="1">
        <v>45238</v>
      </c>
      <c r="H1144">
        <v>5415676</v>
      </c>
      <c r="I1144">
        <v>91</v>
      </c>
      <c r="J1144" t="s">
        <v>172</v>
      </c>
      <c r="K1144" s="8" t="str">
        <f>IFERROR(IF(AND(VLOOKUP($C1144,Hes!$A:$B, 1, FALSE), $M1144&lt;&gt;" "), "Ingresada", "Falta Ingresar"), " ")</f>
        <v>Falta Ingresar</v>
      </c>
      <c r="L1144" s="4" t="str">
        <f>IFERROR(VLOOKUP($C1144,Observaciones!$A:$B,2,FALSE)," ")</f>
        <v xml:space="preserve"> </v>
      </c>
      <c r="M1144" t="s">
        <v>681</v>
      </c>
      <c r="N1144" s="5" t="s">
        <v>841</v>
      </c>
      <c r="O1144" s="5">
        <v>30864827</v>
      </c>
      <c r="P1144" s="5">
        <v>105168</v>
      </c>
      <c r="Q1144" s="5">
        <v>19982</v>
      </c>
      <c r="R1144" s="5">
        <v>125150</v>
      </c>
    </row>
    <row r="1145" spans="1:18" x14ac:dyDescent="0.25">
      <c r="A1145" t="s">
        <v>1027</v>
      </c>
      <c r="B1145" t="s">
        <v>494</v>
      </c>
      <c r="C1145">
        <v>76005909</v>
      </c>
      <c r="D1145">
        <v>36</v>
      </c>
      <c r="E1145">
        <v>30864145</v>
      </c>
      <c r="F1145" t="s">
        <v>1028</v>
      </c>
      <c r="G1145" s="1">
        <v>45238</v>
      </c>
      <c r="H1145">
        <v>5415696</v>
      </c>
      <c r="I1145">
        <v>91</v>
      </c>
      <c r="J1145" t="s">
        <v>172</v>
      </c>
      <c r="K1145" s="8" t="str">
        <f>IFERROR(IF(AND(VLOOKUP($C1145,Hes!$A:$B, 1, FALSE), $M1145&lt;&gt;" "), "Ingresada", "Falta Ingresar"), " ")</f>
        <v>Falta Ingresar</v>
      </c>
      <c r="L1145" s="4" t="str">
        <f>IFERROR(VLOOKUP($C1145,Observaciones!$A:$B,2,FALSE)," ")</f>
        <v xml:space="preserve"> </v>
      </c>
      <c r="M1145" t="s">
        <v>681</v>
      </c>
      <c r="N1145" s="5" t="s">
        <v>841</v>
      </c>
      <c r="O1145" s="5">
        <v>30864145</v>
      </c>
      <c r="P1145" s="5">
        <v>63304</v>
      </c>
      <c r="Q1145" s="5">
        <v>12028</v>
      </c>
      <c r="R1145" s="5">
        <v>75332</v>
      </c>
    </row>
    <row r="1146" spans="1:18" x14ac:dyDescent="0.25">
      <c r="F1146" t="s">
        <v>497</v>
      </c>
      <c r="K1146" t="str">
        <f>IFERROR(IF(AND(VLOOKUP($C1146,Hes!$A:$B, 1, FALSE), $M1146&lt;&gt;" "), "Ingresada", "Falta Ingresar"), " ")</f>
        <v xml:space="preserve"> </v>
      </c>
      <c r="L1146" s="4" t="str">
        <f>IFERROR(VLOOKUP($C1146,Observaciones!$A:$B,2,FALSE)," ")</f>
        <v xml:space="preserve"> </v>
      </c>
      <c r="M1146" t="s">
        <v>681</v>
      </c>
      <c r="P1146" s="5">
        <v>168472</v>
      </c>
      <c r="Q1146" s="5">
        <v>32010</v>
      </c>
      <c r="R1146" s="5">
        <v>200482</v>
      </c>
    </row>
    <row r="1147" spans="1:18" x14ac:dyDescent="0.25">
      <c r="A1147" t="s">
        <v>496</v>
      </c>
      <c r="B1147" t="s">
        <v>494</v>
      </c>
      <c r="C1147">
        <v>76005927</v>
      </c>
      <c r="D1147">
        <v>0</v>
      </c>
      <c r="E1147">
        <v>5159</v>
      </c>
      <c r="F1147" t="s">
        <v>1029</v>
      </c>
      <c r="G1147" s="1">
        <v>45238</v>
      </c>
      <c r="H1147">
        <v>5415205</v>
      </c>
      <c r="I1147">
        <v>361</v>
      </c>
      <c r="J1147" t="s">
        <v>107</v>
      </c>
      <c r="K1147" s="8" t="str">
        <f>IFERROR(IF(AND(VLOOKUP($C1147,Hes!$A:$B, 1, FALSE), $M1147&lt;&gt;" "), "Ingresada", "Falta Ingresar"), " ")</f>
        <v>Falta Ingresar</v>
      </c>
      <c r="L1147" s="4" t="str">
        <f>IFERROR(VLOOKUP($C1147,Observaciones!$A:$B,2,FALSE)," ")</f>
        <v xml:space="preserve"> </v>
      </c>
      <c r="M1147" t="s">
        <v>681</v>
      </c>
      <c r="N1147" s="5" t="s">
        <v>841</v>
      </c>
      <c r="O1147" s="5">
        <v>30842483</v>
      </c>
      <c r="P1147" s="5">
        <v>81900</v>
      </c>
      <c r="Q1147" s="5">
        <v>15561</v>
      </c>
      <c r="R1147" s="5">
        <v>97461</v>
      </c>
    </row>
    <row r="1148" spans="1:18" x14ac:dyDescent="0.25">
      <c r="F1148" t="s">
        <v>495</v>
      </c>
      <c r="K1148" t="str">
        <f>IFERROR(IF(AND(VLOOKUP($C1148,Hes!$A:$B, 1, FALSE), $M1148&lt;&gt;" "), "Ingresada", "Falta Ingresar"), " ")</f>
        <v xml:space="preserve"> </v>
      </c>
      <c r="L1148" s="4" t="str">
        <f>IFERROR(VLOOKUP($C1148,Observaciones!$A:$B,2,FALSE)," ")</f>
        <v xml:space="preserve"> </v>
      </c>
      <c r="M1148" t="s">
        <v>681</v>
      </c>
      <c r="P1148" s="5">
        <v>81900</v>
      </c>
      <c r="Q1148" s="5">
        <v>15561</v>
      </c>
      <c r="R1148" s="5">
        <v>97461</v>
      </c>
    </row>
    <row r="1149" spans="1:18" x14ac:dyDescent="0.25">
      <c r="A1149" t="s">
        <v>496</v>
      </c>
      <c r="B1149" t="s">
        <v>494</v>
      </c>
      <c r="C1149">
        <v>76009867</v>
      </c>
      <c r="D1149">
        <v>2</v>
      </c>
      <c r="E1149">
        <v>30853357</v>
      </c>
      <c r="F1149" t="s">
        <v>1030</v>
      </c>
      <c r="G1149" s="1">
        <v>45236</v>
      </c>
      <c r="H1149">
        <v>5413445</v>
      </c>
      <c r="I1149">
        <v>361</v>
      </c>
      <c r="J1149" t="s">
        <v>107</v>
      </c>
      <c r="K1149" t="str">
        <f>IFERROR(IF(AND(VLOOKUP($C1149,Hes!$A:$B, 1, FALSE), $M1149&lt;&gt;" "), "Ingresada", "Falta Ingresar"), " ")</f>
        <v xml:space="preserve"> </v>
      </c>
      <c r="L1149" s="4" t="str">
        <f>IFERROR(VLOOKUP($C1149,Observaciones!$A:$B,2,FALSE)," ")</f>
        <v xml:space="preserve"> </v>
      </c>
      <c r="M1149" t="s">
        <v>681</v>
      </c>
      <c r="O1149" s="5">
        <v>30853357</v>
      </c>
      <c r="P1149" s="5">
        <v>200575</v>
      </c>
      <c r="Q1149" s="5">
        <v>38109</v>
      </c>
      <c r="R1149" s="5">
        <v>238684</v>
      </c>
    </row>
    <row r="1150" spans="1:18" x14ac:dyDescent="0.25">
      <c r="F1150" t="s">
        <v>495</v>
      </c>
      <c r="K1150" t="str">
        <f>IFERROR(IF(AND(VLOOKUP($C1150,Hes!$A:$B, 1, FALSE), $M1150&lt;&gt;" "), "Ingresada", "Falta Ingresar"), " ")</f>
        <v xml:space="preserve"> </v>
      </c>
      <c r="L1150" s="4" t="str">
        <f>IFERROR(VLOOKUP($C1150,Observaciones!$A:$B,2,FALSE)," ")</f>
        <v xml:space="preserve"> </v>
      </c>
      <c r="M1150" t="s">
        <v>681</v>
      </c>
      <c r="P1150" s="5">
        <v>200575</v>
      </c>
      <c r="Q1150" s="5">
        <v>38109</v>
      </c>
      <c r="R1150" s="5">
        <v>238684</v>
      </c>
    </row>
    <row r="1151" spans="1:18" x14ac:dyDescent="0.25">
      <c r="A1151" t="s">
        <v>501</v>
      </c>
      <c r="B1151" t="s">
        <v>494</v>
      </c>
      <c r="C1151">
        <v>76010151</v>
      </c>
      <c r="D1151">
        <v>3</v>
      </c>
      <c r="E1151">
        <v>30856134</v>
      </c>
      <c r="F1151" t="s">
        <v>1031</v>
      </c>
      <c r="G1151" s="1">
        <v>45236</v>
      </c>
      <c r="H1151">
        <v>5413155</v>
      </c>
      <c r="I1151">
        <v>64</v>
      </c>
      <c r="J1151" t="s">
        <v>138</v>
      </c>
      <c r="K1151" t="str">
        <f>IFERROR(IF(AND(VLOOKUP($C1151,Hes!$A:$B, 1, FALSE), $M1151&lt;&gt;" "), "Ingresada", "Falta Ingresar"), " ")</f>
        <v xml:space="preserve"> </v>
      </c>
      <c r="L1151" s="4" t="str">
        <f>IFERROR(VLOOKUP($C1151,Observaciones!$A:$B,2,FALSE)," ")</f>
        <v xml:space="preserve"> </v>
      </c>
      <c r="M1151" t="s">
        <v>681</v>
      </c>
      <c r="O1151" s="5">
        <v>30856134</v>
      </c>
      <c r="P1151" s="5">
        <v>168614</v>
      </c>
      <c r="Q1151" s="5">
        <v>32037</v>
      </c>
      <c r="R1151" s="5">
        <v>200651</v>
      </c>
    </row>
    <row r="1152" spans="1:18" x14ac:dyDescent="0.25">
      <c r="A1152" t="s">
        <v>501</v>
      </c>
      <c r="B1152" t="s">
        <v>494</v>
      </c>
      <c r="C1152">
        <v>76010151</v>
      </c>
      <c r="D1152">
        <v>2</v>
      </c>
      <c r="E1152">
        <v>30856572</v>
      </c>
      <c r="F1152" t="s">
        <v>1031</v>
      </c>
      <c r="G1152" s="1">
        <v>45236</v>
      </c>
      <c r="H1152">
        <v>5413555</v>
      </c>
      <c r="I1152">
        <v>64</v>
      </c>
      <c r="J1152" t="s">
        <v>138</v>
      </c>
      <c r="K1152" t="str">
        <f>IFERROR(IF(AND(VLOOKUP($C1152,Hes!$A:$B, 1, FALSE), $M1152&lt;&gt;" "), "Ingresada", "Falta Ingresar"), " ")</f>
        <v xml:space="preserve"> </v>
      </c>
      <c r="L1152" s="4" t="str">
        <f>IFERROR(VLOOKUP($C1152,Observaciones!$A:$B,2,FALSE)," ")</f>
        <v xml:space="preserve"> </v>
      </c>
      <c r="M1152" t="s">
        <v>681</v>
      </c>
      <c r="O1152" s="5">
        <v>30856572</v>
      </c>
      <c r="P1152" s="5">
        <v>241078</v>
      </c>
      <c r="Q1152" s="5">
        <v>45805</v>
      </c>
      <c r="R1152" s="5">
        <v>286883</v>
      </c>
    </row>
    <row r="1153" spans="1:18" x14ac:dyDescent="0.25">
      <c r="A1153" t="s">
        <v>501</v>
      </c>
      <c r="B1153" t="s">
        <v>494</v>
      </c>
      <c r="C1153">
        <v>76010151</v>
      </c>
      <c r="D1153">
        <v>7</v>
      </c>
      <c r="E1153">
        <v>30865819</v>
      </c>
      <c r="F1153" t="s">
        <v>1031</v>
      </c>
      <c r="G1153" s="1">
        <v>45238</v>
      </c>
      <c r="H1153">
        <v>5415581</v>
      </c>
      <c r="I1153">
        <v>64</v>
      </c>
      <c r="J1153" t="s">
        <v>138</v>
      </c>
      <c r="K1153" t="str">
        <f>IFERROR(IF(AND(VLOOKUP($C1153,Hes!$A:$B, 1, FALSE), $M1153&lt;&gt;" "), "Ingresada", "Falta Ingresar"), " ")</f>
        <v xml:space="preserve"> </v>
      </c>
      <c r="L1153" s="4" t="str">
        <f>IFERROR(VLOOKUP($C1153,Observaciones!$A:$B,2,FALSE)," ")</f>
        <v xml:space="preserve"> </v>
      </c>
      <c r="M1153" t="s">
        <v>681</v>
      </c>
      <c r="O1153" s="5">
        <v>30865819</v>
      </c>
      <c r="P1153" s="5">
        <v>208688</v>
      </c>
      <c r="Q1153" s="5">
        <v>39651</v>
      </c>
      <c r="R1153" s="5">
        <v>248339</v>
      </c>
    </row>
    <row r="1154" spans="1:18" x14ac:dyDescent="0.25">
      <c r="F1154" t="s">
        <v>500</v>
      </c>
      <c r="K1154" t="str">
        <f>IFERROR(IF(AND(VLOOKUP($C1154,Hes!$A:$B, 1, FALSE), $M1154&lt;&gt;" "), "Ingresada", "Falta Ingresar"), " ")</f>
        <v xml:space="preserve"> </v>
      </c>
      <c r="L1154" s="4" t="str">
        <f>IFERROR(VLOOKUP($C1154,Observaciones!$A:$B,2,FALSE)," ")</f>
        <v xml:space="preserve"> </v>
      </c>
      <c r="M1154" t="s">
        <v>681</v>
      </c>
      <c r="P1154" s="5">
        <v>618380</v>
      </c>
      <c r="Q1154" s="5">
        <v>117493</v>
      </c>
      <c r="R1154" s="5">
        <v>735873</v>
      </c>
    </row>
    <row r="1155" spans="1:18" x14ac:dyDescent="0.25">
      <c r="A1155" t="s">
        <v>496</v>
      </c>
      <c r="B1155" t="s">
        <v>494</v>
      </c>
      <c r="C1155">
        <v>76012138</v>
      </c>
      <c r="D1155">
        <v>0</v>
      </c>
      <c r="E1155">
        <v>30851608</v>
      </c>
      <c r="F1155" t="s">
        <v>1032</v>
      </c>
      <c r="G1155" s="1">
        <v>45233</v>
      </c>
      <c r="H1155">
        <v>5411701</v>
      </c>
      <c r="I1155">
        <v>104</v>
      </c>
      <c r="J1155" t="s">
        <v>210</v>
      </c>
      <c r="K1155" s="8" t="str">
        <f>IFERROR(IF(AND(VLOOKUP($C1155,Hes!$A:$B, 1, FALSE), $M1155&lt;&gt;" "), "Ingresada", "Falta Ingresar"), " ")</f>
        <v>Falta Ingresar</v>
      </c>
      <c r="L1155" s="4" t="str">
        <f>IFERROR(VLOOKUP($C1155,Observaciones!$A:$B,2,FALSE)," ")</f>
        <v xml:space="preserve"> </v>
      </c>
      <c r="M1155" t="s">
        <v>681</v>
      </c>
      <c r="N1155" s="5" t="s">
        <v>841</v>
      </c>
      <c r="O1155" s="5">
        <v>30851608</v>
      </c>
      <c r="P1155" s="5">
        <v>57576</v>
      </c>
      <c r="Q1155" s="5">
        <v>10939</v>
      </c>
      <c r="R1155" s="5">
        <v>68515</v>
      </c>
    </row>
    <row r="1156" spans="1:18" x14ac:dyDescent="0.25">
      <c r="F1156" t="s">
        <v>495</v>
      </c>
      <c r="K1156" t="str">
        <f>IFERROR(IF(AND(VLOOKUP($C1156,Hes!$A:$B, 1, FALSE), $M1156&lt;&gt;" "), "Ingresada", "Falta Ingresar"), " ")</f>
        <v xml:space="preserve"> </v>
      </c>
      <c r="L1156" s="4" t="str">
        <f>IFERROR(VLOOKUP($C1156,Observaciones!$A:$B,2,FALSE)," ")</f>
        <v xml:space="preserve"> </v>
      </c>
      <c r="M1156" t="s">
        <v>681</v>
      </c>
      <c r="P1156" s="5">
        <v>57576</v>
      </c>
      <c r="Q1156" s="5">
        <v>10939</v>
      </c>
      <c r="R1156" s="5">
        <v>68515</v>
      </c>
    </row>
    <row r="1157" spans="1:18" x14ac:dyDescent="0.25">
      <c r="A1157" t="s">
        <v>512</v>
      </c>
      <c r="B1157" t="s">
        <v>494</v>
      </c>
      <c r="C1157">
        <v>76012676</v>
      </c>
      <c r="D1157">
        <v>14</v>
      </c>
      <c r="E1157">
        <v>30850281</v>
      </c>
      <c r="F1157" t="s">
        <v>1033</v>
      </c>
      <c r="G1157" s="1">
        <v>45233</v>
      </c>
      <c r="H1157">
        <v>5411725</v>
      </c>
      <c r="I1157">
        <v>50</v>
      </c>
      <c r="J1157" t="s">
        <v>376</v>
      </c>
      <c r="K1157" t="str">
        <f>IFERROR(IF(AND(VLOOKUP($C1157,Hes!$A:$B, 1, FALSE), $M1157&lt;&gt;" "), "Ingresada", "Falta Ingresar"), " ")</f>
        <v xml:space="preserve"> </v>
      </c>
      <c r="L1157" s="4" t="str">
        <f>IFERROR(VLOOKUP($C1157,Observaciones!$A:$B,2,FALSE)," ")</f>
        <v xml:space="preserve"> </v>
      </c>
      <c r="M1157" t="s">
        <v>681</v>
      </c>
      <c r="O1157" s="5">
        <v>30850281</v>
      </c>
      <c r="P1157" s="5">
        <v>33792</v>
      </c>
      <c r="Q1157" s="5">
        <v>6420</v>
      </c>
      <c r="R1157" s="5">
        <v>40212</v>
      </c>
    </row>
    <row r="1158" spans="1:18" x14ac:dyDescent="0.25">
      <c r="A1158" t="s">
        <v>512</v>
      </c>
      <c r="B1158" t="s">
        <v>494</v>
      </c>
      <c r="C1158">
        <v>76012676</v>
      </c>
      <c r="D1158">
        <v>10</v>
      </c>
      <c r="E1158">
        <v>30850704</v>
      </c>
      <c r="F1158" t="s">
        <v>1033</v>
      </c>
      <c r="G1158" s="1">
        <v>45233</v>
      </c>
      <c r="H1158">
        <v>5411743</v>
      </c>
      <c r="I1158">
        <v>50</v>
      </c>
      <c r="J1158" t="s">
        <v>376</v>
      </c>
      <c r="K1158" t="str">
        <f>IFERROR(IF(AND(VLOOKUP($C1158,Hes!$A:$B, 1, FALSE), $M1158&lt;&gt;" "), "Ingresada", "Falta Ingresar"), " ")</f>
        <v xml:space="preserve"> </v>
      </c>
      <c r="L1158" s="4" t="str">
        <f>IFERROR(VLOOKUP($C1158,Observaciones!$A:$B,2,FALSE)," ")</f>
        <v xml:space="preserve"> </v>
      </c>
      <c r="M1158" t="s">
        <v>681</v>
      </c>
      <c r="O1158" s="5">
        <v>30850704</v>
      </c>
      <c r="P1158" s="5">
        <v>17126</v>
      </c>
      <c r="Q1158" s="5">
        <v>3254</v>
      </c>
      <c r="R1158" s="5">
        <v>20380</v>
      </c>
    </row>
    <row r="1159" spans="1:18" x14ac:dyDescent="0.25">
      <c r="A1159" t="s">
        <v>512</v>
      </c>
      <c r="B1159" t="s">
        <v>494</v>
      </c>
      <c r="C1159">
        <v>76012676</v>
      </c>
      <c r="D1159">
        <v>56</v>
      </c>
      <c r="E1159">
        <v>30850287</v>
      </c>
      <c r="F1159" t="s">
        <v>1033</v>
      </c>
      <c r="G1159" s="1">
        <v>45233</v>
      </c>
      <c r="H1159">
        <v>5411754</v>
      </c>
      <c r="I1159">
        <v>50</v>
      </c>
      <c r="J1159" t="s">
        <v>376</v>
      </c>
      <c r="K1159" t="str">
        <f>IFERROR(IF(AND(VLOOKUP($C1159,Hes!$A:$B, 1, FALSE), $M1159&lt;&gt;" "), "Ingresada", "Falta Ingresar"), " ")</f>
        <v xml:space="preserve"> </v>
      </c>
      <c r="L1159" s="4" t="str">
        <f>IFERROR(VLOOKUP($C1159,Observaciones!$A:$B,2,FALSE)," ")</f>
        <v xml:space="preserve"> </v>
      </c>
      <c r="M1159" t="s">
        <v>681</v>
      </c>
      <c r="O1159" s="5">
        <v>30850287</v>
      </c>
      <c r="P1159" s="5">
        <v>28069</v>
      </c>
      <c r="Q1159" s="5">
        <v>5333</v>
      </c>
      <c r="R1159" s="5">
        <v>33402</v>
      </c>
    </row>
    <row r="1160" spans="1:18" x14ac:dyDescent="0.25">
      <c r="A1160" t="s">
        <v>512</v>
      </c>
      <c r="B1160" t="s">
        <v>494</v>
      </c>
      <c r="C1160">
        <v>76012676</v>
      </c>
      <c r="D1160">
        <v>51</v>
      </c>
      <c r="E1160">
        <v>30852382</v>
      </c>
      <c r="F1160" t="s">
        <v>1033</v>
      </c>
      <c r="G1160" s="1">
        <v>45236</v>
      </c>
      <c r="H1160">
        <v>5412350</v>
      </c>
      <c r="I1160">
        <v>50</v>
      </c>
      <c r="J1160" t="s">
        <v>376</v>
      </c>
      <c r="K1160" t="str">
        <f>IFERROR(IF(AND(VLOOKUP($C1160,Hes!$A:$B, 1, FALSE), $M1160&lt;&gt;" "), "Ingresada", "Falta Ingresar"), " ")</f>
        <v xml:space="preserve"> </v>
      </c>
      <c r="L1160" s="4" t="str">
        <f>IFERROR(VLOOKUP($C1160,Observaciones!$A:$B,2,FALSE)," ")</f>
        <v xml:space="preserve"> </v>
      </c>
      <c r="M1160" t="s">
        <v>681</v>
      </c>
      <c r="O1160" s="5">
        <v>30852382</v>
      </c>
      <c r="P1160" s="5">
        <v>10534</v>
      </c>
      <c r="Q1160" s="5">
        <v>2001</v>
      </c>
      <c r="R1160" s="5">
        <v>12535</v>
      </c>
    </row>
    <row r="1161" spans="1:18" x14ac:dyDescent="0.25">
      <c r="A1161" t="s">
        <v>512</v>
      </c>
      <c r="B1161" t="s">
        <v>494</v>
      </c>
      <c r="C1161">
        <v>76012676</v>
      </c>
      <c r="D1161">
        <v>54</v>
      </c>
      <c r="E1161">
        <v>30852024</v>
      </c>
      <c r="F1161" t="s">
        <v>1033</v>
      </c>
      <c r="G1161" s="1">
        <v>45236</v>
      </c>
      <c r="H1161">
        <v>5412352</v>
      </c>
      <c r="I1161">
        <v>50</v>
      </c>
      <c r="J1161" t="s">
        <v>376</v>
      </c>
      <c r="K1161" t="str">
        <f>IFERROR(IF(AND(VLOOKUP($C1161,Hes!$A:$B, 1, FALSE), $M1161&lt;&gt;" "), "Ingresada", "Falta Ingresar"), " ")</f>
        <v xml:space="preserve"> </v>
      </c>
      <c r="L1161" s="4" t="str">
        <f>IFERROR(VLOOKUP($C1161,Observaciones!$A:$B,2,FALSE)," ")</f>
        <v xml:space="preserve"> </v>
      </c>
      <c r="M1161" t="s">
        <v>681</v>
      </c>
      <c r="O1161" s="5">
        <v>30852024</v>
      </c>
      <c r="P1161" s="5">
        <v>47687</v>
      </c>
      <c r="Q1161" s="5">
        <v>9061</v>
      </c>
      <c r="R1161" s="5">
        <v>56748</v>
      </c>
    </row>
    <row r="1162" spans="1:18" x14ac:dyDescent="0.25">
      <c r="A1162" t="s">
        <v>512</v>
      </c>
      <c r="B1162" t="s">
        <v>494</v>
      </c>
      <c r="C1162">
        <v>76012676</v>
      </c>
      <c r="D1162">
        <v>11</v>
      </c>
      <c r="E1162">
        <v>30850629</v>
      </c>
      <c r="F1162" t="s">
        <v>1033</v>
      </c>
      <c r="G1162" s="1">
        <v>45236</v>
      </c>
      <c r="H1162">
        <v>5412384</v>
      </c>
      <c r="I1162">
        <v>50</v>
      </c>
      <c r="J1162" t="s">
        <v>376</v>
      </c>
      <c r="K1162" t="str">
        <f>IFERROR(IF(AND(VLOOKUP($C1162,Hes!$A:$B, 1, FALSE), $M1162&lt;&gt;" "), "Ingresada", "Falta Ingresar"), " ")</f>
        <v xml:space="preserve"> </v>
      </c>
      <c r="L1162" s="4" t="str">
        <f>IFERROR(VLOOKUP($C1162,Observaciones!$A:$B,2,FALSE)," ")</f>
        <v xml:space="preserve"> </v>
      </c>
      <c r="M1162" t="s">
        <v>681</v>
      </c>
      <c r="O1162" s="5">
        <v>30850629</v>
      </c>
      <c r="P1162" s="5">
        <v>47937</v>
      </c>
      <c r="Q1162" s="5">
        <v>9108</v>
      </c>
      <c r="R1162" s="5">
        <v>57045</v>
      </c>
    </row>
    <row r="1163" spans="1:18" x14ac:dyDescent="0.25">
      <c r="A1163" t="s">
        <v>512</v>
      </c>
      <c r="B1163" t="s">
        <v>494</v>
      </c>
      <c r="C1163">
        <v>76012676</v>
      </c>
      <c r="D1163">
        <v>42</v>
      </c>
      <c r="E1163">
        <v>30850398</v>
      </c>
      <c r="F1163" t="s">
        <v>1033</v>
      </c>
      <c r="G1163" s="1">
        <v>45236</v>
      </c>
      <c r="H1163">
        <v>5412385</v>
      </c>
      <c r="I1163">
        <v>50</v>
      </c>
      <c r="J1163" t="s">
        <v>376</v>
      </c>
      <c r="K1163" t="str">
        <f>IFERROR(IF(AND(VLOOKUP($C1163,Hes!$A:$B, 1, FALSE), $M1163&lt;&gt;" "), "Ingresada", "Falta Ingresar"), " ")</f>
        <v xml:space="preserve"> </v>
      </c>
      <c r="L1163" s="4" t="str">
        <f>IFERROR(VLOOKUP($C1163,Observaciones!$A:$B,2,FALSE)," ")</f>
        <v xml:space="preserve"> </v>
      </c>
      <c r="M1163" t="s">
        <v>681</v>
      </c>
      <c r="O1163" s="5">
        <v>30850398</v>
      </c>
      <c r="P1163" s="5">
        <v>40412</v>
      </c>
      <c r="Q1163" s="5">
        <v>7678</v>
      </c>
      <c r="R1163" s="5">
        <v>48090</v>
      </c>
    </row>
    <row r="1164" spans="1:18" x14ac:dyDescent="0.25">
      <c r="A1164" t="s">
        <v>512</v>
      </c>
      <c r="B1164" t="s">
        <v>494</v>
      </c>
      <c r="C1164">
        <v>76012676</v>
      </c>
      <c r="D1164">
        <v>9</v>
      </c>
      <c r="E1164">
        <v>30850751</v>
      </c>
      <c r="F1164" t="s">
        <v>1033</v>
      </c>
      <c r="G1164" s="1">
        <v>45236</v>
      </c>
      <c r="H1164">
        <v>5412386</v>
      </c>
      <c r="I1164">
        <v>50</v>
      </c>
      <c r="J1164" t="s">
        <v>376</v>
      </c>
      <c r="K1164" t="str">
        <f>IFERROR(IF(AND(VLOOKUP($C1164,Hes!$A:$B, 1, FALSE), $M1164&lt;&gt;" "), "Ingresada", "Falta Ingresar"), " ")</f>
        <v xml:space="preserve"> </v>
      </c>
      <c r="L1164" s="4" t="str">
        <f>IFERROR(VLOOKUP($C1164,Observaciones!$A:$B,2,FALSE)," ")</f>
        <v xml:space="preserve"> </v>
      </c>
      <c r="M1164" t="s">
        <v>681</v>
      </c>
      <c r="O1164" s="5">
        <v>30850751</v>
      </c>
      <c r="P1164" s="5">
        <v>21024</v>
      </c>
      <c r="Q1164" s="5">
        <v>3995</v>
      </c>
      <c r="R1164" s="5">
        <v>25019</v>
      </c>
    </row>
    <row r="1165" spans="1:18" x14ac:dyDescent="0.25">
      <c r="A1165" t="s">
        <v>512</v>
      </c>
      <c r="B1165" t="s">
        <v>494</v>
      </c>
      <c r="C1165">
        <v>76012676</v>
      </c>
      <c r="D1165">
        <v>2</v>
      </c>
      <c r="E1165">
        <v>30850701</v>
      </c>
      <c r="F1165" t="s">
        <v>1033</v>
      </c>
      <c r="G1165" s="1">
        <v>45236</v>
      </c>
      <c r="H1165">
        <v>5412387</v>
      </c>
      <c r="I1165">
        <v>50</v>
      </c>
      <c r="J1165" t="s">
        <v>376</v>
      </c>
      <c r="K1165" t="str">
        <f>IFERROR(IF(AND(VLOOKUP($C1165,Hes!$A:$B, 1, FALSE), $M1165&lt;&gt;" "), "Ingresada", "Falta Ingresar"), " ")</f>
        <v xml:space="preserve"> </v>
      </c>
      <c r="L1165" s="4" t="str">
        <f>IFERROR(VLOOKUP($C1165,Observaciones!$A:$B,2,FALSE)," ")</f>
        <v xml:space="preserve"> </v>
      </c>
      <c r="M1165" t="s">
        <v>681</v>
      </c>
      <c r="O1165" s="5">
        <v>30850701</v>
      </c>
      <c r="P1165" s="5">
        <v>24528</v>
      </c>
      <c r="Q1165" s="5">
        <v>4660</v>
      </c>
      <c r="R1165" s="5">
        <v>29188</v>
      </c>
    </row>
    <row r="1166" spans="1:18" x14ac:dyDescent="0.25">
      <c r="F1166" t="s">
        <v>514</v>
      </c>
      <c r="K1166" t="str">
        <f>IFERROR(IF(AND(VLOOKUP($C1166,Hes!$A:$B, 1, FALSE), $M1166&lt;&gt;" "), "Ingresada", "Falta Ingresar"), " ")</f>
        <v xml:space="preserve"> </v>
      </c>
      <c r="L1166" s="4" t="str">
        <f>IFERROR(VLOOKUP($C1166,Observaciones!$A:$B,2,FALSE)," ")</f>
        <v xml:space="preserve"> </v>
      </c>
      <c r="M1166" t="s">
        <v>681</v>
      </c>
      <c r="P1166" s="5">
        <v>271109</v>
      </c>
      <c r="Q1166" s="5">
        <v>51510</v>
      </c>
      <c r="R1166" s="5">
        <v>322619</v>
      </c>
    </row>
    <row r="1167" spans="1:18" x14ac:dyDescent="0.25">
      <c r="A1167" t="s">
        <v>1034</v>
      </c>
      <c r="B1167" t="s">
        <v>494</v>
      </c>
      <c r="C1167">
        <v>76012833</v>
      </c>
      <c r="D1167">
        <v>17</v>
      </c>
      <c r="E1167">
        <v>30849458</v>
      </c>
      <c r="F1167" t="s">
        <v>1035</v>
      </c>
      <c r="G1167" s="1">
        <v>45233</v>
      </c>
      <c r="H1167">
        <v>5411282</v>
      </c>
      <c r="I1167">
        <v>50</v>
      </c>
      <c r="J1167" t="s">
        <v>376</v>
      </c>
      <c r="K1167" t="str">
        <f>IFERROR(IF(AND(VLOOKUP($C1167,Hes!$A:$B, 1, FALSE), $M1167&lt;&gt;" "), "Ingresada", "Falta Ingresar"), " ")</f>
        <v xml:space="preserve"> </v>
      </c>
      <c r="L1167" s="4" t="str">
        <f>IFERROR(VLOOKUP($C1167,Observaciones!$A:$B,2,FALSE)," ")</f>
        <v>OC 42000000... INDIVIDUAL XOC Y CC, EL RESTO VENDEDOR DEBE ENVIAR INF Y OC SINO FACT XRUT</v>
      </c>
      <c r="M1167" t="s">
        <v>681</v>
      </c>
      <c r="O1167" s="5">
        <v>30849458</v>
      </c>
      <c r="P1167" s="5">
        <v>274600</v>
      </c>
      <c r="Q1167" s="5">
        <v>52174</v>
      </c>
      <c r="R1167" s="5">
        <v>326774</v>
      </c>
    </row>
    <row r="1168" spans="1:18" x14ac:dyDescent="0.25">
      <c r="A1168" t="s">
        <v>1034</v>
      </c>
      <c r="B1168" t="s">
        <v>494</v>
      </c>
      <c r="C1168">
        <v>76012833</v>
      </c>
      <c r="D1168">
        <v>50</v>
      </c>
      <c r="E1168">
        <v>30848926</v>
      </c>
      <c r="F1168" t="s">
        <v>1035</v>
      </c>
      <c r="G1168" s="1">
        <v>45233</v>
      </c>
      <c r="H1168">
        <v>5411339</v>
      </c>
      <c r="I1168">
        <v>50</v>
      </c>
      <c r="J1168" t="s">
        <v>376</v>
      </c>
      <c r="K1168" t="str">
        <f>IFERROR(IF(AND(VLOOKUP($C1168,Hes!$A:$B, 1, FALSE), $M1168&lt;&gt;" "), "Ingresada", "Falta Ingresar"), " ")</f>
        <v xml:space="preserve"> </v>
      </c>
      <c r="L1168" s="4" t="str">
        <f>IFERROR(VLOOKUP($C1168,Observaciones!$A:$B,2,FALSE)," ")</f>
        <v>OC 42000000... INDIVIDUAL XOC Y CC, EL RESTO VENDEDOR DEBE ENVIAR INF Y OC SINO FACT XRUT</v>
      </c>
      <c r="M1168" t="s">
        <v>681</v>
      </c>
      <c r="O1168" s="5">
        <v>30848926</v>
      </c>
      <c r="P1168" s="5">
        <v>68804</v>
      </c>
      <c r="Q1168" s="5">
        <v>13073</v>
      </c>
      <c r="R1168" s="5">
        <v>81877</v>
      </c>
    </row>
    <row r="1169" spans="1:18" x14ac:dyDescent="0.25">
      <c r="A1169" t="s">
        <v>1034</v>
      </c>
      <c r="B1169" t="s">
        <v>494</v>
      </c>
      <c r="C1169">
        <v>76012833</v>
      </c>
      <c r="D1169">
        <v>42</v>
      </c>
      <c r="E1169">
        <v>30849388</v>
      </c>
      <c r="F1169" t="s">
        <v>1035</v>
      </c>
      <c r="G1169" s="1">
        <v>45233</v>
      </c>
      <c r="H1169">
        <v>5411548</v>
      </c>
      <c r="I1169">
        <v>50</v>
      </c>
      <c r="J1169" t="s">
        <v>376</v>
      </c>
      <c r="K1169" t="str">
        <f>IFERROR(IF(AND(VLOOKUP($C1169,Hes!$A:$B, 1, FALSE), $M1169&lt;&gt;" "), "Ingresada", "Falta Ingresar"), " ")</f>
        <v xml:space="preserve"> </v>
      </c>
      <c r="L1169" s="4" t="str">
        <f>IFERROR(VLOOKUP($C1169,Observaciones!$A:$B,2,FALSE)," ")</f>
        <v>OC 42000000... INDIVIDUAL XOC Y CC, EL RESTO VENDEDOR DEBE ENVIAR INF Y OC SINO FACT XRUT</v>
      </c>
      <c r="M1169" t="s">
        <v>681</v>
      </c>
      <c r="O1169" s="5">
        <v>30849388</v>
      </c>
      <c r="P1169" s="5">
        <v>300072</v>
      </c>
      <c r="Q1169" s="5">
        <v>57014</v>
      </c>
      <c r="R1169" s="5">
        <v>357086</v>
      </c>
    </row>
    <row r="1170" spans="1:18" x14ac:dyDescent="0.25">
      <c r="A1170" t="s">
        <v>1034</v>
      </c>
      <c r="B1170" t="s">
        <v>494</v>
      </c>
      <c r="C1170">
        <v>76012833</v>
      </c>
      <c r="D1170">
        <v>9</v>
      </c>
      <c r="E1170">
        <v>30849831</v>
      </c>
      <c r="F1170" t="s">
        <v>1035</v>
      </c>
      <c r="G1170" s="1">
        <v>45233</v>
      </c>
      <c r="H1170">
        <v>5411579</v>
      </c>
      <c r="I1170">
        <v>50</v>
      </c>
      <c r="J1170" t="s">
        <v>376</v>
      </c>
      <c r="K1170" t="str">
        <f>IFERROR(IF(AND(VLOOKUP($C1170,Hes!$A:$B, 1, FALSE), $M1170&lt;&gt;" "), "Ingresada", "Falta Ingresar"), " ")</f>
        <v xml:space="preserve"> </v>
      </c>
      <c r="L1170" s="4" t="str">
        <f>IFERROR(VLOOKUP($C1170,Observaciones!$A:$B,2,FALSE)," ")</f>
        <v>OC 42000000... INDIVIDUAL XOC Y CC, EL RESTO VENDEDOR DEBE ENVIAR INF Y OC SINO FACT XRUT</v>
      </c>
      <c r="M1170" t="s">
        <v>681</v>
      </c>
      <c r="O1170" s="5">
        <v>30849831</v>
      </c>
      <c r="P1170" s="5">
        <v>223140</v>
      </c>
      <c r="Q1170" s="5">
        <v>42397</v>
      </c>
      <c r="R1170" s="5">
        <v>265537</v>
      </c>
    </row>
    <row r="1171" spans="1:18" x14ac:dyDescent="0.25">
      <c r="A1171" t="s">
        <v>1034</v>
      </c>
      <c r="B1171" t="s">
        <v>494</v>
      </c>
      <c r="C1171">
        <v>76012833</v>
      </c>
      <c r="D1171">
        <v>60</v>
      </c>
      <c r="E1171">
        <v>30850496</v>
      </c>
      <c r="F1171" t="s">
        <v>1035</v>
      </c>
      <c r="G1171" s="1">
        <v>45233</v>
      </c>
      <c r="H1171">
        <v>5411647</v>
      </c>
      <c r="I1171">
        <v>50</v>
      </c>
      <c r="J1171" t="s">
        <v>376</v>
      </c>
      <c r="K1171" t="str">
        <f>IFERROR(IF(AND(VLOOKUP($C1171,Hes!$A:$B, 1, FALSE), $M1171&lt;&gt;" "), "Ingresada", "Falta Ingresar"), " ")</f>
        <v xml:space="preserve"> </v>
      </c>
      <c r="L1171" s="4" t="str">
        <f>IFERROR(VLOOKUP($C1171,Observaciones!$A:$B,2,FALSE)," ")</f>
        <v>OC 42000000... INDIVIDUAL XOC Y CC, EL RESTO VENDEDOR DEBE ENVIAR INF Y OC SINO FACT XRUT</v>
      </c>
      <c r="M1171" t="s">
        <v>681</v>
      </c>
      <c r="O1171" s="5">
        <v>30850496</v>
      </c>
      <c r="P1171" s="5">
        <v>175917</v>
      </c>
      <c r="Q1171" s="5">
        <v>33424</v>
      </c>
      <c r="R1171" s="5">
        <v>209341</v>
      </c>
    </row>
    <row r="1172" spans="1:18" x14ac:dyDescent="0.25">
      <c r="A1172" t="s">
        <v>1034</v>
      </c>
      <c r="B1172" t="s">
        <v>494</v>
      </c>
      <c r="C1172">
        <v>76012833</v>
      </c>
      <c r="D1172">
        <v>10</v>
      </c>
      <c r="E1172">
        <v>30852209</v>
      </c>
      <c r="F1172" t="s">
        <v>1035</v>
      </c>
      <c r="G1172" s="1">
        <v>45233</v>
      </c>
      <c r="H1172">
        <v>5412197</v>
      </c>
      <c r="I1172">
        <v>50</v>
      </c>
      <c r="J1172" t="s">
        <v>376</v>
      </c>
      <c r="K1172" t="str">
        <f>IFERROR(IF(AND(VLOOKUP($C1172,Hes!$A:$B, 1, FALSE), $M1172&lt;&gt;" "), "Ingresada", "Falta Ingresar"), " ")</f>
        <v xml:space="preserve"> </v>
      </c>
      <c r="L1172" s="4" t="str">
        <f>IFERROR(VLOOKUP($C1172,Observaciones!$A:$B,2,FALSE)," ")</f>
        <v>OC 42000000... INDIVIDUAL XOC Y CC, EL RESTO VENDEDOR DEBE ENVIAR INF Y OC SINO FACT XRUT</v>
      </c>
      <c r="M1172" t="s">
        <v>681</v>
      </c>
      <c r="O1172" s="5">
        <v>30852209</v>
      </c>
      <c r="P1172" s="5">
        <v>333292</v>
      </c>
      <c r="Q1172" s="5">
        <v>63325</v>
      </c>
      <c r="R1172" s="5">
        <v>396617</v>
      </c>
    </row>
    <row r="1173" spans="1:18" x14ac:dyDescent="0.25">
      <c r="A1173" t="s">
        <v>1034</v>
      </c>
      <c r="B1173" t="s">
        <v>494</v>
      </c>
      <c r="C1173">
        <v>76012833</v>
      </c>
      <c r="D1173">
        <v>27</v>
      </c>
      <c r="E1173">
        <v>30850862</v>
      </c>
      <c r="F1173" t="s">
        <v>1035</v>
      </c>
      <c r="G1173" s="1">
        <v>45236</v>
      </c>
      <c r="H1173">
        <v>5412261</v>
      </c>
      <c r="I1173">
        <v>50</v>
      </c>
      <c r="J1173" t="s">
        <v>376</v>
      </c>
      <c r="K1173" t="str">
        <f>IFERROR(IF(AND(VLOOKUP($C1173,Hes!$A:$B, 1, FALSE), $M1173&lt;&gt;" "), "Ingresada", "Falta Ingresar"), " ")</f>
        <v xml:space="preserve"> </v>
      </c>
      <c r="L1173" s="4" t="str">
        <f>IFERROR(VLOOKUP($C1173,Observaciones!$A:$B,2,FALSE)," ")</f>
        <v>OC 42000000... INDIVIDUAL XOC Y CC, EL RESTO VENDEDOR DEBE ENVIAR INF Y OC SINO FACT XRUT</v>
      </c>
      <c r="M1173" t="s">
        <v>681</v>
      </c>
      <c r="O1173" s="5">
        <v>30850862</v>
      </c>
      <c r="P1173" s="5">
        <v>179511</v>
      </c>
      <c r="Q1173" s="5">
        <v>34107</v>
      </c>
      <c r="R1173" s="5">
        <v>213618</v>
      </c>
    </row>
    <row r="1174" spans="1:18" x14ac:dyDescent="0.25">
      <c r="A1174" t="s">
        <v>1034</v>
      </c>
      <c r="B1174" t="s">
        <v>494</v>
      </c>
      <c r="C1174">
        <v>76012833</v>
      </c>
      <c r="D1174">
        <v>75</v>
      </c>
      <c r="E1174">
        <v>30850474</v>
      </c>
      <c r="F1174" t="s">
        <v>1035</v>
      </c>
      <c r="G1174" s="1">
        <v>45236</v>
      </c>
      <c r="H1174">
        <v>5412434</v>
      </c>
      <c r="I1174">
        <v>50</v>
      </c>
      <c r="J1174" t="s">
        <v>376</v>
      </c>
      <c r="K1174" t="str">
        <f>IFERROR(IF(AND(VLOOKUP($C1174,Hes!$A:$B, 1, FALSE), $M1174&lt;&gt;" "), "Ingresada", "Falta Ingresar"), " ")</f>
        <v xml:space="preserve"> </v>
      </c>
      <c r="L1174" s="4" t="str">
        <f>IFERROR(VLOOKUP($C1174,Observaciones!$A:$B,2,FALSE)," ")</f>
        <v>OC 42000000... INDIVIDUAL XOC Y CC, EL RESTO VENDEDOR DEBE ENVIAR INF Y OC SINO FACT XRUT</v>
      </c>
      <c r="M1174" t="s">
        <v>681</v>
      </c>
      <c r="O1174" s="5">
        <v>30850474</v>
      </c>
      <c r="P1174" s="5">
        <v>177844</v>
      </c>
      <c r="Q1174" s="5">
        <v>33790</v>
      </c>
      <c r="R1174" s="5">
        <v>211634</v>
      </c>
    </row>
    <row r="1175" spans="1:18" x14ac:dyDescent="0.25">
      <c r="A1175" t="s">
        <v>1034</v>
      </c>
      <c r="B1175" t="s">
        <v>494</v>
      </c>
      <c r="C1175">
        <v>76012833</v>
      </c>
      <c r="D1175">
        <v>14</v>
      </c>
      <c r="E1175">
        <v>30852386</v>
      </c>
      <c r="F1175" t="s">
        <v>1035</v>
      </c>
      <c r="G1175" s="1">
        <v>45236</v>
      </c>
      <c r="H1175">
        <v>5412455</v>
      </c>
      <c r="I1175">
        <v>50</v>
      </c>
      <c r="J1175" t="s">
        <v>376</v>
      </c>
      <c r="K1175" t="str">
        <f>IFERROR(IF(AND(VLOOKUP($C1175,Hes!$A:$B, 1, FALSE), $M1175&lt;&gt;" "), "Ingresada", "Falta Ingresar"), " ")</f>
        <v xml:space="preserve"> </v>
      </c>
      <c r="L1175" s="4" t="str">
        <f>IFERROR(VLOOKUP($C1175,Observaciones!$A:$B,2,FALSE)," ")</f>
        <v>OC 42000000... INDIVIDUAL XOC Y CC, EL RESTO VENDEDOR DEBE ENVIAR INF Y OC SINO FACT XRUT</v>
      </c>
      <c r="M1175" t="s">
        <v>681</v>
      </c>
      <c r="O1175" s="5">
        <v>30852386</v>
      </c>
      <c r="P1175" s="5">
        <v>110195</v>
      </c>
      <c r="Q1175" s="5">
        <v>20937</v>
      </c>
      <c r="R1175" s="5">
        <v>131132</v>
      </c>
    </row>
    <row r="1176" spans="1:18" x14ac:dyDescent="0.25">
      <c r="A1176" t="s">
        <v>1034</v>
      </c>
      <c r="B1176" t="s">
        <v>494</v>
      </c>
      <c r="C1176">
        <v>76012833</v>
      </c>
      <c r="D1176">
        <v>52</v>
      </c>
      <c r="E1176">
        <v>30854249</v>
      </c>
      <c r="F1176" t="s">
        <v>1035</v>
      </c>
      <c r="G1176" s="1">
        <v>45236</v>
      </c>
      <c r="H1176">
        <v>5413065</v>
      </c>
      <c r="I1176">
        <v>5</v>
      </c>
      <c r="J1176" t="s">
        <v>374</v>
      </c>
      <c r="K1176" t="str">
        <f>IFERROR(IF(AND(VLOOKUP($C1176,Hes!$A:$B, 1, FALSE), $M1176&lt;&gt;" "), "Ingresada", "Falta Ingresar"), " ")</f>
        <v xml:space="preserve"> </v>
      </c>
      <c r="L1176" s="4" t="str">
        <f>IFERROR(VLOOKUP($C1176,Observaciones!$A:$B,2,FALSE)," ")</f>
        <v>OC 42000000... INDIVIDUAL XOC Y CC, EL RESTO VENDEDOR DEBE ENVIAR INF Y OC SINO FACT XRUT</v>
      </c>
      <c r="M1176" t="s">
        <v>681</v>
      </c>
      <c r="O1176" s="5">
        <v>30854249</v>
      </c>
      <c r="P1176" s="5">
        <v>93748</v>
      </c>
      <c r="Q1176" s="5">
        <v>17812</v>
      </c>
      <c r="R1176" s="5">
        <v>111560</v>
      </c>
    </row>
    <row r="1177" spans="1:18" x14ac:dyDescent="0.25">
      <c r="A1177" t="s">
        <v>1034</v>
      </c>
      <c r="B1177" t="s">
        <v>494</v>
      </c>
      <c r="C1177">
        <v>76012833</v>
      </c>
      <c r="D1177">
        <v>28</v>
      </c>
      <c r="E1177">
        <v>30855021</v>
      </c>
      <c r="F1177" t="s">
        <v>1035</v>
      </c>
      <c r="G1177" s="1">
        <v>45236</v>
      </c>
      <c r="H1177">
        <v>5413170</v>
      </c>
      <c r="I1177">
        <v>5</v>
      </c>
      <c r="J1177" t="s">
        <v>374</v>
      </c>
      <c r="K1177" t="str">
        <f>IFERROR(IF(AND(VLOOKUP($C1177,Hes!$A:$B, 1, FALSE), $M1177&lt;&gt;" "), "Ingresada", "Falta Ingresar"), " ")</f>
        <v xml:space="preserve"> </v>
      </c>
      <c r="L1177" s="4" t="str">
        <f>IFERROR(VLOOKUP($C1177,Observaciones!$A:$B,2,FALSE)," ")</f>
        <v>OC 42000000... INDIVIDUAL XOC Y CC, EL RESTO VENDEDOR DEBE ENVIAR INF Y OC SINO FACT XRUT</v>
      </c>
      <c r="M1177" t="s">
        <v>681</v>
      </c>
      <c r="O1177" s="5">
        <v>30855021</v>
      </c>
      <c r="P1177" s="5">
        <v>238426</v>
      </c>
      <c r="Q1177" s="5">
        <v>45301</v>
      </c>
      <c r="R1177" s="5">
        <v>283727</v>
      </c>
    </row>
    <row r="1178" spans="1:18" x14ac:dyDescent="0.25">
      <c r="A1178" t="s">
        <v>1034</v>
      </c>
      <c r="B1178" t="s">
        <v>494</v>
      </c>
      <c r="C1178">
        <v>76012833</v>
      </c>
      <c r="D1178">
        <v>18</v>
      </c>
      <c r="E1178">
        <v>30853775</v>
      </c>
      <c r="F1178" t="s">
        <v>1035</v>
      </c>
      <c r="G1178" s="1">
        <v>45236</v>
      </c>
      <c r="H1178">
        <v>5413249</v>
      </c>
      <c r="I1178">
        <v>5</v>
      </c>
      <c r="J1178" t="s">
        <v>374</v>
      </c>
      <c r="K1178" t="str">
        <f>IFERROR(IF(AND(VLOOKUP($C1178,Hes!$A:$B, 1, FALSE), $M1178&lt;&gt;" "), "Ingresada", "Falta Ingresar"), " ")</f>
        <v xml:space="preserve"> </v>
      </c>
      <c r="L1178" s="4" t="str">
        <f>IFERROR(VLOOKUP($C1178,Observaciones!$A:$B,2,FALSE)," ")</f>
        <v>OC 42000000... INDIVIDUAL XOC Y CC, EL RESTO VENDEDOR DEBE ENVIAR INF Y OC SINO FACT XRUT</v>
      </c>
      <c r="M1178" t="s">
        <v>681</v>
      </c>
      <c r="O1178" s="5">
        <v>30853775</v>
      </c>
      <c r="P1178" s="5">
        <v>304666</v>
      </c>
      <c r="Q1178" s="5">
        <v>57887</v>
      </c>
      <c r="R1178" s="5">
        <v>362553</v>
      </c>
    </row>
    <row r="1179" spans="1:18" x14ac:dyDescent="0.25">
      <c r="A1179" t="s">
        <v>1034</v>
      </c>
      <c r="B1179" t="s">
        <v>494</v>
      </c>
      <c r="C1179">
        <v>76012833</v>
      </c>
      <c r="D1179">
        <v>41</v>
      </c>
      <c r="E1179">
        <v>30854307</v>
      </c>
      <c r="F1179" t="s">
        <v>1035</v>
      </c>
      <c r="G1179" s="1">
        <v>45236</v>
      </c>
      <c r="H1179">
        <v>5413272</v>
      </c>
      <c r="I1179">
        <v>5</v>
      </c>
      <c r="J1179" t="s">
        <v>374</v>
      </c>
      <c r="K1179" t="str">
        <f>IFERROR(IF(AND(VLOOKUP($C1179,Hes!$A:$B, 1, FALSE), $M1179&lt;&gt;" "), "Ingresada", "Falta Ingresar"), " ")</f>
        <v xml:space="preserve"> </v>
      </c>
      <c r="L1179" s="4" t="str">
        <f>IFERROR(VLOOKUP($C1179,Observaciones!$A:$B,2,FALSE)," ")</f>
        <v>OC 42000000... INDIVIDUAL XOC Y CC, EL RESTO VENDEDOR DEBE ENVIAR INF Y OC SINO FACT XRUT</v>
      </c>
      <c r="M1179" t="s">
        <v>681</v>
      </c>
      <c r="O1179" s="5">
        <v>30854307</v>
      </c>
      <c r="P1179" s="5">
        <v>106549</v>
      </c>
      <c r="Q1179" s="5">
        <v>20244</v>
      </c>
      <c r="R1179" s="5">
        <v>126793</v>
      </c>
    </row>
    <row r="1180" spans="1:18" x14ac:dyDescent="0.25">
      <c r="A1180" t="s">
        <v>1034</v>
      </c>
      <c r="B1180" t="s">
        <v>494</v>
      </c>
      <c r="C1180">
        <v>76012833</v>
      </c>
      <c r="D1180">
        <v>11</v>
      </c>
      <c r="E1180">
        <v>30857417</v>
      </c>
      <c r="F1180" t="s">
        <v>1035</v>
      </c>
      <c r="G1180" s="1">
        <v>45236</v>
      </c>
      <c r="H1180">
        <v>5413314</v>
      </c>
      <c r="I1180">
        <v>5</v>
      </c>
      <c r="J1180" t="s">
        <v>374</v>
      </c>
      <c r="K1180" t="str">
        <f>IFERROR(IF(AND(VLOOKUP($C1180,Hes!$A:$B, 1, FALSE), $M1180&lt;&gt;" "), "Ingresada", "Falta Ingresar"), " ")</f>
        <v xml:space="preserve"> </v>
      </c>
      <c r="L1180" s="4" t="str">
        <f>IFERROR(VLOOKUP($C1180,Observaciones!$A:$B,2,FALSE)," ")</f>
        <v>OC 42000000... INDIVIDUAL XOC Y CC, EL RESTO VENDEDOR DEBE ENVIAR INF Y OC SINO FACT XRUT</v>
      </c>
      <c r="M1180" t="s">
        <v>681</v>
      </c>
      <c r="O1180" s="5">
        <v>30857417</v>
      </c>
      <c r="P1180" s="5">
        <v>73262</v>
      </c>
      <c r="Q1180" s="5">
        <v>13920</v>
      </c>
      <c r="R1180" s="5">
        <v>87182</v>
      </c>
    </row>
    <row r="1181" spans="1:18" x14ac:dyDescent="0.25">
      <c r="A1181" t="s">
        <v>1034</v>
      </c>
      <c r="B1181" t="s">
        <v>494</v>
      </c>
      <c r="C1181">
        <v>76012833</v>
      </c>
      <c r="D1181">
        <v>43</v>
      </c>
      <c r="E1181">
        <v>30858094</v>
      </c>
      <c r="F1181" t="s">
        <v>1035</v>
      </c>
      <c r="G1181" s="1">
        <v>45236</v>
      </c>
      <c r="H1181">
        <v>5413605</v>
      </c>
      <c r="I1181">
        <v>5</v>
      </c>
      <c r="J1181" t="s">
        <v>374</v>
      </c>
      <c r="K1181" t="str">
        <f>IFERROR(IF(AND(VLOOKUP($C1181,Hes!$A:$B, 1, FALSE), $M1181&lt;&gt;" "), "Ingresada", "Falta Ingresar"), " ")</f>
        <v xml:space="preserve"> </v>
      </c>
      <c r="L1181" s="4" t="str">
        <f>IFERROR(VLOOKUP($C1181,Observaciones!$A:$B,2,FALSE)," ")</f>
        <v>OC 42000000... INDIVIDUAL XOC Y CC, EL RESTO VENDEDOR DEBE ENVIAR INF Y OC SINO FACT XRUT</v>
      </c>
      <c r="M1181" t="s">
        <v>681</v>
      </c>
      <c r="O1181" s="5">
        <v>30858094</v>
      </c>
      <c r="P1181" s="5">
        <v>37078</v>
      </c>
      <c r="Q1181" s="5">
        <v>7045</v>
      </c>
      <c r="R1181" s="5">
        <v>44123</v>
      </c>
    </row>
    <row r="1182" spans="1:18" x14ac:dyDescent="0.25">
      <c r="A1182" t="s">
        <v>1034</v>
      </c>
      <c r="B1182" t="s">
        <v>494</v>
      </c>
      <c r="C1182">
        <v>76012833</v>
      </c>
      <c r="D1182">
        <v>56</v>
      </c>
      <c r="E1182">
        <v>30856364</v>
      </c>
      <c r="F1182" t="s">
        <v>1035</v>
      </c>
      <c r="G1182" s="1">
        <v>45236</v>
      </c>
      <c r="H1182">
        <v>5413721</v>
      </c>
      <c r="I1182">
        <v>5</v>
      </c>
      <c r="J1182" t="s">
        <v>374</v>
      </c>
      <c r="K1182" t="str">
        <f>IFERROR(IF(AND(VLOOKUP($C1182,Hes!$A:$B, 1, FALSE), $M1182&lt;&gt;" "), "Ingresada", "Falta Ingresar"), " ")</f>
        <v xml:space="preserve"> </v>
      </c>
      <c r="L1182" s="4" t="str">
        <f>IFERROR(VLOOKUP($C1182,Observaciones!$A:$B,2,FALSE)," ")</f>
        <v>OC 42000000... INDIVIDUAL XOC Y CC, EL RESTO VENDEDOR DEBE ENVIAR INF Y OC SINO FACT XRUT</v>
      </c>
      <c r="M1182" t="s">
        <v>681</v>
      </c>
      <c r="O1182" s="5">
        <v>30856364</v>
      </c>
      <c r="P1182" s="5">
        <v>417066</v>
      </c>
      <c r="Q1182" s="5">
        <v>79243</v>
      </c>
      <c r="R1182" s="5">
        <v>496309</v>
      </c>
    </row>
    <row r="1183" spans="1:18" x14ac:dyDescent="0.25">
      <c r="A1183" t="s">
        <v>1034</v>
      </c>
      <c r="B1183" t="s">
        <v>494</v>
      </c>
      <c r="C1183">
        <v>76012833</v>
      </c>
      <c r="D1183">
        <v>73</v>
      </c>
      <c r="E1183">
        <v>30858202</v>
      </c>
      <c r="F1183" t="s">
        <v>1035</v>
      </c>
      <c r="G1183" s="1">
        <v>45237</v>
      </c>
      <c r="H1183">
        <v>5413958</v>
      </c>
      <c r="I1183">
        <v>5</v>
      </c>
      <c r="J1183" t="s">
        <v>374</v>
      </c>
      <c r="K1183" t="str">
        <f>IFERROR(IF(AND(VLOOKUP($C1183,Hes!$A:$B, 1, FALSE), $M1183&lt;&gt;" "), "Ingresada", "Falta Ingresar"), " ")</f>
        <v xml:space="preserve"> </v>
      </c>
      <c r="L1183" s="4" t="str">
        <f>IFERROR(VLOOKUP($C1183,Observaciones!$A:$B,2,FALSE)," ")</f>
        <v>OC 42000000... INDIVIDUAL XOC Y CC, EL RESTO VENDEDOR DEBE ENVIAR INF Y OC SINO FACT XRUT</v>
      </c>
      <c r="M1183" t="s">
        <v>681</v>
      </c>
      <c r="O1183" s="5">
        <v>30858202</v>
      </c>
      <c r="P1183" s="5">
        <v>190893</v>
      </c>
      <c r="Q1183" s="5">
        <v>36270</v>
      </c>
      <c r="R1183" s="5">
        <v>227163</v>
      </c>
    </row>
    <row r="1184" spans="1:18" x14ac:dyDescent="0.25">
      <c r="A1184" t="s">
        <v>1034</v>
      </c>
      <c r="B1184" t="s">
        <v>494</v>
      </c>
      <c r="C1184">
        <v>76012833</v>
      </c>
      <c r="D1184">
        <v>73</v>
      </c>
      <c r="E1184">
        <v>30858386</v>
      </c>
      <c r="F1184" t="s">
        <v>1035</v>
      </c>
      <c r="G1184" s="1">
        <v>45237</v>
      </c>
      <c r="H1184">
        <v>5414052</v>
      </c>
      <c r="I1184">
        <v>5</v>
      </c>
      <c r="J1184" t="s">
        <v>374</v>
      </c>
      <c r="K1184" t="str">
        <f>IFERROR(IF(AND(VLOOKUP($C1184,Hes!$A:$B, 1, FALSE), $M1184&lt;&gt;" "), "Ingresada", "Falta Ingresar"), " ")</f>
        <v xml:space="preserve"> </v>
      </c>
      <c r="L1184" s="4" t="str">
        <f>IFERROR(VLOOKUP($C1184,Observaciones!$A:$B,2,FALSE)," ")</f>
        <v>OC 42000000... INDIVIDUAL XOC Y CC, EL RESTO VENDEDOR DEBE ENVIAR INF Y OC SINO FACT XRUT</v>
      </c>
      <c r="M1184" t="s">
        <v>681</v>
      </c>
      <c r="O1184" s="5">
        <v>30858386</v>
      </c>
      <c r="P1184" s="5">
        <v>38806</v>
      </c>
      <c r="Q1184" s="5">
        <v>7373</v>
      </c>
      <c r="R1184" s="5">
        <v>46179</v>
      </c>
    </row>
    <row r="1185" spans="1:18" x14ac:dyDescent="0.25">
      <c r="A1185" t="s">
        <v>1034</v>
      </c>
      <c r="B1185" t="s">
        <v>494</v>
      </c>
      <c r="C1185">
        <v>76012833</v>
      </c>
      <c r="D1185">
        <v>63</v>
      </c>
      <c r="E1185">
        <v>30858233</v>
      </c>
      <c r="F1185" t="s">
        <v>1035</v>
      </c>
      <c r="G1185" s="1">
        <v>45237</v>
      </c>
      <c r="H1185">
        <v>5414055</v>
      </c>
      <c r="I1185">
        <v>5</v>
      </c>
      <c r="J1185" t="s">
        <v>374</v>
      </c>
      <c r="K1185" t="str">
        <f>IFERROR(IF(AND(VLOOKUP($C1185,Hes!$A:$B, 1, FALSE), $M1185&lt;&gt;" "), "Ingresada", "Falta Ingresar"), " ")</f>
        <v xml:space="preserve"> </v>
      </c>
      <c r="L1185" s="4" t="str">
        <f>IFERROR(VLOOKUP($C1185,Observaciones!$A:$B,2,FALSE)," ")</f>
        <v>OC 42000000... INDIVIDUAL XOC Y CC, EL RESTO VENDEDOR DEBE ENVIAR INF Y OC SINO FACT XRUT</v>
      </c>
      <c r="M1185" t="s">
        <v>681</v>
      </c>
      <c r="O1185" s="5">
        <v>30858233</v>
      </c>
      <c r="P1185" s="5">
        <v>56163</v>
      </c>
      <c r="Q1185" s="5">
        <v>10671</v>
      </c>
      <c r="R1185" s="5">
        <v>66834</v>
      </c>
    </row>
    <row r="1186" spans="1:18" x14ac:dyDescent="0.25">
      <c r="A1186" t="s">
        <v>1034</v>
      </c>
      <c r="B1186" t="s">
        <v>494</v>
      </c>
      <c r="C1186">
        <v>76012833</v>
      </c>
      <c r="D1186">
        <v>47</v>
      </c>
      <c r="E1186">
        <v>30860875</v>
      </c>
      <c r="F1186" t="s">
        <v>1035</v>
      </c>
      <c r="G1186" s="1">
        <v>45237</v>
      </c>
      <c r="H1186">
        <v>5414289</v>
      </c>
      <c r="I1186">
        <v>5</v>
      </c>
      <c r="J1186" t="s">
        <v>374</v>
      </c>
      <c r="K1186" t="str">
        <f>IFERROR(IF(AND(VLOOKUP($C1186,Hes!$A:$B, 1, FALSE), $M1186&lt;&gt;" "), "Ingresada", "Falta Ingresar"), " ")</f>
        <v xml:space="preserve"> </v>
      </c>
      <c r="L1186" s="4" t="str">
        <f>IFERROR(VLOOKUP($C1186,Observaciones!$A:$B,2,FALSE)," ")</f>
        <v>OC 42000000... INDIVIDUAL XOC Y CC, EL RESTO VENDEDOR DEBE ENVIAR INF Y OC SINO FACT XRUT</v>
      </c>
      <c r="M1186" t="s">
        <v>681</v>
      </c>
      <c r="O1186" s="5">
        <v>30860875</v>
      </c>
      <c r="P1186" s="5">
        <v>40164</v>
      </c>
      <c r="Q1186" s="5">
        <v>7631</v>
      </c>
      <c r="R1186" s="5">
        <v>47795</v>
      </c>
    </row>
    <row r="1187" spans="1:18" x14ac:dyDescent="0.25">
      <c r="A1187" t="s">
        <v>1034</v>
      </c>
      <c r="B1187" t="s">
        <v>494</v>
      </c>
      <c r="C1187">
        <v>76012833</v>
      </c>
      <c r="D1187">
        <v>49</v>
      </c>
      <c r="E1187">
        <v>30860195</v>
      </c>
      <c r="F1187" t="s">
        <v>1035</v>
      </c>
      <c r="G1187" s="1">
        <v>45237</v>
      </c>
      <c r="H1187">
        <v>5414352</v>
      </c>
      <c r="I1187">
        <v>5</v>
      </c>
      <c r="J1187" t="s">
        <v>374</v>
      </c>
      <c r="K1187" t="str">
        <f>IFERROR(IF(AND(VLOOKUP($C1187,Hes!$A:$B, 1, FALSE), $M1187&lt;&gt;" "), "Ingresada", "Falta Ingresar"), " ")</f>
        <v xml:space="preserve"> </v>
      </c>
      <c r="L1187" s="4" t="str">
        <f>IFERROR(VLOOKUP($C1187,Observaciones!$A:$B,2,FALSE)," ")</f>
        <v>OC 42000000... INDIVIDUAL XOC Y CC, EL RESTO VENDEDOR DEBE ENVIAR INF Y OC SINO FACT XRUT</v>
      </c>
      <c r="M1187" t="s">
        <v>681</v>
      </c>
      <c r="O1187" s="5">
        <v>30860195</v>
      </c>
      <c r="P1187" s="5">
        <v>179917</v>
      </c>
      <c r="Q1187" s="5">
        <v>34184</v>
      </c>
      <c r="R1187" s="5">
        <v>214101</v>
      </c>
    </row>
    <row r="1188" spans="1:18" x14ac:dyDescent="0.25">
      <c r="A1188" t="s">
        <v>1034</v>
      </c>
      <c r="B1188" t="s">
        <v>494</v>
      </c>
      <c r="C1188">
        <v>76012833</v>
      </c>
      <c r="D1188">
        <v>35</v>
      </c>
      <c r="E1188">
        <v>30861339</v>
      </c>
      <c r="F1188" t="s">
        <v>1035</v>
      </c>
      <c r="G1188" s="1">
        <v>45237</v>
      </c>
      <c r="H1188">
        <v>5414507</v>
      </c>
      <c r="I1188">
        <v>5</v>
      </c>
      <c r="J1188" t="s">
        <v>374</v>
      </c>
      <c r="K1188" t="str">
        <f>IFERROR(IF(AND(VLOOKUP($C1188,Hes!$A:$B, 1, FALSE), $M1188&lt;&gt;" "), "Ingresada", "Falta Ingresar"), " ")</f>
        <v xml:space="preserve"> </v>
      </c>
      <c r="L1188" s="4" t="str">
        <f>IFERROR(VLOOKUP($C1188,Observaciones!$A:$B,2,FALSE)," ")</f>
        <v>OC 42000000... INDIVIDUAL XOC Y CC, EL RESTO VENDEDOR DEBE ENVIAR INF Y OC SINO FACT XRUT</v>
      </c>
      <c r="M1188" t="s">
        <v>681</v>
      </c>
      <c r="O1188" s="5">
        <v>30861339</v>
      </c>
      <c r="P1188" s="5">
        <v>591121</v>
      </c>
      <c r="Q1188" s="5">
        <v>112313</v>
      </c>
      <c r="R1188" s="5">
        <v>703434</v>
      </c>
    </row>
    <row r="1189" spans="1:18" x14ac:dyDescent="0.25">
      <c r="A1189" t="s">
        <v>1034</v>
      </c>
      <c r="B1189" t="s">
        <v>494</v>
      </c>
      <c r="C1189">
        <v>76012833</v>
      </c>
      <c r="D1189">
        <v>29</v>
      </c>
      <c r="E1189">
        <v>30859727</v>
      </c>
      <c r="F1189" t="s">
        <v>1035</v>
      </c>
      <c r="G1189" s="1">
        <v>45238</v>
      </c>
      <c r="H1189">
        <v>5414589</v>
      </c>
      <c r="I1189">
        <v>5</v>
      </c>
      <c r="J1189" t="s">
        <v>374</v>
      </c>
      <c r="K1189" t="str">
        <f>IFERROR(IF(AND(VLOOKUP($C1189,Hes!$A:$B, 1, FALSE), $M1189&lt;&gt;" "), "Ingresada", "Falta Ingresar"), " ")</f>
        <v xml:space="preserve"> </v>
      </c>
      <c r="L1189" s="4" t="str">
        <f>IFERROR(VLOOKUP($C1189,Observaciones!$A:$B,2,FALSE)," ")</f>
        <v>OC 42000000... INDIVIDUAL XOC Y CC, EL RESTO VENDEDOR DEBE ENVIAR INF Y OC SINO FACT XRUT</v>
      </c>
      <c r="M1189" t="s">
        <v>681</v>
      </c>
      <c r="O1189" s="5">
        <v>30859727</v>
      </c>
      <c r="P1189" s="5">
        <v>83022</v>
      </c>
      <c r="Q1189" s="5">
        <v>15774</v>
      </c>
      <c r="R1189" s="5">
        <v>98796</v>
      </c>
    </row>
    <row r="1190" spans="1:18" x14ac:dyDescent="0.25">
      <c r="A1190" t="s">
        <v>1034</v>
      </c>
      <c r="B1190" t="s">
        <v>494</v>
      </c>
      <c r="C1190">
        <v>76012833</v>
      </c>
      <c r="D1190">
        <v>32</v>
      </c>
      <c r="E1190">
        <v>30856766</v>
      </c>
      <c r="F1190" t="s">
        <v>1035</v>
      </c>
      <c r="G1190" s="1">
        <v>45238</v>
      </c>
      <c r="H1190">
        <v>5414700</v>
      </c>
      <c r="I1190">
        <v>5</v>
      </c>
      <c r="J1190" t="s">
        <v>374</v>
      </c>
      <c r="K1190" t="str">
        <f>IFERROR(IF(AND(VLOOKUP($C1190,Hes!$A:$B, 1, FALSE), $M1190&lt;&gt;" "), "Ingresada", "Falta Ingresar"), " ")</f>
        <v xml:space="preserve"> </v>
      </c>
      <c r="L1190" s="4" t="str">
        <f>IFERROR(VLOOKUP($C1190,Observaciones!$A:$B,2,FALSE)," ")</f>
        <v>OC 42000000... INDIVIDUAL XOC Y CC, EL RESTO VENDEDOR DEBE ENVIAR INF Y OC SINO FACT XRUT</v>
      </c>
      <c r="M1190" t="s">
        <v>681</v>
      </c>
      <c r="O1190" s="5">
        <v>30856766</v>
      </c>
      <c r="P1190" s="5">
        <v>24788</v>
      </c>
      <c r="Q1190" s="5">
        <v>4710</v>
      </c>
      <c r="R1190" s="5">
        <v>29498</v>
      </c>
    </row>
    <row r="1191" spans="1:18" x14ac:dyDescent="0.25">
      <c r="A1191" t="s">
        <v>1034</v>
      </c>
      <c r="B1191" t="s">
        <v>494</v>
      </c>
      <c r="C1191">
        <v>76012833</v>
      </c>
      <c r="D1191">
        <v>70</v>
      </c>
      <c r="E1191">
        <v>30861512</v>
      </c>
      <c r="F1191" t="s">
        <v>1035</v>
      </c>
      <c r="G1191" s="1">
        <v>45238</v>
      </c>
      <c r="H1191">
        <v>5414911</v>
      </c>
      <c r="I1191">
        <v>5</v>
      </c>
      <c r="J1191" t="s">
        <v>374</v>
      </c>
      <c r="K1191" t="str">
        <f>IFERROR(IF(AND(VLOOKUP($C1191,Hes!$A:$B, 1, FALSE), $M1191&lt;&gt;" "), "Ingresada", "Falta Ingresar"), " ")</f>
        <v xml:space="preserve"> </v>
      </c>
      <c r="L1191" s="4" t="str">
        <f>IFERROR(VLOOKUP($C1191,Observaciones!$A:$B,2,FALSE)," ")</f>
        <v>OC 42000000... INDIVIDUAL XOC Y CC, EL RESTO VENDEDOR DEBE ENVIAR INF Y OC SINO FACT XRUT</v>
      </c>
      <c r="M1191" t="s">
        <v>681</v>
      </c>
      <c r="O1191" s="5">
        <v>30861512</v>
      </c>
      <c r="P1191" s="5">
        <v>211336</v>
      </c>
      <c r="Q1191" s="5">
        <v>40154</v>
      </c>
      <c r="R1191" s="5">
        <v>251490</v>
      </c>
    </row>
    <row r="1192" spans="1:18" x14ac:dyDescent="0.25">
      <c r="A1192" t="s">
        <v>1034</v>
      </c>
      <c r="B1192" t="s">
        <v>494</v>
      </c>
      <c r="C1192">
        <v>76012833</v>
      </c>
      <c r="D1192">
        <v>54</v>
      </c>
      <c r="E1192">
        <v>30863610</v>
      </c>
      <c r="F1192" t="s">
        <v>1035</v>
      </c>
      <c r="G1192" s="1">
        <v>45238</v>
      </c>
      <c r="H1192">
        <v>5415131</v>
      </c>
      <c r="I1192">
        <v>5</v>
      </c>
      <c r="J1192" t="s">
        <v>374</v>
      </c>
      <c r="K1192" t="str">
        <f>IFERROR(IF(AND(VLOOKUP($C1192,Hes!$A:$B, 1, FALSE), $M1192&lt;&gt;" "), "Ingresada", "Falta Ingresar"), " ")</f>
        <v xml:space="preserve"> </v>
      </c>
      <c r="L1192" s="4" t="str">
        <f>IFERROR(VLOOKUP($C1192,Observaciones!$A:$B,2,FALSE)," ")</f>
        <v>OC 42000000... INDIVIDUAL XOC Y CC, EL RESTO VENDEDOR DEBE ENVIAR INF Y OC SINO FACT XRUT</v>
      </c>
      <c r="M1192" t="s">
        <v>681</v>
      </c>
      <c r="O1192" s="5">
        <v>30863610</v>
      </c>
      <c r="P1192" s="5">
        <v>187351</v>
      </c>
      <c r="Q1192" s="5">
        <v>35597</v>
      </c>
      <c r="R1192" s="5">
        <v>222948</v>
      </c>
    </row>
    <row r="1193" spans="1:18" x14ac:dyDescent="0.25">
      <c r="A1193" t="s">
        <v>1034</v>
      </c>
      <c r="B1193" t="s">
        <v>494</v>
      </c>
      <c r="C1193">
        <v>76012833</v>
      </c>
      <c r="D1193">
        <v>32</v>
      </c>
      <c r="E1193">
        <v>30864422</v>
      </c>
      <c r="F1193" t="s">
        <v>1035</v>
      </c>
      <c r="G1193" s="1">
        <v>45238</v>
      </c>
      <c r="H1193">
        <v>5415233</v>
      </c>
      <c r="I1193">
        <v>5</v>
      </c>
      <c r="J1193" t="s">
        <v>374</v>
      </c>
      <c r="K1193" t="str">
        <f>IFERROR(IF(AND(VLOOKUP($C1193,Hes!$A:$B, 1, FALSE), $M1193&lt;&gt;" "), "Ingresada", "Falta Ingresar"), " ")</f>
        <v xml:space="preserve"> </v>
      </c>
      <c r="L1193" s="4" t="str">
        <f>IFERROR(VLOOKUP($C1193,Observaciones!$A:$B,2,FALSE)," ")</f>
        <v>OC 42000000... INDIVIDUAL XOC Y CC, EL RESTO VENDEDOR DEBE ENVIAR INF Y OC SINO FACT XRUT</v>
      </c>
      <c r="M1193" t="s">
        <v>681</v>
      </c>
      <c r="O1193" s="5">
        <v>30864422</v>
      </c>
      <c r="P1193" s="5">
        <v>57309</v>
      </c>
      <c r="Q1193" s="5">
        <v>10889</v>
      </c>
      <c r="R1193" s="5">
        <v>68198</v>
      </c>
    </row>
    <row r="1194" spans="1:18" x14ac:dyDescent="0.25">
      <c r="A1194" t="s">
        <v>1034</v>
      </c>
      <c r="B1194" t="s">
        <v>494</v>
      </c>
      <c r="C1194">
        <v>76012833</v>
      </c>
      <c r="D1194">
        <v>65</v>
      </c>
      <c r="E1194">
        <v>30865253</v>
      </c>
      <c r="F1194" t="s">
        <v>1035</v>
      </c>
      <c r="G1194" s="1">
        <v>45238</v>
      </c>
      <c r="H1194">
        <v>5415365</v>
      </c>
      <c r="I1194">
        <v>5</v>
      </c>
      <c r="J1194" t="s">
        <v>374</v>
      </c>
      <c r="K1194" t="str">
        <f>IFERROR(IF(AND(VLOOKUP($C1194,Hes!$A:$B, 1, FALSE), $M1194&lt;&gt;" "), "Ingresada", "Falta Ingresar"), " ")</f>
        <v xml:space="preserve"> </v>
      </c>
      <c r="L1194" s="4" t="str">
        <f>IFERROR(VLOOKUP($C1194,Observaciones!$A:$B,2,FALSE)," ")</f>
        <v>OC 42000000... INDIVIDUAL XOC Y CC, EL RESTO VENDEDOR DEBE ENVIAR INF Y OC SINO FACT XRUT</v>
      </c>
      <c r="M1194" t="s">
        <v>681</v>
      </c>
      <c r="O1194" s="5">
        <v>30865253</v>
      </c>
      <c r="P1194" s="5">
        <v>82221</v>
      </c>
      <c r="Q1194" s="5">
        <v>15622</v>
      </c>
      <c r="R1194" s="5">
        <v>97843</v>
      </c>
    </row>
    <row r="1195" spans="1:18" x14ac:dyDescent="0.25">
      <c r="A1195" t="s">
        <v>1034</v>
      </c>
      <c r="B1195" t="s">
        <v>494</v>
      </c>
      <c r="C1195">
        <v>76012833</v>
      </c>
      <c r="D1195">
        <v>64</v>
      </c>
      <c r="E1195">
        <v>30865544</v>
      </c>
      <c r="F1195" t="s">
        <v>1035</v>
      </c>
      <c r="G1195" s="1">
        <v>45238</v>
      </c>
      <c r="H1195">
        <v>5415475</v>
      </c>
      <c r="I1195">
        <v>5</v>
      </c>
      <c r="J1195" t="s">
        <v>374</v>
      </c>
      <c r="K1195" t="str">
        <f>IFERROR(IF(AND(VLOOKUP($C1195,Hes!$A:$B, 1, FALSE), $M1195&lt;&gt;" "), "Ingresada", "Falta Ingresar"), " ")</f>
        <v xml:space="preserve"> </v>
      </c>
      <c r="L1195" s="4" t="str">
        <f>IFERROR(VLOOKUP($C1195,Observaciones!$A:$B,2,FALSE)," ")</f>
        <v>OC 42000000... INDIVIDUAL XOC Y CC, EL RESTO VENDEDOR DEBE ENVIAR INF Y OC SINO FACT XRUT</v>
      </c>
      <c r="M1195" t="s">
        <v>681</v>
      </c>
      <c r="O1195" s="5">
        <v>30865544</v>
      </c>
      <c r="P1195" s="5">
        <v>111794</v>
      </c>
      <c r="Q1195" s="5">
        <v>21241</v>
      </c>
      <c r="R1195" s="5">
        <v>133035</v>
      </c>
    </row>
    <row r="1196" spans="1:18" x14ac:dyDescent="0.25">
      <c r="A1196" t="s">
        <v>1034</v>
      </c>
      <c r="B1196" t="s">
        <v>494</v>
      </c>
      <c r="C1196">
        <v>76012833</v>
      </c>
      <c r="D1196">
        <v>61</v>
      </c>
      <c r="E1196">
        <v>30864427</v>
      </c>
      <c r="F1196" t="s">
        <v>1035</v>
      </c>
      <c r="G1196" s="1">
        <v>45238</v>
      </c>
      <c r="H1196">
        <v>5415608</v>
      </c>
      <c r="I1196">
        <v>5</v>
      </c>
      <c r="J1196" t="s">
        <v>374</v>
      </c>
      <c r="K1196" t="str">
        <f>IFERROR(IF(AND(VLOOKUP($C1196,Hes!$A:$B, 1, FALSE), $M1196&lt;&gt;" "), "Ingresada", "Falta Ingresar"), " ")</f>
        <v xml:space="preserve"> </v>
      </c>
      <c r="L1196" s="4" t="str">
        <f>IFERROR(VLOOKUP($C1196,Observaciones!$A:$B,2,FALSE)," ")</f>
        <v>OC 42000000... INDIVIDUAL XOC Y CC, EL RESTO VENDEDOR DEBE ENVIAR INF Y OC SINO FACT XRUT</v>
      </c>
      <c r="M1196" t="s">
        <v>681</v>
      </c>
      <c r="O1196" s="5">
        <v>30864427</v>
      </c>
      <c r="P1196" s="5">
        <v>31550</v>
      </c>
      <c r="Q1196" s="5">
        <v>5995</v>
      </c>
      <c r="R1196" s="5">
        <v>37545</v>
      </c>
    </row>
    <row r="1197" spans="1:18" x14ac:dyDescent="0.25">
      <c r="A1197" t="s">
        <v>1034</v>
      </c>
      <c r="B1197" t="s">
        <v>494</v>
      </c>
      <c r="C1197">
        <v>76012833</v>
      </c>
      <c r="D1197">
        <v>61</v>
      </c>
      <c r="E1197">
        <v>30864863</v>
      </c>
      <c r="F1197" t="s">
        <v>1035</v>
      </c>
      <c r="G1197" s="1">
        <v>45238</v>
      </c>
      <c r="H1197">
        <v>5415809</v>
      </c>
      <c r="I1197">
        <v>5</v>
      </c>
      <c r="J1197" t="s">
        <v>374</v>
      </c>
      <c r="K1197" t="str">
        <f>IFERROR(IF(AND(VLOOKUP($C1197,Hes!$A:$B, 1, FALSE), $M1197&lt;&gt;" "), "Ingresada", "Falta Ingresar"), " ")</f>
        <v xml:space="preserve"> </v>
      </c>
      <c r="L1197" s="4" t="str">
        <f>IFERROR(VLOOKUP($C1197,Observaciones!$A:$B,2,FALSE)," ")</f>
        <v>OC 42000000... INDIVIDUAL XOC Y CC, EL RESTO VENDEDOR DEBE ENVIAR INF Y OC SINO FACT XRUT</v>
      </c>
      <c r="M1197" t="s">
        <v>681</v>
      </c>
      <c r="O1197" s="5">
        <v>30864863</v>
      </c>
      <c r="P1197" s="5">
        <v>78275</v>
      </c>
      <c r="Q1197" s="5">
        <v>14872</v>
      </c>
      <c r="R1197" s="5">
        <v>93147</v>
      </c>
    </row>
    <row r="1198" spans="1:18" x14ac:dyDescent="0.25">
      <c r="F1198" t="s">
        <v>1014</v>
      </c>
      <c r="K1198" t="str">
        <f>IFERROR(IF(AND(VLOOKUP($C1198,Hes!$A:$B, 1, FALSE), $M1198&lt;&gt;" "), "Ingresada", "Falta Ingresar"), " ")</f>
        <v xml:space="preserve"> </v>
      </c>
      <c r="L1198" s="4" t="str">
        <f>IFERROR(VLOOKUP($C1198,Observaciones!$A:$B,2,FALSE)," ")</f>
        <v xml:space="preserve"> </v>
      </c>
      <c r="M1198" t="s">
        <v>681</v>
      </c>
      <c r="P1198" s="5">
        <v>5078880</v>
      </c>
      <c r="Q1198" s="5">
        <v>964989</v>
      </c>
      <c r="R1198" s="5">
        <v>6043869</v>
      </c>
    </row>
    <row r="1199" spans="1:18" x14ac:dyDescent="0.25">
      <c r="A1199" t="s">
        <v>496</v>
      </c>
      <c r="B1199" t="s">
        <v>494</v>
      </c>
      <c r="C1199">
        <v>76014318</v>
      </c>
      <c r="D1199">
        <v>8</v>
      </c>
      <c r="E1199" t="s">
        <v>1036</v>
      </c>
      <c r="F1199" t="s">
        <v>1037</v>
      </c>
      <c r="G1199" s="1">
        <v>45232</v>
      </c>
      <c r="H1199">
        <v>5410772</v>
      </c>
      <c r="I1199">
        <v>321</v>
      </c>
      <c r="J1199" t="s">
        <v>202</v>
      </c>
      <c r="K1199" t="str">
        <f>IFERROR(IF(AND(VLOOKUP($C1199,Hes!$A:$B, 1, FALSE), $M1199&lt;&gt;" "), "Ingresada", "Falta Ingresar"), " ")</f>
        <v xml:space="preserve"> </v>
      </c>
      <c r="L1199" s="4" t="str">
        <f>IFERROR(VLOOKUP($C1199,Observaciones!$A:$B,2,FALSE)," ")</f>
        <v>XOC Y CC</v>
      </c>
      <c r="M1199" t="s">
        <v>681</v>
      </c>
      <c r="O1199" s="5">
        <v>30845632</v>
      </c>
      <c r="P1199" s="5">
        <v>28184</v>
      </c>
      <c r="Q1199" s="5">
        <v>5355</v>
      </c>
      <c r="R1199" s="5">
        <v>33539</v>
      </c>
    </row>
    <row r="1200" spans="1:18" x14ac:dyDescent="0.25">
      <c r="A1200" t="s">
        <v>496</v>
      </c>
      <c r="B1200" t="s">
        <v>494</v>
      </c>
      <c r="C1200">
        <v>76014318</v>
      </c>
      <c r="D1200">
        <v>19</v>
      </c>
      <c r="E1200" t="s">
        <v>1038</v>
      </c>
      <c r="F1200" t="s">
        <v>1037</v>
      </c>
      <c r="G1200" s="1">
        <v>45232</v>
      </c>
      <c r="H1200">
        <v>5410773</v>
      </c>
      <c r="I1200">
        <v>321</v>
      </c>
      <c r="J1200" t="s">
        <v>202</v>
      </c>
      <c r="K1200" t="str">
        <f>IFERROR(IF(AND(VLOOKUP($C1200,Hes!$A:$B, 1, FALSE), $M1200&lt;&gt;" "), "Ingresada", "Falta Ingresar"), " ")</f>
        <v xml:space="preserve"> </v>
      </c>
      <c r="L1200" s="4" t="str">
        <f>IFERROR(VLOOKUP($C1200,Observaciones!$A:$B,2,FALSE)," ")</f>
        <v>XOC Y CC</v>
      </c>
      <c r="M1200" t="s">
        <v>681</v>
      </c>
      <c r="O1200" s="5">
        <v>30845655</v>
      </c>
      <c r="P1200" s="5">
        <v>28184</v>
      </c>
      <c r="Q1200" s="5">
        <v>5355</v>
      </c>
      <c r="R1200" s="5">
        <v>33539</v>
      </c>
    </row>
    <row r="1201" spans="1:18" x14ac:dyDescent="0.25">
      <c r="F1201" t="s">
        <v>497</v>
      </c>
      <c r="K1201" t="str">
        <f>IFERROR(IF(AND(VLOOKUP($C1201,Hes!$A:$B, 1, FALSE), $M1201&lt;&gt;" "), "Ingresada", "Falta Ingresar"), " ")</f>
        <v xml:space="preserve"> </v>
      </c>
      <c r="L1201" s="4" t="str">
        <f>IFERROR(VLOOKUP($C1201,Observaciones!$A:$B,2,FALSE)," ")</f>
        <v xml:space="preserve"> </v>
      </c>
      <c r="M1201" t="s">
        <v>681</v>
      </c>
      <c r="P1201" s="5">
        <v>56368</v>
      </c>
      <c r="Q1201" s="5">
        <v>10710</v>
      </c>
      <c r="R1201" s="5">
        <v>67078</v>
      </c>
    </row>
    <row r="1202" spans="1:18" x14ac:dyDescent="0.25">
      <c r="A1202" t="s">
        <v>496</v>
      </c>
      <c r="B1202" t="s">
        <v>494</v>
      </c>
      <c r="C1202">
        <v>76014662</v>
      </c>
      <c r="D1202">
        <v>0</v>
      </c>
      <c r="E1202">
        <v>8201047806</v>
      </c>
      <c r="F1202" t="s">
        <v>1039</v>
      </c>
      <c r="G1202" s="1">
        <v>45233</v>
      </c>
      <c r="H1202">
        <v>5411614</v>
      </c>
      <c r="I1202">
        <v>52</v>
      </c>
      <c r="J1202" t="s">
        <v>311</v>
      </c>
      <c r="K1202" t="str">
        <f>IFERROR(IF(AND(VLOOKUP($C1202,Hes!$A:$B, 1, FALSE), $M1202&lt;&gt;" "), "Ingresada", "Falta Ingresar"), " ")</f>
        <v xml:space="preserve"> </v>
      </c>
      <c r="L1202" s="4" t="str">
        <f>IFERROR(VLOOKUP($C1202,Observaciones!$A:$B,2,FALSE)," ")</f>
        <v xml:space="preserve"> </v>
      </c>
      <c r="M1202" t="s">
        <v>681</v>
      </c>
      <c r="O1202" s="5">
        <v>30849386</v>
      </c>
      <c r="P1202" s="5">
        <v>27760</v>
      </c>
      <c r="Q1202" s="5">
        <v>5274</v>
      </c>
      <c r="R1202" s="5">
        <v>33034</v>
      </c>
    </row>
    <row r="1203" spans="1:18" x14ac:dyDescent="0.25">
      <c r="F1203" t="s">
        <v>495</v>
      </c>
      <c r="K1203" t="str">
        <f>IFERROR(IF(AND(VLOOKUP($C1203,Hes!$A:$B, 1, FALSE), $M1203&lt;&gt;" "), "Ingresada", "Falta Ingresar"), " ")</f>
        <v xml:space="preserve"> </v>
      </c>
      <c r="L1203" s="4" t="str">
        <f>IFERROR(VLOOKUP($C1203,Observaciones!$A:$B,2,FALSE)," ")</f>
        <v xml:space="preserve"> </v>
      </c>
      <c r="M1203" t="s">
        <v>681</v>
      </c>
      <c r="P1203" s="5">
        <v>27760</v>
      </c>
      <c r="Q1203" s="5">
        <v>5274</v>
      </c>
      <c r="R1203" s="5">
        <v>33034</v>
      </c>
    </row>
    <row r="1204" spans="1:18" x14ac:dyDescent="0.25">
      <c r="A1204" t="s">
        <v>503</v>
      </c>
      <c r="B1204" t="s">
        <v>494</v>
      </c>
      <c r="C1204">
        <v>76023267</v>
      </c>
      <c r="D1204">
        <v>14</v>
      </c>
      <c r="E1204" t="s">
        <v>1040</v>
      </c>
      <c r="F1204" t="s">
        <v>1041</v>
      </c>
      <c r="G1204" s="1">
        <v>45236</v>
      </c>
      <c r="H1204">
        <v>5413556</v>
      </c>
      <c r="I1204">
        <v>108</v>
      </c>
      <c r="J1204" t="s">
        <v>196</v>
      </c>
      <c r="K1204" t="str">
        <f>IFERROR(IF(AND(VLOOKUP($C1204,Hes!$A:$B, 1, FALSE), $M1204&lt;&gt;" "), "Ingresada", "Falta Ingresar"), " ")</f>
        <v xml:space="preserve"> </v>
      </c>
      <c r="L1204" s="4" t="s">
        <v>681</v>
      </c>
      <c r="M1204" t="s">
        <v>681</v>
      </c>
      <c r="O1204" s="5">
        <v>30856672</v>
      </c>
      <c r="P1204" s="5">
        <v>7911</v>
      </c>
      <c r="Q1204" s="5">
        <v>1503</v>
      </c>
      <c r="R1204" s="5">
        <v>9414</v>
      </c>
    </row>
    <row r="1205" spans="1:18" x14ac:dyDescent="0.25">
      <c r="A1205" t="s">
        <v>503</v>
      </c>
      <c r="B1205" t="s">
        <v>494</v>
      </c>
      <c r="C1205">
        <v>76023267</v>
      </c>
      <c r="D1205">
        <v>5</v>
      </c>
      <c r="E1205" t="s">
        <v>1042</v>
      </c>
      <c r="F1205" t="s">
        <v>1041</v>
      </c>
      <c r="G1205" s="1">
        <v>45238</v>
      </c>
      <c r="H1205">
        <v>5415443</v>
      </c>
      <c r="I1205">
        <v>108</v>
      </c>
      <c r="J1205" t="s">
        <v>196</v>
      </c>
      <c r="K1205" t="str">
        <f>IFERROR(IF(AND(VLOOKUP($C1205,Hes!$A:$B, 1, FALSE), $M1205&lt;&gt;" "), "Ingresada", "Falta Ingresar"), " ")</f>
        <v xml:space="preserve"> </v>
      </c>
      <c r="L1205" s="4" t="s">
        <v>681</v>
      </c>
      <c r="M1205" t="s">
        <v>681</v>
      </c>
      <c r="O1205" s="5">
        <v>30854359</v>
      </c>
      <c r="P1205" s="5">
        <v>136700</v>
      </c>
      <c r="Q1205" s="5">
        <v>25973</v>
      </c>
      <c r="R1205" s="5">
        <v>162673</v>
      </c>
    </row>
    <row r="1206" spans="1:18" x14ac:dyDescent="0.25">
      <c r="A1206" t="s">
        <v>503</v>
      </c>
      <c r="B1206" t="s">
        <v>494</v>
      </c>
      <c r="C1206">
        <v>76023267</v>
      </c>
      <c r="D1206">
        <v>15</v>
      </c>
      <c r="E1206" t="s">
        <v>1043</v>
      </c>
      <c r="F1206" t="s">
        <v>1041</v>
      </c>
      <c r="G1206" s="1">
        <v>45238</v>
      </c>
      <c r="H1206">
        <v>5415463</v>
      </c>
      <c r="I1206">
        <v>108</v>
      </c>
      <c r="J1206" t="s">
        <v>196</v>
      </c>
      <c r="K1206" t="str">
        <f>IFERROR(IF(AND(VLOOKUP($C1206,Hes!$A:$B, 1, FALSE), $M1206&lt;&gt;" "), "Ingresada", "Falta Ingresar"), " ")</f>
        <v xml:space="preserve"> </v>
      </c>
      <c r="L1206" s="4" t="s">
        <v>681</v>
      </c>
      <c r="M1206" t="s">
        <v>681</v>
      </c>
      <c r="O1206" s="5">
        <v>30854026</v>
      </c>
      <c r="P1206" s="5">
        <v>118040</v>
      </c>
      <c r="Q1206" s="5">
        <v>22428</v>
      </c>
      <c r="R1206" s="5">
        <v>140468</v>
      </c>
    </row>
    <row r="1207" spans="1:18" x14ac:dyDescent="0.25">
      <c r="F1207" t="s">
        <v>500</v>
      </c>
      <c r="K1207" t="str">
        <f>IFERROR(IF(AND(VLOOKUP($C1207,Hes!$A:$B, 1, FALSE), $M1207&lt;&gt;" "), "Ingresada", "Falta Ingresar"), " ")</f>
        <v xml:space="preserve"> </v>
      </c>
      <c r="L1207" s="4" t="str">
        <f>IFERROR(VLOOKUP($C1207,Observaciones!$A:$B,2,FALSE)," ")</f>
        <v xml:space="preserve"> </v>
      </c>
      <c r="M1207" t="s">
        <v>681</v>
      </c>
      <c r="P1207" s="5">
        <v>262651</v>
      </c>
      <c r="Q1207" s="5">
        <v>49904</v>
      </c>
      <c r="R1207" s="5">
        <v>312555</v>
      </c>
    </row>
    <row r="1208" spans="1:18" x14ac:dyDescent="0.25">
      <c r="A1208" t="s">
        <v>501</v>
      </c>
      <c r="B1208" t="s">
        <v>494</v>
      </c>
      <c r="C1208">
        <v>76024303</v>
      </c>
      <c r="D1208">
        <v>0</v>
      </c>
      <c r="E1208">
        <v>1300</v>
      </c>
      <c r="F1208" t="s">
        <v>1044</v>
      </c>
      <c r="G1208" s="1">
        <v>45236</v>
      </c>
      <c r="H1208">
        <v>5413543</v>
      </c>
      <c r="I1208">
        <v>72</v>
      </c>
      <c r="J1208" t="s">
        <v>176</v>
      </c>
      <c r="K1208" t="str">
        <f>IFERROR(IF(AND(VLOOKUP($C1208,Hes!$A:$B, 1, FALSE), $M1208&lt;&gt;" "), "Ingresada", "Falta Ingresar"), " ")</f>
        <v xml:space="preserve"> </v>
      </c>
      <c r="L1208" s="4" t="str">
        <f>IFERROR(VLOOKUP($C1208,Observaciones!$A:$B,2,FALSE)," ")</f>
        <v xml:space="preserve"> </v>
      </c>
      <c r="M1208" t="s">
        <v>681</v>
      </c>
      <c r="O1208" s="5">
        <v>30851732</v>
      </c>
      <c r="P1208" s="5">
        <v>57321</v>
      </c>
      <c r="Q1208" s="5">
        <v>10891</v>
      </c>
      <c r="R1208" s="5">
        <v>68212</v>
      </c>
    </row>
    <row r="1209" spans="1:18" x14ac:dyDescent="0.25">
      <c r="F1209" t="s">
        <v>495</v>
      </c>
      <c r="K1209" t="str">
        <f>IFERROR(IF(AND(VLOOKUP($C1209,Hes!$A:$B, 1, FALSE), $M1209&lt;&gt;" "), "Ingresada", "Falta Ingresar"), " ")</f>
        <v xml:space="preserve"> </v>
      </c>
      <c r="L1209" s="4" t="str">
        <f>IFERROR(VLOOKUP($C1209,Observaciones!$A:$B,2,FALSE)," ")</f>
        <v xml:space="preserve"> </v>
      </c>
      <c r="M1209" t="s">
        <v>681</v>
      </c>
      <c r="P1209" s="5">
        <v>57321</v>
      </c>
      <c r="Q1209" s="5">
        <v>10891</v>
      </c>
      <c r="R1209" s="5">
        <v>68212</v>
      </c>
    </row>
    <row r="1210" spans="1:18" x14ac:dyDescent="0.25">
      <c r="A1210" t="s">
        <v>496</v>
      </c>
      <c r="B1210" t="s">
        <v>502</v>
      </c>
      <c r="C1210">
        <v>76024565</v>
      </c>
      <c r="D1210">
        <v>0</v>
      </c>
      <c r="E1210">
        <v>4500053937</v>
      </c>
      <c r="F1210" t="s">
        <v>1045</v>
      </c>
      <c r="G1210" s="1">
        <v>45233</v>
      </c>
      <c r="H1210">
        <v>5411660</v>
      </c>
      <c r="I1210">
        <v>193</v>
      </c>
      <c r="J1210" t="s">
        <v>346</v>
      </c>
      <c r="K1210" t="str">
        <f>IFERROR(IF(AND(VLOOKUP($C1210,Hes!$A:$B, 1, FALSE), $M1210&lt;&gt;" "), "Ingresada", "Falta Ingresar"), " ")</f>
        <v xml:space="preserve"> </v>
      </c>
      <c r="L1210" s="4" t="s">
        <v>681</v>
      </c>
      <c r="M1210" t="s">
        <v>681</v>
      </c>
      <c r="O1210" s="5">
        <v>30843481</v>
      </c>
      <c r="P1210" s="5">
        <v>365338</v>
      </c>
      <c r="Q1210" s="5">
        <v>69414</v>
      </c>
      <c r="R1210" s="5">
        <v>455148</v>
      </c>
    </row>
    <row r="1211" spans="1:18" x14ac:dyDescent="0.25">
      <c r="A1211" t="s">
        <v>496</v>
      </c>
      <c r="B1211" t="s">
        <v>502</v>
      </c>
      <c r="C1211">
        <v>76024565</v>
      </c>
      <c r="D1211">
        <v>0</v>
      </c>
      <c r="E1211">
        <v>4500053937</v>
      </c>
      <c r="F1211" t="s">
        <v>1045</v>
      </c>
      <c r="G1211" s="1">
        <v>45233</v>
      </c>
      <c r="H1211">
        <v>5411661</v>
      </c>
      <c r="I1211">
        <v>193</v>
      </c>
      <c r="J1211" t="s">
        <v>346</v>
      </c>
      <c r="K1211" t="str">
        <f>IFERROR(IF(AND(VLOOKUP($C1211,Hes!$A:$B, 1, FALSE), $M1211&lt;&gt;" "), "Ingresada", "Falta Ingresar"), " ")</f>
        <v xml:space="preserve"> </v>
      </c>
      <c r="L1211" s="4" t="s">
        <v>681</v>
      </c>
      <c r="M1211" t="s">
        <v>681</v>
      </c>
      <c r="O1211" s="5">
        <v>30843481</v>
      </c>
      <c r="P1211" s="5">
        <v>60215</v>
      </c>
      <c r="Q1211" s="5">
        <v>11441</v>
      </c>
      <c r="R1211" s="5">
        <v>71656</v>
      </c>
    </row>
    <row r="1212" spans="1:18" x14ac:dyDescent="0.25">
      <c r="F1212" t="s">
        <v>497</v>
      </c>
      <c r="K1212" t="str">
        <f>IFERROR(IF(AND(VLOOKUP($C1212,Hes!$A:$B, 1, FALSE), $M1212&lt;&gt;" "), "Ingresada", "Falta Ingresar"), " ")</f>
        <v xml:space="preserve"> </v>
      </c>
      <c r="L1212" s="4" t="str">
        <f>IFERROR(VLOOKUP($C1212,Observaciones!$A:$B,2,FALSE)," ")</f>
        <v xml:space="preserve"> </v>
      </c>
      <c r="M1212" t="s">
        <v>681</v>
      </c>
      <c r="P1212" s="5">
        <v>425553</v>
      </c>
      <c r="Q1212" s="5">
        <v>80855</v>
      </c>
      <c r="R1212" s="5">
        <v>526804</v>
      </c>
    </row>
    <row r="1213" spans="1:18" x14ac:dyDescent="0.25">
      <c r="A1213" t="s">
        <v>520</v>
      </c>
      <c r="B1213" t="s">
        <v>494</v>
      </c>
      <c r="C1213">
        <v>76025494</v>
      </c>
      <c r="D1213">
        <v>12</v>
      </c>
      <c r="E1213">
        <v>30845076</v>
      </c>
      <c r="F1213" t="s">
        <v>1046</v>
      </c>
      <c r="G1213" s="1">
        <v>45232</v>
      </c>
      <c r="H1213">
        <v>5410682</v>
      </c>
      <c r="I1213">
        <v>14</v>
      </c>
      <c r="J1213" t="s">
        <v>309</v>
      </c>
      <c r="K1213" t="str">
        <f>IFERROR(IF(AND(VLOOKUP($C1213,Hes!$A:$B, 1, FALSE), $M1213&lt;&gt;" "), "Ingresada", "Falta Ingresar"), " ")</f>
        <v xml:space="preserve"> </v>
      </c>
      <c r="L1213" s="4" t="str">
        <f>IFERROR(VLOOKUP($C1213,Observaciones!$A:$B,2,FALSE)," ")</f>
        <v>UNA FACTURA POR TODO</v>
      </c>
      <c r="M1213" t="s">
        <v>681</v>
      </c>
      <c r="O1213" s="5">
        <v>30845076</v>
      </c>
      <c r="P1213" s="5">
        <v>64702</v>
      </c>
      <c r="Q1213" s="5">
        <v>12293</v>
      </c>
      <c r="R1213" s="5">
        <v>76995</v>
      </c>
    </row>
    <row r="1214" spans="1:18" x14ac:dyDescent="0.25">
      <c r="A1214" t="s">
        <v>520</v>
      </c>
      <c r="B1214" t="s">
        <v>494</v>
      </c>
      <c r="C1214">
        <v>76025494</v>
      </c>
      <c r="D1214">
        <v>1904</v>
      </c>
      <c r="E1214">
        <v>30844687</v>
      </c>
      <c r="F1214" t="s">
        <v>1046</v>
      </c>
      <c r="G1214" s="1">
        <v>45232</v>
      </c>
      <c r="H1214">
        <v>5410733</v>
      </c>
      <c r="I1214">
        <v>14</v>
      </c>
      <c r="J1214" t="s">
        <v>309</v>
      </c>
      <c r="K1214" t="str">
        <f>IFERROR(IF(AND(VLOOKUP($C1214,Hes!$A:$B, 1, FALSE), $M1214&lt;&gt;" "), "Ingresada", "Falta Ingresar"), " ")</f>
        <v xml:space="preserve"> </v>
      </c>
      <c r="L1214" s="4" t="str">
        <f>IFERROR(VLOOKUP($C1214,Observaciones!$A:$B,2,FALSE)," ")</f>
        <v>UNA FACTURA POR TODO</v>
      </c>
      <c r="M1214" t="s">
        <v>681</v>
      </c>
      <c r="O1214" s="5">
        <v>30844687</v>
      </c>
      <c r="P1214" s="5">
        <v>56563</v>
      </c>
      <c r="Q1214" s="5">
        <v>10747</v>
      </c>
      <c r="R1214" s="5">
        <v>67310</v>
      </c>
    </row>
    <row r="1215" spans="1:18" x14ac:dyDescent="0.25">
      <c r="A1215" t="s">
        <v>520</v>
      </c>
      <c r="B1215" t="s">
        <v>494</v>
      </c>
      <c r="C1215">
        <v>76025494</v>
      </c>
      <c r="D1215">
        <v>1452</v>
      </c>
      <c r="E1215">
        <v>30844164</v>
      </c>
      <c r="F1215" t="s">
        <v>1046</v>
      </c>
      <c r="G1215" s="1">
        <v>45231</v>
      </c>
      <c r="H1215">
        <v>5410858</v>
      </c>
      <c r="I1215">
        <v>14</v>
      </c>
      <c r="J1215" t="s">
        <v>309</v>
      </c>
      <c r="K1215" t="str">
        <f>IFERROR(IF(AND(VLOOKUP($C1215,Hes!$A:$B, 1, FALSE), $M1215&lt;&gt;" "), "Ingresada", "Falta Ingresar"), " ")</f>
        <v xml:space="preserve"> </v>
      </c>
      <c r="L1215" s="4" t="str">
        <f>IFERROR(VLOOKUP($C1215,Observaciones!$A:$B,2,FALSE)," ")</f>
        <v>UNA FACTURA POR TODO</v>
      </c>
      <c r="M1215" t="s">
        <v>681</v>
      </c>
      <c r="O1215" s="5">
        <v>30844164</v>
      </c>
      <c r="P1215" s="5">
        <v>64470</v>
      </c>
      <c r="Q1215" s="5">
        <v>12249</v>
      </c>
      <c r="R1215" s="5">
        <v>76719</v>
      </c>
    </row>
    <row r="1216" spans="1:18" x14ac:dyDescent="0.25">
      <c r="A1216" t="s">
        <v>520</v>
      </c>
      <c r="B1216" t="s">
        <v>494</v>
      </c>
      <c r="C1216">
        <v>76025494</v>
      </c>
      <c r="D1216">
        <v>4110</v>
      </c>
      <c r="E1216">
        <v>30843469</v>
      </c>
      <c r="F1216" t="s">
        <v>1046</v>
      </c>
      <c r="G1216" s="1">
        <v>45232</v>
      </c>
      <c r="H1216">
        <v>5411117</v>
      </c>
      <c r="I1216">
        <v>14</v>
      </c>
      <c r="J1216" t="s">
        <v>309</v>
      </c>
      <c r="K1216" t="str">
        <f>IFERROR(IF(AND(VLOOKUP($C1216,Hes!$A:$B, 1, FALSE), $M1216&lt;&gt;" "), "Ingresada", "Falta Ingresar"), " ")</f>
        <v xml:space="preserve"> </v>
      </c>
      <c r="L1216" s="4" t="str">
        <f>IFERROR(VLOOKUP($C1216,Observaciones!$A:$B,2,FALSE)," ")</f>
        <v>UNA FACTURA POR TODO</v>
      </c>
      <c r="M1216" t="s">
        <v>681</v>
      </c>
      <c r="O1216" s="5">
        <v>30843469</v>
      </c>
      <c r="P1216" s="5">
        <v>59925</v>
      </c>
      <c r="Q1216" s="5">
        <v>11386</v>
      </c>
      <c r="R1216" s="5">
        <v>71311</v>
      </c>
    </row>
    <row r="1217" spans="1:18" x14ac:dyDescent="0.25">
      <c r="A1217" t="s">
        <v>520</v>
      </c>
      <c r="B1217" t="s">
        <v>494</v>
      </c>
      <c r="C1217">
        <v>76025494</v>
      </c>
      <c r="D1217">
        <v>1641</v>
      </c>
      <c r="E1217">
        <v>30843009</v>
      </c>
      <c r="F1217" t="s">
        <v>1046</v>
      </c>
      <c r="G1217" s="1">
        <v>45232</v>
      </c>
      <c r="H1217">
        <v>5411121</v>
      </c>
      <c r="I1217">
        <v>14</v>
      </c>
      <c r="J1217" t="s">
        <v>309</v>
      </c>
      <c r="K1217" t="str">
        <f>IFERROR(IF(AND(VLOOKUP($C1217,Hes!$A:$B, 1, FALSE), $M1217&lt;&gt;" "), "Ingresada", "Falta Ingresar"), " ")</f>
        <v xml:space="preserve"> </v>
      </c>
      <c r="L1217" s="4" t="str">
        <f>IFERROR(VLOOKUP($C1217,Observaciones!$A:$B,2,FALSE)," ")</f>
        <v>UNA FACTURA POR TODO</v>
      </c>
      <c r="M1217" t="s">
        <v>681</v>
      </c>
      <c r="O1217" s="5">
        <v>30843009</v>
      </c>
      <c r="P1217" s="5">
        <v>71974</v>
      </c>
      <c r="Q1217" s="5">
        <v>13675</v>
      </c>
      <c r="R1217" s="5">
        <v>85649</v>
      </c>
    </row>
    <row r="1218" spans="1:18" x14ac:dyDescent="0.25">
      <c r="A1218" t="s">
        <v>520</v>
      </c>
      <c r="B1218" t="s">
        <v>494</v>
      </c>
      <c r="C1218">
        <v>76025494</v>
      </c>
      <c r="D1218">
        <v>34</v>
      </c>
      <c r="E1218" t="s">
        <v>1047</v>
      </c>
      <c r="F1218" t="s">
        <v>1046</v>
      </c>
      <c r="G1218" s="1">
        <v>45232</v>
      </c>
      <c r="H1218">
        <v>5411139</v>
      </c>
      <c r="I1218">
        <v>14</v>
      </c>
      <c r="J1218" t="s">
        <v>309</v>
      </c>
      <c r="K1218" t="str">
        <f>IFERROR(IF(AND(VLOOKUP($C1218,Hes!$A:$B, 1, FALSE), $M1218&lt;&gt;" "), "Ingresada", "Falta Ingresar"), " ")</f>
        <v xml:space="preserve"> </v>
      </c>
      <c r="L1218" s="4" t="str">
        <f>IFERROR(VLOOKUP($C1218,Observaciones!$A:$B,2,FALSE)," ")</f>
        <v>UNA FACTURA POR TODO</v>
      </c>
      <c r="M1218" t="s">
        <v>681</v>
      </c>
      <c r="O1218" s="5">
        <v>30846663</v>
      </c>
      <c r="P1218" s="5">
        <v>98184</v>
      </c>
      <c r="Q1218" s="5">
        <v>18655</v>
      </c>
      <c r="R1218" s="5">
        <v>116839</v>
      </c>
    </row>
    <row r="1219" spans="1:18" x14ac:dyDescent="0.25">
      <c r="A1219" t="s">
        <v>520</v>
      </c>
      <c r="B1219" t="s">
        <v>494</v>
      </c>
      <c r="C1219">
        <v>76025494</v>
      </c>
      <c r="D1219">
        <v>1847</v>
      </c>
      <c r="E1219" t="s">
        <v>1048</v>
      </c>
      <c r="F1219" t="s">
        <v>1046</v>
      </c>
      <c r="G1219" s="1">
        <v>45232</v>
      </c>
      <c r="H1219">
        <v>5411181</v>
      </c>
      <c r="I1219">
        <v>14</v>
      </c>
      <c r="J1219" t="s">
        <v>309</v>
      </c>
      <c r="K1219" t="str">
        <f>IFERROR(IF(AND(VLOOKUP($C1219,Hes!$A:$B, 1, FALSE), $M1219&lt;&gt;" "), "Ingresada", "Falta Ingresar"), " ")</f>
        <v xml:space="preserve"> </v>
      </c>
      <c r="L1219" s="4" t="str">
        <f>IFERROR(VLOOKUP($C1219,Observaciones!$A:$B,2,FALSE)," ")</f>
        <v>UNA FACTURA POR TODO</v>
      </c>
      <c r="M1219" t="s">
        <v>681</v>
      </c>
      <c r="O1219" s="5">
        <v>30848384</v>
      </c>
      <c r="P1219" s="5">
        <v>13452</v>
      </c>
      <c r="Q1219" s="5">
        <v>2556</v>
      </c>
      <c r="R1219" s="5">
        <v>16008</v>
      </c>
    </row>
    <row r="1220" spans="1:18" x14ac:dyDescent="0.25">
      <c r="A1220" t="s">
        <v>520</v>
      </c>
      <c r="B1220" t="s">
        <v>494</v>
      </c>
      <c r="C1220">
        <v>76025494</v>
      </c>
      <c r="D1220">
        <v>17</v>
      </c>
      <c r="E1220" t="s">
        <v>1049</v>
      </c>
      <c r="F1220" t="s">
        <v>1046</v>
      </c>
      <c r="G1220" s="1">
        <v>45232</v>
      </c>
      <c r="H1220">
        <v>5411205</v>
      </c>
      <c r="I1220">
        <v>14</v>
      </c>
      <c r="J1220" t="s">
        <v>309</v>
      </c>
      <c r="K1220" t="str">
        <f>IFERROR(IF(AND(VLOOKUP($C1220,Hes!$A:$B, 1, FALSE), $M1220&lt;&gt;" "), "Ingresada", "Falta Ingresar"), " ")</f>
        <v xml:space="preserve"> </v>
      </c>
      <c r="L1220" s="4" t="str">
        <f>IFERROR(VLOOKUP($C1220,Observaciones!$A:$B,2,FALSE)," ")</f>
        <v>UNA FACTURA POR TODO</v>
      </c>
      <c r="M1220" t="s">
        <v>681</v>
      </c>
      <c r="O1220" s="5">
        <v>30846617</v>
      </c>
      <c r="P1220" s="5">
        <v>93041</v>
      </c>
      <c r="Q1220" s="5">
        <v>17678</v>
      </c>
      <c r="R1220" s="5">
        <v>111860</v>
      </c>
    </row>
    <row r="1221" spans="1:18" x14ac:dyDescent="0.25">
      <c r="A1221" t="s">
        <v>520</v>
      </c>
      <c r="B1221" t="s">
        <v>494</v>
      </c>
      <c r="C1221">
        <v>76025494</v>
      </c>
      <c r="D1221">
        <v>1224</v>
      </c>
      <c r="E1221">
        <v>30848906</v>
      </c>
      <c r="F1221" t="s">
        <v>1046</v>
      </c>
      <c r="G1221" s="1">
        <v>45233</v>
      </c>
      <c r="H1221">
        <v>5411488</v>
      </c>
      <c r="I1221">
        <v>14</v>
      </c>
      <c r="J1221" t="s">
        <v>309</v>
      </c>
      <c r="K1221" t="str">
        <f>IFERROR(IF(AND(VLOOKUP($C1221,Hes!$A:$B, 1, FALSE), $M1221&lt;&gt;" "), "Ingresada", "Falta Ingresar"), " ")</f>
        <v xml:space="preserve"> </v>
      </c>
      <c r="L1221" s="4" t="str">
        <f>IFERROR(VLOOKUP($C1221,Observaciones!$A:$B,2,FALSE)," ")</f>
        <v>UNA FACTURA POR TODO</v>
      </c>
      <c r="M1221" t="s">
        <v>681</v>
      </c>
      <c r="O1221" s="5">
        <v>30848906</v>
      </c>
      <c r="P1221" s="5">
        <v>136769</v>
      </c>
      <c r="Q1221" s="5">
        <v>25986</v>
      </c>
      <c r="R1221" s="5">
        <v>162755</v>
      </c>
    </row>
    <row r="1222" spans="1:18" x14ac:dyDescent="0.25">
      <c r="A1222" t="s">
        <v>520</v>
      </c>
      <c r="B1222" t="s">
        <v>494</v>
      </c>
      <c r="C1222">
        <v>76025494</v>
      </c>
      <c r="D1222">
        <v>1206</v>
      </c>
      <c r="E1222">
        <v>30848896</v>
      </c>
      <c r="F1222" t="s">
        <v>1046</v>
      </c>
      <c r="G1222" s="1">
        <v>45233</v>
      </c>
      <c r="H1222">
        <v>5411519</v>
      </c>
      <c r="I1222">
        <v>14</v>
      </c>
      <c r="J1222" t="s">
        <v>309</v>
      </c>
      <c r="K1222" t="str">
        <f>IFERROR(IF(AND(VLOOKUP($C1222,Hes!$A:$B, 1, FALSE), $M1222&lt;&gt;" "), "Ingresada", "Falta Ingresar"), " ")</f>
        <v xml:space="preserve"> </v>
      </c>
      <c r="L1222" s="4" t="str">
        <f>IFERROR(VLOOKUP($C1222,Observaciones!$A:$B,2,FALSE)," ")</f>
        <v>UNA FACTURA POR TODO</v>
      </c>
      <c r="M1222" t="s">
        <v>681</v>
      </c>
      <c r="O1222" s="5">
        <v>30848896</v>
      </c>
      <c r="P1222" s="5">
        <v>151440</v>
      </c>
      <c r="Q1222" s="5">
        <v>28774</v>
      </c>
      <c r="R1222" s="5">
        <v>180214</v>
      </c>
    </row>
    <row r="1223" spans="1:18" x14ac:dyDescent="0.25">
      <c r="A1223" t="s">
        <v>520</v>
      </c>
      <c r="B1223" t="s">
        <v>494</v>
      </c>
      <c r="C1223">
        <v>76025494</v>
      </c>
      <c r="D1223">
        <v>59</v>
      </c>
      <c r="E1223">
        <v>30848925</v>
      </c>
      <c r="F1223" t="s">
        <v>1046</v>
      </c>
      <c r="G1223" s="1">
        <v>45233</v>
      </c>
      <c r="H1223">
        <v>5411531</v>
      </c>
      <c r="I1223">
        <v>14</v>
      </c>
      <c r="J1223" t="s">
        <v>309</v>
      </c>
      <c r="K1223" t="str">
        <f>IFERROR(IF(AND(VLOOKUP($C1223,Hes!$A:$B, 1, FALSE), $M1223&lt;&gt;" "), "Ingresada", "Falta Ingresar"), " ")</f>
        <v xml:space="preserve"> </v>
      </c>
      <c r="L1223" s="4" t="str">
        <f>IFERROR(VLOOKUP($C1223,Observaciones!$A:$B,2,FALSE)," ")</f>
        <v>UNA FACTURA POR TODO</v>
      </c>
      <c r="M1223" t="s">
        <v>681</v>
      </c>
      <c r="O1223" s="5">
        <v>30848925</v>
      </c>
      <c r="P1223" s="5">
        <v>52796</v>
      </c>
      <c r="Q1223" s="5">
        <v>10031</v>
      </c>
      <c r="R1223" s="5">
        <v>62827</v>
      </c>
    </row>
    <row r="1224" spans="1:18" x14ac:dyDescent="0.25">
      <c r="A1224" t="s">
        <v>520</v>
      </c>
      <c r="B1224" t="s">
        <v>494</v>
      </c>
      <c r="C1224">
        <v>76025494</v>
      </c>
      <c r="D1224">
        <v>39</v>
      </c>
      <c r="E1224">
        <v>30848958</v>
      </c>
      <c r="F1224" t="s">
        <v>1046</v>
      </c>
      <c r="G1224" s="1">
        <v>45233</v>
      </c>
      <c r="H1224">
        <v>5411534</v>
      </c>
      <c r="I1224">
        <v>14</v>
      </c>
      <c r="J1224" t="s">
        <v>309</v>
      </c>
      <c r="K1224" t="str">
        <f>IFERROR(IF(AND(VLOOKUP($C1224,Hes!$A:$B, 1, FALSE), $M1224&lt;&gt;" "), "Ingresada", "Falta Ingresar"), " ")</f>
        <v xml:space="preserve"> </v>
      </c>
      <c r="L1224" s="4" t="str">
        <f>IFERROR(VLOOKUP($C1224,Observaciones!$A:$B,2,FALSE)," ")</f>
        <v>UNA FACTURA POR TODO</v>
      </c>
      <c r="M1224" t="s">
        <v>681</v>
      </c>
      <c r="O1224" s="5">
        <v>30848958</v>
      </c>
      <c r="P1224" s="5">
        <v>95309</v>
      </c>
      <c r="Q1224" s="5">
        <v>18109</v>
      </c>
      <c r="R1224" s="5">
        <v>113418</v>
      </c>
    </row>
    <row r="1225" spans="1:18" x14ac:dyDescent="0.25">
      <c r="A1225" t="s">
        <v>520</v>
      </c>
      <c r="B1225" t="s">
        <v>494</v>
      </c>
      <c r="C1225">
        <v>76025494</v>
      </c>
      <c r="D1225">
        <v>33</v>
      </c>
      <c r="E1225">
        <v>30848898</v>
      </c>
      <c r="F1225" t="s">
        <v>1046</v>
      </c>
      <c r="G1225" s="1">
        <v>45233</v>
      </c>
      <c r="H1225">
        <v>5411535</v>
      </c>
      <c r="I1225">
        <v>14</v>
      </c>
      <c r="J1225" t="s">
        <v>309</v>
      </c>
      <c r="K1225" t="str">
        <f>IFERROR(IF(AND(VLOOKUP($C1225,Hes!$A:$B, 1, FALSE), $M1225&lt;&gt;" "), "Ingresada", "Falta Ingresar"), " ")</f>
        <v xml:space="preserve"> </v>
      </c>
      <c r="L1225" s="4" t="str">
        <f>IFERROR(VLOOKUP($C1225,Observaciones!$A:$B,2,FALSE)," ")</f>
        <v>UNA FACTURA POR TODO</v>
      </c>
      <c r="M1225" t="s">
        <v>681</v>
      </c>
      <c r="O1225" s="5">
        <v>30848898</v>
      </c>
      <c r="P1225" s="5">
        <v>48370</v>
      </c>
      <c r="Q1225" s="5">
        <v>9190</v>
      </c>
      <c r="R1225" s="5">
        <v>57560</v>
      </c>
    </row>
    <row r="1226" spans="1:18" x14ac:dyDescent="0.25">
      <c r="A1226" t="s">
        <v>520</v>
      </c>
      <c r="B1226" t="s">
        <v>494</v>
      </c>
      <c r="C1226">
        <v>76025494</v>
      </c>
      <c r="D1226">
        <v>1202</v>
      </c>
      <c r="E1226">
        <v>30850131</v>
      </c>
      <c r="F1226" t="s">
        <v>1046</v>
      </c>
      <c r="G1226" s="1">
        <v>45233</v>
      </c>
      <c r="H1226">
        <v>5411598</v>
      </c>
      <c r="I1226">
        <v>14</v>
      </c>
      <c r="J1226" t="s">
        <v>309</v>
      </c>
      <c r="K1226" t="str">
        <f>IFERROR(IF(AND(VLOOKUP($C1226,Hes!$A:$B, 1, FALSE), $M1226&lt;&gt;" "), "Ingresada", "Falta Ingresar"), " ")</f>
        <v xml:space="preserve"> </v>
      </c>
      <c r="L1226" s="4" t="str">
        <f>IFERROR(VLOOKUP($C1226,Observaciones!$A:$B,2,FALSE)," ")</f>
        <v>UNA FACTURA POR TODO</v>
      </c>
      <c r="M1226" t="s">
        <v>681</v>
      </c>
      <c r="O1226" s="5">
        <v>30850131</v>
      </c>
      <c r="P1226" s="5">
        <v>82560</v>
      </c>
      <c r="Q1226" s="5">
        <v>15686</v>
      </c>
      <c r="R1226" s="5">
        <v>98246</v>
      </c>
    </row>
    <row r="1227" spans="1:18" x14ac:dyDescent="0.25">
      <c r="A1227" t="s">
        <v>520</v>
      </c>
      <c r="B1227" t="s">
        <v>494</v>
      </c>
      <c r="C1227">
        <v>76025494</v>
      </c>
      <c r="D1227">
        <v>1203</v>
      </c>
      <c r="E1227">
        <v>30849500</v>
      </c>
      <c r="F1227" t="s">
        <v>1046</v>
      </c>
      <c r="G1227" s="1">
        <v>45233</v>
      </c>
      <c r="H1227">
        <v>5411716</v>
      </c>
      <c r="I1227">
        <v>14</v>
      </c>
      <c r="J1227" t="s">
        <v>309</v>
      </c>
      <c r="K1227" t="str">
        <f>IFERROR(IF(AND(VLOOKUP($C1227,Hes!$A:$B, 1, FALSE), $M1227&lt;&gt;" "), "Ingresada", "Falta Ingresar"), " ")</f>
        <v xml:space="preserve"> </v>
      </c>
      <c r="L1227" s="4" t="str">
        <f>IFERROR(VLOOKUP($C1227,Observaciones!$A:$B,2,FALSE)," ")</f>
        <v>UNA FACTURA POR TODO</v>
      </c>
      <c r="M1227" t="s">
        <v>681</v>
      </c>
      <c r="O1227" s="5">
        <v>30849500</v>
      </c>
      <c r="P1227" s="5">
        <v>132692</v>
      </c>
      <c r="Q1227" s="5">
        <v>25211</v>
      </c>
      <c r="R1227" s="5">
        <v>157903</v>
      </c>
    </row>
    <row r="1228" spans="1:18" x14ac:dyDescent="0.25">
      <c r="A1228" t="s">
        <v>520</v>
      </c>
      <c r="B1228" t="s">
        <v>494</v>
      </c>
      <c r="C1228">
        <v>76025494</v>
      </c>
      <c r="D1228">
        <v>2116</v>
      </c>
      <c r="E1228">
        <v>30851537</v>
      </c>
      <c r="F1228" t="s">
        <v>1046</v>
      </c>
      <c r="G1228" s="1">
        <v>45233</v>
      </c>
      <c r="H1228">
        <v>5411755</v>
      </c>
      <c r="I1228">
        <v>14</v>
      </c>
      <c r="J1228" t="s">
        <v>309</v>
      </c>
      <c r="K1228" t="str">
        <f>IFERROR(IF(AND(VLOOKUP($C1228,Hes!$A:$B, 1, FALSE), $M1228&lt;&gt;" "), "Ingresada", "Falta Ingresar"), " ")</f>
        <v xml:space="preserve"> </v>
      </c>
      <c r="L1228" s="4" t="str">
        <f>IFERROR(VLOOKUP($C1228,Observaciones!$A:$B,2,FALSE)," ")</f>
        <v>UNA FACTURA POR TODO</v>
      </c>
      <c r="M1228" t="s">
        <v>681</v>
      </c>
      <c r="O1228" s="5">
        <v>30851537</v>
      </c>
      <c r="P1228" s="5">
        <v>143922</v>
      </c>
      <c r="Q1228" s="5">
        <v>27345</v>
      </c>
      <c r="R1228" s="5">
        <v>171267</v>
      </c>
    </row>
    <row r="1229" spans="1:18" x14ac:dyDescent="0.25">
      <c r="A1229" t="s">
        <v>520</v>
      </c>
      <c r="B1229" t="s">
        <v>494</v>
      </c>
      <c r="C1229">
        <v>76025494</v>
      </c>
      <c r="D1229">
        <v>1437</v>
      </c>
      <c r="E1229">
        <v>30848928</v>
      </c>
      <c r="F1229" t="s">
        <v>1046</v>
      </c>
      <c r="G1229" s="1">
        <v>45234</v>
      </c>
      <c r="H1229">
        <v>5411859</v>
      </c>
      <c r="I1229">
        <v>14</v>
      </c>
      <c r="J1229" t="s">
        <v>309</v>
      </c>
      <c r="K1229" t="str">
        <f>IFERROR(IF(AND(VLOOKUP($C1229,Hes!$A:$B, 1, FALSE), $M1229&lt;&gt;" "), "Ingresada", "Falta Ingresar"), " ")</f>
        <v xml:space="preserve"> </v>
      </c>
      <c r="L1229" s="4" t="str">
        <f>IFERROR(VLOOKUP($C1229,Observaciones!$A:$B,2,FALSE)," ")</f>
        <v>UNA FACTURA POR TODO</v>
      </c>
      <c r="M1229" t="s">
        <v>681</v>
      </c>
      <c r="O1229" s="5">
        <v>30848928</v>
      </c>
      <c r="P1229" s="5">
        <v>53989</v>
      </c>
      <c r="Q1229" s="5">
        <v>10258</v>
      </c>
      <c r="R1229" s="5">
        <v>64247</v>
      </c>
    </row>
    <row r="1230" spans="1:18" x14ac:dyDescent="0.25">
      <c r="A1230" t="s">
        <v>520</v>
      </c>
      <c r="B1230" t="s">
        <v>494</v>
      </c>
      <c r="C1230">
        <v>76025494</v>
      </c>
      <c r="D1230">
        <v>9</v>
      </c>
      <c r="E1230">
        <v>30851095</v>
      </c>
      <c r="F1230" t="s">
        <v>1046</v>
      </c>
      <c r="G1230" s="1">
        <v>45236</v>
      </c>
      <c r="H1230">
        <v>5411970</v>
      </c>
      <c r="I1230">
        <v>14</v>
      </c>
      <c r="J1230" t="s">
        <v>309</v>
      </c>
      <c r="K1230" t="str">
        <f>IFERROR(IF(AND(VLOOKUP($C1230,Hes!$A:$B, 1, FALSE), $M1230&lt;&gt;" "), "Ingresada", "Falta Ingresar"), " ")</f>
        <v xml:space="preserve"> </v>
      </c>
      <c r="L1230" s="4" t="str">
        <f>IFERROR(VLOOKUP($C1230,Observaciones!$A:$B,2,FALSE)," ")</f>
        <v>UNA FACTURA POR TODO</v>
      </c>
      <c r="M1230" t="s">
        <v>681</v>
      </c>
      <c r="O1230" s="5">
        <v>30851095</v>
      </c>
      <c r="P1230" s="5">
        <v>51661</v>
      </c>
      <c r="Q1230" s="5">
        <v>9816</v>
      </c>
      <c r="R1230" s="5">
        <v>61477</v>
      </c>
    </row>
    <row r="1231" spans="1:18" x14ac:dyDescent="0.25">
      <c r="A1231" t="s">
        <v>520</v>
      </c>
      <c r="B1231" t="s">
        <v>494</v>
      </c>
      <c r="C1231">
        <v>76025494</v>
      </c>
      <c r="D1231">
        <v>2314</v>
      </c>
      <c r="E1231">
        <v>30851737</v>
      </c>
      <c r="F1231" t="s">
        <v>1046</v>
      </c>
      <c r="G1231" s="1">
        <v>45236</v>
      </c>
      <c r="H1231">
        <v>5412090</v>
      </c>
      <c r="I1231">
        <v>14</v>
      </c>
      <c r="J1231" t="s">
        <v>309</v>
      </c>
      <c r="K1231" t="str">
        <f>IFERROR(IF(AND(VLOOKUP($C1231,Hes!$A:$B, 1, FALSE), $M1231&lt;&gt;" "), "Ingresada", "Falta Ingresar"), " ")</f>
        <v xml:space="preserve"> </v>
      </c>
      <c r="L1231" s="4" t="str">
        <f>IFERROR(VLOOKUP($C1231,Observaciones!$A:$B,2,FALSE)," ")</f>
        <v>UNA FACTURA POR TODO</v>
      </c>
      <c r="M1231" t="s">
        <v>681</v>
      </c>
      <c r="O1231" s="5">
        <v>30851737</v>
      </c>
      <c r="P1231" s="5">
        <v>94287</v>
      </c>
      <c r="Q1231" s="5">
        <v>17915</v>
      </c>
      <c r="R1231" s="5">
        <v>112202</v>
      </c>
    </row>
    <row r="1232" spans="1:18" x14ac:dyDescent="0.25">
      <c r="A1232" t="s">
        <v>520</v>
      </c>
      <c r="B1232" t="s">
        <v>494</v>
      </c>
      <c r="C1232">
        <v>76025494</v>
      </c>
      <c r="D1232">
        <v>52</v>
      </c>
      <c r="E1232">
        <v>30851586</v>
      </c>
      <c r="F1232" t="s">
        <v>1046</v>
      </c>
      <c r="G1232" s="1">
        <v>45236</v>
      </c>
      <c r="H1232">
        <v>5412100</v>
      </c>
      <c r="I1232">
        <v>14</v>
      </c>
      <c r="J1232" t="s">
        <v>309</v>
      </c>
      <c r="K1232" t="str">
        <f>IFERROR(IF(AND(VLOOKUP($C1232,Hes!$A:$B, 1, FALSE), $M1232&lt;&gt;" "), "Ingresada", "Falta Ingresar"), " ")</f>
        <v xml:space="preserve"> </v>
      </c>
      <c r="L1232" s="4" t="str">
        <f>IFERROR(VLOOKUP($C1232,Observaciones!$A:$B,2,FALSE)," ")</f>
        <v>UNA FACTURA POR TODO</v>
      </c>
      <c r="M1232" t="s">
        <v>681</v>
      </c>
      <c r="O1232" s="5">
        <v>30851586</v>
      </c>
      <c r="P1232" s="5">
        <v>53734</v>
      </c>
      <c r="Q1232" s="5">
        <v>10209</v>
      </c>
      <c r="R1232" s="5">
        <v>63943</v>
      </c>
    </row>
    <row r="1233" spans="1:18" x14ac:dyDescent="0.25">
      <c r="A1233" t="s">
        <v>520</v>
      </c>
      <c r="B1233" t="s">
        <v>494</v>
      </c>
      <c r="C1233">
        <v>76025494</v>
      </c>
      <c r="D1233">
        <v>27</v>
      </c>
      <c r="E1233">
        <v>30850703</v>
      </c>
      <c r="F1233" t="s">
        <v>1046</v>
      </c>
      <c r="G1233" s="1">
        <v>45235</v>
      </c>
      <c r="H1233">
        <v>5412207</v>
      </c>
      <c r="I1233">
        <v>14</v>
      </c>
      <c r="J1233" t="s">
        <v>309</v>
      </c>
      <c r="K1233" t="str">
        <f>IFERROR(IF(AND(VLOOKUP($C1233,Hes!$A:$B, 1, FALSE), $M1233&lt;&gt;" "), "Ingresada", "Falta Ingresar"), " ")</f>
        <v xml:space="preserve"> </v>
      </c>
      <c r="L1233" s="4" t="str">
        <f>IFERROR(VLOOKUP($C1233,Observaciones!$A:$B,2,FALSE)," ")</f>
        <v>UNA FACTURA POR TODO</v>
      </c>
      <c r="M1233" t="s">
        <v>681</v>
      </c>
      <c r="O1233" s="5">
        <v>30850703</v>
      </c>
      <c r="P1233" s="5">
        <v>107636</v>
      </c>
      <c r="Q1233" s="5">
        <v>20451</v>
      </c>
      <c r="R1233" s="5">
        <v>128087</v>
      </c>
    </row>
    <row r="1234" spans="1:18" x14ac:dyDescent="0.25">
      <c r="A1234" t="s">
        <v>520</v>
      </c>
      <c r="B1234" t="s">
        <v>494</v>
      </c>
      <c r="C1234">
        <v>76025494</v>
      </c>
      <c r="D1234">
        <v>1630</v>
      </c>
      <c r="E1234">
        <v>30853193</v>
      </c>
      <c r="F1234" t="s">
        <v>1046</v>
      </c>
      <c r="G1234" s="1">
        <v>45236</v>
      </c>
      <c r="H1234">
        <v>5412237</v>
      </c>
      <c r="I1234">
        <v>14</v>
      </c>
      <c r="J1234" t="s">
        <v>309</v>
      </c>
      <c r="K1234" t="str">
        <f>IFERROR(IF(AND(VLOOKUP($C1234,Hes!$A:$B, 1, FALSE), $M1234&lt;&gt;" "), "Ingresada", "Falta Ingresar"), " ")</f>
        <v xml:space="preserve"> </v>
      </c>
      <c r="L1234" s="4" t="str">
        <f>IFERROR(VLOOKUP($C1234,Observaciones!$A:$B,2,FALSE)," ")</f>
        <v>UNA FACTURA POR TODO</v>
      </c>
      <c r="M1234" t="s">
        <v>681</v>
      </c>
      <c r="O1234" s="5">
        <v>30853193</v>
      </c>
      <c r="P1234" s="5">
        <v>140566</v>
      </c>
      <c r="Q1234" s="5">
        <v>26708</v>
      </c>
      <c r="R1234" s="5">
        <v>167274</v>
      </c>
    </row>
    <row r="1235" spans="1:18" x14ac:dyDescent="0.25">
      <c r="A1235" t="s">
        <v>520</v>
      </c>
      <c r="B1235" t="s">
        <v>494</v>
      </c>
      <c r="C1235">
        <v>76025494</v>
      </c>
      <c r="D1235">
        <v>1629</v>
      </c>
      <c r="E1235">
        <v>30852906</v>
      </c>
      <c r="F1235" t="s">
        <v>1046</v>
      </c>
      <c r="G1235" s="1">
        <v>45236</v>
      </c>
      <c r="H1235">
        <v>5412268</v>
      </c>
      <c r="I1235">
        <v>14</v>
      </c>
      <c r="J1235" t="s">
        <v>309</v>
      </c>
      <c r="K1235" t="str">
        <f>IFERROR(IF(AND(VLOOKUP($C1235,Hes!$A:$B, 1, FALSE), $M1235&lt;&gt;" "), "Ingresada", "Falta Ingresar"), " ")</f>
        <v xml:space="preserve"> </v>
      </c>
      <c r="L1235" s="4" t="str">
        <f>IFERROR(VLOOKUP($C1235,Observaciones!$A:$B,2,FALSE)," ")</f>
        <v>UNA FACTURA POR TODO</v>
      </c>
      <c r="M1235" t="s">
        <v>681</v>
      </c>
      <c r="O1235" s="5">
        <v>30852906</v>
      </c>
      <c r="P1235" s="5">
        <v>117691</v>
      </c>
      <c r="Q1235" s="5">
        <v>22361</v>
      </c>
      <c r="R1235" s="5">
        <v>140052</v>
      </c>
    </row>
    <row r="1236" spans="1:18" x14ac:dyDescent="0.25">
      <c r="A1236" t="s">
        <v>520</v>
      </c>
      <c r="B1236" t="s">
        <v>494</v>
      </c>
      <c r="C1236">
        <v>76025494</v>
      </c>
      <c r="D1236">
        <v>26</v>
      </c>
      <c r="E1236">
        <v>30851280</v>
      </c>
      <c r="F1236" t="s">
        <v>1046</v>
      </c>
      <c r="G1236" s="1">
        <v>45236</v>
      </c>
      <c r="H1236">
        <v>5412272</v>
      </c>
      <c r="I1236">
        <v>14</v>
      </c>
      <c r="J1236" t="s">
        <v>309</v>
      </c>
      <c r="K1236" t="str">
        <f>IFERROR(IF(AND(VLOOKUP($C1236,Hes!$A:$B, 1, FALSE), $M1236&lt;&gt;" "), "Ingresada", "Falta Ingresar"), " ")</f>
        <v xml:space="preserve"> </v>
      </c>
      <c r="L1236" s="4" t="str">
        <f>IFERROR(VLOOKUP($C1236,Observaciones!$A:$B,2,FALSE)," ")</f>
        <v>UNA FACTURA POR TODO</v>
      </c>
      <c r="M1236" t="s">
        <v>681</v>
      </c>
      <c r="O1236" s="5">
        <v>30851280</v>
      </c>
      <c r="P1236" s="5">
        <v>62725</v>
      </c>
      <c r="Q1236" s="5">
        <v>11918</v>
      </c>
      <c r="R1236" s="5">
        <v>74643</v>
      </c>
    </row>
    <row r="1237" spans="1:18" x14ac:dyDescent="0.25">
      <c r="A1237" t="s">
        <v>520</v>
      </c>
      <c r="B1237" t="s">
        <v>494</v>
      </c>
      <c r="C1237">
        <v>76025494</v>
      </c>
      <c r="D1237">
        <v>1436</v>
      </c>
      <c r="E1237">
        <v>30850633</v>
      </c>
      <c r="F1237" t="s">
        <v>1046</v>
      </c>
      <c r="G1237" s="1">
        <v>45236</v>
      </c>
      <c r="H1237">
        <v>5412313</v>
      </c>
      <c r="I1237">
        <v>14</v>
      </c>
      <c r="J1237" t="s">
        <v>309</v>
      </c>
      <c r="K1237" t="str">
        <f>IFERROR(IF(AND(VLOOKUP($C1237,Hes!$A:$B, 1, FALSE), $M1237&lt;&gt;" "), "Ingresada", "Falta Ingresar"), " ")</f>
        <v xml:space="preserve"> </v>
      </c>
      <c r="L1237" s="4" t="str">
        <f>IFERROR(VLOOKUP($C1237,Observaciones!$A:$B,2,FALSE)," ")</f>
        <v>UNA FACTURA POR TODO</v>
      </c>
      <c r="M1237" t="s">
        <v>681</v>
      </c>
      <c r="O1237" s="5">
        <v>30850633</v>
      </c>
      <c r="P1237" s="5">
        <v>84978</v>
      </c>
      <c r="Q1237" s="5">
        <v>16146</v>
      </c>
      <c r="R1237" s="5">
        <v>101124</v>
      </c>
    </row>
    <row r="1238" spans="1:18" x14ac:dyDescent="0.25">
      <c r="A1238" t="s">
        <v>520</v>
      </c>
      <c r="B1238" t="s">
        <v>494</v>
      </c>
      <c r="C1238">
        <v>76025494</v>
      </c>
      <c r="D1238">
        <v>1632</v>
      </c>
      <c r="E1238">
        <v>30850932</v>
      </c>
      <c r="F1238" t="s">
        <v>1046</v>
      </c>
      <c r="G1238" s="1">
        <v>45234</v>
      </c>
      <c r="H1238">
        <v>5412404</v>
      </c>
      <c r="I1238">
        <v>14</v>
      </c>
      <c r="J1238" t="s">
        <v>309</v>
      </c>
      <c r="K1238" t="str">
        <f>IFERROR(IF(AND(VLOOKUP($C1238,Hes!$A:$B, 1, FALSE), $M1238&lt;&gt;" "), "Ingresada", "Falta Ingresar"), " ")</f>
        <v xml:space="preserve"> </v>
      </c>
      <c r="L1238" s="4" t="str">
        <f>IFERROR(VLOOKUP($C1238,Observaciones!$A:$B,2,FALSE)," ")</f>
        <v>UNA FACTURA POR TODO</v>
      </c>
      <c r="M1238" t="s">
        <v>681</v>
      </c>
      <c r="O1238" s="5">
        <v>30850932</v>
      </c>
      <c r="P1238" s="5">
        <v>105239</v>
      </c>
      <c r="Q1238" s="5">
        <v>19995</v>
      </c>
      <c r="R1238" s="5">
        <v>125234</v>
      </c>
    </row>
    <row r="1239" spans="1:18" x14ac:dyDescent="0.25">
      <c r="A1239" t="s">
        <v>520</v>
      </c>
      <c r="B1239" t="s">
        <v>494</v>
      </c>
      <c r="C1239">
        <v>76025494</v>
      </c>
      <c r="D1239">
        <v>1633</v>
      </c>
      <c r="E1239">
        <v>30853074</v>
      </c>
      <c r="F1239" t="s">
        <v>1046</v>
      </c>
      <c r="G1239" s="1">
        <v>45236</v>
      </c>
      <c r="H1239">
        <v>5412418</v>
      </c>
      <c r="I1239">
        <v>14</v>
      </c>
      <c r="J1239" t="s">
        <v>309</v>
      </c>
      <c r="K1239" t="str">
        <f>IFERROR(IF(AND(VLOOKUP($C1239,Hes!$A:$B, 1, FALSE), $M1239&lt;&gt;" "), "Ingresada", "Falta Ingresar"), " ")</f>
        <v xml:space="preserve"> </v>
      </c>
      <c r="L1239" s="4" t="str">
        <f>IFERROR(VLOOKUP($C1239,Observaciones!$A:$B,2,FALSE)," ")</f>
        <v>UNA FACTURA POR TODO</v>
      </c>
      <c r="M1239" t="s">
        <v>681</v>
      </c>
      <c r="O1239" s="5">
        <v>30853074</v>
      </c>
      <c r="P1239" s="5">
        <v>60166</v>
      </c>
      <c r="Q1239" s="5">
        <v>11432</v>
      </c>
      <c r="R1239" s="5">
        <v>71598</v>
      </c>
    </row>
    <row r="1240" spans="1:18" x14ac:dyDescent="0.25">
      <c r="A1240" t="s">
        <v>520</v>
      </c>
      <c r="B1240" t="s">
        <v>494</v>
      </c>
      <c r="C1240">
        <v>76025494</v>
      </c>
      <c r="D1240">
        <v>1422</v>
      </c>
      <c r="E1240">
        <v>30850299</v>
      </c>
      <c r="F1240" t="s">
        <v>1046</v>
      </c>
      <c r="G1240" s="1">
        <v>45236</v>
      </c>
      <c r="H1240">
        <v>5412555</v>
      </c>
      <c r="I1240">
        <v>14</v>
      </c>
      <c r="J1240" t="s">
        <v>309</v>
      </c>
      <c r="K1240" t="str">
        <f>IFERROR(IF(AND(VLOOKUP($C1240,Hes!$A:$B, 1, FALSE), $M1240&lt;&gt;" "), "Ingresada", "Falta Ingresar"), " ")</f>
        <v xml:space="preserve"> </v>
      </c>
      <c r="L1240" s="4" t="str">
        <f>IFERROR(VLOOKUP($C1240,Observaciones!$A:$B,2,FALSE)," ")</f>
        <v>UNA FACTURA POR TODO</v>
      </c>
      <c r="M1240" t="s">
        <v>681</v>
      </c>
      <c r="O1240" s="5">
        <v>30850299</v>
      </c>
      <c r="P1240" s="5">
        <v>81412</v>
      </c>
      <c r="Q1240" s="5">
        <v>15468</v>
      </c>
      <c r="R1240" s="5">
        <v>96880</v>
      </c>
    </row>
    <row r="1241" spans="1:18" x14ac:dyDescent="0.25">
      <c r="A1241" t="s">
        <v>520</v>
      </c>
      <c r="B1241" t="s">
        <v>494</v>
      </c>
      <c r="C1241">
        <v>76025494</v>
      </c>
      <c r="D1241">
        <v>2516</v>
      </c>
      <c r="E1241">
        <v>30850086</v>
      </c>
      <c r="F1241" t="s">
        <v>1046</v>
      </c>
      <c r="G1241" s="1">
        <v>45236</v>
      </c>
      <c r="H1241">
        <v>5412574</v>
      </c>
      <c r="I1241">
        <v>14</v>
      </c>
      <c r="J1241" t="s">
        <v>309</v>
      </c>
      <c r="K1241" t="str">
        <f>IFERROR(IF(AND(VLOOKUP($C1241,Hes!$A:$B, 1, FALSE), $M1241&lt;&gt;" "), "Ingresada", "Falta Ingresar"), " ")</f>
        <v xml:space="preserve"> </v>
      </c>
      <c r="L1241" s="4" t="str">
        <f>IFERROR(VLOOKUP($C1241,Observaciones!$A:$B,2,FALSE)," ")</f>
        <v>UNA FACTURA POR TODO</v>
      </c>
      <c r="M1241" t="s">
        <v>681</v>
      </c>
      <c r="O1241" s="5">
        <v>30850086</v>
      </c>
      <c r="P1241" s="5">
        <v>59750</v>
      </c>
      <c r="Q1241" s="5">
        <v>11353</v>
      </c>
      <c r="R1241" s="5">
        <v>71103</v>
      </c>
    </row>
    <row r="1242" spans="1:18" x14ac:dyDescent="0.25">
      <c r="A1242" t="s">
        <v>520</v>
      </c>
      <c r="B1242" t="s">
        <v>494</v>
      </c>
      <c r="C1242">
        <v>76025494</v>
      </c>
      <c r="D1242">
        <v>1649</v>
      </c>
      <c r="E1242">
        <v>30853274</v>
      </c>
      <c r="F1242" t="s">
        <v>1046</v>
      </c>
      <c r="G1242" s="1">
        <v>45236</v>
      </c>
      <c r="H1242">
        <v>5412627</v>
      </c>
      <c r="I1242">
        <v>14</v>
      </c>
      <c r="J1242" t="s">
        <v>309</v>
      </c>
      <c r="K1242" t="str">
        <f>IFERROR(IF(AND(VLOOKUP($C1242,Hes!$A:$B, 1, FALSE), $M1242&lt;&gt;" "), "Ingresada", "Falta Ingresar"), " ")</f>
        <v xml:space="preserve"> </v>
      </c>
      <c r="L1242" s="4" t="str">
        <f>IFERROR(VLOOKUP($C1242,Observaciones!$A:$B,2,FALSE)," ")</f>
        <v>UNA FACTURA POR TODO</v>
      </c>
      <c r="M1242" t="s">
        <v>681</v>
      </c>
      <c r="O1242" s="5">
        <v>30853274</v>
      </c>
      <c r="P1242" s="5">
        <v>119987</v>
      </c>
      <c r="Q1242" s="5">
        <v>22798</v>
      </c>
      <c r="R1242" s="5">
        <v>142785</v>
      </c>
    </row>
    <row r="1243" spans="1:18" x14ac:dyDescent="0.25">
      <c r="A1243" t="s">
        <v>520</v>
      </c>
      <c r="B1243" t="s">
        <v>494</v>
      </c>
      <c r="C1243">
        <v>76025494</v>
      </c>
      <c r="D1243">
        <v>1233</v>
      </c>
      <c r="E1243">
        <v>30851568</v>
      </c>
      <c r="F1243" t="s">
        <v>1046</v>
      </c>
      <c r="G1243" s="1">
        <v>45236</v>
      </c>
      <c r="H1243">
        <v>5412680</v>
      </c>
      <c r="I1243">
        <v>14</v>
      </c>
      <c r="J1243" t="s">
        <v>309</v>
      </c>
      <c r="K1243" t="str">
        <f>IFERROR(IF(AND(VLOOKUP($C1243,Hes!$A:$B, 1, FALSE), $M1243&lt;&gt;" "), "Ingresada", "Falta Ingresar"), " ")</f>
        <v xml:space="preserve"> </v>
      </c>
      <c r="L1243" s="4" t="str">
        <f>IFERROR(VLOOKUP($C1243,Observaciones!$A:$B,2,FALSE)," ")</f>
        <v>UNA FACTURA POR TODO</v>
      </c>
      <c r="M1243" t="s">
        <v>681</v>
      </c>
      <c r="O1243" s="5">
        <v>30851568</v>
      </c>
      <c r="P1243" s="5">
        <v>133720</v>
      </c>
      <c r="Q1243" s="5">
        <v>25407</v>
      </c>
      <c r="R1243" s="5">
        <v>159127</v>
      </c>
    </row>
    <row r="1244" spans="1:18" x14ac:dyDescent="0.25">
      <c r="A1244" t="s">
        <v>520</v>
      </c>
      <c r="B1244" t="s">
        <v>494</v>
      </c>
      <c r="C1244">
        <v>76025494</v>
      </c>
      <c r="D1244">
        <v>2066</v>
      </c>
      <c r="E1244" t="s">
        <v>1050</v>
      </c>
      <c r="F1244" t="s">
        <v>1046</v>
      </c>
      <c r="G1244" s="1">
        <v>45236</v>
      </c>
      <c r="H1244">
        <v>5412702</v>
      </c>
      <c r="I1244">
        <v>14</v>
      </c>
      <c r="J1244" t="s">
        <v>309</v>
      </c>
      <c r="K1244" t="str">
        <f>IFERROR(IF(AND(VLOOKUP($C1244,Hes!$A:$B, 1, FALSE), $M1244&lt;&gt;" "), "Ingresada", "Falta Ingresar"), " ")</f>
        <v xml:space="preserve"> </v>
      </c>
      <c r="L1244" s="4" t="str">
        <f>IFERROR(VLOOKUP($C1244,Observaciones!$A:$B,2,FALSE)," ")</f>
        <v>UNA FACTURA POR TODO</v>
      </c>
      <c r="M1244" t="s">
        <v>681</v>
      </c>
      <c r="O1244" s="5">
        <v>30849332</v>
      </c>
      <c r="P1244" s="5">
        <v>16522</v>
      </c>
      <c r="Q1244" s="5">
        <v>3139</v>
      </c>
      <c r="R1244" s="5">
        <v>19661</v>
      </c>
    </row>
    <row r="1245" spans="1:18" x14ac:dyDescent="0.25">
      <c r="A1245" t="s">
        <v>520</v>
      </c>
      <c r="B1245" t="s">
        <v>494</v>
      </c>
      <c r="C1245">
        <v>76025494</v>
      </c>
      <c r="D1245">
        <v>1241</v>
      </c>
      <c r="E1245">
        <v>30852358</v>
      </c>
      <c r="F1245" t="s">
        <v>1046</v>
      </c>
      <c r="G1245" s="1">
        <v>45236</v>
      </c>
      <c r="H1245">
        <v>5412875</v>
      </c>
      <c r="I1245">
        <v>14</v>
      </c>
      <c r="J1245" t="s">
        <v>309</v>
      </c>
      <c r="K1245" t="str">
        <f>IFERROR(IF(AND(VLOOKUP($C1245,Hes!$A:$B, 1, FALSE), $M1245&lt;&gt;" "), "Ingresada", "Falta Ingresar"), " ")</f>
        <v xml:space="preserve"> </v>
      </c>
      <c r="L1245" s="4" t="str">
        <f>IFERROR(VLOOKUP($C1245,Observaciones!$A:$B,2,FALSE)," ")</f>
        <v>UNA FACTURA POR TODO</v>
      </c>
      <c r="M1245" t="s">
        <v>681</v>
      </c>
      <c r="O1245" s="5">
        <v>30852358</v>
      </c>
      <c r="P1245" s="5">
        <v>63707</v>
      </c>
      <c r="Q1245" s="5">
        <v>12104</v>
      </c>
      <c r="R1245" s="5">
        <v>75811</v>
      </c>
    </row>
    <row r="1246" spans="1:18" x14ac:dyDescent="0.25">
      <c r="A1246" t="s">
        <v>520</v>
      </c>
      <c r="B1246" t="s">
        <v>494</v>
      </c>
      <c r="C1246">
        <v>76025494</v>
      </c>
      <c r="D1246">
        <v>1639</v>
      </c>
      <c r="E1246">
        <v>30850545</v>
      </c>
      <c r="F1246" t="s">
        <v>1046</v>
      </c>
      <c r="G1246" s="1">
        <v>45236</v>
      </c>
      <c r="H1246">
        <v>5413079</v>
      </c>
      <c r="I1246">
        <v>14</v>
      </c>
      <c r="J1246" t="s">
        <v>309</v>
      </c>
      <c r="K1246" t="str">
        <f>IFERROR(IF(AND(VLOOKUP($C1246,Hes!$A:$B, 1, FALSE), $M1246&lt;&gt;" "), "Ingresada", "Falta Ingresar"), " ")</f>
        <v xml:space="preserve"> </v>
      </c>
      <c r="L1246" s="4" t="str">
        <f>IFERROR(VLOOKUP($C1246,Observaciones!$A:$B,2,FALSE)," ")</f>
        <v>UNA FACTURA POR TODO</v>
      </c>
      <c r="M1246" t="s">
        <v>681</v>
      </c>
      <c r="O1246" s="5">
        <v>30850545</v>
      </c>
      <c r="P1246" s="5">
        <v>59836</v>
      </c>
      <c r="Q1246" s="5">
        <v>11369</v>
      </c>
      <c r="R1246" s="5">
        <v>71205</v>
      </c>
    </row>
    <row r="1247" spans="1:18" x14ac:dyDescent="0.25">
      <c r="A1247" t="s">
        <v>520</v>
      </c>
      <c r="B1247" t="s">
        <v>494</v>
      </c>
      <c r="C1247">
        <v>76025494</v>
      </c>
      <c r="D1247">
        <v>49</v>
      </c>
      <c r="E1247">
        <v>30856259</v>
      </c>
      <c r="F1247" t="s">
        <v>1046</v>
      </c>
      <c r="G1247" s="1">
        <v>45235</v>
      </c>
      <c r="H1247">
        <v>5413098</v>
      </c>
      <c r="I1247">
        <v>14</v>
      </c>
      <c r="J1247" t="s">
        <v>309</v>
      </c>
      <c r="K1247" t="str">
        <f>IFERROR(IF(AND(VLOOKUP($C1247,Hes!$A:$B, 1, FALSE), $M1247&lt;&gt;" "), "Ingresada", "Falta Ingresar"), " ")</f>
        <v xml:space="preserve"> </v>
      </c>
      <c r="L1247" s="4" t="str">
        <f>IFERROR(VLOOKUP($C1247,Observaciones!$A:$B,2,FALSE)," ")</f>
        <v>UNA FACTURA POR TODO</v>
      </c>
      <c r="M1247" t="s">
        <v>681</v>
      </c>
      <c r="O1247" s="5">
        <v>30856259</v>
      </c>
      <c r="P1247" s="5">
        <v>83777</v>
      </c>
      <c r="Q1247" s="5">
        <v>15918</v>
      </c>
      <c r="R1247" s="5">
        <v>100069</v>
      </c>
    </row>
    <row r="1248" spans="1:18" x14ac:dyDescent="0.25">
      <c r="A1248" t="s">
        <v>520</v>
      </c>
      <c r="B1248" t="s">
        <v>494</v>
      </c>
      <c r="C1248">
        <v>76025494</v>
      </c>
      <c r="D1248">
        <v>29</v>
      </c>
      <c r="E1248">
        <v>30853240</v>
      </c>
      <c r="F1248" t="s">
        <v>1046</v>
      </c>
      <c r="G1248" s="1">
        <v>45236</v>
      </c>
      <c r="H1248">
        <v>5413114</v>
      </c>
      <c r="I1248">
        <v>14</v>
      </c>
      <c r="J1248" t="s">
        <v>309</v>
      </c>
      <c r="K1248" t="str">
        <f>IFERROR(IF(AND(VLOOKUP($C1248,Hes!$A:$B, 1, FALSE), $M1248&lt;&gt;" "), "Ingresada", "Falta Ingresar"), " ")</f>
        <v xml:space="preserve"> </v>
      </c>
      <c r="L1248" s="4" t="str">
        <f>IFERROR(VLOOKUP($C1248,Observaciones!$A:$B,2,FALSE)," ")</f>
        <v>UNA FACTURA POR TODO</v>
      </c>
      <c r="M1248" t="s">
        <v>681</v>
      </c>
      <c r="O1248" s="5">
        <v>30853240</v>
      </c>
      <c r="P1248" s="5">
        <v>47941</v>
      </c>
      <c r="Q1248" s="5">
        <v>9109</v>
      </c>
      <c r="R1248" s="5">
        <v>57050</v>
      </c>
    </row>
    <row r="1249" spans="1:18" x14ac:dyDescent="0.25">
      <c r="A1249" t="s">
        <v>520</v>
      </c>
      <c r="B1249" t="s">
        <v>494</v>
      </c>
      <c r="C1249">
        <v>76025494</v>
      </c>
      <c r="D1249">
        <v>1201</v>
      </c>
      <c r="E1249">
        <v>30852102</v>
      </c>
      <c r="F1249" t="s">
        <v>1046</v>
      </c>
      <c r="G1249" s="1">
        <v>45236</v>
      </c>
      <c r="H1249">
        <v>5413124</v>
      </c>
      <c r="I1249">
        <v>14</v>
      </c>
      <c r="J1249" t="s">
        <v>309</v>
      </c>
      <c r="K1249" t="str">
        <f>IFERROR(IF(AND(VLOOKUP($C1249,Hes!$A:$B, 1, FALSE), $M1249&lt;&gt;" "), "Ingresada", "Falta Ingresar"), " ")</f>
        <v xml:space="preserve"> </v>
      </c>
      <c r="L1249" s="4" t="str">
        <f>IFERROR(VLOOKUP($C1249,Observaciones!$A:$B,2,FALSE)," ")</f>
        <v>UNA FACTURA POR TODO</v>
      </c>
      <c r="M1249" t="s">
        <v>681</v>
      </c>
      <c r="O1249" s="5">
        <v>30852102</v>
      </c>
      <c r="P1249" s="5">
        <v>140184</v>
      </c>
      <c r="Q1249" s="5">
        <v>26635</v>
      </c>
      <c r="R1249" s="5">
        <v>166819</v>
      </c>
    </row>
    <row r="1250" spans="1:18" x14ac:dyDescent="0.25">
      <c r="A1250" t="s">
        <v>520</v>
      </c>
      <c r="B1250" t="s">
        <v>494</v>
      </c>
      <c r="C1250">
        <v>76025494</v>
      </c>
      <c r="D1250">
        <v>77</v>
      </c>
      <c r="E1250">
        <v>30851713</v>
      </c>
      <c r="F1250" t="s">
        <v>1046</v>
      </c>
      <c r="G1250" s="1">
        <v>45236</v>
      </c>
      <c r="H1250">
        <v>5413169</v>
      </c>
      <c r="I1250">
        <v>14</v>
      </c>
      <c r="J1250" t="s">
        <v>309</v>
      </c>
      <c r="K1250" t="str">
        <f>IFERROR(IF(AND(VLOOKUP($C1250,Hes!$A:$B, 1, FALSE), $M1250&lt;&gt;" "), "Ingresada", "Falta Ingresar"), " ")</f>
        <v xml:space="preserve"> </v>
      </c>
      <c r="L1250" s="4" t="str">
        <f>IFERROR(VLOOKUP($C1250,Observaciones!$A:$B,2,FALSE)," ")</f>
        <v>UNA FACTURA POR TODO</v>
      </c>
      <c r="M1250" t="s">
        <v>681</v>
      </c>
      <c r="O1250" s="5">
        <v>30851713</v>
      </c>
      <c r="P1250" s="5">
        <v>59897</v>
      </c>
      <c r="Q1250" s="5">
        <v>11380</v>
      </c>
      <c r="R1250" s="5">
        <v>71277</v>
      </c>
    </row>
    <row r="1251" spans="1:18" x14ac:dyDescent="0.25">
      <c r="A1251" t="s">
        <v>520</v>
      </c>
      <c r="B1251" t="s">
        <v>494</v>
      </c>
      <c r="C1251">
        <v>76025494</v>
      </c>
      <c r="D1251">
        <v>8</v>
      </c>
      <c r="E1251">
        <v>30851607</v>
      </c>
      <c r="F1251" t="s">
        <v>1046</v>
      </c>
      <c r="G1251" s="1">
        <v>45236</v>
      </c>
      <c r="H1251">
        <v>5413214</v>
      </c>
      <c r="I1251">
        <v>14</v>
      </c>
      <c r="J1251" t="s">
        <v>309</v>
      </c>
      <c r="K1251" t="str">
        <f>IFERROR(IF(AND(VLOOKUP($C1251,Hes!$A:$B, 1, FALSE), $M1251&lt;&gt;" "), "Ingresada", "Falta Ingresar"), " ")</f>
        <v xml:space="preserve"> </v>
      </c>
      <c r="L1251" s="4" t="str">
        <f>IFERROR(VLOOKUP($C1251,Observaciones!$A:$B,2,FALSE)," ")</f>
        <v>UNA FACTURA POR TODO</v>
      </c>
      <c r="M1251" t="s">
        <v>681</v>
      </c>
      <c r="O1251" s="5">
        <v>30851607</v>
      </c>
      <c r="P1251" s="5">
        <v>71449</v>
      </c>
      <c r="Q1251" s="5">
        <v>13575</v>
      </c>
      <c r="R1251" s="5">
        <v>85024</v>
      </c>
    </row>
    <row r="1252" spans="1:18" x14ac:dyDescent="0.25">
      <c r="A1252" t="s">
        <v>520</v>
      </c>
      <c r="B1252" t="s">
        <v>494</v>
      </c>
      <c r="C1252">
        <v>76025494</v>
      </c>
      <c r="D1252">
        <v>45</v>
      </c>
      <c r="E1252">
        <v>30850947</v>
      </c>
      <c r="F1252" t="s">
        <v>1046</v>
      </c>
      <c r="G1252" s="1">
        <v>45236</v>
      </c>
      <c r="H1252">
        <v>5413215</v>
      </c>
      <c r="I1252">
        <v>14</v>
      </c>
      <c r="J1252" t="s">
        <v>309</v>
      </c>
      <c r="K1252" t="str">
        <f>IFERROR(IF(AND(VLOOKUP($C1252,Hes!$A:$B, 1, FALSE), $M1252&lt;&gt;" "), "Ingresada", "Falta Ingresar"), " ")</f>
        <v xml:space="preserve"> </v>
      </c>
      <c r="L1252" s="4" t="str">
        <f>IFERROR(VLOOKUP($C1252,Observaciones!$A:$B,2,FALSE)," ")</f>
        <v>UNA FACTURA POR TODO</v>
      </c>
      <c r="M1252" t="s">
        <v>681</v>
      </c>
      <c r="O1252" s="5">
        <v>30850947</v>
      </c>
      <c r="P1252" s="5">
        <v>59740</v>
      </c>
      <c r="Q1252" s="5">
        <v>11351</v>
      </c>
      <c r="R1252" s="5">
        <v>71091</v>
      </c>
    </row>
    <row r="1253" spans="1:18" x14ac:dyDescent="0.25">
      <c r="A1253" t="s">
        <v>520</v>
      </c>
      <c r="B1253" t="s">
        <v>494</v>
      </c>
      <c r="C1253">
        <v>76025494</v>
      </c>
      <c r="D1253">
        <v>16</v>
      </c>
      <c r="E1253">
        <v>30853210</v>
      </c>
      <c r="F1253" t="s">
        <v>1046</v>
      </c>
      <c r="G1253" s="1">
        <v>45236</v>
      </c>
      <c r="H1253">
        <v>5413221</v>
      </c>
      <c r="I1253">
        <v>14</v>
      </c>
      <c r="J1253" t="s">
        <v>309</v>
      </c>
      <c r="K1253" t="str">
        <f>IFERROR(IF(AND(VLOOKUP($C1253,Hes!$A:$B, 1, FALSE), $M1253&lt;&gt;" "), "Ingresada", "Falta Ingresar"), " ")</f>
        <v xml:space="preserve"> </v>
      </c>
      <c r="L1253" s="4" t="str">
        <f>IFERROR(VLOOKUP($C1253,Observaciones!$A:$B,2,FALSE)," ")</f>
        <v>UNA FACTURA POR TODO</v>
      </c>
      <c r="M1253" t="s">
        <v>681</v>
      </c>
      <c r="O1253" s="5">
        <v>30853210</v>
      </c>
      <c r="P1253" s="5">
        <v>59904</v>
      </c>
      <c r="Q1253" s="5">
        <v>11382</v>
      </c>
      <c r="R1253" s="5">
        <v>71490</v>
      </c>
    </row>
    <row r="1254" spans="1:18" x14ac:dyDescent="0.25">
      <c r="A1254" t="s">
        <v>520</v>
      </c>
      <c r="B1254" t="s">
        <v>494</v>
      </c>
      <c r="C1254">
        <v>76025494</v>
      </c>
      <c r="D1254">
        <v>2101</v>
      </c>
      <c r="E1254">
        <v>30852864</v>
      </c>
      <c r="F1254" t="s">
        <v>1046</v>
      </c>
      <c r="G1254" s="1">
        <v>45236</v>
      </c>
      <c r="H1254">
        <v>5413302</v>
      </c>
      <c r="I1254">
        <v>14</v>
      </c>
      <c r="J1254" t="s">
        <v>309</v>
      </c>
      <c r="K1254" t="str">
        <f>IFERROR(IF(AND(VLOOKUP($C1254,Hes!$A:$B, 1, FALSE), $M1254&lt;&gt;" "), "Ingresada", "Falta Ingresar"), " ")</f>
        <v xml:space="preserve"> </v>
      </c>
      <c r="L1254" s="4" t="str">
        <f>IFERROR(VLOOKUP($C1254,Observaciones!$A:$B,2,FALSE)," ")</f>
        <v>UNA FACTURA POR TODO</v>
      </c>
      <c r="M1254" t="s">
        <v>681</v>
      </c>
      <c r="O1254" s="5">
        <v>30852864</v>
      </c>
      <c r="P1254" s="5">
        <v>63076</v>
      </c>
      <c r="Q1254" s="5">
        <v>11984</v>
      </c>
      <c r="R1254" s="5">
        <v>75060</v>
      </c>
    </row>
    <row r="1255" spans="1:18" x14ac:dyDescent="0.25">
      <c r="A1255" t="s">
        <v>520</v>
      </c>
      <c r="B1255" t="s">
        <v>494</v>
      </c>
      <c r="C1255">
        <v>76025494</v>
      </c>
      <c r="D1255">
        <v>29</v>
      </c>
      <c r="E1255" t="s">
        <v>1051</v>
      </c>
      <c r="F1255" t="s">
        <v>1046</v>
      </c>
      <c r="G1255" s="1">
        <v>45236</v>
      </c>
      <c r="H1255">
        <v>5413318</v>
      </c>
      <c r="I1255">
        <v>14</v>
      </c>
      <c r="J1255" t="s">
        <v>309</v>
      </c>
      <c r="K1255" t="str">
        <f>IFERROR(IF(AND(VLOOKUP($C1255,Hes!$A:$B, 1, FALSE), $M1255&lt;&gt;" "), "Ingresada", "Falta Ingresar"), " ")</f>
        <v xml:space="preserve"> </v>
      </c>
      <c r="L1255" s="4" t="str">
        <f>IFERROR(VLOOKUP($C1255,Observaciones!$A:$B,2,FALSE)," ")</f>
        <v>UNA FACTURA POR TODO</v>
      </c>
      <c r="M1255" t="s">
        <v>681</v>
      </c>
      <c r="O1255" s="5">
        <v>30855788</v>
      </c>
      <c r="P1255" s="5">
        <v>24479</v>
      </c>
      <c r="Q1255" s="5">
        <v>4651</v>
      </c>
      <c r="R1255" s="5">
        <v>29130</v>
      </c>
    </row>
    <row r="1256" spans="1:18" x14ac:dyDescent="0.25">
      <c r="A1256" t="s">
        <v>520</v>
      </c>
      <c r="B1256" t="s">
        <v>494</v>
      </c>
      <c r="C1256">
        <v>76025494</v>
      </c>
      <c r="D1256">
        <v>1421</v>
      </c>
      <c r="E1256">
        <v>30856575</v>
      </c>
      <c r="F1256" t="s">
        <v>1046</v>
      </c>
      <c r="G1256" s="1">
        <v>45236</v>
      </c>
      <c r="H1256">
        <v>5413361</v>
      </c>
      <c r="I1256">
        <v>14</v>
      </c>
      <c r="J1256" t="s">
        <v>309</v>
      </c>
      <c r="K1256" t="str">
        <f>IFERROR(IF(AND(VLOOKUP($C1256,Hes!$A:$B, 1, FALSE), $M1256&lt;&gt;" "), "Ingresada", "Falta Ingresar"), " ")</f>
        <v xml:space="preserve"> </v>
      </c>
      <c r="L1256" s="4" t="str">
        <f>IFERROR(VLOOKUP($C1256,Observaciones!$A:$B,2,FALSE)," ")</f>
        <v>UNA FACTURA POR TODO</v>
      </c>
      <c r="M1256" t="s">
        <v>681</v>
      </c>
      <c r="O1256" s="5">
        <v>30856575</v>
      </c>
      <c r="P1256" s="5">
        <v>143938</v>
      </c>
      <c r="Q1256" s="5">
        <v>27348</v>
      </c>
      <c r="R1256" s="5">
        <v>171286</v>
      </c>
    </row>
    <row r="1257" spans="1:18" x14ac:dyDescent="0.25">
      <c r="A1257" t="s">
        <v>520</v>
      </c>
      <c r="B1257" t="s">
        <v>494</v>
      </c>
      <c r="C1257">
        <v>76025494</v>
      </c>
      <c r="D1257">
        <v>30</v>
      </c>
      <c r="E1257">
        <v>30853385</v>
      </c>
      <c r="F1257" t="s">
        <v>1046</v>
      </c>
      <c r="G1257" s="1">
        <v>45236</v>
      </c>
      <c r="H1257">
        <v>5413437</v>
      </c>
      <c r="I1257">
        <v>14</v>
      </c>
      <c r="J1257" t="s">
        <v>309</v>
      </c>
      <c r="K1257" t="str">
        <f>IFERROR(IF(AND(VLOOKUP($C1257,Hes!$A:$B, 1, FALSE), $M1257&lt;&gt;" "), "Ingresada", "Falta Ingresar"), " ")</f>
        <v xml:space="preserve"> </v>
      </c>
      <c r="L1257" s="4" t="str">
        <f>IFERROR(VLOOKUP($C1257,Observaciones!$A:$B,2,FALSE)," ")</f>
        <v>UNA FACTURA POR TODO</v>
      </c>
      <c r="M1257" t="s">
        <v>681</v>
      </c>
      <c r="O1257" s="5">
        <v>30853385</v>
      </c>
      <c r="P1257" s="5">
        <v>80521</v>
      </c>
      <c r="Q1257" s="5">
        <v>15299</v>
      </c>
      <c r="R1257" s="5">
        <v>95820</v>
      </c>
    </row>
    <row r="1258" spans="1:18" x14ac:dyDescent="0.25">
      <c r="A1258" t="s">
        <v>520</v>
      </c>
      <c r="B1258" t="s">
        <v>494</v>
      </c>
      <c r="C1258">
        <v>76025494</v>
      </c>
      <c r="D1258">
        <v>1213</v>
      </c>
      <c r="E1258">
        <v>30853070</v>
      </c>
      <c r="F1258" t="s">
        <v>1046</v>
      </c>
      <c r="G1258" s="1">
        <v>45236</v>
      </c>
      <c r="H1258">
        <v>5413438</v>
      </c>
      <c r="I1258">
        <v>14</v>
      </c>
      <c r="J1258" t="s">
        <v>309</v>
      </c>
      <c r="K1258" t="str">
        <f>IFERROR(IF(AND(VLOOKUP($C1258,Hes!$A:$B, 1, FALSE), $M1258&lt;&gt;" "), "Ingresada", "Falta Ingresar"), " ")</f>
        <v xml:space="preserve"> </v>
      </c>
      <c r="L1258" s="4" t="str">
        <f>IFERROR(VLOOKUP($C1258,Observaciones!$A:$B,2,FALSE)," ")</f>
        <v>UNA FACTURA POR TODO</v>
      </c>
      <c r="M1258" t="s">
        <v>681</v>
      </c>
      <c r="O1258" s="5">
        <v>30853070</v>
      </c>
      <c r="P1258" s="5">
        <v>94437</v>
      </c>
      <c r="Q1258" s="5">
        <v>17943</v>
      </c>
      <c r="R1258" s="5">
        <v>112380</v>
      </c>
    </row>
    <row r="1259" spans="1:18" x14ac:dyDescent="0.25">
      <c r="A1259" t="s">
        <v>520</v>
      </c>
      <c r="B1259" t="s">
        <v>494</v>
      </c>
      <c r="C1259">
        <v>76025494</v>
      </c>
      <c r="D1259">
        <v>1203</v>
      </c>
      <c r="E1259" t="s">
        <v>1052</v>
      </c>
      <c r="F1259" t="s">
        <v>1046</v>
      </c>
      <c r="G1259" s="1">
        <v>45236</v>
      </c>
      <c r="H1259">
        <v>5413443</v>
      </c>
      <c r="I1259">
        <v>14</v>
      </c>
      <c r="J1259" t="s">
        <v>309</v>
      </c>
      <c r="K1259" t="str">
        <f>IFERROR(IF(AND(VLOOKUP($C1259,Hes!$A:$B, 1, FALSE), $M1259&lt;&gt;" "), "Ingresada", "Falta Ingresar"), " ")</f>
        <v xml:space="preserve"> </v>
      </c>
      <c r="L1259" s="4" t="str">
        <f>IFERROR(VLOOKUP($C1259,Observaciones!$A:$B,2,FALSE)," ")</f>
        <v>UNA FACTURA POR TODO</v>
      </c>
      <c r="M1259" t="s">
        <v>681</v>
      </c>
      <c r="O1259" s="5">
        <v>30855597</v>
      </c>
      <c r="P1259" s="5">
        <v>16522</v>
      </c>
      <c r="Q1259" s="5">
        <v>3139</v>
      </c>
      <c r="R1259" s="5">
        <v>19661</v>
      </c>
    </row>
    <row r="1260" spans="1:18" x14ac:dyDescent="0.25">
      <c r="A1260" t="s">
        <v>520</v>
      </c>
      <c r="B1260" t="s">
        <v>494</v>
      </c>
      <c r="C1260">
        <v>76025494</v>
      </c>
      <c r="D1260">
        <v>10</v>
      </c>
      <c r="E1260">
        <v>30855528</v>
      </c>
      <c r="F1260" t="s">
        <v>1046</v>
      </c>
      <c r="G1260" s="1">
        <v>45236</v>
      </c>
      <c r="H1260">
        <v>5413518</v>
      </c>
      <c r="I1260">
        <v>14</v>
      </c>
      <c r="J1260" t="s">
        <v>309</v>
      </c>
      <c r="K1260" t="str">
        <f>IFERROR(IF(AND(VLOOKUP($C1260,Hes!$A:$B, 1, FALSE), $M1260&lt;&gt;" "), "Ingresada", "Falta Ingresar"), " ")</f>
        <v xml:space="preserve"> </v>
      </c>
      <c r="L1260" s="4" t="str">
        <f>IFERROR(VLOOKUP($C1260,Observaciones!$A:$B,2,FALSE)," ")</f>
        <v>UNA FACTURA POR TODO</v>
      </c>
      <c r="M1260" t="s">
        <v>681</v>
      </c>
      <c r="O1260" s="5">
        <v>30855528</v>
      </c>
      <c r="P1260" s="5">
        <v>43377</v>
      </c>
      <c r="Q1260" s="5">
        <v>8242</v>
      </c>
      <c r="R1260" s="5">
        <v>51619</v>
      </c>
    </row>
    <row r="1261" spans="1:18" x14ac:dyDescent="0.25">
      <c r="A1261" t="s">
        <v>520</v>
      </c>
      <c r="B1261" t="s">
        <v>494</v>
      </c>
      <c r="C1261">
        <v>76025494</v>
      </c>
      <c r="D1261">
        <v>73</v>
      </c>
      <c r="E1261" t="s">
        <v>1053</v>
      </c>
      <c r="F1261" t="s">
        <v>1046</v>
      </c>
      <c r="G1261" s="1">
        <v>45236</v>
      </c>
      <c r="H1261">
        <v>5413590</v>
      </c>
      <c r="I1261">
        <v>14</v>
      </c>
      <c r="J1261" t="s">
        <v>309</v>
      </c>
      <c r="K1261" t="str">
        <f>IFERROR(IF(AND(VLOOKUP($C1261,Hes!$A:$B, 1, FALSE), $M1261&lt;&gt;" "), "Ingresada", "Falta Ingresar"), " ")</f>
        <v xml:space="preserve"> </v>
      </c>
      <c r="L1261" s="4" t="str">
        <f>IFERROR(VLOOKUP($C1261,Observaciones!$A:$B,2,FALSE)," ")</f>
        <v>UNA FACTURA POR TODO</v>
      </c>
      <c r="M1261" t="s">
        <v>681</v>
      </c>
      <c r="O1261" s="5">
        <v>30856560</v>
      </c>
      <c r="P1261" s="5">
        <v>381055</v>
      </c>
      <c r="Q1261" s="5">
        <v>72400</v>
      </c>
      <c r="R1261" s="5">
        <v>453455</v>
      </c>
    </row>
    <row r="1262" spans="1:18" x14ac:dyDescent="0.25">
      <c r="A1262" t="s">
        <v>520</v>
      </c>
      <c r="B1262" t="s">
        <v>494</v>
      </c>
      <c r="C1262">
        <v>76025494</v>
      </c>
      <c r="D1262">
        <v>73</v>
      </c>
      <c r="E1262" t="s">
        <v>1053</v>
      </c>
      <c r="F1262" t="s">
        <v>1046</v>
      </c>
      <c r="G1262" s="1">
        <v>45236</v>
      </c>
      <c r="H1262">
        <v>5413591</v>
      </c>
      <c r="I1262">
        <v>14</v>
      </c>
      <c r="J1262" t="s">
        <v>309</v>
      </c>
      <c r="K1262" t="str">
        <f>IFERROR(IF(AND(VLOOKUP($C1262,Hes!$A:$B, 1, FALSE), $M1262&lt;&gt;" "), "Ingresada", "Falta Ingresar"), " ")</f>
        <v xml:space="preserve"> </v>
      </c>
      <c r="L1262" s="4" t="str">
        <f>IFERROR(VLOOKUP($C1262,Observaciones!$A:$B,2,FALSE)," ")</f>
        <v>UNA FACTURA POR TODO</v>
      </c>
      <c r="M1262" t="s">
        <v>681</v>
      </c>
      <c r="O1262" s="5">
        <v>30856560</v>
      </c>
      <c r="P1262" s="5">
        <v>52818</v>
      </c>
      <c r="Q1262" s="5">
        <v>10035</v>
      </c>
      <c r="R1262" s="5">
        <v>62853</v>
      </c>
    </row>
    <row r="1263" spans="1:18" x14ac:dyDescent="0.25">
      <c r="A1263" t="s">
        <v>520</v>
      </c>
      <c r="B1263" t="s">
        <v>494</v>
      </c>
      <c r="C1263">
        <v>76025494</v>
      </c>
      <c r="D1263">
        <v>1228</v>
      </c>
      <c r="E1263">
        <v>30857953</v>
      </c>
      <c r="F1263" t="s">
        <v>1046</v>
      </c>
      <c r="G1263" s="1">
        <v>45236</v>
      </c>
      <c r="H1263">
        <v>5413611</v>
      </c>
      <c r="I1263">
        <v>14</v>
      </c>
      <c r="J1263" t="s">
        <v>309</v>
      </c>
      <c r="K1263" t="str">
        <f>IFERROR(IF(AND(VLOOKUP($C1263,Hes!$A:$B, 1, FALSE), $M1263&lt;&gt;" "), "Ingresada", "Falta Ingresar"), " ")</f>
        <v xml:space="preserve"> </v>
      </c>
      <c r="L1263" s="4" t="str">
        <f>IFERROR(VLOOKUP($C1263,Observaciones!$A:$B,2,FALSE)," ")</f>
        <v>UNA FACTURA POR TODO</v>
      </c>
      <c r="M1263" t="s">
        <v>681</v>
      </c>
      <c r="O1263" s="5">
        <v>30857953</v>
      </c>
      <c r="P1263" s="5">
        <v>144751</v>
      </c>
      <c r="Q1263" s="5">
        <v>27503</v>
      </c>
      <c r="R1263" s="5">
        <v>172254</v>
      </c>
    </row>
    <row r="1264" spans="1:18" x14ac:dyDescent="0.25">
      <c r="A1264" t="s">
        <v>520</v>
      </c>
      <c r="B1264" t="s">
        <v>494</v>
      </c>
      <c r="C1264">
        <v>76025494</v>
      </c>
      <c r="D1264">
        <v>11</v>
      </c>
      <c r="E1264">
        <v>30854165</v>
      </c>
      <c r="F1264" t="s">
        <v>1046</v>
      </c>
      <c r="G1264" s="1">
        <v>45236</v>
      </c>
      <c r="H1264">
        <v>5413673</v>
      </c>
      <c r="I1264">
        <v>14</v>
      </c>
      <c r="J1264" t="s">
        <v>309</v>
      </c>
      <c r="K1264" t="str">
        <f>IFERROR(IF(AND(VLOOKUP($C1264,Hes!$A:$B, 1, FALSE), $M1264&lt;&gt;" "), "Ingresada", "Falta Ingresar"), " ")</f>
        <v xml:space="preserve"> </v>
      </c>
      <c r="L1264" s="4" t="str">
        <f>IFERROR(VLOOKUP($C1264,Observaciones!$A:$B,2,FALSE)," ")</f>
        <v>UNA FACTURA POR TODO</v>
      </c>
      <c r="M1264" t="s">
        <v>681</v>
      </c>
      <c r="O1264" s="5">
        <v>30854165</v>
      </c>
      <c r="P1264" s="5">
        <v>122973</v>
      </c>
      <c r="Q1264" s="5">
        <v>23365</v>
      </c>
      <c r="R1264" s="5">
        <v>146338</v>
      </c>
    </row>
    <row r="1265" spans="1:18" x14ac:dyDescent="0.25">
      <c r="A1265" t="s">
        <v>520</v>
      </c>
      <c r="B1265" t="s">
        <v>494</v>
      </c>
      <c r="C1265">
        <v>76025494</v>
      </c>
      <c r="D1265">
        <v>2</v>
      </c>
      <c r="E1265">
        <v>30854898</v>
      </c>
      <c r="F1265" t="s">
        <v>1046</v>
      </c>
      <c r="G1265" s="1">
        <v>45236</v>
      </c>
      <c r="H1265">
        <v>5413771</v>
      </c>
      <c r="I1265">
        <v>14</v>
      </c>
      <c r="J1265" t="s">
        <v>309</v>
      </c>
      <c r="K1265" t="str">
        <f>IFERROR(IF(AND(VLOOKUP($C1265,Hes!$A:$B, 1, FALSE), $M1265&lt;&gt;" "), "Ingresada", "Falta Ingresar"), " ")</f>
        <v xml:space="preserve"> </v>
      </c>
      <c r="L1265" s="4" t="str">
        <f>IFERROR(VLOOKUP($C1265,Observaciones!$A:$B,2,FALSE)," ")</f>
        <v>UNA FACTURA POR TODO</v>
      </c>
      <c r="M1265" t="s">
        <v>681</v>
      </c>
      <c r="O1265" s="5">
        <v>30854898</v>
      </c>
      <c r="P1265" s="5">
        <v>59983</v>
      </c>
      <c r="Q1265" s="5">
        <v>11397</v>
      </c>
      <c r="R1265" s="5">
        <v>71380</v>
      </c>
    </row>
    <row r="1266" spans="1:18" x14ac:dyDescent="0.25">
      <c r="A1266" t="s">
        <v>520</v>
      </c>
      <c r="B1266" t="s">
        <v>494</v>
      </c>
      <c r="C1266">
        <v>76025494</v>
      </c>
      <c r="D1266">
        <v>6</v>
      </c>
      <c r="E1266">
        <v>30856183</v>
      </c>
      <c r="F1266" t="s">
        <v>1046</v>
      </c>
      <c r="G1266" s="1">
        <v>45236</v>
      </c>
      <c r="H1266">
        <v>5413788</v>
      </c>
      <c r="I1266">
        <v>14</v>
      </c>
      <c r="J1266" t="s">
        <v>309</v>
      </c>
      <c r="K1266" t="str">
        <f>IFERROR(IF(AND(VLOOKUP($C1266,Hes!$A:$B, 1, FALSE), $M1266&lt;&gt;" "), "Ingresada", "Falta Ingresar"), " ")</f>
        <v xml:space="preserve"> </v>
      </c>
      <c r="L1266" s="4" t="str">
        <f>IFERROR(VLOOKUP($C1266,Observaciones!$A:$B,2,FALSE)," ")</f>
        <v>UNA FACTURA POR TODO</v>
      </c>
      <c r="M1266" t="s">
        <v>681</v>
      </c>
      <c r="O1266" s="5">
        <v>30856183</v>
      </c>
      <c r="P1266" s="5">
        <v>95892</v>
      </c>
      <c r="Q1266" s="5">
        <v>18219</v>
      </c>
      <c r="R1266" s="5">
        <v>114111</v>
      </c>
    </row>
    <row r="1267" spans="1:18" x14ac:dyDescent="0.25">
      <c r="A1267" t="s">
        <v>520</v>
      </c>
      <c r="B1267" t="s">
        <v>494</v>
      </c>
      <c r="C1267">
        <v>76025494</v>
      </c>
      <c r="D1267">
        <v>1435</v>
      </c>
      <c r="E1267">
        <v>30856395</v>
      </c>
      <c r="F1267" t="s">
        <v>1046</v>
      </c>
      <c r="G1267" s="1">
        <v>45236</v>
      </c>
      <c r="H1267">
        <v>5413900</v>
      </c>
      <c r="I1267">
        <v>14</v>
      </c>
      <c r="J1267" t="s">
        <v>309</v>
      </c>
      <c r="K1267" t="str">
        <f>IFERROR(IF(AND(VLOOKUP($C1267,Hes!$A:$B, 1, FALSE), $M1267&lt;&gt;" "), "Ingresada", "Falta Ingresar"), " ")</f>
        <v xml:space="preserve"> </v>
      </c>
      <c r="L1267" s="4" t="str">
        <f>IFERROR(VLOOKUP($C1267,Observaciones!$A:$B,2,FALSE)," ")</f>
        <v>UNA FACTURA POR TODO</v>
      </c>
      <c r="M1267" t="s">
        <v>681</v>
      </c>
      <c r="O1267" s="5">
        <v>30856395</v>
      </c>
      <c r="P1267" s="5">
        <v>59866</v>
      </c>
      <c r="Q1267" s="5">
        <v>11375</v>
      </c>
      <c r="R1267" s="5">
        <v>71241</v>
      </c>
    </row>
    <row r="1268" spans="1:18" x14ac:dyDescent="0.25">
      <c r="A1268" t="s">
        <v>520</v>
      </c>
      <c r="B1268" t="s">
        <v>494</v>
      </c>
      <c r="C1268">
        <v>76025494</v>
      </c>
      <c r="D1268">
        <v>51</v>
      </c>
      <c r="E1268">
        <v>30858303</v>
      </c>
      <c r="F1268" t="s">
        <v>1046</v>
      </c>
      <c r="G1268" s="1">
        <v>45237</v>
      </c>
      <c r="H1268">
        <v>5414011</v>
      </c>
      <c r="I1268">
        <v>14</v>
      </c>
      <c r="J1268" t="s">
        <v>309</v>
      </c>
      <c r="K1268" t="str">
        <f>IFERROR(IF(AND(VLOOKUP($C1268,Hes!$A:$B, 1, FALSE), $M1268&lt;&gt;" "), "Ingresada", "Falta Ingresar"), " ")</f>
        <v xml:space="preserve"> </v>
      </c>
      <c r="L1268" s="4" t="str">
        <f>IFERROR(VLOOKUP($C1268,Observaciones!$A:$B,2,FALSE)," ")</f>
        <v>UNA FACTURA POR TODO</v>
      </c>
      <c r="M1268" t="s">
        <v>681</v>
      </c>
      <c r="O1268" s="5">
        <v>30858303</v>
      </c>
      <c r="P1268" s="5">
        <v>59104</v>
      </c>
      <c r="Q1268" s="5">
        <v>11230</v>
      </c>
      <c r="R1268" s="5">
        <v>70334</v>
      </c>
    </row>
    <row r="1269" spans="1:18" x14ac:dyDescent="0.25">
      <c r="A1269" t="s">
        <v>520</v>
      </c>
      <c r="B1269" t="s">
        <v>494</v>
      </c>
      <c r="C1269">
        <v>76025494</v>
      </c>
      <c r="D1269">
        <v>1209</v>
      </c>
      <c r="E1269">
        <v>30858307</v>
      </c>
      <c r="F1269" t="s">
        <v>1046</v>
      </c>
      <c r="G1269" s="1">
        <v>45237</v>
      </c>
      <c r="H1269">
        <v>5414014</v>
      </c>
      <c r="I1269">
        <v>14</v>
      </c>
      <c r="J1269" t="s">
        <v>309</v>
      </c>
      <c r="K1269" t="str">
        <f>IFERROR(IF(AND(VLOOKUP($C1269,Hes!$A:$B, 1, FALSE), $M1269&lt;&gt;" "), "Ingresada", "Falta Ingresar"), " ")</f>
        <v xml:space="preserve"> </v>
      </c>
      <c r="L1269" s="4" t="str">
        <f>IFERROR(VLOOKUP($C1269,Observaciones!$A:$B,2,FALSE)," ")</f>
        <v>UNA FACTURA POR TODO</v>
      </c>
      <c r="M1269" t="s">
        <v>681</v>
      </c>
      <c r="O1269" s="5">
        <v>30858307</v>
      </c>
      <c r="P1269" s="5">
        <v>177382</v>
      </c>
      <c r="Q1269" s="5">
        <v>33703</v>
      </c>
      <c r="R1269" s="5">
        <v>211085</v>
      </c>
    </row>
    <row r="1270" spans="1:18" x14ac:dyDescent="0.25">
      <c r="A1270" t="s">
        <v>520</v>
      </c>
      <c r="B1270" t="s">
        <v>494</v>
      </c>
      <c r="C1270">
        <v>76025494</v>
      </c>
      <c r="D1270">
        <v>41</v>
      </c>
      <c r="E1270">
        <v>30858178</v>
      </c>
      <c r="F1270" t="s">
        <v>1046</v>
      </c>
      <c r="G1270" s="1">
        <v>45237</v>
      </c>
      <c r="H1270">
        <v>5414056</v>
      </c>
      <c r="I1270">
        <v>14</v>
      </c>
      <c r="J1270" t="s">
        <v>309</v>
      </c>
      <c r="K1270" t="str">
        <f>IFERROR(IF(AND(VLOOKUP($C1270,Hes!$A:$B, 1, FALSE), $M1270&lt;&gt;" "), "Ingresada", "Falta Ingresar"), " ")</f>
        <v xml:space="preserve"> </v>
      </c>
      <c r="L1270" s="4" t="str">
        <f>IFERROR(VLOOKUP($C1270,Observaciones!$A:$B,2,FALSE)," ")</f>
        <v>UNA FACTURA POR TODO</v>
      </c>
      <c r="M1270" t="s">
        <v>681</v>
      </c>
      <c r="O1270" s="5">
        <v>30858178</v>
      </c>
      <c r="P1270" s="5">
        <v>95409</v>
      </c>
      <c r="Q1270" s="5">
        <v>18128</v>
      </c>
      <c r="R1270" s="5">
        <v>113537</v>
      </c>
    </row>
    <row r="1271" spans="1:18" x14ac:dyDescent="0.25">
      <c r="A1271" t="s">
        <v>520</v>
      </c>
      <c r="B1271" t="s">
        <v>494</v>
      </c>
      <c r="C1271">
        <v>76025494</v>
      </c>
      <c r="D1271">
        <v>23</v>
      </c>
      <c r="E1271">
        <v>30858174</v>
      </c>
      <c r="F1271" t="s">
        <v>1046</v>
      </c>
      <c r="G1271" s="1">
        <v>45237</v>
      </c>
      <c r="H1271">
        <v>5414061</v>
      </c>
      <c r="I1271">
        <v>14</v>
      </c>
      <c r="J1271" t="s">
        <v>309</v>
      </c>
      <c r="K1271" t="str">
        <f>IFERROR(IF(AND(VLOOKUP($C1271,Hes!$A:$B, 1, FALSE), $M1271&lt;&gt;" "), "Ingresada", "Falta Ingresar"), " ")</f>
        <v xml:space="preserve"> </v>
      </c>
      <c r="L1271" s="4" t="str">
        <f>IFERROR(VLOOKUP($C1271,Observaciones!$A:$B,2,FALSE)," ")</f>
        <v>UNA FACTURA POR TODO</v>
      </c>
      <c r="M1271" t="s">
        <v>681</v>
      </c>
      <c r="O1271" s="5">
        <v>30858174</v>
      </c>
      <c r="P1271" s="5">
        <v>59657</v>
      </c>
      <c r="Q1271" s="5">
        <v>11335</v>
      </c>
      <c r="R1271" s="5">
        <v>70992</v>
      </c>
    </row>
    <row r="1272" spans="1:18" x14ac:dyDescent="0.25">
      <c r="A1272" t="s">
        <v>520</v>
      </c>
      <c r="B1272" t="s">
        <v>494</v>
      </c>
      <c r="C1272">
        <v>76025494</v>
      </c>
      <c r="D1272">
        <v>1434</v>
      </c>
      <c r="E1272">
        <v>30858175</v>
      </c>
      <c r="F1272" t="s">
        <v>1046</v>
      </c>
      <c r="G1272" s="1">
        <v>45237</v>
      </c>
      <c r="H1272">
        <v>5414064</v>
      </c>
      <c r="I1272">
        <v>14</v>
      </c>
      <c r="J1272" t="s">
        <v>309</v>
      </c>
      <c r="K1272" t="str">
        <f>IFERROR(IF(AND(VLOOKUP($C1272,Hes!$A:$B, 1, FALSE), $M1272&lt;&gt;" "), "Ingresada", "Falta Ingresar"), " ")</f>
        <v xml:space="preserve"> </v>
      </c>
      <c r="L1272" s="4" t="str">
        <f>IFERROR(VLOOKUP($C1272,Observaciones!$A:$B,2,FALSE)," ")</f>
        <v>UNA FACTURA POR TODO</v>
      </c>
      <c r="M1272" t="s">
        <v>681</v>
      </c>
      <c r="O1272" s="5">
        <v>30858175</v>
      </c>
      <c r="P1272" s="5">
        <v>40524</v>
      </c>
      <c r="Q1272" s="5">
        <v>7700</v>
      </c>
      <c r="R1272" s="5">
        <v>48224</v>
      </c>
    </row>
    <row r="1273" spans="1:18" x14ac:dyDescent="0.25">
      <c r="A1273" t="s">
        <v>520</v>
      </c>
      <c r="B1273" t="s">
        <v>494</v>
      </c>
      <c r="C1273">
        <v>76025494</v>
      </c>
      <c r="D1273">
        <v>1208</v>
      </c>
      <c r="E1273">
        <v>30859721</v>
      </c>
      <c r="F1273" t="s">
        <v>1046</v>
      </c>
      <c r="G1273" s="1">
        <v>45237</v>
      </c>
      <c r="H1273">
        <v>5414201</v>
      </c>
      <c r="I1273">
        <v>14</v>
      </c>
      <c r="J1273" t="s">
        <v>309</v>
      </c>
      <c r="K1273" t="str">
        <f>IFERROR(IF(AND(VLOOKUP($C1273,Hes!$A:$B, 1, FALSE), $M1273&lt;&gt;" "), "Ingresada", "Falta Ingresar"), " ")</f>
        <v xml:space="preserve"> </v>
      </c>
      <c r="L1273" s="4" t="str">
        <f>IFERROR(VLOOKUP($C1273,Observaciones!$A:$B,2,FALSE)," ")</f>
        <v>UNA FACTURA POR TODO</v>
      </c>
      <c r="M1273" t="s">
        <v>681</v>
      </c>
      <c r="O1273" s="5">
        <v>30859721</v>
      </c>
      <c r="P1273" s="5">
        <v>109380</v>
      </c>
      <c r="Q1273" s="5">
        <v>20782</v>
      </c>
      <c r="R1273" s="5">
        <v>130162</v>
      </c>
    </row>
    <row r="1274" spans="1:18" x14ac:dyDescent="0.25">
      <c r="A1274" t="s">
        <v>520</v>
      </c>
      <c r="B1274" t="s">
        <v>494</v>
      </c>
      <c r="C1274">
        <v>76025494</v>
      </c>
      <c r="D1274">
        <v>1210</v>
      </c>
      <c r="E1274">
        <v>30860430</v>
      </c>
      <c r="F1274" t="s">
        <v>1046</v>
      </c>
      <c r="G1274" s="1">
        <v>45237</v>
      </c>
      <c r="H1274">
        <v>5414315</v>
      </c>
      <c r="I1274">
        <v>14</v>
      </c>
      <c r="J1274" t="s">
        <v>309</v>
      </c>
      <c r="K1274" t="str">
        <f>IFERROR(IF(AND(VLOOKUP($C1274,Hes!$A:$B, 1, FALSE), $M1274&lt;&gt;" "), "Ingresada", "Falta Ingresar"), " ")</f>
        <v xml:space="preserve"> </v>
      </c>
      <c r="L1274" s="4" t="str">
        <f>IFERROR(VLOOKUP($C1274,Observaciones!$A:$B,2,FALSE)," ")</f>
        <v>UNA FACTURA POR TODO</v>
      </c>
      <c r="M1274" t="s">
        <v>681</v>
      </c>
      <c r="O1274" s="5">
        <v>30860430</v>
      </c>
      <c r="P1274" s="5">
        <v>128521</v>
      </c>
      <c r="Q1274" s="5">
        <v>24419</v>
      </c>
      <c r="R1274" s="5">
        <v>152940</v>
      </c>
    </row>
    <row r="1275" spans="1:18" x14ac:dyDescent="0.25">
      <c r="A1275" t="s">
        <v>520</v>
      </c>
      <c r="B1275" t="s">
        <v>494</v>
      </c>
      <c r="C1275">
        <v>76025494</v>
      </c>
      <c r="D1275">
        <v>1244</v>
      </c>
      <c r="E1275">
        <v>30859976</v>
      </c>
      <c r="F1275" t="s">
        <v>1046</v>
      </c>
      <c r="G1275" s="1">
        <v>45237</v>
      </c>
      <c r="H1275">
        <v>5414457</v>
      </c>
      <c r="I1275">
        <v>14</v>
      </c>
      <c r="J1275" t="s">
        <v>309</v>
      </c>
      <c r="K1275" t="str">
        <f>IFERROR(IF(AND(VLOOKUP($C1275,Hes!$A:$B, 1, FALSE), $M1275&lt;&gt;" "), "Ingresada", "Falta Ingresar"), " ")</f>
        <v xml:space="preserve"> </v>
      </c>
      <c r="L1275" s="4" t="str">
        <f>IFERROR(VLOOKUP($C1275,Observaciones!$A:$B,2,FALSE)," ")</f>
        <v>UNA FACTURA POR TODO</v>
      </c>
      <c r="M1275" t="s">
        <v>681</v>
      </c>
      <c r="O1275" s="5">
        <v>30859976</v>
      </c>
      <c r="P1275" s="5">
        <v>49774</v>
      </c>
      <c r="Q1275" s="5">
        <v>9457</v>
      </c>
      <c r="R1275" s="5">
        <v>59231</v>
      </c>
    </row>
    <row r="1276" spans="1:18" x14ac:dyDescent="0.25">
      <c r="A1276" t="s">
        <v>520</v>
      </c>
      <c r="B1276" t="s">
        <v>494</v>
      </c>
      <c r="C1276">
        <v>76025494</v>
      </c>
      <c r="D1276">
        <v>1648</v>
      </c>
      <c r="E1276">
        <v>30858172</v>
      </c>
      <c r="F1276" t="s">
        <v>1046</v>
      </c>
      <c r="G1276" s="1">
        <v>45238</v>
      </c>
      <c r="H1276">
        <v>5414607</v>
      </c>
      <c r="I1276">
        <v>14</v>
      </c>
      <c r="J1276" t="s">
        <v>309</v>
      </c>
      <c r="K1276" t="str">
        <f>IFERROR(IF(AND(VLOOKUP($C1276,Hes!$A:$B, 1, FALSE), $M1276&lt;&gt;" "), "Ingresada", "Falta Ingresar"), " ")</f>
        <v xml:space="preserve"> </v>
      </c>
      <c r="L1276" s="4" t="str">
        <f>IFERROR(VLOOKUP($C1276,Observaciones!$A:$B,2,FALSE)," ")</f>
        <v>UNA FACTURA POR TODO</v>
      </c>
      <c r="M1276" t="s">
        <v>681</v>
      </c>
      <c r="O1276" s="5">
        <v>30858172</v>
      </c>
      <c r="P1276" s="5">
        <v>50747</v>
      </c>
      <c r="Q1276" s="5">
        <v>9642</v>
      </c>
      <c r="R1276" s="5">
        <v>60389</v>
      </c>
    </row>
    <row r="1277" spans="1:18" x14ac:dyDescent="0.25">
      <c r="A1277" t="s">
        <v>520</v>
      </c>
      <c r="B1277" t="s">
        <v>494</v>
      </c>
      <c r="C1277">
        <v>76025494</v>
      </c>
      <c r="D1277">
        <v>1642</v>
      </c>
      <c r="E1277">
        <v>30856844</v>
      </c>
      <c r="F1277" t="s">
        <v>1046</v>
      </c>
      <c r="G1277" s="1">
        <v>45238</v>
      </c>
      <c r="H1277">
        <v>5414679</v>
      </c>
      <c r="I1277">
        <v>14</v>
      </c>
      <c r="J1277" t="s">
        <v>309</v>
      </c>
      <c r="K1277" t="str">
        <f>IFERROR(IF(AND(VLOOKUP($C1277,Hes!$A:$B, 1, FALSE), $M1277&lt;&gt;" "), "Ingresada", "Falta Ingresar"), " ")</f>
        <v xml:space="preserve"> </v>
      </c>
      <c r="L1277" s="4" t="str">
        <f>IFERROR(VLOOKUP($C1277,Observaciones!$A:$B,2,FALSE)," ")</f>
        <v>UNA FACTURA POR TODO</v>
      </c>
      <c r="M1277" t="s">
        <v>681</v>
      </c>
      <c r="O1277" s="5">
        <v>30856844</v>
      </c>
      <c r="P1277" s="5">
        <v>59973</v>
      </c>
      <c r="Q1277" s="5">
        <v>11395</v>
      </c>
      <c r="R1277" s="5">
        <v>71368</v>
      </c>
    </row>
    <row r="1278" spans="1:18" x14ac:dyDescent="0.25">
      <c r="A1278" t="s">
        <v>520</v>
      </c>
      <c r="B1278" t="s">
        <v>494</v>
      </c>
      <c r="C1278">
        <v>76025494</v>
      </c>
      <c r="D1278">
        <v>1901</v>
      </c>
      <c r="E1278">
        <v>30861443</v>
      </c>
      <c r="F1278" t="s">
        <v>1046</v>
      </c>
      <c r="G1278" s="1">
        <v>45237</v>
      </c>
      <c r="H1278">
        <v>5414787</v>
      </c>
      <c r="I1278">
        <v>14</v>
      </c>
      <c r="J1278" t="s">
        <v>309</v>
      </c>
      <c r="K1278" t="str">
        <f>IFERROR(IF(AND(VLOOKUP($C1278,Hes!$A:$B, 1, FALSE), $M1278&lt;&gt;" "), "Ingresada", "Falta Ingresar"), " ")</f>
        <v xml:space="preserve"> </v>
      </c>
      <c r="L1278" s="4" t="str">
        <f>IFERROR(VLOOKUP($C1278,Observaciones!$A:$B,2,FALSE)," ")</f>
        <v>UNA FACTURA POR TODO</v>
      </c>
      <c r="M1278" t="s">
        <v>681</v>
      </c>
      <c r="O1278" s="5">
        <v>30861443</v>
      </c>
      <c r="P1278" s="5">
        <v>59951</v>
      </c>
      <c r="Q1278" s="5">
        <v>11391</v>
      </c>
      <c r="R1278" s="5">
        <v>71342</v>
      </c>
    </row>
    <row r="1279" spans="1:18" x14ac:dyDescent="0.25">
      <c r="A1279" t="s">
        <v>520</v>
      </c>
      <c r="B1279" t="s">
        <v>494</v>
      </c>
      <c r="C1279">
        <v>76025494</v>
      </c>
      <c r="D1279">
        <v>42</v>
      </c>
      <c r="E1279">
        <v>30858321</v>
      </c>
      <c r="F1279" t="s">
        <v>1046</v>
      </c>
      <c r="G1279" s="1">
        <v>45238</v>
      </c>
      <c r="H1279">
        <v>5414833</v>
      </c>
      <c r="I1279">
        <v>14</v>
      </c>
      <c r="J1279" t="s">
        <v>309</v>
      </c>
      <c r="K1279" t="str">
        <f>IFERROR(IF(AND(VLOOKUP($C1279,Hes!$A:$B, 1, FALSE), $M1279&lt;&gt;" "), "Ingresada", "Falta Ingresar"), " ")</f>
        <v xml:space="preserve"> </v>
      </c>
      <c r="L1279" s="4" t="str">
        <f>IFERROR(VLOOKUP($C1279,Observaciones!$A:$B,2,FALSE)," ")</f>
        <v>UNA FACTURA POR TODO</v>
      </c>
      <c r="M1279" t="s">
        <v>681</v>
      </c>
      <c r="O1279" s="5">
        <v>30858321</v>
      </c>
      <c r="P1279" s="5">
        <v>61165</v>
      </c>
      <c r="Q1279" s="5">
        <v>11621</v>
      </c>
      <c r="R1279" s="5">
        <v>72786</v>
      </c>
    </row>
    <row r="1280" spans="1:18" x14ac:dyDescent="0.25">
      <c r="A1280" t="s">
        <v>520</v>
      </c>
      <c r="B1280" t="s">
        <v>494</v>
      </c>
      <c r="C1280">
        <v>76025494</v>
      </c>
      <c r="D1280">
        <v>24</v>
      </c>
      <c r="E1280">
        <v>30861177</v>
      </c>
      <c r="F1280" t="s">
        <v>1046</v>
      </c>
      <c r="G1280" s="1">
        <v>45238</v>
      </c>
      <c r="H1280">
        <v>5414856</v>
      </c>
      <c r="I1280">
        <v>14</v>
      </c>
      <c r="J1280" t="s">
        <v>309</v>
      </c>
      <c r="K1280" t="str">
        <f>IFERROR(IF(AND(VLOOKUP($C1280,Hes!$A:$B, 1, FALSE), $M1280&lt;&gt;" "), "Ingresada", "Falta Ingresar"), " ")</f>
        <v xml:space="preserve"> </v>
      </c>
      <c r="L1280" s="4" t="str">
        <f>IFERROR(VLOOKUP($C1280,Observaciones!$A:$B,2,FALSE)," ")</f>
        <v>UNA FACTURA POR TODO</v>
      </c>
      <c r="M1280" t="s">
        <v>681</v>
      </c>
      <c r="O1280" s="5">
        <v>30861177</v>
      </c>
      <c r="P1280" s="5">
        <v>71768</v>
      </c>
      <c r="Q1280" s="5">
        <v>13636</v>
      </c>
      <c r="R1280" s="5">
        <v>85404</v>
      </c>
    </row>
    <row r="1281" spans="1:18" x14ac:dyDescent="0.25">
      <c r="A1281" t="s">
        <v>520</v>
      </c>
      <c r="B1281" t="s">
        <v>494</v>
      </c>
      <c r="C1281">
        <v>76025494</v>
      </c>
      <c r="D1281">
        <v>1847</v>
      </c>
      <c r="E1281" t="s">
        <v>1048</v>
      </c>
      <c r="F1281" t="s">
        <v>1046</v>
      </c>
      <c r="G1281" s="1">
        <v>45238</v>
      </c>
      <c r="H1281">
        <v>5414945</v>
      </c>
      <c r="I1281">
        <v>14</v>
      </c>
      <c r="J1281" t="s">
        <v>309</v>
      </c>
      <c r="K1281" t="str">
        <f>IFERROR(IF(AND(VLOOKUP($C1281,Hes!$A:$B, 1, FALSE), $M1281&lt;&gt;" "), "Ingresada", "Falta Ingresar"), " ")</f>
        <v xml:space="preserve"> </v>
      </c>
      <c r="L1281" s="4" t="str">
        <f>IFERROR(VLOOKUP($C1281,Observaciones!$A:$B,2,FALSE)," ")</f>
        <v>UNA FACTURA POR TODO</v>
      </c>
      <c r="M1281" t="s">
        <v>681</v>
      </c>
      <c r="O1281" s="5">
        <v>30860431</v>
      </c>
      <c r="P1281" s="5">
        <v>198578</v>
      </c>
      <c r="Q1281" s="5">
        <v>37730</v>
      </c>
      <c r="R1281" s="5">
        <v>236308</v>
      </c>
    </row>
    <row r="1282" spans="1:18" x14ac:dyDescent="0.25">
      <c r="A1282" t="s">
        <v>520</v>
      </c>
      <c r="B1282" t="s">
        <v>494</v>
      </c>
      <c r="C1282">
        <v>76025494</v>
      </c>
      <c r="D1282">
        <v>25</v>
      </c>
      <c r="E1282" t="s">
        <v>1054</v>
      </c>
      <c r="F1282" t="s">
        <v>1046</v>
      </c>
      <c r="G1282" s="1">
        <v>45238</v>
      </c>
      <c r="H1282">
        <v>5415209</v>
      </c>
      <c r="I1282">
        <v>14</v>
      </c>
      <c r="J1282" t="s">
        <v>309</v>
      </c>
      <c r="K1282" t="str">
        <f>IFERROR(IF(AND(VLOOKUP($C1282,Hes!$A:$B, 1, FALSE), $M1282&lt;&gt;" "), "Ingresada", "Falta Ingresar"), " ")</f>
        <v xml:space="preserve"> </v>
      </c>
      <c r="L1282" s="4" t="str">
        <f>IFERROR(VLOOKUP($C1282,Observaciones!$A:$B,2,FALSE)," ")</f>
        <v>UNA FACTURA POR TODO</v>
      </c>
      <c r="M1282" t="s">
        <v>681</v>
      </c>
      <c r="O1282" s="5">
        <v>30861844</v>
      </c>
      <c r="P1282" s="5">
        <v>47751</v>
      </c>
      <c r="Q1282" s="5">
        <v>9073</v>
      </c>
      <c r="R1282" s="5">
        <v>56824</v>
      </c>
    </row>
    <row r="1283" spans="1:18" x14ac:dyDescent="0.25">
      <c r="A1283" t="s">
        <v>520</v>
      </c>
      <c r="B1283" t="s">
        <v>494</v>
      </c>
      <c r="C1283">
        <v>76025494</v>
      </c>
      <c r="D1283">
        <v>1227</v>
      </c>
      <c r="E1283">
        <v>30863083</v>
      </c>
      <c r="F1283" t="s">
        <v>1046</v>
      </c>
      <c r="G1283" s="1">
        <v>45237</v>
      </c>
      <c r="H1283">
        <v>5415272</v>
      </c>
      <c r="I1283">
        <v>14</v>
      </c>
      <c r="J1283" t="s">
        <v>309</v>
      </c>
      <c r="K1283" t="str">
        <f>IFERROR(IF(AND(VLOOKUP($C1283,Hes!$A:$B, 1, FALSE), $M1283&lt;&gt;" "), "Ingresada", "Falta Ingresar"), " ")</f>
        <v xml:space="preserve"> </v>
      </c>
      <c r="L1283" s="4" t="str">
        <f>IFERROR(VLOOKUP($C1283,Observaciones!$A:$B,2,FALSE)," ")</f>
        <v>UNA FACTURA POR TODO</v>
      </c>
      <c r="M1283" t="s">
        <v>681</v>
      </c>
      <c r="O1283" s="5">
        <v>30863083</v>
      </c>
      <c r="P1283" s="5">
        <v>97702</v>
      </c>
      <c r="Q1283" s="5">
        <v>18563</v>
      </c>
      <c r="R1283" s="5">
        <v>116265</v>
      </c>
    </row>
    <row r="1284" spans="1:18" x14ac:dyDescent="0.25">
      <c r="A1284" t="s">
        <v>520</v>
      </c>
      <c r="B1284" t="s">
        <v>494</v>
      </c>
      <c r="C1284">
        <v>76025494</v>
      </c>
      <c r="D1284">
        <v>1212</v>
      </c>
      <c r="E1284">
        <v>30861955</v>
      </c>
      <c r="F1284" t="s">
        <v>1046</v>
      </c>
      <c r="G1284" s="1">
        <v>45237</v>
      </c>
      <c r="H1284">
        <v>5415276</v>
      </c>
      <c r="I1284">
        <v>14</v>
      </c>
      <c r="J1284" t="s">
        <v>309</v>
      </c>
      <c r="K1284" t="str">
        <f>IFERROR(IF(AND(VLOOKUP($C1284,Hes!$A:$B, 1, FALSE), $M1284&lt;&gt;" "), "Ingresada", "Falta Ingresar"), " ")</f>
        <v xml:space="preserve"> </v>
      </c>
      <c r="L1284" s="4" t="str">
        <f>IFERROR(VLOOKUP($C1284,Observaciones!$A:$B,2,FALSE)," ")</f>
        <v>UNA FACTURA POR TODO</v>
      </c>
      <c r="M1284" t="s">
        <v>681</v>
      </c>
      <c r="O1284" s="5">
        <v>30861955</v>
      </c>
      <c r="P1284" s="5">
        <v>38771</v>
      </c>
      <c r="Q1284" s="5">
        <v>7366</v>
      </c>
      <c r="R1284" s="5">
        <v>46137</v>
      </c>
    </row>
    <row r="1285" spans="1:18" x14ac:dyDescent="0.25">
      <c r="A1285" t="s">
        <v>520</v>
      </c>
      <c r="B1285" t="s">
        <v>494</v>
      </c>
      <c r="C1285">
        <v>76025494</v>
      </c>
      <c r="D1285">
        <v>1214</v>
      </c>
      <c r="E1285">
        <v>30862493</v>
      </c>
      <c r="F1285" t="s">
        <v>1046</v>
      </c>
      <c r="G1285" s="1">
        <v>45237</v>
      </c>
      <c r="H1285">
        <v>5415280</v>
      </c>
      <c r="I1285">
        <v>14</v>
      </c>
      <c r="J1285" t="s">
        <v>309</v>
      </c>
      <c r="K1285" t="str">
        <f>IFERROR(IF(AND(VLOOKUP($C1285,Hes!$A:$B, 1, FALSE), $M1285&lt;&gt;" "), "Ingresada", "Falta Ingresar"), " ")</f>
        <v xml:space="preserve"> </v>
      </c>
      <c r="L1285" s="4" t="str">
        <f>IFERROR(VLOOKUP($C1285,Observaciones!$A:$B,2,FALSE)," ")</f>
        <v>UNA FACTURA POR TODO</v>
      </c>
      <c r="M1285" t="s">
        <v>681</v>
      </c>
      <c r="O1285" s="5">
        <v>30862493</v>
      </c>
      <c r="P1285" s="5">
        <v>84960</v>
      </c>
      <c r="Q1285" s="5">
        <v>16142</v>
      </c>
      <c r="R1285" s="5">
        <v>101102</v>
      </c>
    </row>
    <row r="1286" spans="1:18" x14ac:dyDescent="0.25">
      <c r="A1286" t="s">
        <v>520</v>
      </c>
      <c r="B1286" t="s">
        <v>494</v>
      </c>
      <c r="C1286">
        <v>76025494</v>
      </c>
      <c r="D1286">
        <v>73</v>
      </c>
      <c r="E1286" t="s">
        <v>1055</v>
      </c>
      <c r="F1286" t="s">
        <v>1046</v>
      </c>
      <c r="G1286" s="1">
        <v>45238</v>
      </c>
      <c r="H1286">
        <v>5415467</v>
      </c>
      <c r="I1286">
        <v>14</v>
      </c>
      <c r="J1286" t="s">
        <v>309</v>
      </c>
      <c r="K1286" t="str">
        <f>IFERROR(IF(AND(VLOOKUP($C1286,Hes!$A:$B, 1, FALSE), $M1286&lt;&gt;" "), "Ingresada", "Falta Ingresar"), " ")</f>
        <v xml:space="preserve"> </v>
      </c>
      <c r="L1286" s="4" t="str">
        <f>IFERROR(VLOOKUP($C1286,Observaciones!$A:$B,2,FALSE)," ")</f>
        <v>UNA FACTURA POR TODO</v>
      </c>
      <c r="M1286" t="s">
        <v>681</v>
      </c>
      <c r="O1286" s="5">
        <v>30863559</v>
      </c>
      <c r="P1286" s="5">
        <v>11208</v>
      </c>
      <c r="Q1286" s="5">
        <v>2130</v>
      </c>
      <c r="R1286" s="5">
        <v>14459</v>
      </c>
    </row>
    <row r="1287" spans="1:18" x14ac:dyDescent="0.25">
      <c r="A1287" t="s">
        <v>520</v>
      </c>
      <c r="B1287" t="s">
        <v>494</v>
      </c>
      <c r="C1287">
        <v>76025494</v>
      </c>
      <c r="D1287">
        <v>2302</v>
      </c>
      <c r="E1287">
        <v>30862383</v>
      </c>
      <c r="F1287" t="s">
        <v>1046</v>
      </c>
      <c r="G1287" s="1">
        <v>45238</v>
      </c>
      <c r="H1287">
        <v>5415497</v>
      </c>
      <c r="I1287">
        <v>14</v>
      </c>
      <c r="J1287" t="s">
        <v>309</v>
      </c>
      <c r="K1287" t="str">
        <f>IFERROR(IF(AND(VLOOKUP($C1287,Hes!$A:$B, 1, FALSE), $M1287&lt;&gt;" "), "Ingresada", "Falta Ingresar"), " ")</f>
        <v xml:space="preserve"> </v>
      </c>
      <c r="L1287" s="4" t="str">
        <f>IFERROR(VLOOKUP($C1287,Observaciones!$A:$B,2,FALSE)," ")</f>
        <v>UNA FACTURA POR TODO</v>
      </c>
      <c r="M1287" t="s">
        <v>681</v>
      </c>
      <c r="O1287" s="5">
        <v>30862383</v>
      </c>
      <c r="P1287" s="5">
        <v>75603</v>
      </c>
      <c r="Q1287" s="5">
        <v>14365</v>
      </c>
      <c r="R1287" s="5">
        <v>89968</v>
      </c>
    </row>
    <row r="1288" spans="1:18" x14ac:dyDescent="0.25">
      <c r="A1288" t="s">
        <v>520</v>
      </c>
      <c r="B1288" t="s">
        <v>494</v>
      </c>
      <c r="C1288">
        <v>76025494</v>
      </c>
      <c r="D1288">
        <v>47</v>
      </c>
      <c r="E1288">
        <v>30864709</v>
      </c>
      <c r="F1288" t="s">
        <v>1046</v>
      </c>
      <c r="G1288" s="1">
        <v>45238</v>
      </c>
      <c r="H1288">
        <v>5415508</v>
      </c>
      <c r="I1288">
        <v>14</v>
      </c>
      <c r="J1288" t="s">
        <v>309</v>
      </c>
      <c r="K1288" t="str">
        <f>IFERROR(IF(AND(VLOOKUP($C1288,Hes!$A:$B, 1, FALSE), $M1288&lt;&gt;" "), "Ingresada", "Falta Ingresar"), " ")</f>
        <v xml:space="preserve"> </v>
      </c>
      <c r="L1288" s="4" t="str">
        <f>IFERROR(VLOOKUP($C1288,Observaciones!$A:$B,2,FALSE)," ")</f>
        <v>UNA FACTURA POR TODO</v>
      </c>
      <c r="M1288" t="s">
        <v>681</v>
      </c>
      <c r="O1288" s="5">
        <v>30864709</v>
      </c>
      <c r="P1288" s="5">
        <v>52793</v>
      </c>
      <c r="Q1288" s="5">
        <v>10031</v>
      </c>
      <c r="R1288" s="5">
        <v>62824</v>
      </c>
    </row>
    <row r="1289" spans="1:18" x14ac:dyDescent="0.25">
      <c r="A1289" t="s">
        <v>520</v>
      </c>
      <c r="B1289" t="s">
        <v>494</v>
      </c>
      <c r="C1289">
        <v>76025494</v>
      </c>
      <c r="D1289">
        <v>73</v>
      </c>
      <c r="E1289" t="s">
        <v>1056</v>
      </c>
      <c r="F1289" t="s">
        <v>1046</v>
      </c>
      <c r="G1289" s="1">
        <v>45238</v>
      </c>
      <c r="H1289">
        <v>5415567</v>
      </c>
      <c r="I1289">
        <v>14</v>
      </c>
      <c r="J1289" t="s">
        <v>309</v>
      </c>
      <c r="K1289" t="str">
        <f>IFERROR(IF(AND(VLOOKUP($C1289,Hes!$A:$B, 1, FALSE), $M1289&lt;&gt;" "), "Ingresada", "Falta Ingresar"), " ")</f>
        <v xml:space="preserve"> </v>
      </c>
      <c r="L1289" s="4" t="str">
        <f>IFERROR(VLOOKUP($C1289,Observaciones!$A:$B,2,FALSE)," ")</f>
        <v>UNA FACTURA POR TODO</v>
      </c>
      <c r="M1289" t="s">
        <v>681</v>
      </c>
      <c r="O1289" s="5">
        <v>30864668</v>
      </c>
      <c r="P1289" s="5">
        <v>12330</v>
      </c>
      <c r="Q1289" s="5">
        <v>2343</v>
      </c>
      <c r="R1289" s="5">
        <v>14673</v>
      </c>
    </row>
    <row r="1290" spans="1:18" x14ac:dyDescent="0.25">
      <c r="A1290" t="s">
        <v>520</v>
      </c>
      <c r="B1290" t="s">
        <v>494</v>
      </c>
      <c r="C1290">
        <v>76025494</v>
      </c>
      <c r="D1290">
        <v>1216</v>
      </c>
      <c r="E1290">
        <v>30863127</v>
      </c>
      <c r="F1290" t="s">
        <v>1046</v>
      </c>
      <c r="G1290" s="1">
        <v>45238</v>
      </c>
      <c r="H1290">
        <v>5415612</v>
      </c>
      <c r="I1290">
        <v>14</v>
      </c>
      <c r="J1290" t="s">
        <v>309</v>
      </c>
      <c r="K1290" t="str">
        <f>IFERROR(IF(AND(VLOOKUP($C1290,Hes!$A:$B, 1, FALSE), $M1290&lt;&gt;" "), "Ingresada", "Falta Ingresar"), " ")</f>
        <v xml:space="preserve"> </v>
      </c>
      <c r="L1290" s="4" t="str">
        <f>IFERROR(VLOOKUP($C1290,Observaciones!$A:$B,2,FALSE)," ")</f>
        <v>UNA FACTURA POR TODO</v>
      </c>
      <c r="M1290" t="s">
        <v>681</v>
      </c>
      <c r="O1290" s="5">
        <v>30863127</v>
      </c>
      <c r="P1290" s="5">
        <v>59889</v>
      </c>
      <c r="Q1290" s="5">
        <v>11379</v>
      </c>
      <c r="R1290" s="5">
        <v>71268</v>
      </c>
    </row>
    <row r="1291" spans="1:18" x14ac:dyDescent="0.25">
      <c r="A1291" t="s">
        <v>520</v>
      </c>
      <c r="B1291" t="s">
        <v>494</v>
      </c>
      <c r="C1291">
        <v>76025494</v>
      </c>
      <c r="D1291">
        <v>1440</v>
      </c>
      <c r="E1291">
        <v>30862868</v>
      </c>
      <c r="F1291" t="s">
        <v>1046</v>
      </c>
      <c r="G1291" s="1">
        <v>45238</v>
      </c>
      <c r="H1291">
        <v>5415621</v>
      </c>
      <c r="I1291">
        <v>14</v>
      </c>
      <c r="J1291" t="s">
        <v>309</v>
      </c>
      <c r="K1291" t="str">
        <f>IFERROR(IF(AND(VLOOKUP($C1291,Hes!$A:$B, 1, FALSE), $M1291&lt;&gt;" "), "Ingresada", "Falta Ingresar"), " ")</f>
        <v xml:space="preserve"> </v>
      </c>
      <c r="L1291" s="4" t="str">
        <f>IFERROR(VLOOKUP($C1291,Observaciones!$A:$B,2,FALSE)," ")</f>
        <v>UNA FACTURA POR TODO</v>
      </c>
      <c r="M1291" t="s">
        <v>681</v>
      </c>
      <c r="O1291" s="5">
        <v>30862868</v>
      </c>
      <c r="P1291" s="5">
        <v>127195</v>
      </c>
      <c r="Q1291" s="5">
        <v>24167</v>
      </c>
      <c r="R1291" s="5">
        <v>151362</v>
      </c>
    </row>
    <row r="1292" spans="1:18" x14ac:dyDescent="0.25">
      <c r="A1292" t="s">
        <v>520</v>
      </c>
      <c r="B1292" t="s">
        <v>494</v>
      </c>
      <c r="C1292">
        <v>76025494</v>
      </c>
      <c r="D1292">
        <v>22</v>
      </c>
      <c r="E1292">
        <v>30863160</v>
      </c>
      <c r="F1292" t="s">
        <v>1046</v>
      </c>
      <c r="G1292" s="1">
        <v>45238</v>
      </c>
      <c r="H1292">
        <v>5415654</v>
      </c>
      <c r="I1292">
        <v>14</v>
      </c>
      <c r="J1292" t="s">
        <v>309</v>
      </c>
      <c r="K1292" t="str">
        <f>IFERROR(IF(AND(VLOOKUP($C1292,Hes!$A:$B, 1, FALSE), $M1292&lt;&gt;" "), "Ingresada", "Falta Ingresar"), " ")</f>
        <v xml:space="preserve"> </v>
      </c>
      <c r="L1292" s="4" t="str">
        <f>IFERROR(VLOOKUP($C1292,Observaciones!$A:$B,2,FALSE)," ")</f>
        <v>UNA FACTURA POR TODO</v>
      </c>
      <c r="M1292" t="s">
        <v>681</v>
      </c>
      <c r="O1292" s="5">
        <v>30863160</v>
      </c>
      <c r="P1292" s="5">
        <v>158013</v>
      </c>
      <c r="Q1292" s="5">
        <v>30022</v>
      </c>
      <c r="R1292" s="5">
        <v>188035</v>
      </c>
    </row>
    <row r="1293" spans="1:18" x14ac:dyDescent="0.25">
      <c r="A1293" t="s">
        <v>520</v>
      </c>
      <c r="B1293" t="s">
        <v>494</v>
      </c>
      <c r="C1293">
        <v>76025494</v>
      </c>
      <c r="D1293">
        <v>37</v>
      </c>
      <c r="E1293" t="s">
        <v>1057</v>
      </c>
      <c r="F1293" t="s">
        <v>1046</v>
      </c>
      <c r="G1293" s="1">
        <v>45238</v>
      </c>
      <c r="H1293">
        <v>5415693</v>
      </c>
      <c r="I1293">
        <v>14</v>
      </c>
      <c r="J1293" t="s">
        <v>309</v>
      </c>
      <c r="K1293" t="str">
        <f>IFERROR(IF(AND(VLOOKUP($C1293,Hes!$A:$B, 1, FALSE), $M1293&lt;&gt;" "), "Ingresada", "Falta Ingresar"), " ")</f>
        <v xml:space="preserve"> </v>
      </c>
      <c r="L1293" s="4" t="str">
        <f>IFERROR(VLOOKUP($C1293,Observaciones!$A:$B,2,FALSE)," ")</f>
        <v>UNA FACTURA POR TODO</v>
      </c>
      <c r="M1293" t="s">
        <v>681</v>
      </c>
      <c r="O1293" s="5">
        <v>30863634</v>
      </c>
      <c r="P1293" s="5">
        <v>536604</v>
      </c>
      <c r="Q1293" s="5">
        <v>101955</v>
      </c>
      <c r="R1293" s="5">
        <v>638559</v>
      </c>
    </row>
    <row r="1294" spans="1:18" x14ac:dyDescent="0.25">
      <c r="A1294" t="s">
        <v>520</v>
      </c>
      <c r="B1294" t="s">
        <v>494</v>
      </c>
      <c r="C1294">
        <v>76025494</v>
      </c>
      <c r="D1294">
        <v>1222</v>
      </c>
      <c r="E1294">
        <v>30864148</v>
      </c>
      <c r="F1294" t="s">
        <v>1046</v>
      </c>
      <c r="G1294" s="1">
        <v>45238</v>
      </c>
      <c r="H1294">
        <v>5415795</v>
      </c>
      <c r="I1294">
        <v>14</v>
      </c>
      <c r="J1294" t="s">
        <v>309</v>
      </c>
      <c r="K1294" t="str">
        <f>IFERROR(IF(AND(VLOOKUP($C1294,Hes!$A:$B, 1, FALSE), $M1294&lt;&gt;" "), "Ingresada", "Falta Ingresar"), " ")</f>
        <v xml:space="preserve"> </v>
      </c>
      <c r="L1294" s="4" t="str">
        <f>IFERROR(VLOOKUP($C1294,Observaciones!$A:$B,2,FALSE)," ")</f>
        <v>UNA FACTURA POR TODO</v>
      </c>
      <c r="M1294" t="s">
        <v>681</v>
      </c>
      <c r="O1294" s="5">
        <v>30864148</v>
      </c>
      <c r="P1294" s="5">
        <v>85249</v>
      </c>
      <c r="Q1294" s="5">
        <v>16197</v>
      </c>
      <c r="R1294" s="5">
        <v>101446</v>
      </c>
    </row>
    <row r="1295" spans="1:18" x14ac:dyDescent="0.25">
      <c r="F1295" t="s">
        <v>1058</v>
      </c>
      <c r="K1295" t="str">
        <f>IFERROR(IF(AND(VLOOKUP($C1295,Hes!$A:$B, 1, FALSE), $M1295&lt;&gt;" "), "Ingresada", "Falta Ingresar"), " ")</f>
        <v xml:space="preserve"> </v>
      </c>
      <c r="L1295" s="4" t="str">
        <f>IFERROR(VLOOKUP($C1295,Observaciones!$A:$B,2,FALSE)," ")</f>
        <v xml:space="preserve"> </v>
      </c>
      <c r="M1295" t="s">
        <v>681</v>
      </c>
      <c r="P1295" s="5">
        <v>7350356</v>
      </c>
      <c r="Q1295" s="5">
        <v>1396570</v>
      </c>
      <c r="R1295" s="5">
        <v>8749766</v>
      </c>
    </row>
    <row r="1296" spans="1:18" x14ac:dyDescent="0.25">
      <c r="A1296" t="s">
        <v>503</v>
      </c>
      <c r="B1296" t="s">
        <v>494</v>
      </c>
      <c r="C1296">
        <v>76026047</v>
      </c>
      <c r="D1296">
        <v>2</v>
      </c>
      <c r="E1296" t="s">
        <v>1059</v>
      </c>
      <c r="F1296" t="s">
        <v>1060</v>
      </c>
      <c r="G1296" s="1">
        <v>45236</v>
      </c>
      <c r="H1296">
        <v>5413729</v>
      </c>
      <c r="I1296">
        <v>100</v>
      </c>
      <c r="J1296" t="s">
        <v>384</v>
      </c>
      <c r="K1296" t="str">
        <f>IFERROR(IF(AND(VLOOKUP($C1296,Hes!$A:$B, 1, FALSE), $M1296&lt;&gt;" "), "Ingresada", "Falta Ingresar"), " ")</f>
        <v xml:space="preserve"> </v>
      </c>
      <c r="L1296" s="4" t="str">
        <f>IFERROR(VLOOKUP($C1296,Observaciones!$A:$B,2,FALSE)," ")</f>
        <v xml:space="preserve"> </v>
      </c>
      <c r="M1296" t="s">
        <v>681</v>
      </c>
      <c r="O1296" s="5">
        <v>30857047</v>
      </c>
      <c r="P1296" s="5">
        <v>49264</v>
      </c>
      <c r="Q1296" s="5">
        <v>9360</v>
      </c>
      <c r="R1296" s="5">
        <v>58624</v>
      </c>
    </row>
    <row r="1297" spans="1:18" x14ac:dyDescent="0.25">
      <c r="F1297" t="s">
        <v>495</v>
      </c>
      <c r="K1297" t="str">
        <f>IFERROR(IF(AND(VLOOKUP($C1297,Hes!$A:$B, 1, FALSE), $M1297&lt;&gt;" "), "Ingresada", "Falta Ingresar"), " ")</f>
        <v xml:space="preserve"> </v>
      </c>
      <c r="L1297" s="4" t="str">
        <f>IFERROR(VLOOKUP($C1297,Observaciones!$A:$B,2,FALSE)," ")</f>
        <v xml:space="preserve"> </v>
      </c>
      <c r="M1297" t="s">
        <v>681</v>
      </c>
      <c r="P1297" s="5">
        <v>49264</v>
      </c>
      <c r="Q1297" s="5">
        <v>9360</v>
      </c>
      <c r="R1297" s="5">
        <v>58624</v>
      </c>
    </row>
    <row r="1298" spans="1:18" x14ac:dyDescent="0.25">
      <c r="A1298" t="s">
        <v>3</v>
      </c>
      <c r="B1298" t="s">
        <v>494</v>
      </c>
      <c r="C1298">
        <v>76026848</v>
      </c>
      <c r="D1298">
        <v>10</v>
      </c>
      <c r="E1298">
        <v>30861230</v>
      </c>
      <c r="F1298" t="s">
        <v>1061</v>
      </c>
      <c r="G1298" s="1">
        <v>45238</v>
      </c>
      <c r="H1298">
        <v>5414966</v>
      </c>
      <c r="I1298">
        <v>96</v>
      </c>
      <c r="J1298" t="s">
        <v>140</v>
      </c>
      <c r="K1298" s="8" t="str">
        <f>IFERROR(IF(AND(VLOOKUP($C1298,Hes!$A:$B, 1, FALSE), $M1298&lt;&gt;" "), "Ingresada", "Falta Ingresar"), " ")</f>
        <v>Falta Ingresar</v>
      </c>
      <c r="L1298" s="4" t="s">
        <v>681</v>
      </c>
      <c r="M1298" t="s">
        <v>681</v>
      </c>
      <c r="N1298" s="5" t="s">
        <v>841</v>
      </c>
      <c r="O1298" s="5">
        <v>30861230</v>
      </c>
      <c r="P1298" s="5">
        <v>43058</v>
      </c>
      <c r="Q1298" s="5">
        <v>8181</v>
      </c>
      <c r="R1298" s="5">
        <v>51239</v>
      </c>
    </row>
    <row r="1299" spans="1:18" x14ac:dyDescent="0.25">
      <c r="F1299" t="s">
        <v>495</v>
      </c>
      <c r="K1299" t="str">
        <f>IFERROR(IF(AND(VLOOKUP($C1299,Hes!$A:$B, 1, FALSE), $M1299&lt;&gt;" "), "Ingresada", "Falta Ingresar"), " ")</f>
        <v xml:space="preserve"> </v>
      </c>
      <c r="L1299" s="4" t="str">
        <f>IFERROR(VLOOKUP($C1299,Observaciones!$A:$B,2,FALSE)," ")</f>
        <v xml:space="preserve"> </v>
      </c>
      <c r="M1299" t="s">
        <v>681</v>
      </c>
      <c r="P1299" s="5">
        <v>43058</v>
      </c>
      <c r="Q1299" s="5">
        <v>8181</v>
      </c>
      <c r="R1299" s="5">
        <v>51239</v>
      </c>
    </row>
    <row r="1300" spans="1:18" x14ac:dyDescent="0.25">
      <c r="A1300" t="s">
        <v>496</v>
      </c>
      <c r="B1300" t="s">
        <v>494</v>
      </c>
      <c r="C1300">
        <v>76028251</v>
      </c>
      <c r="D1300">
        <v>0</v>
      </c>
      <c r="E1300">
        <v>3205</v>
      </c>
      <c r="F1300" t="s">
        <v>1062</v>
      </c>
      <c r="G1300" s="1">
        <v>45233</v>
      </c>
      <c r="H1300">
        <v>5411468</v>
      </c>
      <c r="I1300">
        <v>396</v>
      </c>
      <c r="J1300" t="s">
        <v>184</v>
      </c>
      <c r="K1300" t="str">
        <f>IFERROR(IF(AND(VLOOKUP($C1300,Hes!$A:$B, 1, FALSE), $M1300&lt;&gt;" "), "Ingresada", "Falta Ingresar"), " ")</f>
        <v xml:space="preserve"> </v>
      </c>
      <c r="L1300" s="4" t="s">
        <v>681</v>
      </c>
      <c r="M1300" t="s">
        <v>681</v>
      </c>
      <c r="O1300" s="5">
        <v>30836718</v>
      </c>
      <c r="P1300" s="5">
        <v>99153</v>
      </c>
      <c r="Q1300" s="5">
        <v>18839</v>
      </c>
      <c r="R1300" s="5">
        <v>117992</v>
      </c>
    </row>
    <row r="1301" spans="1:18" x14ac:dyDescent="0.25">
      <c r="F1301" t="s">
        <v>495</v>
      </c>
      <c r="K1301" t="str">
        <f>IFERROR(IF(AND(VLOOKUP($C1301,Hes!$A:$B, 1, FALSE), $M1301&lt;&gt;" "), "Ingresada", "Falta Ingresar"), " ")</f>
        <v xml:space="preserve"> </v>
      </c>
      <c r="L1301" s="4" t="str">
        <f>IFERROR(VLOOKUP($C1301,Observaciones!$A:$B,2,FALSE)," ")</f>
        <v xml:space="preserve"> </v>
      </c>
      <c r="M1301" t="s">
        <v>681</v>
      </c>
      <c r="P1301" s="5">
        <v>99153</v>
      </c>
      <c r="Q1301" s="5">
        <v>18839</v>
      </c>
      <c r="R1301" s="5">
        <v>117992</v>
      </c>
    </row>
    <row r="1302" spans="1:18" x14ac:dyDescent="0.25">
      <c r="A1302" t="s">
        <v>496</v>
      </c>
      <c r="B1302" t="s">
        <v>494</v>
      </c>
      <c r="C1302">
        <v>76035324</v>
      </c>
      <c r="D1302">
        <v>1</v>
      </c>
      <c r="E1302">
        <v>10039732</v>
      </c>
      <c r="F1302" t="s">
        <v>1063</v>
      </c>
      <c r="G1302" s="1">
        <v>45232</v>
      </c>
      <c r="H1302">
        <v>5410706</v>
      </c>
      <c r="I1302">
        <v>281</v>
      </c>
      <c r="J1302" t="s">
        <v>162</v>
      </c>
      <c r="K1302" t="str">
        <f>IFERROR(IF(AND(VLOOKUP($C1302,Hes!$A:$B, 1, FALSE), $M1302&lt;&gt;" "), "Ingresada", "Falta Ingresar"), " ")</f>
        <v xml:space="preserve"> </v>
      </c>
      <c r="L1302" s="4" t="str">
        <f>IFERROR(VLOOKUP($C1302,Observaciones!$A:$B,2,FALSE)," ")</f>
        <v>XOC Y CC</v>
      </c>
      <c r="M1302" t="s">
        <v>681</v>
      </c>
      <c r="O1302" s="5">
        <v>30845262</v>
      </c>
      <c r="P1302" s="5">
        <v>134460</v>
      </c>
      <c r="Q1302" s="5">
        <v>25547</v>
      </c>
      <c r="R1302" s="5">
        <v>160007</v>
      </c>
    </row>
    <row r="1303" spans="1:18" x14ac:dyDescent="0.25">
      <c r="A1303" t="s">
        <v>496</v>
      </c>
      <c r="B1303" t="s">
        <v>494</v>
      </c>
      <c r="C1303">
        <v>76035324</v>
      </c>
      <c r="D1303">
        <v>1</v>
      </c>
      <c r="E1303">
        <v>10039968</v>
      </c>
      <c r="F1303" t="s">
        <v>1063</v>
      </c>
      <c r="G1303" s="1">
        <v>45233</v>
      </c>
      <c r="H1303">
        <v>5411418</v>
      </c>
      <c r="I1303">
        <v>281</v>
      </c>
      <c r="J1303" t="s">
        <v>162</v>
      </c>
      <c r="K1303" t="str">
        <f>IFERROR(IF(AND(VLOOKUP($C1303,Hes!$A:$B, 1, FALSE), $M1303&lt;&gt;" "), "Ingresada", "Falta Ingresar"), " ")</f>
        <v xml:space="preserve"> </v>
      </c>
      <c r="L1303" s="4" t="str">
        <f>IFERROR(VLOOKUP($C1303,Observaciones!$A:$B,2,FALSE)," ")</f>
        <v>XOC Y CC</v>
      </c>
      <c r="M1303" t="s">
        <v>681</v>
      </c>
      <c r="O1303" s="5">
        <v>30845643</v>
      </c>
      <c r="P1303" s="5">
        <v>328776</v>
      </c>
      <c r="Q1303" s="5">
        <v>62467</v>
      </c>
      <c r="R1303" s="5">
        <v>391243</v>
      </c>
    </row>
    <row r="1304" spans="1:18" x14ac:dyDescent="0.25">
      <c r="A1304" t="s">
        <v>496</v>
      </c>
      <c r="B1304" t="s">
        <v>494</v>
      </c>
      <c r="C1304">
        <v>76035324</v>
      </c>
      <c r="D1304">
        <v>1</v>
      </c>
      <c r="E1304">
        <v>10039986</v>
      </c>
      <c r="F1304" t="s">
        <v>1063</v>
      </c>
      <c r="G1304" s="1">
        <v>45236</v>
      </c>
      <c r="H1304">
        <v>5412675</v>
      </c>
      <c r="I1304">
        <v>281</v>
      </c>
      <c r="J1304" t="s">
        <v>162</v>
      </c>
      <c r="K1304" t="str">
        <f>IFERROR(IF(AND(VLOOKUP($C1304,Hes!$A:$B, 1, FALSE), $M1304&lt;&gt;" "), "Ingresada", "Falta Ingresar"), " ")</f>
        <v xml:space="preserve"> </v>
      </c>
      <c r="L1304" s="4" t="str">
        <f>IFERROR(VLOOKUP($C1304,Observaciones!$A:$B,2,FALSE)," ")</f>
        <v>XOC Y CC</v>
      </c>
      <c r="M1304" t="s">
        <v>681</v>
      </c>
      <c r="O1304" s="5">
        <v>30845810</v>
      </c>
      <c r="P1304" s="5">
        <v>275497</v>
      </c>
      <c r="Q1304" s="5">
        <v>52344</v>
      </c>
      <c r="R1304" s="5">
        <v>327841</v>
      </c>
    </row>
    <row r="1305" spans="1:18" x14ac:dyDescent="0.25">
      <c r="A1305" t="s">
        <v>496</v>
      </c>
      <c r="B1305" t="s">
        <v>494</v>
      </c>
      <c r="C1305">
        <v>76035324</v>
      </c>
      <c r="D1305">
        <v>1</v>
      </c>
      <c r="E1305">
        <v>10040069</v>
      </c>
      <c r="F1305" t="s">
        <v>1063</v>
      </c>
      <c r="G1305" s="1">
        <v>45237</v>
      </c>
      <c r="H1305">
        <v>5414148</v>
      </c>
      <c r="I1305">
        <v>281</v>
      </c>
      <c r="J1305" t="s">
        <v>162</v>
      </c>
      <c r="K1305" t="str">
        <f>IFERROR(IF(AND(VLOOKUP($C1305,Hes!$A:$B, 1, FALSE), $M1305&lt;&gt;" "), "Ingresada", "Falta Ingresar"), " ")</f>
        <v xml:space="preserve"> </v>
      </c>
      <c r="L1305" s="4" t="str">
        <f>IFERROR(VLOOKUP($C1305,Observaciones!$A:$B,2,FALSE)," ")</f>
        <v>XOC Y CC</v>
      </c>
      <c r="M1305" t="s">
        <v>681</v>
      </c>
      <c r="O1305" s="5">
        <v>30846786</v>
      </c>
      <c r="P1305" s="5">
        <v>1471820</v>
      </c>
      <c r="Q1305" s="5">
        <v>279646</v>
      </c>
      <c r="R1305" s="5">
        <v>1751466</v>
      </c>
    </row>
    <row r="1306" spans="1:18" x14ac:dyDescent="0.25">
      <c r="F1306" t="s">
        <v>498</v>
      </c>
      <c r="K1306" t="str">
        <f>IFERROR(IF(AND(VLOOKUP($C1306,Hes!$A:$B, 1, FALSE), $M1306&lt;&gt;" "), "Ingresada", "Falta Ingresar"), " ")</f>
        <v xml:space="preserve"> </v>
      </c>
      <c r="L1306" s="4" t="str">
        <f>IFERROR(VLOOKUP($C1306,Observaciones!$A:$B,2,FALSE)," ")</f>
        <v xml:space="preserve"> </v>
      </c>
      <c r="M1306" t="s">
        <v>681</v>
      </c>
      <c r="P1306" s="5">
        <v>2210553</v>
      </c>
      <c r="Q1306" s="5">
        <v>420004</v>
      </c>
      <c r="R1306" s="5">
        <v>2630557</v>
      </c>
    </row>
    <row r="1307" spans="1:18" x14ac:dyDescent="0.25">
      <c r="A1307" t="s">
        <v>501</v>
      </c>
      <c r="B1307" t="s">
        <v>494</v>
      </c>
      <c r="C1307">
        <v>76038659</v>
      </c>
      <c r="D1307">
        <v>2</v>
      </c>
      <c r="E1307">
        <v>4532046401</v>
      </c>
      <c r="F1307" t="s">
        <v>1064</v>
      </c>
      <c r="G1307" s="1">
        <v>45231</v>
      </c>
      <c r="H1307">
        <v>5410575</v>
      </c>
      <c r="I1307">
        <v>462</v>
      </c>
      <c r="J1307" t="s">
        <v>190</v>
      </c>
      <c r="K1307" t="str">
        <f>IFERROR(IF(AND(VLOOKUP($C1307,Hes!$A:$B, 1, FALSE), $M1307&lt;&gt;" "), "Ingresada", "Falta Ingresar"), " ")</f>
        <v xml:space="preserve"> </v>
      </c>
      <c r="L1307" s="4" t="str">
        <f>IFERROR(VLOOKUP($C1307,Observaciones!$A:$B,2,FALSE)," ")</f>
        <v xml:space="preserve"> </v>
      </c>
      <c r="M1307" t="s">
        <v>681</v>
      </c>
      <c r="N1307" s="5" t="s">
        <v>841</v>
      </c>
      <c r="O1307" s="5">
        <v>30834534</v>
      </c>
      <c r="P1307" s="5">
        <v>165500</v>
      </c>
      <c r="Q1307" s="5">
        <v>31445</v>
      </c>
      <c r="R1307" s="5">
        <v>196945</v>
      </c>
    </row>
    <row r="1308" spans="1:18" x14ac:dyDescent="0.25">
      <c r="F1308" t="s">
        <v>495</v>
      </c>
      <c r="K1308" t="str">
        <f>IFERROR(IF(AND(VLOOKUP($C1308,Hes!$A:$B, 1, FALSE), $M1308&lt;&gt;" "), "Ingresada", "Falta Ingresar"), " ")</f>
        <v xml:space="preserve"> </v>
      </c>
      <c r="L1308" s="4" t="str">
        <f>IFERROR(VLOOKUP($C1308,Observaciones!$A:$B,2,FALSE)," ")</f>
        <v xml:space="preserve"> </v>
      </c>
      <c r="M1308" t="s">
        <v>681</v>
      </c>
      <c r="P1308" s="5">
        <v>165500</v>
      </c>
      <c r="Q1308" s="5">
        <v>31445</v>
      </c>
      <c r="R1308" s="5">
        <v>196945</v>
      </c>
    </row>
    <row r="1309" spans="1:18" x14ac:dyDescent="0.25">
      <c r="A1309" t="s">
        <v>512</v>
      </c>
      <c r="B1309" t="s">
        <v>494</v>
      </c>
      <c r="C1309">
        <v>76040171</v>
      </c>
      <c r="D1309">
        <v>2</v>
      </c>
      <c r="E1309">
        <v>30844637</v>
      </c>
      <c r="F1309" t="s">
        <v>1065</v>
      </c>
      <c r="G1309" s="1">
        <v>45232</v>
      </c>
      <c r="H1309">
        <v>5410734</v>
      </c>
      <c r="I1309">
        <v>181</v>
      </c>
      <c r="J1309" t="s">
        <v>206</v>
      </c>
      <c r="K1309" t="str">
        <f>IFERROR(IF(AND(VLOOKUP($C1309,Hes!$A:$B, 1, FALSE), $M1309&lt;&gt;" "), "Ingresada", "Falta Ingresar"), " ")</f>
        <v xml:space="preserve"> </v>
      </c>
      <c r="L1309" s="4" t="str">
        <f>IFERROR(VLOOKUP($C1309,Observaciones!$A:$B,2,FALSE)," ")</f>
        <v xml:space="preserve"> </v>
      </c>
      <c r="M1309" t="s">
        <v>681</v>
      </c>
      <c r="O1309" s="5">
        <v>30844637</v>
      </c>
      <c r="P1309" s="5">
        <v>747531</v>
      </c>
      <c r="Q1309" s="5">
        <v>142031</v>
      </c>
      <c r="R1309" s="5">
        <v>889562</v>
      </c>
    </row>
    <row r="1310" spans="1:18" x14ac:dyDescent="0.25">
      <c r="A1310" t="s">
        <v>512</v>
      </c>
      <c r="B1310" t="s">
        <v>494</v>
      </c>
      <c r="C1310">
        <v>76040171</v>
      </c>
      <c r="D1310">
        <v>2</v>
      </c>
      <c r="E1310">
        <v>30844637</v>
      </c>
      <c r="F1310" t="s">
        <v>1065</v>
      </c>
      <c r="G1310" s="1">
        <v>45232</v>
      </c>
      <c r="H1310">
        <v>5410735</v>
      </c>
      <c r="I1310">
        <v>181</v>
      </c>
      <c r="J1310" t="s">
        <v>206</v>
      </c>
      <c r="K1310" t="str">
        <f>IFERROR(IF(AND(VLOOKUP($C1310,Hes!$A:$B, 1, FALSE), $M1310&lt;&gt;" "), "Ingresada", "Falta Ingresar"), " ")</f>
        <v xml:space="preserve"> </v>
      </c>
      <c r="L1310" s="4" t="str">
        <f>IFERROR(VLOOKUP($C1310,Observaciones!$A:$B,2,FALSE)," ")</f>
        <v xml:space="preserve"> </v>
      </c>
      <c r="M1310" t="s">
        <v>681</v>
      </c>
      <c r="O1310" s="5">
        <v>30844637</v>
      </c>
      <c r="P1310" s="5">
        <v>255112</v>
      </c>
      <c r="Q1310" s="5">
        <v>48471</v>
      </c>
      <c r="R1310" s="5">
        <v>303583</v>
      </c>
    </row>
    <row r="1311" spans="1:18" x14ac:dyDescent="0.25">
      <c r="A1311" t="s">
        <v>512</v>
      </c>
      <c r="B1311" t="s">
        <v>494</v>
      </c>
      <c r="C1311">
        <v>76040171</v>
      </c>
      <c r="D1311">
        <v>2</v>
      </c>
      <c r="E1311">
        <v>30844637</v>
      </c>
      <c r="F1311" t="s">
        <v>1065</v>
      </c>
      <c r="G1311" s="1">
        <v>45232</v>
      </c>
      <c r="H1311">
        <v>5410736</v>
      </c>
      <c r="I1311">
        <v>181</v>
      </c>
      <c r="J1311" t="s">
        <v>206</v>
      </c>
      <c r="K1311" t="str">
        <f>IFERROR(IF(AND(VLOOKUP($C1311,Hes!$A:$B, 1, FALSE), $M1311&lt;&gt;" "), "Ingresada", "Falta Ingresar"), " ")</f>
        <v xml:space="preserve"> </v>
      </c>
      <c r="L1311" s="4" t="str">
        <f>IFERROR(VLOOKUP($C1311,Observaciones!$A:$B,2,FALSE)," ")</f>
        <v xml:space="preserve"> </v>
      </c>
      <c r="M1311" t="s">
        <v>681</v>
      </c>
      <c r="O1311" s="5">
        <v>30844637</v>
      </c>
      <c r="P1311" s="5">
        <v>275880</v>
      </c>
      <c r="Q1311" s="5">
        <v>52417</v>
      </c>
      <c r="R1311" s="5">
        <v>328297</v>
      </c>
    </row>
    <row r="1312" spans="1:18" x14ac:dyDescent="0.25">
      <c r="F1312" t="s">
        <v>500</v>
      </c>
      <c r="K1312" t="str">
        <f>IFERROR(IF(AND(VLOOKUP($C1312,Hes!$A:$B, 1, FALSE), $M1312&lt;&gt;" "), "Ingresada", "Falta Ingresar"), " ")</f>
        <v xml:space="preserve"> </v>
      </c>
      <c r="L1312" s="4" t="str">
        <f>IFERROR(VLOOKUP($C1312,Observaciones!$A:$B,2,FALSE)," ")</f>
        <v xml:space="preserve"> </v>
      </c>
      <c r="M1312" t="s">
        <v>681</v>
      </c>
      <c r="P1312" s="5">
        <v>1278523</v>
      </c>
      <c r="Q1312" s="5">
        <v>242919</v>
      </c>
      <c r="R1312" s="5">
        <v>1521442</v>
      </c>
    </row>
    <row r="1313" spans="1:18" x14ac:dyDescent="0.25">
      <c r="A1313" t="s">
        <v>503</v>
      </c>
      <c r="B1313" t="s">
        <v>494</v>
      </c>
      <c r="C1313">
        <v>76041871</v>
      </c>
      <c r="D1313">
        <v>123</v>
      </c>
      <c r="E1313">
        <v>30841990</v>
      </c>
      <c r="F1313" t="s">
        <v>1066</v>
      </c>
      <c r="G1313" s="1">
        <v>45231</v>
      </c>
      <c r="H1313">
        <v>5410588</v>
      </c>
      <c r="I1313">
        <v>17</v>
      </c>
      <c r="J1313" t="s">
        <v>305</v>
      </c>
      <c r="K1313" t="str">
        <f>IFERROR(IF(AND(VLOOKUP($C1313,Hes!$A:$B, 1, FALSE), $M1313&lt;&gt;" "), "Ingresada", "Falta Ingresar"), " ")</f>
        <v xml:space="preserve"> </v>
      </c>
      <c r="L1313" s="4" t="s">
        <v>681</v>
      </c>
      <c r="M1313" t="s">
        <v>681</v>
      </c>
      <c r="O1313" s="5">
        <v>30841990</v>
      </c>
      <c r="P1313" s="5">
        <v>64179</v>
      </c>
      <c r="Q1313" s="5">
        <v>12194</v>
      </c>
      <c r="R1313" s="5">
        <v>76373</v>
      </c>
    </row>
    <row r="1314" spans="1:18" x14ac:dyDescent="0.25">
      <c r="A1314" t="s">
        <v>503</v>
      </c>
      <c r="B1314" t="s">
        <v>494</v>
      </c>
      <c r="C1314">
        <v>76041871</v>
      </c>
      <c r="D1314">
        <v>124</v>
      </c>
      <c r="E1314">
        <v>30846621</v>
      </c>
      <c r="F1314" t="s">
        <v>1066</v>
      </c>
      <c r="G1314" s="1">
        <v>45231</v>
      </c>
      <c r="H1314">
        <v>5410898</v>
      </c>
      <c r="I1314">
        <v>17</v>
      </c>
      <c r="J1314" t="s">
        <v>305</v>
      </c>
      <c r="K1314" t="str">
        <f>IFERROR(IF(AND(VLOOKUP($C1314,Hes!$A:$B, 1, FALSE), $M1314&lt;&gt;" "), "Ingresada", "Falta Ingresar"), " ")</f>
        <v xml:space="preserve"> </v>
      </c>
      <c r="L1314" s="4" t="s">
        <v>681</v>
      </c>
      <c r="M1314" t="s">
        <v>681</v>
      </c>
      <c r="O1314" s="5">
        <v>30846621</v>
      </c>
      <c r="P1314" s="5">
        <v>372870</v>
      </c>
      <c r="Q1314" s="5">
        <v>70845</v>
      </c>
      <c r="R1314" s="5">
        <v>443715</v>
      </c>
    </row>
    <row r="1315" spans="1:18" x14ac:dyDescent="0.25">
      <c r="A1315" t="s">
        <v>503</v>
      </c>
      <c r="B1315" t="s">
        <v>494</v>
      </c>
      <c r="C1315">
        <v>76041871</v>
      </c>
      <c r="D1315">
        <v>85</v>
      </c>
      <c r="E1315">
        <v>30841175</v>
      </c>
      <c r="F1315" t="s">
        <v>1066</v>
      </c>
      <c r="G1315" s="1">
        <v>45234</v>
      </c>
      <c r="H1315">
        <v>5411791</v>
      </c>
      <c r="I1315">
        <v>17</v>
      </c>
      <c r="J1315" t="s">
        <v>305</v>
      </c>
      <c r="K1315" t="str">
        <f>IFERROR(IF(AND(VLOOKUP($C1315,Hes!$A:$B, 1, FALSE), $M1315&lt;&gt;" "), "Ingresada", "Falta Ingresar"), " ")</f>
        <v xml:space="preserve"> </v>
      </c>
      <c r="L1315" s="4" t="s">
        <v>681</v>
      </c>
      <c r="M1315" t="s">
        <v>681</v>
      </c>
      <c r="O1315" s="5">
        <v>30841175</v>
      </c>
      <c r="P1315" s="5">
        <v>386750</v>
      </c>
      <c r="Q1315" s="5">
        <v>73483</v>
      </c>
      <c r="R1315" s="5">
        <v>460233</v>
      </c>
    </row>
    <row r="1316" spans="1:18" x14ac:dyDescent="0.25">
      <c r="A1316" t="s">
        <v>503</v>
      </c>
      <c r="B1316" t="s">
        <v>494</v>
      </c>
      <c r="C1316">
        <v>76041871</v>
      </c>
      <c r="D1316">
        <v>84</v>
      </c>
      <c r="E1316">
        <v>30845019</v>
      </c>
      <c r="F1316" t="s">
        <v>1066</v>
      </c>
      <c r="G1316" s="1">
        <v>45234</v>
      </c>
      <c r="H1316">
        <v>5411797</v>
      </c>
      <c r="I1316">
        <v>17</v>
      </c>
      <c r="J1316" t="s">
        <v>305</v>
      </c>
      <c r="K1316" t="str">
        <f>IFERROR(IF(AND(VLOOKUP($C1316,Hes!$A:$B, 1, FALSE), $M1316&lt;&gt;" "), "Ingresada", "Falta Ingresar"), " ")</f>
        <v xml:space="preserve"> </v>
      </c>
      <c r="L1316" s="4" t="s">
        <v>681</v>
      </c>
      <c r="M1316" t="s">
        <v>681</v>
      </c>
      <c r="O1316" s="5">
        <v>30845019</v>
      </c>
      <c r="P1316" s="5">
        <v>526004</v>
      </c>
      <c r="Q1316" s="5">
        <v>99941</v>
      </c>
      <c r="R1316" s="5">
        <v>625945</v>
      </c>
    </row>
    <row r="1317" spans="1:18" x14ac:dyDescent="0.25">
      <c r="A1317" t="s">
        <v>503</v>
      </c>
      <c r="B1317" t="s">
        <v>494</v>
      </c>
      <c r="C1317">
        <v>76041871</v>
      </c>
      <c r="D1317">
        <v>62</v>
      </c>
      <c r="E1317">
        <v>30851269</v>
      </c>
      <c r="F1317" t="s">
        <v>1066</v>
      </c>
      <c r="G1317" s="1">
        <v>45234</v>
      </c>
      <c r="H1317">
        <v>5412528</v>
      </c>
      <c r="I1317">
        <v>17</v>
      </c>
      <c r="J1317" t="s">
        <v>305</v>
      </c>
      <c r="K1317" t="str">
        <f>IFERROR(IF(AND(VLOOKUP($C1317,Hes!$A:$B, 1, FALSE), $M1317&lt;&gt;" "), "Ingresada", "Falta Ingresar"), " ")</f>
        <v xml:space="preserve"> </v>
      </c>
      <c r="L1317" s="4" t="s">
        <v>681</v>
      </c>
      <c r="M1317" t="s">
        <v>681</v>
      </c>
      <c r="O1317" s="5">
        <v>30851269</v>
      </c>
      <c r="P1317" s="5">
        <v>760526</v>
      </c>
      <c r="Q1317" s="5">
        <v>144500</v>
      </c>
      <c r="R1317" s="5">
        <v>905026</v>
      </c>
    </row>
    <row r="1318" spans="1:18" x14ac:dyDescent="0.25">
      <c r="A1318" t="s">
        <v>503</v>
      </c>
      <c r="B1318" t="s">
        <v>494</v>
      </c>
      <c r="C1318">
        <v>76041871</v>
      </c>
      <c r="D1318">
        <v>99</v>
      </c>
      <c r="E1318">
        <v>30852081</v>
      </c>
      <c r="F1318" t="s">
        <v>1066</v>
      </c>
      <c r="G1318" s="1">
        <v>45234</v>
      </c>
      <c r="H1318">
        <v>5412533</v>
      </c>
      <c r="I1318">
        <v>17</v>
      </c>
      <c r="J1318" t="s">
        <v>305</v>
      </c>
      <c r="K1318" t="str">
        <f>IFERROR(IF(AND(VLOOKUP($C1318,Hes!$A:$B, 1, FALSE), $M1318&lt;&gt;" "), "Ingresada", "Falta Ingresar"), " ")</f>
        <v xml:space="preserve"> </v>
      </c>
      <c r="L1318" s="4" t="s">
        <v>681</v>
      </c>
      <c r="M1318" t="s">
        <v>681</v>
      </c>
      <c r="O1318" s="5">
        <v>30852081</v>
      </c>
      <c r="P1318" s="5">
        <v>364648</v>
      </c>
      <c r="Q1318" s="5">
        <v>69283</v>
      </c>
      <c r="R1318" s="5">
        <v>433931</v>
      </c>
    </row>
    <row r="1319" spans="1:18" x14ac:dyDescent="0.25">
      <c r="A1319" t="s">
        <v>503</v>
      </c>
      <c r="B1319" t="s">
        <v>494</v>
      </c>
      <c r="C1319">
        <v>76041871</v>
      </c>
      <c r="D1319">
        <v>22</v>
      </c>
      <c r="E1319">
        <v>30854699</v>
      </c>
      <c r="F1319" t="s">
        <v>1066</v>
      </c>
      <c r="G1319" s="1">
        <v>45234</v>
      </c>
      <c r="H1319">
        <v>5412959</v>
      </c>
      <c r="I1319">
        <v>17</v>
      </c>
      <c r="J1319" t="s">
        <v>305</v>
      </c>
      <c r="K1319" t="str">
        <f>IFERROR(IF(AND(VLOOKUP($C1319,Hes!$A:$B, 1, FALSE), $M1319&lt;&gt;" "), "Ingresada", "Falta Ingresar"), " ")</f>
        <v xml:space="preserve"> </v>
      </c>
      <c r="L1319" s="4" t="s">
        <v>681</v>
      </c>
      <c r="M1319" t="s">
        <v>681</v>
      </c>
      <c r="O1319" s="5">
        <v>30854699</v>
      </c>
      <c r="P1319" s="5">
        <v>199983</v>
      </c>
      <c r="Q1319" s="5">
        <v>37997</v>
      </c>
      <c r="R1319" s="5">
        <v>237980</v>
      </c>
    </row>
    <row r="1320" spans="1:18" x14ac:dyDescent="0.25">
      <c r="A1320" t="s">
        <v>503</v>
      </c>
      <c r="B1320" t="s">
        <v>494</v>
      </c>
      <c r="C1320">
        <v>76041871</v>
      </c>
      <c r="D1320">
        <v>42</v>
      </c>
      <c r="E1320">
        <v>30864823</v>
      </c>
      <c r="F1320" t="s">
        <v>1066</v>
      </c>
      <c r="G1320" s="1">
        <v>45238</v>
      </c>
      <c r="H1320">
        <v>5415291</v>
      </c>
      <c r="I1320">
        <v>17</v>
      </c>
      <c r="J1320" t="s">
        <v>305</v>
      </c>
      <c r="K1320" t="str">
        <f>IFERROR(IF(AND(VLOOKUP($C1320,Hes!$A:$B, 1, FALSE), $M1320&lt;&gt;" "), "Ingresada", "Falta Ingresar"), " ")</f>
        <v xml:space="preserve"> </v>
      </c>
      <c r="L1320" s="4" t="s">
        <v>681</v>
      </c>
      <c r="M1320" t="s">
        <v>681</v>
      </c>
      <c r="O1320" s="5">
        <v>30864823</v>
      </c>
      <c r="P1320" s="5">
        <v>22311</v>
      </c>
      <c r="Q1320" s="5">
        <v>4239</v>
      </c>
      <c r="R1320" s="5">
        <v>26550</v>
      </c>
    </row>
    <row r="1321" spans="1:18" x14ac:dyDescent="0.25">
      <c r="A1321" t="s">
        <v>503</v>
      </c>
      <c r="B1321" t="s">
        <v>494</v>
      </c>
      <c r="C1321">
        <v>76041871</v>
      </c>
      <c r="D1321">
        <v>112</v>
      </c>
      <c r="E1321">
        <v>30864333</v>
      </c>
      <c r="F1321" t="s">
        <v>1066</v>
      </c>
      <c r="G1321" s="1">
        <v>45238</v>
      </c>
      <c r="H1321">
        <v>5415716</v>
      </c>
      <c r="I1321">
        <v>17</v>
      </c>
      <c r="J1321" t="s">
        <v>305</v>
      </c>
      <c r="K1321" t="str">
        <f>IFERROR(IF(AND(VLOOKUP($C1321,Hes!$A:$B, 1, FALSE), $M1321&lt;&gt;" "), "Ingresada", "Falta Ingresar"), " ")</f>
        <v xml:space="preserve"> </v>
      </c>
      <c r="L1321" s="4" t="s">
        <v>681</v>
      </c>
      <c r="M1321" t="s">
        <v>681</v>
      </c>
      <c r="O1321" s="5">
        <v>30864333</v>
      </c>
      <c r="P1321" s="5">
        <v>299464</v>
      </c>
      <c r="Q1321" s="5">
        <v>56898</v>
      </c>
      <c r="R1321" s="5">
        <v>356362</v>
      </c>
    </row>
    <row r="1322" spans="1:18" x14ac:dyDescent="0.25">
      <c r="F1322" t="s">
        <v>514</v>
      </c>
      <c r="K1322" t="str">
        <f>IFERROR(IF(AND(VLOOKUP($C1322,Hes!$A:$B, 1, FALSE), $M1322&lt;&gt;" "), "Ingresada", "Falta Ingresar"), " ")</f>
        <v xml:space="preserve"> </v>
      </c>
      <c r="L1322" s="4" t="str">
        <f>IFERROR(VLOOKUP($C1322,Observaciones!$A:$B,2,FALSE)," ")</f>
        <v xml:space="preserve"> </v>
      </c>
      <c r="M1322" t="s">
        <v>681</v>
      </c>
      <c r="P1322" s="5">
        <v>2996735</v>
      </c>
      <c r="Q1322" s="5">
        <v>569380</v>
      </c>
      <c r="R1322" s="5">
        <v>3566115</v>
      </c>
    </row>
    <row r="1323" spans="1:18" x14ac:dyDescent="0.25">
      <c r="A1323" t="s">
        <v>3</v>
      </c>
      <c r="B1323" t="s">
        <v>494</v>
      </c>
      <c r="C1323">
        <v>76046889</v>
      </c>
      <c r="D1323">
        <v>19</v>
      </c>
      <c r="E1323">
        <v>30849637</v>
      </c>
      <c r="F1323" t="s">
        <v>1067</v>
      </c>
      <c r="G1323" s="1">
        <v>45236</v>
      </c>
      <c r="H1323">
        <v>5412569</v>
      </c>
      <c r="I1323">
        <v>129</v>
      </c>
      <c r="J1323" t="s">
        <v>414</v>
      </c>
      <c r="K1323" t="str">
        <f>IFERROR(IF(AND(VLOOKUP($C1323,Hes!$A:$B, 1, FALSE), $M1323&lt;&gt;" "), "Ingresada", "Falta Ingresar"), " ")</f>
        <v xml:space="preserve"> </v>
      </c>
      <c r="L1323" s="4" t="str">
        <f>IFERROR(VLOOKUP($C1323,Observaciones!$A:$B,2,FALSE)," ")</f>
        <v xml:space="preserve"> </v>
      </c>
      <c r="M1323" t="s">
        <v>681</v>
      </c>
      <c r="O1323" s="5">
        <v>30849637</v>
      </c>
      <c r="P1323" s="5">
        <v>232863</v>
      </c>
      <c r="Q1323" s="5">
        <v>44244</v>
      </c>
      <c r="R1323" s="5">
        <v>278795</v>
      </c>
    </row>
    <row r="1324" spans="1:18" x14ac:dyDescent="0.25">
      <c r="A1324" t="s">
        <v>3</v>
      </c>
      <c r="B1324" t="s">
        <v>494</v>
      </c>
      <c r="C1324">
        <v>76046889</v>
      </c>
      <c r="D1324">
        <v>19</v>
      </c>
      <c r="E1324">
        <v>30849637</v>
      </c>
      <c r="F1324" t="s">
        <v>1067</v>
      </c>
      <c r="G1324" s="1">
        <v>45236</v>
      </c>
      <c r="H1324">
        <v>5412570</v>
      </c>
      <c r="I1324">
        <v>129</v>
      </c>
      <c r="J1324" t="s">
        <v>414</v>
      </c>
      <c r="K1324" t="str">
        <f>IFERROR(IF(AND(VLOOKUP($C1324,Hes!$A:$B, 1, FALSE), $M1324&lt;&gt;" "), "Ingresada", "Falta Ingresar"), " ")</f>
        <v xml:space="preserve"> </v>
      </c>
      <c r="L1324" s="4" t="str">
        <f>IFERROR(VLOOKUP($C1324,Observaciones!$A:$B,2,FALSE)," ")</f>
        <v xml:space="preserve"> </v>
      </c>
      <c r="M1324" t="s">
        <v>681</v>
      </c>
      <c r="O1324" s="5">
        <v>30849637</v>
      </c>
      <c r="P1324" s="5">
        <v>27082</v>
      </c>
      <c r="Q1324" s="5">
        <v>5146</v>
      </c>
      <c r="R1324" s="5">
        <v>32228</v>
      </c>
    </row>
    <row r="1325" spans="1:18" x14ac:dyDescent="0.25">
      <c r="A1325" t="s">
        <v>3</v>
      </c>
      <c r="B1325" t="s">
        <v>494</v>
      </c>
      <c r="C1325">
        <v>76046889</v>
      </c>
      <c r="D1325">
        <v>26</v>
      </c>
      <c r="E1325">
        <v>30850247</v>
      </c>
      <c r="F1325" t="s">
        <v>1067</v>
      </c>
      <c r="G1325" s="1">
        <v>45236</v>
      </c>
      <c r="H1325">
        <v>5412580</v>
      </c>
      <c r="I1325">
        <v>129</v>
      </c>
      <c r="J1325" t="s">
        <v>414</v>
      </c>
      <c r="K1325" t="str">
        <f>IFERROR(IF(AND(VLOOKUP($C1325,Hes!$A:$B, 1, FALSE), $M1325&lt;&gt;" "), "Ingresada", "Falta Ingresar"), " ")</f>
        <v xml:space="preserve"> </v>
      </c>
      <c r="L1325" s="4" t="str">
        <f>IFERROR(VLOOKUP($C1325,Observaciones!$A:$B,2,FALSE)," ")</f>
        <v xml:space="preserve"> </v>
      </c>
      <c r="M1325" t="s">
        <v>681</v>
      </c>
      <c r="O1325" s="5">
        <v>30850247</v>
      </c>
      <c r="P1325" s="5">
        <v>189703</v>
      </c>
      <c r="Q1325" s="5">
        <v>36044</v>
      </c>
      <c r="R1325" s="5">
        <v>225747</v>
      </c>
    </row>
    <row r="1326" spans="1:18" x14ac:dyDescent="0.25">
      <c r="A1326" t="s">
        <v>3</v>
      </c>
      <c r="B1326" t="s">
        <v>494</v>
      </c>
      <c r="C1326">
        <v>76046889</v>
      </c>
      <c r="D1326">
        <v>3</v>
      </c>
      <c r="E1326">
        <v>4200024449</v>
      </c>
      <c r="F1326" t="s">
        <v>1067</v>
      </c>
      <c r="G1326" s="1">
        <v>45236</v>
      </c>
      <c r="H1326">
        <v>5412645</v>
      </c>
      <c r="I1326">
        <v>129</v>
      </c>
      <c r="J1326" t="s">
        <v>414</v>
      </c>
      <c r="K1326" t="str">
        <f>IFERROR(IF(AND(VLOOKUP($C1326,Hes!$A:$B, 1, FALSE), $M1326&lt;&gt;" "), "Ingresada", "Falta Ingresar"), " ")</f>
        <v xml:space="preserve"> </v>
      </c>
      <c r="L1326" s="4" t="str">
        <f>IFERROR(VLOOKUP($C1326,Observaciones!$A:$B,2,FALSE)," ")</f>
        <v xml:space="preserve"> </v>
      </c>
      <c r="M1326" t="s">
        <v>681</v>
      </c>
      <c r="O1326" s="5">
        <v>30852247</v>
      </c>
      <c r="P1326" s="5">
        <v>54580</v>
      </c>
      <c r="Q1326" s="5">
        <v>10370</v>
      </c>
      <c r="R1326" s="5">
        <v>64950</v>
      </c>
    </row>
    <row r="1327" spans="1:18" x14ac:dyDescent="0.25">
      <c r="A1327" t="s">
        <v>3</v>
      </c>
      <c r="B1327" t="s">
        <v>494</v>
      </c>
      <c r="C1327">
        <v>76046889</v>
      </c>
      <c r="D1327">
        <v>13</v>
      </c>
      <c r="E1327">
        <v>30849321</v>
      </c>
      <c r="F1327" t="s">
        <v>1067</v>
      </c>
      <c r="G1327" s="1">
        <v>45236</v>
      </c>
      <c r="H1327">
        <v>5412813</v>
      </c>
      <c r="I1327">
        <v>129</v>
      </c>
      <c r="J1327" t="s">
        <v>414</v>
      </c>
      <c r="K1327" t="str">
        <f>IFERROR(IF(AND(VLOOKUP($C1327,Hes!$A:$B, 1, FALSE), $M1327&lt;&gt;" "), "Ingresada", "Falta Ingresar"), " ")</f>
        <v xml:space="preserve"> </v>
      </c>
      <c r="L1327" s="4" t="str">
        <f>IFERROR(VLOOKUP($C1327,Observaciones!$A:$B,2,FALSE)," ")</f>
        <v xml:space="preserve"> </v>
      </c>
      <c r="M1327" t="s">
        <v>681</v>
      </c>
      <c r="O1327" s="5">
        <v>30849321</v>
      </c>
      <c r="P1327" s="5">
        <v>49870</v>
      </c>
      <c r="Q1327" s="5">
        <v>9475</v>
      </c>
      <c r="R1327" s="5">
        <v>59345</v>
      </c>
    </row>
    <row r="1328" spans="1:18" x14ac:dyDescent="0.25">
      <c r="A1328" t="s">
        <v>3</v>
      </c>
      <c r="B1328" t="s">
        <v>494</v>
      </c>
      <c r="C1328">
        <v>76046889</v>
      </c>
      <c r="D1328">
        <v>3</v>
      </c>
      <c r="E1328">
        <v>30857223</v>
      </c>
      <c r="F1328" t="s">
        <v>1067</v>
      </c>
      <c r="G1328" s="1">
        <v>45236</v>
      </c>
      <c r="H1328">
        <v>5413800</v>
      </c>
      <c r="I1328">
        <v>129</v>
      </c>
      <c r="J1328" t="s">
        <v>414</v>
      </c>
      <c r="K1328" t="str">
        <f>IFERROR(IF(AND(VLOOKUP($C1328,Hes!$A:$B, 1, FALSE), $M1328&lt;&gt;" "), "Ingresada", "Falta Ingresar"), " ")</f>
        <v xml:space="preserve"> </v>
      </c>
      <c r="L1328" s="4" t="str">
        <f>IFERROR(VLOOKUP($C1328,Observaciones!$A:$B,2,FALSE)," ")</f>
        <v xml:space="preserve"> </v>
      </c>
      <c r="M1328" t="s">
        <v>681</v>
      </c>
      <c r="O1328" s="5">
        <v>30857223</v>
      </c>
      <c r="P1328" s="5">
        <v>168195</v>
      </c>
      <c r="Q1328" s="5">
        <v>31957</v>
      </c>
      <c r="R1328" s="5">
        <v>201775</v>
      </c>
    </row>
    <row r="1329" spans="1:18" x14ac:dyDescent="0.25">
      <c r="A1329" t="s">
        <v>3</v>
      </c>
      <c r="B1329" t="s">
        <v>494</v>
      </c>
      <c r="C1329">
        <v>76046889</v>
      </c>
      <c r="D1329">
        <v>3</v>
      </c>
      <c r="E1329">
        <v>30857223</v>
      </c>
      <c r="F1329" t="s">
        <v>1067</v>
      </c>
      <c r="G1329" s="1">
        <v>45236</v>
      </c>
      <c r="H1329">
        <v>5413801</v>
      </c>
      <c r="I1329">
        <v>129</v>
      </c>
      <c r="J1329" t="s">
        <v>414</v>
      </c>
      <c r="K1329" t="str">
        <f>IFERROR(IF(AND(VLOOKUP($C1329,Hes!$A:$B, 1, FALSE), $M1329&lt;&gt;" "), "Ingresada", "Falta Ingresar"), " ")</f>
        <v xml:space="preserve"> </v>
      </c>
      <c r="L1329" s="4" t="str">
        <f>IFERROR(VLOOKUP($C1329,Observaciones!$A:$B,2,FALSE)," ")</f>
        <v xml:space="preserve"> </v>
      </c>
      <c r="M1329" t="s">
        <v>681</v>
      </c>
      <c r="O1329" s="5">
        <v>30857223</v>
      </c>
      <c r="P1329" s="5">
        <v>11713</v>
      </c>
      <c r="Q1329" s="5">
        <v>2225</v>
      </c>
      <c r="R1329" s="5">
        <v>13938</v>
      </c>
    </row>
    <row r="1330" spans="1:18" x14ac:dyDescent="0.25">
      <c r="A1330" t="s">
        <v>3</v>
      </c>
      <c r="B1330" t="s">
        <v>494</v>
      </c>
      <c r="C1330">
        <v>76046889</v>
      </c>
      <c r="D1330">
        <v>0</v>
      </c>
      <c r="E1330">
        <v>30857890</v>
      </c>
      <c r="F1330" t="s">
        <v>1067</v>
      </c>
      <c r="G1330" s="1">
        <v>45236</v>
      </c>
      <c r="H1330">
        <v>5413874</v>
      </c>
      <c r="I1330">
        <v>129</v>
      </c>
      <c r="J1330" t="s">
        <v>414</v>
      </c>
      <c r="K1330" t="str">
        <f>IFERROR(IF(AND(VLOOKUP($C1330,Hes!$A:$B, 1, FALSE), $M1330&lt;&gt;" "), "Ingresada", "Falta Ingresar"), " ")</f>
        <v xml:space="preserve"> </v>
      </c>
      <c r="L1330" s="4" t="str">
        <f>IFERROR(VLOOKUP($C1330,Observaciones!$A:$B,2,FALSE)," ")</f>
        <v xml:space="preserve"> </v>
      </c>
      <c r="M1330" t="s">
        <v>681</v>
      </c>
      <c r="O1330" s="5">
        <v>30857890</v>
      </c>
      <c r="P1330" s="5">
        <v>371260</v>
      </c>
      <c r="Q1330" s="5">
        <v>70539</v>
      </c>
      <c r="R1330" s="5">
        <v>442114</v>
      </c>
    </row>
    <row r="1331" spans="1:18" x14ac:dyDescent="0.25">
      <c r="A1331" t="s">
        <v>3</v>
      </c>
      <c r="B1331" t="s">
        <v>494</v>
      </c>
      <c r="C1331">
        <v>76046889</v>
      </c>
      <c r="D1331">
        <v>4</v>
      </c>
      <c r="E1331">
        <v>30858839</v>
      </c>
      <c r="F1331" t="s">
        <v>1067</v>
      </c>
      <c r="G1331" s="1">
        <v>45237</v>
      </c>
      <c r="H1331">
        <v>5414132</v>
      </c>
      <c r="I1331">
        <v>129</v>
      </c>
      <c r="J1331" t="s">
        <v>414</v>
      </c>
      <c r="K1331" t="str">
        <f>IFERROR(IF(AND(VLOOKUP($C1331,Hes!$A:$B, 1, FALSE), $M1331&lt;&gt;" "), "Ingresada", "Falta Ingresar"), " ")</f>
        <v xml:space="preserve"> </v>
      </c>
      <c r="L1331" s="4" t="str">
        <f>IFERROR(VLOOKUP($C1331,Observaciones!$A:$B,2,FALSE)," ")</f>
        <v xml:space="preserve"> </v>
      </c>
      <c r="M1331" t="s">
        <v>681</v>
      </c>
      <c r="O1331" s="5">
        <v>30858839</v>
      </c>
      <c r="P1331" s="5">
        <v>307701</v>
      </c>
      <c r="Q1331" s="5">
        <v>58463</v>
      </c>
      <c r="R1331" s="5">
        <v>369251</v>
      </c>
    </row>
    <row r="1332" spans="1:18" x14ac:dyDescent="0.25">
      <c r="A1332" t="s">
        <v>3</v>
      </c>
      <c r="B1332" t="s">
        <v>494</v>
      </c>
      <c r="C1332">
        <v>76046889</v>
      </c>
      <c r="D1332">
        <v>4</v>
      </c>
      <c r="E1332">
        <v>30858839</v>
      </c>
      <c r="F1332" t="s">
        <v>1067</v>
      </c>
      <c r="G1332" s="1">
        <v>45237</v>
      </c>
      <c r="H1332">
        <v>5414133</v>
      </c>
      <c r="I1332">
        <v>129</v>
      </c>
      <c r="J1332" t="s">
        <v>414</v>
      </c>
      <c r="K1332" t="str">
        <f>IFERROR(IF(AND(VLOOKUP($C1332,Hes!$A:$B, 1, FALSE), $M1332&lt;&gt;" "), "Ingresada", "Falta Ingresar"), " ")</f>
        <v xml:space="preserve"> </v>
      </c>
      <c r="L1332" s="4" t="str">
        <f>IFERROR(VLOOKUP($C1332,Observaciones!$A:$B,2,FALSE)," ")</f>
        <v xml:space="preserve"> </v>
      </c>
      <c r="M1332" t="s">
        <v>681</v>
      </c>
      <c r="O1332" s="5">
        <v>30858839</v>
      </c>
      <c r="P1332" s="5">
        <v>2184</v>
      </c>
      <c r="Q1332" s="5">
        <v>415</v>
      </c>
      <c r="R1332" s="5">
        <v>2599</v>
      </c>
    </row>
    <row r="1333" spans="1:18" x14ac:dyDescent="0.25">
      <c r="A1333" t="s">
        <v>3</v>
      </c>
      <c r="B1333" t="s">
        <v>494</v>
      </c>
      <c r="C1333">
        <v>76046889</v>
      </c>
      <c r="D1333">
        <v>11</v>
      </c>
      <c r="E1333">
        <v>30859462</v>
      </c>
      <c r="F1333" t="s">
        <v>1067</v>
      </c>
      <c r="G1333" s="1">
        <v>45237</v>
      </c>
      <c r="H1333">
        <v>5414297</v>
      </c>
      <c r="I1333">
        <v>129</v>
      </c>
      <c r="J1333" t="s">
        <v>414</v>
      </c>
      <c r="K1333" t="str">
        <f>IFERROR(IF(AND(VLOOKUP($C1333,Hes!$A:$B, 1, FALSE), $M1333&lt;&gt;" "), "Ingresada", "Falta Ingresar"), " ")</f>
        <v xml:space="preserve"> </v>
      </c>
      <c r="L1333" s="4" t="str">
        <f>IFERROR(VLOOKUP($C1333,Observaciones!$A:$B,2,FALSE)," ")</f>
        <v xml:space="preserve"> </v>
      </c>
      <c r="M1333" t="s">
        <v>681</v>
      </c>
      <c r="O1333" s="5">
        <v>30859462</v>
      </c>
      <c r="P1333" s="5">
        <v>219016</v>
      </c>
      <c r="Q1333" s="5">
        <v>41613</v>
      </c>
      <c r="R1333" s="5">
        <v>264589</v>
      </c>
    </row>
    <row r="1334" spans="1:18" x14ac:dyDescent="0.25">
      <c r="A1334" t="s">
        <v>3</v>
      </c>
      <c r="B1334" t="s">
        <v>494</v>
      </c>
      <c r="C1334">
        <v>76046889</v>
      </c>
      <c r="D1334">
        <v>20</v>
      </c>
      <c r="E1334">
        <v>30859609</v>
      </c>
      <c r="F1334" t="s">
        <v>1067</v>
      </c>
      <c r="G1334" s="1">
        <v>45238</v>
      </c>
      <c r="H1334">
        <v>5414533</v>
      </c>
      <c r="I1334">
        <v>129</v>
      </c>
      <c r="J1334" t="s">
        <v>414</v>
      </c>
      <c r="K1334" t="str">
        <f>IFERROR(IF(AND(VLOOKUP($C1334,Hes!$A:$B, 1, FALSE), $M1334&lt;&gt;" "), "Ingresada", "Falta Ingresar"), " ")</f>
        <v xml:space="preserve"> </v>
      </c>
      <c r="L1334" s="4" t="str">
        <f>IFERROR(VLOOKUP($C1334,Observaciones!$A:$B,2,FALSE)," ")</f>
        <v xml:space="preserve"> </v>
      </c>
      <c r="M1334" t="s">
        <v>681</v>
      </c>
      <c r="O1334" s="5">
        <v>30859609</v>
      </c>
      <c r="P1334" s="5">
        <v>196127</v>
      </c>
      <c r="Q1334" s="5">
        <v>37264</v>
      </c>
      <c r="R1334" s="5">
        <v>233391</v>
      </c>
    </row>
    <row r="1335" spans="1:18" x14ac:dyDescent="0.25">
      <c r="A1335" t="s">
        <v>3</v>
      </c>
      <c r="B1335" t="s">
        <v>494</v>
      </c>
      <c r="C1335">
        <v>76046889</v>
      </c>
      <c r="D1335">
        <v>33</v>
      </c>
      <c r="E1335">
        <v>30859555</v>
      </c>
      <c r="F1335" t="s">
        <v>1067</v>
      </c>
      <c r="G1335" s="1">
        <v>45238</v>
      </c>
      <c r="H1335">
        <v>5414670</v>
      </c>
      <c r="I1335">
        <v>129</v>
      </c>
      <c r="J1335" t="s">
        <v>414</v>
      </c>
      <c r="K1335" t="str">
        <f>IFERROR(IF(AND(VLOOKUP($C1335,Hes!$A:$B, 1, FALSE), $M1335&lt;&gt;" "), "Ingresada", "Falta Ingresar"), " ")</f>
        <v xml:space="preserve"> </v>
      </c>
      <c r="L1335" s="4" t="str">
        <f>IFERROR(VLOOKUP($C1335,Observaciones!$A:$B,2,FALSE)," ")</f>
        <v xml:space="preserve"> </v>
      </c>
      <c r="M1335" t="s">
        <v>681</v>
      </c>
      <c r="O1335" s="5">
        <v>30859555</v>
      </c>
      <c r="P1335" s="5">
        <v>149959</v>
      </c>
      <c r="Q1335" s="5">
        <v>28492</v>
      </c>
      <c r="R1335" s="5">
        <v>178451</v>
      </c>
    </row>
    <row r="1336" spans="1:18" x14ac:dyDescent="0.25">
      <c r="A1336" t="s">
        <v>3</v>
      </c>
      <c r="B1336" t="s">
        <v>494</v>
      </c>
      <c r="C1336">
        <v>76046889</v>
      </c>
      <c r="D1336">
        <v>9</v>
      </c>
      <c r="E1336">
        <v>30859525</v>
      </c>
      <c r="F1336" t="s">
        <v>1067</v>
      </c>
      <c r="G1336" s="1">
        <v>45238</v>
      </c>
      <c r="H1336">
        <v>5414751</v>
      </c>
      <c r="I1336">
        <v>129</v>
      </c>
      <c r="J1336" t="s">
        <v>414</v>
      </c>
      <c r="K1336" t="str">
        <f>IFERROR(IF(AND(VLOOKUP($C1336,Hes!$A:$B, 1, FALSE), $M1336&lt;&gt;" "), "Ingresada", "Falta Ingresar"), " ")</f>
        <v xml:space="preserve"> </v>
      </c>
      <c r="L1336" s="4" t="str">
        <f>IFERROR(VLOOKUP($C1336,Observaciones!$A:$B,2,FALSE)," ")</f>
        <v xml:space="preserve"> </v>
      </c>
      <c r="M1336" t="s">
        <v>681</v>
      </c>
      <c r="O1336" s="5">
        <v>30859525</v>
      </c>
      <c r="P1336" s="5">
        <v>293575</v>
      </c>
      <c r="Q1336" s="5">
        <v>55779</v>
      </c>
      <c r="R1336" s="5">
        <v>349849</v>
      </c>
    </row>
    <row r="1337" spans="1:18" x14ac:dyDescent="0.25">
      <c r="A1337" t="s">
        <v>3</v>
      </c>
      <c r="B1337" t="s">
        <v>494</v>
      </c>
      <c r="C1337">
        <v>76046889</v>
      </c>
      <c r="D1337">
        <v>9</v>
      </c>
      <c r="E1337">
        <v>30859525</v>
      </c>
      <c r="F1337" t="s">
        <v>1067</v>
      </c>
      <c r="G1337" s="1">
        <v>45238</v>
      </c>
      <c r="H1337">
        <v>5414752</v>
      </c>
      <c r="I1337">
        <v>129</v>
      </c>
      <c r="J1337" t="s">
        <v>414</v>
      </c>
      <c r="K1337" t="str">
        <f>IFERROR(IF(AND(VLOOKUP($C1337,Hes!$A:$B, 1, FALSE), $M1337&lt;&gt;" "), "Ingresada", "Falta Ingresar"), " ")</f>
        <v xml:space="preserve"> </v>
      </c>
      <c r="L1337" s="4" t="str">
        <f>IFERROR(VLOOKUP($C1337,Observaciones!$A:$B,2,FALSE)," ")</f>
        <v xml:space="preserve"> </v>
      </c>
      <c r="M1337" t="s">
        <v>681</v>
      </c>
      <c r="O1337" s="5">
        <v>30859525</v>
      </c>
      <c r="P1337" s="5">
        <v>106281</v>
      </c>
      <c r="Q1337" s="5">
        <v>20193</v>
      </c>
      <c r="R1337" s="5">
        <v>127541</v>
      </c>
    </row>
    <row r="1338" spans="1:18" x14ac:dyDescent="0.25">
      <c r="A1338" t="s">
        <v>3</v>
      </c>
      <c r="B1338" t="s">
        <v>494</v>
      </c>
      <c r="C1338">
        <v>76046889</v>
      </c>
      <c r="D1338">
        <v>168</v>
      </c>
      <c r="E1338">
        <v>30859567</v>
      </c>
      <c r="F1338" t="s">
        <v>1067</v>
      </c>
      <c r="G1338" s="1">
        <v>45238</v>
      </c>
      <c r="H1338">
        <v>5414824</v>
      </c>
      <c r="I1338">
        <v>129</v>
      </c>
      <c r="J1338" t="s">
        <v>414</v>
      </c>
      <c r="K1338" t="str">
        <f>IFERROR(IF(AND(VLOOKUP($C1338,Hes!$A:$B, 1, FALSE), $M1338&lt;&gt;" "), "Ingresada", "Falta Ingresar"), " ")</f>
        <v xml:space="preserve"> </v>
      </c>
      <c r="L1338" s="4" t="str">
        <f>IFERROR(VLOOKUP($C1338,Observaciones!$A:$B,2,FALSE)," ")</f>
        <v xml:space="preserve"> </v>
      </c>
      <c r="M1338" t="s">
        <v>681</v>
      </c>
      <c r="O1338" s="5">
        <v>30859567</v>
      </c>
      <c r="P1338" s="5">
        <v>234044</v>
      </c>
      <c r="Q1338" s="5">
        <v>44468</v>
      </c>
      <c r="R1338" s="5">
        <v>278512</v>
      </c>
    </row>
    <row r="1339" spans="1:18" x14ac:dyDescent="0.25">
      <c r="A1339" t="s">
        <v>3</v>
      </c>
      <c r="B1339" t="s">
        <v>494</v>
      </c>
      <c r="C1339">
        <v>76046889</v>
      </c>
      <c r="D1339">
        <v>32</v>
      </c>
      <c r="E1339">
        <v>30859495</v>
      </c>
      <c r="F1339" t="s">
        <v>1067</v>
      </c>
      <c r="G1339" s="1">
        <v>45237</v>
      </c>
      <c r="H1339">
        <v>5414841</v>
      </c>
      <c r="I1339">
        <v>129</v>
      </c>
      <c r="J1339" t="s">
        <v>414</v>
      </c>
      <c r="K1339" t="str">
        <f>IFERROR(IF(AND(VLOOKUP($C1339,Hes!$A:$B, 1, FALSE), $M1339&lt;&gt;" "), "Ingresada", "Falta Ingresar"), " ")</f>
        <v xml:space="preserve"> </v>
      </c>
      <c r="L1339" s="4" t="str">
        <f>IFERROR(VLOOKUP($C1339,Observaciones!$A:$B,2,FALSE)," ")</f>
        <v xml:space="preserve"> </v>
      </c>
      <c r="M1339" t="s">
        <v>681</v>
      </c>
      <c r="O1339" s="5">
        <v>30859495</v>
      </c>
      <c r="P1339" s="5">
        <v>234153</v>
      </c>
      <c r="Q1339" s="5">
        <v>44489</v>
      </c>
      <c r="R1339" s="5">
        <v>278642</v>
      </c>
    </row>
    <row r="1340" spans="1:18" x14ac:dyDescent="0.25">
      <c r="A1340" t="s">
        <v>3</v>
      </c>
      <c r="B1340" t="s">
        <v>494</v>
      </c>
      <c r="C1340">
        <v>76046889</v>
      </c>
      <c r="D1340">
        <v>32</v>
      </c>
      <c r="E1340">
        <v>30859495</v>
      </c>
      <c r="F1340" t="s">
        <v>1067</v>
      </c>
      <c r="G1340" s="1">
        <v>45237</v>
      </c>
      <c r="H1340">
        <v>5414842</v>
      </c>
      <c r="I1340">
        <v>129</v>
      </c>
      <c r="J1340" t="s">
        <v>414</v>
      </c>
      <c r="K1340" t="str">
        <f>IFERROR(IF(AND(VLOOKUP($C1340,Hes!$A:$B, 1, FALSE), $M1340&lt;&gt;" "), "Ingresada", "Falta Ingresar"), " ")</f>
        <v xml:space="preserve"> </v>
      </c>
      <c r="L1340" s="4" t="str">
        <f>IFERROR(VLOOKUP($C1340,Observaciones!$A:$B,2,FALSE)," ")</f>
        <v xml:space="preserve"> </v>
      </c>
      <c r="M1340" t="s">
        <v>681</v>
      </c>
      <c r="O1340" s="5">
        <v>30859495</v>
      </c>
      <c r="P1340" s="5">
        <v>15576</v>
      </c>
      <c r="Q1340" s="5">
        <v>2959</v>
      </c>
      <c r="R1340" s="5">
        <v>18535</v>
      </c>
    </row>
    <row r="1341" spans="1:18" x14ac:dyDescent="0.25">
      <c r="A1341" t="s">
        <v>3</v>
      </c>
      <c r="B1341" t="s">
        <v>494</v>
      </c>
      <c r="C1341">
        <v>76046889</v>
      </c>
      <c r="D1341">
        <v>36</v>
      </c>
      <c r="E1341">
        <v>30859541</v>
      </c>
      <c r="F1341" t="s">
        <v>1067</v>
      </c>
      <c r="G1341" s="1">
        <v>45238</v>
      </c>
      <c r="H1341">
        <v>5414903</v>
      </c>
      <c r="I1341">
        <v>129</v>
      </c>
      <c r="J1341" t="s">
        <v>414</v>
      </c>
      <c r="K1341" t="str">
        <f>IFERROR(IF(AND(VLOOKUP($C1341,Hes!$A:$B, 1, FALSE), $M1341&lt;&gt;" "), "Ingresada", "Falta Ingresar"), " ")</f>
        <v xml:space="preserve"> </v>
      </c>
      <c r="L1341" s="4" t="str">
        <f>IFERROR(VLOOKUP($C1341,Observaciones!$A:$B,2,FALSE)," ")</f>
        <v xml:space="preserve"> </v>
      </c>
      <c r="M1341" t="s">
        <v>681</v>
      </c>
      <c r="O1341" s="5">
        <v>30859541</v>
      </c>
      <c r="P1341" s="5">
        <v>99944</v>
      </c>
      <c r="Q1341" s="5">
        <v>18989</v>
      </c>
      <c r="R1341" s="5">
        <v>118933</v>
      </c>
    </row>
    <row r="1342" spans="1:18" x14ac:dyDescent="0.25">
      <c r="A1342" t="s">
        <v>3</v>
      </c>
      <c r="B1342" t="s">
        <v>494</v>
      </c>
      <c r="C1342">
        <v>76046889</v>
      </c>
      <c r="D1342">
        <v>31</v>
      </c>
      <c r="E1342">
        <v>30863654</v>
      </c>
      <c r="F1342" t="s">
        <v>1067</v>
      </c>
      <c r="G1342" s="1">
        <v>45238</v>
      </c>
      <c r="H1342">
        <v>5415306</v>
      </c>
      <c r="I1342">
        <v>129</v>
      </c>
      <c r="J1342" t="s">
        <v>414</v>
      </c>
      <c r="K1342" t="str">
        <f>IFERROR(IF(AND(VLOOKUP($C1342,Hes!$A:$B, 1, FALSE), $M1342&lt;&gt;" "), "Ingresada", "Falta Ingresar"), " ")</f>
        <v xml:space="preserve"> </v>
      </c>
      <c r="L1342" s="4" t="str">
        <f>IFERROR(VLOOKUP($C1342,Observaciones!$A:$B,2,FALSE)," ")</f>
        <v xml:space="preserve"> </v>
      </c>
      <c r="M1342" t="s">
        <v>681</v>
      </c>
      <c r="O1342" s="5">
        <v>30863654</v>
      </c>
      <c r="P1342" s="5">
        <v>78097</v>
      </c>
      <c r="Q1342" s="5">
        <v>14838</v>
      </c>
      <c r="R1342" s="5">
        <v>92935</v>
      </c>
    </row>
    <row r="1343" spans="1:18" x14ac:dyDescent="0.25">
      <c r="A1343" t="s">
        <v>3</v>
      </c>
      <c r="B1343" t="s">
        <v>494</v>
      </c>
      <c r="C1343">
        <v>76046889</v>
      </c>
      <c r="D1343">
        <v>2</v>
      </c>
      <c r="E1343">
        <v>30863650</v>
      </c>
      <c r="F1343" t="s">
        <v>1067</v>
      </c>
      <c r="G1343" s="1">
        <v>45238</v>
      </c>
      <c r="H1343">
        <v>5415312</v>
      </c>
      <c r="I1343">
        <v>129</v>
      </c>
      <c r="J1343" t="s">
        <v>414</v>
      </c>
      <c r="K1343" t="str">
        <f>IFERROR(IF(AND(VLOOKUP($C1343,Hes!$A:$B, 1, FALSE), $M1343&lt;&gt;" "), "Ingresada", "Falta Ingresar"), " ")</f>
        <v xml:space="preserve"> </v>
      </c>
      <c r="L1343" s="4" t="str">
        <f>IFERROR(VLOOKUP($C1343,Observaciones!$A:$B,2,FALSE)," ")</f>
        <v xml:space="preserve"> </v>
      </c>
      <c r="M1343" t="s">
        <v>681</v>
      </c>
      <c r="O1343" s="5">
        <v>30863650</v>
      </c>
      <c r="P1343" s="5">
        <v>220772</v>
      </c>
      <c r="Q1343" s="5">
        <v>41947</v>
      </c>
      <c r="R1343" s="5">
        <v>263379</v>
      </c>
    </row>
    <row r="1344" spans="1:18" x14ac:dyDescent="0.25">
      <c r="A1344" t="s">
        <v>3</v>
      </c>
      <c r="B1344" t="s">
        <v>494</v>
      </c>
      <c r="C1344">
        <v>76046889</v>
      </c>
      <c r="D1344">
        <v>12</v>
      </c>
      <c r="E1344">
        <v>4200024492</v>
      </c>
      <c r="F1344" t="s">
        <v>1067</v>
      </c>
      <c r="G1344" s="1">
        <v>45238</v>
      </c>
      <c r="H1344">
        <v>5415399</v>
      </c>
      <c r="I1344">
        <v>129</v>
      </c>
      <c r="J1344" t="s">
        <v>414</v>
      </c>
      <c r="K1344" t="str">
        <f>IFERROR(IF(AND(VLOOKUP($C1344,Hes!$A:$B, 1, FALSE), $M1344&lt;&gt;" "), "Ingresada", "Falta Ingresar"), " ")</f>
        <v xml:space="preserve"> </v>
      </c>
      <c r="L1344" s="4" t="str">
        <f>IFERROR(VLOOKUP($C1344,Observaciones!$A:$B,2,FALSE)," ")</f>
        <v xml:space="preserve"> </v>
      </c>
      <c r="M1344" t="s">
        <v>681</v>
      </c>
      <c r="O1344" s="5">
        <v>30861695</v>
      </c>
      <c r="P1344" s="5">
        <v>95355</v>
      </c>
      <c r="Q1344" s="5">
        <v>18117</v>
      </c>
      <c r="R1344" s="5">
        <v>113472</v>
      </c>
    </row>
    <row r="1345" spans="1:18" x14ac:dyDescent="0.25">
      <c r="F1345" t="s">
        <v>862</v>
      </c>
      <c r="K1345" t="str">
        <f>IFERROR(IF(AND(VLOOKUP($C1345,Hes!$A:$B, 1, FALSE), $M1345&lt;&gt;" "), "Ingresada", "Falta Ingresar"), " ")</f>
        <v xml:space="preserve"> </v>
      </c>
      <c r="L1345" s="4" t="str">
        <f>IFERROR(VLOOKUP($C1345,Observaciones!$A:$B,2,FALSE)," ")</f>
        <v xml:space="preserve"> </v>
      </c>
      <c r="M1345" t="s">
        <v>681</v>
      </c>
      <c r="P1345" s="5">
        <v>3358050</v>
      </c>
      <c r="Q1345" s="5">
        <v>638026</v>
      </c>
      <c r="R1345" s="5">
        <v>4008971</v>
      </c>
    </row>
    <row r="1346" spans="1:18" x14ac:dyDescent="0.25">
      <c r="A1346" t="s">
        <v>501</v>
      </c>
      <c r="B1346" t="s">
        <v>494</v>
      </c>
      <c r="C1346">
        <v>76047175</v>
      </c>
      <c r="D1346">
        <v>2</v>
      </c>
      <c r="E1346">
        <v>30849722</v>
      </c>
      <c r="F1346" t="s">
        <v>1068</v>
      </c>
      <c r="G1346" s="1">
        <v>45236</v>
      </c>
      <c r="H1346">
        <v>5412312</v>
      </c>
      <c r="I1346">
        <v>196</v>
      </c>
      <c r="J1346" t="s">
        <v>382</v>
      </c>
      <c r="K1346" s="8" t="str">
        <f>IFERROR(IF(AND(VLOOKUP($C1346,Hes!$A:$B, 1, FALSE), $M1346&lt;&gt;" "), "Ingresada", "Falta Ingresar"), " ")</f>
        <v>Falta Ingresar</v>
      </c>
      <c r="L1346" s="4" t="str">
        <f>IFERROR(VLOOKUP($C1346,Observaciones!$A:$B,2,FALSE)," ")</f>
        <v>VENDEDOR ENVIA CORREO CON INFORMACION</v>
      </c>
      <c r="M1346" t="s">
        <v>681</v>
      </c>
      <c r="N1346" s="5" t="s">
        <v>841</v>
      </c>
      <c r="O1346" s="5">
        <v>30849722</v>
      </c>
      <c r="P1346" s="5">
        <v>120042</v>
      </c>
      <c r="Q1346" s="5">
        <v>22808</v>
      </c>
      <c r="R1346" s="5">
        <v>142850</v>
      </c>
    </row>
    <row r="1347" spans="1:18" x14ac:dyDescent="0.25">
      <c r="A1347" t="s">
        <v>501</v>
      </c>
      <c r="B1347" t="s">
        <v>494</v>
      </c>
      <c r="C1347">
        <v>76047175</v>
      </c>
      <c r="D1347">
        <v>10</v>
      </c>
      <c r="E1347">
        <v>30852512</v>
      </c>
      <c r="F1347" t="s">
        <v>1068</v>
      </c>
      <c r="G1347" s="1">
        <v>45236</v>
      </c>
      <c r="H1347">
        <v>5412611</v>
      </c>
      <c r="I1347">
        <v>196</v>
      </c>
      <c r="J1347" t="s">
        <v>382</v>
      </c>
      <c r="K1347" s="8" t="str">
        <f>IFERROR(IF(AND(VLOOKUP($C1347,Hes!$A:$B, 1, FALSE), $M1347&lt;&gt;" "), "Ingresada", "Falta Ingresar"), " ")</f>
        <v>Falta Ingresar</v>
      </c>
      <c r="L1347" s="4" t="str">
        <f>IFERROR(VLOOKUP($C1347,Observaciones!$A:$B,2,FALSE)," ")</f>
        <v>VENDEDOR ENVIA CORREO CON INFORMACION</v>
      </c>
      <c r="M1347" t="s">
        <v>681</v>
      </c>
      <c r="N1347" s="5" t="s">
        <v>841</v>
      </c>
      <c r="O1347" s="5">
        <v>30852512</v>
      </c>
      <c r="P1347" s="5">
        <v>161310</v>
      </c>
      <c r="Q1347" s="5">
        <v>30649</v>
      </c>
      <c r="R1347" s="5">
        <v>191959</v>
      </c>
    </row>
    <row r="1348" spans="1:18" x14ac:dyDescent="0.25">
      <c r="A1348" t="s">
        <v>501</v>
      </c>
      <c r="B1348" t="s">
        <v>494</v>
      </c>
      <c r="C1348">
        <v>76047175</v>
      </c>
      <c r="D1348">
        <v>10</v>
      </c>
      <c r="E1348">
        <v>30852512</v>
      </c>
      <c r="F1348" t="s">
        <v>1068</v>
      </c>
      <c r="G1348" s="1">
        <v>45236</v>
      </c>
      <c r="H1348">
        <v>5412612</v>
      </c>
      <c r="I1348">
        <v>196</v>
      </c>
      <c r="J1348" t="s">
        <v>382</v>
      </c>
      <c r="K1348" s="8" t="str">
        <f>IFERROR(IF(AND(VLOOKUP($C1348,Hes!$A:$B, 1, FALSE), $M1348&lt;&gt;" "), "Ingresada", "Falta Ingresar"), " ")</f>
        <v>Falta Ingresar</v>
      </c>
      <c r="L1348" s="4" t="str">
        <f>IFERROR(VLOOKUP($C1348,Observaciones!$A:$B,2,FALSE)," ")</f>
        <v>VENDEDOR ENVIA CORREO CON INFORMACION</v>
      </c>
      <c r="M1348" t="s">
        <v>681</v>
      </c>
      <c r="N1348" s="5" t="s">
        <v>841</v>
      </c>
      <c r="O1348" s="5">
        <v>30852512</v>
      </c>
      <c r="P1348" s="5">
        <v>21160</v>
      </c>
      <c r="Q1348" s="5">
        <v>4020</v>
      </c>
      <c r="R1348" s="5">
        <v>25180</v>
      </c>
    </row>
    <row r="1349" spans="1:18" x14ac:dyDescent="0.25">
      <c r="A1349" t="s">
        <v>501</v>
      </c>
      <c r="B1349" t="s">
        <v>494</v>
      </c>
      <c r="C1349">
        <v>76047175</v>
      </c>
      <c r="D1349">
        <v>17</v>
      </c>
      <c r="E1349" t="s">
        <v>1069</v>
      </c>
      <c r="F1349" t="s">
        <v>1068</v>
      </c>
      <c r="G1349" s="1">
        <v>45236</v>
      </c>
      <c r="H1349">
        <v>5412621</v>
      </c>
      <c r="I1349">
        <v>196</v>
      </c>
      <c r="J1349" t="s">
        <v>382</v>
      </c>
      <c r="K1349" s="8" t="str">
        <f>IFERROR(IF(AND(VLOOKUP($C1349,Hes!$A:$B, 1, FALSE), $M1349&lt;&gt;" "), "Ingresada", "Falta Ingresar"), " ")</f>
        <v>Falta Ingresar</v>
      </c>
      <c r="L1349" s="4" t="str">
        <f>IFERROR(VLOOKUP($C1349,Observaciones!$A:$B,2,FALSE)," ")</f>
        <v>VENDEDOR ENVIA CORREO CON INFORMACION</v>
      </c>
      <c r="M1349" t="s">
        <v>681</v>
      </c>
      <c r="N1349" s="5" t="s">
        <v>841</v>
      </c>
      <c r="O1349" s="5">
        <v>30853090</v>
      </c>
      <c r="P1349" s="5">
        <v>423708</v>
      </c>
      <c r="Q1349" s="5">
        <v>80505</v>
      </c>
      <c r="R1349" s="5">
        <v>504213</v>
      </c>
    </row>
    <row r="1350" spans="1:18" x14ac:dyDescent="0.25">
      <c r="A1350" t="s">
        <v>501</v>
      </c>
      <c r="B1350" t="s">
        <v>494</v>
      </c>
      <c r="C1350">
        <v>76047175</v>
      </c>
      <c r="D1350">
        <v>17</v>
      </c>
      <c r="E1350" t="s">
        <v>1069</v>
      </c>
      <c r="F1350" t="s">
        <v>1068</v>
      </c>
      <c r="G1350" s="1">
        <v>45236</v>
      </c>
      <c r="H1350">
        <v>5412622</v>
      </c>
      <c r="I1350">
        <v>196</v>
      </c>
      <c r="J1350" t="s">
        <v>382</v>
      </c>
      <c r="K1350" s="8" t="str">
        <f>IFERROR(IF(AND(VLOOKUP($C1350,Hes!$A:$B, 1, FALSE), $M1350&lt;&gt;" "), "Ingresada", "Falta Ingresar"), " ")</f>
        <v>Falta Ingresar</v>
      </c>
      <c r="L1350" s="4" t="str">
        <f>IFERROR(VLOOKUP($C1350,Observaciones!$A:$B,2,FALSE)," ")</f>
        <v>VENDEDOR ENVIA CORREO CON INFORMACION</v>
      </c>
      <c r="M1350" t="s">
        <v>681</v>
      </c>
      <c r="N1350" s="5" t="s">
        <v>841</v>
      </c>
      <c r="O1350" s="5">
        <v>30853090</v>
      </c>
      <c r="P1350" s="5">
        <v>183850</v>
      </c>
      <c r="Q1350" s="5">
        <v>34932</v>
      </c>
      <c r="R1350" s="5">
        <v>218782</v>
      </c>
    </row>
    <row r="1351" spans="1:18" x14ac:dyDescent="0.25">
      <c r="A1351" t="s">
        <v>501</v>
      </c>
      <c r="B1351" t="s">
        <v>494</v>
      </c>
      <c r="C1351">
        <v>76047175</v>
      </c>
      <c r="D1351">
        <v>4</v>
      </c>
      <c r="E1351">
        <v>30851721</v>
      </c>
      <c r="F1351" t="s">
        <v>1068</v>
      </c>
      <c r="G1351" s="1">
        <v>45236</v>
      </c>
      <c r="H1351">
        <v>5412723</v>
      </c>
      <c r="I1351">
        <v>196</v>
      </c>
      <c r="J1351" t="s">
        <v>382</v>
      </c>
      <c r="K1351" s="8" t="str">
        <f>IFERROR(IF(AND(VLOOKUP($C1351,Hes!$A:$B, 1, FALSE), $M1351&lt;&gt;" "), "Ingresada", "Falta Ingresar"), " ")</f>
        <v>Falta Ingresar</v>
      </c>
      <c r="L1351" s="4" t="str">
        <f>IFERROR(VLOOKUP($C1351,Observaciones!$A:$B,2,FALSE)," ")</f>
        <v>VENDEDOR ENVIA CORREO CON INFORMACION</v>
      </c>
      <c r="M1351" t="s">
        <v>681</v>
      </c>
      <c r="N1351" s="5" t="s">
        <v>841</v>
      </c>
      <c r="O1351" s="5">
        <v>30851721</v>
      </c>
      <c r="P1351" s="5">
        <v>226894</v>
      </c>
      <c r="Q1351" s="5">
        <v>43110</v>
      </c>
      <c r="R1351" s="5">
        <v>270004</v>
      </c>
    </row>
    <row r="1352" spans="1:18" x14ac:dyDescent="0.25">
      <c r="A1352" t="s">
        <v>501</v>
      </c>
      <c r="B1352" t="s">
        <v>494</v>
      </c>
      <c r="C1352">
        <v>76047175</v>
      </c>
      <c r="D1352">
        <v>7</v>
      </c>
      <c r="E1352" t="s">
        <v>1069</v>
      </c>
      <c r="F1352" t="s">
        <v>1068</v>
      </c>
      <c r="G1352" s="1">
        <v>45236</v>
      </c>
      <c r="H1352">
        <v>5412814</v>
      </c>
      <c r="I1352">
        <v>196</v>
      </c>
      <c r="J1352" t="s">
        <v>382</v>
      </c>
      <c r="K1352" s="8" t="str">
        <f>IFERROR(IF(AND(VLOOKUP($C1352,Hes!$A:$B, 1, FALSE), $M1352&lt;&gt;" "), "Ingresada", "Falta Ingresar"), " ")</f>
        <v>Falta Ingresar</v>
      </c>
      <c r="L1352" s="4" t="str">
        <f>IFERROR(VLOOKUP($C1352,Observaciones!$A:$B,2,FALSE)," ")</f>
        <v>VENDEDOR ENVIA CORREO CON INFORMACION</v>
      </c>
      <c r="M1352" t="s">
        <v>681</v>
      </c>
      <c r="N1352" s="5" t="s">
        <v>841</v>
      </c>
      <c r="O1352" s="5">
        <v>30853022</v>
      </c>
      <c r="P1352" s="5">
        <v>352074</v>
      </c>
      <c r="Q1352" s="5">
        <v>66894</v>
      </c>
      <c r="R1352" s="5">
        <v>418968</v>
      </c>
    </row>
    <row r="1353" spans="1:18" x14ac:dyDescent="0.25">
      <c r="A1353" t="s">
        <v>501</v>
      </c>
      <c r="B1353" t="s">
        <v>494</v>
      </c>
      <c r="C1353">
        <v>76047175</v>
      </c>
      <c r="D1353">
        <v>7</v>
      </c>
      <c r="E1353" t="s">
        <v>1069</v>
      </c>
      <c r="F1353" t="s">
        <v>1068</v>
      </c>
      <c r="G1353" s="1">
        <v>45236</v>
      </c>
      <c r="H1353">
        <v>5412815</v>
      </c>
      <c r="I1353">
        <v>196</v>
      </c>
      <c r="J1353" t="s">
        <v>382</v>
      </c>
      <c r="K1353" s="8" t="str">
        <f>IFERROR(IF(AND(VLOOKUP($C1353,Hes!$A:$B, 1, FALSE), $M1353&lt;&gt;" "), "Ingresada", "Falta Ingresar"), " ")</f>
        <v>Falta Ingresar</v>
      </c>
      <c r="L1353" s="4" t="str">
        <f>IFERROR(VLOOKUP($C1353,Observaciones!$A:$B,2,FALSE)," ")</f>
        <v>VENDEDOR ENVIA CORREO CON INFORMACION</v>
      </c>
      <c r="M1353" t="s">
        <v>681</v>
      </c>
      <c r="N1353" s="5" t="s">
        <v>841</v>
      </c>
      <c r="O1353" s="5">
        <v>30853022</v>
      </c>
      <c r="P1353" s="5">
        <v>569454</v>
      </c>
      <c r="Q1353" s="5">
        <v>108196</v>
      </c>
      <c r="R1353" s="5">
        <v>677650</v>
      </c>
    </row>
    <row r="1354" spans="1:18" x14ac:dyDescent="0.25">
      <c r="A1354" t="s">
        <v>501</v>
      </c>
      <c r="B1354" t="s">
        <v>494</v>
      </c>
      <c r="C1354">
        <v>76047175</v>
      </c>
      <c r="D1354">
        <v>12</v>
      </c>
      <c r="E1354" t="s">
        <v>1070</v>
      </c>
      <c r="F1354" t="s">
        <v>1068</v>
      </c>
      <c r="G1354" s="1">
        <v>45237</v>
      </c>
      <c r="H1354">
        <v>5413915</v>
      </c>
      <c r="I1354">
        <v>196</v>
      </c>
      <c r="J1354" t="s">
        <v>382</v>
      </c>
      <c r="K1354" s="8" t="str">
        <f>IFERROR(IF(AND(VLOOKUP($C1354,Hes!$A:$B, 1, FALSE), $M1354&lt;&gt;" "), "Ingresada", "Falta Ingresar"), " ")</f>
        <v>Falta Ingresar</v>
      </c>
      <c r="L1354" s="4" t="str">
        <f>IFERROR(VLOOKUP($C1354,Observaciones!$A:$B,2,FALSE)," ")</f>
        <v>VENDEDOR ENVIA CORREO CON INFORMACION</v>
      </c>
      <c r="M1354" t="s">
        <v>681</v>
      </c>
      <c r="N1354" s="5" t="s">
        <v>841</v>
      </c>
      <c r="O1354" s="5">
        <v>30857617</v>
      </c>
      <c r="P1354" s="5">
        <v>625797</v>
      </c>
      <c r="Q1354" s="5">
        <v>118901</v>
      </c>
      <c r="R1354" s="5">
        <v>744698</v>
      </c>
    </row>
    <row r="1355" spans="1:18" x14ac:dyDescent="0.25">
      <c r="A1355" t="s">
        <v>501</v>
      </c>
      <c r="B1355" t="s">
        <v>494</v>
      </c>
      <c r="C1355">
        <v>76047175</v>
      </c>
      <c r="D1355">
        <v>5</v>
      </c>
      <c r="E1355" t="s">
        <v>1071</v>
      </c>
      <c r="F1355" t="s">
        <v>1068</v>
      </c>
      <c r="G1355" s="1">
        <v>45238</v>
      </c>
      <c r="H1355">
        <v>5414631</v>
      </c>
      <c r="I1355">
        <v>196</v>
      </c>
      <c r="J1355" t="s">
        <v>382</v>
      </c>
      <c r="K1355" s="8" t="str">
        <f>IFERROR(IF(AND(VLOOKUP($C1355,Hes!$A:$B, 1, FALSE), $M1355&lt;&gt;" "), "Ingresada", "Falta Ingresar"), " ")</f>
        <v>Falta Ingresar</v>
      </c>
      <c r="L1355" s="4" t="str">
        <f>IFERROR(VLOOKUP($C1355,Observaciones!$A:$B,2,FALSE)," ")</f>
        <v>VENDEDOR ENVIA CORREO CON INFORMACION</v>
      </c>
      <c r="M1355" t="s">
        <v>681</v>
      </c>
      <c r="N1355" s="5" t="s">
        <v>841</v>
      </c>
      <c r="O1355" s="5">
        <v>30856765</v>
      </c>
      <c r="P1355" s="5">
        <v>81672</v>
      </c>
      <c r="Q1355" s="5">
        <v>15518</v>
      </c>
      <c r="R1355" s="5">
        <v>97190</v>
      </c>
    </row>
    <row r="1356" spans="1:18" x14ac:dyDescent="0.25">
      <c r="A1356" t="s">
        <v>501</v>
      </c>
      <c r="B1356" t="s">
        <v>494</v>
      </c>
      <c r="C1356">
        <v>76047175</v>
      </c>
      <c r="D1356">
        <v>5</v>
      </c>
      <c r="E1356" t="s">
        <v>1071</v>
      </c>
      <c r="F1356" t="s">
        <v>1068</v>
      </c>
      <c r="G1356" s="1">
        <v>45238</v>
      </c>
      <c r="H1356">
        <v>5414634</v>
      </c>
      <c r="I1356">
        <v>196</v>
      </c>
      <c r="J1356" t="s">
        <v>382</v>
      </c>
      <c r="K1356" s="8" t="str">
        <f>IFERROR(IF(AND(VLOOKUP($C1356,Hes!$A:$B, 1, FALSE), $M1356&lt;&gt;" "), "Ingresada", "Falta Ingresar"), " ")</f>
        <v>Falta Ingresar</v>
      </c>
      <c r="L1356" s="4" t="str">
        <f>IFERROR(VLOOKUP($C1356,Observaciones!$A:$B,2,FALSE)," ")</f>
        <v>VENDEDOR ENVIA CORREO CON INFORMACION</v>
      </c>
      <c r="M1356" t="s">
        <v>681</v>
      </c>
      <c r="N1356" s="5" t="s">
        <v>841</v>
      </c>
      <c r="O1356" s="5">
        <v>30856794</v>
      </c>
      <c r="P1356" s="5">
        <v>160639</v>
      </c>
      <c r="Q1356" s="5">
        <v>30521</v>
      </c>
      <c r="R1356" s="5">
        <v>191160</v>
      </c>
    </row>
    <row r="1357" spans="1:18" x14ac:dyDescent="0.25">
      <c r="A1357" t="s">
        <v>501</v>
      </c>
      <c r="B1357" t="s">
        <v>494</v>
      </c>
      <c r="C1357">
        <v>76047175</v>
      </c>
      <c r="D1357">
        <v>5</v>
      </c>
      <c r="E1357" t="s">
        <v>1071</v>
      </c>
      <c r="F1357" t="s">
        <v>1068</v>
      </c>
      <c r="G1357" s="1">
        <v>45238</v>
      </c>
      <c r="H1357">
        <v>5414636</v>
      </c>
      <c r="I1357">
        <v>196</v>
      </c>
      <c r="J1357" t="s">
        <v>382</v>
      </c>
      <c r="K1357" s="8" t="str">
        <f>IFERROR(IF(AND(VLOOKUP($C1357,Hes!$A:$B, 1, FALSE), $M1357&lt;&gt;" "), "Ingresada", "Falta Ingresar"), " ")</f>
        <v>Falta Ingresar</v>
      </c>
      <c r="L1357" s="4" t="str">
        <f>IFERROR(VLOOKUP($C1357,Observaciones!$A:$B,2,FALSE)," ")</f>
        <v>VENDEDOR ENVIA CORREO CON INFORMACION</v>
      </c>
      <c r="M1357" t="s">
        <v>681</v>
      </c>
      <c r="N1357" s="5" t="s">
        <v>841</v>
      </c>
      <c r="O1357" s="5">
        <v>30856829</v>
      </c>
      <c r="P1357" s="5">
        <v>213407</v>
      </c>
      <c r="Q1357" s="5">
        <v>40547</v>
      </c>
      <c r="R1357" s="5">
        <v>253954</v>
      </c>
    </row>
    <row r="1358" spans="1:18" x14ac:dyDescent="0.25">
      <c r="A1358" t="s">
        <v>501</v>
      </c>
      <c r="B1358" t="s">
        <v>494</v>
      </c>
      <c r="C1358">
        <v>76047175</v>
      </c>
      <c r="D1358">
        <v>5</v>
      </c>
      <c r="E1358" t="s">
        <v>1071</v>
      </c>
      <c r="F1358" t="s">
        <v>1068</v>
      </c>
      <c r="G1358" s="1">
        <v>45238</v>
      </c>
      <c r="H1358">
        <v>5414640</v>
      </c>
      <c r="I1358">
        <v>196</v>
      </c>
      <c r="J1358" t="s">
        <v>382</v>
      </c>
      <c r="K1358" s="8" t="str">
        <f>IFERROR(IF(AND(VLOOKUP($C1358,Hes!$A:$B, 1, FALSE), $M1358&lt;&gt;" "), "Ingresada", "Falta Ingresar"), " ")</f>
        <v>Falta Ingresar</v>
      </c>
      <c r="L1358" s="4" t="str">
        <f>IFERROR(VLOOKUP($C1358,Observaciones!$A:$B,2,FALSE)," ")</f>
        <v>VENDEDOR ENVIA CORREO CON INFORMACION</v>
      </c>
      <c r="M1358" t="s">
        <v>681</v>
      </c>
      <c r="N1358" s="5" t="s">
        <v>841</v>
      </c>
      <c r="O1358" s="5">
        <v>30856772</v>
      </c>
      <c r="P1358" s="5">
        <v>107195</v>
      </c>
      <c r="Q1358" s="5">
        <v>20367</v>
      </c>
      <c r="R1358" s="5">
        <v>127562</v>
      </c>
    </row>
    <row r="1359" spans="1:18" x14ac:dyDescent="0.25">
      <c r="F1359" t="s">
        <v>544</v>
      </c>
      <c r="K1359" t="str">
        <f>IFERROR(IF(AND(VLOOKUP($C1359,Hes!$A:$B, 1, FALSE), $M1359&lt;&gt;" "), "Ingresada", "Falta Ingresar"), " ")</f>
        <v xml:space="preserve"> </v>
      </c>
      <c r="L1359" s="4" t="str">
        <f>IFERROR(VLOOKUP($C1359,Observaciones!$A:$B,2,FALSE)," ")</f>
        <v xml:space="preserve"> </v>
      </c>
      <c r="M1359" t="s">
        <v>681</v>
      </c>
      <c r="P1359" s="5">
        <v>3247202</v>
      </c>
      <c r="Q1359" s="5">
        <v>616968</v>
      </c>
      <c r="R1359" s="5">
        <v>3864170</v>
      </c>
    </row>
    <row r="1360" spans="1:18" x14ac:dyDescent="0.25">
      <c r="A1360" t="s">
        <v>501</v>
      </c>
      <c r="B1360" t="s">
        <v>494</v>
      </c>
      <c r="C1360">
        <v>76047265</v>
      </c>
      <c r="D1360">
        <v>1324</v>
      </c>
      <c r="E1360">
        <v>30848971</v>
      </c>
      <c r="F1360" t="s">
        <v>1072</v>
      </c>
      <c r="G1360" s="1">
        <v>45232</v>
      </c>
      <c r="H1360">
        <v>5411194</v>
      </c>
      <c r="I1360">
        <v>321</v>
      </c>
      <c r="J1360" t="s">
        <v>202</v>
      </c>
      <c r="K1360" t="str">
        <f>IFERROR(IF(AND(VLOOKUP($C1360,Hes!$A:$B, 1, FALSE), $M1360&lt;&gt;" "), "Ingresada", "Falta Ingresar"), " ")</f>
        <v xml:space="preserve"> </v>
      </c>
      <c r="L1360" s="4" t="str">
        <f>IFERROR(VLOOKUP($C1360,Observaciones!$A:$B,2,FALSE)," ")</f>
        <v xml:space="preserve"> </v>
      </c>
      <c r="M1360" t="s">
        <v>681</v>
      </c>
      <c r="O1360" s="5">
        <v>30848971</v>
      </c>
      <c r="P1360" s="5">
        <v>6150</v>
      </c>
      <c r="Q1360" s="5">
        <v>1169</v>
      </c>
      <c r="R1360" s="5">
        <v>7319</v>
      </c>
    </row>
    <row r="1361" spans="1:18" x14ac:dyDescent="0.25">
      <c r="A1361" t="s">
        <v>501</v>
      </c>
      <c r="B1361" t="s">
        <v>494</v>
      </c>
      <c r="C1361">
        <v>76047265</v>
      </c>
      <c r="D1361">
        <v>578</v>
      </c>
      <c r="E1361">
        <v>30852928</v>
      </c>
      <c r="F1361" t="s">
        <v>1072</v>
      </c>
      <c r="G1361" s="1">
        <v>45236</v>
      </c>
      <c r="H1361">
        <v>5413301</v>
      </c>
      <c r="I1361">
        <v>321</v>
      </c>
      <c r="J1361" t="s">
        <v>202</v>
      </c>
      <c r="K1361" t="str">
        <f>IFERROR(IF(AND(VLOOKUP($C1361,Hes!$A:$B, 1, FALSE), $M1361&lt;&gt;" "), "Ingresada", "Falta Ingresar"), " ")</f>
        <v xml:space="preserve"> </v>
      </c>
      <c r="L1361" s="4" t="str">
        <f>IFERROR(VLOOKUP($C1361,Observaciones!$A:$B,2,FALSE)," ")</f>
        <v xml:space="preserve"> </v>
      </c>
      <c r="M1361" t="s">
        <v>681</v>
      </c>
      <c r="O1361" s="5">
        <v>30852928</v>
      </c>
      <c r="P1361" s="5">
        <v>36850</v>
      </c>
      <c r="Q1361" s="5">
        <v>7002</v>
      </c>
      <c r="R1361" s="5">
        <v>43852</v>
      </c>
    </row>
    <row r="1362" spans="1:18" x14ac:dyDescent="0.25">
      <c r="A1362" t="s">
        <v>501</v>
      </c>
      <c r="B1362" t="s">
        <v>494</v>
      </c>
      <c r="C1362">
        <v>76047265</v>
      </c>
      <c r="D1362">
        <v>334</v>
      </c>
      <c r="E1362">
        <v>30858048</v>
      </c>
      <c r="F1362" t="s">
        <v>1072</v>
      </c>
      <c r="G1362" s="1">
        <v>45236</v>
      </c>
      <c r="H1362">
        <v>5413524</v>
      </c>
      <c r="I1362">
        <v>321</v>
      </c>
      <c r="J1362" t="s">
        <v>202</v>
      </c>
      <c r="K1362" t="str">
        <f>IFERROR(IF(AND(VLOOKUP($C1362,Hes!$A:$B, 1, FALSE), $M1362&lt;&gt;" "), "Ingresada", "Falta Ingresar"), " ")</f>
        <v xml:space="preserve"> </v>
      </c>
      <c r="L1362" s="4" t="str">
        <f>IFERROR(VLOOKUP($C1362,Observaciones!$A:$B,2,FALSE)," ")</f>
        <v xml:space="preserve"> </v>
      </c>
      <c r="M1362" t="s">
        <v>681</v>
      </c>
      <c r="O1362" s="5">
        <v>30858048</v>
      </c>
      <c r="P1362" s="5">
        <v>36797</v>
      </c>
      <c r="Q1362" s="5">
        <v>6991</v>
      </c>
      <c r="R1362" s="5">
        <v>43788</v>
      </c>
    </row>
    <row r="1363" spans="1:18" x14ac:dyDescent="0.25">
      <c r="A1363" t="s">
        <v>501</v>
      </c>
      <c r="B1363" t="s">
        <v>494</v>
      </c>
      <c r="C1363">
        <v>76047265</v>
      </c>
      <c r="D1363">
        <v>469</v>
      </c>
      <c r="E1363">
        <v>30857955</v>
      </c>
      <c r="F1363" t="s">
        <v>1072</v>
      </c>
      <c r="G1363" s="1">
        <v>45236</v>
      </c>
      <c r="H1363">
        <v>5413534</v>
      </c>
      <c r="I1363">
        <v>321</v>
      </c>
      <c r="J1363" t="s">
        <v>202</v>
      </c>
      <c r="K1363" t="str">
        <f>IFERROR(IF(AND(VLOOKUP($C1363,Hes!$A:$B, 1, FALSE), $M1363&lt;&gt;" "), "Ingresada", "Falta Ingresar"), " ")</f>
        <v xml:space="preserve"> </v>
      </c>
      <c r="L1363" s="4" t="str">
        <f>IFERROR(VLOOKUP($C1363,Observaciones!$A:$B,2,FALSE)," ")</f>
        <v xml:space="preserve"> </v>
      </c>
      <c r="M1363" t="s">
        <v>681</v>
      </c>
      <c r="O1363" s="5">
        <v>30857955</v>
      </c>
      <c r="P1363" s="5">
        <v>36612</v>
      </c>
      <c r="Q1363" s="5">
        <v>6956</v>
      </c>
      <c r="R1363" s="5">
        <v>43568</v>
      </c>
    </row>
    <row r="1364" spans="1:18" x14ac:dyDescent="0.25">
      <c r="A1364" t="s">
        <v>501</v>
      </c>
      <c r="B1364" t="s">
        <v>494</v>
      </c>
      <c r="C1364">
        <v>76047265</v>
      </c>
      <c r="D1364">
        <v>336</v>
      </c>
      <c r="E1364">
        <v>30858049</v>
      </c>
      <c r="F1364" t="s">
        <v>1072</v>
      </c>
      <c r="G1364" s="1">
        <v>45236</v>
      </c>
      <c r="H1364">
        <v>5413614</v>
      </c>
      <c r="I1364">
        <v>321</v>
      </c>
      <c r="J1364" t="s">
        <v>202</v>
      </c>
      <c r="K1364" t="str">
        <f>IFERROR(IF(AND(VLOOKUP($C1364,Hes!$A:$B, 1, FALSE), $M1364&lt;&gt;" "), "Ingresada", "Falta Ingresar"), " ")</f>
        <v xml:space="preserve"> </v>
      </c>
      <c r="L1364" s="4" t="str">
        <f>IFERROR(VLOOKUP($C1364,Observaciones!$A:$B,2,FALSE)," ")</f>
        <v xml:space="preserve"> </v>
      </c>
      <c r="M1364" t="s">
        <v>681</v>
      </c>
      <c r="O1364" s="5">
        <v>30858049</v>
      </c>
      <c r="P1364" s="5">
        <v>36834</v>
      </c>
      <c r="Q1364" s="5">
        <v>6998</v>
      </c>
      <c r="R1364" s="5">
        <v>43832</v>
      </c>
    </row>
    <row r="1365" spans="1:18" x14ac:dyDescent="0.25">
      <c r="A1365" t="s">
        <v>501</v>
      </c>
      <c r="B1365" t="s">
        <v>494</v>
      </c>
      <c r="C1365">
        <v>76047265</v>
      </c>
      <c r="D1365">
        <v>657</v>
      </c>
      <c r="E1365">
        <v>30857997</v>
      </c>
      <c r="F1365" t="s">
        <v>1072</v>
      </c>
      <c r="G1365" s="1">
        <v>45236</v>
      </c>
      <c r="H1365">
        <v>5413643</v>
      </c>
      <c r="I1365">
        <v>321</v>
      </c>
      <c r="J1365" t="s">
        <v>202</v>
      </c>
      <c r="K1365" t="str">
        <f>IFERROR(IF(AND(VLOOKUP($C1365,Hes!$A:$B, 1, FALSE), $M1365&lt;&gt;" "), "Ingresada", "Falta Ingresar"), " ")</f>
        <v xml:space="preserve"> </v>
      </c>
      <c r="L1365" s="4" t="str">
        <f>IFERROR(VLOOKUP($C1365,Observaciones!$A:$B,2,FALSE)," ")</f>
        <v xml:space="preserve"> </v>
      </c>
      <c r="M1365" t="s">
        <v>681</v>
      </c>
      <c r="O1365" s="5">
        <v>30857997</v>
      </c>
      <c r="P1365" s="5">
        <v>36951</v>
      </c>
      <c r="Q1365" s="5">
        <v>7021</v>
      </c>
      <c r="R1365" s="5">
        <v>43972</v>
      </c>
    </row>
    <row r="1366" spans="1:18" x14ac:dyDescent="0.25">
      <c r="A1366" t="s">
        <v>501</v>
      </c>
      <c r="B1366" t="s">
        <v>494</v>
      </c>
      <c r="C1366">
        <v>76047265</v>
      </c>
      <c r="D1366">
        <v>1319</v>
      </c>
      <c r="E1366">
        <v>30857969</v>
      </c>
      <c r="F1366" t="s">
        <v>1072</v>
      </c>
      <c r="G1366" s="1">
        <v>45236</v>
      </c>
      <c r="H1366">
        <v>5413648</v>
      </c>
      <c r="I1366">
        <v>321</v>
      </c>
      <c r="J1366" t="s">
        <v>202</v>
      </c>
      <c r="K1366" t="str">
        <f>IFERROR(IF(AND(VLOOKUP($C1366,Hes!$A:$B, 1, FALSE), $M1366&lt;&gt;" "), "Ingresada", "Falta Ingresar"), " ")</f>
        <v xml:space="preserve"> </v>
      </c>
      <c r="L1366" s="4" t="str">
        <f>IFERROR(VLOOKUP($C1366,Observaciones!$A:$B,2,FALSE)," ")</f>
        <v xml:space="preserve"> </v>
      </c>
      <c r="M1366" t="s">
        <v>681</v>
      </c>
      <c r="O1366" s="5">
        <v>30857969</v>
      </c>
      <c r="P1366" s="5">
        <v>36930</v>
      </c>
      <c r="Q1366" s="5">
        <v>7017</v>
      </c>
      <c r="R1366" s="5">
        <v>43947</v>
      </c>
    </row>
    <row r="1367" spans="1:18" x14ac:dyDescent="0.25">
      <c r="A1367" t="s">
        <v>501</v>
      </c>
      <c r="B1367" t="s">
        <v>494</v>
      </c>
      <c r="C1367">
        <v>76047265</v>
      </c>
      <c r="D1367">
        <v>281</v>
      </c>
      <c r="E1367">
        <v>30857952</v>
      </c>
      <c r="F1367" t="s">
        <v>1072</v>
      </c>
      <c r="G1367" s="1">
        <v>45236</v>
      </c>
      <c r="H1367">
        <v>5413651</v>
      </c>
      <c r="I1367">
        <v>321</v>
      </c>
      <c r="J1367" t="s">
        <v>202</v>
      </c>
      <c r="K1367" t="str">
        <f>IFERROR(IF(AND(VLOOKUP($C1367,Hes!$A:$B, 1, FALSE), $M1367&lt;&gt;" "), "Ingresada", "Falta Ingresar"), " ")</f>
        <v xml:space="preserve"> </v>
      </c>
      <c r="L1367" s="4" t="str">
        <f>IFERROR(VLOOKUP($C1367,Observaciones!$A:$B,2,FALSE)," ")</f>
        <v xml:space="preserve"> </v>
      </c>
      <c r="M1367" t="s">
        <v>681</v>
      </c>
      <c r="O1367" s="5">
        <v>30857952</v>
      </c>
      <c r="P1367" s="5">
        <v>36977</v>
      </c>
      <c r="Q1367" s="5">
        <v>7026</v>
      </c>
      <c r="R1367" s="5">
        <v>44003</v>
      </c>
    </row>
    <row r="1368" spans="1:18" x14ac:dyDescent="0.25">
      <c r="A1368" t="s">
        <v>501</v>
      </c>
      <c r="B1368" t="s">
        <v>494</v>
      </c>
      <c r="C1368">
        <v>76047265</v>
      </c>
      <c r="D1368">
        <v>275</v>
      </c>
      <c r="E1368">
        <v>30858018</v>
      </c>
      <c r="F1368" t="s">
        <v>1072</v>
      </c>
      <c r="G1368" s="1">
        <v>45236</v>
      </c>
      <c r="H1368">
        <v>5413662</v>
      </c>
      <c r="I1368">
        <v>321</v>
      </c>
      <c r="J1368" t="s">
        <v>202</v>
      </c>
      <c r="K1368" t="str">
        <f>IFERROR(IF(AND(VLOOKUP($C1368,Hes!$A:$B, 1, FALSE), $M1368&lt;&gt;" "), "Ingresada", "Falta Ingresar"), " ")</f>
        <v xml:space="preserve"> </v>
      </c>
      <c r="L1368" s="4" t="str">
        <f>IFERROR(VLOOKUP($C1368,Observaciones!$A:$B,2,FALSE)," ")</f>
        <v xml:space="preserve"> </v>
      </c>
      <c r="M1368" t="s">
        <v>681</v>
      </c>
      <c r="O1368" s="5">
        <v>30858018</v>
      </c>
      <c r="P1368" s="5">
        <v>36954</v>
      </c>
      <c r="Q1368" s="5">
        <v>7021</v>
      </c>
      <c r="R1368" s="5">
        <v>43975</v>
      </c>
    </row>
    <row r="1369" spans="1:18" x14ac:dyDescent="0.25">
      <c r="A1369" t="s">
        <v>501</v>
      </c>
      <c r="B1369" t="s">
        <v>494</v>
      </c>
      <c r="C1369">
        <v>76047265</v>
      </c>
      <c r="D1369">
        <v>1186</v>
      </c>
      <c r="E1369">
        <v>30857131</v>
      </c>
      <c r="F1369" t="s">
        <v>1072</v>
      </c>
      <c r="G1369" s="1">
        <v>45236</v>
      </c>
      <c r="H1369">
        <v>5413669</v>
      </c>
      <c r="I1369">
        <v>321</v>
      </c>
      <c r="J1369" t="s">
        <v>202</v>
      </c>
      <c r="K1369" t="str">
        <f>IFERROR(IF(AND(VLOOKUP($C1369,Hes!$A:$B, 1, FALSE), $M1369&lt;&gt;" "), "Ingresada", "Falta Ingresar"), " ")</f>
        <v xml:space="preserve"> </v>
      </c>
      <c r="L1369" s="4" t="str">
        <f>IFERROR(VLOOKUP($C1369,Observaciones!$A:$B,2,FALSE)," ")</f>
        <v xml:space="preserve"> </v>
      </c>
      <c r="M1369" t="s">
        <v>681</v>
      </c>
      <c r="O1369" s="5">
        <v>30857131</v>
      </c>
      <c r="P1369" s="5">
        <v>46939</v>
      </c>
      <c r="Q1369" s="5">
        <v>8918</v>
      </c>
      <c r="R1369" s="5">
        <v>55857</v>
      </c>
    </row>
    <row r="1370" spans="1:18" x14ac:dyDescent="0.25">
      <c r="A1370" t="s">
        <v>501</v>
      </c>
      <c r="B1370" t="s">
        <v>494</v>
      </c>
      <c r="C1370">
        <v>76047265</v>
      </c>
      <c r="D1370">
        <v>634</v>
      </c>
      <c r="E1370">
        <v>30858045</v>
      </c>
      <c r="F1370" t="s">
        <v>1072</v>
      </c>
      <c r="G1370" s="1">
        <v>45236</v>
      </c>
      <c r="H1370">
        <v>5413678</v>
      </c>
      <c r="I1370">
        <v>321</v>
      </c>
      <c r="J1370" t="s">
        <v>202</v>
      </c>
      <c r="K1370" t="str">
        <f>IFERROR(IF(AND(VLOOKUP($C1370,Hes!$A:$B, 1, FALSE), $M1370&lt;&gt;" "), "Ingresada", "Falta Ingresar"), " ")</f>
        <v xml:space="preserve"> </v>
      </c>
      <c r="L1370" s="4" t="str">
        <f>IFERROR(VLOOKUP($C1370,Observaciones!$A:$B,2,FALSE)," ")</f>
        <v xml:space="preserve"> </v>
      </c>
      <c r="M1370" t="s">
        <v>681</v>
      </c>
      <c r="O1370" s="5">
        <v>30858045</v>
      </c>
      <c r="P1370" s="5">
        <v>49973</v>
      </c>
      <c r="Q1370" s="5">
        <v>9495</v>
      </c>
      <c r="R1370" s="5">
        <v>59468</v>
      </c>
    </row>
    <row r="1371" spans="1:18" x14ac:dyDescent="0.25">
      <c r="A1371" t="s">
        <v>501</v>
      </c>
      <c r="B1371" t="s">
        <v>494</v>
      </c>
      <c r="C1371">
        <v>76047265</v>
      </c>
      <c r="D1371">
        <v>443</v>
      </c>
      <c r="E1371">
        <v>30858037</v>
      </c>
      <c r="F1371" t="s">
        <v>1072</v>
      </c>
      <c r="G1371" s="1">
        <v>45236</v>
      </c>
      <c r="H1371">
        <v>5413724</v>
      </c>
      <c r="I1371">
        <v>321</v>
      </c>
      <c r="J1371" t="s">
        <v>202</v>
      </c>
      <c r="K1371" t="str">
        <f>IFERROR(IF(AND(VLOOKUP($C1371,Hes!$A:$B, 1, FALSE), $M1371&lt;&gt;" "), "Ingresada", "Falta Ingresar"), " ")</f>
        <v xml:space="preserve"> </v>
      </c>
      <c r="L1371" s="4" t="str">
        <f>IFERROR(VLOOKUP($C1371,Observaciones!$A:$B,2,FALSE)," ")</f>
        <v xml:space="preserve"> </v>
      </c>
      <c r="M1371" t="s">
        <v>681</v>
      </c>
      <c r="O1371" s="5">
        <v>30858037</v>
      </c>
      <c r="P1371" s="5">
        <v>49917</v>
      </c>
      <c r="Q1371" s="5">
        <v>9484</v>
      </c>
      <c r="R1371" s="5">
        <v>59401</v>
      </c>
    </row>
    <row r="1372" spans="1:18" x14ac:dyDescent="0.25">
      <c r="A1372" t="s">
        <v>501</v>
      </c>
      <c r="B1372" t="s">
        <v>494</v>
      </c>
      <c r="C1372">
        <v>76047265</v>
      </c>
      <c r="D1372">
        <v>1322</v>
      </c>
      <c r="E1372">
        <v>30857983</v>
      </c>
      <c r="F1372" t="s">
        <v>1072</v>
      </c>
      <c r="G1372" s="1">
        <v>45236</v>
      </c>
      <c r="H1372">
        <v>5413770</v>
      </c>
      <c r="I1372">
        <v>321</v>
      </c>
      <c r="J1372" t="s">
        <v>202</v>
      </c>
      <c r="K1372" t="str">
        <f>IFERROR(IF(AND(VLOOKUP($C1372,Hes!$A:$B, 1, FALSE), $M1372&lt;&gt;" "), "Ingresada", "Falta Ingresar"), " ")</f>
        <v xml:space="preserve"> </v>
      </c>
      <c r="L1372" s="4" t="str">
        <f>IFERROR(VLOOKUP($C1372,Observaciones!$A:$B,2,FALSE)," ")</f>
        <v xml:space="preserve"> </v>
      </c>
      <c r="M1372" t="s">
        <v>681</v>
      </c>
      <c r="O1372" s="5">
        <v>30857983</v>
      </c>
      <c r="P1372" s="5">
        <v>36901</v>
      </c>
      <c r="Q1372" s="5">
        <v>7011</v>
      </c>
      <c r="R1372" s="5">
        <v>43912</v>
      </c>
    </row>
    <row r="1373" spans="1:18" x14ac:dyDescent="0.25">
      <c r="A1373" t="s">
        <v>501</v>
      </c>
      <c r="B1373" t="s">
        <v>494</v>
      </c>
      <c r="C1373">
        <v>76047265</v>
      </c>
      <c r="D1373">
        <v>383</v>
      </c>
      <c r="E1373">
        <v>30857961</v>
      </c>
      <c r="F1373" t="s">
        <v>1072</v>
      </c>
      <c r="G1373" s="1">
        <v>45236</v>
      </c>
      <c r="H1373">
        <v>5413805</v>
      </c>
      <c r="I1373">
        <v>321</v>
      </c>
      <c r="J1373" t="s">
        <v>202</v>
      </c>
      <c r="K1373" t="str">
        <f>IFERROR(IF(AND(VLOOKUP($C1373,Hes!$A:$B, 1, FALSE), $M1373&lt;&gt;" "), "Ingresada", "Falta Ingresar"), " ")</f>
        <v xml:space="preserve"> </v>
      </c>
      <c r="L1373" s="4" t="str">
        <f>IFERROR(VLOOKUP($C1373,Observaciones!$A:$B,2,FALSE)," ")</f>
        <v xml:space="preserve"> </v>
      </c>
      <c r="M1373" t="s">
        <v>681</v>
      </c>
      <c r="O1373" s="5">
        <v>30857961</v>
      </c>
      <c r="P1373" s="5">
        <v>46999</v>
      </c>
      <c r="Q1373" s="5">
        <v>8930</v>
      </c>
      <c r="R1373" s="5">
        <v>55929</v>
      </c>
    </row>
    <row r="1374" spans="1:18" x14ac:dyDescent="0.25">
      <c r="A1374" t="s">
        <v>501</v>
      </c>
      <c r="B1374" t="s">
        <v>494</v>
      </c>
      <c r="C1374">
        <v>76047265</v>
      </c>
      <c r="D1374">
        <v>637</v>
      </c>
      <c r="E1374">
        <v>30857993</v>
      </c>
      <c r="F1374" t="s">
        <v>1072</v>
      </c>
      <c r="G1374" s="1">
        <v>45236</v>
      </c>
      <c r="H1374">
        <v>5413809</v>
      </c>
      <c r="I1374">
        <v>321</v>
      </c>
      <c r="J1374" t="s">
        <v>202</v>
      </c>
      <c r="K1374" t="str">
        <f>IFERROR(IF(AND(VLOOKUP($C1374,Hes!$A:$B, 1, FALSE), $M1374&lt;&gt;" "), "Ingresada", "Falta Ingresar"), " ")</f>
        <v xml:space="preserve"> </v>
      </c>
      <c r="L1374" s="4" t="str">
        <f>IFERROR(VLOOKUP($C1374,Observaciones!$A:$B,2,FALSE)," ")</f>
        <v xml:space="preserve"> </v>
      </c>
      <c r="M1374" t="s">
        <v>681</v>
      </c>
      <c r="O1374" s="5">
        <v>30857993</v>
      </c>
      <c r="P1374" s="5">
        <v>36766</v>
      </c>
      <c r="Q1374" s="5">
        <v>6986</v>
      </c>
      <c r="R1374" s="5">
        <v>43752</v>
      </c>
    </row>
    <row r="1375" spans="1:18" x14ac:dyDescent="0.25">
      <c r="A1375" t="s">
        <v>501</v>
      </c>
      <c r="B1375" t="s">
        <v>494</v>
      </c>
      <c r="C1375">
        <v>76047265</v>
      </c>
      <c r="D1375">
        <v>1323</v>
      </c>
      <c r="E1375">
        <v>30858016</v>
      </c>
      <c r="F1375" t="s">
        <v>1072</v>
      </c>
      <c r="G1375" s="1">
        <v>45236</v>
      </c>
      <c r="H1375">
        <v>5413814</v>
      </c>
      <c r="I1375">
        <v>321</v>
      </c>
      <c r="J1375" t="s">
        <v>202</v>
      </c>
      <c r="K1375" t="str">
        <f>IFERROR(IF(AND(VLOOKUP($C1375,Hes!$A:$B, 1, FALSE), $M1375&lt;&gt;" "), "Ingresada", "Falta Ingresar"), " ")</f>
        <v xml:space="preserve"> </v>
      </c>
      <c r="L1375" s="4" t="str">
        <f>IFERROR(VLOOKUP($C1375,Observaciones!$A:$B,2,FALSE)," ")</f>
        <v xml:space="preserve"> </v>
      </c>
      <c r="M1375" t="s">
        <v>681</v>
      </c>
      <c r="O1375" s="5">
        <v>30858016</v>
      </c>
      <c r="P1375" s="5">
        <v>36566</v>
      </c>
      <c r="Q1375" s="5">
        <v>6948</v>
      </c>
      <c r="R1375" s="5">
        <v>43514</v>
      </c>
    </row>
    <row r="1376" spans="1:18" x14ac:dyDescent="0.25">
      <c r="A1376" t="s">
        <v>501</v>
      </c>
      <c r="B1376" t="s">
        <v>494</v>
      </c>
      <c r="C1376">
        <v>76047265</v>
      </c>
      <c r="D1376">
        <v>903</v>
      </c>
      <c r="E1376">
        <v>30858041</v>
      </c>
      <c r="F1376" t="s">
        <v>1072</v>
      </c>
      <c r="G1376" s="1">
        <v>45236</v>
      </c>
      <c r="H1376">
        <v>5413870</v>
      </c>
      <c r="I1376">
        <v>321</v>
      </c>
      <c r="J1376" t="s">
        <v>202</v>
      </c>
      <c r="K1376" t="str">
        <f>IFERROR(IF(AND(VLOOKUP($C1376,Hes!$A:$B, 1, FALSE), $M1376&lt;&gt;" "), "Ingresada", "Falta Ingresar"), " ")</f>
        <v xml:space="preserve"> </v>
      </c>
      <c r="L1376" s="4" t="str">
        <f>IFERROR(VLOOKUP($C1376,Observaciones!$A:$B,2,FALSE)," ")</f>
        <v xml:space="preserve"> </v>
      </c>
      <c r="M1376" t="s">
        <v>681</v>
      </c>
      <c r="O1376" s="5">
        <v>30858041</v>
      </c>
      <c r="P1376" s="5">
        <v>36910</v>
      </c>
      <c r="Q1376" s="5">
        <v>7013</v>
      </c>
      <c r="R1376" s="5">
        <v>43923</v>
      </c>
    </row>
    <row r="1377" spans="1:18" x14ac:dyDescent="0.25">
      <c r="A1377" t="s">
        <v>501</v>
      </c>
      <c r="B1377" t="s">
        <v>494</v>
      </c>
      <c r="C1377">
        <v>76047265</v>
      </c>
      <c r="D1377">
        <v>283</v>
      </c>
      <c r="E1377">
        <v>30857944</v>
      </c>
      <c r="F1377" t="s">
        <v>1072</v>
      </c>
      <c r="G1377" s="1">
        <v>45236</v>
      </c>
      <c r="H1377">
        <v>5413884</v>
      </c>
      <c r="I1377">
        <v>321</v>
      </c>
      <c r="J1377" t="s">
        <v>202</v>
      </c>
      <c r="K1377" t="str">
        <f>IFERROR(IF(AND(VLOOKUP($C1377,Hes!$A:$B, 1, FALSE), $M1377&lt;&gt;" "), "Ingresada", "Falta Ingresar"), " ")</f>
        <v xml:space="preserve"> </v>
      </c>
      <c r="L1377" s="4" t="str">
        <f>IFERROR(VLOOKUP($C1377,Observaciones!$A:$B,2,FALSE)," ")</f>
        <v xml:space="preserve"> </v>
      </c>
      <c r="M1377" t="s">
        <v>681</v>
      </c>
      <c r="O1377" s="5">
        <v>30857944</v>
      </c>
      <c r="P1377" s="5">
        <v>36955</v>
      </c>
      <c r="Q1377" s="5">
        <v>7021</v>
      </c>
      <c r="R1377" s="5">
        <v>43976</v>
      </c>
    </row>
    <row r="1378" spans="1:18" x14ac:dyDescent="0.25">
      <c r="A1378" t="s">
        <v>501</v>
      </c>
      <c r="B1378" t="s">
        <v>494</v>
      </c>
      <c r="C1378">
        <v>76047265</v>
      </c>
      <c r="D1378">
        <v>1327</v>
      </c>
      <c r="E1378">
        <v>30858006</v>
      </c>
      <c r="F1378" t="s">
        <v>1072</v>
      </c>
      <c r="G1378" s="1">
        <v>45237</v>
      </c>
      <c r="H1378">
        <v>5413918</v>
      </c>
      <c r="I1378">
        <v>321</v>
      </c>
      <c r="J1378" t="s">
        <v>202</v>
      </c>
      <c r="K1378" t="str">
        <f>IFERROR(IF(AND(VLOOKUP($C1378,Hes!$A:$B, 1, FALSE), $M1378&lt;&gt;" "), "Ingresada", "Falta Ingresar"), " ")</f>
        <v xml:space="preserve"> </v>
      </c>
      <c r="L1378" s="4" t="str">
        <f>IFERROR(VLOOKUP($C1378,Observaciones!$A:$B,2,FALSE)," ")</f>
        <v xml:space="preserve"> </v>
      </c>
      <c r="M1378" t="s">
        <v>681</v>
      </c>
      <c r="O1378" s="5">
        <v>30858006</v>
      </c>
      <c r="P1378" s="5">
        <v>36998</v>
      </c>
      <c r="Q1378" s="5">
        <v>7030</v>
      </c>
      <c r="R1378" s="5">
        <v>44028</v>
      </c>
    </row>
    <row r="1379" spans="1:18" x14ac:dyDescent="0.25">
      <c r="A1379" t="s">
        <v>501</v>
      </c>
      <c r="B1379" t="s">
        <v>494</v>
      </c>
      <c r="C1379">
        <v>76047265</v>
      </c>
      <c r="D1379">
        <v>337</v>
      </c>
      <c r="E1379">
        <v>30858023</v>
      </c>
      <c r="F1379" t="s">
        <v>1072</v>
      </c>
      <c r="G1379" s="1">
        <v>45237</v>
      </c>
      <c r="H1379">
        <v>5413927</v>
      </c>
      <c r="I1379">
        <v>321</v>
      </c>
      <c r="J1379" t="s">
        <v>202</v>
      </c>
      <c r="K1379" t="str">
        <f>IFERROR(IF(AND(VLOOKUP($C1379,Hes!$A:$B, 1, FALSE), $M1379&lt;&gt;" "), "Ingresada", "Falta Ingresar"), " ")</f>
        <v xml:space="preserve"> </v>
      </c>
      <c r="L1379" s="4" t="str">
        <f>IFERROR(VLOOKUP($C1379,Observaciones!$A:$B,2,FALSE)," ")</f>
        <v xml:space="preserve"> </v>
      </c>
      <c r="M1379" t="s">
        <v>681</v>
      </c>
      <c r="O1379" s="5">
        <v>30858023</v>
      </c>
      <c r="P1379" s="5">
        <v>36599</v>
      </c>
      <c r="Q1379" s="5">
        <v>6954</v>
      </c>
      <c r="R1379" s="5">
        <v>43553</v>
      </c>
    </row>
    <row r="1380" spans="1:18" x14ac:dyDescent="0.25">
      <c r="A1380" t="s">
        <v>501</v>
      </c>
      <c r="B1380" t="s">
        <v>494</v>
      </c>
      <c r="C1380">
        <v>76047265</v>
      </c>
      <c r="D1380">
        <v>1396</v>
      </c>
      <c r="E1380">
        <v>30857950</v>
      </c>
      <c r="F1380" t="s">
        <v>1072</v>
      </c>
      <c r="G1380" s="1">
        <v>45237</v>
      </c>
      <c r="H1380">
        <v>5413929</v>
      </c>
      <c r="I1380">
        <v>321</v>
      </c>
      <c r="J1380" t="s">
        <v>202</v>
      </c>
      <c r="K1380" t="str">
        <f>IFERROR(IF(AND(VLOOKUP($C1380,Hes!$A:$B, 1, FALSE), $M1380&lt;&gt;" "), "Ingresada", "Falta Ingresar"), " ")</f>
        <v xml:space="preserve"> </v>
      </c>
      <c r="L1380" s="4" t="str">
        <f>IFERROR(VLOOKUP($C1380,Observaciones!$A:$B,2,FALSE)," ")</f>
        <v xml:space="preserve"> </v>
      </c>
      <c r="M1380" t="s">
        <v>681</v>
      </c>
      <c r="O1380" s="5">
        <v>30857950</v>
      </c>
      <c r="P1380" s="5">
        <v>36525</v>
      </c>
      <c r="Q1380" s="5">
        <v>6940</v>
      </c>
      <c r="R1380" s="5">
        <v>43465</v>
      </c>
    </row>
    <row r="1381" spans="1:18" x14ac:dyDescent="0.25">
      <c r="A1381" t="s">
        <v>501</v>
      </c>
      <c r="B1381" t="s">
        <v>494</v>
      </c>
      <c r="C1381">
        <v>76047265</v>
      </c>
      <c r="D1381">
        <v>429</v>
      </c>
      <c r="E1381">
        <v>30858034</v>
      </c>
      <c r="F1381" t="s">
        <v>1072</v>
      </c>
      <c r="G1381" s="1">
        <v>45237</v>
      </c>
      <c r="H1381">
        <v>5413932</v>
      </c>
      <c r="I1381">
        <v>321</v>
      </c>
      <c r="J1381" t="s">
        <v>202</v>
      </c>
      <c r="K1381" t="str">
        <f>IFERROR(IF(AND(VLOOKUP($C1381,Hes!$A:$B, 1, FALSE), $M1381&lt;&gt;" "), "Ingresada", "Falta Ingresar"), " ")</f>
        <v xml:space="preserve"> </v>
      </c>
      <c r="L1381" s="4" t="str">
        <f>IFERROR(VLOOKUP($C1381,Observaciones!$A:$B,2,FALSE)," ")</f>
        <v xml:space="preserve"> </v>
      </c>
      <c r="M1381" t="s">
        <v>681</v>
      </c>
      <c r="O1381" s="5">
        <v>30858034</v>
      </c>
      <c r="P1381" s="5">
        <v>36630</v>
      </c>
      <c r="Q1381" s="5">
        <v>6960</v>
      </c>
      <c r="R1381" s="5">
        <v>43590</v>
      </c>
    </row>
    <row r="1382" spans="1:18" x14ac:dyDescent="0.25">
      <c r="A1382" t="s">
        <v>501</v>
      </c>
      <c r="B1382" t="s">
        <v>494</v>
      </c>
      <c r="C1382">
        <v>76047265</v>
      </c>
      <c r="D1382">
        <v>280</v>
      </c>
      <c r="E1382">
        <v>30858263</v>
      </c>
      <c r="F1382" t="s">
        <v>1072</v>
      </c>
      <c r="G1382" s="1">
        <v>45237</v>
      </c>
      <c r="H1382">
        <v>5413954</v>
      </c>
      <c r="I1382">
        <v>321</v>
      </c>
      <c r="J1382" t="s">
        <v>202</v>
      </c>
      <c r="K1382" t="str">
        <f>IFERROR(IF(AND(VLOOKUP($C1382,Hes!$A:$B, 1, FALSE), $M1382&lt;&gt;" "), "Ingresada", "Falta Ingresar"), " ")</f>
        <v xml:space="preserve"> </v>
      </c>
      <c r="L1382" s="4" t="str">
        <f>IFERROR(VLOOKUP($C1382,Observaciones!$A:$B,2,FALSE)," ")</f>
        <v xml:space="preserve"> </v>
      </c>
      <c r="M1382" t="s">
        <v>681</v>
      </c>
      <c r="O1382" s="5">
        <v>30858263</v>
      </c>
      <c r="P1382" s="5">
        <v>46952</v>
      </c>
      <c r="Q1382" s="5">
        <v>8921</v>
      </c>
      <c r="R1382" s="5">
        <v>55873</v>
      </c>
    </row>
    <row r="1383" spans="1:18" x14ac:dyDescent="0.25">
      <c r="A1383" t="s">
        <v>501</v>
      </c>
      <c r="B1383" t="s">
        <v>494</v>
      </c>
      <c r="C1383">
        <v>76047265</v>
      </c>
      <c r="D1383">
        <v>290</v>
      </c>
      <c r="E1383">
        <v>30858265</v>
      </c>
      <c r="F1383" t="s">
        <v>1072</v>
      </c>
      <c r="G1383" s="1">
        <v>45237</v>
      </c>
      <c r="H1383">
        <v>5413996</v>
      </c>
      <c r="I1383">
        <v>321</v>
      </c>
      <c r="J1383" t="s">
        <v>202</v>
      </c>
      <c r="K1383" t="str">
        <f>IFERROR(IF(AND(VLOOKUP($C1383,Hes!$A:$B, 1, FALSE), $M1383&lt;&gt;" "), "Ingresada", "Falta Ingresar"), " ")</f>
        <v xml:space="preserve"> </v>
      </c>
      <c r="L1383" s="4" t="str">
        <f>IFERROR(VLOOKUP($C1383,Observaciones!$A:$B,2,FALSE)," ")</f>
        <v xml:space="preserve"> </v>
      </c>
      <c r="M1383" t="s">
        <v>681</v>
      </c>
      <c r="O1383" s="5">
        <v>30858265</v>
      </c>
      <c r="P1383" s="5">
        <v>36999</v>
      </c>
      <c r="Q1383" s="5">
        <v>7030</v>
      </c>
      <c r="R1383" s="5">
        <v>44029</v>
      </c>
    </row>
    <row r="1384" spans="1:18" x14ac:dyDescent="0.25">
      <c r="A1384" t="s">
        <v>501</v>
      </c>
      <c r="B1384" t="s">
        <v>494</v>
      </c>
      <c r="C1384">
        <v>76047265</v>
      </c>
      <c r="D1384">
        <v>803</v>
      </c>
      <c r="E1384">
        <v>30858264</v>
      </c>
      <c r="F1384" t="s">
        <v>1072</v>
      </c>
      <c r="G1384" s="1">
        <v>45237</v>
      </c>
      <c r="H1384">
        <v>5414004</v>
      </c>
      <c r="I1384">
        <v>321</v>
      </c>
      <c r="J1384" t="s">
        <v>202</v>
      </c>
      <c r="K1384" t="str">
        <f>IFERROR(IF(AND(VLOOKUP($C1384,Hes!$A:$B, 1, FALSE), $M1384&lt;&gt;" "), "Ingresada", "Falta Ingresar"), " ")</f>
        <v xml:space="preserve"> </v>
      </c>
      <c r="L1384" s="4" t="str">
        <f>IFERROR(VLOOKUP($C1384,Observaciones!$A:$B,2,FALSE)," ")</f>
        <v xml:space="preserve"> </v>
      </c>
      <c r="M1384" t="s">
        <v>681</v>
      </c>
      <c r="O1384" s="5">
        <v>30858264</v>
      </c>
      <c r="P1384" s="5">
        <v>36789</v>
      </c>
      <c r="Q1384" s="5">
        <v>6990</v>
      </c>
      <c r="R1384" s="5">
        <v>43779</v>
      </c>
    </row>
    <row r="1385" spans="1:18" x14ac:dyDescent="0.25">
      <c r="A1385" t="s">
        <v>501</v>
      </c>
      <c r="B1385" t="s">
        <v>494</v>
      </c>
      <c r="C1385">
        <v>76047265</v>
      </c>
      <c r="D1385">
        <v>321</v>
      </c>
      <c r="E1385">
        <v>30858260</v>
      </c>
      <c r="F1385" t="s">
        <v>1072</v>
      </c>
      <c r="G1385" s="1">
        <v>45237</v>
      </c>
      <c r="H1385">
        <v>5414005</v>
      </c>
      <c r="I1385">
        <v>321</v>
      </c>
      <c r="J1385" t="s">
        <v>202</v>
      </c>
      <c r="K1385" t="str">
        <f>IFERROR(IF(AND(VLOOKUP($C1385,Hes!$A:$B, 1, FALSE), $M1385&lt;&gt;" "), "Ingresada", "Falta Ingresar"), " ")</f>
        <v xml:space="preserve"> </v>
      </c>
      <c r="L1385" s="4" t="str">
        <f>IFERROR(VLOOKUP($C1385,Observaciones!$A:$B,2,FALSE)," ")</f>
        <v xml:space="preserve"> </v>
      </c>
      <c r="M1385" t="s">
        <v>681</v>
      </c>
      <c r="O1385" s="5">
        <v>30858260</v>
      </c>
      <c r="P1385" s="5">
        <v>49756</v>
      </c>
      <c r="Q1385" s="5">
        <v>9454</v>
      </c>
      <c r="R1385" s="5">
        <v>59210</v>
      </c>
    </row>
    <row r="1386" spans="1:18" x14ac:dyDescent="0.25">
      <c r="A1386" t="s">
        <v>501</v>
      </c>
      <c r="B1386" t="s">
        <v>494</v>
      </c>
      <c r="C1386">
        <v>76047265</v>
      </c>
      <c r="D1386">
        <v>1076</v>
      </c>
      <c r="E1386">
        <v>30858261</v>
      </c>
      <c r="F1386" t="s">
        <v>1072</v>
      </c>
      <c r="G1386" s="1">
        <v>45237</v>
      </c>
      <c r="H1386">
        <v>5414013</v>
      </c>
      <c r="I1386">
        <v>321</v>
      </c>
      <c r="J1386" t="s">
        <v>202</v>
      </c>
      <c r="K1386" t="str">
        <f>IFERROR(IF(AND(VLOOKUP($C1386,Hes!$A:$B, 1, FALSE), $M1386&lt;&gt;" "), "Ingresada", "Falta Ingresar"), " ")</f>
        <v xml:space="preserve"> </v>
      </c>
      <c r="L1386" s="4" t="str">
        <f>IFERROR(VLOOKUP($C1386,Observaciones!$A:$B,2,FALSE)," ")</f>
        <v xml:space="preserve"> </v>
      </c>
      <c r="M1386" t="s">
        <v>681</v>
      </c>
      <c r="O1386" s="5">
        <v>30858261</v>
      </c>
      <c r="P1386" s="5">
        <v>49823</v>
      </c>
      <c r="Q1386" s="5">
        <v>9466</v>
      </c>
      <c r="R1386" s="5">
        <v>59289</v>
      </c>
    </row>
    <row r="1387" spans="1:18" x14ac:dyDescent="0.25">
      <c r="A1387" t="s">
        <v>501</v>
      </c>
      <c r="B1387" t="s">
        <v>494</v>
      </c>
      <c r="C1387">
        <v>76047265</v>
      </c>
      <c r="D1387">
        <v>1321</v>
      </c>
      <c r="E1387">
        <v>30858262</v>
      </c>
      <c r="F1387" t="s">
        <v>1072</v>
      </c>
      <c r="G1387" s="1">
        <v>45237</v>
      </c>
      <c r="H1387">
        <v>5414059</v>
      </c>
      <c r="I1387">
        <v>321</v>
      </c>
      <c r="J1387" t="s">
        <v>202</v>
      </c>
      <c r="K1387" t="str">
        <f>IFERROR(IF(AND(VLOOKUP($C1387,Hes!$A:$B, 1, FALSE), $M1387&lt;&gt;" "), "Ingresada", "Falta Ingresar"), " ")</f>
        <v xml:space="preserve"> </v>
      </c>
      <c r="L1387" s="4" t="str">
        <f>IFERROR(VLOOKUP($C1387,Observaciones!$A:$B,2,FALSE)," ")</f>
        <v xml:space="preserve"> </v>
      </c>
      <c r="M1387" t="s">
        <v>681</v>
      </c>
      <c r="O1387" s="5">
        <v>30858262</v>
      </c>
      <c r="P1387" s="5">
        <v>46476</v>
      </c>
      <c r="Q1387" s="5">
        <v>8830</v>
      </c>
      <c r="R1387" s="5">
        <v>55306</v>
      </c>
    </row>
    <row r="1388" spans="1:18" x14ac:dyDescent="0.25">
      <c r="A1388" t="s">
        <v>501</v>
      </c>
      <c r="B1388" t="s">
        <v>494</v>
      </c>
      <c r="C1388">
        <v>76047265</v>
      </c>
      <c r="D1388">
        <v>1320</v>
      </c>
      <c r="E1388">
        <v>30857934</v>
      </c>
      <c r="F1388" t="s">
        <v>1072</v>
      </c>
      <c r="G1388" s="1">
        <v>45238</v>
      </c>
      <c r="H1388">
        <v>5414558</v>
      </c>
      <c r="I1388">
        <v>321</v>
      </c>
      <c r="J1388" t="s">
        <v>202</v>
      </c>
      <c r="K1388" t="str">
        <f>IFERROR(IF(AND(VLOOKUP($C1388,Hes!$A:$B, 1, FALSE), $M1388&lt;&gt;" "), "Ingresada", "Falta Ingresar"), " ")</f>
        <v xml:space="preserve"> </v>
      </c>
      <c r="L1388" s="4" t="str">
        <f>IFERROR(VLOOKUP($C1388,Observaciones!$A:$B,2,FALSE)," ")</f>
        <v xml:space="preserve"> </v>
      </c>
      <c r="M1388" t="s">
        <v>681</v>
      </c>
      <c r="O1388" s="5">
        <v>30857934</v>
      </c>
      <c r="P1388" s="5">
        <v>35407</v>
      </c>
      <c r="Q1388" s="5">
        <v>6727</v>
      </c>
      <c r="R1388" s="5">
        <v>42134</v>
      </c>
    </row>
    <row r="1389" spans="1:18" x14ac:dyDescent="0.25">
      <c r="A1389" t="s">
        <v>501</v>
      </c>
      <c r="B1389" t="s">
        <v>494</v>
      </c>
      <c r="C1389">
        <v>76047265</v>
      </c>
      <c r="D1389">
        <v>752</v>
      </c>
      <c r="E1389">
        <v>30857947</v>
      </c>
      <c r="F1389" t="s">
        <v>1072</v>
      </c>
      <c r="G1389" s="1">
        <v>45238</v>
      </c>
      <c r="H1389">
        <v>5414559</v>
      </c>
      <c r="I1389">
        <v>321</v>
      </c>
      <c r="J1389" t="s">
        <v>202</v>
      </c>
      <c r="K1389" t="str">
        <f>IFERROR(IF(AND(VLOOKUP($C1389,Hes!$A:$B, 1, FALSE), $M1389&lt;&gt;" "), "Ingresada", "Falta Ingresar"), " ")</f>
        <v xml:space="preserve"> </v>
      </c>
      <c r="L1389" s="4" t="str">
        <f>IFERROR(VLOOKUP($C1389,Observaciones!$A:$B,2,FALSE)," ")</f>
        <v xml:space="preserve"> </v>
      </c>
      <c r="M1389" t="s">
        <v>681</v>
      </c>
      <c r="O1389" s="5">
        <v>30857947</v>
      </c>
      <c r="P1389" s="5">
        <v>49691</v>
      </c>
      <c r="Q1389" s="5">
        <v>9441</v>
      </c>
      <c r="R1389" s="5">
        <v>59132</v>
      </c>
    </row>
    <row r="1390" spans="1:18" x14ac:dyDescent="0.25">
      <c r="A1390" t="s">
        <v>501</v>
      </c>
      <c r="B1390" t="s">
        <v>494</v>
      </c>
      <c r="C1390">
        <v>76047265</v>
      </c>
      <c r="D1390">
        <v>1079</v>
      </c>
      <c r="E1390">
        <v>30858009</v>
      </c>
      <c r="F1390" t="s">
        <v>1072</v>
      </c>
      <c r="G1390" s="1">
        <v>45238</v>
      </c>
      <c r="H1390">
        <v>5414574</v>
      </c>
      <c r="I1390">
        <v>321</v>
      </c>
      <c r="J1390" t="s">
        <v>202</v>
      </c>
      <c r="K1390" t="str">
        <f>IFERROR(IF(AND(VLOOKUP($C1390,Hes!$A:$B, 1, FALSE), $M1390&lt;&gt;" "), "Ingresada", "Falta Ingresar"), " ")</f>
        <v xml:space="preserve"> </v>
      </c>
      <c r="L1390" s="4" t="str">
        <f>IFERROR(VLOOKUP($C1390,Observaciones!$A:$B,2,FALSE)," ")</f>
        <v xml:space="preserve"> </v>
      </c>
      <c r="M1390" t="s">
        <v>681</v>
      </c>
      <c r="O1390" s="5">
        <v>30858009</v>
      </c>
      <c r="P1390" s="5">
        <v>36961</v>
      </c>
      <c r="Q1390" s="5">
        <v>7023</v>
      </c>
      <c r="R1390" s="5">
        <v>43984</v>
      </c>
    </row>
    <row r="1391" spans="1:18" x14ac:dyDescent="0.25">
      <c r="A1391" t="s">
        <v>501</v>
      </c>
      <c r="B1391" t="s">
        <v>494</v>
      </c>
      <c r="C1391">
        <v>76047265</v>
      </c>
      <c r="D1391">
        <v>277</v>
      </c>
      <c r="E1391">
        <v>30858038</v>
      </c>
      <c r="F1391" t="s">
        <v>1072</v>
      </c>
      <c r="G1391" s="1">
        <v>45238</v>
      </c>
      <c r="H1391">
        <v>5414603</v>
      </c>
      <c r="I1391">
        <v>321</v>
      </c>
      <c r="J1391" t="s">
        <v>202</v>
      </c>
      <c r="K1391" t="str">
        <f>IFERROR(IF(AND(VLOOKUP($C1391,Hes!$A:$B, 1, FALSE), $M1391&lt;&gt;" "), "Ingresada", "Falta Ingresar"), " ")</f>
        <v xml:space="preserve"> </v>
      </c>
      <c r="L1391" s="4" t="str">
        <f>IFERROR(VLOOKUP($C1391,Observaciones!$A:$B,2,FALSE)," ")</f>
        <v xml:space="preserve"> </v>
      </c>
      <c r="M1391" t="s">
        <v>681</v>
      </c>
      <c r="O1391" s="5">
        <v>30858038</v>
      </c>
      <c r="P1391" s="5">
        <v>36882</v>
      </c>
      <c r="Q1391" s="5">
        <v>7008</v>
      </c>
      <c r="R1391" s="5">
        <v>43890</v>
      </c>
    </row>
    <row r="1392" spans="1:18" x14ac:dyDescent="0.25">
      <c r="A1392" t="s">
        <v>501</v>
      </c>
      <c r="B1392" t="s">
        <v>494</v>
      </c>
      <c r="C1392">
        <v>76047265</v>
      </c>
      <c r="D1392">
        <v>405</v>
      </c>
      <c r="E1392">
        <v>30858013</v>
      </c>
      <c r="F1392" t="s">
        <v>1072</v>
      </c>
      <c r="G1392" s="1">
        <v>45238</v>
      </c>
      <c r="H1392">
        <v>5414639</v>
      </c>
      <c r="I1392">
        <v>321</v>
      </c>
      <c r="J1392" t="s">
        <v>202</v>
      </c>
      <c r="K1392" t="str">
        <f>IFERROR(IF(AND(VLOOKUP($C1392,Hes!$A:$B, 1, FALSE), $M1392&lt;&gt;" "), "Ingresada", "Falta Ingresar"), " ")</f>
        <v xml:space="preserve"> </v>
      </c>
      <c r="L1392" s="4" t="str">
        <f>IFERROR(VLOOKUP($C1392,Observaciones!$A:$B,2,FALSE)," ")</f>
        <v xml:space="preserve"> </v>
      </c>
      <c r="M1392" t="s">
        <v>681</v>
      </c>
      <c r="O1392" s="5">
        <v>30858013</v>
      </c>
      <c r="P1392" s="5">
        <v>36935</v>
      </c>
      <c r="Q1392" s="5">
        <v>7018</v>
      </c>
      <c r="R1392" s="5">
        <v>43953</v>
      </c>
    </row>
    <row r="1393" spans="1:18" x14ac:dyDescent="0.25">
      <c r="A1393" t="s">
        <v>501</v>
      </c>
      <c r="B1393" t="s">
        <v>494</v>
      </c>
      <c r="C1393">
        <v>76047265</v>
      </c>
      <c r="D1393">
        <v>428</v>
      </c>
      <c r="E1393">
        <v>30858046</v>
      </c>
      <c r="F1393" t="s">
        <v>1072</v>
      </c>
      <c r="G1393" s="1">
        <v>45238</v>
      </c>
      <c r="H1393">
        <v>5414681</v>
      </c>
      <c r="I1393">
        <v>321</v>
      </c>
      <c r="J1393" t="s">
        <v>202</v>
      </c>
      <c r="K1393" t="str">
        <f>IFERROR(IF(AND(VLOOKUP($C1393,Hes!$A:$B, 1, FALSE), $M1393&lt;&gt;" "), "Ingresada", "Falta Ingresar"), " ")</f>
        <v xml:space="preserve"> </v>
      </c>
      <c r="L1393" s="4" t="str">
        <f>IFERROR(VLOOKUP($C1393,Observaciones!$A:$B,2,FALSE)," ")</f>
        <v xml:space="preserve"> </v>
      </c>
      <c r="M1393" t="s">
        <v>681</v>
      </c>
      <c r="O1393" s="5">
        <v>30858046</v>
      </c>
      <c r="P1393" s="5">
        <v>36817</v>
      </c>
      <c r="Q1393" s="5">
        <v>6995</v>
      </c>
      <c r="R1393" s="5">
        <v>43812</v>
      </c>
    </row>
    <row r="1394" spans="1:18" x14ac:dyDescent="0.25">
      <c r="A1394" t="s">
        <v>501</v>
      </c>
      <c r="B1394" t="s">
        <v>494</v>
      </c>
      <c r="C1394">
        <v>76047265</v>
      </c>
      <c r="D1394">
        <v>871</v>
      </c>
      <c r="E1394">
        <v>30858050</v>
      </c>
      <c r="F1394" t="s">
        <v>1072</v>
      </c>
      <c r="G1394" s="1">
        <v>45238</v>
      </c>
      <c r="H1394">
        <v>5414701</v>
      </c>
      <c r="I1394">
        <v>321</v>
      </c>
      <c r="J1394" t="s">
        <v>202</v>
      </c>
      <c r="K1394" t="str">
        <f>IFERROR(IF(AND(VLOOKUP($C1394,Hes!$A:$B, 1, FALSE), $M1394&lt;&gt;" "), "Ingresada", "Falta Ingresar"), " ")</f>
        <v xml:space="preserve"> </v>
      </c>
      <c r="L1394" s="4" t="str">
        <f>IFERROR(VLOOKUP($C1394,Observaciones!$A:$B,2,FALSE)," ")</f>
        <v xml:space="preserve"> </v>
      </c>
      <c r="M1394" t="s">
        <v>681</v>
      </c>
      <c r="O1394" s="5">
        <v>30858050</v>
      </c>
      <c r="P1394" s="5">
        <v>34944</v>
      </c>
      <c r="Q1394" s="5">
        <v>6639</v>
      </c>
      <c r="R1394" s="5">
        <v>41583</v>
      </c>
    </row>
    <row r="1395" spans="1:18" x14ac:dyDescent="0.25">
      <c r="A1395" t="s">
        <v>501</v>
      </c>
      <c r="B1395" t="s">
        <v>494</v>
      </c>
      <c r="C1395">
        <v>76047265</v>
      </c>
      <c r="D1395">
        <v>276</v>
      </c>
      <c r="E1395">
        <v>30858266</v>
      </c>
      <c r="F1395" t="s">
        <v>1072</v>
      </c>
      <c r="G1395" s="1">
        <v>45237</v>
      </c>
      <c r="H1395">
        <v>5415069</v>
      </c>
      <c r="I1395">
        <v>321</v>
      </c>
      <c r="J1395" t="s">
        <v>202</v>
      </c>
      <c r="K1395" t="str">
        <f>IFERROR(IF(AND(VLOOKUP($C1395,Hes!$A:$B, 1, FALSE), $M1395&lt;&gt;" "), "Ingresada", "Falta Ingresar"), " ")</f>
        <v xml:space="preserve"> </v>
      </c>
      <c r="L1395" s="4" t="str">
        <f>IFERROR(VLOOKUP($C1395,Observaciones!$A:$B,2,FALSE)," ")</f>
        <v xml:space="preserve"> </v>
      </c>
      <c r="M1395" t="s">
        <v>681</v>
      </c>
      <c r="O1395" s="5">
        <v>30858266</v>
      </c>
      <c r="P1395" s="5">
        <v>36882</v>
      </c>
      <c r="Q1395" s="5">
        <v>7008</v>
      </c>
      <c r="R1395" s="5">
        <v>43890</v>
      </c>
    </row>
    <row r="1396" spans="1:18" x14ac:dyDescent="0.25">
      <c r="A1396" t="s">
        <v>501</v>
      </c>
      <c r="B1396" t="s">
        <v>494</v>
      </c>
      <c r="C1396">
        <v>76047265</v>
      </c>
      <c r="D1396">
        <v>289</v>
      </c>
      <c r="E1396">
        <v>30860433</v>
      </c>
      <c r="F1396" t="s">
        <v>1072</v>
      </c>
      <c r="G1396" s="1">
        <v>45238</v>
      </c>
      <c r="H1396">
        <v>5415114</v>
      </c>
      <c r="I1396">
        <v>321</v>
      </c>
      <c r="J1396" t="s">
        <v>202</v>
      </c>
      <c r="K1396" t="str">
        <f>IFERROR(IF(AND(VLOOKUP($C1396,Hes!$A:$B, 1, FALSE), $M1396&lt;&gt;" "), "Ingresada", "Falta Ingresar"), " ")</f>
        <v xml:space="preserve"> </v>
      </c>
      <c r="L1396" s="4" t="str">
        <f>IFERROR(VLOOKUP($C1396,Observaciones!$A:$B,2,FALSE)," ")</f>
        <v xml:space="preserve"> </v>
      </c>
      <c r="M1396" t="s">
        <v>681</v>
      </c>
      <c r="O1396" s="5">
        <v>30860433</v>
      </c>
      <c r="P1396" s="5">
        <v>297529</v>
      </c>
      <c r="Q1396" s="5">
        <v>56531</v>
      </c>
      <c r="R1396" s="5">
        <v>361300</v>
      </c>
    </row>
    <row r="1397" spans="1:18" x14ac:dyDescent="0.25">
      <c r="F1397" t="s">
        <v>1073</v>
      </c>
      <c r="K1397" t="str">
        <f>IFERROR(IF(AND(VLOOKUP($C1397,Hes!$A:$B, 1, FALSE), $M1397&lt;&gt;" "), "Ingresada", "Falta Ingresar"), " ")</f>
        <v xml:space="preserve"> </v>
      </c>
      <c r="L1397" s="4" t="str">
        <f>IFERROR(VLOOKUP($C1397,Observaciones!$A:$B,2,FALSE)," ")</f>
        <v xml:space="preserve"> </v>
      </c>
      <c r="M1397" t="s">
        <v>681</v>
      </c>
      <c r="P1397" s="5">
        <v>1694576</v>
      </c>
      <c r="Q1397" s="5">
        <v>321972</v>
      </c>
      <c r="R1397" s="5">
        <v>2023788</v>
      </c>
    </row>
    <row r="1398" spans="1:18" x14ac:dyDescent="0.25">
      <c r="A1398" t="s">
        <v>503</v>
      </c>
      <c r="B1398" t="s">
        <v>494</v>
      </c>
      <c r="C1398">
        <v>76048251</v>
      </c>
      <c r="D1398">
        <v>20</v>
      </c>
      <c r="E1398" t="s">
        <v>1074</v>
      </c>
      <c r="F1398" t="s">
        <v>1075</v>
      </c>
      <c r="G1398" s="1">
        <v>45231</v>
      </c>
      <c r="H1398">
        <v>5410595</v>
      </c>
      <c r="I1398">
        <v>321</v>
      </c>
      <c r="J1398" t="s">
        <v>202</v>
      </c>
      <c r="K1398" t="str">
        <f>IFERROR(IF(AND(VLOOKUP($C1398,Hes!$A:$B, 1, FALSE), $M1398&lt;&gt;" "), "Ingresada", "Falta Ingresar"), " ")</f>
        <v xml:space="preserve"> </v>
      </c>
      <c r="L1398" s="4" t="s">
        <v>681</v>
      </c>
      <c r="M1398" t="s">
        <v>681</v>
      </c>
      <c r="O1398" s="5">
        <v>30845364</v>
      </c>
      <c r="P1398" s="5">
        <v>187892</v>
      </c>
      <c r="Q1398" s="5">
        <v>35699</v>
      </c>
      <c r="R1398" s="5">
        <v>223591</v>
      </c>
    </row>
    <row r="1399" spans="1:18" x14ac:dyDescent="0.25">
      <c r="A1399" t="s">
        <v>503</v>
      </c>
      <c r="B1399" t="s">
        <v>494</v>
      </c>
      <c r="C1399">
        <v>76048251</v>
      </c>
      <c r="D1399">
        <v>20</v>
      </c>
      <c r="E1399" t="s">
        <v>1074</v>
      </c>
      <c r="F1399" t="s">
        <v>1075</v>
      </c>
      <c r="G1399" s="1">
        <v>45231</v>
      </c>
      <c r="H1399">
        <v>5410596</v>
      </c>
      <c r="I1399">
        <v>321</v>
      </c>
      <c r="J1399" t="s">
        <v>202</v>
      </c>
      <c r="K1399" t="str">
        <f>IFERROR(IF(AND(VLOOKUP($C1399,Hes!$A:$B, 1, FALSE), $M1399&lt;&gt;" "), "Ingresada", "Falta Ingresar"), " ")</f>
        <v xml:space="preserve"> </v>
      </c>
      <c r="L1399" s="4" t="s">
        <v>681</v>
      </c>
      <c r="M1399" t="s">
        <v>681</v>
      </c>
      <c r="O1399" s="5">
        <v>30845364</v>
      </c>
      <c r="P1399" s="5">
        <v>35816</v>
      </c>
      <c r="Q1399" s="5">
        <v>6805</v>
      </c>
      <c r="R1399" s="5">
        <v>42621</v>
      </c>
    </row>
    <row r="1400" spans="1:18" x14ac:dyDescent="0.25">
      <c r="A1400" t="s">
        <v>503</v>
      </c>
      <c r="B1400" t="s">
        <v>494</v>
      </c>
      <c r="C1400">
        <v>76048251</v>
      </c>
      <c r="D1400">
        <v>3</v>
      </c>
      <c r="E1400" t="s">
        <v>1076</v>
      </c>
      <c r="F1400" t="s">
        <v>1075</v>
      </c>
      <c r="G1400" s="1">
        <v>45232</v>
      </c>
      <c r="H1400">
        <v>5410751</v>
      </c>
      <c r="I1400">
        <v>321</v>
      </c>
      <c r="J1400" t="s">
        <v>202</v>
      </c>
      <c r="K1400" t="str">
        <f>IFERROR(IF(AND(VLOOKUP($C1400,Hes!$A:$B, 1, FALSE), $M1400&lt;&gt;" "), "Ingresada", "Falta Ingresar"), " ")</f>
        <v xml:space="preserve"> </v>
      </c>
      <c r="L1400" s="4" t="s">
        <v>681</v>
      </c>
      <c r="M1400" t="s">
        <v>681</v>
      </c>
      <c r="O1400" s="5">
        <v>30845638</v>
      </c>
      <c r="P1400" s="5">
        <v>148166</v>
      </c>
      <c r="Q1400" s="5">
        <v>28152</v>
      </c>
      <c r="R1400" s="5">
        <v>176318</v>
      </c>
    </row>
    <row r="1401" spans="1:18" x14ac:dyDescent="0.25">
      <c r="A1401" t="s">
        <v>503</v>
      </c>
      <c r="B1401" t="s">
        <v>494</v>
      </c>
      <c r="C1401">
        <v>76048251</v>
      </c>
      <c r="D1401">
        <v>3</v>
      </c>
      <c r="E1401" t="s">
        <v>1076</v>
      </c>
      <c r="F1401" t="s">
        <v>1075</v>
      </c>
      <c r="G1401" s="1">
        <v>45232</v>
      </c>
      <c r="H1401">
        <v>5410752</v>
      </c>
      <c r="I1401">
        <v>321</v>
      </c>
      <c r="J1401" t="s">
        <v>202</v>
      </c>
      <c r="K1401" t="str">
        <f>IFERROR(IF(AND(VLOOKUP($C1401,Hes!$A:$B, 1, FALSE), $M1401&lt;&gt;" "), "Ingresada", "Falta Ingresar"), " ")</f>
        <v xml:space="preserve"> </v>
      </c>
      <c r="L1401" s="4" t="s">
        <v>681</v>
      </c>
      <c r="M1401" t="s">
        <v>681</v>
      </c>
      <c r="O1401" s="5">
        <v>30845638</v>
      </c>
      <c r="P1401" s="5">
        <v>39909</v>
      </c>
      <c r="Q1401" s="5">
        <v>7583</v>
      </c>
      <c r="R1401" s="5">
        <v>47492</v>
      </c>
    </row>
    <row r="1402" spans="1:18" x14ac:dyDescent="0.25">
      <c r="A1402" t="s">
        <v>503</v>
      </c>
      <c r="B1402" t="s">
        <v>494</v>
      </c>
      <c r="C1402">
        <v>76048251</v>
      </c>
      <c r="D1402">
        <v>25</v>
      </c>
      <c r="E1402" t="s">
        <v>1077</v>
      </c>
      <c r="F1402" t="s">
        <v>1075</v>
      </c>
      <c r="G1402" s="1">
        <v>45236</v>
      </c>
      <c r="H1402">
        <v>5413429</v>
      </c>
      <c r="I1402">
        <v>321</v>
      </c>
      <c r="J1402" t="s">
        <v>202</v>
      </c>
      <c r="K1402" t="str">
        <f>IFERROR(IF(AND(VLOOKUP($C1402,Hes!$A:$B, 1, FALSE), $M1402&lt;&gt;" "), "Ingresada", "Falta Ingresar"), " ")</f>
        <v xml:space="preserve"> </v>
      </c>
      <c r="L1402" s="4" t="s">
        <v>681</v>
      </c>
      <c r="M1402" t="s">
        <v>681</v>
      </c>
      <c r="O1402" s="5">
        <v>30856170</v>
      </c>
      <c r="P1402" s="5">
        <v>197980</v>
      </c>
      <c r="Q1402" s="5">
        <v>37616</v>
      </c>
      <c r="R1402" s="5">
        <v>235596</v>
      </c>
    </row>
    <row r="1403" spans="1:18" x14ac:dyDescent="0.25">
      <c r="A1403" t="s">
        <v>503</v>
      </c>
      <c r="B1403" t="s">
        <v>494</v>
      </c>
      <c r="C1403">
        <v>76048251</v>
      </c>
      <c r="D1403">
        <v>25</v>
      </c>
      <c r="E1403" t="s">
        <v>1077</v>
      </c>
      <c r="F1403" t="s">
        <v>1075</v>
      </c>
      <c r="G1403" s="1">
        <v>45236</v>
      </c>
      <c r="H1403">
        <v>5413430</v>
      </c>
      <c r="I1403">
        <v>321</v>
      </c>
      <c r="J1403" t="s">
        <v>202</v>
      </c>
      <c r="K1403" t="str">
        <f>IFERROR(IF(AND(VLOOKUP($C1403,Hes!$A:$B, 1, FALSE), $M1403&lt;&gt;" "), "Ingresada", "Falta Ingresar"), " ")</f>
        <v xml:space="preserve"> </v>
      </c>
      <c r="L1403" s="4" t="s">
        <v>681</v>
      </c>
      <c r="M1403" t="s">
        <v>681</v>
      </c>
      <c r="O1403" s="5">
        <v>30856170</v>
      </c>
      <c r="P1403" s="5">
        <v>6384</v>
      </c>
      <c r="Q1403" s="5">
        <v>1213</v>
      </c>
      <c r="R1403" s="5">
        <v>7597</v>
      </c>
    </row>
    <row r="1404" spans="1:18" x14ac:dyDescent="0.25">
      <c r="F1404" t="s">
        <v>523</v>
      </c>
      <c r="K1404" t="str">
        <f>IFERROR(IF(AND(VLOOKUP($C1404,Hes!$A:$B, 1, FALSE), $M1404&lt;&gt;" "), "Ingresada", "Falta Ingresar"), " ")</f>
        <v xml:space="preserve"> </v>
      </c>
      <c r="L1404" s="4" t="str">
        <f>IFERROR(VLOOKUP($C1404,Observaciones!$A:$B,2,FALSE)," ")</f>
        <v xml:space="preserve"> </v>
      </c>
      <c r="M1404" t="s">
        <v>681</v>
      </c>
      <c r="P1404" s="5">
        <v>616147</v>
      </c>
      <c r="Q1404" s="5">
        <v>117068</v>
      </c>
      <c r="R1404" s="5">
        <v>733215</v>
      </c>
    </row>
    <row r="1405" spans="1:18" x14ac:dyDescent="0.25">
      <c r="A1405" t="s">
        <v>1078</v>
      </c>
      <c r="B1405" t="s">
        <v>494</v>
      </c>
      <c r="C1405">
        <v>76048270</v>
      </c>
      <c r="D1405">
        <v>0</v>
      </c>
      <c r="E1405" t="s">
        <v>1079</v>
      </c>
      <c r="F1405" t="s">
        <v>1080</v>
      </c>
      <c r="G1405" s="1">
        <v>45237</v>
      </c>
      <c r="H1405">
        <v>5414441</v>
      </c>
      <c r="I1405">
        <v>5</v>
      </c>
      <c r="J1405" t="s">
        <v>374</v>
      </c>
      <c r="K1405" t="str">
        <f>IFERROR(IF(AND(VLOOKUP($C1405,Hes!$A:$B, 1, FALSE), $M1405&lt;&gt;" "), "Ingresada", "Falta Ingresar"), " ")</f>
        <v xml:space="preserve"> </v>
      </c>
      <c r="L1405" s="4" t="str">
        <f>IFERROR(VLOOKUP($C1405,Observaciones!$A:$B,2,FALSE)," ")</f>
        <v xml:space="preserve"> </v>
      </c>
      <c r="M1405" t="s">
        <v>681</v>
      </c>
      <c r="O1405" s="5">
        <v>30855892</v>
      </c>
      <c r="P1405" s="5">
        <v>211899</v>
      </c>
      <c r="Q1405" s="5">
        <v>40261</v>
      </c>
      <c r="R1405" s="5">
        <v>257344</v>
      </c>
    </row>
    <row r="1406" spans="1:18" x14ac:dyDescent="0.25">
      <c r="F1406" t="s">
        <v>495</v>
      </c>
      <c r="K1406" t="str">
        <f>IFERROR(IF(AND(VLOOKUP($C1406,Hes!$A:$B, 1, FALSE), $M1406&lt;&gt;" "), "Ingresada", "Falta Ingresar"), " ")</f>
        <v xml:space="preserve"> </v>
      </c>
      <c r="L1406" s="4" t="str">
        <f>IFERROR(VLOOKUP($C1406,Observaciones!$A:$B,2,FALSE)," ")</f>
        <v xml:space="preserve"> </v>
      </c>
      <c r="M1406" t="s">
        <v>681</v>
      </c>
      <c r="P1406" s="5">
        <v>211899</v>
      </c>
      <c r="Q1406" s="5">
        <v>40261</v>
      </c>
      <c r="R1406" s="5">
        <v>257344</v>
      </c>
    </row>
    <row r="1407" spans="1:18" x14ac:dyDescent="0.25">
      <c r="A1407" t="s">
        <v>496</v>
      </c>
      <c r="B1407" t="s">
        <v>494</v>
      </c>
      <c r="C1407">
        <v>76050301</v>
      </c>
      <c r="D1407">
        <v>4</v>
      </c>
      <c r="E1407">
        <v>170368</v>
      </c>
      <c r="F1407" t="s">
        <v>1081</v>
      </c>
      <c r="G1407" s="1">
        <v>45237</v>
      </c>
      <c r="H1407">
        <v>5414497</v>
      </c>
      <c r="I1407">
        <v>91</v>
      </c>
      <c r="J1407" t="s">
        <v>172</v>
      </c>
      <c r="K1407" t="str">
        <f>IFERROR(IF(AND(VLOOKUP($C1407,Hes!$A:$B, 1, FALSE), $M1407&lt;&gt;" "), "Ingresada", "Falta Ingresar"), " ")</f>
        <v xml:space="preserve"> </v>
      </c>
      <c r="L1407" s="4" t="str">
        <f>IFERROR(VLOOKUP($C1407,Observaciones!$A:$B,2,FALSE)," ")</f>
        <v xml:space="preserve"> </v>
      </c>
      <c r="M1407" t="s">
        <v>681</v>
      </c>
      <c r="O1407" s="5">
        <v>30862688</v>
      </c>
      <c r="P1407" s="5">
        <v>31600</v>
      </c>
      <c r="Q1407" s="5">
        <v>6004</v>
      </c>
      <c r="R1407" s="5">
        <v>37604</v>
      </c>
    </row>
    <row r="1408" spans="1:18" x14ac:dyDescent="0.25">
      <c r="A1408" t="s">
        <v>496</v>
      </c>
      <c r="B1408" t="s">
        <v>494</v>
      </c>
      <c r="C1408">
        <v>76050301</v>
      </c>
      <c r="D1408">
        <v>4</v>
      </c>
      <c r="E1408">
        <v>170373</v>
      </c>
      <c r="F1408" t="s">
        <v>1081</v>
      </c>
      <c r="G1408" s="1">
        <v>45237</v>
      </c>
      <c r="H1408">
        <v>5414742</v>
      </c>
      <c r="I1408">
        <v>91</v>
      </c>
      <c r="J1408" t="s">
        <v>172</v>
      </c>
      <c r="K1408" t="str">
        <f>IFERROR(IF(AND(VLOOKUP($C1408,Hes!$A:$B, 1, FALSE), $M1408&lt;&gt;" "), "Ingresada", "Falta Ingresar"), " ")</f>
        <v xml:space="preserve"> </v>
      </c>
      <c r="L1408" s="4" t="str">
        <f>IFERROR(VLOOKUP($C1408,Observaciones!$A:$B,2,FALSE)," ")</f>
        <v xml:space="preserve"> </v>
      </c>
      <c r="M1408" t="s">
        <v>681</v>
      </c>
      <c r="O1408" s="5">
        <v>30862412</v>
      </c>
      <c r="P1408" s="5">
        <v>48200</v>
      </c>
      <c r="Q1408" s="5">
        <v>9158</v>
      </c>
      <c r="R1408" s="5">
        <v>57358</v>
      </c>
    </row>
    <row r="1409" spans="1:18" x14ac:dyDescent="0.25">
      <c r="A1409" t="s">
        <v>496</v>
      </c>
      <c r="B1409" t="s">
        <v>494</v>
      </c>
      <c r="C1409">
        <v>76050301</v>
      </c>
      <c r="D1409">
        <v>4</v>
      </c>
      <c r="E1409">
        <v>170367</v>
      </c>
      <c r="F1409" t="s">
        <v>1081</v>
      </c>
      <c r="G1409" s="1">
        <v>45237</v>
      </c>
      <c r="H1409">
        <v>5414767</v>
      </c>
      <c r="I1409">
        <v>91</v>
      </c>
      <c r="J1409" t="s">
        <v>172</v>
      </c>
      <c r="K1409" t="str">
        <f>IFERROR(IF(AND(VLOOKUP($C1409,Hes!$A:$B, 1, FALSE), $M1409&lt;&gt;" "), "Ingresada", "Falta Ingresar"), " ")</f>
        <v xml:space="preserve"> </v>
      </c>
      <c r="L1409" s="4" t="str">
        <f>IFERROR(VLOOKUP($C1409,Observaciones!$A:$B,2,FALSE)," ")</f>
        <v xml:space="preserve"> </v>
      </c>
      <c r="M1409" t="s">
        <v>681</v>
      </c>
      <c r="O1409" s="5">
        <v>30862716</v>
      </c>
      <c r="P1409" s="5">
        <v>53760</v>
      </c>
      <c r="Q1409" s="5">
        <v>10214</v>
      </c>
      <c r="R1409" s="5">
        <v>63974</v>
      </c>
    </row>
    <row r="1410" spans="1:18" x14ac:dyDescent="0.25">
      <c r="A1410" t="s">
        <v>496</v>
      </c>
      <c r="B1410" t="s">
        <v>494</v>
      </c>
      <c r="C1410">
        <v>76050301</v>
      </c>
      <c r="D1410">
        <v>2</v>
      </c>
      <c r="E1410">
        <v>170379</v>
      </c>
      <c r="F1410" t="s">
        <v>1081</v>
      </c>
      <c r="G1410" s="1">
        <v>45238</v>
      </c>
      <c r="H1410">
        <v>5414916</v>
      </c>
      <c r="I1410">
        <v>91</v>
      </c>
      <c r="J1410" t="s">
        <v>172</v>
      </c>
      <c r="K1410" t="str">
        <f>IFERROR(IF(AND(VLOOKUP($C1410,Hes!$A:$B, 1, FALSE), $M1410&lt;&gt;" "), "Ingresada", "Falta Ingresar"), " ")</f>
        <v xml:space="preserve"> </v>
      </c>
      <c r="L1410" s="4" t="str">
        <f>IFERROR(VLOOKUP($C1410,Observaciones!$A:$B,2,FALSE)," ")</f>
        <v xml:space="preserve"> </v>
      </c>
      <c r="M1410" t="s">
        <v>681</v>
      </c>
      <c r="O1410" s="5">
        <v>30860876</v>
      </c>
      <c r="P1410" s="5">
        <v>74270</v>
      </c>
      <c r="Q1410" s="5">
        <v>14111</v>
      </c>
      <c r="R1410" s="5">
        <v>88381</v>
      </c>
    </row>
    <row r="1411" spans="1:18" x14ac:dyDescent="0.25">
      <c r="A1411" t="s">
        <v>496</v>
      </c>
      <c r="B1411" t="s">
        <v>494</v>
      </c>
      <c r="C1411">
        <v>76050301</v>
      </c>
      <c r="D1411">
        <v>4</v>
      </c>
      <c r="E1411">
        <v>170364</v>
      </c>
      <c r="F1411" t="s">
        <v>1081</v>
      </c>
      <c r="G1411" s="1">
        <v>45238</v>
      </c>
      <c r="H1411">
        <v>5415149</v>
      </c>
      <c r="I1411">
        <v>91</v>
      </c>
      <c r="J1411" t="s">
        <v>172</v>
      </c>
      <c r="K1411" t="str">
        <f>IFERROR(IF(AND(VLOOKUP($C1411,Hes!$A:$B, 1, FALSE), $M1411&lt;&gt;" "), "Ingresada", "Falta Ingresar"), " ")</f>
        <v xml:space="preserve"> </v>
      </c>
      <c r="L1411" s="4" t="str">
        <f>IFERROR(VLOOKUP($C1411,Observaciones!$A:$B,2,FALSE)," ")</f>
        <v xml:space="preserve"> </v>
      </c>
      <c r="M1411" t="s">
        <v>681</v>
      </c>
      <c r="O1411" s="5">
        <v>30863996</v>
      </c>
      <c r="P1411" s="5">
        <v>12640</v>
      </c>
      <c r="Q1411" s="5">
        <v>2402</v>
      </c>
      <c r="R1411" s="5">
        <v>15042</v>
      </c>
    </row>
    <row r="1412" spans="1:18" x14ac:dyDescent="0.25">
      <c r="A1412" t="s">
        <v>496</v>
      </c>
      <c r="B1412" t="s">
        <v>494</v>
      </c>
      <c r="C1412">
        <v>76050301</v>
      </c>
      <c r="D1412">
        <v>2</v>
      </c>
      <c r="E1412">
        <v>170374</v>
      </c>
      <c r="F1412" t="s">
        <v>1081</v>
      </c>
      <c r="G1412" s="1">
        <v>45238</v>
      </c>
      <c r="H1412">
        <v>5415566</v>
      </c>
      <c r="I1412">
        <v>91</v>
      </c>
      <c r="J1412" t="s">
        <v>172</v>
      </c>
      <c r="K1412" t="str">
        <f>IFERROR(IF(AND(VLOOKUP($C1412,Hes!$A:$B, 1, FALSE), $M1412&lt;&gt;" "), "Ingresada", "Falta Ingresar"), " ")</f>
        <v xml:space="preserve"> </v>
      </c>
      <c r="L1412" s="4" t="str">
        <f>IFERROR(VLOOKUP($C1412,Observaciones!$A:$B,2,FALSE)," ")</f>
        <v xml:space="preserve"> </v>
      </c>
      <c r="M1412" t="s">
        <v>681</v>
      </c>
      <c r="O1412" s="5">
        <v>30864586</v>
      </c>
      <c r="P1412" s="5">
        <v>6320</v>
      </c>
      <c r="Q1412" s="5">
        <v>1201</v>
      </c>
      <c r="R1412" s="5">
        <v>7521</v>
      </c>
    </row>
    <row r="1413" spans="1:18" x14ac:dyDescent="0.25">
      <c r="F1413" t="s">
        <v>523</v>
      </c>
      <c r="K1413" t="str">
        <f>IFERROR(IF(AND(VLOOKUP($C1413,Hes!$A:$B, 1, FALSE), $M1413&lt;&gt;" "), "Ingresada", "Falta Ingresar"), " ")</f>
        <v xml:space="preserve"> </v>
      </c>
      <c r="L1413" s="4" t="str">
        <f>IFERROR(VLOOKUP($C1413,Observaciones!$A:$B,2,FALSE)," ")</f>
        <v xml:space="preserve"> </v>
      </c>
      <c r="M1413" t="s">
        <v>681</v>
      </c>
      <c r="P1413" s="5">
        <v>226790</v>
      </c>
      <c r="Q1413" s="5">
        <v>43090</v>
      </c>
      <c r="R1413" s="5">
        <v>269880</v>
      </c>
    </row>
    <row r="1414" spans="1:18" x14ac:dyDescent="0.25">
      <c r="A1414" t="s">
        <v>501</v>
      </c>
      <c r="B1414" t="s">
        <v>494</v>
      </c>
      <c r="C1414">
        <v>76058647</v>
      </c>
      <c r="D1414">
        <v>5</v>
      </c>
      <c r="E1414">
        <v>30841217</v>
      </c>
      <c r="F1414" t="s">
        <v>1082</v>
      </c>
      <c r="G1414" s="1">
        <v>45231</v>
      </c>
      <c r="H1414">
        <v>5410585</v>
      </c>
      <c r="I1414">
        <v>93</v>
      </c>
      <c r="J1414" t="s">
        <v>356</v>
      </c>
      <c r="K1414" t="str">
        <f>IFERROR(IF(AND(VLOOKUP($C1414,Hes!$A:$B, 1, FALSE), $M1414&lt;&gt;" "), "Ingresada", "Falta Ingresar"), " ")</f>
        <v xml:space="preserve"> </v>
      </c>
      <c r="L1414" s="4" t="str">
        <f>IFERROR(VLOOKUP($C1414,Observaciones!$A:$B,2,FALSE)," ")</f>
        <v xml:space="preserve"> </v>
      </c>
      <c r="M1414" t="s">
        <v>681</v>
      </c>
      <c r="O1414" s="5">
        <v>30841217</v>
      </c>
      <c r="P1414" s="5">
        <v>29932</v>
      </c>
      <c r="Q1414" s="5">
        <v>5687</v>
      </c>
      <c r="R1414" s="5">
        <v>35619</v>
      </c>
    </row>
    <row r="1415" spans="1:18" x14ac:dyDescent="0.25">
      <c r="A1415" t="s">
        <v>501</v>
      </c>
      <c r="B1415" t="s">
        <v>494</v>
      </c>
      <c r="C1415">
        <v>76058647</v>
      </c>
      <c r="D1415">
        <v>78</v>
      </c>
      <c r="E1415">
        <v>30840477</v>
      </c>
      <c r="F1415" t="s">
        <v>1082</v>
      </c>
      <c r="G1415" s="1">
        <v>45231</v>
      </c>
      <c r="H1415">
        <v>5410619</v>
      </c>
      <c r="I1415">
        <v>93</v>
      </c>
      <c r="J1415" t="s">
        <v>356</v>
      </c>
      <c r="K1415" t="str">
        <f>IFERROR(IF(AND(VLOOKUP($C1415,Hes!$A:$B, 1, FALSE), $M1415&lt;&gt;" "), "Ingresada", "Falta Ingresar"), " ")</f>
        <v xml:space="preserve"> </v>
      </c>
      <c r="L1415" s="4" t="str">
        <f>IFERROR(VLOOKUP($C1415,Observaciones!$A:$B,2,FALSE)," ")</f>
        <v xml:space="preserve"> </v>
      </c>
      <c r="M1415" t="s">
        <v>681</v>
      </c>
      <c r="O1415" s="5">
        <v>30840477</v>
      </c>
      <c r="P1415" s="5">
        <v>25638</v>
      </c>
      <c r="Q1415" s="5">
        <v>4871</v>
      </c>
      <c r="R1415" s="5">
        <v>30509</v>
      </c>
    </row>
    <row r="1416" spans="1:18" x14ac:dyDescent="0.25">
      <c r="A1416" t="s">
        <v>501</v>
      </c>
      <c r="B1416" t="s">
        <v>494</v>
      </c>
      <c r="C1416">
        <v>76058647</v>
      </c>
      <c r="D1416">
        <v>24</v>
      </c>
      <c r="E1416">
        <v>30840966</v>
      </c>
      <c r="F1416" t="s">
        <v>1082</v>
      </c>
      <c r="G1416" s="1">
        <v>45231</v>
      </c>
      <c r="H1416">
        <v>5410642</v>
      </c>
      <c r="I1416">
        <v>93</v>
      </c>
      <c r="J1416" t="s">
        <v>356</v>
      </c>
      <c r="K1416" t="str">
        <f>IFERROR(IF(AND(VLOOKUP($C1416,Hes!$A:$B, 1, FALSE), $M1416&lt;&gt;" "), "Ingresada", "Falta Ingresar"), " ")</f>
        <v xml:space="preserve"> </v>
      </c>
      <c r="L1416" s="4" t="str">
        <f>IFERROR(VLOOKUP($C1416,Observaciones!$A:$B,2,FALSE)," ")</f>
        <v xml:space="preserve"> </v>
      </c>
      <c r="M1416" t="s">
        <v>681</v>
      </c>
      <c r="O1416" s="5">
        <v>30840966</v>
      </c>
      <c r="P1416" s="5">
        <v>16031</v>
      </c>
      <c r="Q1416" s="5">
        <v>3046</v>
      </c>
      <c r="R1416" s="5">
        <v>19077</v>
      </c>
    </row>
    <row r="1417" spans="1:18" x14ac:dyDescent="0.25">
      <c r="A1417" t="s">
        <v>501</v>
      </c>
      <c r="B1417" t="s">
        <v>494</v>
      </c>
      <c r="C1417">
        <v>76058647</v>
      </c>
      <c r="D1417">
        <v>5</v>
      </c>
      <c r="E1417">
        <v>30856040</v>
      </c>
      <c r="F1417" t="s">
        <v>1082</v>
      </c>
      <c r="G1417" s="1">
        <v>45236</v>
      </c>
      <c r="H1417">
        <v>5412900</v>
      </c>
      <c r="I1417">
        <v>93</v>
      </c>
      <c r="J1417" t="s">
        <v>356</v>
      </c>
      <c r="K1417" t="str">
        <f>IFERROR(IF(AND(VLOOKUP($C1417,Hes!$A:$B, 1, FALSE), $M1417&lt;&gt;" "), "Ingresada", "Falta Ingresar"), " ")</f>
        <v xml:space="preserve"> </v>
      </c>
      <c r="L1417" s="4" t="str">
        <f>IFERROR(VLOOKUP($C1417,Observaciones!$A:$B,2,FALSE)," ")</f>
        <v xml:space="preserve"> </v>
      </c>
      <c r="M1417" t="s">
        <v>681</v>
      </c>
      <c r="O1417" s="5">
        <v>30856040</v>
      </c>
      <c r="P1417" s="5">
        <v>86920</v>
      </c>
      <c r="Q1417" s="5">
        <v>16515</v>
      </c>
      <c r="R1417" s="5">
        <v>103435</v>
      </c>
    </row>
    <row r="1418" spans="1:18" x14ac:dyDescent="0.25">
      <c r="A1418" t="s">
        <v>501</v>
      </c>
      <c r="B1418" t="s">
        <v>494</v>
      </c>
      <c r="C1418">
        <v>76058647</v>
      </c>
      <c r="D1418">
        <v>83</v>
      </c>
      <c r="E1418">
        <v>30853009</v>
      </c>
      <c r="F1418" t="s">
        <v>1082</v>
      </c>
      <c r="G1418" s="1">
        <v>45236</v>
      </c>
      <c r="H1418">
        <v>5412955</v>
      </c>
      <c r="I1418">
        <v>93</v>
      </c>
      <c r="J1418" t="s">
        <v>356</v>
      </c>
      <c r="K1418" t="str">
        <f>IFERROR(IF(AND(VLOOKUP($C1418,Hes!$A:$B, 1, FALSE), $M1418&lt;&gt;" "), "Ingresada", "Falta Ingresar"), " ")</f>
        <v xml:space="preserve"> </v>
      </c>
      <c r="L1418" s="4" t="str">
        <f>IFERROR(VLOOKUP($C1418,Observaciones!$A:$B,2,FALSE)," ")</f>
        <v xml:space="preserve"> </v>
      </c>
      <c r="M1418" t="s">
        <v>681</v>
      </c>
      <c r="O1418" s="5">
        <v>30853009</v>
      </c>
      <c r="P1418" s="5">
        <v>22673</v>
      </c>
      <c r="Q1418" s="5">
        <v>4308</v>
      </c>
      <c r="R1418" s="5">
        <v>26981</v>
      </c>
    </row>
    <row r="1419" spans="1:18" x14ac:dyDescent="0.25">
      <c r="A1419" t="s">
        <v>501</v>
      </c>
      <c r="B1419" t="s">
        <v>494</v>
      </c>
      <c r="C1419">
        <v>76058647</v>
      </c>
      <c r="D1419">
        <v>66</v>
      </c>
      <c r="E1419">
        <v>30861361</v>
      </c>
      <c r="F1419" t="s">
        <v>1082</v>
      </c>
      <c r="G1419" s="1">
        <v>45237</v>
      </c>
      <c r="H1419">
        <v>5414784</v>
      </c>
      <c r="I1419">
        <v>93</v>
      </c>
      <c r="J1419" t="s">
        <v>356</v>
      </c>
      <c r="K1419" t="str">
        <f>IFERROR(IF(AND(VLOOKUP($C1419,Hes!$A:$B, 1, FALSE), $M1419&lt;&gt;" "), "Ingresada", "Falta Ingresar"), " ")</f>
        <v xml:space="preserve"> </v>
      </c>
      <c r="L1419" s="4" t="str">
        <f>IFERROR(VLOOKUP($C1419,Observaciones!$A:$B,2,FALSE)," ")</f>
        <v xml:space="preserve"> </v>
      </c>
      <c r="M1419" t="s">
        <v>681</v>
      </c>
      <c r="O1419" s="5">
        <v>30861361</v>
      </c>
      <c r="P1419" s="5">
        <v>29661</v>
      </c>
      <c r="Q1419" s="5">
        <v>5636</v>
      </c>
      <c r="R1419" s="5">
        <v>35297</v>
      </c>
    </row>
    <row r="1420" spans="1:18" x14ac:dyDescent="0.25">
      <c r="A1420" t="s">
        <v>501</v>
      </c>
      <c r="B1420" t="s">
        <v>494</v>
      </c>
      <c r="C1420">
        <v>76058647</v>
      </c>
      <c r="D1420">
        <v>93</v>
      </c>
      <c r="E1420">
        <v>30861983</v>
      </c>
      <c r="F1420" t="s">
        <v>1082</v>
      </c>
      <c r="G1420" s="1">
        <v>45238</v>
      </c>
      <c r="H1420">
        <v>5414878</v>
      </c>
      <c r="I1420">
        <v>93</v>
      </c>
      <c r="J1420" t="s">
        <v>356</v>
      </c>
      <c r="K1420" t="str">
        <f>IFERROR(IF(AND(VLOOKUP($C1420,Hes!$A:$B, 1, FALSE), $M1420&lt;&gt;" "), "Ingresada", "Falta Ingresar"), " ")</f>
        <v xml:space="preserve"> </v>
      </c>
      <c r="L1420" s="4" t="str">
        <f>IFERROR(VLOOKUP($C1420,Observaciones!$A:$B,2,FALSE)," ")</f>
        <v xml:space="preserve"> </v>
      </c>
      <c r="M1420" t="s">
        <v>681</v>
      </c>
      <c r="O1420" s="5">
        <v>30861983</v>
      </c>
      <c r="P1420" s="5">
        <v>26218</v>
      </c>
      <c r="Q1420" s="5">
        <v>4981</v>
      </c>
      <c r="R1420" s="5">
        <v>31199</v>
      </c>
    </row>
    <row r="1421" spans="1:18" x14ac:dyDescent="0.25">
      <c r="A1421" t="s">
        <v>501</v>
      </c>
      <c r="B1421" t="s">
        <v>494</v>
      </c>
      <c r="C1421">
        <v>76058647</v>
      </c>
      <c r="D1421">
        <v>92</v>
      </c>
      <c r="E1421">
        <v>30861378</v>
      </c>
      <c r="F1421" t="s">
        <v>1082</v>
      </c>
      <c r="G1421" s="1">
        <v>45238</v>
      </c>
      <c r="H1421">
        <v>5414938</v>
      </c>
      <c r="I1421">
        <v>93</v>
      </c>
      <c r="J1421" t="s">
        <v>356</v>
      </c>
      <c r="K1421" t="str">
        <f>IFERROR(IF(AND(VLOOKUP($C1421,Hes!$A:$B, 1, FALSE), $M1421&lt;&gt;" "), "Ingresada", "Falta Ingresar"), " ")</f>
        <v xml:space="preserve"> </v>
      </c>
      <c r="L1421" s="4" t="str">
        <f>IFERROR(VLOOKUP($C1421,Observaciones!$A:$B,2,FALSE)," ")</f>
        <v xml:space="preserve"> </v>
      </c>
      <c r="M1421" t="s">
        <v>681</v>
      </c>
      <c r="O1421" s="5">
        <v>30861378</v>
      </c>
      <c r="P1421" s="5">
        <v>22669</v>
      </c>
      <c r="Q1421" s="5">
        <v>4307</v>
      </c>
      <c r="R1421" s="5">
        <v>26976</v>
      </c>
    </row>
    <row r="1422" spans="1:18" x14ac:dyDescent="0.25">
      <c r="A1422" t="s">
        <v>501</v>
      </c>
      <c r="B1422" t="s">
        <v>494</v>
      </c>
      <c r="C1422">
        <v>76058647</v>
      </c>
      <c r="D1422">
        <v>82</v>
      </c>
      <c r="E1422">
        <v>30861367</v>
      </c>
      <c r="F1422" t="s">
        <v>1082</v>
      </c>
      <c r="G1422" s="1">
        <v>45238</v>
      </c>
      <c r="H1422">
        <v>5415110</v>
      </c>
      <c r="I1422">
        <v>93</v>
      </c>
      <c r="J1422" t="s">
        <v>356</v>
      </c>
      <c r="K1422" t="str">
        <f>IFERROR(IF(AND(VLOOKUP($C1422,Hes!$A:$B, 1, FALSE), $M1422&lt;&gt;" "), "Ingresada", "Falta Ingresar"), " ")</f>
        <v xml:space="preserve"> </v>
      </c>
      <c r="L1422" s="4" t="str">
        <f>IFERROR(VLOOKUP($C1422,Observaciones!$A:$B,2,FALSE)," ")</f>
        <v xml:space="preserve"> </v>
      </c>
      <c r="M1422" t="s">
        <v>681</v>
      </c>
      <c r="O1422" s="5">
        <v>30861367</v>
      </c>
      <c r="P1422" s="5">
        <v>29092</v>
      </c>
      <c r="Q1422" s="5">
        <v>5527</v>
      </c>
      <c r="R1422" s="5">
        <v>34619</v>
      </c>
    </row>
    <row r="1423" spans="1:18" x14ac:dyDescent="0.25">
      <c r="A1423" t="s">
        <v>501</v>
      </c>
      <c r="B1423" t="s">
        <v>494</v>
      </c>
      <c r="C1423">
        <v>76058647</v>
      </c>
      <c r="D1423">
        <v>89</v>
      </c>
      <c r="E1423">
        <v>30862844</v>
      </c>
      <c r="F1423" t="s">
        <v>1082</v>
      </c>
      <c r="G1423" s="1">
        <v>45238</v>
      </c>
      <c r="H1423">
        <v>5415200</v>
      </c>
      <c r="I1423">
        <v>93</v>
      </c>
      <c r="J1423" t="s">
        <v>356</v>
      </c>
      <c r="K1423" t="str">
        <f>IFERROR(IF(AND(VLOOKUP($C1423,Hes!$A:$B, 1, FALSE), $M1423&lt;&gt;" "), "Ingresada", "Falta Ingresar"), " ")</f>
        <v xml:space="preserve"> </v>
      </c>
      <c r="L1423" s="4" t="str">
        <f>IFERROR(VLOOKUP($C1423,Observaciones!$A:$B,2,FALSE)," ")</f>
        <v xml:space="preserve"> </v>
      </c>
      <c r="M1423" t="s">
        <v>681</v>
      </c>
      <c r="O1423" s="5">
        <v>30862844</v>
      </c>
      <c r="P1423" s="5">
        <v>21442</v>
      </c>
      <c r="Q1423" s="5">
        <v>4074</v>
      </c>
      <c r="R1423" s="5">
        <v>25516</v>
      </c>
    </row>
    <row r="1424" spans="1:18" x14ac:dyDescent="0.25">
      <c r="A1424" t="s">
        <v>501</v>
      </c>
      <c r="B1424" t="s">
        <v>494</v>
      </c>
      <c r="C1424">
        <v>76058647</v>
      </c>
      <c r="D1424">
        <v>21</v>
      </c>
      <c r="E1424">
        <v>30862837</v>
      </c>
      <c r="F1424" t="s">
        <v>1082</v>
      </c>
      <c r="G1424" s="1">
        <v>45238</v>
      </c>
      <c r="H1424">
        <v>5415201</v>
      </c>
      <c r="I1424">
        <v>93</v>
      </c>
      <c r="J1424" t="s">
        <v>356</v>
      </c>
      <c r="K1424" t="str">
        <f>IFERROR(IF(AND(VLOOKUP($C1424,Hes!$A:$B, 1, FALSE), $M1424&lt;&gt;" "), "Ingresada", "Falta Ingresar"), " ")</f>
        <v xml:space="preserve"> </v>
      </c>
      <c r="L1424" s="4" t="str">
        <f>IFERROR(VLOOKUP($C1424,Observaciones!$A:$B,2,FALSE)," ")</f>
        <v xml:space="preserve"> </v>
      </c>
      <c r="M1424" t="s">
        <v>681</v>
      </c>
      <c r="O1424" s="5">
        <v>30862837</v>
      </c>
      <c r="P1424" s="5">
        <v>29869</v>
      </c>
      <c r="Q1424" s="5">
        <v>5675</v>
      </c>
      <c r="R1424" s="5">
        <v>35544</v>
      </c>
    </row>
    <row r="1425" spans="1:18" x14ac:dyDescent="0.25">
      <c r="A1425" t="s">
        <v>501</v>
      </c>
      <c r="B1425" t="s">
        <v>494</v>
      </c>
      <c r="C1425">
        <v>76058647</v>
      </c>
      <c r="D1425">
        <v>70</v>
      </c>
      <c r="E1425">
        <v>30862823</v>
      </c>
      <c r="F1425" t="s">
        <v>1082</v>
      </c>
      <c r="G1425" s="1">
        <v>45238</v>
      </c>
      <c r="H1425">
        <v>5415203</v>
      </c>
      <c r="I1425">
        <v>93</v>
      </c>
      <c r="J1425" t="s">
        <v>356</v>
      </c>
      <c r="K1425" t="str">
        <f>IFERROR(IF(AND(VLOOKUP($C1425,Hes!$A:$B, 1, FALSE), $M1425&lt;&gt;" "), "Ingresada", "Falta Ingresar"), " ")</f>
        <v xml:space="preserve"> </v>
      </c>
      <c r="L1425" s="4" t="str">
        <f>IFERROR(VLOOKUP($C1425,Observaciones!$A:$B,2,FALSE)," ")</f>
        <v xml:space="preserve"> </v>
      </c>
      <c r="M1425" t="s">
        <v>681</v>
      </c>
      <c r="O1425" s="5">
        <v>30862823</v>
      </c>
      <c r="P1425" s="5">
        <v>17213</v>
      </c>
      <c r="Q1425" s="5">
        <v>3270</v>
      </c>
      <c r="R1425" s="5">
        <v>20483</v>
      </c>
    </row>
    <row r="1426" spans="1:18" x14ac:dyDescent="0.25">
      <c r="F1426" t="s">
        <v>971</v>
      </c>
      <c r="K1426" t="str">
        <f>IFERROR(IF(AND(VLOOKUP($C1426,Hes!$A:$B, 1, FALSE), $M1426&lt;&gt;" "), "Ingresada", "Falta Ingresar"), " ")</f>
        <v xml:space="preserve"> </v>
      </c>
      <c r="L1426" s="4" t="str">
        <f>IFERROR(VLOOKUP($C1426,Observaciones!$A:$B,2,FALSE)," ")</f>
        <v xml:space="preserve"> </v>
      </c>
      <c r="M1426" t="s">
        <v>681</v>
      </c>
      <c r="P1426" s="5">
        <v>357358</v>
      </c>
      <c r="Q1426" s="5">
        <v>67897</v>
      </c>
      <c r="R1426" s="5">
        <v>425255</v>
      </c>
    </row>
    <row r="1427" spans="1:18" x14ac:dyDescent="0.25">
      <c r="A1427" t="s">
        <v>513</v>
      </c>
      <c r="B1427" t="s">
        <v>494</v>
      </c>
      <c r="C1427">
        <v>76067863</v>
      </c>
      <c r="D1427">
        <v>42</v>
      </c>
      <c r="E1427">
        <v>30844189</v>
      </c>
      <c r="F1427" t="s">
        <v>1083</v>
      </c>
      <c r="G1427" s="1">
        <v>45232</v>
      </c>
      <c r="H1427">
        <v>5411115</v>
      </c>
      <c r="I1427">
        <v>50</v>
      </c>
      <c r="J1427" t="s">
        <v>376</v>
      </c>
      <c r="K1427" t="str">
        <f>IFERROR(IF(AND(VLOOKUP($C1427,Hes!$A:$B, 1, FALSE), $M1427&lt;&gt;" "), "Ingresada", "Falta Ingresar"), " ")</f>
        <v xml:space="preserve"> </v>
      </c>
      <c r="L1427" s="4" t="s">
        <v>681</v>
      </c>
      <c r="M1427" t="s">
        <v>681</v>
      </c>
      <c r="O1427" s="5">
        <v>30844189</v>
      </c>
      <c r="P1427" s="5">
        <v>207020</v>
      </c>
      <c r="Q1427" s="5">
        <v>39334</v>
      </c>
      <c r="R1427" s="5">
        <v>246354</v>
      </c>
    </row>
    <row r="1428" spans="1:18" x14ac:dyDescent="0.25">
      <c r="A1428" t="s">
        <v>513</v>
      </c>
      <c r="B1428" t="s">
        <v>494</v>
      </c>
      <c r="C1428">
        <v>76067863</v>
      </c>
      <c r="D1428">
        <v>33</v>
      </c>
      <c r="E1428">
        <v>30851569</v>
      </c>
      <c r="F1428" t="s">
        <v>1083</v>
      </c>
      <c r="G1428" s="1">
        <v>45236</v>
      </c>
      <c r="H1428">
        <v>5412116</v>
      </c>
      <c r="I1428">
        <v>50</v>
      </c>
      <c r="J1428" t="s">
        <v>376</v>
      </c>
      <c r="K1428" t="str">
        <f>IFERROR(IF(AND(VLOOKUP($C1428,Hes!$A:$B, 1, FALSE), $M1428&lt;&gt;" "), "Ingresada", "Falta Ingresar"), " ")</f>
        <v xml:space="preserve"> </v>
      </c>
      <c r="L1428" s="4" t="s">
        <v>681</v>
      </c>
      <c r="M1428" t="s">
        <v>681</v>
      </c>
      <c r="O1428" s="5">
        <v>30851569</v>
      </c>
      <c r="P1428" s="5">
        <v>25847</v>
      </c>
      <c r="Q1428" s="5">
        <v>4911</v>
      </c>
      <c r="R1428" s="5">
        <v>30758</v>
      </c>
    </row>
    <row r="1429" spans="1:18" x14ac:dyDescent="0.25">
      <c r="F1429" t="s">
        <v>497</v>
      </c>
      <c r="K1429" t="str">
        <f>IFERROR(IF(AND(VLOOKUP($C1429,Hes!$A:$B, 1, FALSE), $M1429&lt;&gt;" "), "Ingresada", "Falta Ingresar"), " ")</f>
        <v xml:space="preserve"> </v>
      </c>
      <c r="L1429" s="4" t="str">
        <f>IFERROR(VLOOKUP($C1429,Observaciones!$A:$B,2,FALSE)," ")</f>
        <v xml:space="preserve"> </v>
      </c>
      <c r="M1429" t="s">
        <v>681</v>
      </c>
      <c r="P1429" s="5">
        <v>232867</v>
      </c>
      <c r="Q1429" s="5">
        <v>44245</v>
      </c>
      <c r="R1429" s="5">
        <v>277112</v>
      </c>
    </row>
    <row r="1430" spans="1:18" x14ac:dyDescent="0.25">
      <c r="A1430" t="s">
        <v>501</v>
      </c>
      <c r="B1430" t="s">
        <v>494</v>
      </c>
      <c r="C1430">
        <v>76073142</v>
      </c>
      <c r="D1430">
        <v>0</v>
      </c>
      <c r="E1430">
        <v>30849707</v>
      </c>
      <c r="F1430" t="s">
        <v>1084</v>
      </c>
      <c r="G1430" s="1">
        <v>45233</v>
      </c>
      <c r="H1430">
        <v>5411394</v>
      </c>
      <c r="I1430">
        <v>157</v>
      </c>
      <c r="J1430" t="s">
        <v>418</v>
      </c>
      <c r="K1430" t="str">
        <f>IFERROR(IF(AND(VLOOKUP($C1430,Hes!$A:$B, 1, FALSE), $M1430&lt;&gt;" "), "Ingresada", "Falta Ingresar"), " ")</f>
        <v xml:space="preserve"> </v>
      </c>
      <c r="L1430" s="4" t="str">
        <f>IFERROR(VLOOKUP($C1430,Observaciones!$A:$B,2,FALSE)," ")</f>
        <v xml:space="preserve"> </v>
      </c>
      <c r="M1430" t="s">
        <v>681</v>
      </c>
      <c r="O1430" s="5">
        <v>30849707</v>
      </c>
      <c r="P1430" s="5">
        <v>93153</v>
      </c>
      <c r="Q1430" s="5">
        <v>17699</v>
      </c>
      <c r="R1430" s="5">
        <v>110852</v>
      </c>
    </row>
    <row r="1431" spans="1:18" x14ac:dyDescent="0.25">
      <c r="A1431" t="s">
        <v>501</v>
      </c>
      <c r="B1431" t="s">
        <v>494</v>
      </c>
      <c r="C1431">
        <v>76073142</v>
      </c>
      <c r="D1431">
        <v>0</v>
      </c>
      <c r="E1431">
        <v>30849359</v>
      </c>
      <c r="F1431" t="s">
        <v>1084</v>
      </c>
      <c r="G1431" s="1">
        <v>45236</v>
      </c>
      <c r="H1431">
        <v>5413471</v>
      </c>
      <c r="I1431">
        <v>157</v>
      </c>
      <c r="J1431" t="s">
        <v>418</v>
      </c>
      <c r="K1431" t="str">
        <f>IFERROR(IF(AND(VLOOKUP($C1431,Hes!$A:$B, 1, FALSE), $M1431&lt;&gt;" "), "Ingresada", "Falta Ingresar"), " ")</f>
        <v xml:space="preserve"> </v>
      </c>
      <c r="L1431" s="4" t="str">
        <f>IFERROR(VLOOKUP($C1431,Observaciones!$A:$B,2,FALSE)," ")</f>
        <v xml:space="preserve"> </v>
      </c>
      <c r="M1431" t="s">
        <v>681</v>
      </c>
      <c r="O1431" s="5">
        <v>30849359</v>
      </c>
      <c r="P1431" s="5">
        <v>382171</v>
      </c>
      <c r="Q1431" s="5">
        <v>72612</v>
      </c>
      <c r="R1431" s="5">
        <v>454783</v>
      </c>
    </row>
    <row r="1432" spans="1:18" x14ac:dyDescent="0.25">
      <c r="F1432" t="s">
        <v>497</v>
      </c>
      <c r="K1432" t="str">
        <f>IFERROR(IF(AND(VLOOKUP($C1432,Hes!$A:$B, 1, FALSE), $M1432&lt;&gt;" "), "Ingresada", "Falta Ingresar"), " ")</f>
        <v xml:space="preserve"> </v>
      </c>
      <c r="L1432" s="4" t="str">
        <f>IFERROR(VLOOKUP($C1432,Observaciones!$A:$B,2,FALSE)," ")</f>
        <v xml:space="preserve"> </v>
      </c>
      <c r="M1432" t="s">
        <v>681</v>
      </c>
      <c r="P1432" s="5">
        <v>475324</v>
      </c>
      <c r="Q1432" s="5">
        <v>90311</v>
      </c>
      <c r="R1432" s="5">
        <v>565635</v>
      </c>
    </row>
    <row r="1433" spans="1:18" x14ac:dyDescent="0.25">
      <c r="A1433" t="s">
        <v>512</v>
      </c>
      <c r="B1433" t="s">
        <v>494</v>
      </c>
      <c r="C1433">
        <v>76074938</v>
      </c>
      <c r="D1433">
        <v>19</v>
      </c>
      <c r="E1433">
        <v>30841941</v>
      </c>
      <c r="F1433" t="s">
        <v>1085</v>
      </c>
      <c r="G1433" s="1">
        <v>45231</v>
      </c>
      <c r="H1433">
        <v>5410624</v>
      </c>
      <c r="I1433">
        <v>272</v>
      </c>
      <c r="J1433" t="s">
        <v>398</v>
      </c>
      <c r="K1433" t="str">
        <f>IFERROR(IF(AND(VLOOKUP($C1433,Hes!$A:$B, 1, FALSE), $M1433&lt;&gt;" "), "Ingresada", "Falta Ingresar"), " ")</f>
        <v xml:space="preserve"> </v>
      </c>
      <c r="L1433" s="4" t="str">
        <f>IFERROR(VLOOKUP($C1433,Observaciones!$A:$B,2,FALSE)," ")</f>
        <v xml:space="preserve"> </v>
      </c>
      <c r="M1433" t="s">
        <v>681</v>
      </c>
      <c r="O1433" s="5">
        <v>30841941</v>
      </c>
      <c r="P1433" s="5">
        <v>33836</v>
      </c>
      <c r="Q1433" s="5">
        <v>6429</v>
      </c>
      <c r="R1433" s="5">
        <v>40265</v>
      </c>
    </row>
    <row r="1434" spans="1:18" x14ac:dyDescent="0.25">
      <c r="A1434" t="s">
        <v>512</v>
      </c>
      <c r="B1434" t="s">
        <v>494</v>
      </c>
      <c r="C1434">
        <v>76074938</v>
      </c>
      <c r="D1434">
        <v>73</v>
      </c>
      <c r="E1434">
        <v>30845060</v>
      </c>
      <c r="F1434" t="s">
        <v>1085</v>
      </c>
      <c r="G1434" s="1">
        <v>45232</v>
      </c>
      <c r="H1434">
        <v>5410818</v>
      </c>
      <c r="I1434">
        <v>272</v>
      </c>
      <c r="J1434" t="s">
        <v>398</v>
      </c>
      <c r="K1434" t="str">
        <f>IFERROR(IF(AND(VLOOKUP($C1434,Hes!$A:$B, 1, FALSE), $M1434&lt;&gt;" "), "Ingresada", "Falta Ingresar"), " ")</f>
        <v xml:space="preserve"> </v>
      </c>
      <c r="L1434" s="4" t="str">
        <f>IFERROR(VLOOKUP($C1434,Observaciones!$A:$B,2,FALSE)," ")</f>
        <v xml:space="preserve"> </v>
      </c>
      <c r="M1434" t="s">
        <v>681</v>
      </c>
      <c r="O1434" s="5">
        <v>30845060</v>
      </c>
      <c r="P1434" s="5">
        <v>28128</v>
      </c>
      <c r="Q1434" s="5">
        <v>5344</v>
      </c>
      <c r="R1434" s="5">
        <v>33472</v>
      </c>
    </row>
    <row r="1435" spans="1:18" x14ac:dyDescent="0.25">
      <c r="A1435" t="s">
        <v>512</v>
      </c>
      <c r="B1435" t="s">
        <v>494</v>
      </c>
      <c r="C1435">
        <v>76074938</v>
      </c>
      <c r="D1435">
        <v>55</v>
      </c>
      <c r="E1435">
        <v>30840454</v>
      </c>
      <c r="F1435" t="s">
        <v>1085</v>
      </c>
      <c r="G1435" s="1">
        <v>45232</v>
      </c>
      <c r="H1435">
        <v>5411116</v>
      </c>
      <c r="I1435">
        <v>272</v>
      </c>
      <c r="J1435" t="s">
        <v>398</v>
      </c>
      <c r="K1435" t="str">
        <f>IFERROR(IF(AND(VLOOKUP($C1435,Hes!$A:$B, 1, FALSE), $M1435&lt;&gt;" "), "Ingresada", "Falta Ingresar"), " ")</f>
        <v xml:space="preserve"> </v>
      </c>
      <c r="L1435" s="4" t="str">
        <f>IFERROR(VLOOKUP($C1435,Observaciones!$A:$B,2,FALSE)," ")</f>
        <v xml:space="preserve"> </v>
      </c>
      <c r="M1435" t="s">
        <v>681</v>
      </c>
      <c r="O1435" s="5">
        <v>30840454</v>
      </c>
      <c r="P1435" s="5">
        <v>30003</v>
      </c>
      <c r="Q1435" s="5">
        <v>5701</v>
      </c>
      <c r="R1435" s="5">
        <v>35704</v>
      </c>
    </row>
    <row r="1436" spans="1:18" x14ac:dyDescent="0.25">
      <c r="A1436" t="s">
        <v>512</v>
      </c>
      <c r="B1436" t="s">
        <v>494</v>
      </c>
      <c r="C1436">
        <v>76074938</v>
      </c>
      <c r="D1436">
        <v>0</v>
      </c>
      <c r="E1436">
        <v>30848938</v>
      </c>
      <c r="F1436" t="s">
        <v>1085</v>
      </c>
      <c r="G1436" s="1">
        <v>45233</v>
      </c>
      <c r="H1436">
        <v>5411558</v>
      </c>
      <c r="I1436">
        <v>272</v>
      </c>
      <c r="J1436" t="s">
        <v>398</v>
      </c>
      <c r="K1436" t="str">
        <f>IFERROR(IF(AND(VLOOKUP($C1436,Hes!$A:$B, 1, FALSE), $M1436&lt;&gt;" "), "Ingresada", "Falta Ingresar"), " ")</f>
        <v xml:space="preserve"> </v>
      </c>
      <c r="L1436" s="4" t="str">
        <f>IFERROR(VLOOKUP($C1436,Observaciones!$A:$B,2,FALSE)," ")</f>
        <v xml:space="preserve"> </v>
      </c>
      <c r="M1436" t="s">
        <v>681</v>
      </c>
      <c r="O1436" s="5">
        <v>30848938</v>
      </c>
      <c r="P1436" s="5">
        <v>290245</v>
      </c>
      <c r="Q1436" s="5">
        <v>55147</v>
      </c>
      <c r="R1436" s="5">
        <v>345392</v>
      </c>
    </row>
    <row r="1437" spans="1:18" x14ac:dyDescent="0.25">
      <c r="A1437" t="s">
        <v>512</v>
      </c>
      <c r="B1437" t="s">
        <v>494</v>
      </c>
      <c r="C1437">
        <v>76074938</v>
      </c>
      <c r="D1437">
        <v>14</v>
      </c>
      <c r="E1437">
        <v>30841945</v>
      </c>
      <c r="F1437" t="s">
        <v>1085</v>
      </c>
      <c r="G1437" s="1">
        <v>45236</v>
      </c>
      <c r="H1437">
        <v>5412034</v>
      </c>
      <c r="I1437">
        <v>272</v>
      </c>
      <c r="J1437" t="s">
        <v>398</v>
      </c>
      <c r="K1437" t="str">
        <f>IFERROR(IF(AND(VLOOKUP($C1437,Hes!$A:$B, 1, FALSE), $M1437&lt;&gt;" "), "Ingresada", "Falta Ingresar"), " ")</f>
        <v xml:space="preserve"> </v>
      </c>
      <c r="L1437" s="4" t="str">
        <f>IFERROR(VLOOKUP($C1437,Observaciones!$A:$B,2,FALSE)," ")</f>
        <v xml:space="preserve"> </v>
      </c>
      <c r="M1437" t="s">
        <v>681</v>
      </c>
      <c r="O1437" s="5">
        <v>30841945</v>
      </c>
      <c r="P1437" s="5">
        <v>34890</v>
      </c>
      <c r="Q1437" s="5">
        <v>6629</v>
      </c>
      <c r="R1437" s="5">
        <v>41519</v>
      </c>
    </row>
    <row r="1438" spans="1:18" x14ac:dyDescent="0.25">
      <c r="A1438" t="s">
        <v>512</v>
      </c>
      <c r="B1438" t="s">
        <v>494</v>
      </c>
      <c r="C1438">
        <v>76074938</v>
      </c>
      <c r="D1438">
        <v>74</v>
      </c>
      <c r="E1438">
        <v>30859975</v>
      </c>
      <c r="F1438" t="s">
        <v>1085</v>
      </c>
      <c r="G1438" s="1">
        <v>45237</v>
      </c>
      <c r="H1438">
        <v>5414296</v>
      </c>
      <c r="I1438">
        <v>272</v>
      </c>
      <c r="J1438" t="s">
        <v>398</v>
      </c>
      <c r="K1438" t="str">
        <f>IFERROR(IF(AND(VLOOKUP($C1438,Hes!$A:$B, 1, FALSE), $M1438&lt;&gt;" "), "Ingresada", "Falta Ingresar"), " ")</f>
        <v xml:space="preserve"> </v>
      </c>
      <c r="L1438" s="4" t="str">
        <f>IFERROR(VLOOKUP($C1438,Observaciones!$A:$B,2,FALSE)," ")</f>
        <v xml:space="preserve"> </v>
      </c>
      <c r="M1438" t="s">
        <v>681</v>
      </c>
      <c r="O1438" s="5">
        <v>30859975</v>
      </c>
      <c r="P1438" s="5">
        <v>29409</v>
      </c>
      <c r="Q1438" s="5">
        <v>5588</v>
      </c>
      <c r="R1438" s="5">
        <v>34997</v>
      </c>
    </row>
    <row r="1439" spans="1:18" x14ac:dyDescent="0.25">
      <c r="A1439" t="s">
        <v>512</v>
      </c>
      <c r="B1439" t="s">
        <v>494</v>
      </c>
      <c r="C1439">
        <v>76074938</v>
      </c>
      <c r="D1439">
        <v>66</v>
      </c>
      <c r="E1439">
        <v>30859987</v>
      </c>
      <c r="F1439" t="s">
        <v>1085</v>
      </c>
      <c r="G1439" s="1">
        <v>45237</v>
      </c>
      <c r="H1439">
        <v>5414314</v>
      </c>
      <c r="I1439">
        <v>272</v>
      </c>
      <c r="J1439" t="s">
        <v>398</v>
      </c>
      <c r="K1439" t="str">
        <f>IFERROR(IF(AND(VLOOKUP($C1439,Hes!$A:$B, 1, FALSE), $M1439&lt;&gt;" "), "Ingresada", "Falta Ingresar"), " ")</f>
        <v xml:space="preserve"> </v>
      </c>
      <c r="L1439" s="4" t="str">
        <f>IFERROR(VLOOKUP($C1439,Observaciones!$A:$B,2,FALSE)," ")</f>
        <v xml:space="preserve"> </v>
      </c>
      <c r="M1439" t="s">
        <v>681</v>
      </c>
      <c r="O1439" s="5">
        <v>30859987</v>
      </c>
      <c r="P1439" s="5">
        <v>29992</v>
      </c>
      <c r="Q1439" s="5">
        <v>5698</v>
      </c>
      <c r="R1439" s="5">
        <v>35690</v>
      </c>
    </row>
    <row r="1440" spans="1:18" x14ac:dyDescent="0.25">
      <c r="A1440" t="s">
        <v>512</v>
      </c>
      <c r="B1440" t="s">
        <v>494</v>
      </c>
      <c r="C1440">
        <v>76074938</v>
      </c>
      <c r="D1440">
        <v>58</v>
      </c>
      <c r="E1440">
        <v>30860357</v>
      </c>
      <c r="F1440" t="s">
        <v>1085</v>
      </c>
      <c r="G1440" s="1">
        <v>45237</v>
      </c>
      <c r="H1440">
        <v>5414348</v>
      </c>
      <c r="I1440">
        <v>272</v>
      </c>
      <c r="J1440" t="s">
        <v>398</v>
      </c>
      <c r="K1440" t="str">
        <f>IFERROR(IF(AND(VLOOKUP($C1440,Hes!$A:$B, 1, FALSE), $M1440&lt;&gt;" "), "Ingresada", "Falta Ingresar"), " ")</f>
        <v xml:space="preserve"> </v>
      </c>
      <c r="L1440" s="4" t="str">
        <f>IFERROR(VLOOKUP($C1440,Observaciones!$A:$B,2,FALSE)," ")</f>
        <v xml:space="preserve"> </v>
      </c>
      <c r="M1440" t="s">
        <v>681</v>
      </c>
      <c r="O1440" s="5">
        <v>30860357</v>
      </c>
      <c r="P1440" s="5">
        <v>39946</v>
      </c>
      <c r="Q1440" s="5">
        <v>7590</v>
      </c>
      <c r="R1440" s="5">
        <v>47536</v>
      </c>
    </row>
    <row r="1441" spans="1:18" x14ac:dyDescent="0.25">
      <c r="A1441" t="s">
        <v>512</v>
      </c>
      <c r="B1441" t="s">
        <v>494</v>
      </c>
      <c r="C1441">
        <v>76074938</v>
      </c>
      <c r="D1441">
        <v>28</v>
      </c>
      <c r="E1441">
        <v>30860363</v>
      </c>
      <c r="F1441" t="s">
        <v>1085</v>
      </c>
      <c r="G1441" s="1">
        <v>45237</v>
      </c>
      <c r="H1441">
        <v>5414376</v>
      </c>
      <c r="I1441">
        <v>272</v>
      </c>
      <c r="J1441" t="s">
        <v>398</v>
      </c>
      <c r="K1441" t="str">
        <f>IFERROR(IF(AND(VLOOKUP($C1441,Hes!$A:$B, 1, FALSE), $M1441&lt;&gt;" "), "Ingresada", "Falta Ingresar"), " ")</f>
        <v xml:space="preserve"> </v>
      </c>
      <c r="L1441" s="4" t="str">
        <f>IFERROR(VLOOKUP($C1441,Observaciones!$A:$B,2,FALSE)," ")</f>
        <v xml:space="preserve"> </v>
      </c>
      <c r="M1441" t="s">
        <v>681</v>
      </c>
      <c r="O1441" s="5">
        <v>30860363</v>
      </c>
      <c r="P1441" s="5">
        <v>34338</v>
      </c>
      <c r="Q1441" s="5">
        <v>6524</v>
      </c>
      <c r="R1441" s="5">
        <v>40862</v>
      </c>
    </row>
    <row r="1442" spans="1:18" x14ac:dyDescent="0.25">
      <c r="A1442" t="s">
        <v>512</v>
      </c>
      <c r="B1442" t="s">
        <v>494</v>
      </c>
      <c r="C1442">
        <v>76074938</v>
      </c>
      <c r="D1442">
        <v>2</v>
      </c>
      <c r="E1442">
        <v>30860359</v>
      </c>
      <c r="F1442" t="s">
        <v>1085</v>
      </c>
      <c r="G1442" s="1">
        <v>45237</v>
      </c>
      <c r="H1442">
        <v>5414408</v>
      </c>
      <c r="I1442">
        <v>272</v>
      </c>
      <c r="J1442" t="s">
        <v>398</v>
      </c>
      <c r="K1442" t="str">
        <f>IFERROR(IF(AND(VLOOKUP($C1442,Hes!$A:$B, 1, FALSE), $M1442&lt;&gt;" "), "Ingresada", "Falta Ingresar"), " ")</f>
        <v xml:space="preserve"> </v>
      </c>
      <c r="L1442" s="4" t="str">
        <f>IFERROR(VLOOKUP($C1442,Observaciones!$A:$B,2,FALSE)," ")</f>
        <v xml:space="preserve"> </v>
      </c>
      <c r="M1442" t="s">
        <v>681</v>
      </c>
      <c r="O1442" s="5">
        <v>30860359</v>
      </c>
      <c r="P1442" s="5">
        <v>34096</v>
      </c>
      <c r="Q1442" s="5">
        <v>6478</v>
      </c>
      <c r="R1442" s="5">
        <v>40574</v>
      </c>
    </row>
    <row r="1443" spans="1:18" x14ac:dyDescent="0.25">
      <c r="A1443" t="s">
        <v>512</v>
      </c>
      <c r="B1443" t="s">
        <v>494</v>
      </c>
      <c r="C1443">
        <v>76074938</v>
      </c>
      <c r="D1443">
        <v>5</v>
      </c>
      <c r="E1443">
        <v>30859990</v>
      </c>
      <c r="F1443" t="s">
        <v>1085</v>
      </c>
      <c r="G1443" s="1">
        <v>45237</v>
      </c>
      <c r="H1443">
        <v>5414423</v>
      </c>
      <c r="I1443">
        <v>272</v>
      </c>
      <c r="J1443" t="s">
        <v>398</v>
      </c>
      <c r="K1443" t="str">
        <f>IFERROR(IF(AND(VLOOKUP($C1443,Hes!$A:$B, 1, FALSE), $M1443&lt;&gt;" "), "Ingresada", "Falta Ingresar"), " ")</f>
        <v xml:space="preserve"> </v>
      </c>
      <c r="L1443" s="4" t="str">
        <f>IFERROR(VLOOKUP($C1443,Observaciones!$A:$B,2,FALSE)," ")</f>
        <v xml:space="preserve"> </v>
      </c>
      <c r="M1443" t="s">
        <v>681</v>
      </c>
      <c r="O1443" s="5">
        <v>30859990</v>
      </c>
      <c r="P1443" s="5">
        <v>34949</v>
      </c>
      <c r="Q1443" s="5">
        <v>6640</v>
      </c>
      <c r="R1443" s="5">
        <v>41589</v>
      </c>
    </row>
    <row r="1444" spans="1:18" x14ac:dyDescent="0.25">
      <c r="A1444" t="s">
        <v>512</v>
      </c>
      <c r="B1444" t="s">
        <v>494</v>
      </c>
      <c r="C1444">
        <v>76074938</v>
      </c>
      <c r="D1444">
        <v>25</v>
      </c>
      <c r="E1444">
        <v>30860974</v>
      </c>
      <c r="F1444" t="s">
        <v>1085</v>
      </c>
      <c r="G1444" s="1">
        <v>45237</v>
      </c>
      <c r="H1444">
        <v>5414431</v>
      </c>
      <c r="I1444">
        <v>272</v>
      </c>
      <c r="J1444" t="s">
        <v>398</v>
      </c>
      <c r="K1444" t="str">
        <f>IFERROR(IF(AND(VLOOKUP($C1444,Hes!$A:$B, 1, FALSE), $M1444&lt;&gt;" "), "Ingresada", "Falta Ingresar"), " ")</f>
        <v xml:space="preserve"> </v>
      </c>
      <c r="L1444" s="4" t="str">
        <f>IFERROR(VLOOKUP($C1444,Observaciones!$A:$B,2,FALSE)," ")</f>
        <v xml:space="preserve"> </v>
      </c>
      <c r="M1444" t="s">
        <v>681</v>
      </c>
      <c r="O1444" s="5">
        <v>30860974</v>
      </c>
      <c r="P1444" s="5">
        <v>29346</v>
      </c>
      <c r="Q1444" s="5">
        <v>5576</v>
      </c>
      <c r="R1444" s="5">
        <v>34922</v>
      </c>
    </row>
    <row r="1445" spans="1:18" x14ac:dyDescent="0.25">
      <c r="A1445" t="s">
        <v>512</v>
      </c>
      <c r="B1445" t="s">
        <v>494</v>
      </c>
      <c r="C1445">
        <v>76074938</v>
      </c>
      <c r="D1445">
        <v>44</v>
      </c>
      <c r="E1445">
        <v>30859980</v>
      </c>
      <c r="F1445" t="s">
        <v>1085</v>
      </c>
      <c r="G1445" s="1">
        <v>45237</v>
      </c>
      <c r="H1445">
        <v>5414837</v>
      </c>
      <c r="I1445">
        <v>272</v>
      </c>
      <c r="J1445" t="s">
        <v>398</v>
      </c>
      <c r="K1445" t="str">
        <f>IFERROR(IF(AND(VLOOKUP($C1445,Hes!$A:$B, 1, FALSE), $M1445&lt;&gt;" "), "Ingresada", "Falta Ingresar"), " ")</f>
        <v xml:space="preserve"> </v>
      </c>
      <c r="L1445" s="4" t="str">
        <f>IFERROR(VLOOKUP($C1445,Observaciones!$A:$B,2,FALSE)," ")</f>
        <v xml:space="preserve"> </v>
      </c>
      <c r="M1445" t="s">
        <v>681</v>
      </c>
      <c r="O1445" s="5">
        <v>30859980</v>
      </c>
      <c r="P1445" s="5">
        <v>29792</v>
      </c>
      <c r="Q1445" s="5">
        <v>5660</v>
      </c>
      <c r="R1445" s="5">
        <v>35452</v>
      </c>
    </row>
    <row r="1446" spans="1:18" x14ac:dyDescent="0.25">
      <c r="A1446" t="s">
        <v>512</v>
      </c>
      <c r="B1446" t="s">
        <v>494</v>
      </c>
      <c r="C1446">
        <v>76074938</v>
      </c>
      <c r="D1446">
        <v>30</v>
      </c>
      <c r="E1446">
        <v>30865006</v>
      </c>
      <c r="F1446" t="s">
        <v>1085</v>
      </c>
      <c r="G1446" s="1">
        <v>45238</v>
      </c>
      <c r="H1446">
        <v>5415393</v>
      </c>
      <c r="I1446">
        <v>272</v>
      </c>
      <c r="J1446" t="s">
        <v>398</v>
      </c>
      <c r="K1446" t="str">
        <f>IFERROR(IF(AND(VLOOKUP($C1446,Hes!$A:$B, 1, FALSE), $M1446&lt;&gt;" "), "Ingresada", "Falta Ingresar"), " ")</f>
        <v xml:space="preserve"> </v>
      </c>
      <c r="L1446" s="4" t="str">
        <f>IFERROR(VLOOKUP($C1446,Observaciones!$A:$B,2,FALSE)," ")</f>
        <v xml:space="preserve"> </v>
      </c>
      <c r="M1446" t="s">
        <v>681</v>
      </c>
      <c r="O1446" s="5">
        <v>30865006</v>
      </c>
      <c r="P1446" s="5">
        <v>34944</v>
      </c>
      <c r="Q1446" s="5">
        <v>6639</v>
      </c>
      <c r="R1446" s="5">
        <v>41583</v>
      </c>
    </row>
    <row r="1447" spans="1:18" x14ac:dyDescent="0.25">
      <c r="A1447" t="s">
        <v>512</v>
      </c>
      <c r="B1447" t="s">
        <v>494</v>
      </c>
      <c r="C1447">
        <v>76074938</v>
      </c>
      <c r="D1447">
        <v>23</v>
      </c>
      <c r="E1447">
        <v>30864998</v>
      </c>
      <c r="F1447" t="s">
        <v>1085</v>
      </c>
      <c r="G1447" s="1">
        <v>45238</v>
      </c>
      <c r="H1447">
        <v>5415397</v>
      </c>
      <c r="I1447">
        <v>272</v>
      </c>
      <c r="J1447" t="s">
        <v>398</v>
      </c>
      <c r="K1447" t="str">
        <f>IFERROR(IF(AND(VLOOKUP($C1447,Hes!$A:$B, 1, FALSE), $M1447&lt;&gt;" "), "Ingresada", "Falta Ingresar"), " ")</f>
        <v xml:space="preserve"> </v>
      </c>
      <c r="L1447" s="4" t="str">
        <f>IFERROR(VLOOKUP($C1447,Observaciones!$A:$B,2,FALSE)," ")</f>
        <v xml:space="preserve"> </v>
      </c>
      <c r="M1447" t="s">
        <v>681</v>
      </c>
      <c r="O1447" s="5">
        <v>30864998</v>
      </c>
      <c r="P1447" s="5">
        <v>34972</v>
      </c>
      <c r="Q1447" s="5">
        <v>6645</v>
      </c>
      <c r="R1447" s="5">
        <v>41617</v>
      </c>
    </row>
    <row r="1448" spans="1:18" x14ac:dyDescent="0.25">
      <c r="A1448" t="s">
        <v>512</v>
      </c>
      <c r="B1448" t="s">
        <v>494</v>
      </c>
      <c r="C1448">
        <v>76074938</v>
      </c>
      <c r="D1448">
        <v>15</v>
      </c>
      <c r="E1448">
        <v>30864996</v>
      </c>
      <c r="F1448" t="s">
        <v>1085</v>
      </c>
      <c r="G1448" s="1">
        <v>45238</v>
      </c>
      <c r="H1448">
        <v>5415407</v>
      </c>
      <c r="I1448">
        <v>272</v>
      </c>
      <c r="J1448" t="s">
        <v>398</v>
      </c>
      <c r="K1448" t="str">
        <f>IFERROR(IF(AND(VLOOKUP($C1448,Hes!$A:$B, 1, FALSE), $M1448&lt;&gt;" "), "Ingresada", "Falta Ingresar"), " ")</f>
        <v xml:space="preserve"> </v>
      </c>
      <c r="L1448" s="4" t="str">
        <f>IFERROR(VLOOKUP($C1448,Observaciones!$A:$B,2,FALSE)," ")</f>
        <v xml:space="preserve"> </v>
      </c>
      <c r="M1448" t="s">
        <v>681</v>
      </c>
      <c r="O1448" s="5">
        <v>30864996</v>
      </c>
      <c r="P1448" s="5">
        <v>34902</v>
      </c>
      <c r="Q1448" s="5">
        <v>6631</v>
      </c>
      <c r="R1448" s="5">
        <v>41533</v>
      </c>
    </row>
    <row r="1449" spans="1:18" x14ac:dyDescent="0.25">
      <c r="A1449" t="s">
        <v>512</v>
      </c>
      <c r="B1449" t="s">
        <v>494</v>
      </c>
      <c r="C1449">
        <v>76074938</v>
      </c>
      <c r="D1449">
        <v>57</v>
      </c>
      <c r="E1449">
        <v>30864992</v>
      </c>
      <c r="F1449" t="s">
        <v>1085</v>
      </c>
      <c r="G1449" s="1">
        <v>45238</v>
      </c>
      <c r="H1449">
        <v>5415440</v>
      </c>
      <c r="I1449">
        <v>272</v>
      </c>
      <c r="J1449" t="s">
        <v>398</v>
      </c>
      <c r="K1449" t="str">
        <f>IFERROR(IF(AND(VLOOKUP($C1449,Hes!$A:$B, 1, FALSE), $M1449&lt;&gt;" "), "Ingresada", "Falta Ingresar"), " ")</f>
        <v xml:space="preserve"> </v>
      </c>
      <c r="L1449" s="4" t="str">
        <f>IFERROR(VLOOKUP($C1449,Observaciones!$A:$B,2,FALSE)," ")</f>
        <v xml:space="preserve"> </v>
      </c>
      <c r="M1449" t="s">
        <v>681</v>
      </c>
      <c r="O1449" s="5">
        <v>30864992</v>
      </c>
      <c r="P1449" s="5">
        <v>32678</v>
      </c>
      <c r="Q1449" s="5">
        <v>6209</v>
      </c>
      <c r="R1449" s="5">
        <v>38887</v>
      </c>
    </row>
    <row r="1450" spans="1:18" x14ac:dyDescent="0.25">
      <c r="A1450" t="s">
        <v>512</v>
      </c>
      <c r="B1450" t="s">
        <v>494</v>
      </c>
      <c r="C1450">
        <v>76074938</v>
      </c>
      <c r="D1450">
        <v>36</v>
      </c>
      <c r="E1450">
        <v>30864987</v>
      </c>
      <c r="F1450" t="s">
        <v>1085</v>
      </c>
      <c r="G1450" s="1">
        <v>45238</v>
      </c>
      <c r="H1450">
        <v>5415617</v>
      </c>
      <c r="I1450">
        <v>272</v>
      </c>
      <c r="J1450" t="s">
        <v>398</v>
      </c>
      <c r="K1450" t="str">
        <f>IFERROR(IF(AND(VLOOKUP($C1450,Hes!$A:$B, 1, FALSE), $M1450&lt;&gt;" "), "Ingresada", "Falta Ingresar"), " ")</f>
        <v xml:space="preserve"> </v>
      </c>
      <c r="L1450" s="4" t="str">
        <f>IFERROR(VLOOKUP($C1450,Observaciones!$A:$B,2,FALSE)," ")</f>
        <v xml:space="preserve"> </v>
      </c>
      <c r="M1450" t="s">
        <v>681</v>
      </c>
      <c r="O1450" s="5">
        <v>30864987</v>
      </c>
      <c r="P1450" s="5">
        <v>29915</v>
      </c>
      <c r="Q1450" s="5">
        <v>5684</v>
      </c>
      <c r="R1450" s="5">
        <v>35599</v>
      </c>
    </row>
    <row r="1451" spans="1:18" x14ac:dyDescent="0.25">
      <c r="A1451" t="s">
        <v>512</v>
      </c>
      <c r="B1451" t="s">
        <v>494</v>
      </c>
      <c r="C1451">
        <v>76074938</v>
      </c>
      <c r="D1451">
        <v>13</v>
      </c>
      <c r="E1451">
        <v>30864985</v>
      </c>
      <c r="F1451" t="s">
        <v>1085</v>
      </c>
      <c r="G1451" s="1">
        <v>45238</v>
      </c>
      <c r="H1451">
        <v>5415721</v>
      </c>
      <c r="I1451">
        <v>272</v>
      </c>
      <c r="J1451" t="s">
        <v>398</v>
      </c>
      <c r="K1451" t="str">
        <f>IFERROR(IF(AND(VLOOKUP($C1451,Hes!$A:$B, 1, FALSE), $M1451&lt;&gt;" "), "Ingresada", "Falta Ingresar"), " ")</f>
        <v xml:space="preserve"> </v>
      </c>
      <c r="L1451" s="4" t="str">
        <f>IFERROR(VLOOKUP($C1451,Observaciones!$A:$B,2,FALSE)," ")</f>
        <v xml:space="preserve"> </v>
      </c>
      <c r="M1451" t="s">
        <v>681</v>
      </c>
      <c r="O1451" s="5">
        <v>30864985</v>
      </c>
      <c r="P1451" s="5">
        <v>39902</v>
      </c>
      <c r="Q1451" s="5">
        <v>7581</v>
      </c>
      <c r="R1451" s="5">
        <v>47483</v>
      </c>
    </row>
    <row r="1452" spans="1:18" x14ac:dyDescent="0.25">
      <c r="A1452" t="s">
        <v>512</v>
      </c>
      <c r="B1452" t="s">
        <v>494</v>
      </c>
      <c r="C1452">
        <v>76074938</v>
      </c>
      <c r="D1452">
        <v>73</v>
      </c>
      <c r="E1452">
        <v>30865007</v>
      </c>
      <c r="F1452" t="s">
        <v>1085</v>
      </c>
      <c r="G1452" s="1">
        <v>45238</v>
      </c>
      <c r="H1452">
        <v>5415728</v>
      </c>
      <c r="I1452">
        <v>272</v>
      </c>
      <c r="J1452" t="s">
        <v>398</v>
      </c>
      <c r="K1452" t="str">
        <f>IFERROR(IF(AND(VLOOKUP($C1452,Hes!$A:$B, 1, FALSE), $M1452&lt;&gt;" "), "Ingresada", "Falta Ingresar"), " ")</f>
        <v xml:space="preserve"> </v>
      </c>
      <c r="L1452" s="4" t="str">
        <f>IFERROR(VLOOKUP($C1452,Observaciones!$A:$B,2,FALSE)," ")</f>
        <v xml:space="preserve"> </v>
      </c>
      <c r="M1452" t="s">
        <v>681</v>
      </c>
      <c r="O1452" s="5">
        <v>30865007</v>
      </c>
      <c r="P1452" s="5">
        <v>32350</v>
      </c>
      <c r="Q1452" s="5">
        <v>6147</v>
      </c>
      <c r="R1452" s="5">
        <v>38497</v>
      </c>
    </row>
    <row r="1453" spans="1:18" x14ac:dyDescent="0.25">
      <c r="F1453" t="s">
        <v>1086</v>
      </c>
      <c r="K1453" t="str">
        <f>IFERROR(IF(AND(VLOOKUP($C1453,Hes!$A:$B, 1, FALSE), $M1453&lt;&gt;" "), "Ingresada", "Falta Ingresar"), " ")</f>
        <v xml:space="preserve"> </v>
      </c>
      <c r="L1453" s="4" t="str">
        <f>IFERROR(VLOOKUP($C1453,Observaciones!$A:$B,2,FALSE)," ")</f>
        <v xml:space="preserve"> </v>
      </c>
      <c r="M1453" t="s">
        <v>681</v>
      </c>
      <c r="P1453" s="5">
        <v>918633</v>
      </c>
      <c r="Q1453" s="5">
        <v>174540</v>
      </c>
      <c r="R1453" s="5">
        <v>1093173</v>
      </c>
    </row>
    <row r="1454" spans="1:18" x14ac:dyDescent="0.25">
      <c r="A1454" t="s">
        <v>503</v>
      </c>
      <c r="B1454" t="s">
        <v>494</v>
      </c>
      <c r="C1454">
        <v>76078112</v>
      </c>
      <c r="D1454">
        <v>5</v>
      </c>
      <c r="E1454">
        <v>30864772</v>
      </c>
      <c r="F1454" t="s">
        <v>1087</v>
      </c>
      <c r="G1454" s="1">
        <v>45238</v>
      </c>
      <c r="H1454">
        <v>5415507</v>
      </c>
      <c r="I1454">
        <v>122</v>
      </c>
      <c r="J1454" t="s">
        <v>396</v>
      </c>
      <c r="K1454" t="str">
        <f>IFERROR(IF(AND(VLOOKUP($C1454,Hes!$A:$B, 1, FALSE), $M1454&lt;&gt;" "), "Ingresada", "Falta Ingresar"), " ")</f>
        <v xml:space="preserve"> </v>
      </c>
      <c r="L1454" s="4" t="str">
        <f>IFERROR(VLOOKUP($C1454,Observaciones!$A:$B,2,FALSE)," ")</f>
        <v xml:space="preserve"> </v>
      </c>
      <c r="M1454" t="s">
        <v>681</v>
      </c>
      <c r="O1454" s="5">
        <v>30864772</v>
      </c>
      <c r="P1454" s="5">
        <v>90681</v>
      </c>
      <c r="Q1454" s="5">
        <v>17229</v>
      </c>
      <c r="R1454" s="5">
        <v>107910</v>
      </c>
    </row>
    <row r="1455" spans="1:18" x14ac:dyDescent="0.25">
      <c r="F1455" t="s">
        <v>495</v>
      </c>
      <c r="K1455" t="str">
        <f>IFERROR(IF(AND(VLOOKUP($C1455,Hes!$A:$B, 1, FALSE), $M1455&lt;&gt;" "), "Ingresada", "Falta Ingresar"), " ")</f>
        <v xml:space="preserve"> </v>
      </c>
      <c r="L1455" s="4" t="str">
        <f>IFERROR(VLOOKUP($C1455,Observaciones!$A:$B,2,FALSE)," ")</f>
        <v xml:space="preserve"> </v>
      </c>
      <c r="M1455" t="s">
        <v>681</v>
      </c>
      <c r="P1455" s="5">
        <v>90681</v>
      </c>
      <c r="Q1455" s="5">
        <v>17229</v>
      </c>
      <c r="R1455" s="5">
        <v>107910</v>
      </c>
    </row>
    <row r="1456" spans="1:18" x14ac:dyDescent="0.25">
      <c r="A1456" t="s">
        <v>496</v>
      </c>
      <c r="B1456" t="s">
        <v>494</v>
      </c>
      <c r="C1456">
        <v>76078831</v>
      </c>
      <c r="D1456">
        <v>0</v>
      </c>
      <c r="E1456">
        <v>10004057</v>
      </c>
      <c r="F1456" t="s">
        <v>1088</v>
      </c>
      <c r="G1456" s="1">
        <v>45237</v>
      </c>
      <c r="H1456">
        <v>5414170</v>
      </c>
      <c r="I1456">
        <v>463</v>
      </c>
      <c r="J1456" t="s">
        <v>446</v>
      </c>
      <c r="K1456" t="str">
        <f>IFERROR(IF(AND(VLOOKUP($C1456,Hes!$A:$B, 1, FALSE), $M1456&lt;&gt;" "), "Ingresada", "Falta Ingresar"), " ")</f>
        <v xml:space="preserve"> </v>
      </c>
      <c r="L1456" s="4" t="str">
        <f>IFERROR(VLOOKUP($C1456,Observaciones!$A:$B,2,FALSE)," ")</f>
        <v xml:space="preserve"> </v>
      </c>
      <c r="M1456" t="s">
        <v>681</v>
      </c>
      <c r="O1456" s="5">
        <v>30835927</v>
      </c>
      <c r="P1456" s="5">
        <v>45504</v>
      </c>
      <c r="Q1456" s="5">
        <v>8646</v>
      </c>
      <c r="R1456" s="5">
        <v>54150</v>
      </c>
    </row>
    <row r="1457" spans="1:18" x14ac:dyDescent="0.25">
      <c r="F1457" t="s">
        <v>495</v>
      </c>
      <c r="K1457" t="str">
        <f>IFERROR(IF(AND(VLOOKUP($C1457,Hes!$A:$B, 1, FALSE), $M1457&lt;&gt;" "), "Ingresada", "Falta Ingresar"), " ")</f>
        <v xml:space="preserve"> </v>
      </c>
      <c r="L1457" s="4" t="str">
        <f>IFERROR(VLOOKUP($C1457,Observaciones!$A:$B,2,FALSE)," ")</f>
        <v xml:space="preserve"> </v>
      </c>
      <c r="M1457" t="s">
        <v>681</v>
      </c>
      <c r="P1457" s="5">
        <v>45504</v>
      </c>
      <c r="Q1457" s="5">
        <v>8646</v>
      </c>
      <c r="R1457" s="5">
        <v>54150</v>
      </c>
    </row>
    <row r="1458" spans="1:18" x14ac:dyDescent="0.25">
      <c r="A1458" t="s">
        <v>520</v>
      </c>
      <c r="B1458" t="s">
        <v>494</v>
      </c>
      <c r="C1458">
        <v>76081590</v>
      </c>
      <c r="D1458">
        <v>28</v>
      </c>
      <c r="E1458">
        <v>30848131</v>
      </c>
      <c r="F1458" t="s">
        <v>1089</v>
      </c>
      <c r="G1458" s="1">
        <v>45234</v>
      </c>
      <c r="H1458">
        <v>5411769</v>
      </c>
      <c r="I1458">
        <v>114</v>
      </c>
      <c r="J1458" t="s">
        <v>182</v>
      </c>
      <c r="K1458" t="str">
        <f>IFERROR(IF(AND(VLOOKUP($C1458,Hes!$A:$B, 1, FALSE), $M1458&lt;&gt;" "), "Ingresada", "Falta Ingresar"), " ")</f>
        <v xml:space="preserve"> </v>
      </c>
      <c r="L1458" s="4" t="str">
        <f>IFERROR(VLOOKUP($C1458,Observaciones!$A:$B,2,FALSE)," ")</f>
        <v>XRUT</v>
      </c>
      <c r="M1458" t="s">
        <v>681</v>
      </c>
      <c r="O1458" s="5">
        <v>30848131</v>
      </c>
      <c r="P1458" s="5">
        <v>775895</v>
      </c>
      <c r="Q1458" s="5">
        <v>147420</v>
      </c>
      <c r="R1458" s="5">
        <v>923315</v>
      </c>
    </row>
    <row r="1459" spans="1:18" x14ac:dyDescent="0.25">
      <c r="A1459" t="s">
        <v>520</v>
      </c>
      <c r="B1459" t="s">
        <v>494</v>
      </c>
      <c r="C1459">
        <v>76081590</v>
      </c>
      <c r="D1459">
        <v>21</v>
      </c>
      <c r="E1459">
        <v>30851592</v>
      </c>
      <c r="F1459" t="s">
        <v>1089</v>
      </c>
      <c r="G1459" s="1">
        <v>45234</v>
      </c>
      <c r="H1459">
        <v>5412535</v>
      </c>
      <c r="I1459">
        <v>114</v>
      </c>
      <c r="J1459" t="s">
        <v>182</v>
      </c>
      <c r="K1459" t="str">
        <f>IFERROR(IF(AND(VLOOKUP($C1459,Hes!$A:$B, 1, FALSE), $M1459&lt;&gt;" "), "Ingresada", "Falta Ingresar"), " ")</f>
        <v xml:space="preserve"> </v>
      </c>
      <c r="L1459" s="4" t="str">
        <f>IFERROR(VLOOKUP($C1459,Observaciones!$A:$B,2,FALSE)," ")</f>
        <v>XRUT</v>
      </c>
      <c r="M1459" t="s">
        <v>681</v>
      </c>
      <c r="O1459" s="5">
        <v>30851592</v>
      </c>
      <c r="P1459" s="5">
        <v>187218</v>
      </c>
      <c r="Q1459" s="5">
        <v>35571</v>
      </c>
      <c r="R1459" s="5">
        <v>222789</v>
      </c>
    </row>
    <row r="1460" spans="1:18" x14ac:dyDescent="0.25">
      <c r="A1460" t="s">
        <v>520</v>
      </c>
      <c r="B1460" t="s">
        <v>494</v>
      </c>
      <c r="C1460">
        <v>76081590</v>
      </c>
      <c r="D1460">
        <v>14</v>
      </c>
      <c r="E1460">
        <v>30858298</v>
      </c>
      <c r="F1460" t="s">
        <v>1089</v>
      </c>
      <c r="G1460" s="1">
        <v>45237</v>
      </c>
      <c r="H1460">
        <v>5413968</v>
      </c>
      <c r="I1460">
        <v>114</v>
      </c>
      <c r="J1460" t="s">
        <v>182</v>
      </c>
      <c r="K1460" t="str">
        <f>IFERROR(IF(AND(VLOOKUP($C1460,Hes!$A:$B, 1, FALSE), $M1460&lt;&gt;" "), "Ingresada", "Falta Ingresar"), " ")</f>
        <v xml:space="preserve"> </v>
      </c>
      <c r="L1460" s="4" t="str">
        <f>IFERROR(VLOOKUP($C1460,Observaciones!$A:$B,2,FALSE)," ")</f>
        <v>XRUT</v>
      </c>
      <c r="M1460" t="s">
        <v>681</v>
      </c>
      <c r="O1460" s="5">
        <v>30858298</v>
      </c>
      <c r="P1460" s="5">
        <v>186110</v>
      </c>
      <c r="Q1460" s="5">
        <v>35361</v>
      </c>
      <c r="R1460" s="5">
        <v>221471</v>
      </c>
    </row>
    <row r="1461" spans="1:18" x14ac:dyDescent="0.25">
      <c r="F1461" t="s">
        <v>500</v>
      </c>
      <c r="K1461" t="str">
        <f>IFERROR(IF(AND(VLOOKUP($C1461,Hes!$A:$B, 1, FALSE), $M1461&lt;&gt;" "), "Ingresada", "Falta Ingresar"), " ")</f>
        <v xml:space="preserve"> </v>
      </c>
      <c r="L1461" s="4" t="str">
        <f>IFERROR(VLOOKUP($C1461,Observaciones!$A:$B,2,FALSE)," ")</f>
        <v xml:space="preserve"> </v>
      </c>
      <c r="M1461" t="s">
        <v>681</v>
      </c>
      <c r="P1461" s="5">
        <v>1149223</v>
      </c>
      <c r="Q1461" s="5">
        <v>218352</v>
      </c>
      <c r="R1461" s="5">
        <v>1367575</v>
      </c>
    </row>
    <row r="1462" spans="1:18" x14ac:dyDescent="0.25">
      <c r="A1462" t="s">
        <v>496</v>
      </c>
      <c r="B1462" t="s">
        <v>502</v>
      </c>
      <c r="C1462">
        <v>76085717</v>
      </c>
      <c r="D1462">
        <v>0</v>
      </c>
      <c r="E1462">
        <v>30844754</v>
      </c>
      <c r="F1462" t="s">
        <v>1090</v>
      </c>
      <c r="G1462" s="1">
        <v>45232</v>
      </c>
      <c r="H1462">
        <v>5410737</v>
      </c>
      <c r="I1462">
        <v>61</v>
      </c>
      <c r="J1462" t="s">
        <v>244</v>
      </c>
      <c r="K1462" t="str">
        <f>IFERROR(IF(AND(VLOOKUP($C1462,Hes!$A:$B, 1, FALSE), $M1462&lt;&gt;" "), "Ingresada", "Falta Ingresar"), " ")</f>
        <v xml:space="preserve"> </v>
      </c>
      <c r="L1462" s="4" t="str">
        <f>IFERROR(VLOOKUP($C1462,Observaciones!$A:$B,2,FALSE)," ")</f>
        <v xml:space="preserve"> </v>
      </c>
      <c r="M1462" t="s">
        <v>681</v>
      </c>
      <c r="O1462" s="5">
        <v>30844754</v>
      </c>
      <c r="P1462" s="5">
        <v>107862</v>
      </c>
      <c r="Q1462" s="5">
        <v>20494</v>
      </c>
      <c r="R1462" s="5">
        <v>128356</v>
      </c>
    </row>
    <row r="1463" spans="1:18" x14ac:dyDescent="0.25">
      <c r="A1463" t="s">
        <v>496</v>
      </c>
      <c r="B1463" t="s">
        <v>502</v>
      </c>
      <c r="C1463">
        <v>76085717</v>
      </c>
      <c r="D1463">
        <v>0</v>
      </c>
      <c r="E1463">
        <v>30853456</v>
      </c>
      <c r="F1463" t="s">
        <v>1090</v>
      </c>
      <c r="G1463" s="1">
        <v>45236</v>
      </c>
      <c r="H1463">
        <v>5413686</v>
      </c>
      <c r="I1463">
        <v>61</v>
      </c>
      <c r="J1463" t="s">
        <v>244</v>
      </c>
      <c r="K1463" t="str">
        <f>IFERROR(IF(AND(VLOOKUP($C1463,Hes!$A:$B, 1, FALSE), $M1463&lt;&gt;" "), "Ingresada", "Falta Ingresar"), " ")</f>
        <v xml:space="preserve"> </v>
      </c>
      <c r="L1463" s="4" t="str">
        <f>IFERROR(VLOOKUP($C1463,Observaciones!$A:$B,2,FALSE)," ")</f>
        <v xml:space="preserve"> </v>
      </c>
      <c r="M1463" t="s">
        <v>681</v>
      </c>
      <c r="O1463" s="5">
        <v>30853456</v>
      </c>
      <c r="P1463" s="5">
        <v>761325</v>
      </c>
      <c r="Q1463" s="5">
        <v>144652</v>
      </c>
      <c r="R1463" s="5">
        <v>905977</v>
      </c>
    </row>
    <row r="1464" spans="1:18" x14ac:dyDescent="0.25">
      <c r="F1464" t="s">
        <v>497</v>
      </c>
      <c r="K1464" t="str">
        <f>IFERROR(IF(AND(VLOOKUP($C1464,Hes!$A:$B, 1, FALSE), $M1464&lt;&gt;" "), "Ingresada", "Falta Ingresar"), " ")</f>
        <v xml:space="preserve"> </v>
      </c>
      <c r="L1464" s="4" t="str">
        <f>IFERROR(VLOOKUP($C1464,Observaciones!$A:$B,2,FALSE)," ")</f>
        <v xml:space="preserve"> </v>
      </c>
      <c r="M1464" t="s">
        <v>681</v>
      </c>
      <c r="P1464" s="5">
        <v>869187</v>
      </c>
      <c r="Q1464" s="5">
        <v>165146</v>
      </c>
      <c r="R1464" s="5">
        <v>1034333</v>
      </c>
    </row>
    <row r="1465" spans="1:18" x14ac:dyDescent="0.25">
      <c r="A1465" t="s">
        <v>501</v>
      </c>
      <c r="B1465" t="s">
        <v>494</v>
      </c>
      <c r="C1465">
        <v>76092970</v>
      </c>
      <c r="D1465">
        <v>0</v>
      </c>
      <c r="E1465">
        <v>5501944098</v>
      </c>
      <c r="F1465" t="s">
        <v>1091</v>
      </c>
      <c r="G1465" s="1">
        <v>45231</v>
      </c>
      <c r="H1465">
        <v>5410645</v>
      </c>
      <c r="I1465">
        <v>344</v>
      </c>
      <c r="J1465" t="s">
        <v>301</v>
      </c>
      <c r="K1465" t="str">
        <f>IFERROR(IF(AND(VLOOKUP($C1465,Hes!$A:$B, 1, FALSE), $M1465&lt;&gt;" "), "Ingresada", "Falta Ingresar"), " ")</f>
        <v xml:space="preserve"> </v>
      </c>
      <c r="L1465" s="4" t="str">
        <f>IFERROR(VLOOKUP($C1465,Observaciones!$A:$B,2,FALSE)," ")</f>
        <v xml:space="preserve"> </v>
      </c>
      <c r="M1465" t="s">
        <v>681</v>
      </c>
      <c r="O1465" s="5">
        <v>30841930</v>
      </c>
      <c r="P1465" s="5">
        <v>247002</v>
      </c>
      <c r="Q1465" s="5">
        <v>46930</v>
      </c>
      <c r="R1465" s="5">
        <v>293932</v>
      </c>
    </row>
    <row r="1466" spans="1:18" x14ac:dyDescent="0.25">
      <c r="A1466" t="s">
        <v>501</v>
      </c>
      <c r="B1466" t="s">
        <v>494</v>
      </c>
      <c r="C1466">
        <v>76092970</v>
      </c>
      <c r="D1466">
        <v>0</v>
      </c>
      <c r="E1466">
        <v>5501844101</v>
      </c>
      <c r="F1466" t="s">
        <v>1091</v>
      </c>
      <c r="G1466" s="1">
        <v>45231</v>
      </c>
      <c r="H1466">
        <v>5410646</v>
      </c>
      <c r="I1466">
        <v>344</v>
      </c>
      <c r="J1466" t="s">
        <v>301</v>
      </c>
      <c r="K1466" t="str">
        <f>IFERROR(IF(AND(VLOOKUP($C1466,Hes!$A:$B, 1, FALSE), $M1466&lt;&gt;" "), "Ingresada", "Falta Ingresar"), " ")</f>
        <v xml:space="preserve"> </v>
      </c>
      <c r="L1466" s="4" t="str">
        <f>IFERROR(VLOOKUP($C1466,Observaciones!$A:$B,2,FALSE)," ")</f>
        <v xml:space="preserve"> </v>
      </c>
      <c r="M1466" t="s">
        <v>681</v>
      </c>
      <c r="O1466" s="5">
        <v>30841920</v>
      </c>
      <c r="P1466" s="5">
        <v>28000</v>
      </c>
      <c r="Q1466" s="5">
        <v>5320</v>
      </c>
      <c r="R1466" s="5">
        <v>33320</v>
      </c>
    </row>
    <row r="1467" spans="1:18" x14ac:dyDescent="0.25">
      <c r="F1467" t="s">
        <v>497</v>
      </c>
      <c r="K1467" t="str">
        <f>IFERROR(IF(AND(VLOOKUP($C1467,Hes!$A:$B, 1, FALSE), $M1467&lt;&gt;" "), "Ingresada", "Falta Ingresar"), " ")</f>
        <v xml:space="preserve"> </v>
      </c>
      <c r="L1467" s="4" t="str">
        <f>IFERROR(VLOOKUP($C1467,Observaciones!$A:$B,2,FALSE)," ")</f>
        <v xml:space="preserve"> </v>
      </c>
      <c r="M1467" t="s">
        <v>681</v>
      </c>
      <c r="P1467" s="5">
        <v>275002</v>
      </c>
      <c r="Q1467" s="5">
        <v>52250</v>
      </c>
      <c r="R1467" s="5">
        <v>327252</v>
      </c>
    </row>
    <row r="1468" spans="1:18" x14ac:dyDescent="0.25">
      <c r="A1468" t="s">
        <v>501</v>
      </c>
      <c r="B1468" t="s">
        <v>494</v>
      </c>
      <c r="C1468">
        <v>76094234</v>
      </c>
      <c r="D1468">
        <v>0</v>
      </c>
      <c r="E1468">
        <v>30856426</v>
      </c>
      <c r="F1468" t="s">
        <v>1092</v>
      </c>
      <c r="G1468" s="1">
        <v>45236</v>
      </c>
      <c r="H1468">
        <v>5413440</v>
      </c>
      <c r="I1468">
        <v>409</v>
      </c>
      <c r="J1468" t="s">
        <v>186</v>
      </c>
      <c r="K1468" t="str">
        <f>IFERROR(IF(AND(VLOOKUP($C1468,Hes!$A:$B, 1, FALSE), $M1468&lt;&gt;" "), "Ingresada", "Falta Ingresar"), " ")</f>
        <v xml:space="preserve"> </v>
      </c>
      <c r="L1468" s="4" t="str">
        <f>IFERROR(VLOOKUP($C1468,Observaciones!$A:$B,2,FALSE)," ")</f>
        <v xml:space="preserve"> </v>
      </c>
      <c r="M1468" t="s">
        <v>681</v>
      </c>
      <c r="O1468" s="5">
        <v>30856426</v>
      </c>
      <c r="P1468" s="5">
        <v>44739</v>
      </c>
      <c r="Q1468" s="5">
        <v>8500</v>
      </c>
      <c r="R1468" s="5">
        <v>53239</v>
      </c>
    </row>
    <row r="1469" spans="1:18" x14ac:dyDescent="0.25">
      <c r="F1469" t="s">
        <v>495</v>
      </c>
      <c r="K1469" t="str">
        <f>IFERROR(IF(AND(VLOOKUP($C1469,Hes!$A:$B, 1, FALSE), $M1469&lt;&gt;" "), "Ingresada", "Falta Ingresar"), " ")</f>
        <v xml:space="preserve"> </v>
      </c>
      <c r="L1469" s="4" t="str">
        <f>IFERROR(VLOOKUP($C1469,Observaciones!$A:$B,2,FALSE)," ")</f>
        <v xml:space="preserve"> </v>
      </c>
      <c r="M1469" t="s">
        <v>681</v>
      </c>
      <c r="P1469" s="5">
        <v>44739</v>
      </c>
      <c r="Q1469" s="5">
        <v>8500</v>
      </c>
      <c r="R1469" s="5">
        <v>53239</v>
      </c>
    </row>
    <row r="1470" spans="1:18" x14ac:dyDescent="0.25">
      <c r="A1470" t="s">
        <v>501</v>
      </c>
      <c r="B1470" t="s">
        <v>494</v>
      </c>
      <c r="C1470">
        <v>76098247</v>
      </c>
      <c r="D1470">
        <v>0</v>
      </c>
      <c r="E1470">
        <v>30846863</v>
      </c>
      <c r="F1470" t="s">
        <v>1093</v>
      </c>
      <c r="G1470" s="1">
        <v>45233</v>
      </c>
      <c r="H1470">
        <v>5411671</v>
      </c>
      <c r="I1470">
        <v>193</v>
      </c>
      <c r="J1470" t="s">
        <v>346</v>
      </c>
      <c r="K1470" t="str">
        <f>IFERROR(IF(AND(VLOOKUP($C1470,Hes!$A:$B, 1, FALSE), $M1470&lt;&gt;" "), "Ingresada", "Falta Ingresar"), " ")</f>
        <v xml:space="preserve"> </v>
      </c>
      <c r="L1470" s="4" t="str">
        <f>IFERROR(VLOOKUP($C1470,Observaciones!$A:$B,2,FALSE)," ")</f>
        <v xml:space="preserve"> </v>
      </c>
      <c r="M1470" t="s">
        <v>681</v>
      </c>
      <c r="O1470" s="5">
        <v>30846863</v>
      </c>
      <c r="P1470" s="5">
        <v>153679</v>
      </c>
      <c r="Q1470" s="5">
        <v>29199</v>
      </c>
      <c r="R1470" s="5">
        <v>187623</v>
      </c>
    </row>
    <row r="1471" spans="1:18" x14ac:dyDescent="0.25">
      <c r="F1471" t="s">
        <v>495</v>
      </c>
      <c r="K1471" t="str">
        <f>IFERROR(IF(AND(VLOOKUP($C1471,Hes!$A:$B, 1, FALSE), $M1471&lt;&gt;" "), "Ingresada", "Falta Ingresar"), " ")</f>
        <v xml:space="preserve"> </v>
      </c>
      <c r="L1471" s="4" t="str">
        <f>IFERROR(VLOOKUP($C1471,Observaciones!$A:$B,2,FALSE)," ")</f>
        <v xml:space="preserve"> </v>
      </c>
      <c r="M1471" t="s">
        <v>681</v>
      </c>
      <c r="P1471" s="5">
        <v>153679</v>
      </c>
      <c r="Q1471" s="5">
        <v>29199</v>
      </c>
      <c r="R1471" s="5">
        <v>187623</v>
      </c>
    </row>
    <row r="1472" spans="1:18" x14ac:dyDescent="0.25">
      <c r="A1472" t="s">
        <v>496</v>
      </c>
      <c r="B1472" t="s">
        <v>494</v>
      </c>
      <c r="C1472">
        <v>76101812</v>
      </c>
      <c r="D1472">
        <v>0</v>
      </c>
      <c r="E1472">
        <v>1400119812</v>
      </c>
      <c r="F1472" t="s">
        <v>1094</v>
      </c>
      <c r="G1472" s="1">
        <v>45236</v>
      </c>
      <c r="H1472">
        <v>5413865</v>
      </c>
      <c r="I1472">
        <v>438</v>
      </c>
      <c r="J1472" t="s">
        <v>352</v>
      </c>
      <c r="K1472" t="str">
        <f>IFERROR(IF(AND(VLOOKUP($C1472,Hes!$A:$B, 1, FALSE), $M1472&lt;&gt;" "), "Ingresada", "Falta Ingresar"), " ")</f>
        <v xml:space="preserve"> </v>
      </c>
      <c r="L1472" s="4" t="str">
        <f>IFERROR(VLOOKUP($C1472,Observaciones!$A:$B,2,FALSE)," ")</f>
        <v>XOC Y CC</v>
      </c>
      <c r="M1472" t="s">
        <v>681</v>
      </c>
      <c r="O1472" s="5">
        <v>30849454</v>
      </c>
      <c r="P1472" s="5">
        <v>3129000</v>
      </c>
      <c r="Q1472" s="5">
        <v>594510</v>
      </c>
      <c r="R1472" s="5">
        <v>3723510</v>
      </c>
    </row>
    <row r="1473" spans="1:18" x14ac:dyDescent="0.25">
      <c r="A1473" t="s">
        <v>496</v>
      </c>
      <c r="B1473" t="s">
        <v>494</v>
      </c>
      <c r="C1473">
        <v>76101812</v>
      </c>
      <c r="D1473">
        <v>0</v>
      </c>
      <c r="E1473">
        <v>1400122607</v>
      </c>
      <c r="F1473" t="s">
        <v>1094</v>
      </c>
      <c r="G1473" s="1">
        <v>45238</v>
      </c>
      <c r="H1473">
        <v>5415672</v>
      </c>
      <c r="I1473">
        <v>438</v>
      </c>
      <c r="J1473" t="s">
        <v>352</v>
      </c>
      <c r="K1473" t="str">
        <f>IFERROR(IF(AND(VLOOKUP($C1473,Hes!$A:$B, 1, FALSE), $M1473&lt;&gt;" "), "Ingresada", "Falta Ingresar"), " ")</f>
        <v xml:space="preserve"> </v>
      </c>
      <c r="L1473" s="4" t="str">
        <f>IFERROR(VLOOKUP($C1473,Observaciones!$A:$B,2,FALSE)," ")</f>
        <v>XOC Y CC</v>
      </c>
      <c r="M1473" t="s">
        <v>681</v>
      </c>
      <c r="O1473" s="5">
        <v>30841695</v>
      </c>
      <c r="P1473" s="5">
        <v>97760</v>
      </c>
      <c r="Q1473" s="5">
        <v>18574</v>
      </c>
      <c r="R1473" s="5">
        <v>116334</v>
      </c>
    </row>
    <row r="1474" spans="1:18" x14ac:dyDescent="0.25">
      <c r="A1474" t="s">
        <v>496</v>
      </c>
      <c r="B1474" t="s">
        <v>494</v>
      </c>
      <c r="C1474">
        <v>76101812</v>
      </c>
      <c r="D1474">
        <v>0</v>
      </c>
      <c r="E1474">
        <v>1400122878</v>
      </c>
      <c r="F1474" t="s">
        <v>1094</v>
      </c>
      <c r="G1474" s="1">
        <v>45238</v>
      </c>
      <c r="H1474">
        <v>5415736</v>
      </c>
      <c r="I1474">
        <v>438</v>
      </c>
      <c r="J1474" t="s">
        <v>352</v>
      </c>
      <c r="K1474" t="str">
        <f>IFERROR(IF(AND(VLOOKUP($C1474,Hes!$A:$B, 1, FALSE), $M1474&lt;&gt;" "), "Ingresada", "Falta Ingresar"), " ")</f>
        <v xml:space="preserve"> </v>
      </c>
      <c r="L1474" s="4" t="str">
        <f>IFERROR(VLOOKUP($C1474,Observaciones!$A:$B,2,FALSE)," ")</f>
        <v>XOC Y CC</v>
      </c>
      <c r="M1474" t="s">
        <v>681</v>
      </c>
      <c r="O1474" s="5">
        <v>30847102</v>
      </c>
      <c r="P1474" s="5">
        <v>198750</v>
      </c>
      <c r="Q1474" s="5">
        <v>37763</v>
      </c>
      <c r="R1474" s="5">
        <v>236513</v>
      </c>
    </row>
    <row r="1475" spans="1:18" x14ac:dyDescent="0.25">
      <c r="A1475" t="s">
        <v>496</v>
      </c>
      <c r="B1475" t="s">
        <v>494</v>
      </c>
      <c r="C1475">
        <v>76101812</v>
      </c>
      <c r="D1475">
        <v>0</v>
      </c>
      <c r="E1475">
        <v>1400122882</v>
      </c>
      <c r="F1475" t="s">
        <v>1094</v>
      </c>
      <c r="G1475" s="1">
        <v>45238</v>
      </c>
      <c r="H1475">
        <v>5415742</v>
      </c>
      <c r="I1475">
        <v>438</v>
      </c>
      <c r="J1475" t="s">
        <v>352</v>
      </c>
      <c r="K1475" t="str">
        <f>IFERROR(IF(AND(VLOOKUP($C1475,Hes!$A:$B, 1, FALSE), $M1475&lt;&gt;" "), "Ingresada", "Falta Ingresar"), " ")</f>
        <v xml:space="preserve"> </v>
      </c>
      <c r="L1475" s="4" t="str">
        <f>IFERROR(VLOOKUP($C1475,Observaciones!$A:$B,2,FALSE)," ")</f>
        <v>XOC Y CC</v>
      </c>
      <c r="M1475" t="s">
        <v>681</v>
      </c>
      <c r="O1475" s="5">
        <v>30861206</v>
      </c>
      <c r="P1475" s="5">
        <v>1562159</v>
      </c>
      <c r="Q1475" s="5">
        <v>296810</v>
      </c>
      <c r="R1475" s="5">
        <v>1858969</v>
      </c>
    </row>
    <row r="1476" spans="1:18" x14ac:dyDescent="0.25">
      <c r="F1476" t="s">
        <v>498</v>
      </c>
      <c r="K1476" t="str">
        <f>IFERROR(IF(AND(VLOOKUP($C1476,Hes!$A:$B, 1, FALSE), $M1476&lt;&gt;" "), "Ingresada", "Falta Ingresar"), " ")</f>
        <v xml:space="preserve"> </v>
      </c>
      <c r="L1476" s="4" t="str">
        <f>IFERROR(VLOOKUP($C1476,Observaciones!$A:$B,2,FALSE)," ")</f>
        <v xml:space="preserve"> </v>
      </c>
      <c r="M1476" t="s">
        <v>681</v>
      </c>
      <c r="P1476" s="5">
        <v>4987669</v>
      </c>
      <c r="Q1476" s="5">
        <v>947657</v>
      </c>
      <c r="R1476" s="5">
        <v>5935326</v>
      </c>
    </row>
    <row r="1477" spans="1:18" x14ac:dyDescent="0.25">
      <c r="A1477" t="s">
        <v>496</v>
      </c>
      <c r="B1477" t="s">
        <v>494</v>
      </c>
      <c r="C1477">
        <v>76102677</v>
      </c>
      <c r="D1477">
        <v>2</v>
      </c>
      <c r="E1477">
        <v>4717</v>
      </c>
      <c r="F1477" t="s">
        <v>1095</v>
      </c>
      <c r="G1477" s="1">
        <v>45232</v>
      </c>
      <c r="H1477">
        <v>5410709</v>
      </c>
      <c r="I1477">
        <v>417</v>
      </c>
      <c r="J1477" t="s">
        <v>261</v>
      </c>
      <c r="K1477" s="8" t="str">
        <f>IFERROR(IF(AND(VLOOKUP($C1477,Hes!$A:$B, 1, FALSE), $M1477&lt;&gt;" "), "Ingresada", "Falta Ingresar"), " ")</f>
        <v>Falta Ingresar</v>
      </c>
      <c r="L1477" s="4" t="str">
        <f>IFERROR(VLOOKUP($C1477,Observaciones!$A:$B,2,FALSE)," ")</f>
        <v>XOC YCC CON HES</v>
      </c>
      <c r="M1477" t="s">
        <v>681</v>
      </c>
      <c r="N1477" s="5" t="s">
        <v>841</v>
      </c>
      <c r="O1477" s="5">
        <v>30824754</v>
      </c>
      <c r="P1477" s="5">
        <v>266320</v>
      </c>
      <c r="Q1477" s="5">
        <v>50601</v>
      </c>
      <c r="R1477" s="5">
        <v>316921</v>
      </c>
    </row>
    <row r="1478" spans="1:18" x14ac:dyDescent="0.25">
      <c r="F1478" t="s">
        <v>495</v>
      </c>
      <c r="K1478" t="str">
        <f>IFERROR(IF(AND(VLOOKUP($C1478,Hes!$A:$B, 1, FALSE), $M1478&lt;&gt;" "), "Ingresada", "Falta Ingresar"), " ")</f>
        <v xml:space="preserve"> </v>
      </c>
      <c r="L1478" s="4" t="str">
        <f>IFERROR(VLOOKUP($C1478,Observaciones!$A:$B,2,FALSE)," ")</f>
        <v xml:space="preserve"> </v>
      </c>
      <c r="M1478" t="s">
        <v>681</v>
      </c>
      <c r="P1478" s="5">
        <v>266320</v>
      </c>
      <c r="Q1478" s="5">
        <v>50601</v>
      </c>
      <c r="R1478" s="5">
        <v>316921</v>
      </c>
    </row>
    <row r="1479" spans="1:18" x14ac:dyDescent="0.25">
      <c r="A1479" t="s">
        <v>496</v>
      </c>
      <c r="B1479" t="s">
        <v>509</v>
      </c>
      <c r="C1479">
        <v>76106395</v>
      </c>
      <c r="D1479">
        <v>0</v>
      </c>
      <c r="E1479">
        <v>30846193</v>
      </c>
      <c r="F1479" t="s">
        <v>1096</v>
      </c>
      <c r="G1479" s="1">
        <v>45232</v>
      </c>
      <c r="H1479">
        <v>5410988</v>
      </c>
      <c r="I1479">
        <v>456</v>
      </c>
      <c r="J1479" t="s">
        <v>275</v>
      </c>
      <c r="K1479" t="str">
        <f>IFERROR(IF(AND(VLOOKUP($C1479,Hes!$A:$B, 1, FALSE), $M1479&lt;&gt;" "), "Ingresada", "Falta Ingresar"), " ")</f>
        <v xml:space="preserve"> </v>
      </c>
      <c r="L1479" s="4" t="str">
        <f>IFERROR(VLOOKUP($C1479,Observaciones!$A:$B,2,FALSE)," ")</f>
        <v xml:space="preserve"> </v>
      </c>
      <c r="M1479" t="s">
        <v>681</v>
      </c>
      <c r="O1479" s="5">
        <v>30846193</v>
      </c>
      <c r="P1479" s="5">
        <v>312055</v>
      </c>
      <c r="Q1479" s="5">
        <v>59290</v>
      </c>
      <c r="R1479" s="5">
        <v>371345</v>
      </c>
    </row>
    <row r="1480" spans="1:18" x14ac:dyDescent="0.25">
      <c r="A1480" t="s">
        <v>496</v>
      </c>
      <c r="B1480" t="s">
        <v>509</v>
      </c>
      <c r="C1480">
        <v>76106395</v>
      </c>
      <c r="D1480">
        <v>0</v>
      </c>
      <c r="E1480">
        <v>30846193</v>
      </c>
      <c r="F1480" t="s">
        <v>1096</v>
      </c>
      <c r="G1480" s="1">
        <v>45232</v>
      </c>
      <c r="H1480">
        <v>5410989</v>
      </c>
      <c r="I1480">
        <v>456</v>
      </c>
      <c r="J1480" t="s">
        <v>275</v>
      </c>
      <c r="K1480" t="str">
        <f>IFERROR(IF(AND(VLOOKUP($C1480,Hes!$A:$B, 1, FALSE), $M1480&lt;&gt;" "), "Ingresada", "Falta Ingresar"), " ")</f>
        <v xml:space="preserve"> </v>
      </c>
      <c r="L1480" s="4" t="str">
        <f>IFERROR(VLOOKUP($C1480,Observaciones!$A:$B,2,FALSE)," ")</f>
        <v xml:space="preserve"> </v>
      </c>
      <c r="M1480" t="s">
        <v>681</v>
      </c>
      <c r="O1480" s="5">
        <v>30846193</v>
      </c>
      <c r="P1480" s="5">
        <v>182998</v>
      </c>
      <c r="Q1480" s="5">
        <v>34770</v>
      </c>
      <c r="R1480" s="5">
        <v>217768</v>
      </c>
    </row>
    <row r="1481" spans="1:18" x14ac:dyDescent="0.25">
      <c r="A1481" t="s">
        <v>496</v>
      </c>
      <c r="B1481" t="s">
        <v>509</v>
      </c>
      <c r="C1481">
        <v>76106395</v>
      </c>
      <c r="D1481">
        <v>0</v>
      </c>
      <c r="E1481">
        <v>30864059</v>
      </c>
      <c r="F1481" t="s">
        <v>1096</v>
      </c>
      <c r="G1481" s="1">
        <v>45238</v>
      </c>
      <c r="H1481">
        <v>5415664</v>
      </c>
      <c r="I1481">
        <v>456</v>
      </c>
      <c r="J1481" t="s">
        <v>275</v>
      </c>
      <c r="K1481" t="str">
        <f>IFERROR(IF(AND(VLOOKUP($C1481,Hes!$A:$B, 1, FALSE), $M1481&lt;&gt;" "), "Ingresada", "Falta Ingresar"), " ")</f>
        <v xml:space="preserve"> </v>
      </c>
      <c r="L1481" s="4" t="str">
        <f>IFERROR(VLOOKUP($C1481,Observaciones!$A:$B,2,FALSE)," ")</f>
        <v xml:space="preserve"> </v>
      </c>
      <c r="M1481" t="s">
        <v>681</v>
      </c>
      <c r="O1481" s="5">
        <v>30864059</v>
      </c>
      <c r="P1481" s="5">
        <v>361490</v>
      </c>
      <c r="Q1481" s="5">
        <v>68683</v>
      </c>
      <c r="R1481" s="5">
        <v>430173</v>
      </c>
    </row>
    <row r="1482" spans="1:18" x14ac:dyDescent="0.25">
      <c r="F1482" t="s">
        <v>500</v>
      </c>
      <c r="K1482" t="str">
        <f>IFERROR(IF(AND(VLOOKUP($C1482,Hes!$A:$B, 1, FALSE), $M1482&lt;&gt;" "), "Ingresada", "Falta Ingresar"), " ")</f>
        <v xml:space="preserve"> </v>
      </c>
      <c r="L1482" s="4" t="str">
        <f>IFERROR(VLOOKUP($C1482,Observaciones!$A:$B,2,FALSE)," ")</f>
        <v xml:space="preserve"> </v>
      </c>
      <c r="M1482" t="s">
        <v>681</v>
      </c>
      <c r="P1482" s="5">
        <v>856543</v>
      </c>
      <c r="Q1482" s="5">
        <v>162743</v>
      </c>
      <c r="R1482" s="5">
        <v>1019286</v>
      </c>
    </row>
    <row r="1483" spans="1:18" x14ac:dyDescent="0.25">
      <c r="A1483" t="s">
        <v>496</v>
      </c>
      <c r="B1483" t="s">
        <v>494</v>
      </c>
      <c r="C1483">
        <v>76107905</v>
      </c>
      <c r="D1483">
        <v>25</v>
      </c>
      <c r="E1483">
        <v>30848913</v>
      </c>
      <c r="F1483" t="s">
        <v>1097</v>
      </c>
      <c r="G1483" s="1">
        <v>45233</v>
      </c>
      <c r="H1483">
        <v>5411528</v>
      </c>
      <c r="I1483">
        <v>96</v>
      </c>
      <c r="J1483" t="s">
        <v>140</v>
      </c>
      <c r="K1483" s="8" t="str">
        <f>IFERROR(IF(AND(VLOOKUP($C1483,Hes!$A:$B, 1, FALSE), $M1483&lt;&gt;" "), "Ingresada", "Falta Ingresar"), " ")</f>
        <v>Falta Ingresar</v>
      </c>
      <c r="L1483" s="4" t="str">
        <f>IFERROR(VLOOKUP($C1483,Observaciones!$A:$B,2,FALSE)," ")</f>
        <v>SI VENDEDOR NO MANDA OC TODO UNA FACTURA</v>
      </c>
      <c r="M1483" t="s">
        <v>681</v>
      </c>
      <c r="N1483" s="5" t="s">
        <v>841</v>
      </c>
      <c r="O1483" s="5">
        <v>30848913</v>
      </c>
      <c r="P1483" s="5">
        <v>28036</v>
      </c>
      <c r="Q1483" s="5">
        <v>5327</v>
      </c>
      <c r="R1483" s="5">
        <v>33363</v>
      </c>
    </row>
    <row r="1484" spans="1:18" x14ac:dyDescent="0.25">
      <c r="A1484" t="s">
        <v>496</v>
      </c>
      <c r="B1484" t="s">
        <v>494</v>
      </c>
      <c r="C1484">
        <v>76107905</v>
      </c>
      <c r="D1484">
        <v>12</v>
      </c>
      <c r="E1484">
        <v>30851282</v>
      </c>
      <c r="F1484" t="s">
        <v>1097</v>
      </c>
      <c r="G1484" s="1">
        <v>45233</v>
      </c>
      <c r="H1484">
        <v>5411723</v>
      </c>
      <c r="I1484">
        <v>96</v>
      </c>
      <c r="J1484" t="s">
        <v>140</v>
      </c>
      <c r="K1484" s="8" t="str">
        <f>IFERROR(IF(AND(VLOOKUP($C1484,Hes!$A:$B, 1, FALSE), $M1484&lt;&gt;" "), "Ingresada", "Falta Ingresar"), " ")</f>
        <v>Falta Ingresar</v>
      </c>
      <c r="L1484" s="4" t="str">
        <f>IFERROR(VLOOKUP($C1484,Observaciones!$A:$B,2,FALSE)," ")</f>
        <v>SI VENDEDOR NO MANDA OC TODO UNA FACTURA</v>
      </c>
      <c r="M1484" t="s">
        <v>681</v>
      </c>
      <c r="N1484" s="5" t="s">
        <v>841</v>
      </c>
      <c r="O1484" s="5">
        <v>30851282</v>
      </c>
      <c r="P1484" s="5">
        <v>106423</v>
      </c>
      <c r="Q1484" s="5">
        <v>20220</v>
      </c>
      <c r="R1484" s="5">
        <v>126643</v>
      </c>
    </row>
    <row r="1485" spans="1:18" x14ac:dyDescent="0.25">
      <c r="A1485" t="s">
        <v>496</v>
      </c>
      <c r="B1485" t="s">
        <v>494</v>
      </c>
      <c r="C1485">
        <v>76107905</v>
      </c>
      <c r="D1485">
        <v>69</v>
      </c>
      <c r="E1485">
        <v>30854529</v>
      </c>
      <c r="F1485" t="s">
        <v>1097</v>
      </c>
      <c r="G1485" s="1">
        <v>45236</v>
      </c>
      <c r="H1485">
        <v>5413696</v>
      </c>
      <c r="I1485">
        <v>96</v>
      </c>
      <c r="J1485" t="s">
        <v>140</v>
      </c>
      <c r="K1485" s="8" t="str">
        <f>IFERROR(IF(AND(VLOOKUP($C1485,Hes!$A:$B, 1, FALSE), $M1485&lt;&gt;" "), "Ingresada", "Falta Ingresar"), " ")</f>
        <v>Falta Ingresar</v>
      </c>
      <c r="L1485" s="4" t="str">
        <f>IFERROR(VLOOKUP($C1485,Observaciones!$A:$B,2,FALSE)," ")</f>
        <v>SI VENDEDOR NO MANDA OC TODO UNA FACTURA</v>
      </c>
      <c r="M1485" t="s">
        <v>681</v>
      </c>
      <c r="N1485" s="5" t="s">
        <v>841</v>
      </c>
      <c r="O1485" s="5">
        <v>30854529</v>
      </c>
      <c r="P1485" s="5">
        <v>23448</v>
      </c>
      <c r="Q1485" s="5">
        <v>4455</v>
      </c>
      <c r="R1485" s="5">
        <v>27903</v>
      </c>
    </row>
    <row r="1486" spans="1:18" x14ac:dyDescent="0.25">
      <c r="A1486" t="s">
        <v>496</v>
      </c>
      <c r="B1486" t="s">
        <v>494</v>
      </c>
      <c r="C1486">
        <v>76107905</v>
      </c>
      <c r="D1486">
        <v>69</v>
      </c>
      <c r="E1486">
        <v>30854533</v>
      </c>
      <c r="F1486" t="s">
        <v>1097</v>
      </c>
      <c r="G1486" s="1">
        <v>45236</v>
      </c>
      <c r="H1486">
        <v>5413716</v>
      </c>
      <c r="I1486">
        <v>96</v>
      </c>
      <c r="J1486" t="s">
        <v>140</v>
      </c>
      <c r="K1486" s="8" t="str">
        <f>IFERROR(IF(AND(VLOOKUP($C1486,Hes!$A:$B, 1, FALSE), $M1486&lt;&gt;" "), "Ingresada", "Falta Ingresar"), " ")</f>
        <v>Falta Ingresar</v>
      </c>
      <c r="L1486" s="4" t="str">
        <f>IFERROR(VLOOKUP($C1486,Observaciones!$A:$B,2,FALSE)," ")</f>
        <v>SI VENDEDOR NO MANDA OC TODO UNA FACTURA</v>
      </c>
      <c r="M1486" t="s">
        <v>681</v>
      </c>
      <c r="N1486" s="5" t="s">
        <v>841</v>
      </c>
      <c r="O1486" s="5">
        <v>30854533</v>
      </c>
      <c r="P1486" s="5">
        <v>26613</v>
      </c>
      <c r="Q1486" s="5">
        <v>5056</v>
      </c>
      <c r="R1486" s="5">
        <v>31669</v>
      </c>
    </row>
    <row r="1487" spans="1:18" x14ac:dyDescent="0.25">
      <c r="A1487" t="s">
        <v>496</v>
      </c>
      <c r="B1487" t="s">
        <v>494</v>
      </c>
      <c r="C1487">
        <v>76107905</v>
      </c>
      <c r="D1487">
        <v>78</v>
      </c>
      <c r="E1487">
        <v>30856682</v>
      </c>
      <c r="F1487" t="s">
        <v>1097</v>
      </c>
      <c r="G1487" s="1">
        <v>45236</v>
      </c>
      <c r="H1487">
        <v>5413828</v>
      </c>
      <c r="I1487">
        <v>96</v>
      </c>
      <c r="J1487" t="s">
        <v>140</v>
      </c>
      <c r="K1487" s="8" t="str">
        <f>IFERROR(IF(AND(VLOOKUP($C1487,Hes!$A:$B, 1, FALSE), $M1487&lt;&gt;" "), "Ingresada", "Falta Ingresar"), " ")</f>
        <v>Falta Ingresar</v>
      </c>
      <c r="L1487" s="4" t="str">
        <f>IFERROR(VLOOKUP($C1487,Observaciones!$A:$B,2,FALSE)," ")</f>
        <v>SI VENDEDOR NO MANDA OC TODO UNA FACTURA</v>
      </c>
      <c r="M1487" t="s">
        <v>681</v>
      </c>
      <c r="N1487" s="5" t="s">
        <v>841</v>
      </c>
      <c r="O1487" s="5">
        <v>30856682</v>
      </c>
      <c r="P1487" s="5">
        <v>152848</v>
      </c>
      <c r="Q1487" s="5">
        <v>29041</v>
      </c>
      <c r="R1487" s="5">
        <v>181889</v>
      </c>
    </row>
    <row r="1488" spans="1:18" x14ac:dyDescent="0.25">
      <c r="A1488" t="s">
        <v>496</v>
      </c>
      <c r="B1488" t="s">
        <v>494</v>
      </c>
      <c r="C1488">
        <v>76107905</v>
      </c>
      <c r="D1488">
        <v>36</v>
      </c>
      <c r="E1488">
        <v>30859691</v>
      </c>
      <c r="F1488" t="s">
        <v>1097</v>
      </c>
      <c r="G1488" s="1">
        <v>45237</v>
      </c>
      <c r="H1488">
        <v>5414184</v>
      </c>
      <c r="I1488">
        <v>96</v>
      </c>
      <c r="J1488" t="s">
        <v>140</v>
      </c>
      <c r="K1488" s="8" t="str">
        <f>IFERROR(IF(AND(VLOOKUP($C1488,Hes!$A:$B, 1, FALSE), $M1488&lt;&gt;" "), "Ingresada", "Falta Ingresar"), " ")</f>
        <v>Falta Ingresar</v>
      </c>
      <c r="L1488" s="4" t="str">
        <f>IFERROR(VLOOKUP($C1488,Observaciones!$A:$B,2,FALSE)," ")</f>
        <v>SI VENDEDOR NO MANDA OC TODO UNA FACTURA</v>
      </c>
      <c r="M1488" t="s">
        <v>681</v>
      </c>
      <c r="N1488" s="5" t="s">
        <v>841</v>
      </c>
      <c r="O1488" s="5">
        <v>30859691</v>
      </c>
      <c r="P1488" s="5">
        <v>37860</v>
      </c>
      <c r="Q1488" s="5">
        <v>7193</v>
      </c>
      <c r="R1488" s="5">
        <v>45053</v>
      </c>
    </row>
    <row r="1489" spans="1:18" x14ac:dyDescent="0.25">
      <c r="A1489" t="s">
        <v>496</v>
      </c>
      <c r="B1489" t="s">
        <v>494</v>
      </c>
      <c r="C1489">
        <v>76107905</v>
      </c>
      <c r="D1489">
        <v>45</v>
      </c>
      <c r="E1489">
        <v>30859559</v>
      </c>
      <c r="F1489" t="s">
        <v>1097</v>
      </c>
      <c r="G1489" s="1">
        <v>45237</v>
      </c>
      <c r="H1489">
        <v>5414243</v>
      </c>
      <c r="I1489">
        <v>96</v>
      </c>
      <c r="J1489" t="s">
        <v>140</v>
      </c>
      <c r="K1489" s="8" t="str">
        <f>IFERROR(IF(AND(VLOOKUP($C1489,Hes!$A:$B, 1, FALSE), $M1489&lt;&gt;" "), "Ingresada", "Falta Ingresar"), " ")</f>
        <v>Falta Ingresar</v>
      </c>
      <c r="L1489" s="4" t="str">
        <f>IFERROR(VLOOKUP($C1489,Observaciones!$A:$B,2,FALSE)," ")</f>
        <v>SI VENDEDOR NO MANDA OC TODO UNA FACTURA</v>
      </c>
      <c r="M1489" t="s">
        <v>681</v>
      </c>
      <c r="N1489" s="5" t="s">
        <v>841</v>
      </c>
      <c r="O1489" s="5">
        <v>30859559</v>
      </c>
      <c r="P1489" s="5">
        <v>73125</v>
      </c>
      <c r="Q1489" s="5">
        <v>13894</v>
      </c>
      <c r="R1489" s="5">
        <v>87019</v>
      </c>
    </row>
    <row r="1490" spans="1:18" x14ac:dyDescent="0.25">
      <c r="A1490" t="s">
        <v>496</v>
      </c>
      <c r="B1490" t="s">
        <v>494</v>
      </c>
      <c r="C1490">
        <v>76107905</v>
      </c>
      <c r="D1490">
        <v>23</v>
      </c>
      <c r="E1490">
        <v>30860600</v>
      </c>
      <c r="F1490" t="s">
        <v>1097</v>
      </c>
      <c r="G1490" s="1">
        <v>45237</v>
      </c>
      <c r="H1490">
        <v>5414319</v>
      </c>
      <c r="I1490">
        <v>96</v>
      </c>
      <c r="J1490" t="s">
        <v>140</v>
      </c>
      <c r="K1490" s="8" t="str">
        <f>IFERROR(IF(AND(VLOOKUP($C1490,Hes!$A:$B, 1, FALSE), $M1490&lt;&gt;" "), "Ingresada", "Falta Ingresar"), " ")</f>
        <v>Falta Ingresar</v>
      </c>
      <c r="L1490" s="4" t="str">
        <f>IFERROR(VLOOKUP($C1490,Observaciones!$A:$B,2,FALSE)," ")</f>
        <v>SI VENDEDOR NO MANDA OC TODO UNA FACTURA</v>
      </c>
      <c r="M1490" t="s">
        <v>681</v>
      </c>
      <c r="N1490" s="5" t="s">
        <v>841</v>
      </c>
      <c r="O1490" s="5">
        <v>30860600</v>
      </c>
      <c r="P1490" s="5">
        <v>77762</v>
      </c>
      <c r="Q1490" s="5">
        <v>14775</v>
      </c>
      <c r="R1490" s="5">
        <v>92537</v>
      </c>
    </row>
    <row r="1491" spans="1:18" x14ac:dyDescent="0.25">
      <c r="A1491" t="s">
        <v>496</v>
      </c>
      <c r="B1491" t="s">
        <v>494</v>
      </c>
      <c r="C1491">
        <v>76107905</v>
      </c>
      <c r="D1491">
        <v>65</v>
      </c>
      <c r="E1491">
        <v>30860218</v>
      </c>
      <c r="F1491" t="s">
        <v>1097</v>
      </c>
      <c r="G1491" s="1">
        <v>45237</v>
      </c>
      <c r="H1491">
        <v>5414357</v>
      </c>
      <c r="I1491">
        <v>96</v>
      </c>
      <c r="J1491" t="s">
        <v>140</v>
      </c>
      <c r="K1491" s="8" t="str">
        <f>IFERROR(IF(AND(VLOOKUP($C1491,Hes!$A:$B, 1, FALSE), $M1491&lt;&gt;" "), "Ingresada", "Falta Ingresar"), " ")</f>
        <v>Falta Ingresar</v>
      </c>
      <c r="L1491" s="4" t="str">
        <f>IFERROR(VLOOKUP($C1491,Observaciones!$A:$B,2,FALSE)," ")</f>
        <v>SI VENDEDOR NO MANDA OC TODO UNA FACTURA</v>
      </c>
      <c r="M1491" t="s">
        <v>681</v>
      </c>
      <c r="N1491" s="5" t="s">
        <v>841</v>
      </c>
      <c r="O1491" s="5">
        <v>30860218</v>
      </c>
      <c r="P1491" s="5">
        <v>312913</v>
      </c>
      <c r="Q1491" s="5">
        <v>59453</v>
      </c>
      <c r="R1491" s="5">
        <v>372366</v>
      </c>
    </row>
    <row r="1492" spans="1:18" x14ac:dyDescent="0.25">
      <c r="A1492" t="s">
        <v>496</v>
      </c>
      <c r="B1492" t="s">
        <v>494</v>
      </c>
      <c r="C1492">
        <v>76107905</v>
      </c>
      <c r="D1492">
        <v>60</v>
      </c>
      <c r="E1492">
        <v>30860771</v>
      </c>
      <c r="F1492" t="s">
        <v>1097</v>
      </c>
      <c r="G1492" s="1">
        <v>45237</v>
      </c>
      <c r="H1492">
        <v>5414391</v>
      </c>
      <c r="I1492">
        <v>96</v>
      </c>
      <c r="J1492" t="s">
        <v>140</v>
      </c>
      <c r="K1492" s="8" t="str">
        <f>IFERROR(IF(AND(VLOOKUP($C1492,Hes!$A:$B, 1, FALSE), $M1492&lt;&gt;" "), "Ingresada", "Falta Ingresar"), " ")</f>
        <v>Falta Ingresar</v>
      </c>
      <c r="L1492" s="4" t="str">
        <f>IFERROR(VLOOKUP($C1492,Observaciones!$A:$B,2,FALSE)," ")</f>
        <v>SI VENDEDOR NO MANDA OC TODO UNA FACTURA</v>
      </c>
      <c r="M1492" t="s">
        <v>681</v>
      </c>
      <c r="N1492" s="5" t="s">
        <v>841</v>
      </c>
      <c r="O1492" s="5">
        <v>30860771</v>
      </c>
      <c r="P1492" s="5">
        <v>89660</v>
      </c>
      <c r="Q1492" s="5">
        <v>17035</v>
      </c>
      <c r="R1492" s="5">
        <v>106695</v>
      </c>
    </row>
    <row r="1493" spans="1:18" x14ac:dyDescent="0.25">
      <c r="A1493" t="s">
        <v>496</v>
      </c>
      <c r="B1493" t="s">
        <v>494</v>
      </c>
      <c r="C1493">
        <v>76107905</v>
      </c>
      <c r="D1493">
        <v>37</v>
      </c>
      <c r="E1493">
        <v>30861817</v>
      </c>
      <c r="F1493" t="s">
        <v>1097</v>
      </c>
      <c r="G1493" s="1">
        <v>45238</v>
      </c>
      <c r="H1493">
        <v>5415198</v>
      </c>
      <c r="I1493">
        <v>96</v>
      </c>
      <c r="J1493" t="s">
        <v>140</v>
      </c>
      <c r="K1493" s="8" t="str">
        <f>IFERROR(IF(AND(VLOOKUP($C1493,Hes!$A:$B, 1, FALSE), $M1493&lt;&gt;" "), "Ingresada", "Falta Ingresar"), " ")</f>
        <v>Falta Ingresar</v>
      </c>
      <c r="L1493" s="4" t="str">
        <f>IFERROR(VLOOKUP($C1493,Observaciones!$A:$B,2,FALSE)," ")</f>
        <v>SI VENDEDOR NO MANDA OC TODO UNA FACTURA</v>
      </c>
      <c r="M1493" t="s">
        <v>681</v>
      </c>
      <c r="N1493" s="5" t="s">
        <v>841</v>
      </c>
      <c r="O1493" s="5">
        <v>30861817</v>
      </c>
      <c r="P1493" s="5">
        <v>75897</v>
      </c>
      <c r="Q1493" s="5">
        <v>14420</v>
      </c>
      <c r="R1493" s="5">
        <v>90317</v>
      </c>
    </row>
    <row r="1494" spans="1:18" x14ac:dyDescent="0.25">
      <c r="A1494" t="s">
        <v>496</v>
      </c>
      <c r="B1494" t="s">
        <v>494</v>
      </c>
      <c r="C1494">
        <v>76107905</v>
      </c>
      <c r="D1494">
        <v>52</v>
      </c>
      <c r="E1494">
        <v>30863337</v>
      </c>
      <c r="F1494" t="s">
        <v>1097</v>
      </c>
      <c r="G1494" s="1">
        <v>45238</v>
      </c>
      <c r="H1494">
        <v>5415652</v>
      </c>
      <c r="I1494">
        <v>96</v>
      </c>
      <c r="J1494" t="s">
        <v>140</v>
      </c>
      <c r="K1494" s="8" t="str">
        <f>IFERROR(IF(AND(VLOOKUP($C1494,Hes!$A:$B, 1, FALSE), $M1494&lt;&gt;" "), "Ingresada", "Falta Ingresar"), " ")</f>
        <v>Falta Ingresar</v>
      </c>
      <c r="L1494" s="4" t="str">
        <f>IFERROR(VLOOKUP($C1494,Observaciones!$A:$B,2,FALSE)," ")</f>
        <v>SI VENDEDOR NO MANDA OC TODO UNA FACTURA</v>
      </c>
      <c r="M1494" t="s">
        <v>681</v>
      </c>
      <c r="N1494" s="5" t="s">
        <v>841</v>
      </c>
      <c r="O1494" s="5">
        <v>30863337</v>
      </c>
      <c r="P1494" s="5">
        <v>46949</v>
      </c>
      <c r="Q1494" s="5">
        <v>8920</v>
      </c>
      <c r="R1494" s="5">
        <v>55869</v>
      </c>
    </row>
    <row r="1495" spans="1:18" x14ac:dyDescent="0.25">
      <c r="A1495" t="s">
        <v>496</v>
      </c>
      <c r="B1495" t="s">
        <v>494</v>
      </c>
      <c r="C1495">
        <v>76107905</v>
      </c>
      <c r="D1495">
        <v>0</v>
      </c>
      <c r="E1495">
        <v>30862033</v>
      </c>
      <c r="F1495" t="s">
        <v>1097</v>
      </c>
      <c r="G1495" s="1">
        <v>45238</v>
      </c>
      <c r="H1495">
        <v>5415656</v>
      </c>
      <c r="I1495">
        <v>96</v>
      </c>
      <c r="J1495" t="s">
        <v>140</v>
      </c>
      <c r="K1495" s="8" t="str">
        <f>IFERROR(IF(AND(VLOOKUP($C1495,Hes!$A:$B, 1, FALSE), $M1495&lt;&gt;" "), "Ingresada", "Falta Ingresar"), " ")</f>
        <v>Falta Ingresar</v>
      </c>
      <c r="L1495" s="4" t="str">
        <f>IFERROR(VLOOKUP($C1495,Observaciones!$A:$B,2,FALSE)," ")</f>
        <v>SI VENDEDOR NO MANDA OC TODO UNA FACTURA</v>
      </c>
      <c r="M1495" t="s">
        <v>681</v>
      </c>
      <c r="N1495" s="5" t="s">
        <v>841</v>
      </c>
      <c r="O1495" s="5">
        <v>30862033</v>
      </c>
      <c r="P1495" s="5">
        <v>40049</v>
      </c>
      <c r="Q1495" s="5">
        <v>7609</v>
      </c>
      <c r="R1495" s="5">
        <v>47658</v>
      </c>
    </row>
    <row r="1496" spans="1:18" x14ac:dyDescent="0.25">
      <c r="A1496" t="s">
        <v>496</v>
      </c>
      <c r="B1496" t="s">
        <v>494</v>
      </c>
      <c r="C1496">
        <v>76107905</v>
      </c>
      <c r="D1496">
        <v>32</v>
      </c>
      <c r="E1496">
        <v>30863196</v>
      </c>
      <c r="F1496" t="s">
        <v>1097</v>
      </c>
      <c r="G1496" s="1">
        <v>45238</v>
      </c>
      <c r="H1496">
        <v>5415766</v>
      </c>
      <c r="I1496">
        <v>96</v>
      </c>
      <c r="J1496" t="s">
        <v>140</v>
      </c>
      <c r="K1496" s="8" t="str">
        <f>IFERROR(IF(AND(VLOOKUP($C1496,Hes!$A:$B, 1, FALSE), $M1496&lt;&gt;" "), "Ingresada", "Falta Ingresar"), " ")</f>
        <v>Falta Ingresar</v>
      </c>
      <c r="L1496" s="4" t="str">
        <f>IFERROR(VLOOKUP($C1496,Observaciones!$A:$B,2,FALSE)," ")</f>
        <v>SI VENDEDOR NO MANDA OC TODO UNA FACTURA</v>
      </c>
      <c r="M1496" t="s">
        <v>681</v>
      </c>
      <c r="N1496" s="5" t="s">
        <v>841</v>
      </c>
      <c r="O1496" s="5">
        <v>30863196</v>
      </c>
      <c r="P1496" s="5">
        <v>37735</v>
      </c>
      <c r="Q1496" s="5">
        <v>7170</v>
      </c>
      <c r="R1496" s="5">
        <v>44905</v>
      </c>
    </row>
    <row r="1497" spans="1:18" x14ac:dyDescent="0.25">
      <c r="A1497" t="s">
        <v>496</v>
      </c>
      <c r="B1497" t="s">
        <v>494</v>
      </c>
      <c r="C1497">
        <v>76107905</v>
      </c>
      <c r="D1497">
        <v>75</v>
      </c>
      <c r="E1497">
        <v>30863604</v>
      </c>
      <c r="F1497" t="s">
        <v>1097</v>
      </c>
      <c r="G1497" s="1">
        <v>45238</v>
      </c>
      <c r="H1497">
        <v>5415796</v>
      </c>
      <c r="I1497">
        <v>96</v>
      </c>
      <c r="J1497" t="s">
        <v>140</v>
      </c>
      <c r="K1497" s="8" t="str">
        <f>IFERROR(IF(AND(VLOOKUP($C1497,Hes!$A:$B, 1, FALSE), $M1497&lt;&gt;" "), "Ingresada", "Falta Ingresar"), " ")</f>
        <v>Falta Ingresar</v>
      </c>
      <c r="L1497" s="4" t="str">
        <f>IFERROR(VLOOKUP($C1497,Observaciones!$A:$B,2,FALSE)," ")</f>
        <v>SI VENDEDOR NO MANDA OC TODO UNA FACTURA</v>
      </c>
      <c r="M1497" t="s">
        <v>681</v>
      </c>
      <c r="N1497" s="5" t="s">
        <v>841</v>
      </c>
      <c r="O1497" s="5">
        <v>30863604</v>
      </c>
      <c r="P1497" s="5">
        <v>129635</v>
      </c>
      <c r="Q1497" s="5">
        <v>24631</v>
      </c>
      <c r="R1497" s="5">
        <v>154266</v>
      </c>
    </row>
    <row r="1498" spans="1:18" x14ac:dyDescent="0.25">
      <c r="A1498" t="s">
        <v>496</v>
      </c>
      <c r="B1498" t="s">
        <v>494</v>
      </c>
      <c r="C1498">
        <v>76107905</v>
      </c>
      <c r="D1498">
        <v>0</v>
      </c>
      <c r="E1498">
        <v>30862168</v>
      </c>
      <c r="F1498" t="s">
        <v>1097</v>
      </c>
      <c r="G1498" s="1">
        <v>45238</v>
      </c>
      <c r="H1498">
        <v>5415816</v>
      </c>
      <c r="I1498">
        <v>96</v>
      </c>
      <c r="J1498" t="s">
        <v>140</v>
      </c>
      <c r="K1498" s="8" t="str">
        <f>IFERROR(IF(AND(VLOOKUP($C1498,Hes!$A:$B, 1, FALSE), $M1498&lt;&gt;" "), "Ingresada", "Falta Ingresar"), " ")</f>
        <v>Falta Ingresar</v>
      </c>
      <c r="L1498" s="4" t="str">
        <f>IFERROR(VLOOKUP($C1498,Observaciones!$A:$B,2,FALSE)," ")</f>
        <v>SI VENDEDOR NO MANDA OC TODO UNA FACTURA</v>
      </c>
      <c r="M1498" t="s">
        <v>681</v>
      </c>
      <c r="N1498" s="5" t="s">
        <v>841</v>
      </c>
      <c r="O1498" s="5">
        <v>30862168</v>
      </c>
      <c r="P1498" s="5">
        <v>752433</v>
      </c>
      <c r="Q1498" s="5">
        <v>142962</v>
      </c>
      <c r="R1498" s="5">
        <v>895395</v>
      </c>
    </row>
    <row r="1499" spans="1:18" x14ac:dyDescent="0.25">
      <c r="F1499" t="s">
        <v>885</v>
      </c>
      <c r="K1499" t="str">
        <f>IFERROR(IF(AND(VLOOKUP($C1499,Hes!$A:$B, 1, FALSE), $M1499&lt;&gt;" "), "Ingresada", "Falta Ingresar"), " ")</f>
        <v xml:space="preserve"> </v>
      </c>
      <c r="L1499" s="4" t="str">
        <f>IFERROR(VLOOKUP($C1499,Observaciones!$A:$B,2,FALSE)," ")</f>
        <v xml:space="preserve"> </v>
      </c>
      <c r="M1499" t="s">
        <v>681</v>
      </c>
      <c r="P1499" s="5">
        <v>2011386</v>
      </c>
      <c r="Q1499" s="5">
        <v>382161</v>
      </c>
      <c r="R1499" s="5">
        <v>2393547</v>
      </c>
    </row>
    <row r="1500" spans="1:18" x14ac:dyDescent="0.25">
      <c r="A1500" t="s">
        <v>496</v>
      </c>
      <c r="B1500" t="s">
        <v>494</v>
      </c>
      <c r="C1500">
        <v>76109205</v>
      </c>
      <c r="D1500">
        <v>3</v>
      </c>
      <c r="E1500">
        <v>30854531</v>
      </c>
      <c r="F1500" t="s">
        <v>1098</v>
      </c>
      <c r="G1500" s="1">
        <v>45236</v>
      </c>
      <c r="H1500">
        <v>5413763</v>
      </c>
      <c r="I1500">
        <v>104</v>
      </c>
      <c r="J1500" t="s">
        <v>210</v>
      </c>
      <c r="K1500" s="8" t="str">
        <f>IFERROR(IF(AND(VLOOKUP($C1500,Hes!$A:$B, 1, FALSE), $M1500&lt;&gt;" "), "Ingresada", "Falta Ingresar"), " ")</f>
        <v>Falta Ingresar</v>
      </c>
      <c r="L1500" s="4" t="str">
        <f>IFERROR(VLOOKUP($C1500,Observaciones!$A:$B,2,FALSE)," ")</f>
        <v>SEGUN INFORME VENDEDOR</v>
      </c>
      <c r="M1500" t="s">
        <v>681</v>
      </c>
      <c r="N1500" s="5" t="s">
        <v>841</v>
      </c>
      <c r="O1500" s="5">
        <v>30854531</v>
      </c>
      <c r="P1500" s="5">
        <v>3330085</v>
      </c>
      <c r="Q1500" s="5">
        <v>632716</v>
      </c>
      <c r="R1500" s="5">
        <v>3962801</v>
      </c>
    </row>
    <row r="1501" spans="1:18" x14ac:dyDescent="0.25">
      <c r="F1501" t="s">
        <v>495</v>
      </c>
      <c r="K1501" t="str">
        <f>IFERROR(IF(AND(VLOOKUP($C1501,Hes!$A:$B, 1, FALSE), $M1501&lt;&gt;" "), "Ingresada", "Falta Ingresar"), " ")</f>
        <v xml:space="preserve"> </v>
      </c>
      <c r="L1501" s="4" t="str">
        <f>IFERROR(VLOOKUP($C1501,Observaciones!$A:$B,2,FALSE)," ")</f>
        <v xml:space="preserve"> </v>
      </c>
      <c r="M1501" t="s">
        <v>681</v>
      </c>
      <c r="P1501" s="5">
        <v>3330085</v>
      </c>
      <c r="Q1501" s="5">
        <v>632716</v>
      </c>
      <c r="R1501" s="5">
        <v>3962801</v>
      </c>
    </row>
    <row r="1502" spans="1:18" x14ac:dyDescent="0.25">
      <c r="A1502" t="s">
        <v>503</v>
      </c>
      <c r="B1502" t="s">
        <v>494</v>
      </c>
      <c r="C1502">
        <v>76109779</v>
      </c>
      <c r="D1502">
        <v>13</v>
      </c>
      <c r="E1502">
        <v>23008850</v>
      </c>
      <c r="F1502" t="s">
        <v>1099</v>
      </c>
      <c r="G1502" s="1">
        <v>45237</v>
      </c>
      <c r="H1502">
        <v>5414893</v>
      </c>
      <c r="I1502">
        <v>14</v>
      </c>
      <c r="J1502" t="s">
        <v>309</v>
      </c>
      <c r="K1502" t="str">
        <f>IFERROR(IF(AND(VLOOKUP($C1502,Hes!$A:$B, 1, FALSE), $M1502&lt;&gt;" "), "Ingresada", "Falta Ingresar"), " ")</f>
        <v xml:space="preserve"> </v>
      </c>
      <c r="L1502" s="4" t="s">
        <v>681</v>
      </c>
      <c r="M1502" t="s">
        <v>681</v>
      </c>
      <c r="O1502" s="5">
        <v>30860324</v>
      </c>
      <c r="P1502" s="5">
        <v>278098</v>
      </c>
      <c r="Q1502" s="5">
        <v>52839</v>
      </c>
      <c r="R1502" s="5">
        <v>330937</v>
      </c>
    </row>
    <row r="1503" spans="1:18" x14ac:dyDescent="0.25">
      <c r="F1503" t="s">
        <v>495</v>
      </c>
      <c r="K1503" t="str">
        <f>IFERROR(IF(AND(VLOOKUP($C1503,Hes!$A:$B, 1, FALSE), $M1503&lt;&gt;" "), "Ingresada", "Falta Ingresar"), " ")</f>
        <v xml:space="preserve"> </v>
      </c>
      <c r="L1503" s="4" t="str">
        <f>IFERROR(VLOOKUP($C1503,Observaciones!$A:$B,2,FALSE)," ")</f>
        <v xml:space="preserve"> </v>
      </c>
      <c r="M1503" t="s">
        <v>681</v>
      </c>
      <c r="P1503" s="5">
        <v>278098</v>
      </c>
      <c r="Q1503" s="5">
        <v>52839</v>
      </c>
      <c r="R1503" s="5">
        <v>330937</v>
      </c>
    </row>
    <row r="1504" spans="1:18" x14ac:dyDescent="0.25">
      <c r="A1504" t="s">
        <v>522</v>
      </c>
      <c r="B1504" t="s">
        <v>509</v>
      </c>
      <c r="C1504">
        <v>76126485</v>
      </c>
      <c r="D1504">
        <v>0</v>
      </c>
      <c r="E1504">
        <v>4500733524</v>
      </c>
      <c r="F1504" t="s">
        <v>1100</v>
      </c>
      <c r="G1504" s="1">
        <v>45237</v>
      </c>
      <c r="H1504">
        <v>5413947</v>
      </c>
      <c r="I1504">
        <v>416</v>
      </c>
      <c r="J1504" t="s">
        <v>271</v>
      </c>
      <c r="K1504" t="str">
        <f>IFERROR(IF(AND(VLOOKUP($C1504,Hes!$A:$B, 1, FALSE), $M1504&lt;&gt;" "), "Ingresada", "Falta Ingresar"), " ")</f>
        <v xml:space="preserve"> </v>
      </c>
      <c r="L1504" s="4" t="str">
        <f>IFERROR(VLOOKUP($C1504,Observaciones!$A:$B,2,FALSE)," ")</f>
        <v>XOC Y CC</v>
      </c>
      <c r="M1504" t="s">
        <v>681</v>
      </c>
      <c r="O1504" s="5">
        <v>30858608</v>
      </c>
      <c r="P1504" s="5">
        <v>25260</v>
      </c>
      <c r="Q1504" s="5">
        <v>4799</v>
      </c>
      <c r="R1504" s="5">
        <v>30059</v>
      </c>
    </row>
    <row r="1505" spans="1:18" x14ac:dyDescent="0.25">
      <c r="F1505" t="s">
        <v>495</v>
      </c>
      <c r="K1505" t="str">
        <f>IFERROR(IF(AND(VLOOKUP($C1505,Hes!$A:$B, 1, FALSE), $M1505&lt;&gt;" "), "Ingresada", "Falta Ingresar"), " ")</f>
        <v xml:space="preserve"> </v>
      </c>
      <c r="L1505" s="4" t="str">
        <f>IFERROR(VLOOKUP($C1505,Observaciones!$A:$B,2,FALSE)," ")</f>
        <v xml:space="preserve"> </v>
      </c>
      <c r="M1505" t="s">
        <v>681</v>
      </c>
      <c r="P1505" s="5">
        <v>25260</v>
      </c>
      <c r="Q1505" s="5">
        <v>4799</v>
      </c>
      <c r="R1505" s="5">
        <v>30059</v>
      </c>
    </row>
    <row r="1506" spans="1:18" x14ac:dyDescent="0.25">
      <c r="A1506" t="s">
        <v>522</v>
      </c>
      <c r="B1506" t="s">
        <v>494</v>
      </c>
      <c r="C1506">
        <v>76136210</v>
      </c>
      <c r="D1506">
        <v>9</v>
      </c>
      <c r="E1506" t="s">
        <v>1101</v>
      </c>
      <c r="F1506" t="s">
        <v>1102</v>
      </c>
      <c r="G1506" s="1">
        <v>45236</v>
      </c>
      <c r="H1506">
        <v>5413640</v>
      </c>
      <c r="I1506">
        <v>13</v>
      </c>
      <c r="J1506" t="s">
        <v>348</v>
      </c>
      <c r="K1506" t="str">
        <f>IFERROR(IF(AND(VLOOKUP($C1506,Hes!$A:$B, 1, FALSE), $M1506&lt;&gt;" "), "Ingresada", "Falta Ingresar"), " ")</f>
        <v xml:space="preserve"> </v>
      </c>
      <c r="L1506" s="4" t="s">
        <v>681</v>
      </c>
      <c r="M1506" t="s">
        <v>681</v>
      </c>
      <c r="O1506" s="5">
        <v>30857730</v>
      </c>
      <c r="P1506" s="5">
        <v>919084</v>
      </c>
      <c r="Q1506" s="5">
        <v>174626</v>
      </c>
      <c r="R1506" s="5">
        <v>1093710</v>
      </c>
    </row>
    <row r="1507" spans="1:18" x14ac:dyDescent="0.25">
      <c r="A1507" t="s">
        <v>522</v>
      </c>
      <c r="B1507" t="s">
        <v>494</v>
      </c>
      <c r="C1507">
        <v>76136210</v>
      </c>
      <c r="D1507">
        <v>9</v>
      </c>
      <c r="E1507" t="s">
        <v>1101</v>
      </c>
      <c r="F1507" t="s">
        <v>1102</v>
      </c>
      <c r="G1507" s="1">
        <v>45236</v>
      </c>
      <c r="H1507">
        <v>5413646</v>
      </c>
      <c r="I1507">
        <v>13</v>
      </c>
      <c r="J1507" t="s">
        <v>348</v>
      </c>
      <c r="K1507" t="str">
        <f>IFERROR(IF(AND(VLOOKUP($C1507,Hes!$A:$B, 1, FALSE), $M1507&lt;&gt;" "), "Ingresada", "Falta Ingresar"), " ")</f>
        <v xml:space="preserve"> </v>
      </c>
      <c r="L1507" s="4" t="s">
        <v>681</v>
      </c>
      <c r="M1507" t="s">
        <v>681</v>
      </c>
      <c r="O1507" s="5">
        <v>30857795</v>
      </c>
      <c r="P1507" s="5">
        <v>399168</v>
      </c>
      <c r="Q1507" s="5">
        <v>75842</v>
      </c>
      <c r="R1507" s="5">
        <v>475010</v>
      </c>
    </row>
    <row r="1508" spans="1:18" x14ac:dyDescent="0.25">
      <c r="A1508" t="s">
        <v>522</v>
      </c>
      <c r="B1508" t="s">
        <v>494</v>
      </c>
      <c r="C1508">
        <v>76136210</v>
      </c>
      <c r="D1508">
        <v>9</v>
      </c>
      <c r="E1508" t="s">
        <v>1101</v>
      </c>
      <c r="F1508" t="s">
        <v>1102</v>
      </c>
      <c r="G1508" s="1">
        <v>45236</v>
      </c>
      <c r="H1508">
        <v>5413654</v>
      </c>
      <c r="I1508">
        <v>13</v>
      </c>
      <c r="J1508" t="s">
        <v>348</v>
      </c>
      <c r="K1508" t="str">
        <f>IFERROR(IF(AND(VLOOKUP($C1508,Hes!$A:$B, 1, FALSE), $M1508&lt;&gt;" "), "Ingresada", "Falta Ingresar"), " ")</f>
        <v xml:space="preserve"> </v>
      </c>
      <c r="L1508" s="4" t="s">
        <v>681</v>
      </c>
      <c r="M1508" t="s">
        <v>681</v>
      </c>
      <c r="O1508" s="5">
        <v>30857705</v>
      </c>
      <c r="P1508" s="5">
        <v>150761</v>
      </c>
      <c r="Q1508" s="5">
        <v>28645</v>
      </c>
      <c r="R1508" s="5">
        <v>179406</v>
      </c>
    </row>
    <row r="1509" spans="1:18" x14ac:dyDescent="0.25">
      <c r="F1509" t="s">
        <v>500</v>
      </c>
      <c r="K1509" t="str">
        <f>IFERROR(IF(AND(VLOOKUP($C1509,Hes!$A:$B, 1, FALSE), $M1509&lt;&gt;" "), "Ingresada", "Falta Ingresar"), " ")</f>
        <v xml:space="preserve"> </v>
      </c>
      <c r="L1509" s="4" t="str">
        <f>IFERROR(VLOOKUP($C1509,Observaciones!$A:$B,2,FALSE)," ")</f>
        <v xml:space="preserve"> </v>
      </c>
      <c r="M1509" t="s">
        <v>681</v>
      </c>
      <c r="P1509" s="5">
        <v>1469013</v>
      </c>
      <c r="Q1509" s="5">
        <v>279113</v>
      </c>
      <c r="R1509" s="5">
        <v>1748126</v>
      </c>
    </row>
    <row r="1510" spans="1:18" x14ac:dyDescent="0.25">
      <c r="C1510">
        <v>76136583</v>
      </c>
      <c r="D1510">
        <v>2</v>
      </c>
      <c r="E1510">
        <v>30861725</v>
      </c>
      <c r="F1510" t="s">
        <v>1103</v>
      </c>
      <c r="G1510" s="1">
        <v>45238</v>
      </c>
      <c r="H1510">
        <v>5414948</v>
      </c>
      <c r="I1510">
        <v>151</v>
      </c>
      <c r="J1510" t="s">
        <v>317</v>
      </c>
      <c r="K1510" t="str">
        <f>IFERROR(IF(AND(VLOOKUP($C1510,Hes!$A:$B, 1, FALSE), $M1510&lt;&gt;" "), "Ingresada", "Falta Ingresar"), " ")</f>
        <v xml:space="preserve"> </v>
      </c>
      <c r="L1510" s="4" t="str">
        <f>IFERROR(VLOOKUP($C1510,Observaciones!$A:$B,2,FALSE)," ")</f>
        <v xml:space="preserve"> </v>
      </c>
      <c r="M1510" t="s">
        <v>681</v>
      </c>
      <c r="O1510" s="5">
        <v>30861725</v>
      </c>
      <c r="P1510" s="5">
        <v>77422</v>
      </c>
      <c r="Q1510" s="5">
        <v>14710</v>
      </c>
      <c r="R1510" s="5">
        <v>92132</v>
      </c>
    </row>
    <row r="1511" spans="1:18" x14ac:dyDescent="0.25">
      <c r="F1511" t="s">
        <v>495</v>
      </c>
      <c r="K1511" t="str">
        <f>IFERROR(IF(AND(VLOOKUP($C1511,Hes!$A:$B, 1, FALSE), $M1511&lt;&gt;" "), "Ingresada", "Falta Ingresar"), " ")</f>
        <v xml:space="preserve"> </v>
      </c>
      <c r="L1511" s="4" t="str">
        <f>IFERROR(VLOOKUP($C1511,Observaciones!$A:$B,2,FALSE)," ")</f>
        <v xml:space="preserve"> </v>
      </c>
      <c r="M1511" t="s">
        <v>681</v>
      </c>
      <c r="P1511" s="5">
        <v>77422</v>
      </c>
      <c r="Q1511" s="5">
        <v>14710</v>
      </c>
      <c r="R1511" s="5">
        <v>92132</v>
      </c>
    </row>
    <row r="1512" spans="1:18" x14ac:dyDescent="0.25">
      <c r="A1512" t="s">
        <v>522</v>
      </c>
      <c r="B1512" t="s">
        <v>494</v>
      </c>
      <c r="C1512">
        <v>76137790</v>
      </c>
      <c r="D1512">
        <v>4</v>
      </c>
      <c r="E1512">
        <v>30846460</v>
      </c>
      <c r="F1512" t="s">
        <v>1104</v>
      </c>
      <c r="G1512" s="1">
        <v>45232</v>
      </c>
      <c r="H1512">
        <v>5411067</v>
      </c>
      <c r="I1512">
        <v>52</v>
      </c>
      <c r="J1512" t="s">
        <v>311</v>
      </c>
      <c r="K1512" t="str">
        <f>IFERROR(IF(AND(VLOOKUP($C1512,Hes!$A:$B, 1, FALSE), $M1512&lt;&gt;" "), "Ingresada", "Falta Ingresar"), " ")</f>
        <v xml:space="preserve"> </v>
      </c>
      <c r="L1512" s="4" t="s">
        <v>681</v>
      </c>
      <c r="M1512" t="s">
        <v>681</v>
      </c>
      <c r="O1512" s="5">
        <v>30846460</v>
      </c>
      <c r="P1512" s="5">
        <v>198416</v>
      </c>
      <c r="Q1512" s="5">
        <v>37699</v>
      </c>
      <c r="R1512" s="5">
        <v>236115</v>
      </c>
    </row>
    <row r="1513" spans="1:18" x14ac:dyDescent="0.25">
      <c r="A1513" t="s">
        <v>522</v>
      </c>
      <c r="B1513" t="s">
        <v>494</v>
      </c>
      <c r="C1513">
        <v>76137790</v>
      </c>
      <c r="D1513">
        <v>5</v>
      </c>
      <c r="E1513">
        <v>30860395</v>
      </c>
      <c r="F1513" t="s">
        <v>1104</v>
      </c>
      <c r="G1513" s="1">
        <v>45237</v>
      </c>
      <c r="H1513">
        <v>5414110</v>
      </c>
      <c r="I1513">
        <v>52</v>
      </c>
      <c r="J1513" t="s">
        <v>311</v>
      </c>
      <c r="K1513" t="str">
        <f>IFERROR(IF(AND(VLOOKUP($C1513,Hes!$A:$B, 1, FALSE), $M1513&lt;&gt;" "), "Ingresada", "Falta Ingresar"), " ")</f>
        <v xml:space="preserve"> </v>
      </c>
      <c r="L1513" s="4" t="s">
        <v>681</v>
      </c>
      <c r="M1513" t="s">
        <v>681</v>
      </c>
      <c r="O1513" s="5">
        <v>30860395</v>
      </c>
      <c r="P1513" s="5">
        <v>12560</v>
      </c>
      <c r="Q1513" s="5">
        <v>2386</v>
      </c>
      <c r="R1513" s="5">
        <v>14946</v>
      </c>
    </row>
    <row r="1514" spans="1:18" x14ac:dyDescent="0.25">
      <c r="A1514" t="s">
        <v>522</v>
      </c>
      <c r="B1514" t="s">
        <v>494</v>
      </c>
      <c r="C1514">
        <v>76137790</v>
      </c>
      <c r="D1514">
        <v>5</v>
      </c>
      <c r="E1514">
        <v>30860396</v>
      </c>
      <c r="F1514" t="s">
        <v>1104</v>
      </c>
      <c r="G1514" s="1">
        <v>45237</v>
      </c>
      <c r="H1514">
        <v>5414231</v>
      </c>
      <c r="I1514">
        <v>52</v>
      </c>
      <c r="J1514" t="s">
        <v>311</v>
      </c>
      <c r="K1514" t="str">
        <f>IFERROR(IF(AND(VLOOKUP($C1514,Hes!$A:$B, 1, FALSE), $M1514&lt;&gt;" "), "Ingresada", "Falta Ingresar"), " ")</f>
        <v xml:space="preserve"> </v>
      </c>
      <c r="L1514" s="4" t="s">
        <v>681</v>
      </c>
      <c r="M1514" t="s">
        <v>681</v>
      </c>
      <c r="O1514" s="5">
        <v>30860396</v>
      </c>
      <c r="P1514" s="5">
        <v>72031</v>
      </c>
      <c r="Q1514" s="5">
        <v>13686</v>
      </c>
      <c r="R1514" s="5">
        <v>85717</v>
      </c>
    </row>
    <row r="1515" spans="1:18" x14ac:dyDescent="0.25">
      <c r="A1515" t="s">
        <v>522</v>
      </c>
      <c r="B1515" t="s">
        <v>494</v>
      </c>
      <c r="C1515">
        <v>76137790</v>
      </c>
      <c r="D1515">
        <v>2</v>
      </c>
      <c r="E1515">
        <v>30861958</v>
      </c>
      <c r="F1515" t="s">
        <v>1104</v>
      </c>
      <c r="G1515" s="1">
        <v>45237</v>
      </c>
      <c r="H1515">
        <v>5414839</v>
      </c>
      <c r="I1515">
        <v>52</v>
      </c>
      <c r="J1515" t="s">
        <v>311</v>
      </c>
      <c r="K1515" t="str">
        <f>IFERROR(IF(AND(VLOOKUP($C1515,Hes!$A:$B, 1, FALSE), $M1515&lt;&gt;" "), "Ingresada", "Falta Ingresar"), " ")</f>
        <v xml:space="preserve"> </v>
      </c>
      <c r="L1515" s="4" t="s">
        <v>681</v>
      </c>
      <c r="M1515" t="s">
        <v>681</v>
      </c>
      <c r="O1515" s="5">
        <v>30861958</v>
      </c>
      <c r="P1515" s="5">
        <v>216073</v>
      </c>
      <c r="Q1515" s="5">
        <v>41054</v>
      </c>
      <c r="R1515" s="5">
        <v>257127</v>
      </c>
    </row>
    <row r="1516" spans="1:18" x14ac:dyDescent="0.25">
      <c r="A1516" t="s">
        <v>522</v>
      </c>
      <c r="B1516" t="s">
        <v>494</v>
      </c>
      <c r="C1516">
        <v>76137790</v>
      </c>
      <c r="D1516">
        <v>2</v>
      </c>
      <c r="E1516">
        <v>30861959</v>
      </c>
      <c r="F1516" t="s">
        <v>1104</v>
      </c>
      <c r="G1516" s="1">
        <v>45237</v>
      </c>
      <c r="H1516">
        <v>5415250</v>
      </c>
      <c r="I1516">
        <v>52</v>
      </c>
      <c r="J1516" t="s">
        <v>311</v>
      </c>
      <c r="K1516" t="str">
        <f>IFERROR(IF(AND(VLOOKUP($C1516,Hes!$A:$B, 1, FALSE), $M1516&lt;&gt;" "), "Ingresada", "Falta Ingresar"), " ")</f>
        <v xml:space="preserve"> </v>
      </c>
      <c r="L1516" s="4" t="s">
        <v>681</v>
      </c>
      <c r="M1516" t="s">
        <v>681</v>
      </c>
      <c r="O1516" s="5">
        <v>30861959</v>
      </c>
      <c r="P1516" s="5">
        <v>210961</v>
      </c>
      <c r="Q1516" s="5">
        <v>40083</v>
      </c>
      <c r="R1516" s="5">
        <v>251044</v>
      </c>
    </row>
    <row r="1517" spans="1:18" x14ac:dyDescent="0.25">
      <c r="F1517" t="s">
        <v>499</v>
      </c>
      <c r="K1517" t="str">
        <f>IFERROR(IF(AND(VLOOKUP($C1517,Hes!$A:$B, 1, FALSE), $M1517&lt;&gt;" "), "Ingresada", "Falta Ingresar"), " ")</f>
        <v xml:space="preserve"> </v>
      </c>
      <c r="L1517" s="4" t="str">
        <f>IFERROR(VLOOKUP($C1517,Observaciones!$A:$B,2,FALSE)," ")</f>
        <v xml:space="preserve"> </v>
      </c>
      <c r="M1517" t="s">
        <v>681</v>
      </c>
      <c r="P1517" s="5">
        <v>710041</v>
      </c>
      <c r="Q1517" s="5">
        <v>134908</v>
      </c>
      <c r="R1517" s="5">
        <v>844949</v>
      </c>
    </row>
    <row r="1518" spans="1:18" x14ac:dyDescent="0.25">
      <c r="A1518" t="s">
        <v>501</v>
      </c>
      <c r="B1518" t="s">
        <v>494</v>
      </c>
      <c r="C1518">
        <v>76138547</v>
      </c>
      <c r="D1518">
        <v>22</v>
      </c>
      <c r="E1518">
        <v>30850473</v>
      </c>
      <c r="F1518" t="s">
        <v>1105</v>
      </c>
      <c r="G1518" s="1">
        <v>45233</v>
      </c>
      <c r="H1518">
        <v>5411601</v>
      </c>
      <c r="I1518">
        <v>181</v>
      </c>
      <c r="J1518" t="s">
        <v>206</v>
      </c>
      <c r="K1518" t="str">
        <f>IFERROR(IF(AND(VLOOKUP($C1518,Hes!$A:$B, 1, FALSE), $M1518&lt;&gt;" "), "Ingresada", "Falta Ingresar"), " ")</f>
        <v xml:space="preserve"> </v>
      </c>
      <c r="L1518" s="4" t="str">
        <f>IFERROR(VLOOKUP($C1518,Observaciones!$A:$B,2,FALSE)," ")</f>
        <v xml:space="preserve">ESPERAR O/C </v>
      </c>
      <c r="M1518" t="s">
        <v>681</v>
      </c>
      <c r="O1518" s="5">
        <v>30850473</v>
      </c>
      <c r="P1518" s="5">
        <v>398416</v>
      </c>
      <c r="Q1518" s="5">
        <v>75699</v>
      </c>
      <c r="R1518" s="5">
        <v>474115</v>
      </c>
    </row>
    <row r="1519" spans="1:18" x14ac:dyDescent="0.25">
      <c r="A1519" t="s">
        <v>501</v>
      </c>
      <c r="B1519" t="s">
        <v>494</v>
      </c>
      <c r="C1519">
        <v>76138547</v>
      </c>
      <c r="D1519">
        <v>27</v>
      </c>
      <c r="E1519">
        <v>30850377</v>
      </c>
      <c r="F1519" t="s">
        <v>1105</v>
      </c>
      <c r="G1519" s="1">
        <v>45233</v>
      </c>
      <c r="H1519">
        <v>5411685</v>
      </c>
      <c r="I1519">
        <v>181</v>
      </c>
      <c r="J1519" t="s">
        <v>206</v>
      </c>
      <c r="K1519" t="str">
        <f>IFERROR(IF(AND(VLOOKUP($C1519,Hes!$A:$B, 1, FALSE), $M1519&lt;&gt;" "), "Ingresada", "Falta Ingresar"), " ")</f>
        <v xml:space="preserve"> </v>
      </c>
      <c r="L1519" s="4" t="str">
        <f>IFERROR(VLOOKUP($C1519,Observaciones!$A:$B,2,FALSE)," ")</f>
        <v xml:space="preserve">ESPERAR O/C </v>
      </c>
      <c r="M1519" t="s">
        <v>681</v>
      </c>
      <c r="O1519" s="5">
        <v>30850377</v>
      </c>
      <c r="P1519" s="5">
        <v>1299849</v>
      </c>
      <c r="Q1519" s="5">
        <v>246971</v>
      </c>
      <c r="R1519" s="5">
        <v>1546820</v>
      </c>
    </row>
    <row r="1520" spans="1:18" x14ac:dyDescent="0.25">
      <c r="A1520" t="s">
        <v>501</v>
      </c>
      <c r="B1520" t="s">
        <v>494</v>
      </c>
      <c r="C1520">
        <v>76138547</v>
      </c>
      <c r="D1520">
        <v>27</v>
      </c>
      <c r="E1520">
        <v>30852214</v>
      </c>
      <c r="F1520" t="s">
        <v>1105</v>
      </c>
      <c r="G1520" s="1">
        <v>45236</v>
      </c>
      <c r="H1520">
        <v>5412951</v>
      </c>
      <c r="I1520">
        <v>181</v>
      </c>
      <c r="J1520" t="s">
        <v>206</v>
      </c>
      <c r="K1520" t="str">
        <f>IFERROR(IF(AND(VLOOKUP($C1520,Hes!$A:$B, 1, FALSE), $M1520&lt;&gt;" "), "Ingresada", "Falta Ingresar"), " ")</f>
        <v xml:space="preserve"> </v>
      </c>
      <c r="L1520" s="4" t="str">
        <f>IFERROR(VLOOKUP($C1520,Observaciones!$A:$B,2,FALSE)," ")</f>
        <v xml:space="preserve">ESPERAR O/C </v>
      </c>
      <c r="M1520" t="s">
        <v>681</v>
      </c>
      <c r="O1520" s="5">
        <v>30852214</v>
      </c>
      <c r="P1520" s="5">
        <v>166118</v>
      </c>
      <c r="Q1520" s="5">
        <v>31562</v>
      </c>
      <c r="R1520" s="5">
        <v>197680</v>
      </c>
    </row>
    <row r="1521" spans="1:18" x14ac:dyDescent="0.25">
      <c r="A1521" t="s">
        <v>501</v>
      </c>
      <c r="B1521" t="s">
        <v>494</v>
      </c>
      <c r="C1521">
        <v>76138547</v>
      </c>
      <c r="D1521">
        <v>3</v>
      </c>
      <c r="E1521">
        <v>30853416</v>
      </c>
      <c r="F1521" t="s">
        <v>1105</v>
      </c>
      <c r="G1521" s="1">
        <v>45236</v>
      </c>
      <c r="H1521">
        <v>5413242</v>
      </c>
      <c r="I1521">
        <v>181</v>
      </c>
      <c r="J1521" t="s">
        <v>206</v>
      </c>
      <c r="K1521" t="str">
        <f>IFERROR(IF(AND(VLOOKUP($C1521,Hes!$A:$B, 1, FALSE), $M1521&lt;&gt;" "), "Ingresada", "Falta Ingresar"), " ")</f>
        <v xml:space="preserve"> </v>
      </c>
      <c r="L1521" s="4" t="str">
        <f>IFERROR(VLOOKUP($C1521,Observaciones!$A:$B,2,FALSE)," ")</f>
        <v xml:space="preserve">ESPERAR O/C </v>
      </c>
      <c r="M1521" t="s">
        <v>681</v>
      </c>
      <c r="O1521" s="5">
        <v>30853416</v>
      </c>
      <c r="P1521" s="5">
        <v>109596</v>
      </c>
      <c r="Q1521" s="5">
        <v>20823</v>
      </c>
      <c r="R1521" s="5">
        <v>131608</v>
      </c>
    </row>
    <row r="1522" spans="1:18" x14ac:dyDescent="0.25">
      <c r="A1522" t="s">
        <v>501</v>
      </c>
      <c r="B1522" t="s">
        <v>494</v>
      </c>
      <c r="C1522">
        <v>76138547</v>
      </c>
      <c r="D1522">
        <v>11</v>
      </c>
      <c r="E1522">
        <v>30854696</v>
      </c>
      <c r="F1522" t="s">
        <v>1105</v>
      </c>
      <c r="G1522" s="1">
        <v>45236</v>
      </c>
      <c r="H1522">
        <v>5413692</v>
      </c>
      <c r="I1522">
        <v>181</v>
      </c>
      <c r="J1522" t="s">
        <v>206</v>
      </c>
      <c r="K1522" t="str">
        <f>IFERROR(IF(AND(VLOOKUP($C1522,Hes!$A:$B, 1, FALSE), $M1522&lt;&gt;" "), "Ingresada", "Falta Ingresar"), " ")</f>
        <v xml:space="preserve"> </v>
      </c>
      <c r="L1522" s="4" t="str">
        <f>IFERROR(VLOOKUP($C1522,Observaciones!$A:$B,2,FALSE)," ")</f>
        <v xml:space="preserve">ESPERAR O/C </v>
      </c>
      <c r="M1522" t="s">
        <v>681</v>
      </c>
      <c r="O1522" s="5">
        <v>30854696</v>
      </c>
      <c r="P1522" s="5">
        <v>58558</v>
      </c>
      <c r="Q1522" s="5">
        <v>11126</v>
      </c>
      <c r="R1522" s="5">
        <v>69684</v>
      </c>
    </row>
    <row r="1523" spans="1:18" x14ac:dyDescent="0.25">
      <c r="A1523" t="s">
        <v>501</v>
      </c>
      <c r="B1523" t="s">
        <v>494</v>
      </c>
      <c r="C1523">
        <v>76138547</v>
      </c>
      <c r="D1523">
        <v>1</v>
      </c>
      <c r="E1523">
        <v>30855026</v>
      </c>
      <c r="F1523" t="s">
        <v>1105</v>
      </c>
      <c r="G1523" s="1">
        <v>45236</v>
      </c>
      <c r="H1523">
        <v>5413693</v>
      </c>
      <c r="I1523">
        <v>181</v>
      </c>
      <c r="J1523" t="s">
        <v>206</v>
      </c>
      <c r="K1523" t="str">
        <f>IFERROR(IF(AND(VLOOKUP($C1523,Hes!$A:$B, 1, FALSE), $M1523&lt;&gt;" "), "Ingresada", "Falta Ingresar"), " ")</f>
        <v xml:space="preserve"> </v>
      </c>
      <c r="L1523" s="4" t="str">
        <f>IFERROR(VLOOKUP($C1523,Observaciones!$A:$B,2,FALSE)," ")</f>
        <v xml:space="preserve">ESPERAR O/C </v>
      </c>
      <c r="M1523" t="s">
        <v>681</v>
      </c>
      <c r="O1523" s="5">
        <v>30855026</v>
      </c>
      <c r="P1523" s="5">
        <v>39555</v>
      </c>
      <c r="Q1523" s="5">
        <v>7515</v>
      </c>
      <c r="R1523" s="5">
        <v>47070</v>
      </c>
    </row>
    <row r="1524" spans="1:18" x14ac:dyDescent="0.25">
      <c r="A1524" t="s">
        <v>501</v>
      </c>
      <c r="B1524" t="s">
        <v>494</v>
      </c>
      <c r="C1524">
        <v>76138547</v>
      </c>
      <c r="D1524">
        <v>6</v>
      </c>
      <c r="E1524">
        <v>30856152</v>
      </c>
      <c r="F1524" t="s">
        <v>1105</v>
      </c>
      <c r="G1524" s="1">
        <v>45236</v>
      </c>
      <c r="H1524">
        <v>5413694</v>
      </c>
      <c r="I1524">
        <v>181</v>
      </c>
      <c r="J1524" t="s">
        <v>206</v>
      </c>
      <c r="K1524" t="str">
        <f>IFERROR(IF(AND(VLOOKUP($C1524,Hes!$A:$B, 1, FALSE), $M1524&lt;&gt;" "), "Ingresada", "Falta Ingresar"), " ")</f>
        <v xml:space="preserve"> </v>
      </c>
      <c r="L1524" s="4" t="str">
        <f>IFERROR(VLOOKUP($C1524,Observaciones!$A:$B,2,FALSE)," ")</f>
        <v xml:space="preserve">ESPERAR O/C </v>
      </c>
      <c r="M1524" t="s">
        <v>681</v>
      </c>
      <c r="O1524" s="5">
        <v>30856152</v>
      </c>
      <c r="P1524" s="5">
        <v>38004</v>
      </c>
      <c r="Q1524" s="5">
        <v>7221</v>
      </c>
      <c r="R1524" s="5">
        <v>45225</v>
      </c>
    </row>
    <row r="1525" spans="1:18" x14ac:dyDescent="0.25">
      <c r="A1525" t="s">
        <v>501</v>
      </c>
      <c r="B1525" t="s">
        <v>494</v>
      </c>
      <c r="C1525">
        <v>76138547</v>
      </c>
      <c r="D1525">
        <v>9</v>
      </c>
      <c r="E1525">
        <v>30860184</v>
      </c>
      <c r="F1525" t="s">
        <v>1105</v>
      </c>
      <c r="G1525" s="1">
        <v>45237</v>
      </c>
      <c r="H1525">
        <v>5414235</v>
      </c>
      <c r="I1525">
        <v>181</v>
      </c>
      <c r="J1525" t="s">
        <v>206</v>
      </c>
      <c r="K1525" t="str">
        <f>IFERROR(IF(AND(VLOOKUP($C1525,Hes!$A:$B, 1, FALSE), $M1525&lt;&gt;" "), "Ingresada", "Falta Ingresar"), " ")</f>
        <v xml:space="preserve"> </v>
      </c>
      <c r="L1525" s="4" t="str">
        <f>IFERROR(VLOOKUP($C1525,Observaciones!$A:$B,2,FALSE)," ")</f>
        <v xml:space="preserve">ESPERAR O/C </v>
      </c>
      <c r="M1525" t="s">
        <v>681</v>
      </c>
      <c r="O1525" s="5">
        <v>30860184</v>
      </c>
      <c r="P1525" s="5">
        <v>325628</v>
      </c>
      <c r="Q1525" s="5">
        <v>61869</v>
      </c>
      <c r="R1525" s="5">
        <v>387497</v>
      </c>
    </row>
    <row r="1526" spans="1:18" x14ac:dyDescent="0.25">
      <c r="A1526" t="s">
        <v>501</v>
      </c>
      <c r="B1526" t="s">
        <v>494</v>
      </c>
      <c r="C1526">
        <v>76138547</v>
      </c>
      <c r="D1526">
        <v>8</v>
      </c>
      <c r="E1526">
        <v>30860086</v>
      </c>
      <c r="F1526" t="s">
        <v>1105</v>
      </c>
      <c r="G1526" s="1">
        <v>45237</v>
      </c>
      <c r="H1526">
        <v>5414417</v>
      </c>
      <c r="I1526">
        <v>181</v>
      </c>
      <c r="J1526" t="s">
        <v>206</v>
      </c>
      <c r="K1526" t="str">
        <f>IFERROR(IF(AND(VLOOKUP($C1526,Hes!$A:$B, 1, FALSE), $M1526&lt;&gt;" "), "Ingresada", "Falta Ingresar"), " ")</f>
        <v xml:space="preserve"> </v>
      </c>
      <c r="L1526" s="4" t="str">
        <f>IFERROR(VLOOKUP($C1526,Observaciones!$A:$B,2,FALSE)," ")</f>
        <v xml:space="preserve">ESPERAR O/C </v>
      </c>
      <c r="M1526" t="s">
        <v>681</v>
      </c>
      <c r="O1526" s="5">
        <v>30860086</v>
      </c>
      <c r="P1526" s="5">
        <v>894689</v>
      </c>
      <c r="Q1526" s="5">
        <v>169991</v>
      </c>
      <c r="R1526" s="5">
        <v>1064680</v>
      </c>
    </row>
    <row r="1527" spans="1:18" x14ac:dyDescent="0.25">
      <c r="A1527" t="s">
        <v>501</v>
      </c>
      <c r="B1527" t="s">
        <v>494</v>
      </c>
      <c r="C1527">
        <v>76138547</v>
      </c>
      <c r="D1527">
        <v>19</v>
      </c>
      <c r="E1527">
        <v>30861098</v>
      </c>
      <c r="F1527" t="s">
        <v>1105</v>
      </c>
      <c r="G1527" s="1">
        <v>45237</v>
      </c>
      <c r="H1527">
        <v>5414480</v>
      </c>
      <c r="I1527">
        <v>181</v>
      </c>
      <c r="J1527" t="s">
        <v>206</v>
      </c>
      <c r="K1527" t="str">
        <f>IFERROR(IF(AND(VLOOKUP($C1527,Hes!$A:$B, 1, FALSE), $M1527&lt;&gt;" "), "Ingresada", "Falta Ingresar"), " ")</f>
        <v xml:space="preserve"> </v>
      </c>
      <c r="L1527" s="4" t="str">
        <f>IFERROR(VLOOKUP($C1527,Observaciones!$A:$B,2,FALSE)," ")</f>
        <v xml:space="preserve">ESPERAR O/C </v>
      </c>
      <c r="M1527" t="s">
        <v>681</v>
      </c>
      <c r="O1527" s="5">
        <v>30861098</v>
      </c>
      <c r="P1527" s="5">
        <v>29078</v>
      </c>
      <c r="Q1527" s="5">
        <v>5525</v>
      </c>
      <c r="R1527" s="5">
        <v>34603</v>
      </c>
    </row>
    <row r="1528" spans="1:18" x14ac:dyDescent="0.25">
      <c r="A1528" t="s">
        <v>501</v>
      </c>
      <c r="B1528" t="s">
        <v>494</v>
      </c>
      <c r="C1528">
        <v>76138547</v>
      </c>
      <c r="D1528">
        <v>13</v>
      </c>
      <c r="E1528">
        <v>30864722</v>
      </c>
      <c r="F1528" t="s">
        <v>1105</v>
      </c>
      <c r="G1528" s="1">
        <v>45238</v>
      </c>
      <c r="H1528">
        <v>5415420</v>
      </c>
      <c r="I1528">
        <v>181</v>
      </c>
      <c r="J1528" t="s">
        <v>206</v>
      </c>
      <c r="K1528" t="str">
        <f>IFERROR(IF(AND(VLOOKUP($C1528,Hes!$A:$B, 1, FALSE), $M1528&lt;&gt;" "), "Ingresada", "Falta Ingresar"), " ")</f>
        <v xml:space="preserve"> </v>
      </c>
      <c r="L1528" s="4" t="str">
        <f>IFERROR(VLOOKUP($C1528,Observaciones!$A:$B,2,FALSE)," ")</f>
        <v xml:space="preserve">ESPERAR O/C </v>
      </c>
      <c r="M1528" t="s">
        <v>681</v>
      </c>
      <c r="O1528" s="5">
        <v>30864722</v>
      </c>
      <c r="P1528" s="5">
        <v>137692</v>
      </c>
      <c r="Q1528" s="5">
        <v>26161</v>
      </c>
      <c r="R1528" s="5">
        <v>163853</v>
      </c>
    </row>
    <row r="1529" spans="1:18" x14ac:dyDescent="0.25">
      <c r="F1529" t="s">
        <v>510</v>
      </c>
      <c r="K1529" t="str">
        <f>IFERROR(IF(AND(VLOOKUP($C1529,Hes!$A:$B, 1, FALSE), $M1529&lt;&gt;" "), "Ingresada", "Falta Ingresar"), " ")</f>
        <v xml:space="preserve"> </v>
      </c>
      <c r="L1529" s="4" t="str">
        <f>IFERROR(VLOOKUP($C1529,Observaciones!$A:$B,2,FALSE)," ")</f>
        <v xml:space="preserve"> </v>
      </c>
      <c r="M1529" t="s">
        <v>681</v>
      </c>
      <c r="P1529" s="5">
        <v>3497183</v>
      </c>
      <c r="Q1529" s="5">
        <v>664463</v>
      </c>
      <c r="R1529" s="5">
        <v>4162835</v>
      </c>
    </row>
    <row r="1530" spans="1:18" x14ac:dyDescent="0.25">
      <c r="A1530" t="s">
        <v>501</v>
      </c>
      <c r="B1530" t="s">
        <v>494</v>
      </c>
      <c r="C1530">
        <v>76141988</v>
      </c>
      <c r="D1530">
        <v>1</v>
      </c>
      <c r="E1530">
        <v>30858900</v>
      </c>
      <c r="F1530" t="s">
        <v>1106</v>
      </c>
      <c r="G1530" s="1">
        <v>45237</v>
      </c>
      <c r="H1530">
        <v>5414083</v>
      </c>
      <c r="I1530">
        <v>196</v>
      </c>
      <c r="J1530" t="s">
        <v>382</v>
      </c>
      <c r="K1530" s="8" t="str">
        <f>IFERROR(IF(AND(VLOOKUP($C1530,Hes!$A:$B, 1, FALSE), $M1530&lt;&gt;" "), "Ingresada", "Falta Ingresar"), " ")</f>
        <v>Falta Ingresar</v>
      </c>
      <c r="L1530" s="4" t="str">
        <f>IFERROR(VLOOKUP($C1530,Observaciones!$A:$B,2,FALSE)," ")</f>
        <v xml:space="preserve"> </v>
      </c>
      <c r="M1530" t="s">
        <v>681</v>
      </c>
      <c r="N1530" s="5" t="s">
        <v>841</v>
      </c>
      <c r="O1530" s="5">
        <v>30858900</v>
      </c>
      <c r="P1530" s="5">
        <v>99902</v>
      </c>
      <c r="Q1530" s="5">
        <v>18981</v>
      </c>
      <c r="R1530" s="5">
        <v>118883</v>
      </c>
    </row>
    <row r="1531" spans="1:18" x14ac:dyDescent="0.25">
      <c r="F1531" t="s">
        <v>495</v>
      </c>
      <c r="K1531" t="str">
        <f>IFERROR(IF(AND(VLOOKUP($C1531,Hes!$A:$B, 1, FALSE), $M1531&lt;&gt;" "), "Ingresada", "Falta Ingresar"), " ")</f>
        <v xml:space="preserve"> </v>
      </c>
      <c r="L1531" s="4" t="str">
        <f>IFERROR(VLOOKUP($C1531,Observaciones!$A:$B,2,FALSE)," ")</f>
        <v xml:space="preserve"> </v>
      </c>
      <c r="M1531" t="s">
        <v>681</v>
      </c>
      <c r="P1531" s="5">
        <v>99902</v>
      </c>
      <c r="Q1531" s="5">
        <v>18981</v>
      </c>
      <c r="R1531" s="5">
        <v>118883</v>
      </c>
    </row>
    <row r="1532" spans="1:18" x14ac:dyDescent="0.25">
      <c r="A1532" t="s">
        <v>503</v>
      </c>
      <c r="B1532" t="s">
        <v>494</v>
      </c>
      <c r="C1532">
        <v>76143528</v>
      </c>
      <c r="D1532">
        <v>0</v>
      </c>
      <c r="E1532">
        <v>259</v>
      </c>
      <c r="F1532" t="s">
        <v>1107</v>
      </c>
      <c r="G1532" s="1">
        <v>45232</v>
      </c>
      <c r="H1532">
        <v>5410810</v>
      </c>
      <c r="I1532">
        <v>459</v>
      </c>
      <c r="J1532" t="s">
        <v>198</v>
      </c>
      <c r="K1532" t="str">
        <f>IFERROR(IF(AND(VLOOKUP($C1532,Hes!$A:$B, 1, FALSE), $M1532&lt;&gt;" "), "Ingresada", "Falta Ingresar"), " ")</f>
        <v xml:space="preserve"> </v>
      </c>
      <c r="L1532" s="4" t="str">
        <f>IFERROR(VLOOKUP($C1532,Observaciones!$A:$B,2,FALSE)," ")</f>
        <v xml:space="preserve"> </v>
      </c>
      <c r="M1532" t="s">
        <v>681</v>
      </c>
      <c r="O1532" s="5">
        <v>30843813</v>
      </c>
      <c r="P1532" s="5">
        <v>58019</v>
      </c>
      <c r="Q1532" s="5">
        <v>11024</v>
      </c>
      <c r="R1532" s="5">
        <v>69043</v>
      </c>
    </row>
    <row r="1533" spans="1:18" x14ac:dyDescent="0.25">
      <c r="F1533" t="s">
        <v>495</v>
      </c>
      <c r="K1533" t="str">
        <f>IFERROR(IF(AND(VLOOKUP($C1533,Hes!$A:$B, 1, FALSE), $M1533&lt;&gt;" "), "Ingresada", "Falta Ingresar"), " ")</f>
        <v xml:space="preserve"> </v>
      </c>
      <c r="L1533" s="4" t="str">
        <f>IFERROR(VLOOKUP($C1533,Observaciones!$A:$B,2,FALSE)," ")</f>
        <v xml:space="preserve"> </v>
      </c>
      <c r="M1533" t="s">
        <v>681</v>
      </c>
      <c r="P1533" s="5">
        <v>58019</v>
      </c>
      <c r="Q1533" s="5">
        <v>11024</v>
      </c>
      <c r="R1533" s="5">
        <v>69043</v>
      </c>
    </row>
    <row r="1534" spans="1:18" x14ac:dyDescent="0.25">
      <c r="A1534" t="s">
        <v>496</v>
      </c>
      <c r="B1534" t="s">
        <v>494</v>
      </c>
      <c r="C1534">
        <v>76158513</v>
      </c>
      <c r="D1534">
        <v>0</v>
      </c>
      <c r="E1534" t="s">
        <v>1108</v>
      </c>
      <c r="F1534" t="s">
        <v>1109</v>
      </c>
      <c r="G1534" s="1">
        <v>45232</v>
      </c>
      <c r="H1534">
        <v>5410990</v>
      </c>
      <c r="I1534">
        <v>50</v>
      </c>
      <c r="J1534" t="s">
        <v>376</v>
      </c>
      <c r="K1534" s="8" t="str">
        <f>IFERROR(IF(AND(VLOOKUP($C1534,Hes!$A:$B, 1, FALSE), $M1534&lt;&gt;" "), "Ingresada", "Falta Ingresar"), " ")</f>
        <v>Falta Ingresar</v>
      </c>
      <c r="L1534" s="4" t="str">
        <f>IFERROR(VLOOKUP($C1534,Observaciones!$A:$B,2,FALSE)," ")</f>
        <v xml:space="preserve"> </v>
      </c>
      <c r="M1534" t="s">
        <v>681</v>
      </c>
      <c r="N1534" s="5" t="s">
        <v>841</v>
      </c>
      <c r="O1534" s="5">
        <v>30743202</v>
      </c>
      <c r="P1534" s="5">
        <v>17809</v>
      </c>
      <c r="Q1534" s="5">
        <v>3384</v>
      </c>
      <c r="R1534" s="5">
        <v>21193</v>
      </c>
    </row>
    <row r="1535" spans="1:18" x14ac:dyDescent="0.25">
      <c r="A1535" t="s">
        <v>496</v>
      </c>
      <c r="B1535" t="s">
        <v>494</v>
      </c>
      <c r="C1535">
        <v>76158513</v>
      </c>
      <c r="D1535">
        <v>0</v>
      </c>
      <c r="E1535" t="s">
        <v>1110</v>
      </c>
      <c r="F1535" t="s">
        <v>1109</v>
      </c>
      <c r="G1535" s="1">
        <v>45232</v>
      </c>
      <c r="H1535">
        <v>5410991</v>
      </c>
      <c r="I1535">
        <v>50</v>
      </c>
      <c r="J1535" t="s">
        <v>376</v>
      </c>
      <c r="K1535" s="8" t="str">
        <f>IFERROR(IF(AND(VLOOKUP($C1535,Hes!$A:$B, 1, FALSE), $M1535&lt;&gt;" "), "Ingresada", "Falta Ingresar"), " ")</f>
        <v>Falta Ingresar</v>
      </c>
      <c r="L1535" s="4" t="str">
        <f>IFERROR(VLOOKUP($C1535,Observaciones!$A:$B,2,FALSE)," ")</f>
        <v xml:space="preserve"> </v>
      </c>
      <c r="M1535" t="s">
        <v>681</v>
      </c>
      <c r="N1535" s="5" t="s">
        <v>841</v>
      </c>
      <c r="O1535" s="5">
        <v>30819312</v>
      </c>
      <c r="P1535" s="5">
        <v>43373</v>
      </c>
      <c r="Q1535" s="5">
        <v>8241</v>
      </c>
      <c r="R1535" s="5">
        <v>51614</v>
      </c>
    </row>
    <row r="1536" spans="1:18" x14ac:dyDescent="0.25">
      <c r="F1536" t="s">
        <v>497</v>
      </c>
      <c r="K1536" t="str">
        <f>IFERROR(IF(AND(VLOOKUP($C1536,Hes!$A:$B, 1, FALSE), $M1536&lt;&gt;" "), "Ingresada", "Falta Ingresar"), " ")</f>
        <v xml:space="preserve"> </v>
      </c>
      <c r="L1536" s="4" t="str">
        <f>IFERROR(VLOOKUP($C1536,Observaciones!$A:$B,2,FALSE)," ")</f>
        <v xml:space="preserve"> </v>
      </c>
      <c r="M1536" t="s">
        <v>681</v>
      </c>
      <c r="P1536" s="5">
        <v>61182</v>
      </c>
      <c r="Q1536" s="5">
        <v>11625</v>
      </c>
      <c r="R1536" s="5">
        <v>72807</v>
      </c>
    </row>
    <row r="1537" spans="1:18" x14ac:dyDescent="0.25">
      <c r="A1537" t="s">
        <v>503</v>
      </c>
      <c r="B1537" t="s">
        <v>509</v>
      </c>
      <c r="C1537">
        <v>76174024</v>
      </c>
      <c r="D1537">
        <v>39</v>
      </c>
      <c r="E1537" t="s">
        <v>1111</v>
      </c>
      <c r="F1537" t="s">
        <v>1112</v>
      </c>
      <c r="G1537" s="1">
        <v>45236</v>
      </c>
      <c r="H1537">
        <v>5412332</v>
      </c>
      <c r="I1537">
        <v>32</v>
      </c>
      <c r="J1537" t="s">
        <v>338</v>
      </c>
      <c r="K1537" t="str">
        <f>IFERROR(IF(AND(VLOOKUP($C1537,Hes!$A:$B, 1, FALSE), $M1537&lt;&gt;" "), "Ingresada", "Falta Ingresar"), " ")</f>
        <v xml:space="preserve"> </v>
      </c>
      <c r="L1537" s="4" t="s">
        <v>681</v>
      </c>
      <c r="M1537" t="s">
        <v>681</v>
      </c>
      <c r="O1537" s="5">
        <v>30853029</v>
      </c>
      <c r="P1537" s="5">
        <v>83993</v>
      </c>
      <c r="Q1537" s="5">
        <v>15959</v>
      </c>
      <c r="R1537" s="5">
        <v>99952</v>
      </c>
    </row>
    <row r="1538" spans="1:18" x14ac:dyDescent="0.25">
      <c r="A1538" t="s">
        <v>503</v>
      </c>
      <c r="B1538" t="s">
        <v>509</v>
      </c>
      <c r="C1538">
        <v>76174024</v>
      </c>
      <c r="D1538">
        <v>39</v>
      </c>
      <c r="E1538" t="s">
        <v>1113</v>
      </c>
      <c r="F1538" t="s">
        <v>1112</v>
      </c>
      <c r="G1538" s="1">
        <v>45236</v>
      </c>
      <c r="H1538">
        <v>5413193</v>
      </c>
      <c r="I1538">
        <v>32</v>
      </c>
      <c r="J1538" t="s">
        <v>338</v>
      </c>
      <c r="K1538" t="str">
        <f>IFERROR(IF(AND(VLOOKUP($C1538,Hes!$A:$B, 1, FALSE), $M1538&lt;&gt;" "), "Ingresada", "Falta Ingresar"), " ")</f>
        <v xml:space="preserve"> </v>
      </c>
      <c r="L1538" s="4" t="s">
        <v>681</v>
      </c>
      <c r="M1538" t="s">
        <v>681</v>
      </c>
      <c r="O1538" s="5">
        <v>30853095</v>
      </c>
      <c r="P1538" s="5">
        <v>157585</v>
      </c>
      <c r="Q1538" s="5">
        <v>29941</v>
      </c>
      <c r="R1538" s="5">
        <v>187526</v>
      </c>
    </row>
    <row r="1539" spans="1:18" x14ac:dyDescent="0.25">
      <c r="A1539" t="s">
        <v>503</v>
      </c>
      <c r="B1539" t="s">
        <v>509</v>
      </c>
      <c r="C1539">
        <v>76174024</v>
      </c>
      <c r="D1539">
        <v>37</v>
      </c>
      <c r="E1539" t="s">
        <v>1114</v>
      </c>
      <c r="F1539" t="s">
        <v>1112</v>
      </c>
      <c r="G1539" s="1">
        <v>45237</v>
      </c>
      <c r="H1539">
        <v>5414388</v>
      </c>
      <c r="I1539">
        <v>32</v>
      </c>
      <c r="J1539" t="s">
        <v>338</v>
      </c>
      <c r="K1539" t="str">
        <f>IFERROR(IF(AND(VLOOKUP($C1539,Hes!$A:$B, 1, FALSE), $M1539&lt;&gt;" "), "Ingresada", "Falta Ingresar"), " ")</f>
        <v xml:space="preserve"> </v>
      </c>
      <c r="L1539" s="4" t="s">
        <v>681</v>
      </c>
      <c r="M1539" t="s">
        <v>681</v>
      </c>
      <c r="O1539" s="5">
        <v>30856489</v>
      </c>
      <c r="P1539" s="5">
        <v>130166</v>
      </c>
      <c r="Q1539" s="5">
        <v>24732</v>
      </c>
      <c r="R1539" s="5">
        <v>154898</v>
      </c>
    </row>
    <row r="1540" spans="1:18" x14ac:dyDescent="0.25">
      <c r="F1540" t="s">
        <v>500</v>
      </c>
      <c r="K1540" t="str">
        <f>IFERROR(IF(AND(VLOOKUP($C1540,Hes!$A:$B, 1, FALSE), $M1540&lt;&gt;" "), "Ingresada", "Falta Ingresar"), " ")</f>
        <v xml:space="preserve"> </v>
      </c>
      <c r="L1540" s="4" t="str">
        <f>IFERROR(VLOOKUP($C1540,Observaciones!$A:$B,2,FALSE)," ")</f>
        <v xml:space="preserve"> </v>
      </c>
      <c r="M1540" t="s">
        <v>681</v>
      </c>
      <c r="P1540" s="5">
        <v>371744</v>
      </c>
      <c r="Q1540" s="5">
        <v>70632</v>
      </c>
      <c r="R1540" s="5">
        <v>442376</v>
      </c>
    </row>
    <row r="1541" spans="1:18" x14ac:dyDescent="0.25">
      <c r="A1541" t="s">
        <v>496</v>
      </c>
      <c r="B1541" t="s">
        <v>494</v>
      </c>
      <c r="C1541">
        <v>76175835</v>
      </c>
      <c r="D1541">
        <v>0</v>
      </c>
      <c r="E1541">
        <v>200399326</v>
      </c>
      <c r="F1541" t="s">
        <v>1115</v>
      </c>
      <c r="G1541" s="1">
        <v>45236</v>
      </c>
      <c r="H1541">
        <v>5413274</v>
      </c>
      <c r="I1541">
        <v>424</v>
      </c>
      <c r="J1541" t="s">
        <v>146</v>
      </c>
      <c r="K1541" t="str">
        <f>IFERROR(IF(AND(VLOOKUP($C1541,Hes!$A:$B, 1, FALSE), $M1541&lt;&gt;" "), "Ingresada", "Falta Ingresar"), " ")</f>
        <v xml:space="preserve"> </v>
      </c>
      <c r="L1541" s="4" t="str">
        <f>IFERROR(VLOOKUP($C1541,Observaciones!$A:$B,2,FALSE)," ")</f>
        <v>XOC Y CC</v>
      </c>
      <c r="M1541" t="s">
        <v>681</v>
      </c>
      <c r="O1541" s="5">
        <v>30828723</v>
      </c>
      <c r="P1541" s="5">
        <v>519000</v>
      </c>
      <c r="Q1541" s="5">
        <v>98610</v>
      </c>
      <c r="R1541" s="5">
        <v>617610</v>
      </c>
    </row>
    <row r="1542" spans="1:18" x14ac:dyDescent="0.25">
      <c r="F1542" t="s">
        <v>495</v>
      </c>
      <c r="K1542" t="str">
        <f>IFERROR(IF(AND(VLOOKUP($C1542,Hes!$A:$B, 1, FALSE), $M1542&lt;&gt;" "), "Ingresada", "Falta Ingresar"), " ")</f>
        <v xml:space="preserve"> </v>
      </c>
      <c r="L1542" s="4" t="str">
        <f>IFERROR(VLOOKUP($C1542,Observaciones!$A:$B,2,FALSE)," ")</f>
        <v xml:space="preserve"> </v>
      </c>
      <c r="M1542" t="s">
        <v>681</v>
      </c>
      <c r="P1542" s="5">
        <v>519000</v>
      </c>
      <c r="Q1542" s="5">
        <v>98610</v>
      </c>
      <c r="R1542" s="5">
        <v>617610</v>
      </c>
    </row>
    <row r="1543" spans="1:18" x14ac:dyDescent="0.25">
      <c r="A1543" t="s">
        <v>512</v>
      </c>
      <c r="B1543" t="s">
        <v>494</v>
      </c>
      <c r="C1543">
        <v>76182739</v>
      </c>
      <c r="D1543">
        <v>124</v>
      </c>
      <c r="E1543">
        <v>30849113</v>
      </c>
      <c r="F1543" t="s">
        <v>1116</v>
      </c>
      <c r="G1543" s="1">
        <v>45233</v>
      </c>
      <c r="H1543">
        <v>5411461</v>
      </c>
      <c r="I1543">
        <v>431</v>
      </c>
      <c r="J1543" t="s">
        <v>354</v>
      </c>
      <c r="K1543" t="str">
        <f>IFERROR(IF(AND(VLOOKUP($C1543,Hes!$A:$B, 1, FALSE), $M1543&lt;&gt;" "), "Ingresada", "Falta Ingresar"), " ")</f>
        <v xml:space="preserve"> </v>
      </c>
      <c r="L1543" s="4" t="str">
        <f>IFERROR(VLOOKUP($C1543,Observaciones!$A:$B,2,FALSE)," ")</f>
        <v xml:space="preserve"> </v>
      </c>
      <c r="M1543" t="s">
        <v>681</v>
      </c>
      <c r="O1543" s="5">
        <v>30849113</v>
      </c>
      <c r="P1543" s="5">
        <v>54804</v>
      </c>
      <c r="Q1543" s="5">
        <v>10413</v>
      </c>
      <c r="R1543" s="5">
        <v>65217</v>
      </c>
    </row>
    <row r="1544" spans="1:18" x14ac:dyDescent="0.25">
      <c r="A1544" t="s">
        <v>512</v>
      </c>
      <c r="B1544" t="s">
        <v>494</v>
      </c>
      <c r="C1544">
        <v>76182739</v>
      </c>
      <c r="D1544">
        <v>207</v>
      </c>
      <c r="E1544">
        <v>30849822</v>
      </c>
      <c r="F1544" t="s">
        <v>1116</v>
      </c>
      <c r="G1544" s="1">
        <v>45236</v>
      </c>
      <c r="H1544">
        <v>5412383</v>
      </c>
      <c r="I1544">
        <v>431</v>
      </c>
      <c r="J1544" t="s">
        <v>354</v>
      </c>
      <c r="K1544" t="str">
        <f>IFERROR(IF(AND(VLOOKUP($C1544,Hes!$A:$B, 1, FALSE), $M1544&lt;&gt;" "), "Ingresada", "Falta Ingresar"), " ")</f>
        <v xml:space="preserve"> </v>
      </c>
      <c r="L1544" s="4" t="str">
        <f>IFERROR(VLOOKUP($C1544,Observaciones!$A:$B,2,FALSE)," ")</f>
        <v xml:space="preserve"> </v>
      </c>
      <c r="M1544" t="s">
        <v>681</v>
      </c>
      <c r="O1544" s="5">
        <v>30849822</v>
      </c>
      <c r="P1544" s="5">
        <v>88332</v>
      </c>
      <c r="Q1544" s="5">
        <v>16783</v>
      </c>
      <c r="R1544" s="5">
        <v>105115</v>
      </c>
    </row>
    <row r="1545" spans="1:18" x14ac:dyDescent="0.25">
      <c r="A1545" t="s">
        <v>512</v>
      </c>
      <c r="B1545" t="s">
        <v>494</v>
      </c>
      <c r="C1545">
        <v>76182739</v>
      </c>
      <c r="D1545">
        <v>213</v>
      </c>
      <c r="E1545">
        <v>30852442</v>
      </c>
      <c r="F1545" t="s">
        <v>1116</v>
      </c>
      <c r="G1545" s="1">
        <v>45236</v>
      </c>
      <c r="H1545">
        <v>5413133</v>
      </c>
      <c r="I1545">
        <v>431</v>
      </c>
      <c r="J1545" t="s">
        <v>354</v>
      </c>
      <c r="K1545" t="str">
        <f>IFERROR(IF(AND(VLOOKUP($C1545,Hes!$A:$B, 1, FALSE), $M1545&lt;&gt;" "), "Ingresada", "Falta Ingresar"), " ")</f>
        <v xml:space="preserve"> </v>
      </c>
      <c r="L1545" s="4" t="str">
        <f>IFERROR(VLOOKUP($C1545,Observaciones!$A:$B,2,FALSE)," ")</f>
        <v xml:space="preserve"> </v>
      </c>
      <c r="M1545" t="s">
        <v>681</v>
      </c>
      <c r="O1545" s="5">
        <v>30852442</v>
      </c>
      <c r="P1545" s="5">
        <v>89900</v>
      </c>
      <c r="Q1545" s="5">
        <v>17081</v>
      </c>
      <c r="R1545" s="5">
        <v>106981</v>
      </c>
    </row>
    <row r="1546" spans="1:18" x14ac:dyDescent="0.25">
      <c r="A1546" t="s">
        <v>512</v>
      </c>
      <c r="B1546" t="s">
        <v>494</v>
      </c>
      <c r="C1546">
        <v>76182739</v>
      </c>
      <c r="D1546">
        <v>314</v>
      </c>
      <c r="E1546">
        <v>30852535</v>
      </c>
      <c r="F1546" t="s">
        <v>1116</v>
      </c>
      <c r="G1546" s="1">
        <v>45236</v>
      </c>
      <c r="H1546">
        <v>5413211</v>
      </c>
      <c r="I1546">
        <v>431</v>
      </c>
      <c r="J1546" t="s">
        <v>354</v>
      </c>
      <c r="K1546" t="str">
        <f>IFERROR(IF(AND(VLOOKUP($C1546,Hes!$A:$B, 1, FALSE), $M1546&lt;&gt;" "), "Ingresada", "Falta Ingresar"), " ")</f>
        <v xml:space="preserve"> </v>
      </c>
      <c r="L1546" s="4" t="str">
        <f>IFERROR(VLOOKUP($C1546,Observaciones!$A:$B,2,FALSE)," ")</f>
        <v xml:space="preserve"> </v>
      </c>
      <c r="M1546" t="s">
        <v>681</v>
      </c>
      <c r="O1546" s="5">
        <v>30852535</v>
      </c>
      <c r="P1546" s="5">
        <v>83592</v>
      </c>
      <c r="Q1546" s="5">
        <v>15882</v>
      </c>
      <c r="R1546" s="5">
        <v>99474</v>
      </c>
    </row>
    <row r="1547" spans="1:18" x14ac:dyDescent="0.25">
      <c r="A1547" t="s">
        <v>512</v>
      </c>
      <c r="B1547" t="s">
        <v>494</v>
      </c>
      <c r="C1547">
        <v>76182739</v>
      </c>
      <c r="D1547">
        <v>206</v>
      </c>
      <c r="E1547">
        <v>30857119</v>
      </c>
      <c r="F1547" t="s">
        <v>1116</v>
      </c>
      <c r="G1547" s="1">
        <v>45236</v>
      </c>
      <c r="H1547">
        <v>5413453</v>
      </c>
      <c r="I1547">
        <v>431</v>
      </c>
      <c r="J1547" t="s">
        <v>354</v>
      </c>
      <c r="K1547" t="str">
        <f>IFERROR(IF(AND(VLOOKUP($C1547,Hes!$A:$B, 1, FALSE), $M1547&lt;&gt;" "), "Ingresada", "Falta Ingresar"), " ")</f>
        <v xml:space="preserve"> </v>
      </c>
      <c r="L1547" s="4" t="str">
        <f>IFERROR(VLOOKUP($C1547,Observaciones!$A:$B,2,FALSE)," ")</f>
        <v xml:space="preserve"> </v>
      </c>
      <c r="M1547" t="s">
        <v>681</v>
      </c>
      <c r="O1547" s="5">
        <v>30857119</v>
      </c>
      <c r="P1547" s="5">
        <v>54881</v>
      </c>
      <c r="Q1547" s="5">
        <v>10427</v>
      </c>
      <c r="R1547" s="5">
        <v>65308</v>
      </c>
    </row>
    <row r="1548" spans="1:18" x14ac:dyDescent="0.25">
      <c r="A1548" t="s">
        <v>512</v>
      </c>
      <c r="B1548" t="s">
        <v>494</v>
      </c>
      <c r="C1548">
        <v>76182739</v>
      </c>
      <c r="D1548">
        <v>218</v>
      </c>
      <c r="E1548">
        <v>30859301</v>
      </c>
      <c r="F1548" t="s">
        <v>1116</v>
      </c>
      <c r="G1548" s="1">
        <v>45237</v>
      </c>
      <c r="H1548">
        <v>5414151</v>
      </c>
      <c r="I1548">
        <v>431</v>
      </c>
      <c r="J1548" t="s">
        <v>354</v>
      </c>
      <c r="K1548" t="str">
        <f>IFERROR(IF(AND(VLOOKUP($C1548,Hes!$A:$B, 1, FALSE), $M1548&lt;&gt;" "), "Ingresada", "Falta Ingresar"), " ")</f>
        <v xml:space="preserve"> </v>
      </c>
      <c r="L1548" s="4" t="str">
        <f>IFERROR(VLOOKUP($C1548,Observaciones!$A:$B,2,FALSE)," ")</f>
        <v xml:space="preserve"> </v>
      </c>
      <c r="M1548" t="s">
        <v>681</v>
      </c>
      <c r="O1548" s="5">
        <v>30859301</v>
      </c>
      <c r="P1548" s="5">
        <v>99937</v>
      </c>
      <c r="Q1548" s="5">
        <v>18988</v>
      </c>
      <c r="R1548" s="5">
        <v>118925</v>
      </c>
    </row>
    <row r="1549" spans="1:18" x14ac:dyDescent="0.25">
      <c r="A1549" t="s">
        <v>512</v>
      </c>
      <c r="B1549" t="s">
        <v>494</v>
      </c>
      <c r="C1549">
        <v>76182739</v>
      </c>
      <c r="D1549">
        <v>211</v>
      </c>
      <c r="E1549">
        <v>30859445</v>
      </c>
      <c r="F1549" t="s">
        <v>1116</v>
      </c>
      <c r="G1549" s="1">
        <v>45237</v>
      </c>
      <c r="H1549">
        <v>5414168</v>
      </c>
      <c r="I1549">
        <v>431</v>
      </c>
      <c r="J1549" t="s">
        <v>354</v>
      </c>
      <c r="K1549" t="str">
        <f>IFERROR(IF(AND(VLOOKUP($C1549,Hes!$A:$B, 1, FALSE), $M1549&lt;&gt;" "), "Ingresada", "Falta Ingresar"), " ")</f>
        <v xml:space="preserve"> </v>
      </c>
      <c r="L1549" s="4" t="str">
        <f>IFERROR(VLOOKUP($C1549,Observaciones!$A:$B,2,FALSE)," ")</f>
        <v xml:space="preserve"> </v>
      </c>
      <c r="M1549" t="s">
        <v>681</v>
      </c>
      <c r="O1549" s="5">
        <v>30859445</v>
      </c>
      <c r="P1549" s="5">
        <v>43869</v>
      </c>
      <c r="Q1549" s="5">
        <v>8335</v>
      </c>
      <c r="R1549" s="5">
        <v>52204</v>
      </c>
    </row>
    <row r="1550" spans="1:18" x14ac:dyDescent="0.25">
      <c r="A1550" t="s">
        <v>512</v>
      </c>
      <c r="B1550" t="s">
        <v>494</v>
      </c>
      <c r="C1550">
        <v>76182739</v>
      </c>
      <c r="D1550">
        <v>217</v>
      </c>
      <c r="E1550">
        <v>30859416</v>
      </c>
      <c r="F1550" t="s">
        <v>1116</v>
      </c>
      <c r="G1550" s="1">
        <v>45237</v>
      </c>
      <c r="H1550">
        <v>5414187</v>
      </c>
      <c r="I1550">
        <v>431</v>
      </c>
      <c r="J1550" t="s">
        <v>354</v>
      </c>
      <c r="K1550" t="str">
        <f>IFERROR(IF(AND(VLOOKUP($C1550,Hes!$A:$B, 1, FALSE), $M1550&lt;&gt;" "), "Ingresada", "Falta Ingresar"), " ")</f>
        <v xml:space="preserve"> </v>
      </c>
      <c r="L1550" s="4" t="str">
        <f>IFERROR(VLOOKUP($C1550,Observaciones!$A:$B,2,FALSE)," ")</f>
        <v xml:space="preserve"> </v>
      </c>
      <c r="M1550" t="s">
        <v>681</v>
      </c>
      <c r="O1550" s="5">
        <v>30859416</v>
      </c>
      <c r="P1550" s="5">
        <v>35698</v>
      </c>
      <c r="Q1550" s="5">
        <v>6783</v>
      </c>
      <c r="R1550" s="5">
        <v>42481</v>
      </c>
    </row>
    <row r="1551" spans="1:18" x14ac:dyDescent="0.25">
      <c r="A1551" t="s">
        <v>512</v>
      </c>
      <c r="B1551" t="s">
        <v>494</v>
      </c>
      <c r="C1551">
        <v>76182739</v>
      </c>
      <c r="D1551">
        <v>203</v>
      </c>
      <c r="E1551">
        <v>30859290</v>
      </c>
      <c r="F1551" t="s">
        <v>1116</v>
      </c>
      <c r="G1551" s="1">
        <v>45237</v>
      </c>
      <c r="H1551">
        <v>5414193</v>
      </c>
      <c r="I1551">
        <v>431</v>
      </c>
      <c r="J1551" t="s">
        <v>354</v>
      </c>
      <c r="K1551" t="str">
        <f>IFERROR(IF(AND(VLOOKUP($C1551,Hes!$A:$B, 1, FALSE), $M1551&lt;&gt;" "), "Ingresada", "Falta Ingresar"), " ")</f>
        <v xml:space="preserve"> </v>
      </c>
      <c r="L1551" s="4" t="str">
        <f>IFERROR(VLOOKUP($C1551,Observaciones!$A:$B,2,FALSE)," ")</f>
        <v xml:space="preserve"> </v>
      </c>
      <c r="M1551" t="s">
        <v>681</v>
      </c>
      <c r="O1551" s="5">
        <v>30859290</v>
      </c>
      <c r="P1551" s="5">
        <v>20177</v>
      </c>
      <c r="Q1551" s="5">
        <v>3834</v>
      </c>
      <c r="R1551" s="5">
        <v>24011</v>
      </c>
    </row>
    <row r="1552" spans="1:18" x14ac:dyDescent="0.25">
      <c r="A1552" t="s">
        <v>512</v>
      </c>
      <c r="B1552" t="s">
        <v>494</v>
      </c>
      <c r="C1552">
        <v>76182739</v>
      </c>
      <c r="D1552">
        <v>201</v>
      </c>
      <c r="E1552">
        <v>30859403</v>
      </c>
      <c r="F1552" t="s">
        <v>1116</v>
      </c>
      <c r="G1552" s="1">
        <v>45237</v>
      </c>
      <c r="H1552">
        <v>5414214</v>
      </c>
      <c r="I1552">
        <v>431</v>
      </c>
      <c r="J1552" t="s">
        <v>354</v>
      </c>
      <c r="K1552" t="str">
        <f>IFERROR(IF(AND(VLOOKUP($C1552,Hes!$A:$B, 1, FALSE), $M1552&lt;&gt;" "), "Ingresada", "Falta Ingresar"), " ")</f>
        <v xml:space="preserve"> </v>
      </c>
      <c r="L1552" s="4" t="str">
        <f>IFERROR(VLOOKUP($C1552,Observaciones!$A:$B,2,FALSE)," ")</f>
        <v xml:space="preserve"> </v>
      </c>
      <c r="M1552" t="s">
        <v>681</v>
      </c>
      <c r="O1552" s="5">
        <v>30859403</v>
      </c>
      <c r="P1552" s="5">
        <v>41287</v>
      </c>
      <c r="Q1552" s="5">
        <v>7845</v>
      </c>
      <c r="R1552" s="5">
        <v>49132</v>
      </c>
    </row>
    <row r="1553" spans="1:18" x14ac:dyDescent="0.25">
      <c r="A1553" t="s">
        <v>512</v>
      </c>
      <c r="B1553" t="s">
        <v>494</v>
      </c>
      <c r="C1553">
        <v>76182739</v>
      </c>
      <c r="D1553">
        <v>204</v>
      </c>
      <c r="E1553">
        <v>30859337</v>
      </c>
      <c r="F1553" t="s">
        <v>1116</v>
      </c>
      <c r="G1553" s="1">
        <v>45237</v>
      </c>
      <c r="H1553">
        <v>5414382</v>
      </c>
      <c r="I1553">
        <v>431</v>
      </c>
      <c r="J1553" t="s">
        <v>354</v>
      </c>
      <c r="K1553" t="str">
        <f>IFERROR(IF(AND(VLOOKUP($C1553,Hes!$A:$B, 1, FALSE), $M1553&lt;&gt;" "), "Ingresada", "Falta Ingresar"), " ")</f>
        <v xml:space="preserve"> </v>
      </c>
      <c r="L1553" s="4" t="str">
        <f>IFERROR(VLOOKUP($C1553,Observaciones!$A:$B,2,FALSE)," ")</f>
        <v xml:space="preserve"> </v>
      </c>
      <c r="M1553" t="s">
        <v>681</v>
      </c>
      <c r="O1553" s="5">
        <v>30859337</v>
      </c>
      <c r="P1553" s="5">
        <v>84586</v>
      </c>
      <c r="Q1553" s="5">
        <v>16071</v>
      </c>
      <c r="R1553" s="5">
        <v>100657</v>
      </c>
    </row>
    <row r="1554" spans="1:18" x14ac:dyDescent="0.25">
      <c r="A1554" t="s">
        <v>512</v>
      </c>
      <c r="B1554" t="s">
        <v>494</v>
      </c>
      <c r="C1554">
        <v>76182739</v>
      </c>
      <c r="D1554">
        <v>302</v>
      </c>
      <c r="E1554">
        <v>30859319</v>
      </c>
      <c r="F1554" t="s">
        <v>1116</v>
      </c>
      <c r="G1554" s="1">
        <v>45237</v>
      </c>
      <c r="H1554">
        <v>5414392</v>
      </c>
      <c r="I1554">
        <v>431</v>
      </c>
      <c r="J1554" t="s">
        <v>354</v>
      </c>
      <c r="K1554" t="str">
        <f>IFERROR(IF(AND(VLOOKUP($C1554,Hes!$A:$B, 1, FALSE), $M1554&lt;&gt;" "), "Ingresada", "Falta Ingresar"), " ")</f>
        <v xml:space="preserve"> </v>
      </c>
      <c r="L1554" s="4" t="str">
        <f>IFERROR(VLOOKUP($C1554,Observaciones!$A:$B,2,FALSE)," ")</f>
        <v xml:space="preserve"> </v>
      </c>
      <c r="M1554" t="s">
        <v>681</v>
      </c>
      <c r="O1554" s="5">
        <v>30859319</v>
      </c>
      <c r="P1554" s="5">
        <v>21405</v>
      </c>
      <c r="Q1554" s="5">
        <v>4067</v>
      </c>
      <c r="R1554" s="5">
        <v>25472</v>
      </c>
    </row>
    <row r="1555" spans="1:18" x14ac:dyDescent="0.25">
      <c r="A1555" t="s">
        <v>512</v>
      </c>
      <c r="B1555" t="s">
        <v>494</v>
      </c>
      <c r="C1555">
        <v>76182739</v>
      </c>
      <c r="D1555">
        <v>309</v>
      </c>
      <c r="E1555">
        <v>30859376</v>
      </c>
      <c r="F1555" t="s">
        <v>1116</v>
      </c>
      <c r="G1555" s="1">
        <v>45238</v>
      </c>
      <c r="H1555">
        <v>5414526</v>
      </c>
      <c r="I1555">
        <v>431</v>
      </c>
      <c r="J1555" t="s">
        <v>354</v>
      </c>
      <c r="K1555" t="str">
        <f>IFERROR(IF(AND(VLOOKUP($C1555,Hes!$A:$B, 1, FALSE), $M1555&lt;&gt;" "), "Ingresada", "Falta Ingresar"), " ")</f>
        <v xml:space="preserve"> </v>
      </c>
      <c r="L1555" s="4" t="str">
        <f>IFERROR(VLOOKUP($C1555,Observaciones!$A:$B,2,FALSE)," ")</f>
        <v xml:space="preserve"> </v>
      </c>
      <c r="M1555" t="s">
        <v>681</v>
      </c>
      <c r="O1555" s="5">
        <v>30859376</v>
      </c>
      <c r="P1555" s="5">
        <v>57797</v>
      </c>
      <c r="Q1555" s="5">
        <v>10981</v>
      </c>
      <c r="R1555" s="5">
        <v>68778</v>
      </c>
    </row>
    <row r="1556" spans="1:18" x14ac:dyDescent="0.25">
      <c r="A1556" t="s">
        <v>512</v>
      </c>
      <c r="B1556" t="s">
        <v>494</v>
      </c>
      <c r="C1556">
        <v>76182739</v>
      </c>
      <c r="D1556">
        <v>305</v>
      </c>
      <c r="E1556">
        <v>30859423</v>
      </c>
      <c r="F1556" t="s">
        <v>1116</v>
      </c>
      <c r="G1556" s="1">
        <v>45237</v>
      </c>
      <c r="H1556">
        <v>5414735</v>
      </c>
      <c r="I1556">
        <v>431</v>
      </c>
      <c r="J1556" t="s">
        <v>354</v>
      </c>
      <c r="K1556" t="str">
        <f>IFERROR(IF(AND(VLOOKUP($C1556,Hes!$A:$B, 1, FALSE), $M1556&lt;&gt;" "), "Ingresada", "Falta Ingresar"), " ")</f>
        <v xml:space="preserve"> </v>
      </c>
      <c r="L1556" s="4" t="str">
        <f>IFERROR(VLOOKUP($C1556,Observaciones!$A:$B,2,FALSE)," ")</f>
        <v xml:space="preserve"> </v>
      </c>
      <c r="M1556" t="s">
        <v>681</v>
      </c>
      <c r="O1556" s="5">
        <v>30859423</v>
      </c>
      <c r="P1556" s="5">
        <v>56559</v>
      </c>
      <c r="Q1556" s="5">
        <v>10746</v>
      </c>
      <c r="R1556" s="5">
        <v>67305</v>
      </c>
    </row>
    <row r="1557" spans="1:18" x14ac:dyDescent="0.25">
      <c r="A1557" t="s">
        <v>512</v>
      </c>
      <c r="B1557" t="s">
        <v>494</v>
      </c>
      <c r="C1557">
        <v>76182739</v>
      </c>
      <c r="D1557">
        <v>316</v>
      </c>
      <c r="E1557">
        <v>30861625</v>
      </c>
      <c r="F1557" t="s">
        <v>1116</v>
      </c>
      <c r="G1557" s="1">
        <v>45237</v>
      </c>
      <c r="H1557">
        <v>5414852</v>
      </c>
      <c r="I1557">
        <v>431</v>
      </c>
      <c r="J1557" t="s">
        <v>354</v>
      </c>
      <c r="K1557" t="str">
        <f>IFERROR(IF(AND(VLOOKUP($C1557,Hes!$A:$B, 1, FALSE), $M1557&lt;&gt;" "), "Ingresada", "Falta Ingresar"), " ")</f>
        <v xml:space="preserve"> </v>
      </c>
      <c r="L1557" s="4" t="str">
        <f>IFERROR(VLOOKUP($C1557,Observaciones!$A:$B,2,FALSE)," ")</f>
        <v xml:space="preserve"> </v>
      </c>
      <c r="M1557" t="s">
        <v>681</v>
      </c>
      <c r="O1557" s="5">
        <v>30861625</v>
      </c>
      <c r="P1557" s="5">
        <v>40436</v>
      </c>
      <c r="Q1557" s="5">
        <v>7683</v>
      </c>
      <c r="R1557" s="5">
        <v>48119</v>
      </c>
    </row>
    <row r="1558" spans="1:18" x14ac:dyDescent="0.25">
      <c r="A1558" t="s">
        <v>512</v>
      </c>
      <c r="B1558" t="s">
        <v>494</v>
      </c>
      <c r="C1558">
        <v>76182739</v>
      </c>
      <c r="D1558">
        <v>308</v>
      </c>
      <c r="E1558">
        <v>30859253</v>
      </c>
      <c r="F1558" t="s">
        <v>1116</v>
      </c>
      <c r="G1558" s="1">
        <v>45238</v>
      </c>
      <c r="H1558">
        <v>5415020</v>
      </c>
      <c r="I1558">
        <v>431</v>
      </c>
      <c r="J1558" t="s">
        <v>354</v>
      </c>
      <c r="K1558" t="str">
        <f>IFERROR(IF(AND(VLOOKUP($C1558,Hes!$A:$B, 1, FALSE), $M1558&lt;&gt;" "), "Ingresada", "Falta Ingresar"), " ")</f>
        <v xml:space="preserve"> </v>
      </c>
      <c r="L1558" s="4" t="str">
        <f>IFERROR(VLOOKUP($C1558,Observaciones!$A:$B,2,FALSE)," ")</f>
        <v xml:space="preserve"> </v>
      </c>
      <c r="M1558" t="s">
        <v>681</v>
      </c>
      <c r="O1558" s="5">
        <v>30859253</v>
      </c>
      <c r="P1558" s="5">
        <v>78199</v>
      </c>
      <c r="Q1558" s="5">
        <v>14858</v>
      </c>
      <c r="R1558" s="5">
        <v>93057</v>
      </c>
    </row>
    <row r="1559" spans="1:18" x14ac:dyDescent="0.25">
      <c r="A1559" t="s">
        <v>512</v>
      </c>
      <c r="B1559" t="s">
        <v>494</v>
      </c>
      <c r="C1559">
        <v>76182739</v>
      </c>
      <c r="D1559">
        <v>304</v>
      </c>
      <c r="E1559">
        <v>30861616</v>
      </c>
      <c r="F1559" t="s">
        <v>1116</v>
      </c>
      <c r="G1559" s="1">
        <v>45238</v>
      </c>
      <c r="H1559">
        <v>5415040</v>
      </c>
      <c r="I1559">
        <v>431</v>
      </c>
      <c r="J1559" t="s">
        <v>354</v>
      </c>
      <c r="K1559" t="str">
        <f>IFERROR(IF(AND(VLOOKUP($C1559,Hes!$A:$B, 1, FALSE), $M1559&lt;&gt;" "), "Ingresada", "Falta Ingresar"), " ")</f>
        <v xml:space="preserve"> </v>
      </c>
      <c r="L1559" s="4" t="str">
        <f>IFERROR(VLOOKUP($C1559,Observaciones!$A:$B,2,FALSE)," ")</f>
        <v xml:space="preserve"> </v>
      </c>
      <c r="M1559" t="s">
        <v>681</v>
      </c>
      <c r="O1559" s="5">
        <v>30861616</v>
      </c>
      <c r="P1559" s="5">
        <v>83660</v>
      </c>
      <c r="Q1559" s="5">
        <v>15895</v>
      </c>
      <c r="R1559" s="5">
        <v>99555</v>
      </c>
    </row>
    <row r="1560" spans="1:18" x14ac:dyDescent="0.25">
      <c r="A1560" t="s">
        <v>512</v>
      </c>
      <c r="B1560" t="s">
        <v>494</v>
      </c>
      <c r="C1560">
        <v>76182739</v>
      </c>
      <c r="D1560">
        <v>206</v>
      </c>
      <c r="E1560">
        <v>30861646</v>
      </c>
      <c r="F1560" t="s">
        <v>1116</v>
      </c>
      <c r="G1560" s="1">
        <v>45238</v>
      </c>
      <c r="H1560">
        <v>5415414</v>
      </c>
      <c r="I1560">
        <v>431</v>
      </c>
      <c r="J1560" t="s">
        <v>354</v>
      </c>
      <c r="K1560" t="str">
        <f>IFERROR(IF(AND(VLOOKUP($C1560,Hes!$A:$B, 1, FALSE), $M1560&lt;&gt;" "), "Ingresada", "Falta Ingresar"), " ")</f>
        <v xml:space="preserve"> </v>
      </c>
      <c r="L1560" s="4" t="str">
        <f>IFERROR(VLOOKUP($C1560,Observaciones!$A:$B,2,FALSE)," ")</f>
        <v xml:space="preserve"> </v>
      </c>
      <c r="M1560" t="s">
        <v>681</v>
      </c>
      <c r="O1560" s="5">
        <v>30861646</v>
      </c>
      <c r="P1560" s="5">
        <v>43251</v>
      </c>
      <c r="Q1560" s="5">
        <v>8218</v>
      </c>
      <c r="R1560" s="5">
        <v>51469</v>
      </c>
    </row>
    <row r="1561" spans="1:18" x14ac:dyDescent="0.25">
      <c r="A1561" t="s">
        <v>512</v>
      </c>
      <c r="B1561" t="s">
        <v>494</v>
      </c>
      <c r="C1561">
        <v>76182739</v>
      </c>
      <c r="D1561">
        <v>209</v>
      </c>
      <c r="E1561">
        <v>30861659</v>
      </c>
      <c r="F1561" t="s">
        <v>1116</v>
      </c>
      <c r="G1561" s="1">
        <v>45238</v>
      </c>
      <c r="H1561">
        <v>5415416</v>
      </c>
      <c r="I1561">
        <v>431</v>
      </c>
      <c r="J1561" t="s">
        <v>354</v>
      </c>
      <c r="K1561" t="str">
        <f>IFERROR(IF(AND(VLOOKUP($C1561,Hes!$A:$B, 1, FALSE), $M1561&lt;&gt;" "), "Ingresada", "Falta Ingresar"), " ")</f>
        <v xml:space="preserve"> </v>
      </c>
      <c r="L1561" s="4" t="str">
        <f>IFERROR(VLOOKUP($C1561,Observaciones!$A:$B,2,FALSE)," ")</f>
        <v xml:space="preserve"> </v>
      </c>
      <c r="M1561" t="s">
        <v>681</v>
      </c>
      <c r="O1561" s="5">
        <v>30861659</v>
      </c>
      <c r="P1561" s="5">
        <v>84974</v>
      </c>
      <c r="Q1561" s="5">
        <v>16145</v>
      </c>
      <c r="R1561" s="5">
        <v>101119</v>
      </c>
    </row>
    <row r="1562" spans="1:18" x14ac:dyDescent="0.25">
      <c r="A1562" t="s">
        <v>512</v>
      </c>
      <c r="B1562" t="s">
        <v>494</v>
      </c>
      <c r="C1562">
        <v>76182739</v>
      </c>
      <c r="D1562">
        <v>205</v>
      </c>
      <c r="E1562">
        <v>30861633</v>
      </c>
      <c r="F1562" t="s">
        <v>1116</v>
      </c>
      <c r="G1562" s="1">
        <v>45238</v>
      </c>
      <c r="H1562">
        <v>5415433</v>
      </c>
      <c r="I1562">
        <v>431</v>
      </c>
      <c r="J1562" t="s">
        <v>354</v>
      </c>
      <c r="K1562" t="str">
        <f>IFERROR(IF(AND(VLOOKUP($C1562,Hes!$A:$B, 1, FALSE), $M1562&lt;&gt;" "), "Ingresada", "Falta Ingresar"), " ")</f>
        <v xml:space="preserve"> </v>
      </c>
      <c r="L1562" s="4" t="str">
        <f>IFERROR(VLOOKUP($C1562,Observaciones!$A:$B,2,FALSE)," ")</f>
        <v xml:space="preserve"> </v>
      </c>
      <c r="M1562" t="s">
        <v>681</v>
      </c>
      <c r="O1562" s="5">
        <v>30861633</v>
      </c>
      <c r="P1562" s="5">
        <v>48871</v>
      </c>
      <c r="Q1562" s="5">
        <v>9285</v>
      </c>
      <c r="R1562" s="5">
        <v>58156</v>
      </c>
    </row>
    <row r="1563" spans="1:18" x14ac:dyDescent="0.25">
      <c r="A1563" t="s">
        <v>512</v>
      </c>
      <c r="B1563" t="s">
        <v>494</v>
      </c>
      <c r="C1563">
        <v>76182739</v>
      </c>
      <c r="D1563">
        <v>216</v>
      </c>
      <c r="E1563">
        <v>30861641</v>
      </c>
      <c r="F1563" t="s">
        <v>1116</v>
      </c>
      <c r="G1563" s="1">
        <v>45238</v>
      </c>
      <c r="H1563">
        <v>5415590</v>
      </c>
      <c r="I1563">
        <v>431</v>
      </c>
      <c r="J1563" t="s">
        <v>354</v>
      </c>
      <c r="K1563" t="str">
        <f>IFERROR(IF(AND(VLOOKUP($C1563,Hes!$A:$B, 1, FALSE), $M1563&lt;&gt;" "), "Ingresada", "Falta Ingresar"), " ")</f>
        <v xml:space="preserve"> </v>
      </c>
      <c r="L1563" s="4" t="str">
        <f>IFERROR(VLOOKUP($C1563,Observaciones!$A:$B,2,FALSE)," ")</f>
        <v xml:space="preserve"> </v>
      </c>
      <c r="M1563" t="s">
        <v>681</v>
      </c>
      <c r="O1563" s="5">
        <v>30861641</v>
      </c>
      <c r="P1563" s="5">
        <v>83439</v>
      </c>
      <c r="Q1563" s="5">
        <v>15853</v>
      </c>
      <c r="R1563" s="5">
        <v>99292</v>
      </c>
    </row>
    <row r="1564" spans="1:18" x14ac:dyDescent="0.25">
      <c r="F1564" t="s">
        <v>534</v>
      </c>
      <c r="K1564" t="str">
        <f>IFERROR(IF(AND(VLOOKUP($C1564,Hes!$A:$B, 1, FALSE), $M1564&lt;&gt;" "), "Ingresada", "Falta Ingresar"), " ")</f>
        <v xml:space="preserve"> </v>
      </c>
      <c r="L1564" s="4" t="str">
        <f>IFERROR(VLOOKUP($C1564,Observaciones!$A:$B,2,FALSE)," ")</f>
        <v xml:space="preserve"> </v>
      </c>
      <c r="M1564" t="s">
        <v>681</v>
      </c>
      <c r="P1564" s="5">
        <v>1295654</v>
      </c>
      <c r="Q1564" s="5">
        <v>246173</v>
      </c>
      <c r="R1564" s="5">
        <v>1541827</v>
      </c>
    </row>
    <row r="1565" spans="1:18" x14ac:dyDescent="0.25">
      <c r="A1565" t="s">
        <v>503</v>
      </c>
      <c r="B1565" t="s">
        <v>494</v>
      </c>
      <c r="C1565">
        <v>76182983</v>
      </c>
      <c r="D1565">
        <v>2</v>
      </c>
      <c r="E1565">
        <v>23001747</v>
      </c>
      <c r="F1565" t="s">
        <v>1117</v>
      </c>
      <c r="G1565" s="1">
        <v>45238</v>
      </c>
      <c r="H1565">
        <v>5415391</v>
      </c>
      <c r="I1565">
        <v>420</v>
      </c>
      <c r="J1565" t="s">
        <v>265</v>
      </c>
      <c r="K1565" s="8" t="str">
        <f>IFERROR(IF(AND(VLOOKUP($C1565,Hes!$A:$B, 1, FALSE), $M1565&lt;&gt;" "), "Ingresada", "Falta Ingresar"), " ")</f>
        <v>Falta Ingresar</v>
      </c>
      <c r="L1565" s="4" t="s">
        <v>681</v>
      </c>
      <c r="M1565" t="s">
        <v>681</v>
      </c>
      <c r="N1565" s="5" t="s">
        <v>841</v>
      </c>
      <c r="O1565" s="5">
        <v>30861508</v>
      </c>
      <c r="P1565" s="5">
        <v>41494</v>
      </c>
      <c r="Q1565" s="5">
        <v>7884</v>
      </c>
      <c r="R1565" s="5">
        <v>49378</v>
      </c>
    </row>
    <row r="1566" spans="1:18" x14ac:dyDescent="0.25">
      <c r="F1566" t="s">
        <v>495</v>
      </c>
      <c r="K1566" t="str">
        <f>IFERROR(IF(AND(VLOOKUP($C1566,Hes!$A:$B, 1, FALSE), $M1566&lt;&gt;" "), "Ingresada", "Falta Ingresar"), " ")</f>
        <v xml:space="preserve"> </v>
      </c>
      <c r="L1566" s="4" t="str">
        <f>IFERROR(VLOOKUP($C1566,Observaciones!$A:$B,2,FALSE)," ")</f>
        <v xml:space="preserve"> </v>
      </c>
      <c r="M1566" t="s">
        <v>681</v>
      </c>
      <c r="P1566" s="5">
        <v>41494</v>
      </c>
      <c r="Q1566" s="5">
        <v>7884</v>
      </c>
      <c r="R1566" s="5">
        <v>49378</v>
      </c>
    </row>
    <row r="1567" spans="1:18" x14ac:dyDescent="0.25">
      <c r="A1567" t="s">
        <v>501</v>
      </c>
      <c r="B1567" t="s">
        <v>494</v>
      </c>
      <c r="C1567">
        <v>76192463</v>
      </c>
      <c r="D1567">
        <v>0</v>
      </c>
      <c r="E1567">
        <v>30853384</v>
      </c>
      <c r="F1567" t="s">
        <v>1118</v>
      </c>
      <c r="G1567" s="1">
        <v>45236</v>
      </c>
      <c r="H1567">
        <v>5412797</v>
      </c>
      <c r="I1567">
        <v>441</v>
      </c>
      <c r="J1567" t="s">
        <v>119</v>
      </c>
      <c r="K1567" t="str">
        <f>IFERROR(IF(AND(VLOOKUP($C1567,Hes!$A:$B, 1, FALSE), $M1567&lt;&gt;" "), "Ingresada", "Falta Ingresar"), " ")</f>
        <v xml:space="preserve"> </v>
      </c>
      <c r="L1567" s="4" t="str">
        <f>IFERROR(VLOOKUP($C1567,Observaciones!$A:$B,2,FALSE)," ")</f>
        <v xml:space="preserve"> </v>
      </c>
      <c r="M1567" t="s">
        <v>681</v>
      </c>
      <c r="O1567" s="5">
        <v>30853384</v>
      </c>
      <c r="P1567" s="5">
        <v>21363</v>
      </c>
      <c r="Q1567" s="5">
        <v>4059</v>
      </c>
      <c r="R1567" s="5">
        <v>25422</v>
      </c>
    </row>
    <row r="1568" spans="1:18" x14ac:dyDescent="0.25">
      <c r="F1568" t="s">
        <v>495</v>
      </c>
      <c r="K1568" t="str">
        <f>IFERROR(IF(AND(VLOOKUP($C1568,Hes!$A:$B, 1, FALSE), $M1568&lt;&gt;" "), "Ingresada", "Falta Ingresar"), " ")</f>
        <v xml:space="preserve"> </v>
      </c>
      <c r="L1568" s="4" t="str">
        <f>IFERROR(VLOOKUP($C1568,Observaciones!$A:$B,2,FALSE)," ")</f>
        <v xml:space="preserve"> </v>
      </c>
      <c r="M1568" t="s">
        <v>681</v>
      </c>
      <c r="P1568" s="5">
        <v>21363</v>
      </c>
      <c r="Q1568" s="5">
        <v>4059</v>
      </c>
      <c r="R1568" s="5">
        <v>25422</v>
      </c>
    </row>
    <row r="1569" spans="1:18" x14ac:dyDescent="0.25">
      <c r="A1569" t="s">
        <v>501</v>
      </c>
      <c r="B1569" t="s">
        <v>494</v>
      </c>
      <c r="C1569">
        <v>76213270</v>
      </c>
      <c r="D1569">
        <v>91</v>
      </c>
      <c r="E1569">
        <v>30856167</v>
      </c>
      <c r="F1569" t="s">
        <v>1119</v>
      </c>
      <c r="G1569" s="1">
        <v>45236</v>
      </c>
      <c r="H1569">
        <v>5413374</v>
      </c>
      <c r="I1569">
        <v>18</v>
      </c>
      <c r="J1569" t="s">
        <v>168</v>
      </c>
      <c r="K1569" t="str">
        <f>IFERROR(IF(AND(VLOOKUP($C1569,Hes!$A:$B, 1, FALSE), $M1569&lt;&gt;" "), "Ingresada", "Falta Ingresar"), " ")</f>
        <v xml:space="preserve"> </v>
      </c>
      <c r="L1569" s="4" t="str">
        <f>IFERROR(VLOOKUP($C1569,Observaciones!$A:$B,2,FALSE)," ")</f>
        <v xml:space="preserve"> </v>
      </c>
      <c r="M1569" t="s">
        <v>681</v>
      </c>
      <c r="O1569" s="5">
        <v>30856167</v>
      </c>
      <c r="P1569" s="5">
        <v>332000</v>
      </c>
      <c r="Q1569" s="5">
        <v>63080</v>
      </c>
      <c r="R1569" s="5">
        <v>395080</v>
      </c>
    </row>
    <row r="1570" spans="1:18" x14ac:dyDescent="0.25">
      <c r="F1570" t="s">
        <v>495</v>
      </c>
      <c r="K1570" t="str">
        <f>IFERROR(IF(AND(VLOOKUP($C1570,Hes!$A:$B, 1, FALSE), $M1570&lt;&gt;" "), "Ingresada", "Falta Ingresar"), " ")</f>
        <v xml:space="preserve"> </v>
      </c>
      <c r="L1570" s="4" t="str">
        <f>IFERROR(VLOOKUP($C1570,Observaciones!$A:$B,2,FALSE)," ")</f>
        <v xml:space="preserve"> </v>
      </c>
      <c r="M1570" t="s">
        <v>681</v>
      </c>
      <c r="P1570" s="5">
        <v>332000</v>
      </c>
      <c r="Q1570" s="5">
        <v>63080</v>
      </c>
      <c r="R1570" s="5">
        <v>395080</v>
      </c>
    </row>
    <row r="1571" spans="1:18" x14ac:dyDescent="0.25">
      <c r="A1571" t="s">
        <v>496</v>
      </c>
      <c r="B1571" t="s">
        <v>494</v>
      </c>
      <c r="C1571">
        <v>76214934</v>
      </c>
      <c r="D1571">
        <v>7</v>
      </c>
      <c r="E1571">
        <v>170352</v>
      </c>
      <c r="F1571" t="s">
        <v>1120</v>
      </c>
      <c r="G1571" s="1">
        <v>45238</v>
      </c>
      <c r="H1571">
        <v>5415301</v>
      </c>
      <c r="I1571">
        <v>91</v>
      </c>
      <c r="J1571" t="s">
        <v>172</v>
      </c>
      <c r="K1571" t="str">
        <f>IFERROR(IF(AND(VLOOKUP($C1571,Hes!$A:$B, 1, FALSE), $M1571&lt;&gt;" "), "Ingresada", "Falta Ingresar"), " ")</f>
        <v xml:space="preserve"> </v>
      </c>
      <c r="L1571" s="4" t="str">
        <f>IFERROR(VLOOKUP($C1571,Observaciones!$A:$B,2,FALSE)," ")</f>
        <v xml:space="preserve"> </v>
      </c>
      <c r="M1571" t="s">
        <v>681</v>
      </c>
      <c r="O1571" s="5">
        <v>30865153</v>
      </c>
      <c r="P1571" s="5">
        <v>5640</v>
      </c>
      <c r="Q1571" s="5">
        <v>1072</v>
      </c>
      <c r="R1571" s="5">
        <v>6712</v>
      </c>
    </row>
    <row r="1572" spans="1:18" x14ac:dyDescent="0.25">
      <c r="A1572" t="s">
        <v>496</v>
      </c>
      <c r="B1572" t="s">
        <v>494</v>
      </c>
      <c r="C1572">
        <v>76214934</v>
      </c>
      <c r="D1572">
        <v>8</v>
      </c>
      <c r="E1572">
        <v>170358</v>
      </c>
      <c r="F1572" t="s">
        <v>1120</v>
      </c>
      <c r="G1572" s="1">
        <v>45238</v>
      </c>
      <c r="H1572">
        <v>5415336</v>
      </c>
      <c r="I1572">
        <v>91</v>
      </c>
      <c r="J1572" t="s">
        <v>172</v>
      </c>
      <c r="K1572" t="str">
        <f>IFERROR(IF(AND(VLOOKUP($C1572,Hes!$A:$B, 1, FALSE), $M1572&lt;&gt;" "), "Ingresada", "Falta Ingresar"), " ")</f>
        <v xml:space="preserve"> </v>
      </c>
      <c r="L1572" s="4" t="str">
        <f>IFERROR(VLOOKUP($C1572,Observaciones!$A:$B,2,FALSE)," ")</f>
        <v xml:space="preserve"> </v>
      </c>
      <c r="M1572" t="s">
        <v>681</v>
      </c>
      <c r="O1572" s="5">
        <v>30864075</v>
      </c>
      <c r="P1572" s="5">
        <v>14100</v>
      </c>
      <c r="Q1572" s="5">
        <v>2679</v>
      </c>
      <c r="R1572" s="5">
        <v>16779</v>
      </c>
    </row>
    <row r="1573" spans="1:18" x14ac:dyDescent="0.25">
      <c r="A1573" t="s">
        <v>496</v>
      </c>
      <c r="B1573" t="s">
        <v>494</v>
      </c>
      <c r="C1573">
        <v>76214934</v>
      </c>
      <c r="D1573">
        <v>8</v>
      </c>
      <c r="E1573">
        <v>170359</v>
      </c>
      <c r="F1573" t="s">
        <v>1120</v>
      </c>
      <c r="G1573" s="1">
        <v>45238</v>
      </c>
      <c r="H1573">
        <v>5415337</v>
      </c>
      <c r="I1573">
        <v>91</v>
      </c>
      <c r="J1573" t="s">
        <v>172</v>
      </c>
      <c r="K1573" t="str">
        <f>IFERROR(IF(AND(VLOOKUP($C1573,Hes!$A:$B, 1, FALSE), $M1573&lt;&gt;" "), "Ingresada", "Falta Ingresar"), " ")</f>
        <v xml:space="preserve"> </v>
      </c>
      <c r="L1573" s="4" t="str">
        <f>IFERROR(VLOOKUP($C1573,Observaciones!$A:$B,2,FALSE)," ")</f>
        <v xml:space="preserve"> </v>
      </c>
      <c r="M1573" t="s">
        <v>681</v>
      </c>
      <c r="O1573" s="5">
        <v>30864038</v>
      </c>
      <c r="P1573" s="5">
        <v>14100</v>
      </c>
      <c r="Q1573" s="5">
        <v>2679</v>
      </c>
      <c r="R1573" s="5">
        <v>16779</v>
      </c>
    </row>
    <row r="1574" spans="1:18" x14ac:dyDescent="0.25">
      <c r="A1574" t="s">
        <v>496</v>
      </c>
      <c r="B1574" t="s">
        <v>494</v>
      </c>
      <c r="C1574">
        <v>76214934</v>
      </c>
      <c r="D1574">
        <v>7</v>
      </c>
      <c r="E1574">
        <v>170356</v>
      </c>
      <c r="F1574" t="s">
        <v>1120</v>
      </c>
      <c r="G1574" s="1">
        <v>45238</v>
      </c>
      <c r="H1574">
        <v>5415357</v>
      </c>
      <c r="I1574">
        <v>91</v>
      </c>
      <c r="J1574" t="s">
        <v>172</v>
      </c>
      <c r="K1574" t="str">
        <f>IFERROR(IF(AND(VLOOKUP($C1574,Hes!$A:$B, 1, FALSE), $M1574&lt;&gt;" "), "Ingresada", "Falta Ingresar"), " ")</f>
        <v xml:space="preserve"> </v>
      </c>
      <c r="L1574" s="4" t="str">
        <f>IFERROR(VLOOKUP($C1574,Observaciones!$A:$B,2,FALSE)," ")</f>
        <v xml:space="preserve"> </v>
      </c>
      <c r="M1574" t="s">
        <v>681</v>
      </c>
      <c r="O1574" s="5">
        <v>30865103</v>
      </c>
      <c r="P1574" s="5">
        <v>7016</v>
      </c>
      <c r="Q1574" s="5">
        <v>1333</v>
      </c>
      <c r="R1574" s="5">
        <v>8349</v>
      </c>
    </row>
    <row r="1575" spans="1:18" x14ac:dyDescent="0.25">
      <c r="A1575" t="s">
        <v>496</v>
      </c>
      <c r="B1575" t="s">
        <v>494</v>
      </c>
      <c r="C1575">
        <v>76214934</v>
      </c>
      <c r="D1575">
        <v>8</v>
      </c>
      <c r="E1575">
        <v>170360</v>
      </c>
      <c r="F1575" t="s">
        <v>1120</v>
      </c>
      <c r="G1575" s="1">
        <v>45238</v>
      </c>
      <c r="H1575">
        <v>5415383</v>
      </c>
      <c r="I1575">
        <v>91</v>
      </c>
      <c r="J1575" t="s">
        <v>172</v>
      </c>
      <c r="K1575" t="str">
        <f>IFERROR(IF(AND(VLOOKUP($C1575,Hes!$A:$B, 1, FALSE), $M1575&lt;&gt;" "), "Ingresada", "Falta Ingresar"), " ")</f>
        <v xml:space="preserve"> </v>
      </c>
      <c r="L1575" s="4" t="str">
        <f>IFERROR(VLOOKUP($C1575,Observaciones!$A:$B,2,FALSE)," ")</f>
        <v xml:space="preserve"> </v>
      </c>
      <c r="M1575" t="s">
        <v>681</v>
      </c>
      <c r="O1575" s="5">
        <v>30865044</v>
      </c>
      <c r="P1575" s="5">
        <v>7122</v>
      </c>
      <c r="Q1575" s="5">
        <v>1353</v>
      </c>
      <c r="R1575" s="5">
        <v>8475</v>
      </c>
    </row>
    <row r="1576" spans="1:18" x14ac:dyDescent="0.25">
      <c r="A1576" t="s">
        <v>496</v>
      </c>
      <c r="B1576" t="s">
        <v>494</v>
      </c>
      <c r="C1576">
        <v>76214934</v>
      </c>
      <c r="D1576">
        <v>7</v>
      </c>
      <c r="E1576">
        <v>170351</v>
      </c>
      <c r="F1576" t="s">
        <v>1120</v>
      </c>
      <c r="G1576" s="1">
        <v>45238</v>
      </c>
      <c r="H1576">
        <v>5415406</v>
      </c>
      <c r="I1576">
        <v>91</v>
      </c>
      <c r="J1576" t="s">
        <v>172</v>
      </c>
      <c r="K1576" t="str">
        <f>IFERROR(IF(AND(VLOOKUP($C1576,Hes!$A:$B, 1, FALSE), $M1576&lt;&gt;" "), "Ingresada", "Falta Ingresar"), " ")</f>
        <v xml:space="preserve"> </v>
      </c>
      <c r="L1576" s="4" t="str">
        <f>IFERROR(VLOOKUP($C1576,Observaciones!$A:$B,2,FALSE)," ")</f>
        <v xml:space="preserve"> </v>
      </c>
      <c r="M1576" t="s">
        <v>681</v>
      </c>
      <c r="O1576" s="5">
        <v>30864285</v>
      </c>
      <c r="P1576" s="5">
        <v>90390</v>
      </c>
      <c r="Q1576" s="5">
        <v>17174</v>
      </c>
      <c r="R1576" s="5">
        <v>107564</v>
      </c>
    </row>
    <row r="1577" spans="1:18" x14ac:dyDescent="0.25">
      <c r="A1577" t="s">
        <v>496</v>
      </c>
      <c r="B1577" t="s">
        <v>494</v>
      </c>
      <c r="C1577">
        <v>76214934</v>
      </c>
      <c r="D1577">
        <v>20</v>
      </c>
      <c r="E1577">
        <v>170361</v>
      </c>
      <c r="F1577" t="s">
        <v>1120</v>
      </c>
      <c r="G1577" s="1">
        <v>45238</v>
      </c>
      <c r="H1577">
        <v>5415616</v>
      </c>
      <c r="I1577">
        <v>91</v>
      </c>
      <c r="J1577" t="s">
        <v>172</v>
      </c>
      <c r="K1577" t="str">
        <f>IFERROR(IF(AND(VLOOKUP($C1577,Hes!$A:$B, 1, FALSE), $M1577&lt;&gt;" "), "Ingresada", "Falta Ingresar"), " ")</f>
        <v xml:space="preserve"> </v>
      </c>
      <c r="L1577" s="4" t="str">
        <f>IFERROR(VLOOKUP($C1577,Observaciones!$A:$B,2,FALSE)," ")</f>
        <v xml:space="preserve"> </v>
      </c>
      <c r="M1577" t="s">
        <v>681</v>
      </c>
      <c r="O1577" s="5">
        <v>30864610</v>
      </c>
      <c r="P1577" s="5">
        <v>5376</v>
      </c>
      <c r="Q1577" s="5">
        <v>1021</v>
      </c>
      <c r="R1577" s="5">
        <v>6397</v>
      </c>
    </row>
    <row r="1578" spans="1:18" x14ac:dyDescent="0.25">
      <c r="A1578" t="s">
        <v>496</v>
      </c>
      <c r="B1578" t="s">
        <v>494</v>
      </c>
      <c r="C1578">
        <v>76214934</v>
      </c>
      <c r="D1578">
        <v>4</v>
      </c>
      <c r="E1578">
        <v>170349</v>
      </c>
      <c r="F1578" t="s">
        <v>1120</v>
      </c>
      <c r="G1578" s="1">
        <v>45238</v>
      </c>
      <c r="H1578">
        <v>5415626</v>
      </c>
      <c r="I1578">
        <v>91</v>
      </c>
      <c r="J1578" t="s">
        <v>172</v>
      </c>
      <c r="K1578" t="str">
        <f>IFERROR(IF(AND(VLOOKUP($C1578,Hes!$A:$B, 1, FALSE), $M1578&lt;&gt;" "), "Ingresada", "Falta Ingresar"), " ")</f>
        <v xml:space="preserve"> </v>
      </c>
      <c r="L1578" s="4" t="str">
        <f>IFERROR(VLOOKUP($C1578,Observaciones!$A:$B,2,FALSE)," ")</f>
        <v xml:space="preserve"> </v>
      </c>
      <c r="M1578" t="s">
        <v>681</v>
      </c>
      <c r="O1578" s="5">
        <v>30864318</v>
      </c>
      <c r="P1578" s="5">
        <v>28200</v>
      </c>
      <c r="Q1578" s="5">
        <v>5358</v>
      </c>
      <c r="R1578" s="5">
        <v>33558</v>
      </c>
    </row>
    <row r="1579" spans="1:18" x14ac:dyDescent="0.25">
      <c r="A1579" t="s">
        <v>496</v>
      </c>
      <c r="B1579" t="s">
        <v>494</v>
      </c>
      <c r="C1579">
        <v>76214934</v>
      </c>
      <c r="D1579">
        <v>20</v>
      </c>
      <c r="E1579">
        <v>170357</v>
      </c>
      <c r="F1579" t="s">
        <v>1120</v>
      </c>
      <c r="G1579" s="1">
        <v>45238</v>
      </c>
      <c r="H1579">
        <v>5415677</v>
      </c>
      <c r="I1579">
        <v>91</v>
      </c>
      <c r="J1579" t="s">
        <v>172</v>
      </c>
      <c r="K1579" t="str">
        <f>IFERROR(IF(AND(VLOOKUP($C1579,Hes!$A:$B, 1, FALSE), $M1579&lt;&gt;" "), "Ingresada", "Falta Ingresar"), " ")</f>
        <v xml:space="preserve"> </v>
      </c>
      <c r="L1579" s="4" t="str">
        <f>IFERROR(VLOOKUP($C1579,Observaciones!$A:$B,2,FALSE)," ")</f>
        <v xml:space="preserve"> </v>
      </c>
      <c r="M1579" t="s">
        <v>681</v>
      </c>
      <c r="O1579" s="5">
        <v>30865080</v>
      </c>
      <c r="P1579" s="5">
        <v>2820</v>
      </c>
      <c r="Q1579" s="5">
        <v>536</v>
      </c>
      <c r="R1579" s="5">
        <v>3356</v>
      </c>
    </row>
    <row r="1580" spans="1:18" x14ac:dyDescent="0.25">
      <c r="F1580" t="s">
        <v>514</v>
      </c>
      <c r="K1580" t="str">
        <f>IFERROR(IF(AND(VLOOKUP($C1580,Hes!$A:$B, 1, FALSE), $M1580&lt;&gt;" "), "Ingresada", "Falta Ingresar"), " ")</f>
        <v xml:space="preserve"> </v>
      </c>
      <c r="L1580" s="4" t="str">
        <f>IFERROR(VLOOKUP($C1580,Observaciones!$A:$B,2,FALSE)," ")</f>
        <v xml:space="preserve"> </v>
      </c>
      <c r="M1580" t="s">
        <v>681</v>
      </c>
      <c r="P1580" s="5">
        <v>174764</v>
      </c>
      <c r="Q1580" s="5">
        <v>33205</v>
      </c>
      <c r="R1580" s="5">
        <v>207969</v>
      </c>
    </row>
    <row r="1581" spans="1:18" x14ac:dyDescent="0.25">
      <c r="A1581" t="s">
        <v>501</v>
      </c>
      <c r="B1581" t="s">
        <v>494</v>
      </c>
      <c r="C1581">
        <v>76237266</v>
      </c>
      <c r="D1581">
        <v>48</v>
      </c>
      <c r="E1581">
        <v>30851176</v>
      </c>
      <c r="F1581" t="s">
        <v>1121</v>
      </c>
      <c r="G1581" s="1">
        <v>45233</v>
      </c>
      <c r="H1581">
        <v>5411592</v>
      </c>
      <c r="I1581">
        <v>96</v>
      </c>
      <c r="J1581" t="s">
        <v>140</v>
      </c>
      <c r="K1581" t="str">
        <f>IFERROR(IF(AND(VLOOKUP($C1581,Hes!$A:$B, 1, FALSE), $M1581&lt;&gt;" "), "Ingresada", "Falta Ingresar"), " ")</f>
        <v xml:space="preserve"> </v>
      </c>
      <c r="L1581" s="4" t="str">
        <f>IFERROR(VLOOKUP($C1581,Observaciones!$A:$B,2,FALSE)," ")</f>
        <v>ULTIMO DIA, CON ORDEN DE COMPRA 4500683689 (LO DE LA WEB)</v>
      </c>
      <c r="M1581" t="s">
        <v>681</v>
      </c>
      <c r="O1581" s="5">
        <v>30851176</v>
      </c>
      <c r="P1581" s="5">
        <v>59882</v>
      </c>
      <c r="Q1581" s="5">
        <v>11378</v>
      </c>
      <c r="R1581" s="5">
        <v>71260</v>
      </c>
    </row>
    <row r="1582" spans="1:18" x14ac:dyDescent="0.25">
      <c r="A1582" t="s">
        <v>501</v>
      </c>
      <c r="B1582" t="s">
        <v>494</v>
      </c>
      <c r="C1582">
        <v>76237266</v>
      </c>
      <c r="D1582">
        <v>37</v>
      </c>
      <c r="E1582">
        <v>30851175</v>
      </c>
      <c r="F1582" t="s">
        <v>1121</v>
      </c>
      <c r="G1582" s="1">
        <v>45233</v>
      </c>
      <c r="H1582">
        <v>5411674</v>
      </c>
      <c r="I1582">
        <v>96</v>
      </c>
      <c r="J1582" t="s">
        <v>140</v>
      </c>
      <c r="K1582" t="str">
        <f>IFERROR(IF(AND(VLOOKUP($C1582,Hes!$A:$B, 1, FALSE), $M1582&lt;&gt;" "), "Ingresada", "Falta Ingresar"), " ")</f>
        <v xml:space="preserve"> </v>
      </c>
      <c r="L1582" s="4" t="str">
        <f>IFERROR(VLOOKUP($C1582,Observaciones!$A:$B,2,FALSE)," ")</f>
        <v>ULTIMO DIA, CON ORDEN DE COMPRA 4500683689 (LO DE LA WEB)</v>
      </c>
      <c r="M1582" t="s">
        <v>681</v>
      </c>
      <c r="O1582" s="5">
        <v>30851175</v>
      </c>
      <c r="P1582" s="5">
        <v>59755</v>
      </c>
      <c r="Q1582" s="5">
        <v>11353</v>
      </c>
      <c r="R1582" s="5">
        <v>71108</v>
      </c>
    </row>
    <row r="1583" spans="1:18" x14ac:dyDescent="0.25">
      <c r="A1583" t="s">
        <v>501</v>
      </c>
      <c r="B1583" t="s">
        <v>494</v>
      </c>
      <c r="C1583">
        <v>76237266</v>
      </c>
      <c r="D1583">
        <v>5</v>
      </c>
      <c r="E1583">
        <v>30851173</v>
      </c>
      <c r="F1583" t="s">
        <v>1121</v>
      </c>
      <c r="G1583" s="1">
        <v>45233</v>
      </c>
      <c r="H1583">
        <v>5411677</v>
      </c>
      <c r="I1583">
        <v>96</v>
      </c>
      <c r="J1583" t="s">
        <v>140</v>
      </c>
      <c r="K1583" t="str">
        <f>IFERROR(IF(AND(VLOOKUP($C1583,Hes!$A:$B, 1, FALSE), $M1583&lt;&gt;" "), "Ingresada", "Falta Ingresar"), " ")</f>
        <v xml:space="preserve"> </v>
      </c>
      <c r="L1583" s="4" t="str">
        <f>IFERROR(VLOOKUP($C1583,Observaciones!$A:$B,2,FALSE)," ")</f>
        <v>ULTIMO DIA, CON ORDEN DE COMPRA 4500683689 (LO DE LA WEB)</v>
      </c>
      <c r="M1583" t="s">
        <v>681</v>
      </c>
      <c r="O1583" s="5">
        <v>30851173</v>
      </c>
      <c r="P1583" s="5">
        <v>18462</v>
      </c>
      <c r="Q1583" s="5">
        <v>3508</v>
      </c>
      <c r="R1583" s="5">
        <v>21970</v>
      </c>
    </row>
    <row r="1584" spans="1:18" x14ac:dyDescent="0.25">
      <c r="A1584" t="s">
        <v>501</v>
      </c>
      <c r="B1584" t="s">
        <v>494</v>
      </c>
      <c r="C1584">
        <v>76237266</v>
      </c>
      <c r="D1584">
        <v>105</v>
      </c>
      <c r="E1584">
        <v>30849573</v>
      </c>
      <c r="F1584" t="s">
        <v>1121</v>
      </c>
      <c r="G1584" s="1">
        <v>45236</v>
      </c>
      <c r="H1584">
        <v>5413197</v>
      </c>
      <c r="I1584">
        <v>96</v>
      </c>
      <c r="J1584" t="s">
        <v>140</v>
      </c>
      <c r="K1584" t="str">
        <f>IFERROR(IF(AND(VLOOKUP($C1584,Hes!$A:$B, 1, FALSE), $M1584&lt;&gt;" "), "Ingresada", "Falta Ingresar"), " ")</f>
        <v xml:space="preserve"> </v>
      </c>
      <c r="L1584" s="4" t="str">
        <f>IFERROR(VLOOKUP($C1584,Observaciones!$A:$B,2,FALSE)," ")</f>
        <v>ULTIMO DIA, CON ORDEN DE COMPRA 4500683689 (LO DE LA WEB)</v>
      </c>
      <c r="M1584" t="s">
        <v>681</v>
      </c>
      <c r="O1584" s="5">
        <v>30849573</v>
      </c>
      <c r="P1584" s="5">
        <v>89051</v>
      </c>
      <c r="Q1584" s="5">
        <v>16920</v>
      </c>
      <c r="R1584" s="5">
        <v>105971</v>
      </c>
    </row>
    <row r="1585" spans="1:18" x14ac:dyDescent="0.25">
      <c r="A1585" t="s">
        <v>501</v>
      </c>
      <c r="B1585" t="s">
        <v>494</v>
      </c>
      <c r="C1585">
        <v>76237266</v>
      </c>
      <c r="D1585">
        <v>7</v>
      </c>
      <c r="E1585">
        <v>30859660</v>
      </c>
      <c r="F1585" t="s">
        <v>1121</v>
      </c>
      <c r="G1585" s="1">
        <v>45237</v>
      </c>
      <c r="H1585">
        <v>5414001</v>
      </c>
      <c r="I1585">
        <v>96</v>
      </c>
      <c r="J1585" t="s">
        <v>140</v>
      </c>
      <c r="K1585" t="str">
        <f>IFERROR(IF(AND(VLOOKUP($C1585,Hes!$A:$B, 1, FALSE), $M1585&lt;&gt;" "), "Ingresada", "Falta Ingresar"), " ")</f>
        <v xml:space="preserve"> </v>
      </c>
      <c r="L1585" s="4" t="str">
        <f>IFERROR(VLOOKUP($C1585,Observaciones!$A:$B,2,FALSE)," ")</f>
        <v>ULTIMO DIA, CON ORDEN DE COMPRA 4500683689 (LO DE LA WEB)</v>
      </c>
      <c r="M1585" t="s">
        <v>681</v>
      </c>
      <c r="O1585" s="5">
        <v>30859660</v>
      </c>
      <c r="P1585" s="5">
        <v>11769</v>
      </c>
      <c r="Q1585" s="5">
        <v>2236</v>
      </c>
      <c r="R1585" s="5">
        <v>14005</v>
      </c>
    </row>
    <row r="1586" spans="1:18" x14ac:dyDescent="0.25">
      <c r="A1586" t="s">
        <v>501</v>
      </c>
      <c r="B1586" t="s">
        <v>494</v>
      </c>
      <c r="C1586">
        <v>76237266</v>
      </c>
      <c r="D1586">
        <v>105</v>
      </c>
      <c r="E1586">
        <v>30859651</v>
      </c>
      <c r="F1586" t="s">
        <v>1121</v>
      </c>
      <c r="G1586" s="1">
        <v>45237</v>
      </c>
      <c r="H1586">
        <v>5414094</v>
      </c>
      <c r="I1586">
        <v>96</v>
      </c>
      <c r="J1586" t="s">
        <v>140</v>
      </c>
      <c r="K1586" t="str">
        <f>IFERROR(IF(AND(VLOOKUP($C1586,Hes!$A:$B, 1, FALSE), $M1586&lt;&gt;" "), "Ingresada", "Falta Ingresar"), " ")</f>
        <v xml:space="preserve"> </v>
      </c>
      <c r="L1586" s="4" t="str">
        <f>IFERROR(VLOOKUP($C1586,Observaciones!$A:$B,2,FALSE)," ")</f>
        <v>ULTIMO DIA, CON ORDEN DE COMPRA 4500683689 (LO DE LA WEB)</v>
      </c>
      <c r="M1586" t="s">
        <v>681</v>
      </c>
      <c r="O1586" s="5">
        <v>30859651</v>
      </c>
      <c r="P1586" s="5">
        <v>10578</v>
      </c>
      <c r="Q1586" s="5">
        <v>2010</v>
      </c>
      <c r="R1586" s="5">
        <v>12588</v>
      </c>
    </row>
    <row r="1587" spans="1:18" x14ac:dyDescent="0.25">
      <c r="F1587" t="s">
        <v>523</v>
      </c>
      <c r="K1587" t="str">
        <f>IFERROR(IF(AND(VLOOKUP($C1587,Hes!$A:$B, 1, FALSE), $M1587&lt;&gt;" "), "Ingresada", "Falta Ingresar"), " ")</f>
        <v xml:space="preserve"> </v>
      </c>
      <c r="L1587" s="4" t="str">
        <f>IFERROR(VLOOKUP($C1587,Observaciones!$A:$B,2,FALSE)," ")</f>
        <v xml:space="preserve"> </v>
      </c>
      <c r="M1587" t="s">
        <v>681</v>
      </c>
      <c r="P1587" s="5">
        <v>249497</v>
      </c>
      <c r="Q1587" s="5">
        <v>47405</v>
      </c>
      <c r="R1587" s="5">
        <v>296902</v>
      </c>
    </row>
    <row r="1588" spans="1:18" x14ac:dyDescent="0.25">
      <c r="A1588" t="s">
        <v>501</v>
      </c>
      <c r="B1588" t="s">
        <v>494</v>
      </c>
      <c r="C1588">
        <v>76242087</v>
      </c>
      <c r="D1588">
        <v>29</v>
      </c>
      <c r="E1588">
        <v>30853184</v>
      </c>
      <c r="F1588" t="s">
        <v>1122</v>
      </c>
      <c r="G1588" s="1">
        <v>45236</v>
      </c>
      <c r="H1588">
        <v>5412298</v>
      </c>
      <c r="I1588">
        <v>60</v>
      </c>
      <c r="J1588" t="s">
        <v>269</v>
      </c>
      <c r="K1588" t="str">
        <f>IFERROR(IF(AND(VLOOKUP($C1588,Hes!$A:$B, 1, FALSE), $M1588&lt;&gt;" "), "Ingresada", "Falta Ingresar"), " ")</f>
        <v xml:space="preserve"> </v>
      </c>
      <c r="L1588" s="4" t="str">
        <f>IFERROR(VLOOKUP($C1588,Observaciones!$A:$B,2,FALSE)," ")</f>
        <v xml:space="preserve"> </v>
      </c>
      <c r="M1588" t="s">
        <v>681</v>
      </c>
      <c r="O1588" s="5">
        <v>30853184</v>
      </c>
      <c r="P1588" s="5">
        <v>46750</v>
      </c>
      <c r="Q1588" s="5">
        <v>8883</v>
      </c>
      <c r="R1588" s="5">
        <v>55633</v>
      </c>
    </row>
    <row r="1589" spans="1:18" x14ac:dyDescent="0.25">
      <c r="F1589" t="s">
        <v>495</v>
      </c>
      <c r="K1589" t="str">
        <f>IFERROR(IF(AND(VLOOKUP($C1589,Hes!$A:$B, 1, FALSE), $M1589&lt;&gt;" "), "Ingresada", "Falta Ingresar"), " ")</f>
        <v xml:space="preserve"> </v>
      </c>
      <c r="L1589" s="4" t="str">
        <f>IFERROR(VLOOKUP($C1589,Observaciones!$A:$B,2,FALSE)," ")</f>
        <v xml:space="preserve"> </v>
      </c>
      <c r="M1589" t="s">
        <v>681</v>
      </c>
      <c r="P1589" s="5">
        <v>46750</v>
      </c>
      <c r="Q1589" s="5">
        <v>8883</v>
      </c>
      <c r="R1589" s="5">
        <v>55633</v>
      </c>
    </row>
    <row r="1590" spans="1:18" x14ac:dyDescent="0.25">
      <c r="C1590">
        <v>76243665</v>
      </c>
      <c r="D1590">
        <v>2</v>
      </c>
      <c r="E1590">
        <v>30860306</v>
      </c>
      <c r="F1590" t="s">
        <v>1123</v>
      </c>
      <c r="G1590" s="1">
        <v>45237</v>
      </c>
      <c r="H1590">
        <v>5414332</v>
      </c>
      <c r="I1590">
        <v>456</v>
      </c>
      <c r="J1590" t="s">
        <v>275</v>
      </c>
      <c r="K1590" t="str">
        <f>IFERROR(IF(AND(VLOOKUP($C1590,Hes!$A:$B, 1, FALSE), $M1590&lt;&gt;" "), "Ingresada", "Falta Ingresar"), " ")</f>
        <v xml:space="preserve"> </v>
      </c>
      <c r="L1590" s="4" t="str">
        <f>IFERROR(VLOOKUP($C1590,Observaciones!$A:$B,2,FALSE)," ")</f>
        <v xml:space="preserve"> </v>
      </c>
      <c r="M1590" t="s">
        <v>681</v>
      </c>
      <c r="O1590" s="5">
        <v>30860306</v>
      </c>
      <c r="P1590" s="5">
        <v>135419</v>
      </c>
      <c r="Q1590" s="5">
        <v>25730</v>
      </c>
      <c r="R1590" s="5">
        <v>161149</v>
      </c>
    </row>
    <row r="1591" spans="1:18" x14ac:dyDescent="0.25">
      <c r="F1591" t="s">
        <v>495</v>
      </c>
      <c r="K1591" t="str">
        <f>IFERROR(IF(AND(VLOOKUP($C1591,Hes!$A:$B, 1, FALSE), $M1591&lt;&gt;" "), "Ingresada", "Falta Ingresar"), " ")</f>
        <v xml:space="preserve"> </v>
      </c>
      <c r="L1591" s="4" t="str">
        <f>IFERROR(VLOOKUP($C1591,Observaciones!$A:$B,2,FALSE)," ")</f>
        <v xml:space="preserve"> </v>
      </c>
      <c r="M1591" t="s">
        <v>681</v>
      </c>
      <c r="P1591" s="5">
        <v>135419</v>
      </c>
      <c r="Q1591" s="5">
        <v>25730</v>
      </c>
      <c r="R1591" s="5">
        <v>161149</v>
      </c>
    </row>
    <row r="1592" spans="1:18" x14ac:dyDescent="0.25">
      <c r="A1592" t="s">
        <v>496</v>
      </c>
      <c r="B1592" t="s">
        <v>494</v>
      </c>
      <c r="C1592">
        <v>76249099</v>
      </c>
      <c r="D1592">
        <v>11</v>
      </c>
      <c r="E1592" t="s">
        <v>1124</v>
      </c>
      <c r="F1592" t="s">
        <v>1125</v>
      </c>
      <c r="G1592" s="1">
        <v>45233</v>
      </c>
      <c r="H1592">
        <v>5411507</v>
      </c>
      <c r="I1592">
        <v>41</v>
      </c>
      <c r="J1592" t="s">
        <v>307</v>
      </c>
      <c r="K1592" t="str">
        <f>IFERROR(IF(AND(VLOOKUP($C1592,Hes!$A:$B, 1, FALSE), $M1592&lt;&gt;" "), "Ingresada", "Falta Ingresar"), " ")</f>
        <v xml:space="preserve"> </v>
      </c>
      <c r="L1592" s="4" t="str">
        <f>IFERROR(VLOOKUP($C1592,Observaciones!$A:$B,2,FALSE)," ")</f>
        <v>XOC Y CC</v>
      </c>
      <c r="M1592" t="s">
        <v>681</v>
      </c>
      <c r="O1592" s="5">
        <v>30850170</v>
      </c>
      <c r="P1592" s="5">
        <v>41361</v>
      </c>
      <c r="Q1592" s="5">
        <v>7859</v>
      </c>
      <c r="R1592" s="5">
        <v>49220</v>
      </c>
    </row>
    <row r="1593" spans="1:18" x14ac:dyDescent="0.25">
      <c r="F1593" t="s">
        <v>495</v>
      </c>
      <c r="K1593" t="str">
        <f>IFERROR(IF(AND(VLOOKUP($C1593,Hes!$A:$B, 1, FALSE), $M1593&lt;&gt;" "), "Ingresada", "Falta Ingresar"), " ")</f>
        <v xml:space="preserve"> </v>
      </c>
      <c r="L1593" s="4" t="str">
        <f>IFERROR(VLOOKUP($C1593,Observaciones!$A:$B,2,FALSE)," ")</f>
        <v xml:space="preserve"> </v>
      </c>
      <c r="M1593" t="s">
        <v>681</v>
      </c>
      <c r="P1593" s="5">
        <v>41361</v>
      </c>
      <c r="Q1593" s="5">
        <v>7859</v>
      </c>
      <c r="R1593" s="5">
        <v>49220</v>
      </c>
    </row>
    <row r="1594" spans="1:18" x14ac:dyDescent="0.25">
      <c r="A1594" t="s">
        <v>513</v>
      </c>
      <c r="B1594" t="s">
        <v>502</v>
      </c>
      <c r="C1594">
        <v>76257230</v>
      </c>
      <c r="D1594">
        <v>4</v>
      </c>
      <c r="E1594">
        <v>30854542</v>
      </c>
      <c r="F1594" t="s">
        <v>1126</v>
      </c>
      <c r="G1594" s="1">
        <v>45235</v>
      </c>
      <c r="H1594">
        <v>5412719</v>
      </c>
      <c r="I1594">
        <v>52</v>
      </c>
      <c r="J1594" t="s">
        <v>311</v>
      </c>
      <c r="K1594" t="str">
        <f>IFERROR(IF(AND(VLOOKUP($C1594,Hes!$A:$B, 1, FALSE), $M1594&lt;&gt;" "), "Ingresada", "Falta Ingresar"), " ")</f>
        <v xml:space="preserve"> </v>
      </c>
      <c r="L1594" s="4" t="s">
        <v>681</v>
      </c>
      <c r="M1594" t="s">
        <v>681</v>
      </c>
      <c r="O1594" s="5">
        <v>30854542</v>
      </c>
      <c r="P1594" s="5">
        <v>116457</v>
      </c>
      <c r="Q1594" s="5">
        <v>22127</v>
      </c>
      <c r="R1594" s="5">
        <v>138584</v>
      </c>
    </row>
    <row r="1595" spans="1:18" x14ac:dyDescent="0.25">
      <c r="A1595" t="s">
        <v>513</v>
      </c>
      <c r="B1595" t="s">
        <v>502</v>
      </c>
      <c r="C1595">
        <v>76257230</v>
      </c>
      <c r="D1595">
        <v>8</v>
      </c>
      <c r="E1595">
        <v>30854568</v>
      </c>
      <c r="F1595" t="s">
        <v>1126</v>
      </c>
      <c r="G1595" s="1">
        <v>45236</v>
      </c>
      <c r="H1595">
        <v>5412722</v>
      </c>
      <c r="I1595">
        <v>52</v>
      </c>
      <c r="J1595" t="s">
        <v>311</v>
      </c>
      <c r="K1595" t="str">
        <f>IFERROR(IF(AND(VLOOKUP($C1595,Hes!$A:$B, 1, FALSE), $M1595&lt;&gt;" "), "Ingresada", "Falta Ingresar"), " ")</f>
        <v xml:space="preserve"> </v>
      </c>
      <c r="L1595" s="4" t="s">
        <v>681</v>
      </c>
      <c r="M1595" t="s">
        <v>681</v>
      </c>
      <c r="O1595" s="5">
        <v>30854568</v>
      </c>
      <c r="P1595" s="5">
        <v>85921</v>
      </c>
      <c r="Q1595" s="5">
        <v>16325</v>
      </c>
      <c r="R1595" s="5">
        <v>102246</v>
      </c>
    </row>
    <row r="1596" spans="1:18" x14ac:dyDescent="0.25">
      <c r="A1596" t="s">
        <v>513</v>
      </c>
      <c r="B1596" t="s">
        <v>502</v>
      </c>
      <c r="C1596">
        <v>76257230</v>
      </c>
      <c r="D1596">
        <v>11</v>
      </c>
      <c r="E1596">
        <v>30854551</v>
      </c>
      <c r="F1596" t="s">
        <v>1126</v>
      </c>
      <c r="G1596" s="1">
        <v>45236</v>
      </c>
      <c r="H1596">
        <v>5412756</v>
      </c>
      <c r="I1596">
        <v>52</v>
      </c>
      <c r="J1596" t="s">
        <v>311</v>
      </c>
      <c r="K1596" t="str">
        <f>IFERROR(IF(AND(VLOOKUP($C1596,Hes!$A:$B, 1, FALSE), $M1596&lt;&gt;" "), "Ingresada", "Falta Ingresar"), " ")</f>
        <v xml:space="preserve"> </v>
      </c>
      <c r="L1596" s="4" t="s">
        <v>681</v>
      </c>
      <c r="M1596" t="s">
        <v>681</v>
      </c>
      <c r="O1596" s="5">
        <v>30854551</v>
      </c>
      <c r="P1596" s="5">
        <v>145111</v>
      </c>
      <c r="Q1596" s="5">
        <v>27571</v>
      </c>
      <c r="R1596" s="5">
        <v>172682</v>
      </c>
    </row>
    <row r="1597" spans="1:18" x14ac:dyDescent="0.25">
      <c r="A1597" t="s">
        <v>513</v>
      </c>
      <c r="B1597" t="s">
        <v>502</v>
      </c>
      <c r="C1597">
        <v>76257230</v>
      </c>
      <c r="D1597">
        <v>8</v>
      </c>
      <c r="E1597">
        <v>30854566</v>
      </c>
      <c r="F1597" t="s">
        <v>1126</v>
      </c>
      <c r="G1597" s="1">
        <v>45236</v>
      </c>
      <c r="H1597">
        <v>5412758</v>
      </c>
      <c r="I1597">
        <v>52</v>
      </c>
      <c r="J1597" t="s">
        <v>311</v>
      </c>
      <c r="K1597" t="str">
        <f>IFERROR(IF(AND(VLOOKUP($C1597,Hes!$A:$B, 1, FALSE), $M1597&lt;&gt;" "), "Ingresada", "Falta Ingresar"), " ")</f>
        <v xml:space="preserve"> </v>
      </c>
      <c r="L1597" s="4" t="s">
        <v>681</v>
      </c>
      <c r="M1597" t="s">
        <v>681</v>
      </c>
      <c r="O1597" s="5">
        <v>30854566</v>
      </c>
      <c r="P1597" s="5">
        <v>95691</v>
      </c>
      <c r="Q1597" s="5">
        <v>18181</v>
      </c>
      <c r="R1597" s="5">
        <v>113872</v>
      </c>
    </row>
    <row r="1598" spans="1:18" x14ac:dyDescent="0.25">
      <c r="A1598" t="s">
        <v>513</v>
      </c>
      <c r="B1598" t="s">
        <v>502</v>
      </c>
      <c r="C1598">
        <v>76257230</v>
      </c>
      <c r="D1598">
        <v>11</v>
      </c>
      <c r="E1598">
        <v>30854554</v>
      </c>
      <c r="F1598" t="s">
        <v>1126</v>
      </c>
      <c r="G1598" s="1">
        <v>45236</v>
      </c>
      <c r="H1598">
        <v>5412773</v>
      </c>
      <c r="I1598">
        <v>52</v>
      </c>
      <c r="J1598" t="s">
        <v>311</v>
      </c>
      <c r="K1598" t="str">
        <f>IFERROR(IF(AND(VLOOKUP($C1598,Hes!$A:$B, 1, FALSE), $M1598&lt;&gt;" "), "Ingresada", "Falta Ingresar"), " ")</f>
        <v xml:space="preserve"> </v>
      </c>
      <c r="L1598" s="4" t="s">
        <v>681</v>
      </c>
      <c r="M1598" t="s">
        <v>681</v>
      </c>
      <c r="O1598" s="5">
        <v>30854554</v>
      </c>
      <c r="P1598" s="5">
        <v>26256</v>
      </c>
      <c r="Q1598" s="5">
        <v>4989</v>
      </c>
      <c r="R1598" s="5">
        <v>31245</v>
      </c>
    </row>
    <row r="1599" spans="1:18" x14ac:dyDescent="0.25">
      <c r="A1599" t="s">
        <v>513</v>
      </c>
      <c r="B1599" t="s">
        <v>502</v>
      </c>
      <c r="C1599">
        <v>76257230</v>
      </c>
      <c r="D1599">
        <v>4</v>
      </c>
      <c r="E1599">
        <v>30854538</v>
      </c>
      <c r="F1599" t="s">
        <v>1126</v>
      </c>
      <c r="G1599" s="1">
        <v>45236</v>
      </c>
      <c r="H1599">
        <v>5412778</v>
      </c>
      <c r="I1599">
        <v>52</v>
      </c>
      <c r="J1599" t="s">
        <v>311</v>
      </c>
      <c r="K1599" t="str">
        <f>IFERROR(IF(AND(VLOOKUP($C1599,Hes!$A:$B, 1, FALSE), $M1599&lt;&gt;" "), "Ingresada", "Falta Ingresar"), " ")</f>
        <v xml:space="preserve"> </v>
      </c>
      <c r="L1599" s="4" t="s">
        <v>681</v>
      </c>
      <c r="M1599" t="s">
        <v>681</v>
      </c>
      <c r="O1599" s="5">
        <v>30854538</v>
      </c>
      <c r="P1599" s="5">
        <v>97440</v>
      </c>
      <c r="Q1599" s="5">
        <v>18514</v>
      </c>
      <c r="R1599" s="5">
        <v>115954</v>
      </c>
    </row>
    <row r="1600" spans="1:18" x14ac:dyDescent="0.25">
      <c r="A1600" t="s">
        <v>513</v>
      </c>
      <c r="B1600" t="s">
        <v>502</v>
      </c>
      <c r="C1600">
        <v>76257230</v>
      </c>
      <c r="D1600">
        <v>9</v>
      </c>
      <c r="E1600">
        <v>30854546</v>
      </c>
      <c r="F1600" t="s">
        <v>1126</v>
      </c>
      <c r="G1600" s="1">
        <v>45235</v>
      </c>
      <c r="H1600">
        <v>5412995</v>
      </c>
      <c r="I1600">
        <v>52</v>
      </c>
      <c r="J1600" t="s">
        <v>311</v>
      </c>
      <c r="K1600" t="str">
        <f>IFERROR(IF(AND(VLOOKUP($C1600,Hes!$A:$B, 1, FALSE), $M1600&lt;&gt;" "), "Ingresada", "Falta Ingresar"), " ")</f>
        <v xml:space="preserve"> </v>
      </c>
      <c r="L1600" s="4" t="s">
        <v>681</v>
      </c>
      <c r="M1600" t="s">
        <v>681</v>
      </c>
      <c r="O1600" s="5">
        <v>30854546</v>
      </c>
      <c r="P1600" s="5">
        <v>38988</v>
      </c>
      <c r="Q1600" s="5">
        <v>7408</v>
      </c>
      <c r="R1600" s="5">
        <v>46396</v>
      </c>
    </row>
    <row r="1601" spans="1:18" x14ac:dyDescent="0.25">
      <c r="A1601" t="s">
        <v>513</v>
      </c>
      <c r="B1601" t="s">
        <v>502</v>
      </c>
      <c r="C1601">
        <v>76257230</v>
      </c>
      <c r="D1601">
        <v>11</v>
      </c>
      <c r="E1601">
        <v>30854547</v>
      </c>
      <c r="F1601" t="s">
        <v>1126</v>
      </c>
      <c r="G1601" s="1">
        <v>45236</v>
      </c>
      <c r="H1601">
        <v>5413077</v>
      </c>
      <c r="I1601">
        <v>52</v>
      </c>
      <c r="J1601" t="s">
        <v>311</v>
      </c>
      <c r="K1601" t="str">
        <f>IFERROR(IF(AND(VLOOKUP($C1601,Hes!$A:$B, 1, FALSE), $M1601&lt;&gt;" "), "Ingresada", "Falta Ingresar"), " ")</f>
        <v xml:space="preserve"> </v>
      </c>
      <c r="L1601" s="4" t="s">
        <v>681</v>
      </c>
      <c r="M1601" t="s">
        <v>681</v>
      </c>
      <c r="O1601" s="5">
        <v>30854547</v>
      </c>
      <c r="P1601" s="5">
        <v>170967</v>
      </c>
      <c r="Q1601" s="5">
        <v>32484</v>
      </c>
      <c r="R1601" s="5">
        <v>203451</v>
      </c>
    </row>
    <row r="1602" spans="1:18" x14ac:dyDescent="0.25">
      <c r="A1602" t="s">
        <v>513</v>
      </c>
      <c r="B1602" t="s">
        <v>502</v>
      </c>
      <c r="C1602">
        <v>76257230</v>
      </c>
      <c r="D1602">
        <v>4</v>
      </c>
      <c r="E1602">
        <v>30854543</v>
      </c>
      <c r="F1602" t="s">
        <v>1126</v>
      </c>
      <c r="G1602" s="1">
        <v>45236</v>
      </c>
      <c r="H1602">
        <v>5413146</v>
      </c>
      <c r="I1602">
        <v>52</v>
      </c>
      <c r="J1602" t="s">
        <v>311</v>
      </c>
      <c r="K1602" t="str">
        <f>IFERROR(IF(AND(VLOOKUP($C1602,Hes!$A:$B, 1, FALSE), $M1602&lt;&gt;" "), "Ingresada", "Falta Ingresar"), " ")</f>
        <v xml:space="preserve"> </v>
      </c>
      <c r="L1602" s="4" t="s">
        <v>681</v>
      </c>
      <c r="M1602" t="s">
        <v>681</v>
      </c>
      <c r="O1602" s="5">
        <v>30854543</v>
      </c>
      <c r="P1602" s="5">
        <v>288010</v>
      </c>
      <c r="Q1602" s="5">
        <v>54722</v>
      </c>
      <c r="R1602" s="5">
        <v>342732</v>
      </c>
    </row>
    <row r="1603" spans="1:18" x14ac:dyDescent="0.25">
      <c r="A1603" t="s">
        <v>513</v>
      </c>
      <c r="B1603" t="s">
        <v>502</v>
      </c>
      <c r="C1603">
        <v>76257230</v>
      </c>
      <c r="D1603">
        <v>9</v>
      </c>
      <c r="E1603">
        <v>30859287</v>
      </c>
      <c r="F1603" t="s">
        <v>1126</v>
      </c>
      <c r="G1603" s="1">
        <v>45237</v>
      </c>
      <c r="H1603">
        <v>5414722</v>
      </c>
      <c r="I1603">
        <v>52</v>
      </c>
      <c r="J1603" t="s">
        <v>311</v>
      </c>
      <c r="K1603" t="str">
        <f>IFERROR(IF(AND(VLOOKUP($C1603,Hes!$A:$B, 1, FALSE), $M1603&lt;&gt;" "), "Ingresada", "Falta Ingresar"), " ")</f>
        <v xml:space="preserve"> </v>
      </c>
      <c r="L1603" s="4" t="s">
        <v>681</v>
      </c>
      <c r="M1603" t="s">
        <v>681</v>
      </c>
      <c r="O1603" s="5">
        <v>30859287</v>
      </c>
      <c r="P1603" s="5">
        <v>83477</v>
      </c>
      <c r="Q1603" s="5">
        <v>15861</v>
      </c>
      <c r="R1603" s="5">
        <v>99338</v>
      </c>
    </row>
    <row r="1604" spans="1:18" x14ac:dyDescent="0.25">
      <c r="F1604" t="s">
        <v>533</v>
      </c>
      <c r="K1604" t="str">
        <f>IFERROR(IF(AND(VLOOKUP($C1604,Hes!$A:$B, 1, FALSE), $M1604&lt;&gt;" "), "Ingresada", "Falta Ingresar"), " ")</f>
        <v xml:space="preserve"> </v>
      </c>
      <c r="L1604" s="4" t="str">
        <f>IFERROR(VLOOKUP($C1604,Observaciones!$A:$B,2,FALSE)," ")</f>
        <v xml:space="preserve"> </v>
      </c>
      <c r="M1604" t="s">
        <v>681</v>
      </c>
      <c r="P1604" s="5">
        <v>1148318</v>
      </c>
      <c r="Q1604" s="5">
        <v>218182</v>
      </c>
      <c r="R1604" s="5">
        <v>1366500</v>
      </c>
    </row>
    <row r="1605" spans="1:18" x14ac:dyDescent="0.25">
      <c r="A1605" t="s">
        <v>496</v>
      </c>
      <c r="B1605" t="s">
        <v>494</v>
      </c>
      <c r="C1605">
        <v>76267533</v>
      </c>
      <c r="D1605">
        <v>0</v>
      </c>
      <c r="E1605">
        <v>72914</v>
      </c>
      <c r="F1605" t="s">
        <v>1127</v>
      </c>
      <c r="G1605" s="1">
        <v>45237</v>
      </c>
      <c r="H1605">
        <v>5414479</v>
      </c>
      <c r="I1605">
        <v>20</v>
      </c>
      <c r="J1605" t="s">
        <v>295</v>
      </c>
      <c r="K1605" t="str">
        <f>IFERROR(IF(AND(VLOOKUP($C1605,Hes!$A:$B, 1, FALSE), $M1605&lt;&gt;" "), "Ingresada", "Falta Ingresar"), " ")</f>
        <v xml:space="preserve"> </v>
      </c>
      <c r="L1605" s="4" t="str">
        <f>IFERROR(VLOOKUP($C1605,Observaciones!$A:$B,2,FALSE)," ")</f>
        <v xml:space="preserve"> </v>
      </c>
      <c r="M1605" t="s">
        <v>681</v>
      </c>
      <c r="O1605" s="5">
        <v>30837231</v>
      </c>
      <c r="P1605" s="5">
        <v>207370</v>
      </c>
      <c r="Q1605" s="5">
        <v>39400</v>
      </c>
      <c r="R1605" s="5">
        <v>246770</v>
      </c>
    </row>
    <row r="1606" spans="1:18" x14ac:dyDescent="0.25">
      <c r="F1606" t="s">
        <v>495</v>
      </c>
      <c r="K1606" t="str">
        <f>IFERROR(IF(AND(VLOOKUP($C1606,Hes!$A:$B, 1, FALSE), $M1606&lt;&gt;" "), "Ingresada", "Falta Ingresar"), " ")</f>
        <v xml:space="preserve"> </v>
      </c>
      <c r="L1606" s="4" t="str">
        <f>IFERROR(VLOOKUP($C1606,Observaciones!$A:$B,2,FALSE)," ")</f>
        <v xml:space="preserve"> </v>
      </c>
      <c r="M1606" t="s">
        <v>681</v>
      </c>
      <c r="P1606" s="5">
        <v>207370</v>
      </c>
      <c r="Q1606" s="5">
        <v>39400</v>
      </c>
      <c r="R1606" s="5">
        <v>246770</v>
      </c>
    </row>
    <row r="1607" spans="1:18" x14ac:dyDescent="0.25">
      <c r="A1607" t="s">
        <v>522</v>
      </c>
      <c r="B1607" t="s">
        <v>494</v>
      </c>
      <c r="C1607">
        <v>76269450</v>
      </c>
      <c r="D1607">
        <v>0</v>
      </c>
      <c r="E1607">
        <v>30852166</v>
      </c>
      <c r="F1607" t="s">
        <v>1128</v>
      </c>
      <c r="G1607" s="1">
        <v>45233</v>
      </c>
      <c r="H1607">
        <v>5411669</v>
      </c>
      <c r="I1607">
        <v>150</v>
      </c>
      <c r="J1607" t="s">
        <v>121</v>
      </c>
      <c r="K1607" t="str">
        <f>IFERROR(IF(AND(VLOOKUP($C1607,Hes!$A:$B, 1, FALSE), $M1607&lt;&gt;" "), "Ingresada", "Falta Ingresar"), " ")</f>
        <v xml:space="preserve"> </v>
      </c>
      <c r="L1607" s="4" t="str">
        <f>IFERROR(VLOOKUP($C1607,Observaciones!$A:$B,2,FALSE)," ")</f>
        <v xml:space="preserve"> </v>
      </c>
      <c r="M1607" t="s">
        <v>681</v>
      </c>
      <c r="O1607" s="5">
        <v>30852166</v>
      </c>
      <c r="P1607" s="5">
        <v>95667</v>
      </c>
      <c r="Q1607" s="5">
        <v>18177</v>
      </c>
      <c r="R1607" s="5">
        <v>113844</v>
      </c>
    </row>
    <row r="1608" spans="1:18" x14ac:dyDescent="0.25">
      <c r="F1608" t="s">
        <v>495</v>
      </c>
      <c r="K1608" t="str">
        <f>IFERROR(IF(AND(VLOOKUP($C1608,Hes!$A:$B, 1, FALSE), $M1608&lt;&gt;" "), "Ingresada", "Falta Ingresar"), " ")</f>
        <v xml:space="preserve"> </v>
      </c>
      <c r="L1608" s="4" t="str">
        <f>IFERROR(VLOOKUP($C1608,Observaciones!$A:$B,2,FALSE)," ")</f>
        <v xml:space="preserve"> </v>
      </c>
      <c r="M1608" t="s">
        <v>681</v>
      </c>
      <c r="P1608" s="5">
        <v>95667</v>
      </c>
      <c r="Q1608" s="5">
        <v>18177</v>
      </c>
      <c r="R1608" s="5">
        <v>113844</v>
      </c>
    </row>
    <row r="1609" spans="1:18" x14ac:dyDescent="0.25">
      <c r="A1609" t="s">
        <v>496</v>
      </c>
      <c r="B1609" t="s">
        <v>494</v>
      </c>
      <c r="C1609">
        <v>76284294</v>
      </c>
      <c r="D1609">
        <v>0</v>
      </c>
      <c r="E1609">
        <v>30840978</v>
      </c>
      <c r="F1609" t="s">
        <v>1129</v>
      </c>
      <c r="G1609" s="1">
        <v>45232</v>
      </c>
      <c r="H1609">
        <v>5411108</v>
      </c>
      <c r="I1609">
        <v>462</v>
      </c>
      <c r="J1609" t="s">
        <v>190</v>
      </c>
      <c r="K1609" s="8" t="str">
        <f>IFERROR(IF(AND(VLOOKUP($C1609,Hes!$A:$B, 1, FALSE), $M1609&lt;&gt;" "), "Ingresada", "Falta Ingresar"), " ")</f>
        <v>Falta Ingresar</v>
      </c>
      <c r="L1609" s="4" t="s">
        <v>681</v>
      </c>
      <c r="M1609" t="s">
        <v>681</v>
      </c>
      <c r="N1609" s="5" t="s">
        <v>841</v>
      </c>
      <c r="O1609" s="5">
        <v>30840978</v>
      </c>
      <c r="P1609" s="5">
        <v>298451</v>
      </c>
      <c r="Q1609" s="5">
        <v>56706</v>
      </c>
      <c r="R1609" s="5">
        <v>355157</v>
      </c>
    </row>
    <row r="1610" spans="1:18" x14ac:dyDescent="0.25">
      <c r="F1610" t="s">
        <v>495</v>
      </c>
      <c r="K1610" t="str">
        <f>IFERROR(IF(AND(VLOOKUP($C1610,Hes!$A:$B, 1, FALSE), $M1610&lt;&gt;" "), "Ingresada", "Falta Ingresar"), " ")</f>
        <v xml:space="preserve"> </v>
      </c>
      <c r="L1610" s="4" t="str">
        <f>IFERROR(VLOOKUP($C1610,Observaciones!$A:$B,2,FALSE)," ")</f>
        <v xml:space="preserve"> </v>
      </c>
      <c r="M1610" t="s">
        <v>681</v>
      </c>
      <c r="P1610" s="5">
        <v>298451</v>
      </c>
      <c r="Q1610" s="5">
        <v>56706</v>
      </c>
      <c r="R1610" s="5">
        <v>355157</v>
      </c>
    </row>
    <row r="1611" spans="1:18" x14ac:dyDescent="0.25">
      <c r="A1611" t="s">
        <v>503</v>
      </c>
      <c r="B1611" t="s">
        <v>508</v>
      </c>
      <c r="C1611">
        <v>76293090</v>
      </c>
      <c r="D1611">
        <v>22</v>
      </c>
      <c r="E1611">
        <v>185154</v>
      </c>
      <c r="F1611" t="s">
        <v>1130</v>
      </c>
      <c r="G1611" s="1">
        <v>45238</v>
      </c>
      <c r="H1611">
        <v>5415003</v>
      </c>
      <c r="I1611">
        <v>72</v>
      </c>
      <c r="J1611" t="s">
        <v>176</v>
      </c>
      <c r="K1611" t="str">
        <f>IFERROR(IF(AND(VLOOKUP($C1611,Hes!$A:$B, 1, FALSE), $M1611&lt;&gt;" "), "Ingresada", "Falta Ingresar"), " ")</f>
        <v xml:space="preserve"> </v>
      </c>
      <c r="L1611" s="4" t="s">
        <v>681</v>
      </c>
      <c r="M1611" t="s">
        <v>681</v>
      </c>
      <c r="O1611" s="5">
        <v>30859590</v>
      </c>
      <c r="P1611" s="5">
        <v>121788</v>
      </c>
      <c r="Q1611" s="5">
        <v>23140</v>
      </c>
      <c r="R1611" s="5">
        <v>144928</v>
      </c>
    </row>
    <row r="1612" spans="1:18" x14ac:dyDescent="0.25">
      <c r="A1612" t="s">
        <v>503</v>
      </c>
      <c r="B1612" t="s">
        <v>508</v>
      </c>
      <c r="C1612">
        <v>76293090</v>
      </c>
      <c r="D1612">
        <v>33</v>
      </c>
      <c r="E1612">
        <v>185156</v>
      </c>
      <c r="F1612" t="s">
        <v>1131</v>
      </c>
      <c r="G1612" s="1">
        <v>45238</v>
      </c>
      <c r="H1612">
        <v>5415028</v>
      </c>
      <c r="I1612">
        <v>72</v>
      </c>
      <c r="J1612" t="s">
        <v>176</v>
      </c>
      <c r="K1612" t="str">
        <f>IFERROR(IF(AND(VLOOKUP($C1612,Hes!$A:$B, 1, FALSE), $M1612&lt;&gt;" "), "Ingresada", "Falta Ingresar"), " ")</f>
        <v xml:space="preserve"> </v>
      </c>
      <c r="L1612" s="4" t="s">
        <v>681</v>
      </c>
      <c r="M1612" t="s">
        <v>681</v>
      </c>
      <c r="O1612" s="5">
        <v>30859219</v>
      </c>
      <c r="P1612" s="5">
        <v>37017</v>
      </c>
      <c r="Q1612" s="5">
        <v>7033</v>
      </c>
      <c r="R1612" s="5">
        <v>44050</v>
      </c>
    </row>
    <row r="1613" spans="1:18" x14ac:dyDescent="0.25">
      <c r="A1613" t="s">
        <v>503</v>
      </c>
      <c r="B1613" t="s">
        <v>508</v>
      </c>
      <c r="C1613">
        <v>76293090</v>
      </c>
      <c r="D1613">
        <v>25</v>
      </c>
      <c r="E1613">
        <v>185155</v>
      </c>
      <c r="F1613" t="s">
        <v>1131</v>
      </c>
      <c r="G1613" s="1">
        <v>45238</v>
      </c>
      <c r="H1613">
        <v>5415044</v>
      </c>
      <c r="I1613">
        <v>72</v>
      </c>
      <c r="J1613" t="s">
        <v>176</v>
      </c>
      <c r="K1613" t="str">
        <f>IFERROR(IF(AND(VLOOKUP($C1613,Hes!$A:$B, 1, FALSE), $M1613&lt;&gt;" "), "Ingresada", "Falta Ingresar"), " ")</f>
        <v xml:space="preserve"> </v>
      </c>
      <c r="L1613" s="4" t="s">
        <v>681</v>
      </c>
      <c r="M1613" t="s">
        <v>681</v>
      </c>
      <c r="O1613" s="5">
        <v>30859461</v>
      </c>
      <c r="P1613" s="5">
        <v>82870</v>
      </c>
      <c r="Q1613" s="5">
        <v>15745</v>
      </c>
      <c r="R1613" s="5">
        <v>98615</v>
      </c>
    </row>
    <row r="1614" spans="1:18" x14ac:dyDescent="0.25">
      <c r="F1614" t="s">
        <v>500</v>
      </c>
      <c r="K1614" t="str">
        <f>IFERROR(IF(AND(VLOOKUP($C1614,Hes!$A:$B, 1, FALSE), $M1614&lt;&gt;" "), "Ingresada", "Falta Ingresar"), " ")</f>
        <v xml:space="preserve"> </v>
      </c>
      <c r="L1614" s="4" t="str">
        <f>IFERROR(VLOOKUP($C1614,Observaciones!$A:$B,2,FALSE)," ")</f>
        <v xml:space="preserve"> </v>
      </c>
      <c r="M1614" t="s">
        <v>681</v>
      </c>
      <c r="P1614" s="5">
        <v>241675</v>
      </c>
      <c r="Q1614" s="5">
        <v>45918</v>
      </c>
      <c r="R1614" s="5">
        <v>287593</v>
      </c>
    </row>
    <row r="1615" spans="1:18" x14ac:dyDescent="0.25">
      <c r="A1615" t="s">
        <v>501</v>
      </c>
      <c r="B1615" t="s">
        <v>494</v>
      </c>
      <c r="C1615">
        <v>76315948</v>
      </c>
      <c r="D1615">
        <v>0</v>
      </c>
      <c r="E1615">
        <v>30861758</v>
      </c>
      <c r="F1615" t="s">
        <v>1132</v>
      </c>
      <c r="G1615" s="1">
        <v>45238</v>
      </c>
      <c r="H1615">
        <v>5415123</v>
      </c>
      <c r="I1615">
        <v>12</v>
      </c>
      <c r="J1615" t="s">
        <v>319</v>
      </c>
      <c r="K1615" t="str">
        <f>IFERROR(IF(AND(VLOOKUP($C1615,Hes!$A:$B, 1, FALSE), $M1615&lt;&gt;" "), "Ingresada", "Falta Ingresar"), " ")</f>
        <v xml:space="preserve"> </v>
      </c>
      <c r="L1615" s="4" t="str">
        <f>IFERROR(VLOOKUP($C1615,Observaciones!$A:$B,2,FALSE)," ")</f>
        <v xml:space="preserve"> </v>
      </c>
      <c r="M1615" t="s">
        <v>681</v>
      </c>
      <c r="O1615" s="5">
        <v>30861758</v>
      </c>
      <c r="P1615" s="5">
        <v>209092</v>
      </c>
      <c r="Q1615" s="5">
        <v>39727</v>
      </c>
      <c r="R1615" s="5">
        <v>248819</v>
      </c>
    </row>
    <row r="1616" spans="1:18" x14ac:dyDescent="0.25">
      <c r="A1616" t="s">
        <v>501</v>
      </c>
      <c r="B1616" t="s">
        <v>494</v>
      </c>
      <c r="C1616">
        <v>76315948</v>
      </c>
      <c r="D1616">
        <v>0</v>
      </c>
      <c r="E1616">
        <v>30861758</v>
      </c>
      <c r="F1616" t="s">
        <v>1132</v>
      </c>
      <c r="G1616" s="1">
        <v>45238</v>
      </c>
      <c r="H1616">
        <v>5415124</v>
      </c>
      <c r="I1616">
        <v>12</v>
      </c>
      <c r="J1616" t="s">
        <v>319</v>
      </c>
      <c r="K1616" t="str">
        <f>IFERROR(IF(AND(VLOOKUP($C1616,Hes!$A:$B, 1, FALSE), $M1616&lt;&gt;" "), "Ingresada", "Falta Ingresar"), " ")</f>
        <v xml:space="preserve"> </v>
      </c>
      <c r="L1616" s="4" t="str">
        <f>IFERROR(VLOOKUP($C1616,Observaciones!$A:$B,2,FALSE)," ")</f>
        <v xml:space="preserve"> </v>
      </c>
      <c r="M1616" t="s">
        <v>681</v>
      </c>
      <c r="O1616" s="5">
        <v>30861758</v>
      </c>
      <c r="P1616" s="5">
        <v>19479</v>
      </c>
      <c r="Q1616" s="5">
        <v>3701</v>
      </c>
      <c r="R1616" s="5">
        <v>23180</v>
      </c>
    </row>
    <row r="1617" spans="1:18" x14ac:dyDescent="0.25">
      <c r="F1617" t="s">
        <v>497</v>
      </c>
      <c r="K1617" t="str">
        <f>IFERROR(IF(AND(VLOOKUP($C1617,Hes!$A:$B, 1, FALSE), $M1617&lt;&gt;" "), "Ingresada", "Falta Ingresar"), " ")</f>
        <v xml:space="preserve"> </v>
      </c>
      <c r="L1617" s="4" t="str">
        <f>IFERROR(VLOOKUP($C1617,Observaciones!$A:$B,2,FALSE)," ")</f>
        <v xml:space="preserve"> </v>
      </c>
      <c r="M1617" t="s">
        <v>681</v>
      </c>
      <c r="P1617" s="5">
        <v>228571</v>
      </c>
      <c r="Q1617" s="5">
        <v>43428</v>
      </c>
      <c r="R1617" s="5">
        <v>271999</v>
      </c>
    </row>
    <row r="1618" spans="1:18" x14ac:dyDescent="0.25">
      <c r="A1618" t="s">
        <v>520</v>
      </c>
      <c r="B1618" t="s">
        <v>494</v>
      </c>
      <c r="C1618">
        <v>76322590</v>
      </c>
      <c r="D1618">
        <v>0</v>
      </c>
      <c r="E1618">
        <v>4500163594</v>
      </c>
      <c r="F1618" t="s">
        <v>1133</v>
      </c>
      <c r="G1618" s="1">
        <v>45233</v>
      </c>
      <c r="H1618">
        <v>5411583</v>
      </c>
      <c r="I1618">
        <v>108</v>
      </c>
      <c r="J1618" t="s">
        <v>196</v>
      </c>
      <c r="K1618" t="str">
        <f>IFERROR(IF(AND(VLOOKUP($C1618,Hes!$A:$B, 1, FALSE), $M1618&lt;&gt;" "), "Ingresada", "Falta Ingresar"), " ")</f>
        <v xml:space="preserve"> </v>
      </c>
      <c r="L1618" s="4" t="str">
        <f>IFERROR(VLOOKUP($C1618,Observaciones!$A:$B,2,FALSE)," ")</f>
        <v>OC 45000000... INDIVIDUAL XOC Y CC, EL RESTO VENDEDOR DEBE ENVIAR INF Y OC SINO FACT XRUT</v>
      </c>
      <c r="M1618" t="s">
        <v>681</v>
      </c>
      <c r="O1618" s="5">
        <v>30850364</v>
      </c>
      <c r="P1618" s="5">
        <v>88092</v>
      </c>
      <c r="Q1618" s="5">
        <v>16737</v>
      </c>
      <c r="R1618" s="5">
        <v>104829</v>
      </c>
    </row>
    <row r="1619" spans="1:18" x14ac:dyDescent="0.25">
      <c r="A1619" t="s">
        <v>520</v>
      </c>
      <c r="B1619" t="s">
        <v>494</v>
      </c>
      <c r="C1619">
        <v>76322590</v>
      </c>
      <c r="D1619">
        <v>3</v>
      </c>
      <c r="E1619">
        <v>30854765</v>
      </c>
      <c r="F1619" t="s">
        <v>1133</v>
      </c>
      <c r="G1619" s="1">
        <v>45236</v>
      </c>
      <c r="H1619">
        <v>5412772</v>
      </c>
      <c r="I1619">
        <v>108</v>
      </c>
      <c r="J1619" t="s">
        <v>196</v>
      </c>
      <c r="K1619" t="str">
        <f>IFERROR(IF(AND(VLOOKUP($C1619,Hes!$A:$B, 1, FALSE), $M1619&lt;&gt;" "), "Ingresada", "Falta Ingresar"), " ")</f>
        <v xml:space="preserve"> </v>
      </c>
      <c r="L1619" s="4" t="str">
        <f>IFERROR(VLOOKUP($C1619,Observaciones!$A:$B,2,FALSE)," ")</f>
        <v>OC 45000000... INDIVIDUAL XOC Y CC, EL RESTO VENDEDOR DEBE ENVIAR INF Y OC SINO FACT XRUT</v>
      </c>
      <c r="M1619" t="s">
        <v>681</v>
      </c>
      <c r="O1619" s="5">
        <v>30854765</v>
      </c>
      <c r="P1619" s="5">
        <v>59921</v>
      </c>
      <c r="Q1619" s="5">
        <v>11385</v>
      </c>
      <c r="R1619" s="5">
        <v>71306</v>
      </c>
    </row>
    <row r="1620" spans="1:18" x14ac:dyDescent="0.25">
      <c r="A1620" t="s">
        <v>520</v>
      </c>
      <c r="B1620" t="s">
        <v>494</v>
      </c>
      <c r="C1620">
        <v>76322590</v>
      </c>
      <c r="D1620">
        <v>27</v>
      </c>
      <c r="E1620">
        <v>30854767</v>
      </c>
      <c r="F1620" t="s">
        <v>1133</v>
      </c>
      <c r="G1620" s="1">
        <v>45236</v>
      </c>
      <c r="H1620">
        <v>5413013</v>
      </c>
      <c r="I1620">
        <v>108</v>
      </c>
      <c r="J1620" t="s">
        <v>196</v>
      </c>
      <c r="K1620" t="str">
        <f>IFERROR(IF(AND(VLOOKUP($C1620,Hes!$A:$B, 1, FALSE), $M1620&lt;&gt;" "), "Ingresada", "Falta Ingresar"), " ")</f>
        <v xml:space="preserve"> </v>
      </c>
      <c r="L1620" s="4" t="str">
        <f>IFERROR(VLOOKUP($C1620,Observaciones!$A:$B,2,FALSE)," ")</f>
        <v>OC 45000000... INDIVIDUAL XOC Y CC, EL RESTO VENDEDOR DEBE ENVIAR INF Y OC SINO FACT XRUT</v>
      </c>
      <c r="M1620" t="s">
        <v>681</v>
      </c>
      <c r="O1620" s="5">
        <v>30854767</v>
      </c>
      <c r="P1620" s="5">
        <v>50710</v>
      </c>
      <c r="Q1620" s="5">
        <v>9635</v>
      </c>
      <c r="R1620" s="5">
        <v>60345</v>
      </c>
    </row>
    <row r="1621" spans="1:18" x14ac:dyDescent="0.25">
      <c r="A1621" t="s">
        <v>520</v>
      </c>
      <c r="B1621" t="s">
        <v>494</v>
      </c>
      <c r="C1621">
        <v>76322590</v>
      </c>
      <c r="D1621">
        <v>50</v>
      </c>
      <c r="E1621">
        <v>30854813</v>
      </c>
      <c r="F1621" t="s">
        <v>1133</v>
      </c>
      <c r="G1621" s="1">
        <v>45236</v>
      </c>
      <c r="H1621">
        <v>5413016</v>
      </c>
      <c r="I1621">
        <v>108</v>
      </c>
      <c r="J1621" t="s">
        <v>196</v>
      </c>
      <c r="K1621" t="str">
        <f>IFERROR(IF(AND(VLOOKUP($C1621,Hes!$A:$B, 1, FALSE), $M1621&lt;&gt;" "), "Ingresada", "Falta Ingresar"), " ")</f>
        <v xml:space="preserve"> </v>
      </c>
      <c r="L1621" s="4" t="str">
        <f>IFERROR(VLOOKUP($C1621,Observaciones!$A:$B,2,FALSE)," ")</f>
        <v>OC 45000000... INDIVIDUAL XOC Y CC, EL RESTO VENDEDOR DEBE ENVIAR INF Y OC SINO FACT XRUT</v>
      </c>
      <c r="M1621" t="s">
        <v>681</v>
      </c>
      <c r="O1621" s="5">
        <v>30854813</v>
      </c>
      <c r="P1621" s="5">
        <v>64512</v>
      </c>
      <c r="Q1621" s="5">
        <v>12257</v>
      </c>
      <c r="R1621" s="5">
        <v>76769</v>
      </c>
    </row>
    <row r="1622" spans="1:18" x14ac:dyDescent="0.25">
      <c r="A1622" t="s">
        <v>520</v>
      </c>
      <c r="B1622" t="s">
        <v>494</v>
      </c>
      <c r="C1622">
        <v>76322590</v>
      </c>
      <c r="D1622">
        <v>39</v>
      </c>
      <c r="E1622">
        <v>30854774</v>
      </c>
      <c r="F1622" t="s">
        <v>1133</v>
      </c>
      <c r="G1622" s="1">
        <v>45236</v>
      </c>
      <c r="H1622">
        <v>5413135</v>
      </c>
      <c r="I1622">
        <v>108</v>
      </c>
      <c r="J1622" t="s">
        <v>196</v>
      </c>
      <c r="K1622" t="str">
        <f>IFERROR(IF(AND(VLOOKUP($C1622,Hes!$A:$B, 1, FALSE), $M1622&lt;&gt;" "), "Ingresada", "Falta Ingresar"), " ")</f>
        <v xml:space="preserve"> </v>
      </c>
      <c r="L1622" s="4" t="str">
        <f>IFERROR(VLOOKUP($C1622,Observaciones!$A:$B,2,FALSE)," ")</f>
        <v>OC 45000000... INDIVIDUAL XOC Y CC, EL RESTO VENDEDOR DEBE ENVIAR INF Y OC SINO FACT XRUT</v>
      </c>
      <c r="M1622" t="s">
        <v>681</v>
      </c>
      <c r="O1622" s="5">
        <v>30854774</v>
      </c>
      <c r="P1622" s="5">
        <v>39923</v>
      </c>
      <c r="Q1622" s="5">
        <v>7585</v>
      </c>
      <c r="R1622" s="5">
        <v>47508</v>
      </c>
    </row>
    <row r="1623" spans="1:18" x14ac:dyDescent="0.25">
      <c r="A1623" t="s">
        <v>520</v>
      </c>
      <c r="B1623" t="s">
        <v>494</v>
      </c>
      <c r="C1623">
        <v>76322590</v>
      </c>
      <c r="D1623">
        <v>4</v>
      </c>
      <c r="E1623">
        <v>30854779</v>
      </c>
      <c r="F1623" t="s">
        <v>1133</v>
      </c>
      <c r="G1623" s="1">
        <v>45236</v>
      </c>
      <c r="H1623">
        <v>5413152</v>
      </c>
      <c r="I1623">
        <v>108</v>
      </c>
      <c r="J1623" t="s">
        <v>196</v>
      </c>
      <c r="K1623" t="str">
        <f>IFERROR(IF(AND(VLOOKUP($C1623,Hes!$A:$B, 1, FALSE), $M1623&lt;&gt;" "), "Ingresada", "Falta Ingresar"), " ")</f>
        <v xml:space="preserve"> </v>
      </c>
      <c r="L1623" s="4" t="str">
        <f>IFERROR(VLOOKUP($C1623,Observaciones!$A:$B,2,FALSE)," ")</f>
        <v>OC 45000000... INDIVIDUAL XOC Y CC, EL RESTO VENDEDOR DEBE ENVIAR INF Y OC SINO FACT XRUT</v>
      </c>
      <c r="M1623" t="s">
        <v>681</v>
      </c>
      <c r="O1623" s="5">
        <v>30854779</v>
      </c>
      <c r="P1623" s="5">
        <v>81628</v>
      </c>
      <c r="Q1623" s="5">
        <v>15509</v>
      </c>
      <c r="R1623" s="5">
        <v>97137</v>
      </c>
    </row>
    <row r="1624" spans="1:18" x14ac:dyDescent="0.25">
      <c r="A1624" t="s">
        <v>520</v>
      </c>
      <c r="B1624" t="s">
        <v>494</v>
      </c>
      <c r="C1624">
        <v>76322590</v>
      </c>
      <c r="D1624">
        <v>1</v>
      </c>
      <c r="E1624">
        <v>30854768</v>
      </c>
      <c r="F1624" t="s">
        <v>1133</v>
      </c>
      <c r="G1624" s="1">
        <v>45236</v>
      </c>
      <c r="H1624">
        <v>5413475</v>
      </c>
      <c r="I1624">
        <v>108</v>
      </c>
      <c r="J1624" t="s">
        <v>196</v>
      </c>
      <c r="K1624" t="str">
        <f>IFERROR(IF(AND(VLOOKUP($C1624,Hes!$A:$B, 1, FALSE), $M1624&lt;&gt;" "), "Ingresada", "Falta Ingresar"), " ")</f>
        <v xml:space="preserve"> </v>
      </c>
      <c r="L1624" s="4" t="str">
        <f>IFERROR(VLOOKUP($C1624,Observaciones!$A:$B,2,FALSE)," ")</f>
        <v>OC 45000000... INDIVIDUAL XOC Y CC, EL RESTO VENDEDOR DEBE ENVIAR INF Y OC SINO FACT XRUT</v>
      </c>
      <c r="M1624" t="s">
        <v>681</v>
      </c>
      <c r="O1624" s="5">
        <v>30854768</v>
      </c>
      <c r="P1624" s="5">
        <v>70290</v>
      </c>
      <c r="Q1624" s="5">
        <v>13355</v>
      </c>
      <c r="R1624" s="5">
        <v>83645</v>
      </c>
    </row>
    <row r="1625" spans="1:18" x14ac:dyDescent="0.25">
      <c r="A1625" t="s">
        <v>520</v>
      </c>
      <c r="B1625" t="s">
        <v>494</v>
      </c>
      <c r="C1625">
        <v>76322590</v>
      </c>
      <c r="D1625">
        <v>22</v>
      </c>
      <c r="E1625">
        <v>30854770</v>
      </c>
      <c r="F1625" t="s">
        <v>1133</v>
      </c>
      <c r="G1625" s="1">
        <v>45236</v>
      </c>
      <c r="H1625">
        <v>5413559</v>
      </c>
      <c r="I1625">
        <v>108</v>
      </c>
      <c r="J1625" t="s">
        <v>196</v>
      </c>
      <c r="K1625" t="str">
        <f>IFERROR(IF(AND(VLOOKUP($C1625,Hes!$A:$B, 1, FALSE), $M1625&lt;&gt;" "), "Ingresada", "Falta Ingresar"), " ")</f>
        <v xml:space="preserve"> </v>
      </c>
      <c r="L1625" s="4" t="str">
        <f>IFERROR(VLOOKUP($C1625,Observaciones!$A:$B,2,FALSE)," ")</f>
        <v>OC 45000000... INDIVIDUAL XOC Y CC, EL RESTO VENDEDOR DEBE ENVIAR INF Y OC SINO FACT XRUT</v>
      </c>
      <c r="M1625" t="s">
        <v>681</v>
      </c>
      <c r="O1625" s="5">
        <v>30854770</v>
      </c>
      <c r="P1625" s="5">
        <v>74771</v>
      </c>
      <c r="Q1625" s="5">
        <v>14206</v>
      </c>
      <c r="R1625" s="5">
        <v>88977</v>
      </c>
    </row>
    <row r="1626" spans="1:18" x14ac:dyDescent="0.25">
      <c r="A1626" t="s">
        <v>520</v>
      </c>
      <c r="B1626" t="s">
        <v>494</v>
      </c>
      <c r="C1626">
        <v>76322590</v>
      </c>
      <c r="D1626">
        <v>32</v>
      </c>
      <c r="E1626">
        <v>30854788</v>
      </c>
      <c r="F1626" t="s">
        <v>1133</v>
      </c>
      <c r="G1626" s="1">
        <v>45236</v>
      </c>
      <c r="H1626">
        <v>5413639</v>
      </c>
      <c r="I1626">
        <v>108</v>
      </c>
      <c r="J1626" t="s">
        <v>196</v>
      </c>
      <c r="K1626" t="str">
        <f>IFERROR(IF(AND(VLOOKUP($C1626,Hes!$A:$B, 1, FALSE), $M1626&lt;&gt;" "), "Ingresada", "Falta Ingresar"), " ")</f>
        <v xml:space="preserve"> </v>
      </c>
      <c r="L1626" s="4" t="str">
        <f>IFERROR(VLOOKUP($C1626,Observaciones!$A:$B,2,FALSE)," ")</f>
        <v>OC 45000000... INDIVIDUAL XOC Y CC, EL RESTO VENDEDOR DEBE ENVIAR INF Y OC SINO FACT XRUT</v>
      </c>
      <c r="M1626" t="s">
        <v>681</v>
      </c>
      <c r="O1626" s="5">
        <v>30854788</v>
      </c>
      <c r="P1626" s="5">
        <v>87296</v>
      </c>
      <c r="Q1626" s="5">
        <v>16586</v>
      </c>
      <c r="R1626" s="5">
        <v>103882</v>
      </c>
    </row>
    <row r="1627" spans="1:18" x14ac:dyDescent="0.25">
      <c r="A1627" t="s">
        <v>520</v>
      </c>
      <c r="B1627" t="s">
        <v>494</v>
      </c>
      <c r="C1627">
        <v>76322590</v>
      </c>
      <c r="D1627">
        <v>16</v>
      </c>
      <c r="E1627">
        <v>30854760</v>
      </c>
      <c r="F1627" t="s">
        <v>1133</v>
      </c>
      <c r="G1627" s="1">
        <v>45236</v>
      </c>
      <c r="H1627">
        <v>5413723</v>
      </c>
      <c r="I1627">
        <v>108</v>
      </c>
      <c r="J1627" t="s">
        <v>196</v>
      </c>
      <c r="K1627" t="str">
        <f>IFERROR(IF(AND(VLOOKUP($C1627,Hes!$A:$B, 1, FALSE), $M1627&lt;&gt;" "), "Ingresada", "Falta Ingresar"), " ")</f>
        <v xml:space="preserve"> </v>
      </c>
      <c r="L1627" s="4" t="str">
        <f>IFERROR(VLOOKUP($C1627,Observaciones!$A:$B,2,FALSE)," ")</f>
        <v>OC 45000000... INDIVIDUAL XOC Y CC, EL RESTO VENDEDOR DEBE ENVIAR INF Y OC SINO FACT XRUT</v>
      </c>
      <c r="M1627" t="s">
        <v>681</v>
      </c>
      <c r="O1627" s="5">
        <v>30854760</v>
      </c>
      <c r="P1627" s="5">
        <v>54765</v>
      </c>
      <c r="Q1627" s="5">
        <v>10405</v>
      </c>
      <c r="R1627" s="5">
        <v>65170</v>
      </c>
    </row>
    <row r="1628" spans="1:18" x14ac:dyDescent="0.25">
      <c r="A1628" t="s">
        <v>520</v>
      </c>
      <c r="B1628" t="s">
        <v>494</v>
      </c>
      <c r="C1628">
        <v>76322590</v>
      </c>
      <c r="D1628">
        <v>24</v>
      </c>
      <c r="E1628">
        <v>30854784</v>
      </c>
      <c r="F1628" t="s">
        <v>1133</v>
      </c>
      <c r="G1628" s="1">
        <v>45236</v>
      </c>
      <c r="H1628">
        <v>5413745</v>
      </c>
      <c r="I1628">
        <v>108</v>
      </c>
      <c r="J1628" t="s">
        <v>196</v>
      </c>
      <c r="K1628" t="str">
        <f>IFERROR(IF(AND(VLOOKUP($C1628,Hes!$A:$B, 1, FALSE), $M1628&lt;&gt;" "), "Ingresada", "Falta Ingresar"), " ")</f>
        <v xml:space="preserve"> </v>
      </c>
      <c r="L1628" s="4" t="str">
        <f>IFERROR(VLOOKUP($C1628,Observaciones!$A:$B,2,FALSE)," ")</f>
        <v>OC 45000000... INDIVIDUAL XOC Y CC, EL RESTO VENDEDOR DEBE ENVIAR INF Y OC SINO FACT XRUT</v>
      </c>
      <c r="M1628" t="s">
        <v>681</v>
      </c>
      <c r="O1628" s="5">
        <v>30854784</v>
      </c>
      <c r="P1628" s="5">
        <v>59978</v>
      </c>
      <c r="Q1628" s="5">
        <v>11396</v>
      </c>
      <c r="R1628" s="5">
        <v>71374</v>
      </c>
    </row>
    <row r="1629" spans="1:18" x14ac:dyDescent="0.25">
      <c r="A1629" t="s">
        <v>520</v>
      </c>
      <c r="B1629" t="s">
        <v>494</v>
      </c>
      <c r="C1629">
        <v>76322590</v>
      </c>
      <c r="D1629">
        <v>23</v>
      </c>
      <c r="E1629">
        <v>30854777</v>
      </c>
      <c r="F1629" t="s">
        <v>1133</v>
      </c>
      <c r="G1629" s="1">
        <v>45236</v>
      </c>
      <c r="H1629">
        <v>5413855</v>
      </c>
      <c r="I1629">
        <v>108</v>
      </c>
      <c r="J1629" t="s">
        <v>196</v>
      </c>
      <c r="K1629" t="str">
        <f>IFERROR(IF(AND(VLOOKUP($C1629,Hes!$A:$B, 1, FALSE), $M1629&lt;&gt;" "), "Ingresada", "Falta Ingresar"), " ")</f>
        <v xml:space="preserve"> </v>
      </c>
      <c r="L1629" s="4" t="str">
        <f>IFERROR(VLOOKUP($C1629,Observaciones!$A:$B,2,FALSE)," ")</f>
        <v>OC 45000000... INDIVIDUAL XOC Y CC, EL RESTO VENDEDOR DEBE ENVIAR INF Y OC SINO FACT XRUT</v>
      </c>
      <c r="M1629" t="s">
        <v>681</v>
      </c>
      <c r="O1629" s="5">
        <v>30854777</v>
      </c>
      <c r="P1629" s="5">
        <v>59237</v>
      </c>
      <c r="Q1629" s="5">
        <v>11255</v>
      </c>
      <c r="R1629" s="5">
        <v>70492</v>
      </c>
    </row>
    <row r="1630" spans="1:18" x14ac:dyDescent="0.25">
      <c r="A1630" t="s">
        <v>520</v>
      </c>
      <c r="B1630" t="s">
        <v>494</v>
      </c>
      <c r="C1630">
        <v>76322590</v>
      </c>
      <c r="D1630">
        <v>0</v>
      </c>
      <c r="E1630">
        <v>4500163493</v>
      </c>
      <c r="F1630" t="s">
        <v>1133</v>
      </c>
      <c r="G1630" s="1">
        <v>45237</v>
      </c>
      <c r="H1630">
        <v>5414447</v>
      </c>
      <c r="I1630">
        <v>108</v>
      </c>
      <c r="J1630" t="s">
        <v>196</v>
      </c>
      <c r="K1630" t="str">
        <f>IFERROR(IF(AND(VLOOKUP($C1630,Hes!$A:$B, 1, FALSE), $M1630&lt;&gt;" "), "Ingresada", "Falta Ingresar"), " ")</f>
        <v xml:space="preserve"> </v>
      </c>
      <c r="L1630" s="4" t="str">
        <f>IFERROR(VLOOKUP($C1630,Observaciones!$A:$B,2,FALSE)," ")</f>
        <v>OC 45000000... INDIVIDUAL XOC Y CC, EL RESTO VENDEDOR DEBE ENVIAR INF Y OC SINO FACT XRUT</v>
      </c>
      <c r="M1630" t="s">
        <v>681</v>
      </c>
      <c r="O1630" s="5">
        <v>30861989</v>
      </c>
      <c r="P1630" s="5">
        <v>21605</v>
      </c>
      <c r="Q1630" s="5">
        <v>4105</v>
      </c>
      <c r="R1630" s="5">
        <v>25710</v>
      </c>
    </row>
    <row r="1631" spans="1:18" x14ac:dyDescent="0.25">
      <c r="A1631" t="s">
        <v>520</v>
      </c>
      <c r="B1631" t="s">
        <v>494</v>
      </c>
      <c r="C1631">
        <v>76322590</v>
      </c>
      <c r="D1631">
        <v>6</v>
      </c>
      <c r="E1631">
        <v>30863182</v>
      </c>
      <c r="F1631" t="s">
        <v>1133</v>
      </c>
      <c r="G1631" s="1">
        <v>45237</v>
      </c>
      <c r="H1631">
        <v>5414875</v>
      </c>
      <c r="I1631">
        <v>108</v>
      </c>
      <c r="J1631" t="s">
        <v>196</v>
      </c>
      <c r="K1631" t="str">
        <f>IFERROR(IF(AND(VLOOKUP($C1631,Hes!$A:$B, 1, FALSE), $M1631&lt;&gt;" "), "Ingresada", "Falta Ingresar"), " ")</f>
        <v xml:space="preserve"> </v>
      </c>
      <c r="L1631" s="4" t="str">
        <f>IFERROR(VLOOKUP($C1631,Observaciones!$A:$B,2,FALSE)," ")</f>
        <v>OC 45000000... INDIVIDUAL XOC Y CC, EL RESTO VENDEDOR DEBE ENVIAR INF Y OC SINO FACT XRUT</v>
      </c>
      <c r="M1631" t="s">
        <v>681</v>
      </c>
      <c r="O1631" s="5">
        <v>30863182</v>
      </c>
      <c r="P1631" s="5">
        <v>48245</v>
      </c>
      <c r="Q1631" s="5">
        <v>9167</v>
      </c>
      <c r="R1631" s="5">
        <v>57412</v>
      </c>
    </row>
    <row r="1632" spans="1:18" x14ac:dyDescent="0.25">
      <c r="A1632" t="s">
        <v>520</v>
      </c>
      <c r="B1632" t="s">
        <v>494</v>
      </c>
      <c r="C1632">
        <v>76322590</v>
      </c>
      <c r="D1632">
        <v>46</v>
      </c>
      <c r="E1632">
        <v>30863183</v>
      </c>
      <c r="F1632" t="s">
        <v>1133</v>
      </c>
      <c r="G1632" s="1">
        <v>45238</v>
      </c>
      <c r="H1632">
        <v>5414902</v>
      </c>
      <c r="I1632">
        <v>108</v>
      </c>
      <c r="J1632" t="s">
        <v>196</v>
      </c>
      <c r="K1632" t="str">
        <f>IFERROR(IF(AND(VLOOKUP($C1632,Hes!$A:$B, 1, FALSE), $M1632&lt;&gt;" "), "Ingresada", "Falta Ingresar"), " ")</f>
        <v xml:space="preserve"> </v>
      </c>
      <c r="L1632" s="4" t="str">
        <f>IFERROR(VLOOKUP($C1632,Observaciones!$A:$B,2,FALSE)," ")</f>
        <v>OC 45000000... INDIVIDUAL XOC Y CC, EL RESTO VENDEDOR DEBE ENVIAR INF Y OC SINO FACT XRUT</v>
      </c>
      <c r="M1632" t="s">
        <v>681</v>
      </c>
      <c r="O1632" s="5">
        <v>30863183</v>
      </c>
      <c r="P1632" s="5">
        <v>84799</v>
      </c>
      <c r="Q1632" s="5">
        <v>16112</v>
      </c>
      <c r="R1632" s="5">
        <v>100911</v>
      </c>
    </row>
    <row r="1633" spans="1:18" x14ac:dyDescent="0.25">
      <c r="A1633" t="s">
        <v>520</v>
      </c>
      <c r="B1633" t="s">
        <v>494</v>
      </c>
      <c r="C1633">
        <v>76322590</v>
      </c>
      <c r="D1633">
        <v>29</v>
      </c>
      <c r="E1633">
        <v>30863178</v>
      </c>
      <c r="F1633" t="s">
        <v>1133</v>
      </c>
      <c r="G1633" s="1">
        <v>45238</v>
      </c>
      <c r="H1633">
        <v>5414988</v>
      </c>
      <c r="I1633">
        <v>108</v>
      </c>
      <c r="J1633" t="s">
        <v>196</v>
      </c>
      <c r="K1633" t="str">
        <f>IFERROR(IF(AND(VLOOKUP($C1633,Hes!$A:$B, 1, FALSE), $M1633&lt;&gt;" "), "Ingresada", "Falta Ingresar"), " ")</f>
        <v xml:space="preserve"> </v>
      </c>
      <c r="L1633" s="4" t="str">
        <f>IFERROR(VLOOKUP($C1633,Observaciones!$A:$B,2,FALSE)," ")</f>
        <v>OC 45000000... INDIVIDUAL XOC Y CC, EL RESTO VENDEDOR DEBE ENVIAR INF Y OC SINO FACT XRUT</v>
      </c>
      <c r="M1633" t="s">
        <v>681</v>
      </c>
      <c r="O1633" s="5">
        <v>30863178</v>
      </c>
      <c r="P1633" s="5">
        <v>35860</v>
      </c>
      <c r="Q1633" s="5">
        <v>6813</v>
      </c>
      <c r="R1633" s="5">
        <v>42673</v>
      </c>
    </row>
    <row r="1634" spans="1:18" x14ac:dyDescent="0.25">
      <c r="A1634" t="s">
        <v>520</v>
      </c>
      <c r="B1634" t="s">
        <v>494</v>
      </c>
      <c r="C1634">
        <v>76322590</v>
      </c>
      <c r="D1634">
        <v>48</v>
      </c>
      <c r="E1634">
        <v>30863187</v>
      </c>
      <c r="F1634" t="s">
        <v>1133</v>
      </c>
      <c r="G1634" s="1">
        <v>45238</v>
      </c>
      <c r="H1634">
        <v>5415060</v>
      </c>
      <c r="I1634">
        <v>108</v>
      </c>
      <c r="J1634" t="s">
        <v>196</v>
      </c>
      <c r="K1634" t="str">
        <f>IFERROR(IF(AND(VLOOKUP($C1634,Hes!$A:$B, 1, FALSE), $M1634&lt;&gt;" "), "Ingresada", "Falta Ingresar"), " ")</f>
        <v xml:space="preserve"> </v>
      </c>
      <c r="L1634" s="4" t="str">
        <f>IFERROR(VLOOKUP($C1634,Observaciones!$A:$B,2,FALSE)," ")</f>
        <v>OC 45000000... INDIVIDUAL XOC Y CC, EL RESTO VENDEDOR DEBE ENVIAR INF Y OC SINO FACT XRUT</v>
      </c>
      <c r="M1634" t="s">
        <v>681</v>
      </c>
      <c r="O1634" s="5">
        <v>30863187</v>
      </c>
      <c r="P1634" s="5">
        <v>89352</v>
      </c>
      <c r="Q1634" s="5">
        <v>16977</v>
      </c>
      <c r="R1634" s="5">
        <v>106329</v>
      </c>
    </row>
    <row r="1635" spans="1:18" x14ac:dyDescent="0.25">
      <c r="A1635" t="s">
        <v>520</v>
      </c>
      <c r="B1635" t="s">
        <v>494</v>
      </c>
      <c r="C1635">
        <v>76322590</v>
      </c>
      <c r="D1635">
        <v>30</v>
      </c>
      <c r="E1635">
        <v>30863181</v>
      </c>
      <c r="F1635" t="s">
        <v>1133</v>
      </c>
      <c r="G1635" s="1">
        <v>45238</v>
      </c>
      <c r="H1635">
        <v>5415226</v>
      </c>
      <c r="I1635">
        <v>108</v>
      </c>
      <c r="J1635" t="s">
        <v>196</v>
      </c>
      <c r="K1635" t="str">
        <f>IFERROR(IF(AND(VLOOKUP($C1635,Hes!$A:$B, 1, FALSE), $M1635&lt;&gt;" "), "Ingresada", "Falta Ingresar"), " ")</f>
        <v xml:space="preserve"> </v>
      </c>
      <c r="L1635" s="4" t="str">
        <f>IFERROR(VLOOKUP($C1635,Observaciones!$A:$B,2,FALSE)," ")</f>
        <v>OC 45000000... INDIVIDUAL XOC Y CC, EL RESTO VENDEDOR DEBE ENVIAR INF Y OC SINO FACT XRUT</v>
      </c>
      <c r="M1635" t="s">
        <v>681</v>
      </c>
      <c r="O1635" s="5">
        <v>30863181</v>
      </c>
      <c r="P1635" s="5">
        <v>46215</v>
      </c>
      <c r="Q1635" s="5">
        <v>8781</v>
      </c>
      <c r="R1635" s="5">
        <v>54996</v>
      </c>
    </row>
    <row r="1636" spans="1:18" x14ac:dyDescent="0.25">
      <c r="A1636" t="s">
        <v>520</v>
      </c>
      <c r="B1636" t="s">
        <v>494</v>
      </c>
      <c r="C1636">
        <v>76322590</v>
      </c>
      <c r="D1636">
        <v>5</v>
      </c>
      <c r="E1636">
        <v>30863184</v>
      </c>
      <c r="F1636" t="s">
        <v>1133</v>
      </c>
      <c r="G1636" s="1">
        <v>45238</v>
      </c>
      <c r="H1636">
        <v>5415495</v>
      </c>
      <c r="I1636">
        <v>108</v>
      </c>
      <c r="J1636" t="s">
        <v>196</v>
      </c>
      <c r="K1636" t="str">
        <f>IFERROR(IF(AND(VLOOKUP($C1636,Hes!$A:$B, 1, FALSE), $M1636&lt;&gt;" "), "Ingresada", "Falta Ingresar"), " ")</f>
        <v xml:space="preserve"> </v>
      </c>
      <c r="L1636" s="4" t="str">
        <f>IFERROR(VLOOKUP($C1636,Observaciones!$A:$B,2,FALSE)," ")</f>
        <v>OC 45000000... INDIVIDUAL XOC Y CC, EL RESTO VENDEDOR DEBE ENVIAR INF Y OC SINO FACT XRUT</v>
      </c>
      <c r="M1636" t="s">
        <v>681</v>
      </c>
      <c r="O1636" s="5">
        <v>30863184</v>
      </c>
      <c r="P1636" s="5">
        <v>84945</v>
      </c>
      <c r="Q1636" s="5">
        <v>16140</v>
      </c>
      <c r="R1636" s="5">
        <v>101085</v>
      </c>
    </row>
    <row r="1637" spans="1:18" x14ac:dyDescent="0.25">
      <c r="A1637" t="s">
        <v>520</v>
      </c>
      <c r="B1637" t="s">
        <v>494</v>
      </c>
      <c r="C1637">
        <v>76322590</v>
      </c>
      <c r="D1637">
        <v>28</v>
      </c>
      <c r="E1637">
        <v>30863185</v>
      </c>
      <c r="F1637" t="s">
        <v>1133</v>
      </c>
      <c r="G1637" s="1">
        <v>45238</v>
      </c>
      <c r="H1637">
        <v>5415533</v>
      </c>
      <c r="I1637">
        <v>108</v>
      </c>
      <c r="J1637" t="s">
        <v>196</v>
      </c>
      <c r="K1637" t="str">
        <f>IFERROR(IF(AND(VLOOKUP($C1637,Hes!$A:$B, 1, FALSE), $M1637&lt;&gt;" "), "Ingresada", "Falta Ingresar"), " ")</f>
        <v xml:space="preserve"> </v>
      </c>
      <c r="L1637" s="4" t="str">
        <f>IFERROR(VLOOKUP($C1637,Observaciones!$A:$B,2,FALSE)," ")</f>
        <v>OC 45000000... INDIVIDUAL XOC Y CC, EL RESTO VENDEDOR DEBE ENVIAR INF Y OC SINO FACT XRUT</v>
      </c>
      <c r="M1637" t="s">
        <v>681</v>
      </c>
      <c r="O1637" s="5">
        <v>30863185</v>
      </c>
      <c r="P1637" s="5">
        <v>49861</v>
      </c>
      <c r="Q1637" s="5">
        <v>9474</v>
      </c>
      <c r="R1637" s="5">
        <v>59335</v>
      </c>
    </row>
    <row r="1638" spans="1:18" x14ac:dyDescent="0.25">
      <c r="A1638" t="s">
        <v>520</v>
      </c>
      <c r="B1638" t="s">
        <v>494</v>
      </c>
      <c r="C1638">
        <v>76322590</v>
      </c>
      <c r="D1638">
        <v>19</v>
      </c>
      <c r="E1638">
        <v>30863186</v>
      </c>
      <c r="F1638" t="s">
        <v>1133</v>
      </c>
      <c r="G1638" s="1">
        <v>45238</v>
      </c>
      <c r="H1638">
        <v>5415807</v>
      </c>
      <c r="I1638">
        <v>108</v>
      </c>
      <c r="J1638" t="s">
        <v>196</v>
      </c>
      <c r="K1638" t="str">
        <f>IFERROR(IF(AND(VLOOKUP($C1638,Hes!$A:$B, 1, FALSE), $M1638&lt;&gt;" "), "Ingresada", "Falta Ingresar"), " ")</f>
        <v xml:space="preserve"> </v>
      </c>
      <c r="L1638" s="4" t="str">
        <f>IFERROR(VLOOKUP($C1638,Observaciones!$A:$B,2,FALSE)," ")</f>
        <v>OC 45000000... INDIVIDUAL XOC Y CC, EL RESTO VENDEDOR DEBE ENVIAR INF Y OC SINO FACT XRUT</v>
      </c>
      <c r="M1638" t="s">
        <v>681</v>
      </c>
      <c r="O1638" s="5">
        <v>30863186</v>
      </c>
      <c r="P1638" s="5">
        <v>81736</v>
      </c>
      <c r="Q1638" s="5">
        <v>15530</v>
      </c>
      <c r="R1638" s="5">
        <v>97266</v>
      </c>
    </row>
    <row r="1639" spans="1:18" x14ac:dyDescent="0.25">
      <c r="F1639" t="s">
        <v>534</v>
      </c>
      <c r="K1639" t="str">
        <f>IFERROR(IF(AND(VLOOKUP($C1639,Hes!$A:$B, 1, FALSE), $M1639&lt;&gt;" "), "Ingresada", "Falta Ingresar"), " ")</f>
        <v xml:space="preserve"> </v>
      </c>
      <c r="L1639" s="4" t="str">
        <f>IFERROR(VLOOKUP($C1639,Observaciones!$A:$B,2,FALSE)," ")</f>
        <v xml:space="preserve"> </v>
      </c>
      <c r="M1639" t="s">
        <v>681</v>
      </c>
      <c r="P1639" s="5">
        <v>1333741</v>
      </c>
      <c r="Q1639" s="5">
        <v>253410</v>
      </c>
      <c r="R1639" s="5">
        <v>1587151</v>
      </c>
    </row>
    <row r="1640" spans="1:18" x14ac:dyDescent="0.25">
      <c r="A1640" t="s">
        <v>3</v>
      </c>
      <c r="B1640" t="s">
        <v>494</v>
      </c>
      <c r="C1640">
        <v>76329072</v>
      </c>
      <c r="D1640">
        <v>55</v>
      </c>
      <c r="E1640">
        <v>400005123</v>
      </c>
      <c r="F1640" t="s">
        <v>1134</v>
      </c>
      <c r="G1640" s="1">
        <v>45231</v>
      </c>
      <c r="H1640">
        <v>5410636</v>
      </c>
      <c r="I1640">
        <v>424</v>
      </c>
      <c r="J1640" t="s">
        <v>146</v>
      </c>
      <c r="K1640" t="str">
        <f>IFERROR(IF(AND(VLOOKUP($C1640,Hes!$A:$B, 1, FALSE), $M1640&lt;&gt;" "), "Ingresada", "Falta Ingresar"), " ")</f>
        <v xml:space="preserve"> </v>
      </c>
      <c r="L1640" s="4" t="str">
        <f>IFERROR(VLOOKUP($C1640,Observaciones!$A:$B,2,FALSE)," ")</f>
        <v xml:space="preserve"> </v>
      </c>
      <c r="M1640" t="s">
        <v>681</v>
      </c>
      <c r="O1640" s="5">
        <v>30845502</v>
      </c>
      <c r="P1640" s="5">
        <v>154270</v>
      </c>
      <c r="Q1640" s="5">
        <v>29311</v>
      </c>
      <c r="R1640" s="5">
        <v>183581</v>
      </c>
    </row>
    <row r="1641" spans="1:18" x14ac:dyDescent="0.25">
      <c r="A1641" t="s">
        <v>3</v>
      </c>
      <c r="B1641" t="s">
        <v>494</v>
      </c>
      <c r="C1641">
        <v>76329072</v>
      </c>
      <c r="D1641">
        <v>39</v>
      </c>
      <c r="E1641">
        <v>400005138</v>
      </c>
      <c r="F1641" t="s">
        <v>1134</v>
      </c>
      <c r="G1641" s="1">
        <v>45231</v>
      </c>
      <c r="H1641">
        <v>5410825</v>
      </c>
      <c r="I1641">
        <v>424</v>
      </c>
      <c r="J1641" t="s">
        <v>146</v>
      </c>
      <c r="K1641" t="str">
        <f>IFERROR(IF(AND(VLOOKUP($C1641,Hes!$A:$B, 1, FALSE), $M1641&lt;&gt;" "), "Ingresada", "Falta Ingresar"), " ")</f>
        <v xml:space="preserve"> </v>
      </c>
      <c r="L1641" s="4" t="str">
        <f>IFERROR(VLOOKUP($C1641,Observaciones!$A:$B,2,FALSE)," ")</f>
        <v xml:space="preserve"> </v>
      </c>
      <c r="M1641" t="s">
        <v>681</v>
      </c>
      <c r="O1641" s="5">
        <v>30845652</v>
      </c>
      <c r="P1641" s="5">
        <v>274636</v>
      </c>
      <c r="Q1641" s="5">
        <v>52181</v>
      </c>
      <c r="R1641" s="5">
        <v>327686</v>
      </c>
    </row>
    <row r="1642" spans="1:18" x14ac:dyDescent="0.25">
      <c r="A1642" t="s">
        <v>3</v>
      </c>
      <c r="B1642" t="s">
        <v>494</v>
      </c>
      <c r="C1642">
        <v>76329072</v>
      </c>
      <c r="D1642">
        <v>42</v>
      </c>
      <c r="E1642">
        <v>400005139</v>
      </c>
      <c r="F1642" t="s">
        <v>1134</v>
      </c>
      <c r="G1642" s="1">
        <v>45231</v>
      </c>
      <c r="H1642">
        <v>5410826</v>
      </c>
      <c r="I1642">
        <v>424</v>
      </c>
      <c r="J1642" t="s">
        <v>146</v>
      </c>
      <c r="K1642" t="str">
        <f>IFERROR(IF(AND(VLOOKUP($C1642,Hes!$A:$B, 1, FALSE), $M1642&lt;&gt;" "), "Ingresada", "Falta Ingresar"), " ")</f>
        <v xml:space="preserve"> </v>
      </c>
      <c r="L1642" s="4" t="str">
        <f>IFERROR(VLOOKUP($C1642,Observaciones!$A:$B,2,FALSE)," ")</f>
        <v xml:space="preserve"> </v>
      </c>
      <c r="M1642" t="s">
        <v>681</v>
      </c>
      <c r="O1642" s="5">
        <v>30845626</v>
      </c>
      <c r="P1642" s="5">
        <v>202773</v>
      </c>
      <c r="Q1642" s="5">
        <v>38527</v>
      </c>
      <c r="R1642" s="5">
        <v>242169</v>
      </c>
    </row>
    <row r="1643" spans="1:18" x14ac:dyDescent="0.25">
      <c r="A1643" t="s">
        <v>3</v>
      </c>
      <c r="B1643" t="s">
        <v>494</v>
      </c>
      <c r="C1643">
        <v>76329072</v>
      </c>
      <c r="D1643">
        <v>50</v>
      </c>
      <c r="E1643">
        <v>400005145</v>
      </c>
      <c r="F1643" t="s">
        <v>1134</v>
      </c>
      <c r="G1643" s="1">
        <v>45231</v>
      </c>
      <c r="H1643">
        <v>5410908</v>
      </c>
      <c r="I1643">
        <v>424</v>
      </c>
      <c r="J1643" t="s">
        <v>146</v>
      </c>
      <c r="K1643" t="str">
        <f>IFERROR(IF(AND(VLOOKUP($C1643,Hes!$A:$B, 1, FALSE), $M1643&lt;&gt;" "), "Ingresada", "Falta Ingresar"), " ")</f>
        <v xml:space="preserve"> </v>
      </c>
      <c r="L1643" s="4" t="str">
        <f>IFERROR(VLOOKUP($C1643,Observaciones!$A:$B,2,FALSE)," ")</f>
        <v xml:space="preserve"> </v>
      </c>
      <c r="M1643" t="s">
        <v>681</v>
      </c>
      <c r="O1643" s="5">
        <v>30846790</v>
      </c>
      <c r="P1643" s="5">
        <v>918392</v>
      </c>
      <c r="Q1643" s="5">
        <v>174494</v>
      </c>
      <c r="R1643" s="5">
        <v>1092886</v>
      </c>
    </row>
    <row r="1644" spans="1:18" x14ac:dyDescent="0.25">
      <c r="A1644" t="s">
        <v>3</v>
      </c>
      <c r="B1644" t="s">
        <v>494</v>
      </c>
      <c r="C1644">
        <v>76329072</v>
      </c>
      <c r="D1644">
        <v>48</v>
      </c>
      <c r="E1644">
        <v>400005118</v>
      </c>
      <c r="F1644" t="s">
        <v>1134</v>
      </c>
      <c r="G1644" s="1">
        <v>45232</v>
      </c>
      <c r="H1644">
        <v>5410918</v>
      </c>
      <c r="I1644">
        <v>424</v>
      </c>
      <c r="J1644" t="s">
        <v>146</v>
      </c>
      <c r="K1644" t="str">
        <f>IFERROR(IF(AND(VLOOKUP($C1644,Hes!$A:$B, 1, FALSE), $M1644&lt;&gt;" "), "Ingresada", "Falta Ingresar"), " ")</f>
        <v xml:space="preserve"> </v>
      </c>
      <c r="L1644" s="4" t="str">
        <f>IFERROR(VLOOKUP($C1644,Observaciones!$A:$B,2,FALSE)," ")</f>
        <v xml:space="preserve"> </v>
      </c>
      <c r="M1644" t="s">
        <v>681</v>
      </c>
      <c r="O1644" s="5">
        <v>30845579</v>
      </c>
      <c r="P1644" s="5">
        <v>48572</v>
      </c>
      <c r="Q1644" s="5">
        <v>9229</v>
      </c>
      <c r="R1644" s="5">
        <v>57801</v>
      </c>
    </row>
    <row r="1645" spans="1:18" x14ac:dyDescent="0.25">
      <c r="A1645" t="s">
        <v>3</v>
      </c>
      <c r="B1645" t="s">
        <v>494</v>
      </c>
      <c r="C1645">
        <v>76329072</v>
      </c>
      <c r="D1645">
        <v>43</v>
      </c>
      <c r="E1645">
        <v>400005132</v>
      </c>
      <c r="F1645" t="s">
        <v>1134</v>
      </c>
      <c r="G1645" s="1">
        <v>45232</v>
      </c>
      <c r="H1645">
        <v>5410950</v>
      </c>
      <c r="I1645">
        <v>424</v>
      </c>
      <c r="J1645" t="s">
        <v>146</v>
      </c>
      <c r="K1645" t="str">
        <f>IFERROR(IF(AND(VLOOKUP($C1645,Hes!$A:$B, 1, FALSE), $M1645&lt;&gt;" "), "Ingresada", "Falta Ingresar"), " ")</f>
        <v xml:space="preserve"> </v>
      </c>
      <c r="L1645" s="4" t="str">
        <f>IFERROR(VLOOKUP($C1645,Observaciones!$A:$B,2,FALSE)," ")</f>
        <v xml:space="preserve"> </v>
      </c>
      <c r="M1645" t="s">
        <v>681</v>
      </c>
      <c r="O1645" s="5">
        <v>30845555</v>
      </c>
      <c r="P1645" s="5">
        <v>375728</v>
      </c>
      <c r="Q1645" s="5">
        <v>71388</v>
      </c>
      <c r="R1645" s="5">
        <v>447116</v>
      </c>
    </row>
    <row r="1646" spans="1:18" x14ac:dyDescent="0.25">
      <c r="A1646" t="s">
        <v>3</v>
      </c>
      <c r="B1646" t="s">
        <v>494</v>
      </c>
      <c r="C1646">
        <v>76329072</v>
      </c>
      <c r="D1646">
        <v>52</v>
      </c>
      <c r="E1646">
        <v>400005148</v>
      </c>
      <c r="F1646" t="s">
        <v>1134</v>
      </c>
      <c r="G1646" s="1">
        <v>45233</v>
      </c>
      <c r="H1646">
        <v>5411283</v>
      </c>
      <c r="I1646">
        <v>424</v>
      </c>
      <c r="J1646" t="s">
        <v>146</v>
      </c>
      <c r="K1646" t="str">
        <f>IFERROR(IF(AND(VLOOKUP($C1646,Hes!$A:$B, 1, FALSE), $M1646&lt;&gt;" "), "Ingresada", "Falta Ingresar"), " ")</f>
        <v xml:space="preserve"> </v>
      </c>
      <c r="L1646" s="4" t="str">
        <f>IFERROR(VLOOKUP($C1646,Observaciones!$A:$B,2,FALSE)," ")</f>
        <v xml:space="preserve"> </v>
      </c>
      <c r="M1646" t="s">
        <v>681</v>
      </c>
      <c r="O1646" s="5">
        <v>30846635</v>
      </c>
      <c r="P1646" s="5">
        <v>244026</v>
      </c>
      <c r="Q1646" s="5">
        <v>46365</v>
      </c>
      <c r="R1646" s="5">
        <v>290391</v>
      </c>
    </row>
    <row r="1647" spans="1:18" x14ac:dyDescent="0.25">
      <c r="A1647" t="s">
        <v>3</v>
      </c>
      <c r="B1647" t="s">
        <v>494</v>
      </c>
      <c r="C1647">
        <v>76329072</v>
      </c>
      <c r="D1647">
        <v>52</v>
      </c>
      <c r="E1647">
        <v>400005148</v>
      </c>
      <c r="F1647" t="s">
        <v>1134</v>
      </c>
      <c r="G1647" s="1">
        <v>45233</v>
      </c>
      <c r="H1647">
        <v>5411284</v>
      </c>
      <c r="I1647">
        <v>424</v>
      </c>
      <c r="J1647" t="s">
        <v>146</v>
      </c>
      <c r="K1647" t="str">
        <f>IFERROR(IF(AND(VLOOKUP($C1647,Hes!$A:$B, 1, FALSE), $M1647&lt;&gt;" "), "Ingresada", "Falta Ingresar"), " ")</f>
        <v xml:space="preserve"> </v>
      </c>
      <c r="L1647" s="4" t="str">
        <f>IFERROR(VLOOKUP($C1647,Observaciones!$A:$B,2,FALSE)," ")</f>
        <v xml:space="preserve"> </v>
      </c>
      <c r="M1647" t="s">
        <v>681</v>
      </c>
      <c r="O1647" s="5">
        <v>30846635</v>
      </c>
      <c r="P1647" s="5">
        <v>188417</v>
      </c>
      <c r="Q1647" s="5">
        <v>35799</v>
      </c>
      <c r="R1647" s="5">
        <v>224216</v>
      </c>
    </row>
    <row r="1648" spans="1:18" x14ac:dyDescent="0.25">
      <c r="A1648" t="s">
        <v>3</v>
      </c>
      <c r="B1648" t="s">
        <v>494</v>
      </c>
      <c r="C1648">
        <v>76329072</v>
      </c>
      <c r="D1648">
        <v>0</v>
      </c>
      <c r="E1648">
        <v>400005180</v>
      </c>
      <c r="F1648" t="s">
        <v>1134</v>
      </c>
      <c r="G1648" s="1">
        <v>45233</v>
      </c>
      <c r="H1648">
        <v>5411637</v>
      </c>
      <c r="I1648">
        <v>424</v>
      </c>
      <c r="J1648" t="s">
        <v>146</v>
      </c>
      <c r="K1648" t="str">
        <f>IFERROR(IF(AND(VLOOKUP($C1648,Hes!$A:$B, 1, FALSE), $M1648&lt;&gt;" "), "Ingresada", "Falta Ingresar"), " ")</f>
        <v xml:space="preserve"> </v>
      </c>
      <c r="L1648" s="4" t="str">
        <f>IFERROR(VLOOKUP($C1648,Observaciones!$A:$B,2,FALSE)," ")</f>
        <v xml:space="preserve"> </v>
      </c>
      <c r="M1648" t="s">
        <v>681</v>
      </c>
      <c r="O1648" s="5">
        <v>30849394</v>
      </c>
      <c r="P1648" s="5">
        <v>325782</v>
      </c>
      <c r="Q1648" s="5">
        <v>61899</v>
      </c>
      <c r="R1648" s="5">
        <v>387681</v>
      </c>
    </row>
    <row r="1649" spans="1:18" x14ac:dyDescent="0.25">
      <c r="A1649" t="s">
        <v>3</v>
      </c>
      <c r="B1649" t="s">
        <v>494</v>
      </c>
      <c r="C1649">
        <v>76329072</v>
      </c>
      <c r="D1649">
        <v>23</v>
      </c>
      <c r="E1649">
        <v>400005127</v>
      </c>
      <c r="F1649" t="s">
        <v>1134</v>
      </c>
      <c r="G1649" s="1">
        <v>45236</v>
      </c>
      <c r="H1649">
        <v>5411935</v>
      </c>
      <c r="I1649">
        <v>424</v>
      </c>
      <c r="J1649" t="s">
        <v>146</v>
      </c>
      <c r="K1649" t="str">
        <f>IFERROR(IF(AND(VLOOKUP($C1649,Hes!$A:$B, 1, FALSE), $M1649&lt;&gt;" "), "Ingresada", "Falta Ingresar"), " ")</f>
        <v xml:space="preserve"> </v>
      </c>
      <c r="L1649" s="4" t="str">
        <f>IFERROR(VLOOKUP($C1649,Observaciones!$A:$B,2,FALSE)," ")</f>
        <v xml:space="preserve"> </v>
      </c>
      <c r="M1649" t="s">
        <v>681</v>
      </c>
      <c r="O1649" s="5">
        <v>30846467</v>
      </c>
      <c r="P1649" s="5">
        <v>88960</v>
      </c>
      <c r="Q1649" s="5">
        <v>16902</v>
      </c>
      <c r="R1649" s="5">
        <v>106731</v>
      </c>
    </row>
    <row r="1650" spans="1:18" x14ac:dyDescent="0.25">
      <c r="A1650" t="s">
        <v>3</v>
      </c>
      <c r="B1650" t="s">
        <v>494</v>
      </c>
      <c r="C1650">
        <v>76329072</v>
      </c>
      <c r="D1650">
        <v>24</v>
      </c>
      <c r="E1650">
        <v>400005165</v>
      </c>
      <c r="F1650" t="s">
        <v>1134</v>
      </c>
      <c r="G1650" s="1">
        <v>45236</v>
      </c>
      <c r="H1650">
        <v>5411936</v>
      </c>
      <c r="I1650">
        <v>424</v>
      </c>
      <c r="J1650" t="s">
        <v>146</v>
      </c>
      <c r="K1650" t="str">
        <f>IFERROR(IF(AND(VLOOKUP($C1650,Hes!$A:$B, 1, FALSE), $M1650&lt;&gt;" "), "Ingresada", "Falta Ingresar"), " ")</f>
        <v xml:space="preserve"> </v>
      </c>
      <c r="L1650" s="4" t="str">
        <f>IFERROR(VLOOKUP($C1650,Observaciones!$A:$B,2,FALSE)," ")</f>
        <v xml:space="preserve"> </v>
      </c>
      <c r="M1650" t="s">
        <v>681</v>
      </c>
      <c r="O1650" s="5">
        <v>30847620</v>
      </c>
      <c r="P1650" s="5">
        <v>536556</v>
      </c>
      <c r="Q1650" s="5">
        <v>101946</v>
      </c>
      <c r="R1650" s="5">
        <v>638502</v>
      </c>
    </row>
    <row r="1651" spans="1:18" x14ac:dyDescent="0.25">
      <c r="A1651" t="s">
        <v>3</v>
      </c>
      <c r="B1651" t="s">
        <v>494</v>
      </c>
      <c r="C1651">
        <v>76329072</v>
      </c>
      <c r="D1651">
        <v>19</v>
      </c>
      <c r="E1651">
        <v>400005161</v>
      </c>
      <c r="F1651" t="s">
        <v>1134</v>
      </c>
      <c r="G1651" s="1">
        <v>45236</v>
      </c>
      <c r="H1651">
        <v>5412032</v>
      </c>
      <c r="I1651">
        <v>424</v>
      </c>
      <c r="J1651" t="s">
        <v>146</v>
      </c>
      <c r="K1651" t="str">
        <f>IFERROR(IF(AND(VLOOKUP($C1651,Hes!$A:$B, 1, FALSE), $M1651&lt;&gt;" "), "Ingresada", "Falta Ingresar"), " ")</f>
        <v xml:space="preserve"> </v>
      </c>
      <c r="L1651" s="4" t="str">
        <f>IFERROR(VLOOKUP($C1651,Observaciones!$A:$B,2,FALSE)," ")</f>
        <v xml:space="preserve"> </v>
      </c>
      <c r="M1651" t="s">
        <v>681</v>
      </c>
      <c r="O1651" s="5">
        <v>30847272</v>
      </c>
      <c r="P1651" s="5">
        <v>165076</v>
      </c>
      <c r="Q1651" s="5">
        <v>31364</v>
      </c>
      <c r="R1651" s="5">
        <v>196440</v>
      </c>
    </row>
    <row r="1652" spans="1:18" x14ac:dyDescent="0.25">
      <c r="A1652" t="s">
        <v>3</v>
      </c>
      <c r="B1652" t="s">
        <v>494</v>
      </c>
      <c r="C1652">
        <v>76329072</v>
      </c>
      <c r="D1652">
        <v>19</v>
      </c>
      <c r="E1652">
        <v>400005161</v>
      </c>
      <c r="F1652" t="s">
        <v>1134</v>
      </c>
      <c r="G1652" s="1">
        <v>45236</v>
      </c>
      <c r="H1652">
        <v>5412033</v>
      </c>
      <c r="I1652">
        <v>424</v>
      </c>
      <c r="J1652" t="s">
        <v>146</v>
      </c>
      <c r="K1652" t="str">
        <f>IFERROR(IF(AND(VLOOKUP($C1652,Hes!$A:$B, 1, FALSE), $M1652&lt;&gt;" "), "Ingresada", "Falta Ingresar"), " ")</f>
        <v xml:space="preserve"> </v>
      </c>
      <c r="L1652" s="4" t="str">
        <f>IFERROR(VLOOKUP($C1652,Observaciones!$A:$B,2,FALSE)," ")</f>
        <v xml:space="preserve"> </v>
      </c>
      <c r="M1652" t="s">
        <v>681</v>
      </c>
      <c r="O1652" s="5">
        <v>30847272</v>
      </c>
      <c r="P1652" s="5">
        <v>12363</v>
      </c>
      <c r="Q1652" s="5">
        <v>2349</v>
      </c>
      <c r="R1652" s="5">
        <v>14712</v>
      </c>
    </row>
    <row r="1653" spans="1:18" x14ac:dyDescent="0.25">
      <c r="A1653" t="s">
        <v>3</v>
      </c>
      <c r="B1653" t="s">
        <v>494</v>
      </c>
      <c r="C1653">
        <v>76329072</v>
      </c>
      <c r="D1653">
        <v>0</v>
      </c>
      <c r="E1653">
        <v>400005181</v>
      </c>
      <c r="F1653" t="s">
        <v>1134</v>
      </c>
      <c r="G1653" s="1">
        <v>45236</v>
      </c>
      <c r="H1653">
        <v>5412707</v>
      </c>
      <c r="I1653">
        <v>424</v>
      </c>
      <c r="J1653" t="s">
        <v>146</v>
      </c>
      <c r="K1653" t="str">
        <f>IFERROR(IF(AND(VLOOKUP($C1653,Hes!$A:$B, 1, FALSE), $M1653&lt;&gt;" "), "Ingresada", "Falta Ingresar"), " ")</f>
        <v xml:space="preserve"> </v>
      </c>
      <c r="L1653" s="4" t="str">
        <f>IFERROR(VLOOKUP($C1653,Observaciones!$A:$B,2,FALSE)," ")</f>
        <v xml:space="preserve"> </v>
      </c>
      <c r="M1653" t="s">
        <v>681</v>
      </c>
      <c r="O1653" s="5">
        <v>30849323</v>
      </c>
      <c r="P1653" s="5">
        <v>205393</v>
      </c>
      <c r="Q1653" s="5">
        <v>39025</v>
      </c>
      <c r="R1653" s="5">
        <v>244418</v>
      </c>
    </row>
    <row r="1654" spans="1:18" x14ac:dyDescent="0.25">
      <c r="A1654" t="s">
        <v>3</v>
      </c>
      <c r="B1654" t="s">
        <v>494</v>
      </c>
      <c r="C1654">
        <v>76329072</v>
      </c>
      <c r="D1654">
        <v>55</v>
      </c>
      <c r="E1654">
        <v>400005123</v>
      </c>
      <c r="F1654" t="s">
        <v>1134</v>
      </c>
      <c r="G1654" s="1">
        <v>45238</v>
      </c>
      <c r="H1654">
        <v>5415171</v>
      </c>
      <c r="I1654">
        <v>424</v>
      </c>
      <c r="J1654" t="s">
        <v>146</v>
      </c>
      <c r="K1654" t="str">
        <f>IFERROR(IF(AND(VLOOKUP($C1654,Hes!$A:$B, 1, FALSE), $M1654&lt;&gt;" "), "Ingresada", "Falta Ingresar"), " ")</f>
        <v xml:space="preserve"> </v>
      </c>
      <c r="L1654" s="4" t="str">
        <f>IFERROR(VLOOKUP($C1654,Observaciones!$A:$B,2,FALSE)," ")</f>
        <v xml:space="preserve"> </v>
      </c>
      <c r="M1654" t="s">
        <v>681</v>
      </c>
      <c r="O1654" s="5">
        <v>30863512</v>
      </c>
      <c r="P1654" s="5">
        <v>50490</v>
      </c>
      <c r="Q1654" s="5">
        <v>9593</v>
      </c>
      <c r="R1654" s="5">
        <v>60083</v>
      </c>
    </row>
    <row r="1655" spans="1:18" x14ac:dyDescent="0.25">
      <c r="F1655" t="s">
        <v>518</v>
      </c>
      <c r="K1655" t="str">
        <f>IFERROR(IF(AND(VLOOKUP($C1655,Hes!$A:$B, 1, FALSE), $M1655&lt;&gt;" "), "Ingresada", "Falta Ingresar"), " ")</f>
        <v xml:space="preserve"> </v>
      </c>
      <c r="L1655" s="4" t="str">
        <f>IFERROR(VLOOKUP($C1655,Observaciones!$A:$B,2,FALSE)," ")</f>
        <v xml:space="preserve"> </v>
      </c>
      <c r="M1655" t="s">
        <v>681</v>
      </c>
      <c r="P1655" s="5">
        <v>3791434</v>
      </c>
      <c r="Q1655" s="5">
        <v>720372</v>
      </c>
      <c r="R1655" s="5">
        <v>4514413</v>
      </c>
    </row>
    <row r="1656" spans="1:18" x14ac:dyDescent="0.25">
      <c r="A1656" t="s">
        <v>496</v>
      </c>
      <c r="B1656" t="s">
        <v>494</v>
      </c>
      <c r="C1656">
        <v>76329080</v>
      </c>
      <c r="D1656">
        <v>0</v>
      </c>
      <c r="E1656">
        <v>30854488</v>
      </c>
      <c r="F1656" t="s">
        <v>1135</v>
      </c>
      <c r="G1656" s="1">
        <v>45236</v>
      </c>
      <c r="H1656">
        <v>5412948</v>
      </c>
      <c r="I1656">
        <v>41</v>
      </c>
      <c r="J1656" t="s">
        <v>307</v>
      </c>
      <c r="K1656" t="str">
        <f>IFERROR(IF(AND(VLOOKUP($C1656,Hes!$A:$B, 1, FALSE), $M1656&lt;&gt;" "), "Ingresada", "Falta Ingresar"), " ")</f>
        <v xml:space="preserve"> </v>
      </c>
      <c r="L1656" s="4" t="str">
        <f>IFERROR(VLOOKUP($C1656,Observaciones!$A:$B,2,FALSE)," ")</f>
        <v xml:space="preserve"> </v>
      </c>
      <c r="M1656" t="s">
        <v>681</v>
      </c>
      <c r="O1656" s="5">
        <v>30854488</v>
      </c>
      <c r="P1656" s="5">
        <v>240629</v>
      </c>
      <c r="Q1656" s="5">
        <v>45720</v>
      </c>
      <c r="R1656" s="5">
        <v>286349</v>
      </c>
    </row>
    <row r="1657" spans="1:18" x14ac:dyDescent="0.25">
      <c r="A1657" t="s">
        <v>496</v>
      </c>
      <c r="B1657" t="s">
        <v>494</v>
      </c>
      <c r="C1657">
        <v>76329080</v>
      </c>
      <c r="D1657">
        <v>0</v>
      </c>
      <c r="E1657">
        <v>30854298</v>
      </c>
      <c r="F1657" t="s">
        <v>1135</v>
      </c>
      <c r="G1657" s="1">
        <v>45236</v>
      </c>
      <c r="H1657">
        <v>5413489</v>
      </c>
      <c r="I1657">
        <v>41</v>
      </c>
      <c r="J1657" t="s">
        <v>307</v>
      </c>
      <c r="K1657" t="str">
        <f>IFERROR(IF(AND(VLOOKUP($C1657,Hes!$A:$B, 1, FALSE), $M1657&lt;&gt;" "), "Ingresada", "Falta Ingresar"), " ")</f>
        <v xml:space="preserve"> </v>
      </c>
      <c r="L1657" s="4" t="str">
        <f>IFERROR(VLOOKUP($C1657,Observaciones!$A:$B,2,FALSE)," ")</f>
        <v xml:space="preserve"> </v>
      </c>
      <c r="M1657" t="s">
        <v>681</v>
      </c>
      <c r="O1657" s="5">
        <v>30854298</v>
      </c>
      <c r="P1657" s="5">
        <v>90940</v>
      </c>
      <c r="Q1657" s="5">
        <v>17279</v>
      </c>
      <c r="R1657" s="5">
        <v>113260</v>
      </c>
    </row>
    <row r="1658" spans="1:18" x14ac:dyDescent="0.25">
      <c r="A1658" t="s">
        <v>496</v>
      </c>
      <c r="B1658" t="s">
        <v>494</v>
      </c>
      <c r="C1658">
        <v>76329080</v>
      </c>
      <c r="D1658">
        <v>0</v>
      </c>
      <c r="E1658">
        <v>30857015</v>
      </c>
      <c r="F1658" t="s">
        <v>1135</v>
      </c>
      <c r="G1658" s="1">
        <v>45236</v>
      </c>
      <c r="H1658">
        <v>5413688</v>
      </c>
      <c r="I1658">
        <v>41</v>
      </c>
      <c r="J1658" t="s">
        <v>307</v>
      </c>
      <c r="K1658" t="str">
        <f>IFERROR(IF(AND(VLOOKUP($C1658,Hes!$A:$B, 1, FALSE), $M1658&lt;&gt;" "), "Ingresada", "Falta Ingresar"), " ")</f>
        <v xml:space="preserve"> </v>
      </c>
      <c r="L1658" s="4" t="str">
        <f>IFERROR(VLOOKUP($C1658,Observaciones!$A:$B,2,FALSE)," ")</f>
        <v xml:space="preserve"> </v>
      </c>
      <c r="M1658" t="s">
        <v>681</v>
      </c>
      <c r="O1658" s="5">
        <v>30857015</v>
      </c>
      <c r="P1658" s="5">
        <v>68381</v>
      </c>
      <c r="Q1658" s="5">
        <v>12992</v>
      </c>
      <c r="R1658" s="5">
        <v>81373</v>
      </c>
    </row>
    <row r="1659" spans="1:18" x14ac:dyDescent="0.25">
      <c r="F1659" t="s">
        <v>500</v>
      </c>
      <c r="K1659" t="str">
        <f>IFERROR(IF(AND(VLOOKUP($C1659,Hes!$A:$B, 1, FALSE), $M1659&lt;&gt;" "), "Ingresada", "Falta Ingresar"), " ")</f>
        <v xml:space="preserve"> </v>
      </c>
      <c r="L1659" s="4" t="str">
        <f>IFERROR(VLOOKUP($C1659,Observaciones!$A:$B,2,FALSE)," ")</f>
        <v xml:space="preserve"> </v>
      </c>
      <c r="M1659" t="s">
        <v>681</v>
      </c>
      <c r="P1659" s="5">
        <v>399950</v>
      </c>
      <c r="Q1659" s="5">
        <v>75991</v>
      </c>
      <c r="R1659" s="5">
        <v>480982</v>
      </c>
    </row>
    <row r="1660" spans="1:18" x14ac:dyDescent="0.25">
      <c r="A1660" t="s">
        <v>501</v>
      </c>
      <c r="B1660" t="s">
        <v>494</v>
      </c>
      <c r="C1660">
        <v>76339414</v>
      </c>
      <c r="D1660">
        <v>0</v>
      </c>
      <c r="E1660">
        <v>30850158</v>
      </c>
      <c r="F1660" t="s">
        <v>1136</v>
      </c>
      <c r="G1660" s="1">
        <v>45233</v>
      </c>
      <c r="H1660">
        <v>5411732</v>
      </c>
      <c r="I1660">
        <v>81</v>
      </c>
      <c r="J1660" t="s">
        <v>144</v>
      </c>
      <c r="K1660" t="str">
        <f>IFERROR(IF(AND(VLOOKUP($C1660,Hes!$A:$B, 1, FALSE), $M1660&lt;&gt;" "), "Ingresada", "Falta Ingresar"), " ")</f>
        <v xml:space="preserve"> </v>
      </c>
      <c r="L1660" s="4" t="str">
        <f>IFERROR(VLOOKUP($C1660,Observaciones!$A:$B,2,FALSE)," ")</f>
        <v xml:space="preserve"> </v>
      </c>
      <c r="M1660" t="s">
        <v>681</v>
      </c>
      <c r="O1660" s="5">
        <v>30850158</v>
      </c>
      <c r="P1660" s="5">
        <v>218215</v>
      </c>
      <c r="Q1660" s="5">
        <v>41461</v>
      </c>
      <c r="R1660" s="5">
        <v>262878</v>
      </c>
    </row>
    <row r="1661" spans="1:18" x14ac:dyDescent="0.25">
      <c r="F1661" t="s">
        <v>495</v>
      </c>
      <c r="K1661" t="str">
        <f>IFERROR(IF(AND(VLOOKUP($C1661,Hes!$A:$B, 1, FALSE), $M1661&lt;&gt;" "), "Ingresada", "Falta Ingresar"), " ")</f>
        <v xml:space="preserve"> </v>
      </c>
      <c r="L1661" s="4" t="str">
        <f>IFERROR(VLOOKUP($C1661,Observaciones!$A:$B,2,FALSE)," ")</f>
        <v xml:space="preserve"> </v>
      </c>
      <c r="M1661" t="s">
        <v>681</v>
      </c>
      <c r="P1661" s="5">
        <v>218215</v>
      </c>
      <c r="Q1661" s="5">
        <v>41461</v>
      </c>
      <c r="R1661" s="5">
        <v>262878</v>
      </c>
    </row>
    <row r="1662" spans="1:18" x14ac:dyDescent="0.25">
      <c r="A1662" t="s">
        <v>503</v>
      </c>
      <c r="B1662" t="s">
        <v>494</v>
      </c>
      <c r="C1662">
        <v>76362176</v>
      </c>
      <c r="D1662">
        <v>0</v>
      </c>
      <c r="E1662" t="s">
        <v>1137</v>
      </c>
      <c r="F1662" t="s">
        <v>1138</v>
      </c>
      <c r="G1662" s="1">
        <v>45233</v>
      </c>
      <c r="H1662">
        <v>5411306</v>
      </c>
      <c r="I1662">
        <v>41</v>
      </c>
      <c r="J1662" t="s">
        <v>307</v>
      </c>
      <c r="K1662" t="str">
        <f>IFERROR(IF(AND(VLOOKUP($C1662,Hes!$A:$B, 1, FALSE), $M1662&lt;&gt;" "), "Ingresada", "Falta Ingresar"), " ")</f>
        <v xml:space="preserve"> </v>
      </c>
      <c r="L1662" s="4" t="str">
        <f>IFERROR(VLOOKUP($C1662,Observaciones!$A:$B,2,FALSE)," ")</f>
        <v xml:space="preserve"> </v>
      </c>
      <c r="M1662" t="s">
        <v>681</v>
      </c>
      <c r="O1662" s="5">
        <v>30835180</v>
      </c>
      <c r="P1662" s="5">
        <v>433520</v>
      </c>
      <c r="Q1662" s="5">
        <v>82369</v>
      </c>
      <c r="R1662" s="5">
        <v>515889</v>
      </c>
    </row>
    <row r="1663" spans="1:18" x14ac:dyDescent="0.25">
      <c r="F1663" t="s">
        <v>495</v>
      </c>
      <c r="K1663" t="str">
        <f>IFERROR(IF(AND(VLOOKUP($C1663,Hes!$A:$B, 1, FALSE), $M1663&lt;&gt;" "), "Ingresada", "Falta Ingresar"), " ")</f>
        <v xml:space="preserve"> </v>
      </c>
      <c r="L1663" s="4" t="str">
        <f>IFERROR(VLOOKUP($C1663,Observaciones!$A:$B,2,FALSE)," ")</f>
        <v xml:space="preserve"> </v>
      </c>
      <c r="M1663" t="s">
        <v>681</v>
      </c>
      <c r="P1663" s="5">
        <v>433520</v>
      </c>
      <c r="Q1663" s="5">
        <v>82369</v>
      </c>
      <c r="R1663" s="5">
        <v>515889</v>
      </c>
    </row>
    <row r="1664" spans="1:18" x14ac:dyDescent="0.25">
      <c r="C1664">
        <v>76363060</v>
      </c>
      <c r="D1664">
        <v>0</v>
      </c>
      <c r="E1664">
        <v>30860390</v>
      </c>
      <c r="F1664" t="s">
        <v>1139</v>
      </c>
      <c r="G1664" s="1">
        <v>45237</v>
      </c>
      <c r="H1664">
        <v>5414363</v>
      </c>
      <c r="I1664">
        <v>42</v>
      </c>
      <c r="J1664" t="s">
        <v>297</v>
      </c>
      <c r="K1664" s="8" t="str">
        <f>IFERROR(IF(AND(VLOOKUP($C1664,Hes!$A:$B, 1, FALSE), $M1664&lt;&gt;" "), "Ingresada", "Falta Ingresar"), " ")</f>
        <v>Falta Ingresar</v>
      </c>
      <c r="L1664" s="4" t="s">
        <v>681</v>
      </c>
      <c r="M1664" t="s">
        <v>681</v>
      </c>
      <c r="N1664" s="5" t="s">
        <v>841</v>
      </c>
      <c r="O1664" s="5">
        <v>30860390</v>
      </c>
      <c r="P1664" s="5">
        <v>104171</v>
      </c>
      <c r="Q1664" s="5">
        <v>19792</v>
      </c>
      <c r="R1664" s="5">
        <v>123963</v>
      </c>
    </row>
    <row r="1665" spans="1:18" x14ac:dyDescent="0.25">
      <c r="F1665" t="s">
        <v>495</v>
      </c>
      <c r="K1665" t="str">
        <f>IFERROR(IF(AND(VLOOKUP($C1665,Hes!$A:$B, 1, FALSE), $M1665&lt;&gt;" "), "Ingresada", "Falta Ingresar"), " ")</f>
        <v xml:space="preserve"> </v>
      </c>
      <c r="L1665" s="4" t="str">
        <f>IFERROR(VLOOKUP($C1665,Observaciones!$A:$B,2,FALSE)," ")</f>
        <v xml:space="preserve"> </v>
      </c>
      <c r="M1665" t="s">
        <v>681</v>
      </c>
      <c r="P1665" s="5">
        <v>104171</v>
      </c>
      <c r="Q1665" s="5">
        <v>19792</v>
      </c>
      <c r="R1665" s="5">
        <v>123963</v>
      </c>
    </row>
    <row r="1666" spans="1:18" x14ac:dyDescent="0.25">
      <c r="A1666" t="s">
        <v>503</v>
      </c>
      <c r="B1666" t="s">
        <v>494</v>
      </c>
      <c r="C1666">
        <v>76376573</v>
      </c>
      <c r="D1666">
        <v>0</v>
      </c>
      <c r="E1666">
        <v>698846</v>
      </c>
      <c r="F1666" t="s">
        <v>1140</v>
      </c>
      <c r="G1666" s="1">
        <v>45231</v>
      </c>
      <c r="H1666">
        <v>5410857</v>
      </c>
      <c r="I1666">
        <v>37</v>
      </c>
      <c r="J1666" t="s">
        <v>156</v>
      </c>
      <c r="K1666" t="str">
        <f>IFERROR(IF(AND(VLOOKUP($C1666,Hes!$A:$B, 1, FALSE), $M1666&lt;&gt;" "), "Ingresada", "Falta Ingresar"), " ")</f>
        <v xml:space="preserve"> </v>
      </c>
      <c r="L1666" s="4" t="str">
        <f>IFERROR(VLOOKUP($C1666,Observaciones!$A:$B,2,FALSE)," ")</f>
        <v>MANUAL XOC Y CC INDIVIDUAL</v>
      </c>
      <c r="M1666" t="s">
        <v>681</v>
      </c>
      <c r="O1666" s="5">
        <v>30836494</v>
      </c>
      <c r="P1666" s="5">
        <v>150702</v>
      </c>
      <c r="Q1666" s="5">
        <v>28633</v>
      </c>
      <c r="R1666" s="5">
        <v>179335</v>
      </c>
    </row>
    <row r="1667" spans="1:18" x14ac:dyDescent="0.25">
      <c r="A1667" t="s">
        <v>503</v>
      </c>
      <c r="B1667" t="s">
        <v>494</v>
      </c>
      <c r="C1667">
        <v>76376573</v>
      </c>
      <c r="D1667">
        <v>2</v>
      </c>
      <c r="E1667">
        <v>698981</v>
      </c>
      <c r="F1667" t="s">
        <v>1140</v>
      </c>
      <c r="G1667" s="1">
        <v>45236</v>
      </c>
      <c r="H1667">
        <v>5411946</v>
      </c>
      <c r="I1667">
        <v>37</v>
      </c>
      <c r="J1667" t="s">
        <v>156</v>
      </c>
      <c r="K1667" t="str">
        <f>IFERROR(IF(AND(VLOOKUP($C1667,Hes!$A:$B, 1, FALSE), $M1667&lt;&gt;" "), "Ingresada", "Falta Ingresar"), " ")</f>
        <v xml:space="preserve"> </v>
      </c>
      <c r="L1667" s="4" t="str">
        <f>IFERROR(VLOOKUP($C1667,Observaciones!$A:$B,2,FALSE)," ")</f>
        <v>MANUAL XOC Y CC INDIVIDUAL</v>
      </c>
      <c r="M1667" t="s">
        <v>681</v>
      </c>
      <c r="O1667" s="5">
        <v>30832042</v>
      </c>
      <c r="P1667" s="5">
        <v>175025</v>
      </c>
      <c r="Q1667" s="5">
        <v>33255</v>
      </c>
      <c r="R1667" s="5">
        <v>208280</v>
      </c>
    </row>
    <row r="1668" spans="1:18" x14ac:dyDescent="0.25">
      <c r="A1668" t="s">
        <v>503</v>
      </c>
      <c r="B1668" t="s">
        <v>494</v>
      </c>
      <c r="C1668">
        <v>76376573</v>
      </c>
      <c r="D1668">
        <v>2</v>
      </c>
      <c r="E1668">
        <v>698845</v>
      </c>
      <c r="F1668" t="s">
        <v>1140</v>
      </c>
      <c r="G1668" s="1">
        <v>45236</v>
      </c>
      <c r="H1668">
        <v>5411959</v>
      </c>
      <c r="I1668">
        <v>37</v>
      </c>
      <c r="J1668" t="s">
        <v>156</v>
      </c>
      <c r="K1668" t="str">
        <f>IFERROR(IF(AND(VLOOKUP($C1668,Hes!$A:$B, 1, FALSE), $M1668&lt;&gt;" "), "Ingresada", "Falta Ingresar"), " ")</f>
        <v xml:space="preserve"> </v>
      </c>
      <c r="L1668" s="4" t="str">
        <f>IFERROR(VLOOKUP($C1668,Observaciones!$A:$B,2,FALSE)," ")</f>
        <v>MANUAL XOC Y CC INDIVIDUAL</v>
      </c>
      <c r="M1668" t="s">
        <v>681</v>
      </c>
      <c r="O1668" s="5">
        <v>30833508</v>
      </c>
      <c r="P1668" s="5">
        <v>517597</v>
      </c>
      <c r="Q1668" s="5">
        <v>98343</v>
      </c>
      <c r="R1668" s="5">
        <v>615940</v>
      </c>
    </row>
    <row r="1669" spans="1:18" x14ac:dyDescent="0.25">
      <c r="A1669" t="s">
        <v>503</v>
      </c>
      <c r="B1669" t="s">
        <v>494</v>
      </c>
      <c r="C1669">
        <v>76376573</v>
      </c>
      <c r="D1669">
        <v>2</v>
      </c>
      <c r="E1669">
        <v>698845</v>
      </c>
      <c r="F1669" t="s">
        <v>1140</v>
      </c>
      <c r="G1669" s="1">
        <v>45236</v>
      </c>
      <c r="H1669">
        <v>5411960</v>
      </c>
      <c r="I1669">
        <v>37</v>
      </c>
      <c r="J1669" t="s">
        <v>156</v>
      </c>
      <c r="K1669" t="str">
        <f>IFERROR(IF(AND(VLOOKUP($C1669,Hes!$A:$B, 1, FALSE), $M1669&lt;&gt;" "), "Ingresada", "Falta Ingresar"), " ")</f>
        <v xml:space="preserve"> </v>
      </c>
      <c r="L1669" s="4" t="str">
        <f>IFERROR(VLOOKUP($C1669,Observaciones!$A:$B,2,FALSE)," ")</f>
        <v>MANUAL XOC Y CC INDIVIDUAL</v>
      </c>
      <c r="M1669" t="s">
        <v>681</v>
      </c>
      <c r="O1669" s="5">
        <v>30833508</v>
      </c>
      <c r="P1669" s="5">
        <v>277089</v>
      </c>
      <c r="Q1669" s="5">
        <v>52647</v>
      </c>
      <c r="R1669" s="5">
        <v>329736</v>
      </c>
    </row>
    <row r="1670" spans="1:18" x14ac:dyDescent="0.25">
      <c r="F1670" t="s">
        <v>498</v>
      </c>
      <c r="K1670" t="str">
        <f>IFERROR(IF(AND(VLOOKUP($C1670,Hes!$A:$B, 1, FALSE), $M1670&lt;&gt;" "), "Ingresada", "Falta Ingresar"), " ")</f>
        <v xml:space="preserve"> </v>
      </c>
      <c r="L1670" s="4" t="str">
        <f>IFERROR(VLOOKUP($C1670,Observaciones!$A:$B,2,FALSE)," ")</f>
        <v xml:space="preserve"> </v>
      </c>
      <c r="M1670" t="s">
        <v>681</v>
      </c>
      <c r="P1670" s="5">
        <v>1120413</v>
      </c>
      <c r="Q1670" s="5">
        <v>212878</v>
      </c>
      <c r="R1670" s="5">
        <v>1333291</v>
      </c>
    </row>
    <row r="1671" spans="1:18" x14ac:dyDescent="0.25">
      <c r="A1671" t="s">
        <v>503</v>
      </c>
      <c r="B1671" t="s">
        <v>494</v>
      </c>
      <c r="C1671">
        <v>76377649</v>
      </c>
      <c r="D1671">
        <v>13</v>
      </c>
      <c r="E1671">
        <v>121178</v>
      </c>
      <c r="F1671" t="s">
        <v>548</v>
      </c>
      <c r="G1671" s="1">
        <v>45237</v>
      </c>
      <c r="H1671">
        <v>5414870</v>
      </c>
      <c r="I1671">
        <v>414</v>
      </c>
      <c r="J1671" t="s">
        <v>281</v>
      </c>
      <c r="K1671" s="8" t="str">
        <f>IFERROR(IF(AND(VLOOKUP($C1671,Hes!$A:$B, 1, FALSE), $M1671&lt;&gt;" "), "Ingresada", "Falta Ingresar"), " ")</f>
        <v>Falta Ingresar</v>
      </c>
      <c r="L1671" s="4" t="s">
        <v>681</v>
      </c>
      <c r="M1671" t="s">
        <v>681</v>
      </c>
      <c r="N1671" s="5" t="s">
        <v>841</v>
      </c>
      <c r="O1671" s="5">
        <v>30849369</v>
      </c>
      <c r="P1671" s="5">
        <v>235017</v>
      </c>
      <c r="Q1671" s="5">
        <v>44653</v>
      </c>
      <c r="R1671" s="5">
        <v>279670</v>
      </c>
    </row>
    <row r="1672" spans="1:18" x14ac:dyDescent="0.25">
      <c r="F1672" t="s">
        <v>495</v>
      </c>
      <c r="K1672" t="str">
        <f>IFERROR(IF(AND(VLOOKUP($C1672,Hes!$A:$B, 1, FALSE), $M1672&lt;&gt;" "), "Ingresada", "Falta Ingresar"), " ")</f>
        <v xml:space="preserve"> </v>
      </c>
      <c r="L1672" s="4" t="str">
        <f>IFERROR(VLOOKUP($C1672,Observaciones!$A:$B,2,FALSE)," ")</f>
        <v xml:space="preserve"> </v>
      </c>
      <c r="M1672" t="s">
        <v>681</v>
      </c>
      <c r="P1672" s="5">
        <v>235017</v>
      </c>
      <c r="Q1672" s="5">
        <v>44653</v>
      </c>
      <c r="R1672" s="5">
        <v>279670</v>
      </c>
    </row>
    <row r="1673" spans="1:18" x14ac:dyDescent="0.25">
      <c r="A1673" t="s">
        <v>513</v>
      </c>
      <c r="B1673" t="s">
        <v>494</v>
      </c>
      <c r="C1673">
        <v>76381335</v>
      </c>
      <c r="D1673">
        <v>7</v>
      </c>
      <c r="E1673">
        <v>30864743</v>
      </c>
      <c r="F1673" t="s">
        <v>1141</v>
      </c>
      <c r="G1673" s="1">
        <v>45238</v>
      </c>
      <c r="H1673">
        <v>5415714</v>
      </c>
      <c r="I1673">
        <v>179</v>
      </c>
      <c r="J1673" t="s">
        <v>410</v>
      </c>
      <c r="K1673" t="str">
        <f>IFERROR(IF(AND(VLOOKUP($C1673,Hes!$A:$B, 1, FALSE), $M1673&lt;&gt;" "), "Ingresada", "Falta Ingresar"), " ")</f>
        <v xml:space="preserve"> </v>
      </c>
      <c r="L1673" s="4" t="str">
        <f>IFERROR(VLOOKUP($C1673,Observaciones!$A:$B,2,FALSE)," ")</f>
        <v xml:space="preserve"> </v>
      </c>
      <c r="M1673" t="s">
        <v>681</v>
      </c>
      <c r="O1673" s="5">
        <v>30864743</v>
      </c>
      <c r="P1673" s="5">
        <v>220114</v>
      </c>
      <c r="Q1673" s="5">
        <v>41822</v>
      </c>
      <c r="R1673" s="5">
        <v>261936</v>
      </c>
    </row>
    <row r="1674" spans="1:18" x14ac:dyDescent="0.25">
      <c r="F1674" t="s">
        <v>495</v>
      </c>
      <c r="K1674" t="str">
        <f>IFERROR(IF(AND(VLOOKUP($C1674,Hes!$A:$B, 1, FALSE), $M1674&lt;&gt;" "), "Ingresada", "Falta Ingresar"), " ")</f>
        <v xml:space="preserve"> </v>
      </c>
      <c r="L1674" s="4" t="str">
        <f>IFERROR(VLOOKUP($C1674,Observaciones!$A:$B,2,FALSE)," ")</f>
        <v xml:space="preserve"> </v>
      </c>
      <c r="M1674" t="s">
        <v>681</v>
      </c>
      <c r="P1674" s="5">
        <v>220114</v>
      </c>
      <c r="Q1674" s="5">
        <v>41822</v>
      </c>
      <c r="R1674" s="5">
        <v>261936</v>
      </c>
    </row>
    <row r="1675" spans="1:18" x14ac:dyDescent="0.25">
      <c r="A1675" t="s">
        <v>549</v>
      </c>
      <c r="B1675" t="s">
        <v>494</v>
      </c>
      <c r="C1675">
        <v>76388223</v>
      </c>
      <c r="D1675">
        <v>26</v>
      </c>
      <c r="E1675">
        <v>30853335</v>
      </c>
      <c r="F1675" t="s">
        <v>1142</v>
      </c>
      <c r="G1675" s="1">
        <v>45236</v>
      </c>
      <c r="H1675">
        <v>5412690</v>
      </c>
      <c r="I1675">
        <v>72</v>
      </c>
      <c r="J1675" t="s">
        <v>176</v>
      </c>
      <c r="K1675" t="str">
        <f>IFERROR(IF(AND(VLOOKUP($C1675,Hes!$A:$B, 1, FALSE), $M1675&lt;&gt;" "), "Ingresada", "Falta Ingresar"), " ")</f>
        <v xml:space="preserve"> </v>
      </c>
      <c r="L1675" s="4" t="str">
        <f>IFERROR(VLOOKUP($C1675,Observaciones!$A:$B,2,FALSE)," ")</f>
        <v>LLAMAR A VICTOR Y CONSULTAR XOC</v>
      </c>
      <c r="M1675" t="s">
        <v>681</v>
      </c>
      <c r="O1675" s="5">
        <v>30853335</v>
      </c>
      <c r="P1675" s="5">
        <v>28024</v>
      </c>
      <c r="Q1675" s="5">
        <v>5325</v>
      </c>
      <c r="R1675" s="5">
        <v>33349</v>
      </c>
    </row>
    <row r="1676" spans="1:18" x14ac:dyDescent="0.25">
      <c r="A1676" t="s">
        <v>549</v>
      </c>
      <c r="B1676" t="s">
        <v>494</v>
      </c>
      <c r="C1676">
        <v>76388223</v>
      </c>
      <c r="D1676">
        <v>27</v>
      </c>
      <c r="E1676">
        <v>30853337</v>
      </c>
      <c r="F1676" t="s">
        <v>1142</v>
      </c>
      <c r="G1676" s="1">
        <v>45236</v>
      </c>
      <c r="H1676">
        <v>5413421</v>
      </c>
      <c r="I1676">
        <v>72</v>
      </c>
      <c r="J1676" t="s">
        <v>176</v>
      </c>
      <c r="K1676" t="str">
        <f>IFERROR(IF(AND(VLOOKUP($C1676,Hes!$A:$B, 1, FALSE), $M1676&lt;&gt;" "), "Ingresada", "Falta Ingresar"), " ")</f>
        <v xml:space="preserve"> </v>
      </c>
      <c r="L1676" s="4" t="str">
        <f>IFERROR(VLOOKUP($C1676,Observaciones!$A:$B,2,FALSE)," ")</f>
        <v>LLAMAR A VICTOR Y CONSULTAR XOC</v>
      </c>
      <c r="M1676" t="s">
        <v>681</v>
      </c>
      <c r="O1676" s="5">
        <v>30853337</v>
      </c>
      <c r="P1676" s="5">
        <v>401667</v>
      </c>
      <c r="Q1676" s="5">
        <v>76317</v>
      </c>
      <c r="R1676" s="5">
        <v>477984</v>
      </c>
    </row>
    <row r="1677" spans="1:18" x14ac:dyDescent="0.25">
      <c r="A1677" t="s">
        <v>549</v>
      </c>
      <c r="B1677" t="s">
        <v>494</v>
      </c>
      <c r="C1677">
        <v>76388223</v>
      </c>
      <c r="D1677">
        <v>5</v>
      </c>
      <c r="E1677">
        <v>30863143</v>
      </c>
      <c r="F1677" t="s">
        <v>1142</v>
      </c>
      <c r="G1677" s="1">
        <v>45238</v>
      </c>
      <c r="H1677">
        <v>5415601</v>
      </c>
      <c r="I1677">
        <v>72</v>
      </c>
      <c r="J1677" t="s">
        <v>176</v>
      </c>
      <c r="K1677" t="str">
        <f>IFERROR(IF(AND(VLOOKUP($C1677,Hes!$A:$B, 1, FALSE), $M1677&lt;&gt;" "), "Ingresada", "Falta Ingresar"), " ")</f>
        <v xml:space="preserve"> </v>
      </c>
      <c r="L1677" s="4" t="str">
        <f>IFERROR(VLOOKUP($C1677,Observaciones!$A:$B,2,FALSE)," ")</f>
        <v>LLAMAR A VICTOR Y CONSULTAR XOC</v>
      </c>
      <c r="M1677" t="s">
        <v>681</v>
      </c>
      <c r="O1677" s="5">
        <v>30863143</v>
      </c>
      <c r="P1677" s="5">
        <v>39961</v>
      </c>
      <c r="Q1677" s="5">
        <v>7593</v>
      </c>
      <c r="R1677" s="5">
        <v>47554</v>
      </c>
    </row>
    <row r="1678" spans="1:18" x14ac:dyDescent="0.25">
      <c r="F1678" t="s">
        <v>500</v>
      </c>
      <c r="K1678" t="str">
        <f>IFERROR(IF(AND(VLOOKUP($C1678,Hes!$A:$B, 1, FALSE), $M1678&lt;&gt;" "), "Ingresada", "Falta Ingresar"), " ")</f>
        <v xml:space="preserve"> </v>
      </c>
      <c r="L1678" s="4" t="str">
        <f>IFERROR(VLOOKUP($C1678,Observaciones!$A:$B,2,FALSE)," ")</f>
        <v xml:space="preserve"> </v>
      </c>
      <c r="M1678" t="s">
        <v>681</v>
      </c>
      <c r="P1678" s="5">
        <v>469652</v>
      </c>
      <c r="Q1678" s="5">
        <v>89235</v>
      </c>
      <c r="R1678" s="5">
        <v>558887</v>
      </c>
    </row>
    <row r="1679" spans="1:18" x14ac:dyDescent="0.25">
      <c r="A1679" t="s">
        <v>496</v>
      </c>
      <c r="B1679" t="s">
        <v>494</v>
      </c>
      <c r="C1679">
        <v>76399128</v>
      </c>
      <c r="D1679">
        <v>0</v>
      </c>
      <c r="E1679">
        <v>30848356</v>
      </c>
      <c r="F1679" t="s">
        <v>1143</v>
      </c>
      <c r="G1679" s="1">
        <v>45232</v>
      </c>
      <c r="H1679">
        <v>5411214</v>
      </c>
      <c r="I1679">
        <v>96</v>
      </c>
      <c r="J1679" t="s">
        <v>140</v>
      </c>
      <c r="K1679" t="str">
        <f>IFERROR(IF(AND(VLOOKUP($C1679,Hes!$A:$B, 1, FALSE), $M1679&lt;&gt;" "), "Ingresada", "Falta Ingresar"), " ")</f>
        <v xml:space="preserve"> </v>
      </c>
      <c r="L1679" s="4" t="s">
        <v>681</v>
      </c>
      <c r="M1679" t="s">
        <v>681</v>
      </c>
      <c r="O1679" s="5">
        <v>30848356</v>
      </c>
      <c r="P1679" s="5">
        <v>220916</v>
      </c>
      <c r="Q1679" s="5">
        <v>41974</v>
      </c>
      <c r="R1679" s="5">
        <v>262890</v>
      </c>
    </row>
    <row r="1680" spans="1:18" x14ac:dyDescent="0.25">
      <c r="A1680" t="s">
        <v>496</v>
      </c>
      <c r="B1680" t="s">
        <v>494</v>
      </c>
      <c r="C1680">
        <v>76399128</v>
      </c>
      <c r="D1680">
        <v>0</v>
      </c>
      <c r="E1680">
        <v>30861356</v>
      </c>
      <c r="F1680" t="s">
        <v>1143</v>
      </c>
      <c r="G1680" s="1">
        <v>45237</v>
      </c>
      <c r="H1680">
        <v>5414405</v>
      </c>
      <c r="I1680">
        <v>96</v>
      </c>
      <c r="J1680" t="s">
        <v>140</v>
      </c>
      <c r="K1680" t="str">
        <f>IFERROR(IF(AND(VLOOKUP($C1680,Hes!$A:$B, 1, FALSE), $M1680&lt;&gt;" "), "Ingresada", "Falta Ingresar"), " ")</f>
        <v xml:space="preserve"> </v>
      </c>
      <c r="L1680" s="4" t="s">
        <v>681</v>
      </c>
      <c r="M1680" t="s">
        <v>681</v>
      </c>
      <c r="O1680" s="5">
        <v>30861356</v>
      </c>
      <c r="P1680" s="5">
        <v>20732</v>
      </c>
      <c r="Q1680" s="5">
        <v>3939</v>
      </c>
      <c r="R1680" s="5">
        <v>24671</v>
      </c>
    </row>
    <row r="1681" spans="1:18" x14ac:dyDescent="0.25">
      <c r="F1681" t="s">
        <v>497</v>
      </c>
      <c r="K1681" t="str">
        <f>IFERROR(IF(AND(VLOOKUP($C1681,Hes!$A:$B, 1, FALSE), $M1681&lt;&gt;" "), "Ingresada", "Falta Ingresar"), " ")</f>
        <v xml:space="preserve"> </v>
      </c>
      <c r="L1681" s="4" t="str">
        <f>IFERROR(VLOOKUP($C1681,Observaciones!$A:$B,2,FALSE)," ")</f>
        <v xml:space="preserve"> </v>
      </c>
      <c r="M1681" t="s">
        <v>681</v>
      </c>
      <c r="P1681" s="5">
        <v>241648</v>
      </c>
      <c r="Q1681" s="5">
        <v>45913</v>
      </c>
      <c r="R1681" s="5">
        <v>287561</v>
      </c>
    </row>
    <row r="1682" spans="1:18" x14ac:dyDescent="0.25">
      <c r="A1682" t="s">
        <v>881</v>
      </c>
      <c r="B1682" t="s">
        <v>508</v>
      </c>
      <c r="C1682">
        <v>76404236</v>
      </c>
      <c r="D1682">
        <v>0</v>
      </c>
      <c r="E1682">
        <v>30849996</v>
      </c>
      <c r="F1682" t="s">
        <v>1144</v>
      </c>
      <c r="G1682" s="1">
        <v>45234</v>
      </c>
      <c r="H1682">
        <v>5411841</v>
      </c>
      <c r="I1682">
        <v>60</v>
      </c>
      <c r="J1682" t="s">
        <v>269</v>
      </c>
      <c r="K1682" t="str">
        <f>IFERROR(IF(AND(VLOOKUP($C1682,Hes!$A:$B, 1, FALSE), $M1682&lt;&gt;" "), "Ingresada", "Falta Ingresar"), " ")</f>
        <v xml:space="preserve"> </v>
      </c>
      <c r="L1682" s="4" t="str">
        <f>IFERROR(VLOOKUP($C1682,Observaciones!$A:$B,2,FALSE)," ")</f>
        <v xml:space="preserve"> </v>
      </c>
      <c r="M1682" t="s">
        <v>681</v>
      </c>
      <c r="O1682" s="5">
        <v>30849996</v>
      </c>
      <c r="P1682" s="5">
        <v>35360</v>
      </c>
      <c r="Q1682" s="5">
        <v>6718</v>
      </c>
      <c r="R1682" s="5">
        <v>42078</v>
      </c>
    </row>
    <row r="1683" spans="1:18" x14ac:dyDescent="0.25">
      <c r="F1683" t="s">
        <v>495</v>
      </c>
      <c r="K1683" t="str">
        <f>IFERROR(IF(AND(VLOOKUP($C1683,Hes!$A:$B, 1, FALSE), $M1683&lt;&gt;" "), "Ingresada", "Falta Ingresar"), " ")</f>
        <v xml:space="preserve"> </v>
      </c>
      <c r="L1683" s="4" t="str">
        <f>IFERROR(VLOOKUP($C1683,Observaciones!$A:$B,2,FALSE)," ")</f>
        <v xml:space="preserve"> </v>
      </c>
      <c r="M1683" t="s">
        <v>681</v>
      </c>
      <c r="P1683" s="5">
        <v>35360</v>
      </c>
      <c r="Q1683" s="5">
        <v>6718</v>
      </c>
      <c r="R1683" s="5">
        <v>42078</v>
      </c>
    </row>
    <row r="1684" spans="1:18" x14ac:dyDescent="0.25">
      <c r="A1684" t="s">
        <v>501</v>
      </c>
      <c r="B1684" t="s">
        <v>494</v>
      </c>
      <c r="C1684">
        <v>76410146</v>
      </c>
      <c r="D1684">
        <v>0</v>
      </c>
      <c r="E1684">
        <v>30846209</v>
      </c>
      <c r="F1684" t="s">
        <v>1145</v>
      </c>
      <c r="G1684" s="1">
        <v>45231</v>
      </c>
      <c r="H1684">
        <v>5410879</v>
      </c>
      <c r="I1684">
        <v>464</v>
      </c>
      <c r="J1684" t="s">
        <v>127</v>
      </c>
      <c r="K1684" t="str">
        <f>IFERROR(IF(AND(VLOOKUP($C1684,Hes!$A:$B, 1, FALSE), $M1684&lt;&gt;" "), "Ingresada", "Falta Ingresar"), " ")</f>
        <v xml:space="preserve"> </v>
      </c>
      <c r="L1684" s="4" t="str">
        <f>IFERROR(VLOOKUP($C1684,Observaciones!$A:$B,2,FALSE)," ")</f>
        <v xml:space="preserve"> </v>
      </c>
      <c r="M1684" t="s">
        <v>681</v>
      </c>
      <c r="O1684" s="5">
        <v>30846209</v>
      </c>
      <c r="P1684" s="5">
        <v>76876</v>
      </c>
      <c r="Q1684" s="5">
        <v>14606</v>
      </c>
      <c r="R1684" s="5">
        <v>91482</v>
      </c>
    </row>
    <row r="1685" spans="1:18" x14ac:dyDescent="0.25">
      <c r="F1685" t="s">
        <v>495</v>
      </c>
      <c r="K1685" t="str">
        <f>IFERROR(IF(AND(VLOOKUP($C1685,Hes!$A:$B, 1, FALSE), $M1685&lt;&gt;" "), "Ingresada", "Falta Ingresar"), " ")</f>
        <v xml:space="preserve"> </v>
      </c>
      <c r="L1685" s="4" t="str">
        <f>IFERROR(VLOOKUP($C1685,Observaciones!$A:$B,2,FALSE)," ")</f>
        <v xml:space="preserve"> </v>
      </c>
      <c r="M1685" t="s">
        <v>681</v>
      </c>
      <c r="P1685" s="5">
        <v>76876</v>
      </c>
      <c r="Q1685" s="5">
        <v>14606</v>
      </c>
      <c r="R1685" s="5">
        <v>91482</v>
      </c>
    </row>
    <row r="1686" spans="1:18" x14ac:dyDescent="0.25">
      <c r="A1686" t="s">
        <v>551</v>
      </c>
      <c r="B1686" t="s">
        <v>494</v>
      </c>
      <c r="C1686">
        <v>76411040</v>
      </c>
      <c r="D1686">
        <v>10</v>
      </c>
      <c r="E1686">
        <v>30854783</v>
      </c>
      <c r="F1686" t="s">
        <v>1146</v>
      </c>
      <c r="G1686" s="1">
        <v>45236</v>
      </c>
      <c r="H1686">
        <v>5413847</v>
      </c>
      <c r="I1686">
        <v>463</v>
      </c>
      <c r="J1686" t="s">
        <v>446</v>
      </c>
      <c r="K1686" t="str">
        <f>IFERROR(IF(AND(VLOOKUP($C1686,Hes!$A:$B, 1, FALSE), $M1686&lt;&gt;" "), "Ingresada", "Falta Ingresar"), " ")</f>
        <v xml:space="preserve"> </v>
      </c>
      <c r="L1686" s="4" t="str">
        <f>IFERROR(VLOOKUP($C1686,Observaciones!$A:$B,2,FALSE)," ")</f>
        <v xml:space="preserve"> </v>
      </c>
      <c r="M1686" t="s">
        <v>681</v>
      </c>
      <c r="O1686" s="5">
        <v>30854783</v>
      </c>
      <c r="P1686" s="5">
        <v>48247</v>
      </c>
      <c r="Q1686" s="5">
        <v>9167</v>
      </c>
      <c r="R1686" s="5">
        <v>57414</v>
      </c>
    </row>
    <row r="1687" spans="1:18" x14ac:dyDescent="0.25">
      <c r="A1687" t="s">
        <v>551</v>
      </c>
      <c r="B1687" t="s">
        <v>494</v>
      </c>
      <c r="C1687">
        <v>76411040</v>
      </c>
      <c r="D1687">
        <v>1</v>
      </c>
      <c r="E1687">
        <v>30861118</v>
      </c>
      <c r="F1687" t="s">
        <v>1146</v>
      </c>
      <c r="G1687" s="1">
        <v>45238</v>
      </c>
      <c r="H1687">
        <v>5414829</v>
      </c>
      <c r="I1687">
        <v>463</v>
      </c>
      <c r="J1687" t="s">
        <v>446</v>
      </c>
      <c r="K1687" t="str">
        <f>IFERROR(IF(AND(VLOOKUP($C1687,Hes!$A:$B, 1, FALSE), $M1687&lt;&gt;" "), "Ingresada", "Falta Ingresar"), " ")</f>
        <v xml:space="preserve"> </v>
      </c>
      <c r="L1687" s="4" t="str">
        <f>IFERROR(VLOOKUP($C1687,Observaciones!$A:$B,2,FALSE)," ")</f>
        <v xml:space="preserve"> </v>
      </c>
      <c r="M1687" t="s">
        <v>681</v>
      </c>
      <c r="O1687" s="5">
        <v>30861118</v>
      </c>
      <c r="P1687" s="5">
        <v>228241</v>
      </c>
      <c r="Q1687" s="5">
        <v>43366</v>
      </c>
      <c r="R1687" s="5">
        <v>271607</v>
      </c>
    </row>
    <row r="1688" spans="1:18" x14ac:dyDescent="0.25">
      <c r="A1688" t="s">
        <v>551</v>
      </c>
      <c r="B1688" t="s">
        <v>494</v>
      </c>
      <c r="C1688">
        <v>76411040</v>
      </c>
      <c r="D1688">
        <v>1</v>
      </c>
      <c r="E1688">
        <v>30861118</v>
      </c>
      <c r="F1688" t="s">
        <v>1146</v>
      </c>
      <c r="G1688" s="1">
        <v>45238</v>
      </c>
      <c r="H1688">
        <v>5414830</v>
      </c>
      <c r="I1688">
        <v>463</v>
      </c>
      <c r="J1688" t="s">
        <v>446</v>
      </c>
      <c r="K1688" t="str">
        <f>IFERROR(IF(AND(VLOOKUP($C1688,Hes!$A:$B, 1, FALSE), $M1688&lt;&gt;" "), "Ingresada", "Falta Ingresar"), " ")</f>
        <v xml:space="preserve"> </v>
      </c>
      <c r="L1688" s="4" t="str">
        <f>IFERROR(VLOOKUP($C1688,Observaciones!$A:$B,2,FALSE)," ")</f>
        <v xml:space="preserve"> </v>
      </c>
      <c r="M1688" t="s">
        <v>681</v>
      </c>
      <c r="O1688" s="5">
        <v>30861118</v>
      </c>
      <c r="P1688" s="5">
        <v>39116</v>
      </c>
      <c r="Q1688" s="5">
        <v>7432</v>
      </c>
      <c r="R1688" s="5">
        <v>46548</v>
      </c>
    </row>
    <row r="1689" spans="1:18" x14ac:dyDescent="0.25">
      <c r="A1689" t="s">
        <v>551</v>
      </c>
      <c r="B1689" t="s">
        <v>494</v>
      </c>
      <c r="C1689">
        <v>76411040</v>
      </c>
      <c r="D1689">
        <v>2</v>
      </c>
      <c r="E1689">
        <v>30861310</v>
      </c>
      <c r="F1689" t="s">
        <v>1146</v>
      </c>
      <c r="G1689" s="1">
        <v>45238</v>
      </c>
      <c r="H1689">
        <v>5414904</v>
      </c>
      <c r="I1689">
        <v>463</v>
      </c>
      <c r="J1689" t="s">
        <v>446</v>
      </c>
      <c r="K1689" t="str">
        <f>IFERROR(IF(AND(VLOOKUP($C1689,Hes!$A:$B, 1, FALSE), $M1689&lt;&gt;" "), "Ingresada", "Falta Ingresar"), " ")</f>
        <v xml:space="preserve"> </v>
      </c>
      <c r="L1689" s="4" t="str">
        <f>IFERROR(VLOOKUP($C1689,Observaciones!$A:$B,2,FALSE)," ")</f>
        <v xml:space="preserve"> </v>
      </c>
      <c r="M1689" t="s">
        <v>681</v>
      </c>
      <c r="O1689" s="5">
        <v>30861310</v>
      </c>
      <c r="P1689" s="5">
        <v>157315</v>
      </c>
      <c r="Q1689" s="5">
        <v>29890</v>
      </c>
      <c r="R1689" s="5">
        <v>187205</v>
      </c>
    </row>
    <row r="1690" spans="1:18" x14ac:dyDescent="0.25">
      <c r="A1690" t="s">
        <v>551</v>
      </c>
      <c r="B1690" t="s">
        <v>494</v>
      </c>
      <c r="C1690">
        <v>76411040</v>
      </c>
      <c r="D1690">
        <v>2</v>
      </c>
      <c r="E1690">
        <v>30861310</v>
      </c>
      <c r="F1690" t="s">
        <v>1146</v>
      </c>
      <c r="G1690" s="1">
        <v>45238</v>
      </c>
      <c r="H1690">
        <v>5414905</v>
      </c>
      <c r="I1690">
        <v>463</v>
      </c>
      <c r="J1690" t="s">
        <v>446</v>
      </c>
      <c r="K1690" t="str">
        <f>IFERROR(IF(AND(VLOOKUP($C1690,Hes!$A:$B, 1, FALSE), $M1690&lt;&gt;" "), "Ingresada", "Falta Ingresar"), " ")</f>
        <v xml:space="preserve"> </v>
      </c>
      <c r="L1690" s="4" t="str">
        <f>IFERROR(VLOOKUP($C1690,Observaciones!$A:$B,2,FALSE)," ")</f>
        <v xml:space="preserve"> </v>
      </c>
      <c r="M1690" t="s">
        <v>681</v>
      </c>
      <c r="O1690" s="5">
        <v>30861310</v>
      </c>
      <c r="P1690" s="5">
        <v>2414</v>
      </c>
      <c r="Q1690" s="5">
        <v>459</v>
      </c>
      <c r="R1690" s="5">
        <v>2873</v>
      </c>
    </row>
    <row r="1691" spans="1:18" x14ac:dyDescent="0.25">
      <c r="F1691" t="s">
        <v>499</v>
      </c>
      <c r="K1691" t="str">
        <f>IFERROR(IF(AND(VLOOKUP($C1691,Hes!$A:$B, 1, FALSE), $M1691&lt;&gt;" "), "Ingresada", "Falta Ingresar"), " ")</f>
        <v xml:space="preserve"> </v>
      </c>
      <c r="L1691" s="4" t="str">
        <f>IFERROR(VLOOKUP($C1691,Observaciones!$A:$B,2,FALSE)," ")</f>
        <v xml:space="preserve"> </v>
      </c>
      <c r="M1691" t="s">
        <v>681</v>
      </c>
      <c r="P1691" s="5">
        <v>475333</v>
      </c>
      <c r="Q1691" s="5">
        <v>90314</v>
      </c>
      <c r="R1691" s="5">
        <v>565647</v>
      </c>
    </row>
    <row r="1692" spans="1:18" x14ac:dyDescent="0.25">
      <c r="A1692" t="s">
        <v>496</v>
      </c>
      <c r="B1692" t="s">
        <v>494</v>
      </c>
      <c r="C1692">
        <v>76414510</v>
      </c>
      <c r="D1692">
        <v>5</v>
      </c>
      <c r="E1692">
        <v>158019</v>
      </c>
      <c r="F1692" t="s">
        <v>1147</v>
      </c>
      <c r="G1692" s="1">
        <v>45236</v>
      </c>
      <c r="H1692">
        <v>5413063</v>
      </c>
      <c r="I1692">
        <v>475</v>
      </c>
      <c r="K1692" t="str">
        <f>IFERROR(IF(AND(VLOOKUP($C1692,Hes!$A:$B, 1, FALSE), $M1692&lt;&gt;" "), "Ingresada", "Falta Ingresar"), " ")</f>
        <v xml:space="preserve"> </v>
      </c>
      <c r="L1692" s="4" t="str">
        <f>IFERROR(VLOOKUP($C1692,Observaciones!$A:$B,2,FALSE)," ")</f>
        <v xml:space="preserve"> </v>
      </c>
      <c r="M1692" t="s">
        <v>681</v>
      </c>
      <c r="O1692" s="5">
        <v>30838167</v>
      </c>
      <c r="P1692" s="5">
        <v>683606</v>
      </c>
      <c r="Q1692" s="5">
        <v>129885</v>
      </c>
      <c r="R1692" s="5">
        <v>813491</v>
      </c>
    </row>
    <row r="1693" spans="1:18" x14ac:dyDescent="0.25">
      <c r="A1693" t="s">
        <v>496</v>
      </c>
      <c r="B1693" t="s">
        <v>494</v>
      </c>
      <c r="C1693">
        <v>76414510</v>
      </c>
      <c r="D1693">
        <v>0</v>
      </c>
      <c r="E1693">
        <v>158227</v>
      </c>
      <c r="F1693" t="s">
        <v>1147</v>
      </c>
      <c r="G1693" s="1">
        <v>45237</v>
      </c>
      <c r="H1693">
        <v>5414310</v>
      </c>
      <c r="I1693">
        <v>475</v>
      </c>
      <c r="K1693" t="str">
        <f>IFERROR(IF(AND(VLOOKUP($C1693,Hes!$A:$B, 1, FALSE), $M1693&lt;&gt;" "), "Ingresada", "Falta Ingresar"), " ")</f>
        <v xml:space="preserve"> </v>
      </c>
      <c r="L1693" s="4" t="str">
        <f>IFERROR(VLOOKUP($C1693,Observaciones!$A:$B,2,FALSE)," ")</f>
        <v xml:space="preserve"> </v>
      </c>
      <c r="M1693" t="s">
        <v>681</v>
      </c>
      <c r="O1693" s="5">
        <v>30854683</v>
      </c>
      <c r="P1693" s="5">
        <v>172500</v>
      </c>
      <c r="Q1693" s="5">
        <v>32775</v>
      </c>
      <c r="R1693" s="5">
        <v>205275</v>
      </c>
    </row>
    <row r="1694" spans="1:18" x14ac:dyDescent="0.25">
      <c r="F1694" t="s">
        <v>497</v>
      </c>
      <c r="K1694" t="str">
        <f>IFERROR(IF(AND(VLOOKUP($C1694,Hes!$A:$B, 1, FALSE), $M1694&lt;&gt;" "), "Ingresada", "Falta Ingresar"), " ")</f>
        <v xml:space="preserve"> </v>
      </c>
      <c r="L1694" s="4" t="str">
        <f>IFERROR(VLOOKUP($C1694,Observaciones!$A:$B,2,FALSE)," ")</f>
        <v xml:space="preserve"> </v>
      </c>
      <c r="M1694" t="s">
        <v>681</v>
      </c>
      <c r="P1694" s="5">
        <v>856106</v>
      </c>
      <c r="Q1694" s="5">
        <v>162660</v>
      </c>
      <c r="R1694" s="5">
        <v>1018766</v>
      </c>
    </row>
    <row r="1695" spans="1:18" x14ac:dyDescent="0.25">
      <c r="A1695" t="s">
        <v>496</v>
      </c>
      <c r="B1695" t="s">
        <v>494</v>
      </c>
      <c r="C1695">
        <v>76415269</v>
      </c>
      <c r="D1695">
        <v>0</v>
      </c>
      <c r="E1695">
        <v>16129</v>
      </c>
      <c r="F1695" t="s">
        <v>1148</v>
      </c>
      <c r="G1695" s="1">
        <v>45236</v>
      </c>
      <c r="H1695">
        <v>5413190</v>
      </c>
      <c r="I1695">
        <v>42</v>
      </c>
      <c r="J1695" t="s">
        <v>297</v>
      </c>
      <c r="K1695" t="str">
        <f>IFERROR(IF(AND(VLOOKUP($C1695,Hes!$A:$B, 1, FALSE), $M1695&lt;&gt;" "), "Ingresada", "Falta Ingresar"), " ")</f>
        <v xml:space="preserve"> </v>
      </c>
      <c r="L1695" s="4" t="s">
        <v>681</v>
      </c>
      <c r="M1695" t="s">
        <v>681</v>
      </c>
      <c r="O1695" s="5">
        <v>30845120</v>
      </c>
      <c r="P1695" s="5">
        <v>632617</v>
      </c>
      <c r="Q1695" s="5">
        <v>120197</v>
      </c>
      <c r="R1695" s="5">
        <v>752814</v>
      </c>
    </row>
    <row r="1696" spans="1:18" x14ac:dyDescent="0.25">
      <c r="F1696" t="s">
        <v>495</v>
      </c>
      <c r="K1696" t="str">
        <f>IFERROR(IF(AND(VLOOKUP($C1696,Hes!$A:$B, 1, FALSE), $M1696&lt;&gt;" "), "Ingresada", "Falta Ingresar"), " ")</f>
        <v xml:space="preserve"> </v>
      </c>
      <c r="L1696" s="4" t="str">
        <f>IFERROR(VLOOKUP($C1696,Observaciones!$A:$B,2,FALSE)," ")</f>
        <v xml:space="preserve"> </v>
      </c>
      <c r="M1696" t="s">
        <v>681</v>
      </c>
      <c r="P1696" s="5">
        <v>632617</v>
      </c>
      <c r="Q1696" s="5">
        <v>120197</v>
      </c>
      <c r="R1696" s="5">
        <v>752814</v>
      </c>
    </row>
    <row r="1697" spans="1:18" x14ac:dyDescent="0.25">
      <c r="A1697" t="s">
        <v>728</v>
      </c>
      <c r="B1697" t="s">
        <v>502</v>
      </c>
      <c r="C1697">
        <v>76418918</v>
      </c>
      <c r="D1697">
        <v>0</v>
      </c>
      <c r="E1697">
        <v>4500629382</v>
      </c>
      <c r="F1697" t="s">
        <v>730</v>
      </c>
      <c r="G1697" s="1">
        <v>45236</v>
      </c>
      <c r="H1697">
        <v>5411977</v>
      </c>
      <c r="I1697">
        <v>25</v>
      </c>
      <c r="J1697" t="s">
        <v>323</v>
      </c>
      <c r="K1697" s="8" t="str">
        <f>IFERROR(IF(AND(VLOOKUP($C1697,Hes!$A:$B, 1, FALSE), $M1697&lt;&gt;" "), "Ingresada", "Falta Ingresar"), " ")</f>
        <v>Falta Ingresar</v>
      </c>
      <c r="L1697" s="4" t="str">
        <f>IFERROR(VLOOKUP($C1697,Observaciones!$A:$B,2,FALSE)," ")</f>
        <v>XOC Y CC INDIVIDUAL</v>
      </c>
      <c r="M1697" t="s">
        <v>681</v>
      </c>
      <c r="N1697" s="5" t="s">
        <v>841</v>
      </c>
      <c r="O1697" s="5">
        <v>30840875</v>
      </c>
      <c r="P1697" s="5">
        <v>245412</v>
      </c>
      <c r="Q1697" s="5">
        <v>46628</v>
      </c>
      <c r="R1697" s="5">
        <v>292040</v>
      </c>
    </row>
    <row r="1698" spans="1:18" x14ac:dyDescent="0.25">
      <c r="A1698" t="s">
        <v>728</v>
      </c>
      <c r="B1698" t="s">
        <v>502</v>
      </c>
      <c r="C1698">
        <v>76418918</v>
      </c>
      <c r="D1698">
        <v>0</v>
      </c>
      <c r="E1698">
        <v>4500629409</v>
      </c>
      <c r="F1698" t="s">
        <v>730</v>
      </c>
      <c r="G1698" s="1">
        <v>45236</v>
      </c>
      <c r="H1698">
        <v>5411979</v>
      </c>
      <c r="I1698">
        <v>25</v>
      </c>
      <c r="J1698" t="s">
        <v>323</v>
      </c>
      <c r="K1698" s="8" t="str">
        <f>IFERROR(IF(AND(VLOOKUP($C1698,Hes!$A:$B, 1, FALSE), $M1698&lt;&gt;" "), "Ingresada", "Falta Ingresar"), " ")</f>
        <v>Falta Ingresar</v>
      </c>
      <c r="L1698" s="4" t="str">
        <f>IFERROR(VLOOKUP($C1698,Observaciones!$A:$B,2,FALSE)," ")</f>
        <v>XOC Y CC INDIVIDUAL</v>
      </c>
      <c r="M1698" t="s">
        <v>681</v>
      </c>
      <c r="N1698" s="5" t="s">
        <v>841</v>
      </c>
      <c r="O1698" s="5">
        <v>30826677</v>
      </c>
      <c r="P1698" s="5">
        <v>142494</v>
      </c>
      <c r="Q1698" s="5">
        <v>27074</v>
      </c>
      <c r="R1698" s="5">
        <v>169568</v>
      </c>
    </row>
    <row r="1699" spans="1:18" x14ac:dyDescent="0.25">
      <c r="A1699" t="s">
        <v>728</v>
      </c>
      <c r="B1699" t="s">
        <v>502</v>
      </c>
      <c r="C1699">
        <v>76418918</v>
      </c>
      <c r="D1699">
        <v>0</v>
      </c>
      <c r="E1699" t="s">
        <v>729</v>
      </c>
      <c r="F1699" t="s">
        <v>730</v>
      </c>
      <c r="G1699" s="1">
        <v>45236</v>
      </c>
      <c r="H1699">
        <v>5411980</v>
      </c>
      <c r="I1699">
        <v>25</v>
      </c>
      <c r="J1699" t="s">
        <v>323</v>
      </c>
      <c r="K1699" s="8" t="str">
        <f>IFERROR(IF(AND(VLOOKUP($C1699,Hes!$A:$B, 1, FALSE), $M1699&lt;&gt;" "), "Ingresada", "Falta Ingresar"), " ")</f>
        <v>Falta Ingresar</v>
      </c>
      <c r="L1699" s="4" t="str">
        <f>IFERROR(VLOOKUP($C1699,Observaciones!$A:$B,2,FALSE)," ")</f>
        <v>XOC Y CC INDIVIDUAL</v>
      </c>
      <c r="M1699" t="s">
        <v>681</v>
      </c>
      <c r="N1699" s="5" t="s">
        <v>841</v>
      </c>
      <c r="O1699" s="5">
        <v>30845543</v>
      </c>
      <c r="P1699" s="5">
        <v>2638940</v>
      </c>
      <c r="Q1699" s="5">
        <v>501399</v>
      </c>
      <c r="R1699" s="5">
        <v>3140339</v>
      </c>
    </row>
    <row r="1700" spans="1:18" x14ac:dyDescent="0.25">
      <c r="F1700" t="s">
        <v>500</v>
      </c>
      <c r="K1700" t="str">
        <f>IFERROR(IF(AND(VLOOKUP($C1700,Hes!$A:$B, 1, FALSE), $M1700&lt;&gt;" "), "Ingresada", "Falta Ingresar"), " ")</f>
        <v xml:space="preserve"> </v>
      </c>
      <c r="L1700" s="4" t="str">
        <f>IFERROR(VLOOKUP($C1700,Observaciones!$A:$B,2,FALSE)," ")</f>
        <v xml:space="preserve"> </v>
      </c>
      <c r="M1700" t="s">
        <v>681</v>
      </c>
      <c r="P1700" s="5">
        <v>3026846</v>
      </c>
      <c r="Q1700" s="5">
        <v>575101</v>
      </c>
      <c r="R1700" s="5">
        <v>3601947</v>
      </c>
    </row>
    <row r="1701" spans="1:18" x14ac:dyDescent="0.25">
      <c r="A1701" t="s">
        <v>501</v>
      </c>
      <c r="B1701" t="s">
        <v>494</v>
      </c>
      <c r="C1701">
        <v>76422040</v>
      </c>
      <c r="D1701">
        <v>381</v>
      </c>
      <c r="E1701">
        <v>30853185</v>
      </c>
      <c r="F1701" t="s">
        <v>1149</v>
      </c>
      <c r="G1701" s="1">
        <v>45236</v>
      </c>
      <c r="H1701">
        <v>5413342</v>
      </c>
      <c r="I1701">
        <v>193</v>
      </c>
      <c r="J1701" t="s">
        <v>346</v>
      </c>
      <c r="K1701" t="str">
        <f>IFERROR(IF(AND(VLOOKUP($C1701,Hes!$A:$B, 1, FALSE), $M1701&lt;&gt;" "), "Ingresada", "Falta Ingresar"), " ")</f>
        <v xml:space="preserve"> </v>
      </c>
      <c r="L1701" s="4" t="str">
        <f>IFERROR(VLOOKUP($C1701,Observaciones!$A:$B,2,FALSE)," ")</f>
        <v xml:space="preserve"> </v>
      </c>
      <c r="M1701" t="s">
        <v>681</v>
      </c>
      <c r="O1701" s="5">
        <v>30853185</v>
      </c>
      <c r="P1701" s="5">
        <v>73753</v>
      </c>
      <c r="Q1701" s="5">
        <v>14013</v>
      </c>
      <c r="R1701" s="5">
        <v>87766</v>
      </c>
    </row>
    <row r="1702" spans="1:18" x14ac:dyDescent="0.25">
      <c r="A1702" t="s">
        <v>501</v>
      </c>
      <c r="B1702" t="s">
        <v>494</v>
      </c>
      <c r="C1702">
        <v>76422040</v>
      </c>
      <c r="D1702">
        <v>0</v>
      </c>
      <c r="E1702">
        <v>30856645</v>
      </c>
      <c r="F1702" t="s">
        <v>1149</v>
      </c>
      <c r="G1702" s="1">
        <v>45236</v>
      </c>
      <c r="H1702">
        <v>5413599</v>
      </c>
      <c r="I1702">
        <v>193</v>
      </c>
      <c r="J1702" t="s">
        <v>346</v>
      </c>
      <c r="K1702" t="str">
        <f>IFERROR(IF(AND(VLOOKUP($C1702,Hes!$A:$B, 1, FALSE), $M1702&lt;&gt;" "), "Ingresada", "Falta Ingresar"), " ")</f>
        <v xml:space="preserve"> </v>
      </c>
      <c r="L1702" s="4" t="str">
        <f>IFERROR(VLOOKUP($C1702,Observaciones!$A:$B,2,FALSE)," ")</f>
        <v xml:space="preserve"> </v>
      </c>
      <c r="M1702" t="s">
        <v>681</v>
      </c>
      <c r="O1702" s="5">
        <v>30856645</v>
      </c>
      <c r="P1702" s="5">
        <v>1494432</v>
      </c>
      <c r="Q1702" s="5">
        <v>283942</v>
      </c>
      <c r="R1702" s="5">
        <v>1778374</v>
      </c>
    </row>
    <row r="1703" spans="1:18" x14ac:dyDescent="0.25">
      <c r="A1703" t="s">
        <v>501</v>
      </c>
      <c r="B1703" t="s">
        <v>494</v>
      </c>
      <c r="C1703">
        <v>76422040</v>
      </c>
      <c r="D1703">
        <v>23</v>
      </c>
      <c r="E1703">
        <v>30863612</v>
      </c>
      <c r="F1703" t="s">
        <v>1149</v>
      </c>
      <c r="G1703" s="1">
        <v>45238</v>
      </c>
      <c r="H1703">
        <v>5415631</v>
      </c>
      <c r="I1703">
        <v>193</v>
      </c>
      <c r="J1703" t="s">
        <v>346</v>
      </c>
      <c r="K1703" t="str">
        <f>IFERROR(IF(AND(VLOOKUP($C1703,Hes!$A:$B, 1, FALSE), $M1703&lt;&gt;" "), "Ingresada", "Falta Ingresar"), " ")</f>
        <v xml:space="preserve"> </v>
      </c>
      <c r="L1703" s="4" t="str">
        <f>IFERROR(VLOOKUP($C1703,Observaciones!$A:$B,2,FALSE)," ")</f>
        <v xml:space="preserve"> </v>
      </c>
      <c r="M1703" t="s">
        <v>681</v>
      </c>
      <c r="O1703" s="5">
        <v>30863612</v>
      </c>
      <c r="P1703" s="5">
        <v>263955</v>
      </c>
      <c r="Q1703" s="5">
        <v>50151</v>
      </c>
      <c r="R1703" s="5">
        <v>314106</v>
      </c>
    </row>
    <row r="1704" spans="1:18" x14ac:dyDescent="0.25">
      <c r="F1704" t="s">
        <v>500</v>
      </c>
      <c r="K1704" t="str">
        <f>IFERROR(IF(AND(VLOOKUP($C1704,Hes!$A:$B, 1, FALSE), $M1704&lt;&gt;" "), "Ingresada", "Falta Ingresar"), " ")</f>
        <v xml:space="preserve"> </v>
      </c>
      <c r="L1704" s="4" t="str">
        <f>IFERROR(VLOOKUP($C1704,Observaciones!$A:$B,2,FALSE)," ")</f>
        <v xml:space="preserve"> </v>
      </c>
      <c r="M1704" t="s">
        <v>681</v>
      </c>
      <c r="P1704" s="5">
        <v>1832140</v>
      </c>
      <c r="Q1704" s="5">
        <v>348106</v>
      </c>
      <c r="R1704" s="5">
        <v>2180246</v>
      </c>
    </row>
    <row r="1705" spans="1:18" x14ac:dyDescent="0.25">
      <c r="A1705" t="s">
        <v>881</v>
      </c>
      <c r="B1705" t="s">
        <v>494</v>
      </c>
      <c r="C1705">
        <v>76434500</v>
      </c>
      <c r="D1705">
        <v>0</v>
      </c>
      <c r="E1705">
        <v>9708</v>
      </c>
      <c r="F1705" t="s">
        <v>1150</v>
      </c>
      <c r="G1705" s="1">
        <v>45232</v>
      </c>
      <c r="H1705">
        <v>5411208</v>
      </c>
      <c r="I1705">
        <v>129</v>
      </c>
      <c r="J1705" t="s">
        <v>414</v>
      </c>
      <c r="K1705" t="str">
        <f>IFERROR(IF(AND(VLOOKUP($C1705,Hes!$A:$B, 1, FALSE), $M1705&lt;&gt;" "), "Ingresada", "Falta Ingresar"), " ")</f>
        <v xml:space="preserve"> </v>
      </c>
      <c r="L1705" s="4" t="str">
        <f>IFERROR(VLOOKUP($C1705,Observaciones!$A:$B,2,FALSE)," ")</f>
        <v>XOC Y CC</v>
      </c>
      <c r="M1705" t="s">
        <v>681</v>
      </c>
      <c r="O1705" s="5">
        <v>30847978</v>
      </c>
      <c r="P1705" s="5">
        <v>64840</v>
      </c>
      <c r="Q1705" s="5">
        <v>12320</v>
      </c>
      <c r="R1705" s="5">
        <v>77160</v>
      </c>
    </row>
    <row r="1706" spans="1:18" x14ac:dyDescent="0.25">
      <c r="A1706" t="s">
        <v>881</v>
      </c>
      <c r="B1706" t="s">
        <v>494</v>
      </c>
      <c r="C1706">
        <v>76434500</v>
      </c>
      <c r="D1706">
        <v>0</v>
      </c>
      <c r="E1706">
        <v>9709</v>
      </c>
      <c r="F1706" t="s">
        <v>1150</v>
      </c>
      <c r="G1706" s="1">
        <v>45233</v>
      </c>
      <c r="H1706">
        <v>5411425</v>
      </c>
      <c r="I1706">
        <v>129</v>
      </c>
      <c r="J1706" t="s">
        <v>414</v>
      </c>
      <c r="K1706" t="str">
        <f>IFERROR(IF(AND(VLOOKUP($C1706,Hes!$A:$B, 1, FALSE), $M1706&lt;&gt;" "), "Ingresada", "Falta Ingresar"), " ")</f>
        <v xml:space="preserve"> </v>
      </c>
      <c r="L1706" s="4" t="str">
        <f>IFERROR(VLOOKUP($C1706,Observaciones!$A:$B,2,FALSE)," ")</f>
        <v>XOC Y CC</v>
      </c>
      <c r="M1706" t="s">
        <v>681</v>
      </c>
      <c r="O1706" s="5">
        <v>30848089</v>
      </c>
      <c r="P1706" s="5">
        <v>56500</v>
      </c>
      <c r="Q1706" s="5">
        <v>10735</v>
      </c>
      <c r="R1706" s="5">
        <v>69515</v>
      </c>
    </row>
    <row r="1707" spans="1:18" x14ac:dyDescent="0.25">
      <c r="F1707" t="s">
        <v>497</v>
      </c>
      <c r="K1707" t="str">
        <f>IFERROR(IF(AND(VLOOKUP($C1707,Hes!$A:$B, 1, FALSE), $M1707&lt;&gt;" "), "Ingresada", "Falta Ingresar"), " ")</f>
        <v xml:space="preserve"> </v>
      </c>
      <c r="L1707" s="4" t="str">
        <f>IFERROR(VLOOKUP($C1707,Observaciones!$A:$B,2,FALSE)," ")</f>
        <v xml:space="preserve"> </v>
      </c>
      <c r="M1707" t="s">
        <v>681</v>
      </c>
      <c r="P1707" s="5">
        <v>121340</v>
      </c>
      <c r="Q1707" s="5">
        <v>23055</v>
      </c>
      <c r="R1707" s="5">
        <v>146675</v>
      </c>
    </row>
    <row r="1708" spans="1:18" x14ac:dyDescent="0.25">
      <c r="A1708" t="s">
        <v>501</v>
      </c>
      <c r="B1708" t="s">
        <v>508</v>
      </c>
      <c r="C1708">
        <v>76439576</v>
      </c>
      <c r="D1708">
        <v>0</v>
      </c>
      <c r="E1708">
        <v>30856583</v>
      </c>
      <c r="F1708" t="s">
        <v>1151</v>
      </c>
      <c r="G1708" s="1">
        <v>45236</v>
      </c>
      <c r="H1708">
        <v>5410492</v>
      </c>
      <c r="I1708">
        <v>360</v>
      </c>
      <c r="J1708" t="s">
        <v>188</v>
      </c>
      <c r="K1708" t="str">
        <f>IFERROR(IF(AND(VLOOKUP($C1708,Hes!$A:$B, 1, FALSE), $M1708&lt;&gt;" "), "Ingresada", "Falta Ingresar"), " ")</f>
        <v xml:space="preserve"> </v>
      </c>
      <c r="L1708" s="4" t="str">
        <f>IFERROR(VLOOKUP($C1708,Observaciones!$A:$B,2,FALSE)," ")</f>
        <v>RETIRA CLIENTE</v>
      </c>
      <c r="M1708" t="s">
        <v>681</v>
      </c>
      <c r="O1708" s="5">
        <v>30856583</v>
      </c>
      <c r="P1708" s="5">
        <v>543736</v>
      </c>
      <c r="Q1708" s="5">
        <v>103310</v>
      </c>
      <c r="R1708" s="5">
        <v>647046</v>
      </c>
    </row>
    <row r="1709" spans="1:18" x14ac:dyDescent="0.25">
      <c r="A1709" t="s">
        <v>501</v>
      </c>
      <c r="B1709" t="s">
        <v>508</v>
      </c>
      <c r="C1709">
        <v>76439576</v>
      </c>
      <c r="D1709">
        <v>0</v>
      </c>
      <c r="E1709">
        <v>30856583</v>
      </c>
      <c r="F1709" t="s">
        <v>1151</v>
      </c>
      <c r="G1709" s="1">
        <v>45236</v>
      </c>
      <c r="H1709">
        <v>5410493</v>
      </c>
      <c r="I1709">
        <v>360</v>
      </c>
      <c r="J1709" t="s">
        <v>188</v>
      </c>
      <c r="K1709" t="str">
        <f>IFERROR(IF(AND(VLOOKUP($C1709,Hes!$A:$B, 1, FALSE), $M1709&lt;&gt;" "), "Ingresada", "Falta Ingresar"), " ")</f>
        <v xml:space="preserve"> </v>
      </c>
      <c r="L1709" s="4" t="str">
        <f>IFERROR(VLOOKUP($C1709,Observaciones!$A:$B,2,FALSE)," ")</f>
        <v>RETIRA CLIENTE</v>
      </c>
      <c r="M1709" t="s">
        <v>681</v>
      </c>
      <c r="O1709" s="5">
        <v>30856583</v>
      </c>
      <c r="P1709" s="5">
        <v>119421</v>
      </c>
      <c r="Q1709" s="5">
        <v>22690</v>
      </c>
      <c r="R1709" s="5">
        <v>142111</v>
      </c>
    </row>
    <row r="1710" spans="1:18" x14ac:dyDescent="0.25">
      <c r="A1710" t="s">
        <v>501</v>
      </c>
      <c r="B1710" t="s">
        <v>508</v>
      </c>
      <c r="C1710">
        <v>76439576</v>
      </c>
      <c r="D1710">
        <v>0</v>
      </c>
      <c r="E1710">
        <v>30861634</v>
      </c>
      <c r="F1710" t="s">
        <v>1151</v>
      </c>
      <c r="G1710" s="1">
        <v>45237</v>
      </c>
      <c r="H1710">
        <v>5410501</v>
      </c>
      <c r="I1710">
        <v>360</v>
      </c>
      <c r="J1710" t="s">
        <v>188</v>
      </c>
      <c r="K1710" t="str">
        <f>IFERROR(IF(AND(VLOOKUP($C1710,Hes!$A:$B, 1, FALSE), $M1710&lt;&gt;" "), "Ingresada", "Falta Ingresar"), " ")</f>
        <v xml:space="preserve"> </v>
      </c>
      <c r="L1710" s="4" t="str">
        <f>IFERROR(VLOOKUP($C1710,Observaciones!$A:$B,2,FALSE)," ")</f>
        <v>RETIRA CLIENTE</v>
      </c>
      <c r="M1710" t="s">
        <v>681</v>
      </c>
      <c r="O1710" s="5">
        <v>30861634</v>
      </c>
      <c r="P1710" s="5">
        <v>227648</v>
      </c>
      <c r="Q1710" s="5">
        <v>43253</v>
      </c>
      <c r="R1710" s="5">
        <v>270901</v>
      </c>
    </row>
    <row r="1711" spans="1:18" x14ac:dyDescent="0.25">
      <c r="A1711" t="s">
        <v>501</v>
      </c>
      <c r="B1711" t="s">
        <v>508</v>
      </c>
      <c r="C1711">
        <v>76439576</v>
      </c>
      <c r="D1711">
        <v>0</v>
      </c>
      <c r="E1711">
        <v>30861487</v>
      </c>
      <c r="F1711" t="s">
        <v>1151</v>
      </c>
      <c r="G1711" s="1">
        <v>45237</v>
      </c>
      <c r="H1711">
        <v>5410502</v>
      </c>
      <c r="I1711">
        <v>360</v>
      </c>
      <c r="J1711" t="s">
        <v>188</v>
      </c>
      <c r="K1711" t="str">
        <f>IFERROR(IF(AND(VLOOKUP($C1711,Hes!$A:$B, 1, FALSE), $M1711&lt;&gt;" "), "Ingresada", "Falta Ingresar"), " ")</f>
        <v xml:space="preserve"> </v>
      </c>
      <c r="L1711" s="4" t="str">
        <f>IFERROR(VLOOKUP($C1711,Observaciones!$A:$B,2,FALSE)," ")</f>
        <v>RETIRA CLIENTE</v>
      </c>
      <c r="M1711" t="s">
        <v>681</v>
      </c>
      <c r="O1711" s="5">
        <v>30861487</v>
      </c>
      <c r="P1711" s="5">
        <v>358166</v>
      </c>
      <c r="Q1711" s="5">
        <v>68052</v>
      </c>
      <c r="R1711" s="5">
        <v>426218</v>
      </c>
    </row>
    <row r="1712" spans="1:18" x14ac:dyDescent="0.25">
      <c r="A1712" t="s">
        <v>501</v>
      </c>
      <c r="B1712" t="s">
        <v>508</v>
      </c>
      <c r="C1712">
        <v>76439576</v>
      </c>
      <c r="D1712">
        <v>0</v>
      </c>
      <c r="E1712">
        <v>30861487</v>
      </c>
      <c r="F1712" t="s">
        <v>1151</v>
      </c>
      <c r="G1712" s="1">
        <v>45237</v>
      </c>
      <c r="H1712">
        <v>5410503</v>
      </c>
      <c r="I1712">
        <v>360</v>
      </c>
      <c r="J1712" t="s">
        <v>188</v>
      </c>
      <c r="K1712" t="str">
        <f>IFERROR(IF(AND(VLOOKUP($C1712,Hes!$A:$B, 1, FALSE), $M1712&lt;&gt;" "), "Ingresada", "Falta Ingresar"), " ")</f>
        <v xml:space="preserve"> </v>
      </c>
      <c r="L1712" s="4" t="str">
        <f>IFERROR(VLOOKUP($C1712,Observaciones!$A:$B,2,FALSE)," ")</f>
        <v>RETIRA CLIENTE</v>
      </c>
      <c r="M1712" t="s">
        <v>681</v>
      </c>
      <c r="O1712" s="5">
        <v>30861487</v>
      </c>
      <c r="P1712" s="5">
        <v>242607</v>
      </c>
      <c r="Q1712" s="5">
        <v>46095</v>
      </c>
      <c r="R1712" s="5">
        <v>288702</v>
      </c>
    </row>
    <row r="1713" spans="1:18" x14ac:dyDescent="0.25">
      <c r="F1713" t="s">
        <v>499</v>
      </c>
      <c r="K1713" t="str">
        <f>IFERROR(IF(AND(VLOOKUP($C1713,Hes!$A:$B, 1, FALSE), $M1713&lt;&gt;" "), "Ingresada", "Falta Ingresar"), " ")</f>
        <v xml:space="preserve"> </v>
      </c>
      <c r="L1713" s="4" t="str">
        <f>IFERROR(VLOOKUP($C1713,Observaciones!$A:$B,2,FALSE)," ")</f>
        <v xml:space="preserve"> </v>
      </c>
      <c r="M1713" t="s">
        <v>681</v>
      </c>
      <c r="P1713" s="5">
        <v>1491578</v>
      </c>
      <c r="Q1713" s="5">
        <v>283400</v>
      </c>
      <c r="R1713" s="5">
        <v>1774978</v>
      </c>
    </row>
    <row r="1714" spans="1:18" x14ac:dyDescent="0.25">
      <c r="A1714" t="s">
        <v>503</v>
      </c>
      <c r="B1714" t="s">
        <v>509</v>
      </c>
      <c r="C1714">
        <v>76443280</v>
      </c>
      <c r="D1714">
        <v>0</v>
      </c>
      <c r="E1714">
        <v>259794</v>
      </c>
      <c r="F1714" t="s">
        <v>1152</v>
      </c>
      <c r="G1714" s="1">
        <v>45233</v>
      </c>
      <c r="H1714">
        <v>5412163</v>
      </c>
      <c r="I1714">
        <v>424</v>
      </c>
      <c r="J1714" t="s">
        <v>146</v>
      </c>
      <c r="K1714" t="str">
        <f>IFERROR(IF(AND(VLOOKUP($C1714,Hes!$A:$B, 1, FALSE), $M1714&lt;&gt;" "), "Ingresada", "Falta Ingresar"), " ")</f>
        <v xml:space="preserve"> </v>
      </c>
      <c r="L1714" s="4" t="str">
        <f>IFERROR(VLOOKUP($C1714,Observaciones!$A:$B,2,FALSE)," ")</f>
        <v xml:space="preserve"> </v>
      </c>
      <c r="M1714" t="s">
        <v>681</v>
      </c>
      <c r="O1714" s="5">
        <v>30839134</v>
      </c>
      <c r="P1714" s="5">
        <v>2374050</v>
      </c>
      <c r="Q1714" s="5">
        <v>451070</v>
      </c>
      <c r="R1714" s="5">
        <v>2825120</v>
      </c>
    </row>
    <row r="1715" spans="1:18" x14ac:dyDescent="0.25">
      <c r="A1715" t="s">
        <v>503</v>
      </c>
      <c r="B1715" t="s">
        <v>509</v>
      </c>
      <c r="C1715">
        <v>76443280</v>
      </c>
      <c r="D1715">
        <v>0</v>
      </c>
      <c r="E1715">
        <v>260243</v>
      </c>
      <c r="F1715" t="s">
        <v>1152</v>
      </c>
      <c r="G1715" s="1">
        <v>45237</v>
      </c>
      <c r="H1715">
        <v>5414045</v>
      </c>
      <c r="I1715">
        <v>424</v>
      </c>
      <c r="J1715" t="s">
        <v>146</v>
      </c>
      <c r="K1715" t="str">
        <f>IFERROR(IF(AND(VLOOKUP($C1715,Hes!$A:$B, 1, FALSE), $M1715&lt;&gt;" "), "Ingresada", "Falta Ingresar"), " ")</f>
        <v xml:space="preserve"> </v>
      </c>
      <c r="L1715" s="4" t="str">
        <f>IFERROR(VLOOKUP($C1715,Observaciones!$A:$B,2,FALSE)," ")</f>
        <v xml:space="preserve"> </v>
      </c>
      <c r="M1715" t="s">
        <v>681</v>
      </c>
      <c r="O1715" s="5">
        <v>30854238</v>
      </c>
      <c r="P1715" s="5">
        <v>45688</v>
      </c>
      <c r="Q1715" s="5">
        <v>8681</v>
      </c>
      <c r="R1715" s="5">
        <v>54369</v>
      </c>
    </row>
    <row r="1716" spans="1:18" x14ac:dyDescent="0.25">
      <c r="A1716" t="s">
        <v>503</v>
      </c>
      <c r="B1716" t="s">
        <v>509</v>
      </c>
      <c r="C1716">
        <v>76443280</v>
      </c>
      <c r="D1716">
        <v>3</v>
      </c>
      <c r="E1716">
        <v>260484</v>
      </c>
      <c r="F1716" t="s">
        <v>1152</v>
      </c>
      <c r="G1716" s="1">
        <v>45238</v>
      </c>
      <c r="H1716">
        <v>5415694</v>
      </c>
      <c r="I1716">
        <v>424</v>
      </c>
      <c r="J1716" t="s">
        <v>146</v>
      </c>
      <c r="K1716" t="str">
        <f>IFERROR(IF(AND(VLOOKUP($C1716,Hes!$A:$B, 1, FALSE), $M1716&lt;&gt;" "), "Ingresada", "Falta Ingresar"), " ")</f>
        <v xml:space="preserve"> </v>
      </c>
      <c r="L1716" s="4" t="str">
        <f>IFERROR(VLOOKUP($C1716,Observaciones!$A:$B,2,FALSE)," ")</f>
        <v xml:space="preserve"> </v>
      </c>
      <c r="M1716" t="s">
        <v>681</v>
      </c>
      <c r="O1716" s="5">
        <v>30857533</v>
      </c>
      <c r="P1716" s="5">
        <v>193869</v>
      </c>
      <c r="Q1716" s="5">
        <v>36835</v>
      </c>
      <c r="R1716" s="5">
        <v>230704</v>
      </c>
    </row>
    <row r="1717" spans="1:18" x14ac:dyDescent="0.25">
      <c r="F1717" t="s">
        <v>500</v>
      </c>
      <c r="K1717" t="str">
        <f>IFERROR(IF(AND(VLOOKUP($C1717,Hes!$A:$B, 1, FALSE), $M1717&lt;&gt;" "), "Ingresada", "Falta Ingresar"), " ")</f>
        <v xml:space="preserve"> </v>
      </c>
      <c r="L1717" s="4" t="str">
        <f>IFERROR(VLOOKUP($C1717,Observaciones!$A:$B,2,FALSE)," ")</f>
        <v xml:space="preserve"> </v>
      </c>
      <c r="M1717" t="s">
        <v>681</v>
      </c>
      <c r="P1717" s="5">
        <v>2613607</v>
      </c>
      <c r="Q1717" s="5">
        <v>496586</v>
      </c>
      <c r="R1717" s="5">
        <v>3110193</v>
      </c>
    </row>
    <row r="1718" spans="1:18" x14ac:dyDescent="0.25">
      <c r="A1718" t="s">
        <v>496</v>
      </c>
      <c r="B1718" t="s">
        <v>508</v>
      </c>
      <c r="C1718">
        <v>76447530</v>
      </c>
      <c r="D1718">
        <v>0</v>
      </c>
      <c r="E1718" t="s">
        <v>1153</v>
      </c>
      <c r="F1718" t="s">
        <v>1154</v>
      </c>
      <c r="G1718" s="1">
        <v>45233</v>
      </c>
      <c r="H1718">
        <v>5411435</v>
      </c>
      <c r="I1718">
        <v>281</v>
      </c>
      <c r="J1718" t="s">
        <v>162</v>
      </c>
      <c r="K1718" t="str">
        <f>IFERROR(IF(AND(VLOOKUP($C1718,Hes!$A:$B, 1, FALSE), $M1718&lt;&gt;" "), "Ingresada", "Falta Ingresar"), " ")</f>
        <v xml:space="preserve"> </v>
      </c>
      <c r="L1718" s="4" t="s">
        <v>681</v>
      </c>
      <c r="M1718" t="s">
        <v>681</v>
      </c>
      <c r="O1718" s="5">
        <v>30848152</v>
      </c>
      <c r="P1718" s="5">
        <v>364224</v>
      </c>
      <c r="Q1718" s="5">
        <v>69203</v>
      </c>
      <c r="R1718" s="5">
        <v>433427</v>
      </c>
    </row>
    <row r="1719" spans="1:18" x14ac:dyDescent="0.25">
      <c r="F1719" t="s">
        <v>495</v>
      </c>
      <c r="K1719" t="str">
        <f>IFERROR(IF(AND(VLOOKUP($C1719,Hes!$A:$B, 1, FALSE), $M1719&lt;&gt;" "), "Ingresada", "Falta Ingresar"), " ")</f>
        <v xml:space="preserve"> </v>
      </c>
      <c r="L1719" s="4" t="str">
        <f>IFERROR(VLOOKUP($C1719,Observaciones!$A:$B,2,FALSE)," ")</f>
        <v xml:space="preserve"> </v>
      </c>
      <c r="M1719" t="s">
        <v>681</v>
      </c>
      <c r="P1719" s="5">
        <v>364224</v>
      </c>
      <c r="Q1719" s="5">
        <v>69203</v>
      </c>
      <c r="R1719" s="5">
        <v>433427</v>
      </c>
    </row>
    <row r="1720" spans="1:18" x14ac:dyDescent="0.25">
      <c r="A1720" t="s">
        <v>496</v>
      </c>
      <c r="B1720" t="s">
        <v>494</v>
      </c>
      <c r="C1720">
        <v>76449337</v>
      </c>
      <c r="D1720">
        <v>8</v>
      </c>
      <c r="E1720" t="s">
        <v>1155</v>
      </c>
      <c r="F1720" t="s">
        <v>1156</v>
      </c>
      <c r="G1720" s="1">
        <v>45232</v>
      </c>
      <c r="H1720">
        <v>5410798</v>
      </c>
      <c r="I1720">
        <v>5</v>
      </c>
      <c r="J1720" t="s">
        <v>374</v>
      </c>
      <c r="K1720" t="str">
        <f>IFERROR(IF(AND(VLOOKUP($C1720,Hes!$A:$B, 1, FALSE), $M1720&lt;&gt;" "), "Ingresada", "Falta Ingresar"), " ")</f>
        <v xml:space="preserve"> </v>
      </c>
      <c r="L1720" s="4" t="str">
        <f>IFERROR(VLOOKUP($C1720,Observaciones!$A:$B,2,FALSE)," ")</f>
        <v>XOC Y CC</v>
      </c>
      <c r="M1720" t="s">
        <v>681</v>
      </c>
      <c r="O1720" s="5">
        <v>30840354</v>
      </c>
      <c r="P1720" s="5">
        <v>26280</v>
      </c>
      <c r="Q1720" s="5">
        <v>4993</v>
      </c>
      <c r="R1720" s="5">
        <v>31273</v>
      </c>
    </row>
    <row r="1721" spans="1:18" x14ac:dyDescent="0.25">
      <c r="A1721" t="s">
        <v>496</v>
      </c>
      <c r="B1721" t="s">
        <v>494</v>
      </c>
      <c r="C1721">
        <v>76449337</v>
      </c>
      <c r="D1721">
        <v>8</v>
      </c>
      <c r="E1721" t="s">
        <v>1157</v>
      </c>
      <c r="F1721" t="s">
        <v>1156</v>
      </c>
      <c r="G1721" s="1">
        <v>45237</v>
      </c>
      <c r="H1721">
        <v>5414154</v>
      </c>
      <c r="I1721">
        <v>5</v>
      </c>
      <c r="J1721" t="s">
        <v>374</v>
      </c>
      <c r="K1721" t="str">
        <f>IFERROR(IF(AND(VLOOKUP($C1721,Hes!$A:$B, 1, FALSE), $M1721&lt;&gt;" "), "Ingresada", "Falta Ingresar"), " ")</f>
        <v xml:space="preserve"> </v>
      </c>
      <c r="L1721" s="4" t="str">
        <f>IFERROR(VLOOKUP($C1721,Observaciones!$A:$B,2,FALSE)," ")</f>
        <v>XOC Y CC</v>
      </c>
      <c r="M1721" t="s">
        <v>681</v>
      </c>
      <c r="O1721" s="5">
        <v>30860751</v>
      </c>
      <c r="P1721" s="5">
        <v>17616</v>
      </c>
      <c r="Q1721" s="5">
        <v>3347</v>
      </c>
      <c r="R1721" s="5">
        <v>20963</v>
      </c>
    </row>
    <row r="1722" spans="1:18" x14ac:dyDescent="0.25">
      <c r="F1722" t="s">
        <v>497</v>
      </c>
      <c r="K1722" t="str">
        <f>IFERROR(IF(AND(VLOOKUP($C1722,Hes!$A:$B, 1, FALSE), $M1722&lt;&gt;" "), "Ingresada", "Falta Ingresar"), " ")</f>
        <v xml:space="preserve"> </v>
      </c>
      <c r="L1722" s="4" t="str">
        <f>IFERROR(VLOOKUP($C1722,Observaciones!$A:$B,2,FALSE)," ")</f>
        <v xml:space="preserve"> </v>
      </c>
      <c r="M1722" t="s">
        <v>681</v>
      </c>
      <c r="P1722" s="5">
        <v>43896</v>
      </c>
      <c r="Q1722" s="5">
        <v>8340</v>
      </c>
      <c r="R1722" s="5">
        <v>52236</v>
      </c>
    </row>
    <row r="1723" spans="1:18" x14ac:dyDescent="0.25">
      <c r="A1723" t="s">
        <v>513</v>
      </c>
      <c r="B1723" t="s">
        <v>494</v>
      </c>
      <c r="C1723">
        <v>76457580</v>
      </c>
      <c r="D1723">
        <v>6</v>
      </c>
      <c r="E1723">
        <v>30847704</v>
      </c>
      <c r="F1723" t="s">
        <v>1158</v>
      </c>
      <c r="G1723" s="1">
        <v>45236</v>
      </c>
      <c r="H1723">
        <v>5412002</v>
      </c>
      <c r="I1723">
        <v>79</v>
      </c>
      <c r="J1723" t="s">
        <v>474</v>
      </c>
      <c r="K1723" t="str">
        <f>IFERROR(IF(AND(VLOOKUP($C1723,Hes!$A:$B, 1, FALSE), $M1723&lt;&gt;" "), "Ingresada", "Falta Ingresar"), " ")</f>
        <v xml:space="preserve"> </v>
      </c>
      <c r="L1723" s="4" t="str">
        <f>IFERROR(VLOOKUP($C1723,Observaciones!$A:$B,2,FALSE)," ")</f>
        <v xml:space="preserve"> </v>
      </c>
      <c r="M1723" t="s">
        <v>681</v>
      </c>
      <c r="O1723" s="5">
        <v>30847704</v>
      </c>
      <c r="P1723" s="5">
        <v>142927</v>
      </c>
      <c r="Q1723" s="5">
        <v>27156</v>
      </c>
      <c r="R1723" s="5">
        <v>170083</v>
      </c>
    </row>
    <row r="1724" spans="1:18" x14ac:dyDescent="0.25">
      <c r="F1724" t="s">
        <v>495</v>
      </c>
      <c r="K1724" t="str">
        <f>IFERROR(IF(AND(VLOOKUP($C1724,Hes!$A:$B, 1, FALSE), $M1724&lt;&gt;" "), "Ingresada", "Falta Ingresar"), " ")</f>
        <v xml:space="preserve"> </v>
      </c>
      <c r="L1724" s="4" t="str">
        <f>IFERROR(VLOOKUP($C1724,Observaciones!$A:$B,2,FALSE)," ")</f>
        <v xml:space="preserve"> </v>
      </c>
      <c r="M1724" t="s">
        <v>681</v>
      </c>
      <c r="P1724" s="5">
        <v>142927</v>
      </c>
      <c r="Q1724" s="5">
        <v>27156</v>
      </c>
      <c r="R1724" s="5">
        <v>170083</v>
      </c>
    </row>
    <row r="1725" spans="1:18" x14ac:dyDescent="0.25">
      <c r="A1725" t="s">
        <v>513</v>
      </c>
      <c r="B1725" t="s">
        <v>494</v>
      </c>
      <c r="C1725">
        <v>76460560</v>
      </c>
      <c r="D1725">
        <v>6</v>
      </c>
      <c r="E1725">
        <v>6712</v>
      </c>
      <c r="F1725" t="s">
        <v>1159</v>
      </c>
      <c r="G1725" s="1">
        <v>45232</v>
      </c>
      <c r="H1725">
        <v>5410483</v>
      </c>
      <c r="I1725">
        <v>70</v>
      </c>
      <c r="K1725" t="str">
        <f>IFERROR(IF(AND(VLOOKUP($C1725,Hes!$A:$B, 1, FALSE), $M1725&lt;&gt;" "), "Ingresada", "Falta Ingresar"), " ")</f>
        <v xml:space="preserve"> </v>
      </c>
      <c r="L1725" s="4" t="str">
        <f>IFERROR(VLOOKUP($C1725,Observaciones!$A:$B,2,FALSE)," ")</f>
        <v>FACTURAR LOS 25 DE CADA MES POR CC</v>
      </c>
      <c r="M1725" t="s">
        <v>681</v>
      </c>
      <c r="O1725" s="5">
        <v>30846017</v>
      </c>
      <c r="P1725" s="5">
        <v>4036634</v>
      </c>
      <c r="Q1725" s="5">
        <v>766960</v>
      </c>
      <c r="R1725" s="5">
        <v>4803594</v>
      </c>
    </row>
    <row r="1726" spans="1:18" x14ac:dyDescent="0.25">
      <c r="A1726" t="s">
        <v>513</v>
      </c>
      <c r="B1726" t="s">
        <v>494</v>
      </c>
      <c r="C1726">
        <v>76460560</v>
      </c>
      <c r="D1726">
        <v>1005</v>
      </c>
      <c r="E1726">
        <v>45415</v>
      </c>
      <c r="F1726" t="s">
        <v>1159</v>
      </c>
      <c r="G1726" s="1">
        <v>45237</v>
      </c>
      <c r="H1726">
        <v>5410504</v>
      </c>
      <c r="I1726">
        <v>70</v>
      </c>
      <c r="K1726" t="str">
        <f>IFERROR(IF(AND(VLOOKUP($C1726,Hes!$A:$B, 1, FALSE), $M1726&lt;&gt;" "), "Ingresada", "Falta Ingresar"), " ")</f>
        <v xml:space="preserve"> </v>
      </c>
      <c r="L1726" s="4" t="str">
        <f>IFERROR(VLOOKUP($C1726,Observaciones!$A:$B,2,FALSE)," ")</f>
        <v>FACTURAR LOS 25 DE CADA MES POR CC</v>
      </c>
      <c r="M1726" t="s">
        <v>681</v>
      </c>
      <c r="O1726" s="5">
        <v>30858717</v>
      </c>
      <c r="P1726" s="5">
        <v>12193457</v>
      </c>
      <c r="Q1726" s="5">
        <v>2316757</v>
      </c>
      <c r="R1726" s="5">
        <v>14510214</v>
      </c>
    </row>
    <row r="1727" spans="1:18" x14ac:dyDescent="0.25">
      <c r="A1727" t="s">
        <v>513</v>
      </c>
      <c r="B1727" t="s">
        <v>494</v>
      </c>
      <c r="C1727">
        <v>76460560</v>
      </c>
      <c r="D1727">
        <v>1005</v>
      </c>
      <c r="E1727">
        <v>45415</v>
      </c>
      <c r="F1727" t="s">
        <v>1159</v>
      </c>
      <c r="G1727" s="1">
        <v>45237</v>
      </c>
      <c r="H1727">
        <v>5410505</v>
      </c>
      <c r="I1727">
        <v>70</v>
      </c>
      <c r="K1727" t="str">
        <f>IFERROR(IF(AND(VLOOKUP($C1727,Hes!$A:$B, 1, FALSE), $M1727&lt;&gt;" "), "Ingresada", "Falta Ingresar"), " ")</f>
        <v xml:space="preserve"> </v>
      </c>
      <c r="L1727" s="4" t="str">
        <f>IFERROR(VLOOKUP($C1727,Observaciones!$A:$B,2,FALSE)," ")</f>
        <v>FACTURAR LOS 25 DE CADA MES POR CC</v>
      </c>
      <c r="M1727" t="s">
        <v>681</v>
      </c>
      <c r="O1727" s="5">
        <v>30858545</v>
      </c>
      <c r="P1727" s="5">
        <v>3079596</v>
      </c>
      <c r="Q1727" s="5">
        <v>585123</v>
      </c>
      <c r="R1727" s="5">
        <v>3664719</v>
      </c>
    </row>
    <row r="1728" spans="1:18" x14ac:dyDescent="0.25">
      <c r="A1728" t="s">
        <v>513</v>
      </c>
      <c r="B1728" t="s">
        <v>494</v>
      </c>
      <c r="C1728">
        <v>76460560</v>
      </c>
      <c r="D1728">
        <v>1005</v>
      </c>
      <c r="E1728">
        <v>45415</v>
      </c>
      <c r="F1728" t="s">
        <v>1159</v>
      </c>
      <c r="G1728" s="1">
        <v>45237</v>
      </c>
      <c r="H1728">
        <v>5410506</v>
      </c>
      <c r="I1728">
        <v>70</v>
      </c>
      <c r="K1728" t="str">
        <f>IFERROR(IF(AND(VLOOKUP($C1728,Hes!$A:$B, 1, FALSE), $M1728&lt;&gt;" "), "Ingresada", "Falta Ingresar"), " ")</f>
        <v xml:space="preserve"> </v>
      </c>
      <c r="L1728" s="4" t="str">
        <f>IFERROR(VLOOKUP($C1728,Observaciones!$A:$B,2,FALSE)," ")</f>
        <v>FACTURAR LOS 25 DE CADA MES POR CC</v>
      </c>
      <c r="M1728" t="s">
        <v>681</v>
      </c>
      <c r="O1728" s="5">
        <v>30858597</v>
      </c>
      <c r="P1728" s="5">
        <v>6199007</v>
      </c>
      <c r="Q1728" s="5">
        <v>1177811</v>
      </c>
      <c r="R1728" s="5">
        <v>7376818</v>
      </c>
    </row>
    <row r="1729" spans="1:18" x14ac:dyDescent="0.25">
      <c r="A1729" t="s">
        <v>513</v>
      </c>
      <c r="B1729" t="s">
        <v>494</v>
      </c>
      <c r="C1729">
        <v>76460560</v>
      </c>
      <c r="D1729">
        <v>1005</v>
      </c>
      <c r="E1729">
        <v>45415</v>
      </c>
      <c r="F1729" t="s">
        <v>1159</v>
      </c>
      <c r="G1729" s="1">
        <v>45237</v>
      </c>
      <c r="H1729">
        <v>5410507</v>
      </c>
      <c r="I1729">
        <v>70</v>
      </c>
      <c r="K1729" t="str">
        <f>IFERROR(IF(AND(VLOOKUP($C1729,Hes!$A:$B, 1, FALSE), $M1729&lt;&gt;" "), "Ingresada", "Falta Ingresar"), " ")</f>
        <v xml:space="preserve"> </v>
      </c>
      <c r="L1729" s="4" t="str">
        <f>IFERROR(VLOOKUP($C1729,Observaciones!$A:$B,2,FALSE)," ")</f>
        <v>FACTURAR LOS 25 DE CADA MES POR CC</v>
      </c>
      <c r="M1729" t="s">
        <v>681</v>
      </c>
      <c r="O1729" s="5">
        <v>30858472</v>
      </c>
      <c r="P1729" s="5">
        <v>3143191</v>
      </c>
      <c r="Q1729" s="5">
        <v>597206</v>
      </c>
      <c r="R1729" s="5">
        <v>3740397</v>
      </c>
    </row>
    <row r="1730" spans="1:18" x14ac:dyDescent="0.25">
      <c r="A1730" t="s">
        <v>513</v>
      </c>
      <c r="B1730" t="s">
        <v>494</v>
      </c>
      <c r="C1730">
        <v>76460560</v>
      </c>
      <c r="D1730">
        <v>1005</v>
      </c>
      <c r="E1730">
        <v>45415</v>
      </c>
      <c r="F1730" t="s">
        <v>1159</v>
      </c>
      <c r="G1730" s="1">
        <v>45237</v>
      </c>
      <c r="H1730">
        <v>5410508</v>
      </c>
      <c r="I1730">
        <v>70</v>
      </c>
      <c r="K1730" t="str">
        <f>IFERROR(IF(AND(VLOOKUP($C1730,Hes!$A:$B, 1, FALSE), $M1730&lt;&gt;" "), "Ingresada", "Falta Ingresar"), " ")</f>
        <v xml:space="preserve"> </v>
      </c>
      <c r="L1730" s="4" t="str">
        <f>IFERROR(VLOOKUP($C1730,Observaciones!$A:$B,2,FALSE)," ")</f>
        <v>FACTURAR LOS 25 DE CADA MES POR CC</v>
      </c>
      <c r="M1730" t="s">
        <v>681</v>
      </c>
      <c r="O1730" s="5">
        <v>30858674</v>
      </c>
      <c r="P1730" s="5">
        <v>1945129</v>
      </c>
      <c r="Q1730" s="5">
        <v>369575</v>
      </c>
      <c r="R1730" s="5">
        <v>2314704</v>
      </c>
    </row>
    <row r="1731" spans="1:18" x14ac:dyDescent="0.25">
      <c r="A1731" t="s">
        <v>513</v>
      </c>
      <c r="B1731" t="s">
        <v>494</v>
      </c>
      <c r="C1731">
        <v>76460560</v>
      </c>
      <c r="D1731">
        <v>1005</v>
      </c>
      <c r="E1731">
        <v>45415</v>
      </c>
      <c r="F1731" t="s">
        <v>1159</v>
      </c>
      <c r="G1731" s="1">
        <v>45237</v>
      </c>
      <c r="H1731">
        <v>5410509</v>
      </c>
      <c r="I1731">
        <v>70</v>
      </c>
      <c r="K1731" t="str">
        <f>IFERROR(IF(AND(VLOOKUP($C1731,Hes!$A:$B, 1, FALSE), $M1731&lt;&gt;" "), "Ingresada", "Falta Ingresar"), " ")</f>
        <v xml:space="preserve"> </v>
      </c>
      <c r="L1731" s="4" t="str">
        <f>IFERROR(VLOOKUP($C1731,Observaciones!$A:$B,2,FALSE)," ")</f>
        <v>FACTURAR LOS 25 DE CADA MES POR CC</v>
      </c>
      <c r="M1731" t="s">
        <v>681</v>
      </c>
      <c r="O1731" s="5">
        <v>30858517</v>
      </c>
      <c r="P1731" s="5">
        <v>2140755</v>
      </c>
      <c r="Q1731" s="5">
        <v>406743</v>
      </c>
      <c r="R1731" s="5">
        <v>2547498</v>
      </c>
    </row>
    <row r="1732" spans="1:18" x14ac:dyDescent="0.25">
      <c r="A1732" t="s">
        <v>513</v>
      </c>
      <c r="B1732" t="s">
        <v>494</v>
      </c>
      <c r="C1732">
        <v>76460560</v>
      </c>
      <c r="D1732">
        <v>1005</v>
      </c>
      <c r="E1732">
        <v>45415</v>
      </c>
      <c r="F1732" t="s">
        <v>1159</v>
      </c>
      <c r="G1732" s="1">
        <v>45237</v>
      </c>
      <c r="H1732">
        <v>5410515</v>
      </c>
      <c r="I1732">
        <v>70</v>
      </c>
      <c r="K1732" t="str">
        <f>IFERROR(IF(AND(VLOOKUP($C1732,Hes!$A:$B, 1, FALSE), $M1732&lt;&gt;" "), "Ingresada", "Falta Ingresar"), " ")</f>
        <v xml:space="preserve"> </v>
      </c>
      <c r="L1732" s="4" t="str">
        <f>IFERROR(VLOOKUP($C1732,Observaciones!$A:$B,2,FALSE)," ")</f>
        <v>FACTURAR LOS 25 DE CADA MES POR CC</v>
      </c>
      <c r="M1732" t="s">
        <v>681</v>
      </c>
      <c r="O1732" s="5">
        <v>30858617</v>
      </c>
      <c r="P1732" s="5">
        <v>9923064</v>
      </c>
      <c r="Q1732" s="5">
        <v>1885382</v>
      </c>
      <c r="R1732" s="5">
        <v>11808446</v>
      </c>
    </row>
    <row r="1733" spans="1:18" x14ac:dyDescent="0.25">
      <c r="A1733" t="s">
        <v>513</v>
      </c>
      <c r="B1733" t="s">
        <v>494</v>
      </c>
      <c r="C1733">
        <v>76460560</v>
      </c>
      <c r="D1733">
        <v>1005</v>
      </c>
      <c r="E1733">
        <v>45428</v>
      </c>
      <c r="F1733" t="s">
        <v>1159</v>
      </c>
      <c r="G1733" s="1">
        <v>45237</v>
      </c>
      <c r="H1733">
        <v>5410516</v>
      </c>
      <c r="I1733">
        <v>70</v>
      </c>
      <c r="K1733" t="str">
        <f>IFERROR(IF(AND(VLOOKUP($C1733,Hes!$A:$B, 1, FALSE), $M1733&lt;&gt;" "), "Ingresada", "Falta Ingresar"), " ")</f>
        <v xml:space="preserve"> </v>
      </c>
      <c r="L1733" s="4" t="str">
        <f>IFERROR(VLOOKUP($C1733,Observaciones!$A:$B,2,FALSE)," ")</f>
        <v>FACTURAR LOS 25 DE CADA MES POR CC</v>
      </c>
      <c r="M1733" t="s">
        <v>681</v>
      </c>
      <c r="O1733" s="5">
        <v>30861250</v>
      </c>
      <c r="P1733" s="5">
        <v>1843296</v>
      </c>
      <c r="Q1733" s="5">
        <v>350226</v>
      </c>
      <c r="R1733" s="5">
        <v>2199108</v>
      </c>
    </row>
    <row r="1734" spans="1:18" x14ac:dyDescent="0.25">
      <c r="A1734" t="s">
        <v>513</v>
      </c>
      <c r="B1734" t="s">
        <v>494</v>
      </c>
      <c r="C1734">
        <v>76460560</v>
      </c>
      <c r="D1734">
        <v>1005</v>
      </c>
      <c r="E1734">
        <v>45426</v>
      </c>
      <c r="F1734" t="s">
        <v>1159</v>
      </c>
      <c r="G1734" s="1">
        <v>45237</v>
      </c>
      <c r="H1734">
        <v>5410517</v>
      </c>
      <c r="I1734">
        <v>70</v>
      </c>
      <c r="K1734" t="str">
        <f>IFERROR(IF(AND(VLOOKUP($C1734,Hes!$A:$B, 1, FALSE), $M1734&lt;&gt;" "), "Ingresada", "Falta Ingresar"), " ")</f>
        <v xml:space="preserve"> </v>
      </c>
      <c r="L1734" s="4" t="str">
        <f>IFERROR(VLOOKUP($C1734,Observaciones!$A:$B,2,FALSE)," ")</f>
        <v>FACTURAR LOS 25 DE CADA MES POR CC</v>
      </c>
      <c r="M1734" t="s">
        <v>681</v>
      </c>
      <c r="O1734" s="5">
        <v>30861176</v>
      </c>
      <c r="P1734" s="5">
        <v>3490246</v>
      </c>
      <c r="Q1734" s="5">
        <v>663147</v>
      </c>
      <c r="R1734" s="5">
        <v>4153393</v>
      </c>
    </row>
    <row r="1735" spans="1:18" x14ac:dyDescent="0.25">
      <c r="F1735" t="s">
        <v>533</v>
      </c>
      <c r="K1735" t="str">
        <f>IFERROR(IF(AND(VLOOKUP($C1735,Hes!$A:$B, 1, FALSE), $M1735&lt;&gt;" "), "Ingresada", "Falta Ingresar"), " ")</f>
        <v xml:space="preserve"> </v>
      </c>
      <c r="L1735" s="4" t="str">
        <f>IFERROR(VLOOKUP($C1735,Observaciones!$A:$B,2,FALSE)," ")</f>
        <v xml:space="preserve"> </v>
      </c>
      <c r="M1735" t="s">
        <v>681</v>
      </c>
      <c r="P1735" s="5">
        <v>47994375</v>
      </c>
      <c r="Q1735" s="5">
        <v>9118930</v>
      </c>
      <c r="R1735" s="5">
        <v>57118891</v>
      </c>
    </row>
    <row r="1736" spans="1:18" x14ac:dyDescent="0.25">
      <c r="A1736" t="s">
        <v>496</v>
      </c>
      <c r="B1736" t="s">
        <v>494</v>
      </c>
      <c r="C1736">
        <v>76466068</v>
      </c>
      <c r="D1736">
        <v>2</v>
      </c>
      <c r="E1736">
        <v>4700003188</v>
      </c>
      <c r="F1736" t="s">
        <v>553</v>
      </c>
      <c r="G1736" s="1">
        <v>45232</v>
      </c>
      <c r="H1736">
        <v>5410789</v>
      </c>
      <c r="I1736">
        <v>424</v>
      </c>
      <c r="J1736" t="s">
        <v>146</v>
      </c>
      <c r="K1736" s="8" t="str">
        <f>IFERROR(IF(AND(VLOOKUP($C1736,Hes!$A:$B, 1, FALSE), $M1736&lt;&gt;" "), "Ingresada", "Falta Ingresar"), " ")</f>
        <v>Falta Ingresar</v>
      </c>
      <c r="L1736" s="4" t="str">
        <f>IFERROR(VLOOKUP($C1736,Observaciones!$A:$B,2,FALSE)," ")</f>
        <v>XOC Y CC</v>
      </c>
      <c r="M1736" t="s">
        <v>681</v>
      </c>
      <c r="N1736" s="5" t="s">
        <v>841</v>
      </c>
      <c r="O1736" s="5">
        <v>30844779</v>
      </c>
      <c r="P1736" s="5">
        <v>46431</v>
      </c>
      <c r="Q1736" s="5">
        <v>8822</v>
      </c>
      <c r="R1736" s="5">
        <v>55253</v>
      </c>
    </row>
    <row r="1737" spans="1:18" x14ac:dyDescent="0.25">
      <c r="A1737" t="s">
        <v>496</v>
      </c>
      <c r="B1737" t="s">
        <v>494</v>
      </c>
      <c r="C1737">
        <v>76466068</v>
      </c>
      <c r="D1737">
        <v>5</v>
      </c>
      <c r="E1737">
        <v>4500008172</v>
      </c>
      <c r="F1737" t="s">
        <v>553</v>
      </c>
      <c r="G1737" s="1">
        <v>45232</v>
      </c>
      <c r="H1737">
        <v>5411165</v>
      </c>
      <c r="I1737">
        <v>424</v>
      </c>
      <c r="J1737" t="s">
        <v>146</v>
      </c>
      <c r="K1737" s="7" t="str">
        <f>IFERROR(IF(AND(VLOOKUP($C1737,Hes!$A:$B, 1, FALSE), $M1737&lt;&gt;" "), "Ingresada", "Falta Ingresar"), " ")</f>
        <v>Ingresada</v>
      </c>
      <c r="L1737" s="4" t="str">
        <f>IFERROR(VLOOKUP($C1737,Observaciones!$A:$B,2,FALSE)," ")</f>
        <v>XOC Y CC</v>
      </c>
      <c r="M1737">
        <v>1000026617</v>
      </c>
      <c r="N1737" s="5" t="s">
        <v>841</v>
      </c>
      <c r="O1737" s="5">
        <v>30844711</v>
      </c>
      <c r="P1737" s="5">
        <v>28170</v>
      </c>
      <c r="Q1737" s="5">
        <v>5352</v>
      </c>
      <c r="R1737" s="5">
        <v>33522</v>
      </c>
    </row>
    <row r="1738" spans="1:18" x14ac:dyDescent="0.25">
      <c r="A1738" t="s">
        <v>496</v>
      </c>
      <c r="B1738" t="s">
        <v>494</v>
      </c>
      <c r="C1738">
        <v>76466068</v>
      </c>
      <c r="D1738">
        <v>13</v>
      </c>
      <c r="E1738">
        <v>4700003174</v>
      </c>
      <c r="F1738" t="s">
        <v>553</v>
      </c>
      <c r="G1738" s="1">
        <v>45233</v>
      </c>
      <c r="H1738">
        <v>5411362</v>
      </c>
      <c r="I1738">
        <v>424</v>
      </c>
      <c r="J1738" t="s">
        <v>146</v>
      </c>
      <c r="K1738" s="8" t="str">
        <f>IFERROR(IF(AND(VLOOKUP($C1738,Hes!$A:$B, 1, FALSE), $M1738&lt;&gt;" "), "Ingresada", "Falta Ingresar"), " ")</f>
        <v>Falta Ingresar</v>
      </c>
      <c r="L1738" s="4" t="str">
        <f>IFERROR(VLOOKUP($C1738,Observaciones!$A:$B,2,FALSE)," ")</f>
        <v>XOC Y CC</v>
      </c>
      <c r="M1738" t="s">
        <v>681</v>
      </c>
      <c r="N1738" s="5" t="s">
        <v>841</v>
      </c>
      <c r="O1738" s="5">
        <v>30849526</v>
      </c>
      <c r="P1738" s="5">
        <v>10829</v>
      </c>
      <c r="Q1738" s="5">
        <v>2058</v>
      </c>
      <c r="R1738" s="5">
        <v>12887</v>
      </c>
    </row>
    <row r="1739" spans="1:18" x14ac:dyDescent="0.25">
      <c r="A1739" t="s">
        <v>496</v>
      </c>
      <c r="B1739" t="s">
        <v>494</v>
      </c>
      <c r="C1739">
        <v>76466068</v>
      </c>
      <c r="D1739">
        <v>1</v>
      </c>
      <c r="E1739">
        <v>4700003202</v>
      </c>
      <c r="F1739" t="s">
        <v>553</v>
      </c>
      <c r="G1739" s="1">
        <v>45238</v>
      </c>
      <c r="H1739">
        <v>5415758</v>
      </c>
      <c r="I1739">
        <v>424</v>
      </c>
      <c r="J1739" t="s">
        <v>146</v>
      </c>
      <c r="K1739" s="8" t="str">
        <f>IFERROR(IF(AND(VLOOKUP($C1739,Hes!$A:$B, 1, FALSE), $M1739&lt;&gt;" "), "Ingresada", "Falta Ingresar"), " ")</f>
        <v>Falta Ingresar</v>
      </c>
      <c r="L1739" s="4" t="str">
        <f>IFERROR(VLOOKUP($C1739,Observaciones!$A:$B,2,FALSE)," ")</f>
        <v>XOC Y CC</v>
      </c>
      <c r="M1739" t="s">
        <v>681</v>
      </c>
      <c r="N1739" s="5" t="s">
        <v>841</v>
      </c>
      <c r="O1739" s="5">
        <v>30865636</v>
      </c>
      <c r="P1739" s="5">
        <v>15694</v>
      </c>
      <c r="Q1739" s="5">
        <v>2982</v>
      </c>
      <c r="R1739" s="5">
        <v>18676</v>
      </c>
    </row>
    <row r="1740" spans="1:18" x14ac:dyDescent="0.25">
      <c r="A1740" t="s">
        <v>496</v>
      </c>
      <c r="B1740" t="s">
        <v>494</v>
      </c>
      <c r="C1740">
        <v>76466068</v>
      </c>
      <c r="D1740">
        <v>14</v>
      </c>
      <c r="E1740">
        <v>4500008213</v>
      </c>
      <c r="F1740" t="s">
        <v>553</v>
      </c>
      <c r="G1740" s="1">
        <v>45238</v>
      </c>
      <c r="H1740">
        <v>5415783</v>
      </c>
      <c r="I1740">
        <v>424</v>
      </c>
      <c r="J1740" t="s">
        <v>146</v>
      </c>
      <c r="K1740" s="8" t="str">
        <f>IFERROR(IF(AND(VLOOKUP($C1740,Hes!$A:$B, 1, FALSE), $M1740&lt;&gt;" "), "Ingresada", "Falta Ingresar"), " ")</f>
        <v>Falta Ingresar</v>
      </c>
      <c r="L1740" s="4" t="str">
        <f>IFERROR(VLOOKUP($C1740,Observaciones!$A:$B,2,FALSE)," ")</f>
        <v>XOC Y CC</v>
      </c>
      <c r="M1740" t="s">
        <v>681</v>
      </c>
      <c r="N1740" s="5" t="s">
        <v>841</v>
      </c>
      <c r="O1740" s="5">
        <v>30864382</v>
      </c>
      <c r="P1740" s="5">
        <v>36139</v>
      </c>
      <c r="Q1740" s="5">
        <v>6866</v>
      </c>
      <c r="R1740" s="5">
        <v>43005</v>
      </c>
    </row>
    <row r="1741" spans="1:18" x14ac:dyDescent="0.25">
      <c r="A1741" t="s">
        <v>496</v>
      </c>
      <c r="B1741" t="s">
        <v>494</v>
      </c>
      <c r="C1741">
        <v>76466068</v>
      </c>
      <c r="D1741">
        <v>4</v>
      </c>
      <c r="E1741">
        <v>4700003194</v>
      </c>
      <c r="F1741" t="s">
        <v>553</v>
      </c>
      <c r="G1741" s="1">
        <v>45238</v>
      </c>
      <c r="H1741">
        <v>5415793</v>
      </c>
      <c r="I1741">
        <v>424</v>
      </c>
      <c r="J1741" t="s">
        <v>146</v>
      </c>
      <c r="K1741" s="8" t="str">
        <f>IFERROR(IF(AND(VLOOKUP($C1741,Hes!$A:$B, 1, FALSE), $M1741&lt;&gt;" "), "Ingresada", "Falta Ingresar"), " ")</f>
        <v>Falta Ingresar</v>
      </c>
      <c r="L1741" s="4" t="str">
        <f>IFERROR(VLOOKUP($C1741,Observaciones!$A:$B,2,FALSE)," ")</f>
        <v>XOC Y CC</v>
      </c>
      <c r="M1741" t="s">
        <v>681</v>
      </c>
      <c r="N1741" s="5" t="s">
        <v>841</v>
      </c>
      <c r="O1741" s="5">
        <v>30865813</v>
      </c>
      <c r="P1741" s="5">
        <v>48076</v>
      </c>
      <c r="Q1741" s="5">
        <v>9134</v>
      </c>
      <c r="R1741" s="5">
        <v>57210</v>
      </c>
    </row>
    <row r="1742" spans="1:18" x14ac:dyDescent="0.25">
      <c r="F1742" t="s">
        <v>523</v>
      </c>
      <c r="K1742" t="str">
        <f>IFERROR(IF(AND(VLOOKUP($C1742,Hes!$A:$B, 1, FALSE), $M1742&lt;&gt;" "), "Ingresada", "Falta Ingresar"), " ")</f>
        <v xml:space="preserve"> </v>
      </c>
      <c r="L1742" s="4" t="str">
        <f>IFERROR(VLOOKUP($C1742,Observaciones!$A:$B,2,FALSE)," ")</f>
        <v xml:space="preserve"> </v>
      </c>
      <c r="M1742" t="s">
        <v>681</v>
      </c>
      <c r="P1742" s="5">
        <v>185339</v>
      </c>
      <c r="Q1742" s="5">
        <v>35214</v>
      </c>
      <c r="R1742" s="5">
        <v>220553</v>
      </c>
    </row>
    <row r="1743" spans="1:18" x14ac:dyDescent="0.25">
      <c r="A1743" t="s">
        <v>522</v>
      </c>
      <c r="B1743" t="s">
        <v>494</v>
      </c>
      <c r="C1743">
        <v>76474349</v>
      </c>
      <c r="D1743">
        <v>2</v>
      </c>
      <c r="E1743">
        <v>30845627</v>
      </c>
      <c r="F1743" t="s">
        <v>1160</v>
      </c>
      <c r="G1743" s="1">
        <v>45236</v>
      </c>
      <c r="H1743">
        <v>5412017</v>
      </c>
      <c r="I1743">
        <v>466</v>
      </c>
      <c r="J1743" t="s">
        <v>103</v>
      </c>
      <c r="K1743" t="str">
        <f>IFERROR(IF(AND(VLOOKUP($C1743,Hes!$A:$B, 1, FALSE), $M1743&lt;&gt;" "), "Ingresada", "Falta Ingresar"), " ")</f>
        <v xml:space="preserve"> </v>
      </c>
      <c r="L1743" s="4" t="s">
        <v>681</v>
      </c>
      <c r="M1743" t="s">
        <v>681</v>
      </c>
      <c r="O1743" s="5">
        <v>30845627</v>
      </c>
      <c r="P1743" s="5">
        <v>69937</v>
      </c>
      <c r="Q1743" s="5">
        <v>13288</v>
      </c>
      <c r="R1743" s="5">
        <v>83225</v>
      </c>
    </row>
    <row r="1744" spans="1:18" x14ac:dyDescent="0.25">
      <c r="F1744" t="s">
        <v>495</v>
      </c>
      <c r="K1744" t="str">
        <f>IFERROR(IF(AND(VLOOKUP($C1744,Hes!$A:$B, 1, FALSE), $M1744&lt;&gt;" "), "Ingresada", "Falta Ingresar"), " ")</f>
        <v xml:space="preserve"> </v>
      </c>
      <c r="L1744" s="4" t="str">
        <f>IFERROR(VLOOKUP($C1744,Observaciones!$A:$B,2,FALSE)," ")</f>
        <v xml:space="preserve"> </v>
      </c>
      <c r="M1744" t="s">
        <v>681</v>
      </c>
      <c r="P1744" s="5">
        <v>69937</v>
      </c>
      <c r="Q1744" s="5">
        <v>13288</v>
      </c>
      <c r="R1744" s="5">
        <v>83225</v>
      </c>
    </row>
    <row r="1745" spans="1:18" x14ac:dyDescent="0.25">
      <c r="A1745" t="s">
        <v>503</v>
      </c>
      <c r="B1745" t="s">
        <v>494</v>
      </c>
      <c r="C1745">
        <v>76481620</v>
      </c>
      <c r="D1745">
        <v>0</v>
      </c>
      <c r="E1745">
        <v>4500196130</v>
      </c>
      <c r="F1745" t="s">
        <v>1161</v>
      </c>
      <c r="G1745" s="1">
        <v>45236</v>
      </c>
      <c r="H1745">
        <v>5413461</v>
      </c>
      <c r="I1745">
        <v>409</v>
      </c>
      <c r="J1745" t="s">
        <v>186</v>
      </c>
      <c r="K1745" t="str">
        <f>IFERROR(IF(AND(VLOOKUP($C1745,Hes!$A:$B, 1, FALSE), $M1745&lt;&gt;" "), "Ingresada", "Falta Ingresar"), " ")</f>
        <v xml:space="preserve"> </v>
      </c>
      <c r="L1745" s="4" t="str">
        <f>IFERROR(VLOOKUP($C1745,Observaciones!$A:$B,2,FALSE)," ")</f>
        <v xml:space="preserve"> </v>
      </c>
      <c r="M1745" t="s">
        <v>681</v>
      </c>
      <c r="O1745" s="5">
        <v>30857693</v>
      </c>
      <c r="P1745" s="5">
        <v>249800</v>
      </c>
      <c r="Q1745" s="5">
        <v>47462</v>
      </c>
      <c r="R1745" s="5">
        <v>297262</v>
      </c>
    </row>
    <row r="1746" spans="1:18" x14ac:dyDescent="0.25">
      <c r="A1746" t="s">
        <v>503</v>
      </c>
      <c r="B1746" t="s">
        <v>494</v>
      </c>
      <c r="C1746">
        <v>76481620</v>
      </c>
      <c r="D1746">
        <v>0</v>
      </c>
      <c r="E1746">
        <v>4500196176</v>
      </c>
      <c r="F1746" t="s">
        <v>1161</v>
      </c>
      <c r="G1746" s="1">
        <v>45237</v>
      </c>
      <c r="H1746">
        <v>5414331</v>
      </c>
      <c r="I1746">
        <v>409</v>
      </c>
      <c r="J1746" t="s">
        <v>186</v>
      </c>
      <c r="K1746" t="str">
        <f>IFERROR(IF(AND(VLOOKUP($C1746,Hes!$A:$B, 1, FALSE), $M1746&lt;&gt;" "), "Ingresada", "Falta Ingresar"), " ")</f>
        <v xml:space="preserve"> </v>
      </c>
      <c r="L1746" s="4" t="str">
        <f>IFERROR(VLOOKUP($C1746,Observaciones!$A:$B,2,FALSE)," ")</f>
        <v xml:space="preserve"> </v>
      </c>
      <c r="M1746" t="s">
        <v>681</v>
      </c>
      <c r="O1746" s="5">
        <v>30861181</v>
      </c>
      <c r="P1746" s="5">
        <v>12240</v>
      </c>
      <c r="Q1746" s="5">
        <v>2326</v>
      </c>
      <c r="R1746" s="5">
        <v>14566</v>
      </c>
    </row>
    <row r="1747" spans="1:18" x14ac:dyDescent="0.25">
      <c r="F1747" t="s">
        <v>497</v>
      </c>
      <c r="K1747" t="str">
        <f>IFERROR(IF(AND(VLOOKUP($C1747,Hes!$A:$B, 1, FALSE), $M1747&lt;&gt;" "), "Ingresada", "Falta Ingresar"), " ")</f>
        <v xml:space="preserve"> </v>
      </c>
      <c r="L1747" s="4" t="str">
        <f>IFERROR(VLOOKUP($C1747,Observaciones!$A:$B,2,FALSE)," ")</f>
        <v xml:space="preserve"> </v>
      </c>
      <c r="M1747" t="s">
        <v>681</v>
      </c>
      <c r="P1747" s="5">
        <v>262040</v>
      </c>
      <c r="Q1747" s="5">
        <v>49788</v>
      </c>
      <c r="R1747" s="5">
        <v>311828</v>
      </c>
    </row>
    <row r="1748" spans="1:18" x14ac:dyDescent="0.25">
      <c r="A1748" t="s">
        <v>501</v>
      </c>
      <c r="B1748" t="s">
        <v>494</v>
      </c>
      <c r="C1748">
        <v>76498260</v>
      </c>
      <c r="D1748">
        <v>16</v>
      </c>
      <c r="E1748">
        <v>30852157</v>
      </c>
      <c r="F1748" t="s">
        <v>1162</v>
      </c>
      <c r="G1748" s="1">
        <v>45236</v>
      </c>
      <c r="H1748">
        <v>5412143</v>
      </c>
      <c r="I1748">
        <v>431</v>
      </c>
      <c r="J1748" t="s">
        <v>354</v>
      </c>
      <c r="K1748" t="str">
        <f>IFERROR(IF(AND(VLOOKUP($C1748,Hes!$A:$B, 1, FALSE), $M1748&lt;&gt;" "), "Ingresada", "Falta Ingresar"), " ")</f>
        <v xml:space="preserve"> </v>
      </c>
      <c r="L1748" s="4" t="str">
        <f>IFERROR(VLOOKUP($C1748,Observaciones!$A:$B,2,FALSE)," ")</f>
        <v xml:space="preserve"> </v>
      </c>
      <c r="M1748" t="s">
        <v>681</v>
      </c>
      <c r="O1748" s="5">
        <v>30852157</v>
      </c>
      <c r="P1748" s="5">
        <v>34429</v>
      </c>
      <c r="Q1748" s="5">
        <v>6542</v>
      </c>
      <c r="R1748" s="5">
        <v>40971</v>
      </c>
    </row>
    <row r="1749" spans="1:18" x14ac:dyDescent="0.25">
      <c r="A1749" t="s">
        <v>501</v>
      </c>
      <c r="B1749" t="s">
        <v>494</v>
      </c>
      <c r="C1749">
        <v>76498260</v>
      </c>
      <c r="D1749">
        <v>30</v>
      </c>
      <c r="E1749">
        <v>30855000</v>
      </c>
      <c r="F1749" t="s">
        <v>1162</v>
      </c>
      <c r="G1749" s="1">
        <v>45234</v>
      </c>
      <c r="H1749">
        <v>5412801</v>
      </c>
      <c r="I1749">
        <v>431</v>
      </c>
      <c r="J1749" t="s">
        <v>354</v>
      </c>
      <c r="K1749" t="str">
        <f>IFERROR(IF(AND(VLOOKUP($C1749,Hes!$A:$B, 1, FALSE), $M1749&lt;&gt;" "), "Ingresada", "Falta Ingresar"), " ")</f>
        <v xml:space="preserve"> </v>
      </c>
      <c r="L1749" s="4" t="str">
        <f>IFERROR(VLOOKUP($C1749,Observaciones!$A:$B,2,FALSE)," ")</f>
        <v xml:space="preserve"> </v>
      </c>
      <c r="M1749" t="s">
        <v>681</v>
      </c>
      <c r="O1749" s="5">
        <v>30855000</v>
      </c>
      <c r="P1749" s="5">
        <v>40506</v>
      </c>
      <c r="Q1749" s="5">
        <v>7696</v>
      </c>
      <c r="R1749" s="5">
        <v>48202</v>
      </c>
    </row>
    <row r="1750" spans="1:18" x14ac:dyDescent="0.25">
      <c r="A1750" t="s">
        <v>501</v>
      </c>
      <c r="B1750" t="s">
        <v>494</v>
      </c>
      <c r="C1750">
        <v>76498260</v>
      </c>
      <c r="D1750">
        <v>35</v>
      </c>
      <c r="E1750">
        <v>30855036</v>
      </c>
      <c r="F1750" t="s">
        <v>1162</v>
      </c>
      <c r="G1750" s="1">
        <v>45234</v>
      </c>
      <c r="H1750">
        <v>5412853</v>
      </c>
      <c r="I1750">
        <v>431</v>
      </c>
      <c r="J1750" t="s">
        <v>354</v>
      </c>
      <c r="K1750" t="str">
        <f>IFERROR(IF(AND(VLOOKUP($C1750,Hes!$A:$B, 1, FALSE), $M1750&lt;&gt;" "), "Ingresada", "Falta Ingresar"), " ")</f>
        <v xml:space="preserve"> </v>
      </c>
      <c r="L1750" s="4" t="str">
        <f>IFERROR(VLOOKUP($C1750,Observaciones!$A:$B,2,FALSE)," ")</f>
        <v xml:space="preserve"> </v>
      </c>
      <c r="M1750" t="s">
        <v>681</v>
      </c>
      <c r="O1750" s="5">
        <v>30855036</v>
      </c>
      <c r="P1750" s="5">
        <v>38027</v>
      </c>
      <c r="Q1750" s="5">
        <v>7225</v>
      </c>
      <c r="R1750" s="5">
        <v>45252</v>
      </c>
    </row>
    <row r="1751" spans="1:18" x14ac:dyDescent="0.25">
      <c r="A1751" t="s">
        <v>501</v>
      </c>
      <c r="B1751" t="s">
        <v>494</v>
      </c>
      <c r="C1751">
        <v>76498260</v>
      </c>
      <c r="D1751">
        <v>17</v>
      </c>
      <c r="E1751">
        <v>30855012</v>
      </c>
      <c r="F1751" t="s">
        <v>1162</v>
      </c>
      <c r="G1751" s="1">
        <v>45236</v>
      </c>
      <c r="H1751">
        <v>5413055</v>
      </c>
      <c r="I1751">
        <v>431</v>
      </c>
      <c r="J1751" t="s">
        <v>354</v>
      </c>
      <c r="K1751" t="str">
        <f>IFERROR(IF(AND(VLOOKUP($C1751,Hes!$A:$B, 1, FALSE), $M1751&lt;&gt;" "), "Ingresada", "Falta Ingresar"), " ")</f>
        <v xml:space="preserve"> </v>
      </c>
      <c r="L1751" s="4" t="str">
        <f>IFERROR(VLOOKUP($C1751,Observaciones!$A:$B,2,FALSE)," ")</f>
        <v xml:space="preserve"> </v>
      </c>
      <c r="M1751" t="s">
        <v>681</v>
      </c>
      <c r="O1751" s="5">
        <v>30855012</v>
      </c>
      <c r="P1751" s="5">
        <v>46841</v>
      </c>
      <c r="Q1751" s="5">
        <v>8900</v>
      </c>
      <c r="R1751" s="5">
        <v>55741</v>
      </c>
    </row>
    <row r="1752" spans="1:18" x14ac:dyDescent="0.25">
      <c r="A1752" t="s">
        <v>501</v>
      </c>
      <c r="B1752" t="s">
        <v>494</v>
      </c>
      <c r="C1752">
        <v>76498260</v>
      </c>
      <c r="D1752">
        <v>19</v>
      </c>
      <c r="E1752">
        <v>30852147</v>
      </c>
      <c r="F1752" t="s">
        <v>1162</v>
      </c>
      <c r="G1752" s="1">
        <v>45236</v>
      </c>
      <c r="H1752">
        <v>5413118</v>
      </c>
      <c r="I1752">
        <v>431</v>
      </c>
      <c r="J1752" t="s">
        <v>354</v>
      </c>
      <c r="K1752" t="str">
        <f>IFERROR(IF(AND(VLOOKUP($C1752,Hes!$A:$B, 1, FALSE), $M1752&lt;&gt;" "), "Ingresada", "Falta Ingresar"), " ")</f>
        <v xml:space="preserve"> </v>
      </c>
      <c r="L1752" s="4" t="str">
        <f>IFERROR(VLOOKUP($C1752,Observaciones!$A:$B,2,FALSE)," ")</f>
        <v xml:space="preserve"> </v>
      </c>
      <c r="M1752" t="s">
        <v>681</v>
      </c>
      <c r="O1752" s="5">
        <v>30852147</v>
      </c>
      <c r="P1752" s="5">
        <v>44409</v>
      </c>
      <c r="Q1752" s="5">
        <v>8438</v>
      </c>
      <c r="R1752" s="5">
        <v>52847</v>
      </c>
    </row>
    <row r="1753" spans="1:18" x14ac:dyDescent="0.25">
      <c r="A1753" t="s">
        <v>501</v>
      </c>
      <c r="B1753" t="s">
        <v>494</v>
      </c>
      <c r="C1753">
        <v>76498260</v>
      </c>
      <c r="D1753">
        <v>40</v>
      </c>
      <c r="E1753">
        <v>30852152</v>
      </c>
      <c r="F1753" t="s">
        <v>1162</v>
      </c>
      <c r="G1753" s="1">
        <v>45236</v>
      </c>
      <c r="H1753">
        <v>5413220</v>
      </c>
      <c r="I1753">
        <v>431</v>
      </c>
      <c r="J1753" t="s">
        <v>354</v>
      </c>
      <c r="K1753" t="str">
        <f>IFERROR(IF(AND(VLOOKUP($C1753,Hes!$A:$B, 1, FALSE), $M1753&lt;&gt;" "), "Ingresada", "Falta Ingresar"), " ")</f>
        <v xml:space="preserve"> </v>
      </c>
      <c r="L1753" s="4" t="str">
        <f>IFERROR(VLOOKUP($C1753,Observaciones!$A:$B,2,FALSE)," ")</f>
        <v xml:space="preserve"> </v>
      </c>
      <c r="M1753" t="s">
        <v>681</v>
      </c>
      <c r="O1753" s="5">
        <v>30852152</v>
      </c>
      <c r="P1753" s="5">
        <v>49257</v>
      </c>
      <c r="Q1753" s="5">
        <v>9359</v>
      </c>
      <c r="R1753" s="5">
        <v>58616</v>
      </c>
    </row>
    <row r="1754" spans="1:18" x14ac:dyDescent="0.25">
      <c r="A1754" t="s">
        <v>501</v>
      </c>
      <c r="B1754" t="s">
        <v>494</v>
      </c>
      <c r="C1754">
        <v>76498260</v>
      </c>
      <c r="D1754">
        <v>38</v>
      </c>
      <c r="E1754">
        <v>30852235</v>
      </c>
      <c r="F1754" t="s">
        <v>1162</v>
      </c>
      <c r="G1754" s="1">
        <v>45236</v>
      </c>
      <c r="H1754">
        <v>5413303</v>
      </c>
      <c r="I1754">
        <v>431</v>
      </c>
      <c r="J1754" t="s">
        <v>354</v>
      </c>
      <c r="K1754" t="str">
        <f>IFERROR(IF(AND(VLOOKUP($C1754,Hes!$A:$B, 1, FALSE), $M1754&lt;&gt;" "), "Ingresada", "Falta Ingresar"), " ")</f>
        <v xml:space="preserve"> </v>
      </c>
      <c r="L1754" s="4" t="str">
        <f>IFERROR(VLOOKUP($C1754,Observaciones!$A:$B,2,FALSE)," ")</f>
        <v xml:space="preserve"> </v>
      </c>
      <c r="M1754" t="s">
        <v>681</v>
      </c>
      <c r="O1754" s="5">
        <v>30852235</v>
      </c>
      <c r="P1754" s="5">
        <v>53302</v>
      </c>
      <c r="Q1754" s="5">
        <v>10127</v>
      </c>
      <c r="R1754" s="5">
        <v>63429</v>
      </c>
    </row>
    <row r="1755" spans="1:18" x14ac:dyDescent="0.25">
      <c r="A1755" t="s">
        <v>501</v>
      </c>
      <c r="B1755" t="s">
        <v>494</v>
      </c>
      <c r="C1755">
        <v>76498260</v>
      </c>
      <c r="D1755">
        <v>37</v>
      </c>
      <c r="E1755">
        <v>30855001</v>
      </c>
      <c r="F1755" t="s">
        <v>1162</v>
      </c>
      <c r="G1755" s="1">
        <v>45236</v>
      </c>
      <c r="H1755">
        <v>5413360</v>
      </c>
      <c r="I1755">
        <v>431</v>
      </c>
      <c r="J1755" t="s">
        <v>354</v>
      </c>
      <c r="K1755" t="str">
        <f>IFERROR(IF(AND(VLOOKUP($C1755,Hes!$A:$B, 1, FALSE), $M1755&lt;&gt;" "), "Ingresada", "Falta Ingresar"), " ")</f>
        <v xml:space="preserve"> </v>
      </c>
      <c r="L1755" s="4" t="str">
        <f>IFERROR(VLOOKUP($C1755,Observaciones!$A:$B,2,FALSE)," ")</f>
        <v xml:space="preserve"> </v>
      </c>
      <c r="M1755" t="s">
        <v>681</v>
      </c>
      <c r="O1755" s="5">
        <v>30855001</v>
      </c>
      <c r="P1755" s="5">
        <v>49822</v>
      </c>
      <c r="Q1755" s="5">
        <v>9466</v>
      </c>
      <c r="R1755" s="5">
        <v>59288</v>
      </c>
    </row>
    <row r="1756" spans="1:18" x14ac:dyDescent="0.25">
      <c r="A1756" t="s">
        <v>501</v>
      </c>
      <c r="B1756" t="s">
        <v>494</v>
      </c>
      <c r="C1756">
        <v>76498260</v>
      </c>
      <c r="D1756">
        <v>44</v>
      </c>
      <c r="E1756">
        <v>30852313</v>
      </c>
      <c r="F1756" t="s">
        <v>1162</v>
      </c>
      <c r="G1756" s="1">
        <v>45236</v>
      </c>
      <c r="H1756">
        <v>5413420</v>
      </c>
      <c r="I1756">
        <v>431</v>
      </c>
      <c r="J1756" t="s">
        <v>354</v>
      </c>
      <c r="K1756" t="str">
        <f>IFERROR(IF(AND(VLOOKUP($C1756,Hes!$A:$B, 1, FALSE), $M1756&lt;&gt;" "), "Ingresada", "Falta Ingresar"), " ")</f>
        <v xml:space="preserve"> </v>
      </c>
      <c r="L1756" s="4" t="str">
        <f>IFERROR(VLOOKUP($C1756,Observaciones!$A:$B,2,FALSE)," ")</f>
        <v xml:space="preserve"> </v>
      </c>
      <c r="M1756" t="s">
        <v>681</v>
      </c>
      <c r="O1756" s="5">
        <v>30852313</v>
      </c>
      <c r="P1756" s="5">
        <v>53540</v>
      </c>
      <c r="Q1756" s="5">
        <v>10173</v>
      </c>
      <c r="R1756" s="5">
        <v>63713</v>
      </c>
    </row>
    <row r="1757" spans="1:18" x14ac:dyDescent="0.25">
      <c r="A1757" t="s">
        <v>501</v>
      </c>
      <c r="B1757" t="s">
        <v>494</v>
      </c>
      <c r="C1757">
        <v>76498260</v>
      </c>
      <c r="D1757">
        <v>12</v>
      </c>
      <c r="E1757">
        <v>30854990</v>
      </c>
      <c r="F1757" t="s">
        <v>1162</v>
      </c>
      <c r="G1757" s="1">
        <v>45236</v>
      </c>
      <c r="H1757">
        <v>5413529</v>
      </c>
      <c r="I1757">
        <v>431</v>
      </c>
      <c r="J1757" t="s">
        <v>354</v>
      </c>
      <c r="K1757" t="str">
        <f>IFERROR(IF(AND(VLOOKUP($C1757,Hes!$A:$B, 1, FALSE), $M1757&lt;&gt;" "), "Ingresada", "Falta Ingresar"), " ")</f>
        <v xml:space="preserve"> </v>
      </c>
      <c r="L1757" s="4" t="str">
        <f>IFERROR(VLOOKUP($C1757,Observaciones!$A:$B,2,FALSE)," ")</f>
        <v xml:space="preserve"> </v>
      </c>
      <c r="M1757" t="s">
        <v>681</v>
      </c>
      <c r="O1757" s="5">
        <v>30854990</v>
      </c>
      <c r="P1757" s="5">
        <v>49102</v>
      </c>
      <c r="Q1757" s="5">
        <v>9329</v>
      </c>
      <c r="R1757" s="5">
        <v>58431</v>
      </c>
    </row>
    <row r="1758" spans="1:18" x14ac:dyDescent="0.25">
      <c r="A1758" t="s">
        <v>501</v>
      </c>
      <c r="B1758" t="s">
        <v>494</v>
      </c>
      <c r="C1758">
        <v>76498260</v>
      </c>
      <c r="D1758">
        <v>26</v>
      </c>
      <c r="E1758">
        <v>30854993</v>
      </c>
      <c r="F1758" t="s">
        <v>1162</v>
      </c>
      <c r="G1758" s="1">
        <v>45236</v>
      </c>
      <c r="H1758">
        <v>5413533</v>
      </c>
      <c r="I1758">
        <v>431</v>
      </c>
      <c r="J1758" t="s">
        <v>354</v>
      </c>
      <c r="K1758" t="str">
        <f>IFERROR(IF(AND(VLOOKUP($C1758,Hes!$A:$B, 1, FALSE), $M1758&lt;&gt;" "), "Ingresada", "Falta Ingresar"), " ")</f>
        <v xml:space="preserve"> </v>
      </c>
      <c r="L1758" s="4" t="str">
        <f>IFERROR(VLOOKUP($C1758,Observaciones!$A:$B,2,FALSE)," ")</f>
        <v xml:space="preserve"> </v>
      </c>
      <c r="M1758" t="s">
        <v>681</v>
      </c>
      <c r="O1758" s="5">
        <v>30854993</v>
      </c>
      <c r="P1758" s="5">
        <v>46394</v>
      </c>
      <c r="Q1758" s="5">
        <v>8815</v>
      </c>
      <c r="R1758" s="5">
        <v>55209</v>
      </c>
    </row>
    <row r="1759" spans="1:18" x14ac:dyDescent="0.25">
      <c r="A1759" t="s">
        <v>501</v>
      </c>
      <c r="B1759" t="s">
        <v>494</v>
      </c>
      <c r="C1759">
        <v>76498260</v>
      </c>
      <c r="D1759">
        <v>21</v>
      </c>
      <c r="E1759">
        <v>30854996</v>
      </c>
      <c r="F1759" t="s">
        <v>1162</v>
      </c>
      <c r="G1759" s="1">
        <v>45236</v>
      </c>
      <c r="H1759">
        <v>5413568</v>
      </c>
      <c r="I1759">
        <v>431</v>
      </c>
      <c r="J1759" t="s">
        <v>354</v>
      </c>
      <c r="K1759" t="str">
        <f>IFERROR(IF(AND(VLOOKUP($C1759,Hes!$A:$B, 1, FALSE), $M1759&lt;&gt;" "), "Ingresada", "Falta Ingresar"), " ")</f>
        <v xml:space="preserve"> </v>
      </c>
      <c r="L1759" s="4" t="str">
        <f>IFERROR(VLOOKUP($C1759,Observaciones!$A:$B,2,FALSE)," ")</f>
        <v xml:space="preserve"> </v>
      </c>
      <c r="M1759" t="s">
        <v>681</v>
      </c>
      <c r="O1759" s="5">
        <v>30854996</v>
      </c>
      <c r="P1759" s="5">
        <v>48799</v>
      </c>
      <c r="Q1759" s="5">
        <v>9272</v>
      </c>
      <c r="R1759" s="5">
        <v>58071</v>
      </c>
    </row>
    <row r="1760" spans="1:18" x14ac:dyDescent="0.25">
      <c r="A1760" t="s">
        <v>501</v>
      </c>
      <c r="B1760" t="s">
        <v>494</v>
      </c>
      <c r="C1760">
        <v>76498260</v>
      </c>
      <c r="D1760">
        <v>41</v>
      </c>
      <c r="E1760">
        <v>30854999</v>
      </c>
      <c r="F1760" t="s">
        <v>1162</v>
      </c>
      <c r="G1760" s="1">
        <v>45236</v>
      </c>
      <c r="H1760">
        <v>5413582</v>
      </c>
      <c r="I1760">
        <v>431</v>
      </c>
      <c r="J1760" t="s">
        <v>354</v>
      </c>
      <c r="K1760" t="str">
        <f>IFERROR(IF(AND(VLOOKUP($C1760,Hes!$A:$B, 1, FALSE), $M1760&lt;&gt;" "), "Ingresada", "Falta Ingresar"), " ")</f>
        <v xml:space="preserve"> </v>
      </c>
      <c r="L1760" s="4" t="str">
        <f>IFERROR(VLOOKUP($C1760,Observaciones!$A:$B,2,FALSE)," ")</f>
        <v xml:space="preserve"> </v>
      </c>
      <c r="M1760" t="s">
        <v>681</v>
      </c>
      <c r="O1760" s="5">
        <v>30854999</v>
      </c>
      <c r="P1760" s="5">
        <v>46297</v>
      </c>
      <c r="Q1760" s="5">
        <v>8796</v>
      </c>
      <c r="R1760" s="5">
        <v>55093</v>
      </c>
    </row>
    <row r="1761" spans="1:18" x14ac:dyDescent="0.25">
      <c r="A1761" t="s">
        <v>501</v>
      </c>
      <c r="B1761" t="s">
        <v>494</v>
      </c>
      <c r="C1761">
        <v>76498260</v>
      </c>
      <c r="D1761">
        <v>36</v>
      </c>
      <c r="E1761">
        <v>30854998</v>
      </c>
      <c r="F1761" t="s">
        <v>1162</v>
      </c>
      <c r="G1761" s="1">
        <v>45236</v>
      </c>
      <c r="H1761">
        <v>5413613</v>
      </c>
      <c r="I1761">
        <v>431</v>
      </c>
      <c r="J1761" t="s">
        <v>354</v>
      </c>
      <c r="K1761" t="str">
        <f>IFERROR(IF(AND(VLOOKUP($C1761,Hes!$A:$B, 1, FALSE), $M1761&lt;&gt;" "), "Ingresada", "Falta Ingresar"), " ")</f>
        <v xml:space="preserve"> </v>
      </c>
      <c r="L1761" s="4" t="str">
        <f>IFERROR(VLOOKUP($C1761,Observaciones!$A:$B,2,FALSE)," ")</f>
        <v xml:space="preserve"> </v>
      </c>
      <c r="M1761" t="s">
        <v>681</v>
      </c>
      <c r="O1761" s="5">
        <v>30854998</v>
      </c>
      <c r="P1761" s="5">
        <v>46881</v>
      </c>
      <c r="Q1761" s="5">
        <v>8907</v>
      </c>
      <c r="R1761" s="5">
        <v>55788</v>
      </c>
    </row>
    <row r="1762" spans="1:18" x14ac:dyDescent="0.25">
      <c r="A1762" t="s">
        <v>501</v>
      </c>
      <c r="B1762" t="s">
        <v>494</v>
      </c>
      <c r="C1762">
        <v>76498260</v>
      </c>
      <c r="D1762">
        <v>13</v>
      </c>
      <c r="E1762">
        <v>30854995</v>
      </c>
      <c r="F1762" t="s">
        <v>1162</v>
      </c>
      <c r="G1762" s="1">
        <v>45236</v>
      </c>
      <c r="H1762">
        <v>5413775</v>
      </c>
      <c r="I1762">
        <v>431</v>
      </c>
      <c r="J1762" t="s">
        <v>354</v>
      </c>
      <c r="K1762" t="str">
        <f>IFERROR(IF(AND(VLOOKUP($C1762,Hes!$A:$B, 1, FALSE), $M1762&lt;&gt;" "), "Ingresada", "Falta Ingresar"), " ")</f>
        <v xml:space="preserve"> </v>
      </c>
      <c r="L1762" s="4" t="str">
        <f>IFERROR(VLOOKUP($C1762,Observaciones!$A:$B,2,FALSE)," ")</f>
        <v xml:space="preserve"> </v>
      </c>
      <c r="M1762" t="s">
        <v>681</v>
      </c>
      <c r="O1762" s="5">
        <v>30854995</v>
      </c>
      <c r="P1762" s="5">
        <v>45304</v>
      </c>
      <c r="Q1762" s="5">
        <v>8608</v>
      </c>
      <c r="R1762" s="5">
        <v>53912</v>
      </c>
    </row>
    <row r="1763" spans="1:18" x14ac:dyDescent="0.25">
      <c r="A1763" t="s">
        <v>501</v>
      </c>
      <c r="B1763" t="s">
        <v>494</v>
      </c>
      <c r="C1763">
        <v>76498260</v>
      </c>
      <c r="D1763">
        <v>9</v>
      </c>
      <c r="E1763">
        <v>30859581</v>
      </c>
      <c r="F1763" t="s">
        <v>1162</v>
      </c>
      <c r="G1763" s="1">
        <v>45237</v>
      </c>
      <c r="H1763">
        <v>5414150</v>
      </c>
      <c r="I1763">
        <v>431</v>
      </c>
      <c r="J1763" t="s">
        <v>354</v>
      </c>
      <c r="K1763" t="str">
        <f>IFERROR(IF(AND(VLOOKUP($C1763,Hes!$A:$B, 1, FALSE), $M1763&lt;&gt;" "), "Ingresada", "Falta Ingresar"), " ")</f>
        <v xml:space="preserve"> </v>
      </c>
      <c r="L1763" s="4" t="str">
        <f>IFERROR(VLOOKUP($C1763,Observaciones!$A:$B,2,FALSE)," ")</f>
        <v xml:space="preserve"> </v>
      </c>
      <c r="M1763" t="s">
        <v>681</v>
      </c>
      <c r="O1763" s="5">
        <v>30859581</v>
      </c>
      <c r="P1763" s="5">
        <v>49930</v>
      </c>
      <c r="Q1763" s="5">
        <v>9487</v>
      </c>
      <c r="R1763" s="5">
        <v>59417</v>
      </c>
    </row>
    <row r="1764" spans="1:18" x14ac:dyDescent="0.25">
      <c r="A1764" t="s">
        <v>501</v>
      </c>
      <c r="B1764" t="s">
        <v>494</v>
      </c>
      <c r="C1764">
        <v>76498260</v>
      </c>
      <c r="D1764">
        <v>34</v>
      </c>
      <c r="E1764">
        <v>30859670</v>
      </c>
      <c r="F1764" t="s">
        <v>1162</v>
      </c>
      <c r="G1764" s="1">
        <v>45237</v>
      </c>
      <c r="H1764">
        <v>5414207</v>
      </c>
      <c r="I1764">
        <v>431</v>
      </c>
      <c r="J1764" t="s">
        <v>354</v>
      </c>
      <c r="K1764" t="str">
        <f>IFERROR(IF(AND(VLOOKUP($C1764,Hes!$A:$B, 1, FALSE), $M1764&lt;&gt;" "), "Ingresada", "Falta Ingresar"), " ")</f>
        <v xml:space="preserve"> </v>
      </c>
      <c r="L1764" s="4" t="str">
        <f>IFERROR(VLOOKUP($C1764,Observaciones!$A:$B,2,FALSE)," ")</f>
        <v xml:space="preserve"> </v>
      </c>
      <c r="M1764" t="s">
        <v>681</v>
      </c>
      <c r="O1764" s="5">
        <v>30859670</v>
      </c>
      <c r="P1764" s="5">
        <v>48737</v>
      </c>
      <c r="Q1764" s="5">
        <v>9260</v>
      </c>
      <c r="R1764" s="5">
        <v>57997</v>
      </c>
    </row>
    <row r="1765" spans="1:18" x14ac:dyDescent="0.25">
      <c r="A1765" t="s">
        <v>501</v>
      </c>
      <c r="B1765" t="s">
        <v>494</v>
      </c>
      <c r="C1765">
        <v>76498260</v>
      </c>
      <c r="D1765">
        <v>23</v>
      </c>
      <c r="E1765">
        <v>30859566</v>
      </c>
      <c r="F1765" t="s">
        <v>1162</v>
      </c>
      <c r="G1765" s="1">
        <v>45237</v>
      </c>
      <c r="H1765">
        <v>5414219</v>
      </c>
      <c r="I1765">
        <v>431</v>
      </c>
      <c r="J1765" t="s">
        <v>354</v>
      </c>
      <c r="K1765" t="str">
        <f>IFERROR(IF(AND(VLOOKUP($C1765,Hes!$A:$B, 1, FALSE), $M1765&lt;&gt;" "), "Ingresada", "Falta Ingresar"), " ")</f>
        <v xml:space="preserve"> </v>
      </c>
      <c r="L1765" s="4" t="str">
        <f>IFERROR(VLOOKUP($C1765,Observaciones!$A:$B,2,FALSE)," ")</f>
        <v xml:space="preserve"> </v>
      </c>
      <c r="M1765" t="s">
        <v>681</v>
      </c>
      <c r="O1765" s="5">
        <v>30859566</v>
      </c>
      <c r="P1765" s="5">
        <v>42126</v>
      </c>
      <c r="Q1765" s="5">
        <v>8004</v>
      </c>
      <c r="R1765" s="5">
        <v>50130</v>
      </c>
    </row>
    <row r="1766" spans="1:18" x14ac:dyDescent="0.25">
      <c r="A1766" t="s">
        <v>501</v>
      </c>
      <c r="B1766" t="s">
        <v>494</v>
      </c>
      <c r="C1766">
        <v>76498260</v>
      </c>
      <c r="D1766">
        <v>18</v>
      </c>
      <c r="E1766">
        <v>30859554</v>
      </c>
      <c r="F1766" t="s">
        <v>1162</v>
      </c>
      <c r="G1766" s="1">
        <v>45237</v>
      </c>
      <c r="H1766">
        <v>5414226</v>
      </c>
      <c r="I1766">
        <v>431</v>
      </c>
      <c r="J1766" t="s">
        <v>354</v>
      </c>
      <c r="K1766" t="str">
        <f>IFERROR(IF(AND(VLOOKUP($C1766,Hes!$A:$B, 1, FALSE), $M1766&lt;&gt;" "), "Ingresada", "Falta Ingresar"), " ")</f>
        <v xml:space="preserve"> </v>
      </c>
      <c r="L1766" s="4" t="str">
        <f>IFERROR(VLOOKUP($C1766,Observaciones!$A:$B,2,FALSE)," ")</f>
        <v xml:space="preserve"> </v>
      </c>
      <c r="M1766" t="s">
        <v>681</v>
      </c>
      <c r="O1766" s="5">
        <v>30859554</v>
      </c>
      <c r="P1766" s="5">
        <v>48340</v>
      </c>
      <c r="Q1766" s="5">
        <v>9185</v>
      </c>
      <c r="R1766" s="5">
        <v>57525</v>
      </c>
    </row>
    <row r="1767" spans="1:18" x14ac:dyDescent="0.25">
      <c r="A1767" t="s">
        <v>501</v>
      </c>
      <c r="B1767" t="s">
        <v>494</v>
      </c>
      <c r="C1767">
        <v>76498260</v>
      </c>
      <c r="D1767">
        <v>46</v>
      </c>
      <c r="E1767">
        <v>30859561</v>
      </c>
      <c r="F1767" t="s">
        <v>1162</v>
      </c>
      <c r="G1767" s="1">
        <v>45237</v>
      </c>
      <c r="H1767">
        <v>5414325</v>
      </c>
      <c r="I1767">
        <v>431</v>
      </c>
      <c r="J1767" t="s">
        <v>354</v>
      </c>
      <c r="K1767" t="str">
        <f>IFERROR(IF(AND(VLOOKUP($C1767,Hes!$A:$B, 1, FALSE), $M1767&lt;&gt;" "), "Ingresada", "Falta Ingresar"), " ")</f>
        <v xml:space="preserve"> </v>
      </c>
      <c r="L1767" s="4" t="str">
        <f>IFERROR(VLOOKUP($C1767,Observaciones!$A:$B,2,FALSE)," ")</f>
        <v xml:space="preserve"> </v>
      </c>
      <c r="M1767" t="s">
        <v>681</v>
      </c>
      <c r="O1767" s="5">
        <v>30859561</v>
      </c>
      <c r="P1767" s="5">
        <v>50031</v>
      </c>
      <c r="Q1767" s="5">
        <v>9506</v>
      </c>
      <c r="R1767" s="5">
        <v>59537</v>
      </c>
    </row>
    <row r="1768" spans="1:18" x14ac:dyDescent="0.25">
      <c r="A1768" t="s">
        <v>501</v>
      </c>
      <c r="B1768" t="s">
        <v>494</v>
      </c>
      <c r="C1768">
        <v>76498260</v>
      </c>
      <c r="D1768">
        <v>43</v>
      </c>
      <c r="E1768">
        <v>30859569</v>
      </c>
      <c r="F1768" t="s">
        <v>1162</v>
      </c>
      <c r="G1768" s="1">
        <v>45237</v>
      </c>
      <c r="H1768">
        <v>5414398</v>
      </c>
      <c r="I1768">
        <v>431</v>
      </c>
      <c r="J1768" t="s">
        <v>354</v>
      </c>
      <c r="K1768" t="str">
        <f>IFERROR(IF(AND(VLOOKUP($C1768,Hes!$A:$B, 1, FALSE), $M1768&lt;&gt;" "), "Ingresada", "Falta Ingresar"), " ")</f>
        <v xml:space="preserve"> </v>
      </c>
      <c r="L1768" s="4" t="str">
        <f>IFERROR(VLOOKUP($C1768,Observaciones!$A:$B,2,FALSE)," ")</f>
        <v xml:space="preserve"> </v>
      </c>
      <c r="M1768" t="s">
        <v>681</v>
      </c>
      <c r="O1768" s="5">
        <v>30859569</v>
      </c>
      <c r="P1768" s="5">
        <v>51496</v>
      </c>
      <c r="Q1768" s="5">
        <v>9784</v>
      </c>
      <c r="R1768" s="5">
        <v>61280</v>
      </c>
    </row>
    <row r="1769" spans="1:18" x14ac:dyDescent="0.25">
      <c r="A1769" t="s">
        <v>501</v>
      </c>
      <c r="B1769" t="s">
        <v>494</v>
      </c>
      <c r="C1769">
        <v>76498260</v>
      </c>
      <c r="D1769">
        <v>51</v>
      </c>
      <c r="E1769">
        <v>30859574</v>
      </c>
      <c r="F1769" t="s">
        <v>1162</v>
      </c>
      <c r="G1769" s="1">
        <v>45238</v>
      </c>
      <c r="H1769">
        <v>5414537</v>
      </c>
      <c r="I1769">
        <v>431</v>
      </c>
      <c r="J1769" t="s">
        <v>354</v>
      </c>
      <c r="K1769" t="str">
        <f>IFERROR(IF(AND(VLOOKUP($C1769,Hes!$A:$B, 1, FALSE), $M1769&lt;&gt;" "), "Ingresada", "Falta Ingresar"), " ")</f>
        <v xml:space="preserve"> </v>
      </c>
      <c r="L1769" s="4" t="str">
        <f>IFERROR(VLOOKUP($C1769,Observaciones!$A:$B,2,FALSE)," ")</f>
        <v xml:space="preserve"> </v>
      </c>
      <c r="M1769" t="s">
        <v>681</v>
      </c>
      <c r="O1769" s="5">
        <v>30859574</v>
      </c>
      <c r="P1769" s="5">
        <v>33284</v>
      </c>
      <c r="Q1769" s="5">
        <v>6324</v>
      </c>
      <c r="R1769" s="5">
        <v>39608</v>
      </c>
    </row>
    <row r="1770" spans="1:18" x14ac:dyDescent="0.25">
      <c r="A1770" t="s">
        <v>501</v>
      </c>
      <c r="B1770" t="s">
        <v>494</v>
      </c>
      <c r="C1770">
        <v>76498260</v>
      </c>
      <c r="D1770">
        <v>28</v>
      </c>
      <c r="E1770">
        <v>30859516</v>
      </c>
      <c r="F1770" t="s">
        <v>1162</v>
      </c>
      <c r="G1770" s="1">
        <v>45237</v>
      </c>
      <c r="H1770">
        <v>5414727</v>
      </c>
      <c r="I1770">
        <v>431</v>
      </c>
      <c r="J1770" t="s">
        <v>354</v>
      </c>
      <c r="K1770" t="str">
        <f>IFERROR(IF(AND(VLOOKUP($C1770,Hes!$A:$B, 1, FALSE), $M1770&lt;&gt;" "), "Ingresada", "Falta Ingresar"), " ")</f>
        <v xml:space="preserve"> </v>
      </c>
      <c r="L1770" s="4" t="str">
        <f>IFERROR(VLOOKUP($C1770,Observaciones!$A:$B,2,FALSE)," ")</f>
        <v xml:space="preserve"> </v>
      </c>
      <c r="M1770" t="s">
        <v>681</v>
      </c>
      <c r="O1770" s="5">
        <v>30859516</v>
      </c>
      <c r="P1770" s="5">
        <v>59941</v>
      </c>
      <c r="Q1770" s="5">
        <v>11389</v>
      </c>
      <c r="R1770" s="5">
        <v>71330</v>
      </c>
    </row>
    <row r="1771" spans="1:18" x14ac:dyDescent="0.25">
      <c r="A1771" t="s">
        <v>501</v>
      </c>
      <c r="B1771" t="s">
        <v>494</v>
      </c>
      <c r="C1771">
        <v>76498260</v>
      </c>
      <c r="D1771">
        <v>10</v>
      </c>
      <c r="E1771">
        <v>30859534</v>
      </c>
      <c r="F1771" t="s">
        <v>1162</v>
      </c>
      <c r="G1771" s="1">
        <v>45238</v>
      </c>
      <c r="H1771">
        <v>5414749</v>
      </c>
      <c r="I1771">
        <v>431</v>
      </c>
      <c r="J1771" t="s">
        <v>354</v>
      </c>
      <c r="K1771" t="str">
        <f>IFERROR(IF(AND(VLOOKUP($C1771,Hes!$A:$B, 1, FALSE), $M1771&lt;&gt;" "), "Ingresada", "Falta Ingresar"), " ")</f>
        <v xml:space="preserve"> </v>
      </c>
      <c r="L1771" s="4" t="str">
        <f>IFERROR(VLOOKUP($C1771,Observaciones!$A:$B,2,FALSE)," ")</f>
        <v xml:space="preserve"> </v>
      </c>
      <c r="M1771" t="s">
        <v>681</v>
      </c>
      <c r="O1771" s="5">
        <v>30859534</v>
      </c>
      <c r="P1771" s="5">
        <v>50966</v>
      </c>
      <c r="Q1771" s="5">
        <v>9684</v>
      </c>
      <c r="R1771" s="5">
        <v>60650</v>
      </c>
    </row>
    <row r="1772" spans="1:18" x14ac:dyDescent="0.25">
      <c r="A1772" t="s">
        <v>501</v>
      </c>
      <c r="B1772" t="s">
        <v>494</v>
      </c>
      <c r="C1772">
        <v>76498260</v>
      </c>
      <c r="D1772">
        <v>29</v>
      </c>
      <c r="E1772">
        <v>30859586</v>
      </c>
      <c r="F1772" t="s">
        <v>1162</v>
      </c>
      <c r="G1772" s="1">
        <v>45237</v>
      </c>
      <c r="H1772">
        <v>5414792</v>
      </c>
      <c r="I1772">
        <v>431</v>
      </c>
      <c r="J1772" t="s">
        <v>354</v>
      </c>
      <c r="K1772" t="str">
        <f>IFERROR(IF(AND(VLOOKUP($C1772,Hes!$A:$B, 1, FALSE), $M1772&lt;&gt;" "), "Ingresada", "Falta Ingresar"), " ")</f>
        <v xml:space="preserve"> </v>
      </c>
      <c r="L1772" s="4" t="str">
        <f>IFERROR(VLOOKUP($C1772,Observaciones!$A:$B,2,FALSE)," ")</f>
        <v xml:space="preserve"> </v>
      </c>
      <c r="M1772" t="s">
        <v>681</v>
      </c>
      <c r="O1772" s="5">
        <v>30859586</v>
      </c>
      <c r="P1772" s="5">
        <v>42763</v>
      </c>
      <c r="Q1772" s="5">
        <v>8125</v>
      </c>
      <c r="R1772" s="5">
        <v>50888</v>
      </c>
    </row>
    <row r="1773" spans="1:18" x14ac:dyDescent="0.25">
      <c r="A1773" t="s">
        <v>501</v>
      </c>
      <c r="B1773" t="s">
        <v>494</v>
      </c>
      <c r="C1773">
        <v>76498260</v>
      </c>
      <c r="D1773">
        <v>31</v>
      </c>
      <c r="E1773">
        <v>30859520</v>
      </c>
      <c r="F1773" t="s">
        <v>1162</v>
      </c>
      <c r="G1773" s="1">
        <v>45238</v>
      </c>
      <c r="H1773">
        <v>5414888</v>
      </c>
      <c r="I1773">
        <v>431</v>
      </c>
      <c r="J1773" t="s">
        <v>354</v>
      </c>
      <c r="K1773" t="str">
        <f>IFERROR(IF(AND(VLOOKUP($C1773,Hes!$A:$B, 1, FALSE), $M1773&lt;&gt;" "), "Ingresada", "Falta Ingresar"), " ")</f>
        <v xml:space="preserve"> </v>
      </c>
      <c r="L1773" s="4" t="str">
        <f>IFERROR(VLOOKUP($C1773,Observaciones!$A:$B,2,FALSE)," ")</f>
        <v xml:space="preserve"> </v>
      </c>
      <c r="M1773" t="s">
        <v>681</v>
      </c>
      <c r="O1773" s="5">
        <v>30859520</v>
      </c>
      <c r="P1773" s="5">
        <v>49884</v>
      </c>
      <c r="Q1773" s="5">
        <v>9478</v>
      </c>
      <c r="R1773" s="5">
        <v>59362</v>
      </c>
    </row>
    <row r="1774" spans="1:18" x14ac:dyDescent="0.25">
      <c r="A1774" t="s">
        <v>501</v>
      </c>
      <c r="B1774" t="s">
        <v>494</v>
      </c>
      <c r="C1774">
        <v>76498260</v>
      </c>
      <c r="D1774">
        <v>24</v>
      </c>
      <c r="E1774">
        <v>30859539</v>
      </c>
      <c r="F1774" t="s">
        <v>1162</v>
      </c>
      <c r="G1774" s="1">
        <v>45238</v>
      </c>
      <c r="H1774">
        <v>5415015</v>
      </c>
      <c r="I1774">
        <v>431</v>
      </c>
      <c r="J1774" t="s">
        <v>354</v>
      </c>
      <c r="K1774" t="str">
        <f>IFERROR(IF(AND(VLOOKUP($C1774,Hes!$A:$B, 1, FALSE), $M1774&lt;&gt;" "), "Ingresada", "Falta Ingresar"), " ")</f>
        <v xml:space="preserve"> </v>
      </c>
      <c r="L1774" s="4" t="str">
        <f>IFERROR(VLOOKUP($C1774,Observaciones!$A:$B,2,FALSE)," ")</f>
        <v xml:space="preserve"> </v>
      </c>
      <c r="M1774" t="s">
        <v>681</v>
      </c>
      <c r="O1774" s="5">
        <v>30859539</v>
      </c>
      <c r="P1774" s="5">
        <v>33232</v>
      </c>
      <c r="Q1774" s="5">
        <v>6314</v>
      </c>
      <c r="R1774" s="5">
        <v>39546</v>
      </c>
    </row>
    <row r="1775" spans="1:18" x14ac:dyDescent="0.25">
      <c r="A1775" t="s">
        <v>501</v>
      </c>
      <c r="B1775" t="s">
        <v>494</v>
      </c>
      <c r="C1775">
        <v>76498260</v>
      </c>
      <c r="D1775">
        <v>50</v>
      </c>
      <c r="E1775">
        <v>30863997</v>
      </c>
      <c r="F1775" t="s">
        <v>1162</v>
      </c>
      <c r="G1775" s="1">
        <v>45237</v>
      </c>
      <c r="H1775">
        <v>5415231</v>
      </c>
      <c r="I1775">
        <v>431</v>
      </c>
      <c r="J1775" t="s">
        <v>354</v>
      </c>
      <c r="K1775" t="str">
        <f>IFERROR(IF(AND(VLOOKUP($C1775,Hes!$A:$B, 1, FALSE), $M1775&lt;&gt;" "), "Ingresada", "Falta Ingresar"), " ")</f>
        <v xml:space="preserve"> </v>
      </c>
      <c r="L1775" s="4" t="str">
        <f>IFERROR(VLOOKUP($C1775,Observaciones!$A:$B,2,FALSE)," ")</f>
        <v xml:space="preserve"> </v>
      </c>
      <c r="M1775" t="s">
        <v>681</v>
      </c>
      <c r="O1775" s="5">
        <v>30863997</v>
      </c>
      <c r="P1775" s="5">
        <v>41004</v>
      </c>
      <c r="Q1775" s="5">
        <v>7791</v>
      </c>
      <c r="R1775" s="5">
        <v>48795</v>
      </c>
    </row>
    <row r="1776" spans="1:18" x14ac:dyDescent="0.25">
      <c r="A1776" t="s">
        <v>501</v>
      </c>
      <c r="B1776" t="s">
        <v>494</v>
      </c>
      <c r="C1776">
        <v>76498260</v>
      </c>
      <c r="D1776">
        <v>48</v>
      </c>
      <c r="E1776">
        <v>30863999</v>
      </c>
      <c r="F1776" t="s">
        <v>1162</v>
      </c>
      <c r="G1776" s="1">
        <v>45238</v>
      </c>
      <c r="H1776">
        <v>5415236</v>
      </c>
      <c r="I1776">
        <v>431</v>
      </c>
      <c r="J1776" t="s">
        <v>354</v>
      </c>
      <c r="K1776" t="str">
        <f>IFERROR(IF(AND(VLOOKUP($C1776,Hes!$A:$B, 1, FALSE), $M1776&lt;&gt;" "), "Ingresada", "Falta Ingresar"), " ")</f>
        <v xml:space="preserve"> </v>
      </c>
      <c r="L1776" s="4" t="str">
        <f>IFERROR(VLOOKUP($C1776,Observaciones!$A:$B,2,FALSE)," ")</f>
        <v xml:space="preserve"> </v>
      </c>
      <c r="M1776" t="s">
        <v>681</v>
      </c>
      <c r="O1776" s="5">
        <v>30863999</v>
      </c>
      <c r="P1776" s="5">
        <v>49312</v>
      </c>
      <c r="Q1776" s="5">
        <v>9369</v>
      </c>
      <c r="R1776" s="5">
        <v>58681</v>
      </c>
    </row>
    <row r="1777" spans="1:18" x14ac:dyDescent="0.25">
      <c r="F1777" t="s">
        <v>1163</v>
      </c>
      <c r="K1777" t="str">
        <f>IFERROR(IF(AND(VLOOKUP($C1777,Hes!$A:$B, 1, FALSE), $M1777&lt;&gt;" "), "Ingresada", "Falta Ingresar"), " ")</f>
        <v xml:space="preserve"> </v>
      </c>
      <c r="L1777" s="4" t="str">
        <f>IFERROR(VLOOKUP($C1777,Observaciones!$A:$B,2,FALSE)," ")</f>
        <v xml:space="preserve"> </v>
      </c>
      <c r="M1777" t="s">
        <v>681</v>
      </c>
      <c r="P1777" s="5">
        <v>1343956</v>
      </c>
      <c r="Q1777" s="5">
        <v>255353</v>
      </c>
      <c r="R1777" s="5">
        <v>1599309</v>
      </c>
    </row>
    <row r="1778" spans="1:18" x14ac:dyDescent="0.25">
      <c r="A1778" t="s">
        <v>501</v>
      </c>
      <c r="B1778" t="s">
        <v>494</v>
      </c>
      <c r="C1778">
        <v>76547410</v>
      </c>
      <c r="D1778">
        <v>10</v>
      </c>
      <c r="E1778">
        <v>30850029</v>
      </c>
      <c r="F1778" t="s">
        <v>1164</v>
      </c>
      <c r="G1778" s="1">
        <v>45233</v>
      </c>
      <c r="H1778">
        <v>5411585</v>
      </c>
      <c r="I1778">
        <v>25</v>
      </c>
      <c r="J1778" t="s">
        <v>323</v>
      </c>
      <c r="K1778" t="str">
        <f>IFERROR(IF(AND(VLOOKUP($C1778,Hes!$A:$B, 1, FALSE), $M1778&lt;&gt;" "), "Ingresada", "Falta Ingresar"), " ")</f>
        <v xml:space="preserve"> </v>
      </c>
      <c r="L1778" s="4" t="str">
        <f>IFERROR(VLOOKUP($C1778,Observaciones!$A:$B,2,FALSE)," ")</f>
        <v xml:space="preserve">X RUT ESPERAR O/C </v>
      </c>
      <c r="M1778" t="s">
        <v>681</v>
      </c>
      <c r="O1778" s="5">
        <v>30850029</v>
      </c>
      <c r="P1778" s="5">
        <v>248755</v>
      </c>
      <c r="Q1778" s="5">
        <v>47263</v>
      </c>
      <c r="R1778" s="5">
        <v>296018</v>
      </c>
    </row>
    <row r="1779" spans="1:18" x14ac:dyDescent="0.25">
      <c r="F1779" t="s">
        <v>495</v>
      </c>
      <c r="K1779" t="str">
        <f>IFERROR(IF(AND(VLOOKUP($C1779,Hes!$A:$B, 1, FALSE), $M1779&lt;&gt;" "), "Ingresada", "Falta Ingresar"), " ")</f>
        <v xml:space="preserve"> </v>
      </c>
      <c r="L1779" s="4" t="str">
        <f>IFERROR(VLOOKUP($C1779,Observaciones!$A:$B,2,FALSE)," ")</f>
        <v xml:space="preserve"> </v>
      </c>
      <c r="M1779" t="s">
        <v>681</v>
      </c>
      <c r="P1779" s="5">
        <v>248755</v>
      </c>
      <c r="Q1779" s="5">
        <v>47263</v>
      </c>
      <c r="R1779" s="5">
        <v>296018</v>
      </c>
    </row>
    <row r="1780" spans="1:18" x14ac:dyDescent="0.25">
      <c r="A1780" t="s">
        <v>496</v>
      </c>
      <c r="B1780" t="s">
        <v>494</v>
      </c>
      <c r="C1780">
        <v>76555400</v>
      </c>
      <c r="D1780">
        <v>1</v>
      </c>
      <c r="E1780">
        <v>4500179713</v>
      </c>
      <c r="F1780" t="s">
        <v>1165</v>
      </c>
      <c r="G1780" s="1">
        <v>45234</v>
      </c>
      <c r="H1780">
        <v>5412164</v>
      </c>
      <c r="I1780">
        <v>100</v>
      </c>
      <c r="J1780" t="s">
        <v>384</v>
      </c>
      <c r="K1780" s="8" t="str">
        <f>IFERROR(IF(AND(VLOOKUP($C1780,Hes!$A:$B, 1, FALSE), $M1780&lt;&gt;" "), "Ingresada", "Falta Ingresar"), " ")</f>
        <v>Falta Ingresar</v>
      </c>
      <c r="L1780" s="4" t="str">
        <f>IFERROR(VLOOKUP($C1780,Observaciones!$A:$B,2,FALSE)," ")</f>
        <v>XOC Y CC</v>
      </c>
      <c r="M1780" t="s">
        <v>681</v>
      </c>
      <c r="N1780" s="5" t="s">
        <v>841</v>
      </c>
      <c r="O1780" s="5">
        <v>30840325</v>
      </c>
      <c r="P1780" s="5">
        <v>584779</v>
      </c>
      <c r="Q1780" s="5">
        <v>111108</v>
      </c>
      <c r="R1780" s="5">
        <v>695887</v>
      </c>
    </row>
    <row r="1781" spans="1:18" x14ac:dyDescent="0.25">
      <c r="A1781" t="s">
        <v>496</v>
      </c>
      <c r="B1781" t="s">
        <v>494</v>
      </c>
      <c r="C1781">
        <v>76555400</v>
      </c>
      <c r="D1781">
        <v>1</v>
      </c>
      <c r="E1781">
        <v>4500179713</v>
      </c>
      <c r="F1781" t="s">
        <v>1165</v>
      </c>
      <c r="G1781" s="1">
        <v>45237</v>
      </c>
      <c r="H1781">
        <v>5414724</v>
      </c>
      <c r="I1781">
        <v>100</v>
      </c>
      <c r="J1781" t="s">
        <v>384</v>
      </c>
      <c r="K1781" s="8" t="str">
        <f>IFERROR(IF(AND(VLOOKUP($C1781,Hes!$A:$B, 1, FALSE), $M1781&lt;&gt;" "), "Ingresada", "Falta Ingresar"), " ")</f>
        <v>Falta Ingresar</v>
      </c>
      <c r="L1781" s="4" t="str">
        <f>IFERROR(VLOOKUP($C1781,Observaciones!$A:$B,2,FALSE)," ")</f>
        <v>XOC Y CC</v>
      </c>
      <c r="M1781" t="s">
        <v>681</v>
      </c>
      <c r="N1781" s="5" t="s">
        <v>841</v>
      </c>
      <c r="O1781" s="5">
        <v>30852777</v>
      </c>
      <c r="P1781" s="5">
        <v>130441</v>
      </c>
      <c r="Q1781" s="5">
        <v>24784</v>
      </c>
      <c r="R1781" s="5">
        <v>155225</v>
      </c>
    </row>
    <row r="1782" spans="1:18" x14ac:dyDescent="0.25">
      <c r="F1782" t="s">
        <v>497</v>
      </c>
      <c r="K1782" t="str">
        <f>IFERROR(IF(AND(VLOOKUP($C1782,Hes!$A:$B, 1, FALSE), $M1782&lt;&gt;" "), "Ingresada", "Falta Ingresar"), " ")</f>
        <v xml:space="preserve"> </v>
      </c>
      <c r="L1782" s="4" t="str">
        <f>IFERROR(VLOOKUP($C1782,Observaciones!$A:$B,2,FALSE)," ")</f>
        <v xml:space="preserve"> </v>
      </c>
      <c r="M1782" t="s">
        <v>681</v>
      </c>
      <c r="P1782" s="5">
        <v>715220</v>
      </c>
      <c r="Q1782" s="5">
        <v>135892</v>
      </c>
      <c r="R1782" s="5">
        <v>851112</v>
      </c>
    </row>
    <row r="1783" spans="1:18" x14ac:dyDescent="0.25">
      <c r="A1783" t="s">
        <v>496</v>
      </c>
      <c r="B1783" t="s">
        <v>494</v>
      </c>
      <c r="C1783">
        <v>76559762</v>
      </c>
      <c r="D1783">
        <v>2</v>
      </c>
      <c r="E1783">
        <v>1282</v>
      </c>
      <c r="F1783" t="s">
        <v>1166</v>
      </c>
      <c r="G1783" s="1">
        <v>45231</v>
      </c>
      <c r="H1783">
        <v>5410899</v>
      </c>
      <c r="I1783">
        <v>96</v>
      </c>
      <c r="J1783" t="s">
        <v>140</v>
      </c>
      <c r="K1783" t="str">
        <f>IFERROR(IF(AND(VLOOKUP($C1783,Hes!$A:$B, 1, FALSE), $M1783&lt;&gt;" "), "Ingresada", "Falta Ingresar"), " ")</f>
        <v xml:space="preserve"> </v>
      </c>
      <c r="L1783" s="4" t="str">
        <f>IFERROR(VLOOKUP($C1783,Observaciones!$A:$B,2,FALSE)," ")</f>
        <v>XOC Y CC</v>
      </c>
      <c r="M1783" t="s">
        <v>681</v>
      </c>
      <c r="O1783" s="5">
        <v>30846443</v>
      </c>
      <c r="P1783" s="5">
        <v>140320</v>
      </c>
      <c r="Q1783" s="5">
        <v>26661</v>
      </c>
      <c r="R1783" s="5">
        <v>166981</v>
      </c>
    </row>
    <row r="1784" spans="1:18" x14ac:dyDescent="0.25">
      <c r="F1784" t="s">
        <v>495</v>
      </c>
      <c r="K1784" t="str">
        <f>IFERROR(IF(AND(VLOOKUP($C1784,Hes!$A:$B, 1, FALSE), $M1784&lt;&gt;" "), "Ingresada", "Falta Ingresar"), " ")</f>
        <v xml:space="preserve"> </v>
      </c>
      <c r="L1784" s="4" t="str">
        <f>IFERROR(VLOOKUP($C1784,Observaciones!$A:$B,2,FALSE)," ")</f>
        <v xml:space="preserve"> </v>
      </c>
      <c r="M1784" t="s">
        <v>681</v>
      </c>
      <c r="P1784" s="5">
        <v>140320</v>
      </c>
      <c r="Q1784" s="5">
        <v>26661</v>
      </c>
      <c r="R1784" s="5">
        <v>166981</v>
      </c>
    </row>
    <row r="1785" spans="1:18" x14ac:dyDescent="0.25">
      <c r="A1785" t="s">
        <v>503</v>
      </c>
      <c r="B1785" t="s">
        <v>494</v>
      </c>
      <c r="C1785">
        <v>76566730</v>
      </c>
      <c r="D1785">
        <v>0</v>
      </c>
      <c r="E1785">
        <v>30855762</v>
      </c>
      <c r="F1785" t="s">
        <v>1167</v>
      </c>
      <c r="G1785" s="1">
        <v>45234</v>
      </c>
      <c r="H1785">
        <v>5412888</v>
      </c>
      <c r="I1785">
        <v>459</v>
      </c>
      <c r="J1785" t="s">
        <v>198</v>
      </c>
      <c r="K1785" t="str">
        <f>IFERROR(IF(AND(VLOOKUP($C1785,Hes!$A:$B, 1, FALSE), $M1785&lt;&gt;" "), "Ingresada", "Falta Ingresar"), " ")</f>
        <v xml:space="preserve"> </v>
      </c>
      <c r="L1785" s="4" t="str">
        <f>IFERROR(VLOOKUP($C1785,Observaciones!$A:$B,2,FALSE)," ")</f>
        <v xml:space="preserve"> </v>
      </c>
      <c r="M1785" t="s">
        <v>681</v>
      </c>
      <c r="O1785" s="5">
        <v>30855762</v>
      </c>
      <c r="P1785" s="5">
        <v>128623</v>
      </c>
      <c r="Q1785" s="5">
        <v>24438</v>
      </c>
      <c r="R1785" s="5">
        <v>153061</v>
      </c>
    </row>
    <row r="1786" spans="1:18" x14ac:dyDescent="0.25">
      <c r="F1786" t="s">
        <v>495</v>
      </c>
      <c r="K1786" t="str">
        <f>IFERROR(IF(AND(VLOOKUP($C1786,Hes!$A:$B, 1, FALSE), $M1786&lt;&gt;" "), "Ingresada", "Falta Ingresar"), " ")</f>
        <v xml:space="preserve"> </v>
      </c>
      <c r="L1786" s="4" t="str">
        <f>IFERROR(VLOOKUP($C1786,Observaciones!$A:$B,2,FALSE)," ")</f>
        <v xml:space="preserve"> </v>
      </c>
      <c r="M1786" t="s">
        <v>681</v>
      </c>
      <c r="P1786" s="5">
        <v>128623</v>
      </c>
      <c r="Q1786" s="5">
        <v>24438</v>
      </c>
      <c r="R1786" s="5">
        <v>153061</v>
      </c>
    </row>
    <row r="1787" spans="1:18" x14ac:dyDescent="0.25">
      <c r="A1787" t="s">
        <v>501</v>
      </c>
      <c r="B1787" t="s">
        <v>494</v>
      </c>
      <c r="C1787">
        <v>76568680</v>
      </c>
      <c r="D1787">
        <v>1</v>
      </c>
      <c r="E1787">
        <v>30855594</v>
      </c>
      <c r="F1787" t="s">
        <v>1168</v>
      </c>
      <c r="G1787" s="1">
        <v>45236</v>
      </c>
      <c r="H1787">
        <v>5413228</v>
      </c>
      <c r="I1787">
        <v>184</v>
      </c>
      <c r="J1787" t="s">
        <v>394</v>
      </c>
      <c r="K1787" t="str">
        <f>IFERROR(IF(AND(VLOOKUP($C1787,Hes!$A:$B, 1, FALSE), $M1787&lt;&gt;" "), "Ingresada", "Falta Ingresar"), " ")</f>
        <v xml:space="preserve"> </v>
      </c>
      <c r="L1787" s="4" t="str">
        <f>IFERROR(VLOOKUP($C1787,Observaciones!$A:$B,2,FALSE)," ")</f>
        <v>ESPERAR AL VENDEDOR DEBE ENVIAR OC</v>
      </c>
      <c r="M1787" t="s">
        <v>681</v>
      </c>
      <c r="O1787" s="5">
        <v>30855594</v>
      </c>
      <c r="P1787" s="5">
        <v>487060</v>
      </c>
      <c r="Q1787" s="5">
        <v>92541</v>
      </c>
      <c r="R1787" s="5">
        <v>579601</v>
      </c>
    </row>
    <row r="1788" spans="1:18" x14ac:dyDescent="0.25">
      <c r="A1788" t="s">
        <v>501</v>
      </c>
      <c r="B1788" t="s">
        <v>494</v>
      </c>
      <c r="C1788">
        <v>76568680</v>
      </c>
      <c r="D1788">
        <v>1</v>
      </c>
      <c r="E1788">
        <v>30855581</v>
      </c>
      <c r="F1788" t="s">
        <v>1168</v>
      </c>
      <c r="G1788" s="1">
        <v>45236</v>
      </c>
      <c r="H1788">
        <v>5413617</v>
      </c>
      <c r="I1788">
        <v>184</v>
      </c>
      <c r="J1788" t="s">
        <v>394</v>
      </c>
      <c r="K1788" t="str">
        <f>IFERROR(IF(AND(VLOOKUP($C1788,Hes!$A:$B, 1, FALSE), $M1788&lt;&gt;" "), "Ingresada", "Falta Ingresar"), " ")</f>
        <v xml:space="preserve"> </v>
      </c>
      <c r="L1788" s="4" t="str">
        <f>IFERROR(VLOOKUP($C1788,Observaciones!$A:$B,2,FALSE)," ")</f>
        <v>ESPERAR AL VENDEDOR DEBE ENVIAR OC</v>
      </c>
      <c r="M1788" t="s">
        <v>681</v>
      </c>
      <c r="O1788" s="5">
        <v>30855581</v>
      </c>
      <c r="P1788" s="5">
        <v>173740</v>
      </c>
      <c r="Q1788" s="5">
        <v>33011</v>
      </c>
      <c r="R1788" s="5">
        <v>209878</v>
      </c>
    </row>
    <row r="1789" spans="1:18" x14ac:dyDescent="0.25">
      <c r="A1789" t="s">
        <v>501</v>
      </c>
      <c r="B1789" t="s">
        <v>494</v>
      </c>
      <c r="C1789">
        <v>76568680</v>
      </c>
      <c r="D1789">
        <v>741</v>
      </c>
      <c r="E1789">
        <v>30833925</v>
      </c>
      <c r="F1789" t="s">
        <v>1168</v>
      </c>
      <c r="G1789" s="1">
        <v>45236</v>
      </c>
      <c r="H1789">
        <v>5413875</v>
      </c>
      <c r="I1789">
        <v>184</v>
      </c>
      <c r="J1789" t="s">
        <v>394</v>
      </c>
      <c r="K1789" t="str">
        <f>IFERROR(IF(AND(VLOOKUP($C1789,Hes!$A:$B, 1, FALSE), $M1789&lt;&gt;" "), "Ingresada", "Falta Ingresar"), " ")</f>
        <v xml:space="preserve"> </v>
      </c>
      <c r="L1789" s="4" t="str">
        <f>IFERROR(VLOOKUP($C1789,Observaciones!$A:$B,2,FALSE)," ")</f>
        <v>ESPERAR AL VENDEDOR DEBE ENVIAR OC</v>
      </c>
      <c r="M1789" t="s">
        <v>681</v>
      </c>
      <c r="O1789" s="5">
        <v>30857178</v>
      </c>
      <c r="P1789" s="5">
        <v>159416</v>
      </c>
      <c r="Q1789" s="5">
        <v>30289</v>
      </c>
      <c r="R1789" s="5">
        <v>189705</v>
      </c>
    </row>
    <row r="1790" spans="1:18" x14ac:dyDescent="0.25">
      <c r="A1790" t="s">
        <v>501</v>
      </c>
      <c r="B1790" t="s">
        <v>494</v>
      </c>
      <c r="C1790">
        <v>76568680</v>
      </c>
      <c r="D1790">
        <v>117</v>
      </c>
      <c r="E1790">
        <v>30860100</v>
      </c>
      <c r="F1790" t="s">
        <v>1168</v>
      </c>
      <c r="G1790" s="1">
        <v>45237</v>
      </c>
      <c r="H1790">
        <v>5414194</v>
      </c>
      <c r="I1790">
        <v>184</v>
      </c>
      <c r="J1790" t="s">
        <v>394</v>
      </c>
      <c r="K1790" t="str">
        <f>IFERROR(IF(AND(VLOOKUP($C1790,Hes!$A:$B, 1, FALSE), $M1790&lt;&gt;" "), "Ingresada", "Falta Ingresar"), " ")</f>
        <v xml:space="preserve"> </v>
      </c>
      <c r="L1790" s="4" t="str">
        <f>IFERROR(VLOOKUP($C1790,Observaciones!$A:$B,2,FALSE)," ")</f>
        <v>ESPERAR AL VENDEDOR DEBE ENVIAR OC</v>
      </c>
      <c r="M1790" t="s">
        <v>681</v>
      </c>
      <c r="O1790" s="5">
        <v>30860100</v>
      </c>
      <c r="P1790" s="5">
        <v>55118</v>
      </c>
      <c r="Q1790" s="5">
        <v>10472</v>
      </c>
      <c r="R1790" s="5">
        <v>65590</v>
      </c>
    </row>
    <row r="1791" spans="1:18" x14ac:dyDescent="0.25">
      <c r="A1791" t="s">
        <v>501</v>
      </c>
      <c r="B1791" t="s">
        <v>494</v>
      </c>
      <c r="C1791">
        <v>76568680</v>
      </c>
      <c r="D1791">
        <v>14</v>
      </c>
      <c r="E1791">
        <v>30860180</v>
      </c>
      <c r="F1791" t="s">
        <v>1168</v>
      </c>
      <c r="G1791" s="1">
        <v>45237</v>
      </c>
      <c r="H1791">
        <v>5414262</v>
      </c>
      <c r="I1791">
        <v>184</v>
      </c>
      <c r="J1791" t="s">
        <v>394</v>
      </c>
      <c r="K1791" t="str">
        <f>IFERROR(IF(AND(VLOOKUP($C1791,Hes!$A:$B, 1, FALSE), $M1791&lt;&gt;" "), "Ingresada", "Falta Ingresar"), " ")</f>
        <v xml:space="preserve"> </v>
      </c>
      <c r="L1791" s="4" t="str">
        <f>IFERROR(VLOOKUP($C1791,Observaciones!$A:$B,2,FALSE)," ")</f>
        <v>ESPERAR AL VENDEDOR DEBE ENVIAR OC</v>
      </c>
      <c r="M1791" t="s">
        <v>681</v>
      </c>
      <c r="O1791" s="5">
        <v>30860180</v>
      </c>
      <c r="P1791" s="5">
        <v>32480</v>
      </c>
      <c r="Q1791" s="5">
        <v>6171</v>
      </c>
      <c r="R1791" s="5">
        <v>38651</v>
      </c>
    </row>
    <row r="1792" spans="1:18" x14ac:dyDescent="0.25">
      <c r="A1792" t="s">
        <v>501</v>
      </c>
      <c r="B1792" t="s">
        <v>494</v>
      </c>
      <c r="C1792">
        <v>76568680</v>
      </c>
      <c r="D1792">
        <v>747</v>
      </c>
      <c r="E1792">
        <v>30860129</v>
      </c>
      <c r="F1792" t="s">
        <v>1168</v>
      </c>
      <c r="G1792" s="1">
        <v>45237</v>
      </c>
      <c r="H1792">
        <v>5414283</v>
      </c>
      <c r="I1792">
        <v>184</v>
      </c>
      <c r="J1792" t="s">
        <v>394</v>
      </c>
      <c r="K1792" t="str">
        <f>IFERROR(IF(AND(VLOOKUP($C1792,Hes!$A:$B, 1, FALSE), $M1792&lt;&gt;" "), "Ingresada", "Falta Ingresar"), " ")</f>
        <v xml:space="preserve"> </v>
      </c>
      <c r="L1792" s="4" t="str">
        <f>IFERROR(VLOOKUP($C1792,Observaciones!$A:$B,2,FALSE)," ")</f>
        <v>ESPERAR AL VENDEDOR DEBE ENVIAR OC</v>
      </c>
      <c r="M1792" t="s">
        <v>681</v>
      </c>
      <c r="O1792" s="5">
        <v>30860129</v>
      </c>
      <c r="P1792" s="5">
        <v>19981</v>
      </c>
      <c r="Q1792" s="5">
        <v>3796</v>
      </c>
      <c r="R1792" s="5">
        <v>23777</v>
      </c>
    </row>
    <row r="1793" spans="1:18" x14ac:dyDescent="0.25">
      <c r="A1793" t="s">
        <v>501</v>
      </c>
      <c r="B1793" t="s">
        <v>494</v>
      </c>
      <c r="C1793">
        <v>76568680</v>
      </c>
      <c r="D1793">
        <v>720</v>
      </c>
      <c r="E1793">
        <v>30860242</v>
      </c>
      <c r="F1793" t="s">
        <v>1168</v>
      </c>
      <c r="G1793" s="1">
        <v>45237</v>
      </c>
      <c r="H1793">
        <v>5414299</v>
      </c>
      <c r="I1793">
        <v>184</v>
      </c>
      <c r="J1793" t="s">
        <v>394</v>
      </c>
      <c r="K1793" t="str">
        <f>IFERROR(IF(AND(VLOOKUP($C1793,Hes!$A:$B, 1, FALSE), $M1793&lt;&gt;" "), "Ingresada", "Falta Ingresar"), " ")</f>
        <v xml:space="preserve"> </v>
      </c>
      <c r="L1793" s="4" t="str">
        <f>IFERROR(VLOOKUP($C1793,Observaciones!$A:$B,2,FALSE)," ")</f>
        <v>ESPERAR AL VENDEDOR DEBE ENVIAR OC</v>
      </c>
      <c r="M1793" t="s">
        <v>681</v>
      </c>
      <c r="O1793" s="5">
        <v>30860242</v>
      </c>
      <c r="P1793" s="5">
        <v>30123</v>
      </c>
      <c r="Q1793" s="5">
        <v>5723</v>
      </c>
      <c r="R1793" s="5">
        <v>35846</v>
      </c>
    </row>
    <row r="1794" spans="1:18" x14ac:dyDescent="0.25">
      <c r="A1794" t="s">
        <v>501</v>
      </c>
      <c r="B1794" t="s">
        <v>494</v>
      </c>
      <c r="C1794">
        <v>76568680</v>
      </c>
      <c r="D1794">
        <v>8</v>
      </c>
      <c r="E1794">
        <v>30860220</v>
      </c>
      <c r="F1794" t="s">
        <v>1168</v>
      </c>
      <c r="G1794" s="1">
        <v>45237</v>
      </c>
      <c r="H1794">
        <v>5414304</v>
      </c>
      <c r="I1794">
        <v>184</v>
      </c>
      <c r="J1794" t="s">
        <v>394</v>
      </c>
      <c r="K1794" t="str">
        <f>IFERROR(IF(AND(VLOOKUP($C1794,Hes!$A:$B, 1, FALSE), $M1794&lt;&gt;" "), "Ingresada", "Falta Ingresar"), " ")</f>
        <v xml:space="preserve"> </v>
      </c>
      <c r="L1794" s="4" t="str">
        <f>IFERROR(VLOOKUP($C1794,Observaciones!$A:$B,2,FALSE)," ")</f>
        <v>ESPERAR AL VENDEDOR DEBE ENVIAR OC</v>
      </c>
      <c r="M1794" t="s">
        <v>681</v>
      </c>
      <c r="O1794" s="5">
        <v>30860220</v>
      </c>
      <c r="P1794" s="5">
        <v>13211</v>
      </c>
      <c r="Q1794" s="5">
        <v>2510</v>
      </c>
      <c r="R1794" s="5">
        <v>15721</v>
      </c>
    </row>
    <row r="1795" spans="1:18" x14ac:dyDescent="0.25">
      <c r="A1795" t="s">
        <v>501</v>
      </c>
      <c r="B1795" t="s">
        <v>494</v>
      </c>
      <c r="C1795">
        <v>76568680</v>
      </c>
      <c r="D1795">
        <v>105</v>
      </c>
      <c r="E1795">
        <v>30859881</v>
      </c>
      <c r="F1795" t="s">
        <v>1168</v>
      </c>
      <c r="G1795" s="1">
        <v>45237</v>
      </c>
      <c r="H1795">
        <v>5414311</v>
      </c>
      <c r="I1795">
        <v>184</v>
      </c>
      <c r="J1795" t="s">
        <v>394</v>
      </c>
      <c r="K1795" t="str">
        <f>IFERROR(IF(AND(VLOOKUP($C1795,Hes!$A:$B, 1, FALSE), $M1795&lt;&gt;" "), "Ingresada", "Falta Ingresar"), " ")</f>
        <v xml:space="preserve"> </v>
      </c>
      <c r="L1795" s="4" t="str">
        <f>IFERROR(VLOOKUP($C1795,Observaciones!$A:$B,2,FALSE)," ")</f>
        <v>ESPERAR AL VENDEDOR DEBE ENVIAR OC</v>
      </c>
      <c r="M1795" t="s">
        <v>681</v>
      </c>
      <c r="O1795" s="5">
        <v>30859881</v>
      </c>
      <c r="P1795" s="5">
        <v>41831</v>
      </c>
      <c r="Q1795" s="5">
        <v>7948</v>
      </c>
      <c r="R1795" s="5">
        <v>49779</v>
      </c>
    </row>
    <row r="1796" spans="1:18" x14ac:dyDescent="0.25">
      <c r="A1796" t="s">
        <v>501</v>
      </c>
      <c r="B1796" t="s">
        <v>494</v>
      </c>
      <c r="C1796">
        <v>76568680</v>
      </c>
      <c r="D1796">
        <v>101</v>
      </c>
      <c r="E1796">
        <v>30860444</v>
      </c>
      <c r="F1796" t="s">
        <v>1168</v>
      </c>
      <c r="G1796" s="1">
        <v>45237</v>
      </c>
      <c r="H1796">
        <v>5414317</v>
      </c>
      <c r="I1796">
        <v>184</v>
      </c>
      <c r="J1796" t="s">
        <v>394</v>
      </c>
      <c r="K1796" t="str">
        <f>IFERROR(IF(AND(VLOOKUP($C1796,Hes!$A:$B, 1, FALSE), $M1796&lt;&gt;" "), "Ingresada", "Falta Ingresar"), " ")</f>
        <v xml:space="preserve"> </v>
      </c>
      <c r="L1796" s="4" t="str">
        <f>IFERROR(VLOOKUP($C1796,Observaciones!$A:$B,2,FALSE)," ")</f>
        <v>ESPERAR AL VENDEDOR DEBE ENVIAR OC</v>
      </c>
      <c r="M1796" t="s">
        <v>681</v>
      </c>
      <c r="O1796" s="5">
        <v>30860444</v>
      </c>
      <c r="P1796" s="5">
        <v>34126</v>
      </c>
      <c r="Q1796" s="5">
        <v>6484</v>
      </c>
      <c r="R1796" s="5">
        <v>40610</v>
      </c>
    </row>
    <row r="1797" spans="1:18" x14ac:dyDescent="0.25">
      <c r="A1797" t="s">
        <v>501</v>
      </c>
      <c r="B1797" t="s">
        <v>494</v>
      </c>
      <c r="C1797">
        <v>76568680</v>
      </c>
      <c r="D1797">
        <v>721</v>
      </c>
      <c r="E1797">
        <v>30860317</v>
      </c>
      <c r="F1797" t="s">
        <v>1168</v>
      </c>
      <c r="G1797" s="1">
        <v>45237</v>
      </c>
      <c r="H1797">
        <v>5414328</v>
      </c>
      <c r="I1797">
        <v>184</v>
      </c>
      <c r="J1797" t="s">
        <v>394</v>
      </c>
      <c r="K1797" t="str">
        <f>IFERROR(IF(AND(VLOOKUP($C1797,Hes!$A:$B, 1, FALSE), $M1797&lt;&gt;" "), "Ingresada", "Falta Ingresar"), " ")</f>
        <v xml:space="preserve"> </v>
      </c>
      <c r="L1797" s="4" t="str">
        <f>IFERROR(VLOOKUP($C1797,Observaciones!$A:$B,2,FALSE)," ")</f>
        <v>ESPERAR AL VENDEDOR DEBE ENVIAR OC</v>
      </c>
      <c r="M1797" t="s">
        <v>681</v>
      </c>
      <c r="O1797" s="5">
        <v>30860317</v>
      </c>
      <c r="P1797" s="5">
        <v>41158</v>
      </c>
      <c r="Q1797" s="5">
        <v>7820</v>
      </c>
      <c r="R1797" s="5">
        <v>48978</v>
      </c>
    </row>
    <row r="1798" spans="1:18" x14ac:dyDescent="0.25">
      <c r="A1798" t="s">
        <v>501</v>
      </c>
      <c r="B1798" t="s">
        <v>494</v>
      </c>
      <c r="C1798">
        <v>76568680</v>
      </c>
      <c r="D1798">
        <v>151</v>
      </c>
      <c r="E1798">
        <v>30860465</v>
      </c>
      <c r="F1798" t="s">
        <v>1168</v>
      </c>
      <c r="G1798" s="1">
        <v>45237</v>
      </c>
      <c r="H1798">
        <v>5414344</v>
      </c>
      <c r="I1798">
        <v>184</v>
      </c>
      <c r="J1798" t="s">
        <v>394</v>
      </c>
      <c r="K1798" t="str">
        <f>IFERROR(IF(AND(VLOOKUP($C1798,Hes!$A:$B, 1, FALSE), $M1798&lt;&gt;" "), "Ingresada", "Falta Ingresar"), " ")</f>
        <v xml:space="preserve"> </v>
      </c>
      <c r="L1798" s="4" t="str">
        <f>IFERROR(VLOOKUP($C1798,Observaciones!$A:$B,2,FALSE)," ")</f>
        <v>ESPERAR AL VENDEDOR DEBE ENVIAR OC</v>
      </c>
      <c r="M1798" t="s">
        <v>681</v>
      </c>
      <c r="O1798" s="5">
        <v>30860465</v>
      </c>
      <c r="P1798" s="5">
        <v>49595</v>
      </c>
      <c r="Q1798" s="5">
        <v>9423</v>
      </c>
      <c r="R1798" s="5">
        <v>59018</v>
      </c>
    </row>
    <row r="1799" spans="1:18" x14ac:dyDescent="0.25">
      <c r="A1799" t="s">
        <v>501</v>
      </c>
      <c r="B1799" t="s">
        <v>494</v>
      </c>
      <c r="C1799">
        <v>76568680</v>
      </c>
      <c r="D1799">
        <v>738</v>
      </c>
      <c r="E1799">
        <v>30860549</v>
      </c>
      <c r="F1799" t="s">
        <v>1168</v>
      </c>
      <c r="G1799" s="1">
        <v>45237</v>
      </c>
      <c r="H1799">
        <v>5414346</v>
      </c>
      <c r="I1799">
        <v>184</v>
      </c>
      <c r="J1799" t="s">
        <v>394</v>
      </c>
      <c r="K1799" t="str">
        <f>IFERROR(IF(AND(VLOOKUP($C1799,Hes!$A:$B, 1, FALSE), $M1799&lt;&gt;" "), "Ingresada", "Falta Ingresar"), " ")</f>
        <v xml:space="preserve"> </v>
      </c>
      <c r="L1799" s="4" t="str">
        <f>IFERROR(VLOOKUP($C1799,Observaciones!$A:$B,2,FALSE)," ")</f>
        <v>ESPERAR AL VENDEDOR DEBE ENVIAR OC</v>
      </c>
      <c r="M1799" t="s">
        <v>681</v>
      </c>
      <c r="O1799" s="5">
        <v>30860549</v>
      </c>
      <c r="P1799" s="5">
        <v>26307</v>
      </c>
      <c r="Q1799" s="5">
        <v>4998</v>
      </c>
      <c r="R1799" s="5">
        <v>31305</v>
      </c>
    </row>
    <row r="1800" spans="1:18" x14ac:dyDescent="0.25">
      <c r="A1800" t="s">
        <v>501</v>
      </c>
      <c r="B1800" t="s">
        <v>494</v>
      </c>
      <c r="C1800">
        <v>76568680</v>
      </c>
      <c r="D1800">
        <v>150</v>
      </c>
      <c r="E1800">
        <v>30860647</v>
      </c>
      <c r="F1800" t="s">
        <v>1168</v>
      </c>
      <c r="G1800" s="1">
        <v>45237</v>
      </c>
      <c r="H1800">
        <v>5414349</v>
      </c>
      <c r="I1800">
        <v>184</v>
      </c>
      <c r="J1800" t="s">
        <v>394</v>
      </c>
      <c r="K1800" t="str">
        <f>IFERROR(IF(AND(VLOOKUP($C1800,Hes!$A:$B, 1, FALSE), $M1800&lt;&gt;" "), "Ingresada", "Falta Ingresar"), " ")</f>
        <v xml:space="preserve"> </v>
      </c>
      <c r="L1800" s="4" t="str">
        <f>IFERROR(VLOOKUP($C1800,Observaciones!$A:$B,2,FALSE)," ")</f>
        <v>ESPERAR AL VENDEDOR DEBE ENVIAR OC</v>
      </c>
      <c r="M1800" t="s">
        <v>681</v>
      </c>
      <c r="O1800" s="5">
        <v>30860647</v>
      </c>
      <c r="P1800" s="5">
        <v>13912</v>
      </c>
      <c r="Q1800" s="5">
        <v>2643</v>
      </c>
      <c r="R1800" s="5">
        <v>16555</v>
      </c>
    </row>
    <row r="1801" spans="1:18" x14ac:dyDescent="0.25">
      <c r="A1801" t="s">
        <v>501</v>
      </c>
      <c r="B1801" t="s">
        <v>494</v>
      </c>
      <c r="C1801">
        <v>76568680</v>
      </c>
      <c r="D1801">
        <v>522</v>
      </c>
      <c r="E1801">
        <v>30860528</v>
      </c>
      <c r="F1801" t="s">
        <v>1168</v>
      </c>
      <c r="G1801" s="1">
        <v>45237</v>
      </c>
      <c r="H1801">
        <v>5414372</v>
      </c>
      <c r="I1801">
        <v>184</v>
      </c>
      <c r="J1801" t="s">
        <v>394</v>
      </c>
      <c r="K1801" t="str">
        <f>IFERROR(IF(AND(VLOOKUP($C1801,Hes!$A:$B, 1, FALSE), $M1801&lt;&gt;" "), "Ingresada", "Falta Ingresar"), " ")</f>
        <v xml:space="preserve"> </v>
      </c>
      <c r="L1801" s="4" t="str">
        <f>IFERROR(VLOOKUP($C1801,Observaciones!$A:$B,2,FALSE)," ")</f>
        <v>ESPERAR AL VENDEDOR DEBE ENVIAR OC</v>
      </c>
      <c r="M1801" t="s">
        <v>681</v>
      </c>
      <c r="O1801" s="5">
        <v>30860528</v>
      </c>
      <c r="P1801" s="5">
        <v>41103</v>
      </c>
      <c r="Q1801" s="5">
        <v>7810</v>
      </c>
      <c r="R1801" s="5">
        <v>48913</v>
      </c>
    </row>
    <row r="1802" spans="1:18" x14ac:dyDescent="0.25">
      <c r="A1802" t="s">
        <v>501</v>
      </c>
      <c r="B1802" t="s">
        <v>494</v>
      </c>
      <c r="C1802">
        <v>76568680</v>
      </c>
      <c r="D1802">
        <v>505</v>
      </c>
      <c r="E1802">
        <v>30860543</v>
      </c>
      <c r="F1802" t="s">
        <v>1168</v>
      </c>
      <c r="G1802" s="1">
        <v>45237</v>
      </c>
      <c r="H1802">
        <v>5414373</v>
      </c>
      <c r="I1802">
        <v>184</v>
      </c>
      <c r="J1802" t="s">
        <v>394</v>
      </c>
      <c r="K1802" t="str">
        <f>IFERROR(IF(AND(VLOOKUP($C1802,Hes!$A:$B, 1, FALSE), $M1802&lt;&gt;" "), "Ingresada", "Falta Ingresar"), " ")</f>
        <v xml:space="preserve"> </v>
      </c>
      <c r="L1802" s="4" t="str">
        <f>IFERROR(VLOOKUP($C1802,Observaciones!$A:$B,2,FALSE)," ")</f>
        <v>ESPERAR AL VENDEDOR DEBE ENVIAR OC</v>
      </c>
      <c r="M1802" t="s">
        <v>681</v>
      </c>
      <c r="O1802" s="5">
        <v>30860543</v>
      </c>
      <c r="P1802" s="5">
        <v>26244</v>
      </c>
      <c r="Q1802" s="5">
        <v>4986</v>
      </c>
      <c r="R1802" s="5">
        <v>31230</v>
      </c>
    </row>
    <row r="1803" spans="1:18" x14ac:dyDescent="0.25">
      <c r="A1803" t="s">
        <v>501</v>
      </c>
      <c r="B1803" t="s">
        <v>494</v>
      </c>
      <c r="C1803">
        <v>76568680</v>
      </c>
      <c r="D1803">
        <v>719</v>
      </c>
      <c r="E1803">
        <v>30861241</v>
      </c>
      <c r="F1803" t="s">
        <v>1168</v>
      </c>
      <c r="G1803" s="1">
        <v>45237</v>
      </c>
      <c r="H1803">
        <v>5414374</v>
      </c>
      <c r="I1803">
        <v>184</v>
      </c>
      <c r="J1803" t="s">
        <v>394</v>
      </c>
      <c r="K1803" t="str">
        <f>IFERROR(IF(AND(VLOOKUP($C1803,Hes!$A:$B, 1, FALSE), $M1803&lt;&gt;" "), "Ingresada", "Falta Ingresar"), " ")</f>
        <v xml:space="preserve"> </v>
      </c>
      <c r="L1803" s="4" t="str">
        <f>IFERROR(VLOOKUP($C1803,Observaciones!$A:$B,2,FALSE)," ")</f>
        <v>ESPERAR AL VENDEDOR DEBE ENVIAR OC</v>
      </c>
      <c r="M1803" t="s">
        <v>681</v>
      </c>
      <c r="O1803" s="5">
        <v>30861241</v>
      </c>
      <c r="P1803" s="5">
        <v>18562</v>
      </c>
      <c r="Q1803" s="5">
        <v>3527</v>
      </c>
      <c r="R1803" s="5">
        <v>22089</v>
      </c>
    </row>
    <row r="1804" spans="1:18" x14ac:dyDescent="0.25">
      <c r="A1804" t="s">
        <v>501</v>
      </c>
      <c r="B1804" t="s">
        <v>494</v>
      </c>
      <c r="C1804">
        <v>76568680</v>
      </c>
      <c r="D1804">
        <v>715</v>
      </c>
      <c r="E1804">
        <v>30861258</v>
      </c>
      <c r="F1804" t="s">
        <v>1168</v>
      </c>
      <c r="G1804" s="1">
        <v>45237</v>
      </c>
      <c r="H1804">
        <v>5414384</v>
      </c>
      <c r="I1804">
        <v>184</v>
      </c>
      <c r="J1804" t="s">
        <v>394</v>
      </c>
      <c r="K1804" t="str">
        <f>IFERROR(IF(AND(VLOOKUP($C1804,Hes!$A:$B, 1, FALSE), $M1804&lt;&gt;" "), "Ingresada", "Falta Ingresar"), " ")</f>
        <v xml:space="preserve"> </v>
      </c>
      <c r="L1804" s="4" t="str">
        <f>IFERROR(VLOOKUP($C1804,Observaciones!$A:$B,2,FALSE)," ")</f>
        <v>ESPERAR AL VENDEDOR DEBE ENVIAR OC</v>
      </c>
      <c r="M1804" t="s">
        <v>681</v>
      </c>
      <c r="O1804" s="5">
        <v>30861258</v>
      </c>
      <c r="P1804" s="5">
        <v>12623</v>
      </c>
      <c r="Q1804" s="5">
        <v>2398</v>
      </c>
      <c r="R1804" s="5">
        <v>15021</v>
      </c>
    </row>
    <row r="1805" spans="1:18" x14ac:dyDescent="0.25">
      <c r="A1805" t="s">
        <v>501</v>
      </c>
      <c r="B1805" t="s">
        <v>494</v>
      </c>
      <c r="C1805">
        <v>76568680</v>
      </c>
      <c r="D1805">
        <v>10</v>
      </c>
      <c r="E1805">
        <v>30861284</v>
      </c>
      <c r="F1805" t="s">
        <v>1168</v>
      </c>
      <c r="G1805" s="1">
        <v>45237</v>
      </c>
      <c r="H1805">
        <v>5414385</v>
      </c>
      <c r="I1805">
        <v>184</v>
      </c>
      <c r="J1805" t="s">
        <v>394</v>
      </c>
      <c r="K1805" t="str">
        <f>IFERROR(IF(AND(VLOOKUP($C1805,Hes!$A:$B, 1, FALSE), $M1805&lt;&gt;" "), "Ingresada", "Falta Ingresar"), " ")</f>
        <v xml:space="preserve"> </v>
      </c>
      <c r="L1805" s="4" t="str">
        <f>IFERROR(VLOOKUP($C1805,Observaciones!$A:$B,2,FALSE)," ")</f>
        <v>ESPERAR AL VENDEDOR DEBE ENVIAR OC</v>
      </c>
      <c r="M1805" t="s">
        <v>681</v>
      </c>
      <c r="O1805" s="5">
        <v>30861284</v>
      </c>
      <c r="P1805" s="5">
        <v>19680</v>
      </c>
      <c r="Q1805" s="5">
        <v>3739</v>
      </c>
      <c r="R1805" s="5">
        <v>23419</v>
      </c>
    </row>
    <row r="1806" spans="1:18" x14ac:dyDescent="0.25">
      <c r="A1806" t="s">
        <v>501</v>
      </c>
      <c r="B1806" t="s">
        <v>494</v>
      </c>
      <c r="C1806">
        <v>76568680</v>
      </c>
      <c r="D1806">
        <v>7</v>
      </c>
      <c r="E1806">
        <v>30861202</v>
      </c>
      <c r="F1806" t="s">
        <v>1168</v>
      </c>
      <c r="G1806" s="1">
        <v>45237</v>
      </c>
      <c r="H1806">
        <v>5414413</v>
      </c>
      <c r="I1806">
        <v>184</v>
      </c>
      <c r="J1806" t="s">
        <v>394</v>
      </c>
      <c r="K1806" t="str">
        <f>IFERROR(IF(AND(VLOOKUP($C1806,Hes!$A:$B, 1, FALSE), $M1806&lt;&gt;" "), "Ingresada", "Falta Ingresar"), " ")</f>
        <v xml:space="preserve"> </v>
      </c>
      <c r="L1806" s="4" t="str">
        <f>IFERROR(VLOOKUP($C1806,Observaciones!$A:$B,2,FALSE)," ")</f>
        <v>ESPERAR AL VENDEDOR DEBE ENVIAR OC</v>
      </c>
      <c r="M1806" t="s">
        <v>681</v>
      </c>
      <c r="O1806" s="5">
        <v>30861202</v>
      </c>
      <c r="P1806" s="5">
        <v>29268</v>
      </c>
      <c r="Q1806" s="5">
        <v>5561</v>
      </c>
      <c r="R1806" s="5">
        <v>34829</v>
      </c>
    </row>
    <row r="1807" spans="1:18" x14ac:dyDescent="0.25">
      <c r="A1807" t="s">
        <v>501</v>
      </c>
      <c r="B1807" t="s">
        <v>494</v>
      </c>
      <c r="C1807">
        <v>76568680</v>
      </c>
      <c r="D1807">
        <v>11</v>
      </c>
      <c r="E1807">
        <v>30860746</v>
      </c>
      <c r="F1807" t="s">
        <v>1168</v>
      </c>
      <c r="G1807" s="1">
        <v>45237</v>
      </c>
      <c r="H1807">
        <v>5414416</v>
      </c>
      <c r="I1807">
        <v>184</v>
      </c>
      <c r="J1807" t="s">
        <v>394</v>
      </c>
      <c r="K1807" t="str">
        <f>IFERROR(IF(AND(VLOOKUP($C1807,Hes!$A:$B, 1, FALSE), $M1807&lt;&gt;" "), "Ingresada", "Falta Ingresar"), " ")</f>
        <v xml:space="preserve"> </v>
      </c>
      <c r="L1807" s="4" t="str">
        <f>IFERROR(VLOOKUP($C1807,Observaciones!$A:$B,2,FALSE)," ")</f>
        <v>ESPERAR AL VENDEDOR DEBE ENVIAR OC</v>
      </c>
      <c r="M1807" t="s">
        <v>681</v>
      </c>
      <c r="O1807" s="5">
        <v>30860746</v>
      </c>
      <c r="P1807" s="5">
        <v>33903</v>
      </c>
      <c r="Q1807" s="5">
        <v>6442</v>
      </c>
      <c r="R1807" s="5">
        <v>40345</v>
      </c>
    </row>
    <row r="1808" spans="1:18" x14ac:dyDescent="0.25">
      <c r="A1808" t="s">
        <v>501</v>
      </c>
      <c r="B1808" t="s">
        <v>494</v>
      </c>
      <c r="C1808">
        <v>76568680</v>
      </c>
      <c r="D1808">
        <v>705</v>
      </c>
      <c r="E1808">
        <v>30861324</v>
      </c>
      <c r="F1808" t="s">
        <v>1168</v>
      </c>
      <c r="G1808" s="1">
        <v>45237</v>
      </c>
      <c r="H1808">
        <v>5414418</v>
      </c>
      <c r="I1808">
        <v>184</v>
      </c>
      <c r="J1808" t="s">
        <v>394</v>
      </c>
      <c r="K1808" t="str">
        <f>IFERROR(IF(AND(VLOOKUP($C1808,Hes!$A:$B, 1, FALSE), $M1808&lt;&gt;" "), "Ingresada", "Falta Ingresar"), " ")</f>
        <v xml:space="preserve"> </v>
      </c>
      <c r="L1808" s="4" t="str">
        <f>IFERROR(VLOOKUP($C1808,Observaciones!$A:$B,2,FALSE)," ")</f>
        <v>ESPERAR AL VENDEDOR DEBE ENVIAR OC</v>
      </c>
      <c r="M1808" t="s">
        <v>681</v>
      </c>
      <c r="O1808" s="5">
        <v>30861324</v>
      </c>
      <c r="P1808" s="5">
        <v>49360</v>
      </c>
      <c r="Q1808" s="5">
        <v>9378</v>
      </c>
      <c r="R1808" s="5">
        <v>58738</v>
      </c>
    </row>
    <row r="1809" spans="1:18" x14ac:dyDescent="0.25">
      <c r="A1809" t="s">
        <v>501</v>
      </c>
      <c r="B1809" t="s">
        <v>494</v>
      </c>
      <c r="C1809">
        <v>76568680</v>
      </c>
      <c r="D1809">
        <v>35</v>
      </c>
      <c r="E1809">
        <v>30861262</v>
      </c>
      <c r="F1809" t="s">
        <v>1168</v>
      </c>
      <c r="G1809" s="1">
        <v>45237</v>
      </c>
      <c r="H1809">
        <v>5414419</v>
      </c>
      <c r="I1809">
        <v>184</v>
      </c>
      <c r="J1809" t="s">
        <v>394</v>
      </c>
      <c r="K1809" t="str">
        <f>IFERROR(IF(AND(VLOOKUP($C1809,Hes!$A:$B, 1, FALSE), $M1809&lt;&gt;" "), "Ingresada", "Falta Ingresar"), " ")</f>
        <v xml:space="preserve"> </v>
      </c>
      <c r="L1809" s="4" t="str">
        <f>IFERROR(VLOOKUP($C1809,Observaciones!$A:$B,2,FALSE)," ")</f>
        <v>ESPERAR AL VENDEDOR DEBE ENVIAR OC</v>
      </c>
      <c r="M1809" t="s">
        <v>681</v>
      </c>
      <c r="O1809" s="5">
        <v>30861262</v>
      </c>
      <c r="P1809" s="5">
        <v>33832</v>
      </c>
      <c r="Q1809" s="5">
        <v>6428</v>
      </c>
      <c r="R1809" s="5">
        <v>40260</v>
      </c>
    </row>
    <row r="1810" spans="1:18" x14ac:dyDescent="0.25">
      <c r="A1810" t="s">
        <v>501</v>
      </c>
      <c r="B1810" t="s">
        <v>494</v>
      </c>
      <c r="C1810">
        <v>76568680</v>
      </c>
      <c r="D1810">
        <v>733</v>
      </c>
      <c r="E1810">
        <v>30860737</v>
      </c>
      <c r="F1810" t="s">
        <v>1168</v>
      </c>
      <c r="G1810" s="1">
        <v>45237</v>
      </c>
      <c r="H1810">
        <v>5414433</v>
      </c>
      <c r="I1810">
        <v>184</v>
      </c>
      <c r="J1810" t="s">
        <v>394</v>
      </c>
      <c r="K1810" t="str">
        <f>IFERROR(IF(AND(VLOOKUP($C1810,Hes!$A:$B, 1, FALSE), $M1810&lt;&gt;" "), "Ingresada", "Falta Ingresar"), " ")</f>
        <v xml:space="preserve"> </v>
      </c>
      <c r="L1810" s="4" t="str">
        <f>IFERROR(VLOOKUP($C1810,Observaciones!$A:$B,2,FALSE)," ")</f>
        <v>ESPERAR AL VENDEDOR DEBE ENVIAR OC</v>
      </c>
      <c r="M1810" t="s">
        <v>681</v>
      </c>
      <c r="O1810" s="5">
        <v>30860737</v>
      </c>
      <c r="P1810" s="5">
        <v>41832</v>
      </c>
      <c r="Q1810" s="5">
        <v>7948</v>
      </c>
      <c r="R1810" s="5">
        <v>49780</v>
      </c>
    </row>
    <row r="1811" spans="1:18" x14ac:dyDescent="0.25">
      <c r="A1811" t="s">
        <v>501</v>
      </c>
      <c r="B1811" t="s">
        <v>494</v>
      </c>
      <c r="C1811">
        <v>76568680</v>
      </c>
      <c r="D1811">
        <v>723</v>
      </c>
      <c r="E1811">
        <v>30860297</v>
      </c>
      <c r="F1811" t="s">
        <v>1168</v>
      </c>
      <c r="G1811" s="1">
        <v>45237</v>
      </c>
      <c r="H1811">
        <v>5414442</v>
      </c>
      <c r="I1811">
        <v>184</v>
      </c>
      <c r="J1811" t="s">
        <v>394</v>
      </c>
      <c r="K1811" t="str">
        <f>IFERROR(IF(AND(VLOOKUP($C1811,Hes!$A:$B, 1, FALSE), $M1811&lt;&gt;" "), "Ingresada", "Falta Ingresar"), " ")</f>
        <v xml:space="preserve"> </v>
      </c>
      <c r="L1811" s="4" t="str">
        <f>IFERROR(VLOOKUP($C1811,Observaciones!$A:$B,2,FALSE)," ")</f>
        <v>ESPERAR AL VENDEDOR DEBE ENVIAR OC</v>
      </c>
      <c r="M1811" t="s">
        <v>681</v>
      </c>
      <c r="O1811" s="5">
        <v>30860297</v>
      </c>
      <c r="P1811" s="5">
        <v>60887</v>
      </c>
      <c r="Q1811" s="5">
        <v>11569</v>
      </c>
      <c r="R1811" s="5">
        <v>72456</v>
      </c>
    </row>
    <row r="1812" spans="1:18" x14ac:dyDescent="0.25">
      <c r="A1812" t="s">
        <v>501</v>
      </c>
      <c r="B1812" t="s">
        <v>494</v>
      </c>
      <c r="C1812">
        <v>76568680</v>
      </c>
      <c r="D1812">
        <v>28</v>
      </c>
      <c r="E1812">
        <v>30861347</v>
      </c>
      <c r="F1812" t="s">
        <v>1168</v>
      </c>
      <c r="G1812" s="1">
        <v>45237</v>
      </c>
      <c r="H1812">
        <v>5414458</v>
      </c>
      <c r="I1812">
        <v>184</v>
      </c>
      <c r="J1812" t="s">
        <v>394</v>
      </c>
      <c r="K1812" t="str">
        <f>IFERROR(IF(AND(VLOOKUP($C1812,Hes!$A:$B, 1, FALSE), $M1812&lt;&gt;" "), "Ingresada", "Falta Ingresar"), " ")</f>
        <v xml:space="preserve"> </v>
      </c>
      <c r="L1812" s="4" t="str">
        <f>IFERROR(VLOOKUP($C1812,Observaciones!$A:$B,2,FALSE)," ")</f>
        <v>ESPERAR AL VENDEDOR DEBE ENVIAR OC</v>
      </c>
      <c r="M1812" t="s">
        <v>681</v>
      </c>
      <c r="O1812" s="5">
        <v>30861347</v>
      </c>
      <c r="P1812" s="5">
        <v>33498</v>
      </c>
      <c r="Q1812" s="5">
        <v>6365</v>
      </c>
      <c r="R1812" s="5">
        <v>39863</v>
      </c>
    </row>
    <row r="1813" spans="1:18" x14ac:dyDescent="0.25">
      <c r="A1813" t="s">
        <v>501</v>
      </c>
      <c r="B1813" t="s">
        <v>494</v>
      </c>
      <c r="C1813">
        <v>76568680</v>
      </c>
      <c r="D1813">
        <v>18</v>
      </c>
      <c r="E1813">
        <v>30861379</v>
      </c>
      <c r="F1813" t="s">
        <v>1168</v>
      </c>
      <c r="G1813" s="1">
        <v>45237</v>
      </c>
      <c r="H1813">
        <v>5414481</v>
      </c>
      <c r="I1813">
        <v>184</v>
      </c>
      <c r="J1813" t="s">
        <v>394</v>
      </c>
      <c r="K1813" t="str">
        <f>IFERROR(IF(AND(VLOOKUP($C1813,Hes!$A:$B, 1, FALSE), $M1813&lt;&gt;" "), "Ingresada", "Falta Ingresar"), " ")</f>
        <v xml:space="preserve"> </v>
      </c>
      <c r="L1813" s="4" t="str">
        <f>IFERROR(VLOOKUP($C1813,Observaciones!$A:$B,2,FALSE)," ")</f>
        <v>ESPERAR AL VENDEDOR DEBE ENVIAR OC</v>
      </c>
      <c r="M1813" t="s">
        <v>681</v>
      </c>
      <c r="O1813" s="5">
        <v>30861379</v>
      </c>
      <c r="P1813" s="5">
        <v>33736</v>
      </c>
      <c r="Q1813" s="5">
        <v>6410</v>
      </c>
      <c r="R1813" s="5">
        <v>40146</v>
      </c>
    </row>
    <row r="1814" spans="1:18" x14ac:dyDescent="0.25">
      <c r="A1814" t="s">
        <v>501</v>
      </c>
      <c r="B1814" t="s">
        <v>494</v>
      </c>
      <c r="C1814">
        <v>76568680</v>
      </c>
      <c r="D1814">
        <v>736</v>
      </c>
      <c r="E1814">
        <v>30861312</v>
      </c>
      <c r="F1814" t="s">
        <v>1168</v>
      </c>
      <c r="G1814" s="1">
        <v>45237</v>
      </c>
      <c r="H1814">
        <v>5414487</v>
      </c>
      <c r="I1814">
        <v>184</v>
      </c>
      <c r="J1814" t="s">
        <v>394</v>
      </c>
      <c r="K1814" t="str">
        <f>IFERROR(IF(AND(VLOOKUP($C1814,Hes!$A:$B, 1, FALSE), $M1814&lt;&gt;" "), "Ingresada", "Falta Ingresar"), " ")</f>
        <v xml:space="preserve"> </v>
      </c>
      <c r="L1814" s="4" t="str">
        <f>IFERROR(VLOOKUP($C1814,Observaciones!$A:$B,2,FALSE)," ")</f>
        <v>ESPERAR AL VENDEDOR DEBE ENVIAR OC</v>
      </c>
      <c r="M1814" t="s">
        <v>681</v>
      </c>
      <c r="O1814" s="5">
        <v>30861312</v>
      </c>
      <c r="P1814" s="5">
        <v>33747</v>
      </c>
      <c r="Q1814" s="5">
        <v>6412</v>
      </c>
      <c r="R1814" s="5">
        <v>40159</v>
      </c>
    </row>
    <row r="1815" spans="1:18" x14ac:dyDescent="0.25">
      <c r="A1815" t="s">
        <v>501</v>
      </c>
      <c r="B1815" t="s">
        <v>494</v>
      </c>
      <c r="C1815">
        <v>76568680</v>
      </c>
      <c r="D1815">
        <v>714</v>
      </c>
      <c r="E1815">
        <v>30860483</v>
      </c>
      <c r="F1815" t="s">
        <v>1168</v>
      </c>
      <c r="G1815" s="1">
        <v>45237</v>
      </c>
      <c r="H1815">
        <v>5414504</v>
      </c>
      <c r="I1815">
        <v>184</v>
      </c>
      <c r="J1815" t="s">
        <v>394</v>
      </c>
      <c r="K1815" t="str">
        <f>IFERROR(IF(AND(VLOOKUP($C1815,Hes!$A:$B, 1, FALSE), $M1815&lt;&gt;" "), "Ingresada", "Falta Ingresar"), " ")</f>
        <v xml:space="preserve"> </v>
      </c>
      <c r="L1815" s="4" t="str">
        <f>IFERROR(VLOOKUP($C1815,Observaciones!$A:$B,2,FALSE)," ")</f>
        <v>ESPERAR AL VENDEDOR DEBE ENVIAR OC</v>
      </c>
      <c r="M1815" t="s">
        <v>681</v>
      </c>
      <c r="O1815" s="5">
        <v>30860483</v>
      </c>
      <c r="P1815" s="5">
        <v>29949</v>
      </c>
      <c r="Q1815" s="5">
        <v>5690</v>
      </c>
      <c r="R1815" s="5">
        <v>35639</v>
      </c>
    </row>
    <row r="1816" spans="1:18" x14ac:dyDescent="0.25">
      <c r="A1816" t="s">
        <v>501</v>
      </c>
      <c r="B1816" t="s">
        <v>494</v>
      </c>
      <c r="C1816">
        <v>76568680</v>
      </c>
      <c r="D1816">
        <v>751</v>
      </c>
      <c r="E1816">
        <v>30861236</v>
      </c>
      <c r="F1816" t="s">
        <v>1168</v>
      </c>
      <c r="G1816" s="1">
        <v>45237</v>
      </c>
      <c r="H1816">
        <v>5414514</v>
      </c>
      <c r="I1816">
        <v>184</v>
      </c>
      <c r="J1816" t="s">
        <v>394</v>
      </c>
      <c r="K1816" t="str">
        <f>IFERROR(IF(AND(VLOOKUP($C1816,Hes!$A:$B, 1, FALSE), $M1816&lt;&gt;" "), "Ingresada", "Falta Ingresar"), " ")</f>
        <v xml:space="preserve"> </v>
      </c>
      <c r="L1816" s="4" t="str">
        <f>IFERROR(VLOOKUP($C1816,Observaciones!$A:$B,2,FALSE)," ")</f>
        <v>ESPERAR AL VENDEDOR DEBE ENVIAR OC</v>
      </c>
      <c r="M1816" t="s">
        <v>681</v>
      </c>
      <c r="O1816" s="5">
        <v>30861236</v>
      </c>
      <c r="P1816" s="5">
        <v>36805</v>
      </c>
      <c r="Q1816" s="5">
        <v>6993</v>
      </c>
      <c r="R1816" s="5">
        <v>43798</v>
      </c>
    </row>
    <row r="1817" spans="1:18" x14ac:dyDescent="0.25">
      <c r="A1817" t="s">
        <v>501</v>
      </c>
      <c r="B1817" t="s">
        <v>494</v>
      </c>
      <c r="C1817">
        <v>76568680</v>
      </c>
      <c r="D1817">
        <v>750</v>
      </c>
      <c r="E1817">
        <v>30861342</v>
      </c>
      <c r="F1817" t="s">
        <v>1168</v>
      </c>
      <c r="G1817" s="1">
        <v>45238</v>
      </c>
      <c r="H1817">
        <v>5414545</v>
      </c>
      <c r="I1817">
        <v>184</v>
      </c>
      <c r="J1817" t="s">
        <v>394</v>
      </c>
      <c r="K1817" t="str">
        <f>IFERROR(IF(AND(VLOOKUP($C1817,Hes!$A:$B, 1, FALSE), $M1817&lt;&gt;" "), "Ingresada", "Falta Ingresar"), " ")</f>
        <v xml:space="preserve"> </v>
      </c>
      <c r="L1817" s="4" t="str">
        <f>IFERROR(VLOOKUP($C1817,Observaciones!$A:$B,2,FALSE)," ")</f>
        <v>ESPERAR AL VENDEDOR DEBE ENVIAR OC</v>
      </c>
      <c r="M1817" t="s">
        <v>681</v>
      </c>
      <c r="O1817" s="5">
        <v>30861342</v>
      </c>
      <c r="P1817" s="5">
        <v>49512</v>
      </c>
      <c r="Q1817" s="5">
        <v>9407</v>
      </c>
      <c r="R1817" s="5">
        <v>58919</v>
      </c>
    </row>
    <row r="1818" spans="1:18" x14ac:dyDescent="0.25">
      <c r="A1818" t="s">
        <v>501</v>
      </c>
      <c r="B1818" t="s">
        <v>494</v>
      </c>
      <c r="C1818">
        <v>76568680</v>
      </c>
      <c r="D1818">
        <v>3</v>
      </c>
      <c r="E1818">
        <v>30860671</v>
      </c>
      <c r="F1818" t="s">
        <v>1168</v>
      </c>
      <c r="G1818" s="1">
        <v>45238</v>
      </c>
      <c r="H1818">
        <v>5414553</v>
      </c>
      <c r="I1818">
        <v>184</v>
      </c>
      <c r="J1818" t="s">
        <v>394</v>
      </c>
      <c r="K1818" t="str">
        <f>IFERROR(IF(AND(VLOOKUP($C1818,Hes!$A:$B, 1, FALSE), $M1818&lt;&gt;" "), "Ingresada", "Falta Ingresar"), " ")</f>
        <v xml:space="preserve"> </v>
      </c>
      <c r="L1818" s="4" t="str">
        <f>IFERROR(VLOOKUP($C1818,Observaciones!$A:$B,2,FALSE)," ")</f>
        <v>ESPERAR AL VENDEDOR DEBE ENVIAR OC</v>
      </c>
      <c r="M1818" t="s">
        <v>681</v>
      </c>
      <c r="O1818" s="5">
        <v>30860671</v>
      </c>
      <c r="P1818" s="5">
        <v>28738</v>
      </c>
      <c r="Q1818" s="5">
        <v>5460</v>
      </c>
      <c r="R1818" s="5">
        <v>34198</v>
      </c>
    </row>
    <row r="1819" spans="1:18" x14ac:dyDescent="0.25">
      <c r="A1819" t="s">
        <v>501</v>
      </c>
      <c r="B1819" t="s">
        <v>494</v>
      </c>
      <c r="C1819">
        <v>76568680</v>
      </c>
      <c r="D1819">
        <v>38</v>
      </c>
      <c r="E1819">
        <v>30859903</v>
      </c>
      <c r="F1819" t="s">
        <v>1168</v>
      </c>
      <c r="G1819" s="1">
        <v>45238</v>
      </c>
      <c r="H1819">
        <v>5414623</v>
      </c>
      <c r="I1819">
        <v>184</v>
      </c>
      <c r="J1819" t="s">
        <v>394</v>
      </c>
      <c r="K1819" t="str">
        <f>IFERROR(IF(AND(VLOOKUP($C1819,Hes!$A:$B, 1, FALSE), $M1819&lt;&gt;" "), "Ingresada", "Falta Ingresar"), " ")</f>
        <v xml:space="preserve"> </v>
      </c>
      <c r="L1819" s="4" t="str">
        <f>IFERROR(VLOOKUP($C1819,Observaciones!$A:$B,2,FALSE)," ")</f>
        <v>ESPERAR AL VENDEDOR DEBE ENVIAR OC</v>
      </c>
      <c r="M1819" t="s">
        <v>681</v>
      </c>
      <c r="O1819" s="5">
        <v>30859903</v>
      </c>
      <c r="P1819" s="5">
        <v>37163</v>
      </c>
      <c r="Q1819" s="5">
        <v>7061</v>
      </c>
      <c r="R1819" s="5">
        <v>44224</v>
      </c>
    </row>
    <row r="1820" spans="1:18" x14ac:dyDescent="0.25">
      <c r="A1820" t="s">
        <v>501</v>
      </c>
      <c r="B1820" t="s">
        <v>494</v>
      </c>
      <c r="C1820">
        <v>76568680</v>
      </c>
      <c r="D1820">
        <v>124</v>
      </c>
      <c r="E1820">
        <v>30860024</v>
      </c>
      <c r="F1820" t="s">
        <v>1168</v>
      </c>
      <c r="G1820" s="1">
        <v>45238</v>
      </c>
      <c r="H1820">
        <v>5414647</v>
      </c>
      <c r="I1820">
        <v>184</v>
      </c>
      <c r="J1820" t="s">
        <v>394</v>
      </c>
      <c r="K1820" t="str">
        <f>IFERROR(IF(AND(VLOOKUP($C1820,Hes!$A:$B, 1, FALSE), $M1820&lt;&gt;" "), "Ingresada", "Falta Ingresar"), " ")</f>
        <v xml:space="preserve"> </v>
      </c>
      <c r="L1820" s="4" t="str">
        <f>IFERROR(VLOOKUP($C1820,Observaciones!$A:$B,2,FALSE)," ")</f>
        <v>ESPERAR AL VENDEDOR DEBE ENVIAR OC</v>
      </c>
      <c r="M1820" t="s">
        <v>681</v>
      </c>
      <c r="O1820" s="5">
        <v>30860024</v>
      </c>
      <c r="P1820" s="5">
        <v>30054</v>
      </c>
      <c r="Q1820" s="5">
        <v>5710</v>
      </c>
      <c r="R1820" s="5">
        <v>35764</v>
      </c>
    </row>
    <row r="1821" spans="1:18" x14ac:dyDescent="0.25">
      <c r="A1821" t="s">
        <v>501</v>
      </c>
      <c r="B1821" t="s">
        <v>494</v>
      </c>
      <c r="C1821">
        <v>76568680</v>
      </c>
      <c r="D1821">
        <v>154</v>
      </c>
      <c r="E1821">
        <v>30860625</v>
      </c>
      <c r="F1821" t="s">
        <v>1168</v>
      </c>
      <c r="G1821" s="1">
        <v>45238</v>
      </c>
      <c r="H1821">
        <v>5414703</v>
      </c>
      <c r="I1821">
        <v>184</v>
      </c>
      <c r="J1821" t="s">
        <v>394</v>
      </c>
      <c r="K1821" t="str">
        <f>IFERROR(IF(AND(VLOOKUP($C1821,Hes!$A:$B, 1, FALSE), $M1821&lt;&gt;" "), "Ingresada", "Falta Ingresar"), " ")</f>
        <v xml:space="preserve"> </v>
      </c>
      <c r="L1821" s="4" t="str">
        <f>IFERROR(VLOOKUP($C1821,Observaciones!$A:$B,2,FALSE)," ")</f>
        <v>ESPERAR AL VENDEDOR DEBE ENVIAR OC</v>
      </c>
      <c r="M1821" t="s">
        <v>681</v>
      </c>
      <c r="O1821" s="5">
        <v>30860625</v>
      </c>
      <c r="P1821" s="5">
        <v>22838</v>
      </c>
      <c r="Q1821" s="5">
        <v>4339</v>
      </c>
      <c r="R1821" s="5">
        <v>27177</v>
      </c>
    </row>
    <row r="1822" spans="1:18" x14ac:dyDescent="0.25">
      <c r="A1822" t="s">
        <v>501</v>
      </c>
      <c r="B1822" t="s">
        <v>494</v>
      </c>
      <c r="C1822">
        <v>76568680</v>
      </c>
      <c r="D1822">
        <v>25</v>
      </c>
      <c r="E1822">
        <v>30860612</v>
      </c>
      <c r="F1822" t="s">
        <v>1168</v>
      </c>
      <c r="G1822" s="1">
        <v>45238</v>
      </c>
      <c r="H1822">
        <v>5414714</v>
      </c>
      <c r="I1822">
        <v>184</v>
      </c>
      <c r="J1822" t="s">
        <v>394</v>
      </c>
      <c r="K1822" t="str">
        <f>IFERROR(IF(AND(VLOOKUP($C1822,Hes!$A:$B, 1, FALSE), $M1822&lt;&gt;" "), "Ingresada", "Falta Ingresar"), " ")</f>
        <v xml:space="preserve"> </v>
      </c>
      <c r="L1822" s="4" t="str">
        <f>IFERROR(VLOOKUP($C1822,Observaciones!$A:$B,2,FALSE)," ")</f>
        <v>ESPERAR AL VENDEDOR DEBE ENVIAR OC</v>
      </c>
      <c r="M1822" t="s">
        <v>681</v>
      </c>
      <c r="O1822" s="5">
        <v>30860612</v>
      </c>
      <c r="P1822" s="5">
        <v>48764</v>
      </c>
      <c r="Q1822" s="5">
        <v>9265</v>
      </c>
      <c r="R1822" s="5">
        <v>58029</v>
      </c>
    </row>
    <row r="1823" spans="1:18" x14ac:dyDescent="0.25">
      <c r="A1823" t="s">
        <v>501</v>
      </c>
      <c r="B1823" t="s">
        <v>494</v>
      </c>
      <c r="C1823">
        <v>76568680</v>
      </c>
      <c r="D1823">
        <v>123</v>
      </c>
      <c r="E1823">
        <v>30860586</v>
      </c>
      <c r="F1823" t="s">
        <v>1168</v>
      </c>
      <c r="G1823" s="1">
        <v>45237</v>
      </c>
      <c r="H1823">
        <v>5414731</v>
      </c>
      <c r="I1823">
        <v>184</v>
      </c>
      <c r="J1823" t="s">
        <v>394</v>
      </c>
      <c r="K1823" t="str">
        <f>IFERROR(IF(AND(VLOOKUP($C1823,Hes!$A:$B, 1, FALSE), $M1823&lt;&gt;" "), "Ingresada", "Falta Ingresar"), " ")</f>
        <v xml:space="preserve"> </v>
      </c>
      <c r="L1823" s="4" t="str">
        <f>IFERROR(VLOOKUP($C1823,Observaciones!$A:$B,2,FALSE)," ")</f>
        <v>ESPERAR AL VENDEDOR DEBE ENVIAR OC</v>
      </c>
      <c r="M1823" t="s">
        <v>681</v>
      </c>
      <c r="O1823" s="5">
        <v>30860586</v>
      </c>
      <c r="P1823" s="5">
        <v>50889</v>
      </c>
      <c r="Q1823" s="5">
        <v>9669</v>
      </c>
      <c r="R1823" s="5">
        <v>60558</v>
      </c>
    </row>
    <row r="1824" spans="1:18" x14ac:dyDescent="0.25">
      <c r="A1824" t="s">
        <v>501</v>
      </c>
      <c r="B1824" t="s">
        <v>494</v>
      </c>
      <c r="C1824">
        <v>76568680</v>
      </c>
      <c r="D1824">
        <v>31</v>
      </c>
      <c r="E1824">
        <v>30860599</v>
      </c>
      <c r="F1824" t="s">
        <v>1168</v>
      </c>
      <c r="G1824" s="1">
        <v>45237</v>
      </c>
      <c r="H1824">
        <v>5414732</v>
      </c>
      <c r="I1824">
        <v>184</v>
      </c>
      <c r="J1824" t="s">
        <v>394</v>
      </c>
      <c r="K1824" t="str">
        <f>IFERROR(IF(AND(VLOOKUP($C1824,Hes!$A:$B, 1, FALSE), $M1824&lt;&gt;" "), "Ingresada", "Falta Ingresar"), " ")</f>
        <v xml:space="preserve"> </v>
      </c>
      <c r="L1824" s="4" t="str">
        <f>IFERROR(VLOOKUP($C1824,Observaciones!$A:$B,2,FALSE)," ")</f>
        <v>ESPERAR AL VENDEDOR DEBE ENVIAR OC</v>
      </c>
      <c r="M1824" t="s">
        <v>681</v>
      </c>
      <c r="O1824" s="5">
        <v>30860599</v>
      </c>
      <c r="P1824" s="5">
        <v>34278</v>
      </c>
      <c r="Q1824" s="5">
        <v>6513</v>
      </c>
      <c r="R1824" s="5">
        <v>40791</v>
      </c>
    </row>
    <row r="1825" spans="1:18" x14ac:dyDescent="0.25">
      <c r="A1825" t="s">
        <v>501</v>
      </c>
      <c r="B1825" t="s">
        <v>494</v>
      </c>
      <c r="C1825">
        <v>76568680</v>
      </c>
      <c r="D1825">
        <v>45</v>
      </c>
      <c r="E1825">
        <v>30861223</v>
      </c>
      <c r="F1825" t="s">
        <v>1168</v>
      </c>
      <c r="G1825" s="1">
        <v>45237</v>
      </c>
      <c r="H1825">
        <v>5414736</v>
      </c>
      <c r="I1825">
        <v>184</v>
      </c>
      <c r="J1825" t="s">
        <v>394</v>
      </c>
      <c r="K1825" t="str">
        <f>IFERROR(IF(AND(VLOOKUP($C1825,Hes!$A:$B, 1, FALSE), $M1825&lt;&gt;" "), "Ingresada", "Falta Ingresar"), " ")</f>
        <v xml:space="preserve"> </v>
      </c>
      <c r="L1825" s="4" t="str">
        <f>IFERROR(VLOOKUP($C1825,Observaciones!$A:$B,2,FALSE)," ")</f>
        <v>ESPERAR AL VENDEDOR DEBE ENVIAR OC</v>
      </c>
      <c r="M1825" t="s">
        <v>681</v>
      </c>
      <c r="O1825" s="5">
        <v>30861223</v>
      </c>
      <c r="P1825" s="5">
        <v>36928</v>
      </c>
      <c r="Q1825" s="5">
        <v>7016</v>
      </c>
      <c r="R1825" s="5">
        <v>43944</v>
      </c>
    </row>
    <row r="1826" spans="1:18" x14ac:dyDescent="0.25">
      <c r="A1826" t="s">
        <v>501</v>
      </c>
      <c r="B1826" t="s">
        <v>494</v>
      </c>
      <c r="C1826">
        <v>76568680</v>
      </c>
      <c r="D1826">
        <v>525</v>
      </c>
      <c r="E1826">
        <v>30861295</v>
      </c>
      <c r="F1826" t="s">
        <v>1168</v>
      </c>
      <c r="G1826" s="1">
        <v>45238</v>
      </c>
      <c r="H1826">
        <v>5414753</v>
      </c>
      <c r="I1826">
        <v>184</v>
      </c>
      <c r="J1826" t="s">
        <v>394</v>
      </c>
      <c r="K1826" t="str">
        <f>IFERROR(IF(AND(VLOOKUP($C1826,Hes!$A:$B, 1, FALSE), $M1826&lt;&gt;" "), "Ingresada", "Falta Ingresar"), " ")</f>
        <v xml:space="preserve"> </v>
      </c>
      <c r="L1826" s="4" t="str">
        <f>IFERROR(VLOOKUP($C1826,Observaciones!$A:$B,2,FALSE)," ")</f>
        <v>ESPERAR AL VENDEDOR DEBE ENVIAR OC</v>
      </c>
      <c r="M1826" t="s">
        <v>681</v>
      </c>
      <c r="O1826" s="5">
        <v>30861295</v>
      </c>
      <c r="P1826" s="5">
        <v>27442</v>
      </c>
      <c r="Q1826" s="5">
        <v>5214</v>
      </c>
      <c r="R1826" s="5">
        <v>32656</v>
      </c>
    </row>
    <row r="1827" spans="1:18" x14ac:dyDescent="0.25">
      <c r="A1827" t="s">
        <v>501</v>
      </c>
      <c r="B1827" t="s">
        <v>494</v>
      </c>
      <c r="C1827">
        <v>76568680</v>
      </c>
      <c r="D1827">
        <v>722</v>
      </c>
      <c r="E1827">
        <v>30859847</v>
      </c>
      <c r="F1827" t="s">
        <v>1168</v>
      </c>
      <c r="G1827" s="1">
        <v>45238</v>
      </c>
      <c r="H1827">
        <v>5414773</v>
      </c>
      <c r="I1827">
        <v>184</v>
      </c>
      <c r="J1827" t="s">
        <v>394</v>
      </c>
      <c r="K1827" t="str">
        <f>IFERROR(IF(AND(VLOOKUP($C1827,Hes!$A:$B, 1, FALSE), $M1827&lt;&gt;" "), "Ingresada", "Falta Ingresar"), " ")</f>
        <v xml:space="preserve"> </v>
      </c>
      <c r="L1827" s="4" t="str">
        <f>IFERROR(VLOOKUP($C1827,Observaciones!$A:$B,2,FALSE)," ")</f>
        <v>ESPERAR AL VENDEDOR DEBE ENVIAR OC</v>
      </c>
      <c r="M1827" t="s">
        <v>681</v>
      </c>
      <c r="O1827" s="5">
        <v>30859847</v>
      </c>
      <c r="P1827" s="5">
        <v>29601</v>
      </c>
      <c r="Q1827" s="5">
        <v>5624</v>
      </c>
      <c r="R1827" s="5">
        <v>35225</v>
      </c>
    </row>
    <row r="1828" spans="1:18" x14ac:dyDescent="0.25">
      <c r="A1828" t="s">
        <v>501</v>
      </c>
      <c r="B1828" t="s">
        <v>494</v>
      </c>
      <c r="C1828">
        <v>76568680</v>
      </c>
      <c r="D1828">
        <v>726</v>
      </c>
      <c r="E1828">
        <v>30860365</v>
      </c>
      <c r="F1828" t="s">
        <v>1168</v>
      </c>
      <c r="G1828" s="1">
        <v>45238</v>
      </c>
      <c r="H1828">
        <v>5414817</v>
      </c>
      <c r="I1828">
        <v>184</v>
      </c>
      <c r="J1828" t="s">
        <v>394</v>
      </c>
      <c r="K1828" t="str">
        <f>IFERROR(IF(AND(VLOOKUP($C1828,Hes!$A:$B, 1, FALSE), $M1828&lt;&gt;" "), "Ingresada", "Falta Ingresar"), " ")</f>
        <v xml:space="preserve"> </v>
      </c>
      <c r="L1828" s="4" t="str">
        <f>IFERROR(VLOOKUP($C1828,Observaciones!$A:$B,2,FALSE)," ")</f>
        <v>ESPERAR AL VENDEDOR DEBE ENVIAR OC</v>
      </c>
      <c r="M1828" t="s">
        <v>681</v>
      </c>
      <c r="O1828" s="5">
        <v>30860365</v>
      </c>
      <c r="P1828" s="5">
        <v>51441</v>
      </c>
      <c r="Q1828" s="5">
        <v>9774</v>
      </c>
      <c r="R1828" s="5">
        <v>61215</v>
      </c>
    </row>
    <row r="1829" spans="1:18" x14ac:dyDescent="0.25">
      <c r="A1829" t="s">
        <v>501</v>
      </c>
      <c r="B1829" t="s">
        <v>494</v>
      </c>
      <c r="C1829">
        <v>76568680</v>
      </c>
      <c r="D1829">
        <v>148</v>
      </c>
      <c r="E1829">
        <v>30860655</v>
      </c>
      <c r="F1829" t="s">
        <v>1168</v>
      </c>
      <c r="G1829" s="1">
        <v>45238</v>
      </c>
      <c r="H1829">
        <v>5414818</v>
      </c>
      <c r="I1829">
        <v>184</v>
      </c>
      <c r="J1829" t="s">
        <v>394</v>
      </c>
      <c r="K1829" t="str">
        <f>IFERROR(IF(AND(VLOOKUP($C1829,Hes!$A:$B, 1, FALSE), $M1829&lt;&gt;" "), "Ingresada", "Falta Ingresar"), " ")</f>
        <v xml:space="preserve"> </v>
      </c>
      <c r="L1829" s="4" t="str">
        <f>IFERROR(VLOOKUP($C1829,Observaciones!$A:$B,2,FALSE)," ")</f>
        <v>ESPERAR AL VENDEDOR DEBE ENVIAR OC</v>
      </c>
      <c r="M1829" t="s">
        <v>681</v>
      </c>
      <c r="O1829" s="5">
        <v>30860655</v>
      </c>
      <c r="P1829" s="5">
        <v>26744</v>
      </c>
      <c r="Q1829" s="5">
        <v>5081</v>
      </c>
      <c r="R1829" s="5">
        <v>31825</v>
      </c>
    </row>
    <row r="1830" spans="1:18" x14ac:dyDescent="0.25">
      <c r="A1830" t="s">
        <v>501</v>
      </c>
      <c r="B1830" t="s">
        <v>494</v>
      </c>
      <c r="C1830">
        <v>76568680</v>
      </c>
      <c r="D1830">
        <v>731</v>
      </c>
      <c r="E1830">
        <v>30860158</v>
      </c>
      <c r="F1830" t="s">
        <v>1168</v>
      </c>
      <c r="G1830" s="1">
        <v>45238</v>
      </c>
      <c r="H1830">
        <v>5414820</v>
      </c>
      <c r="I1830">
        <v>184</v>
      </c>
      <c r="J1830" t="s">
        <v>394</v>
      </c>
      <c r="K1830" t="str">
        <f>IFERROR(IF(AND(VLOOKUP($C1830,Hes!$A:$B, 1, FALSE), $M1830&lt;&gt;" "), "Ingresada", "Falta Ingresar"), " ")</f>
        <v xml:space="preserve"> </v>
      </c>
      <c r="L1830" s="4" t="str">
        <f>IFERROR(VLOOKUP($C1830,Observaciones!$A:$B,2,FALSE)," ")</f>
        <v>ESPERAR AL VENDEDOR DEBE ENVIAR OC</v>
      </c>
      <c r="M1830" t="s">
        <v>681</v>
      </c>
      <c r="O1830" s="5">
        <v>30860158</v>
      </c>
      <c r="P1830" s="5">
        <v>22546</v>
      </c>
      <c r="Q1830" s="5">
        <v>4284</v>
      </c>
      <c r="R1830" s="5">
        <v>26830</v>
      </c>
    </row>
    <row r="1831" spans="1:18" x14ac:dyDescent="0.25">
      <c r="A1831" t="s">
        <v>501</v>
      </c>
      <c r="B1831" t="s">
        <v>494</v>
      </c>
      <c r="C1831">
        <v>76568680</v>
      </c>
      <c r="D1831">
        <v>23</v>
      </c>
      <c r="E1831">
        <v>30861249</v>
      </c>
      <c r="F1831" t="s">
        <v>1168</v>
      </c>
      <c r="G1831" s="1">
        <v>45238</v>
      </c>
      <c r="H1831">
        <v>5414822</v>
      </c>
      <c r="I1831">
        <v>184</v>
      </c>
      <c r="J1831" t="s">
        <v>394</v>
      </c>
      <c r="K1831" t="str">
        <f>IFERROR(IF(AND(VLOOKUP($C1831,Hes!$A:$B, 1, FALSE), $M1831&lt;&gt;" "), "Ingresada", "Falta Ingresar"), " ")</f>
        <v xml:space="preserve"> </v>
      </c>
      <c r="L1831" s="4" t="str">
        <f>IFERROR(VLOOKUP($C1831,Observaciones!$A:$B,2,FALSE)," ")</f>
        <v>ESPERAR AL VENDEDOR DEBE ENVIAR OC</v>
      </c>
      <c r="M1831" t="s">
        <v>681</v>
      </c>
      <c r="O1831" s="5">
        <v>30861249</v>
      </c>
      <c r="P1831" s="5">
        <v>29770</v>
      </c>
      <c r="Q1831" s="5">
        <v>5656</v>
      </c>
      <c r="R1831" s="5">
        <v>35426</v>
      </c>
    </row>
    <row r="1832" spans="1:18" x14ac:dyDescent="0.25">
      <c r="A1832" t="s">
        <v>501</v>
      </c>
      <c r="B1832" t="s">
        <v>494</v>
      </c>
      <c r="C1832">
        <v>76568680</v>
      </c>
      <c r="D1832">
        <v>4</v>
      </c>
      <c r="E1832">
        <v>30859973</v>
      </c>
      <c r="F1832" t="s">
        <v>1168</v>
      </c>
      <c r="G1832" s="1">
        <v>45238</v>
      </c>
      <c r="H1832">
        <v>5414828</v>
      </c>
      <c r="I1832">
        <v>184</v>
      </c>
      <c r="J1832" t="s">
        <v>394</v>
      </c>
      <c r="K1832" t="str">
        <f>IFERROR(IF(AND(VLOOKUP($C1832,Hes!$A:$B, 1, FALSE), $M1832&lt;&gt;" "), "Ingresada", "Falta Ingresar"), " ")</f>
        <v xml:space="preserve"> </v>
      </c>
      <c r="L1832" s="4" t="str">
        <f>IFERROR(VLOOKUP($C1832,Observaciones!$A:$B,2,FALSE)," ")</f>
        <v>ESPERAR AL VENDEDOR DEBE ENVIAR OC</v>
      </c>
      <c r="M1832" t="s">
        <v>681</v>
      </c>
      <c r="O1832" s="5">
        <v>30859973</v>
      </c>
      <c r="P1832" s="5">
        <v>44905</v>
      </c>
      <c r="Q1832" s="5">
        <v>8532</v>
      </c>
      <c r="R1832" s="5">
        <v>53437</v>
      </c>
    </row>
    <row r="1833" spans="1:18" x14ac:dyDescent="0.25">
      <c r="A1833" t="s">
        <v>501</v>
      </c>
      <c r="B1833" t="s">
        <v>494</v>
      </c>
      <c r="C1833">
        <v>76568680</v>
      </c>
      <c r="D1833">
        <v>15</v>
      </c>
      <c r="E1833">
        <v>30861254</v>
      </c>
      <c r="F1833" t="s">
        <v>1168</v>
      </c>
      <c r="G1833" s="1">
        <v>45238</v>
      </c>
      <c r="H1833">
        <v>5414831</v>
      </c>
      <c r="I1833">
        <v>184</v>
      </c>
      <c r="J1833" t="s">
        <v>394</v>
      </c>
      <c r="K1833" t="str">
        <f>IFERROR(IF(AND(VLOOKUP($C1833,Hes!$A:$B, 1, FALSE), $M1833&lt;&gt;" "), "Ingresada", "Falta Ingresar"), " ")</f>
        <v xml:space="preserve"> </v>
      </c>
      <c r="L1833" s="4" t="str">
        <f>IFERROR(VLOOKUP($C1833,Observaciones!$A:$B,2,FALSE)," ")</f>
        <v>ESPERAR AL VENDEDOR DEBE ENVIAR OC</v>
      </c>
      <c r="M1833" t="s">
        <v>681</v>
      </c>
      <c r="O1833" s="5">
        <v>30861254</v>
      </c>
      <c r="P1833" s="5">
        <v>19057</v>
      </c>
      <c r="Q1833" s="5">
        <v>3621</v>
      </c>
      <c r="R1833" s="5">
        <v>22678</v>
      </c>
    </row>
    <row r="1834" spans="1:18" x14ac:dyDescent="0.25">
      <c r="A1834" t="s">
        <v>501</v>
      </c>
      <c r="B1834" t="s">
        <v>494</v>
      </c>
      <c r="C1834">
        <v>76568680</v>
      </c>
      <c r="D1834">
        <v>728</v>
      </c>
      <c r="E1834">
        <v>30861276</v>
      </c>
      <c r="F1834" t="s">
        <v>1168</v>
      </c>
      <c r="G1834" s="1">
        <v>45238</v>
      </c>
      <c r="H1834">
        <v>5414865</v>
      </c>
      <c r="I1834">
        <v>184</v>
      </c>
      <c r="J1834" t="s">
        <v>394</v>
      </c>
      <c r="K1834" t="str">
        <f>IFERROR(IF(AND(VLOOKUP($C1834,Hes!$A:$B, 1, FALSE), $M1834&lt;&gt;" "), "Ingresada", "Falta Ingresar"), " ")</f>
        <v xml:space="preserve"> </v>
      </c>
      <c r="L1834" s="4" t="str">
        <f>IFERROR(VLOOKUP($C1834,Observaciones!$A:$B,2,FALSE)," ")</f>
        <v>ESPERAR AL VENDEDOR DEBE ENVIAR OC</v>
      </c>
      <c r="M1834" t="s">
        <v>681</v>
      </c>
      <c r="O1834" s="5">
        <v>30861276</v>
      </c>
      <c r="P1834" s="5">
        <v>33957</v>
      </c>
      <c r="Q1834" s="5">
        <v>6452</v>
      </c>
      <c r="R1834" s="5">
        <v>40409</v>
      </c>
    </row>
    <row r="1835" spans="1:18" x14ac:dyDescent="0.25">
      <c r="A1835" t="s">
        <v>501</v>
      </c>
      <c r="B1835" t="s">
        <v>494</v>
      </c>
      <c r="C1835">
        <v>76568680</v>
      </c>
      <c r="D1835">
        <v>529</v>
      </c>
      <c r="E1835">
        <v>30861303</v>
      </c>
      <c r="F1835" t="s">
        <v>1168</v>
      </c>
      <c r="G1835" s="1">
        <v>45238</v>
      </c>
      <c r="H1835">
        <v>5414869</v>
      </c>
      <c r="I1835">
        <v>184</v>
      </c>
      <c r="J1835" t="s">
        <v>394</v>
      </c>
      <c r="K1835" t="str">
        <f>IFERROR(IF(AND(VLOOKUP($C1835,Hes!$A:$B, 1, FALSE), $M1835&lt;&gt;" "), "Ingresada", "Falta Ingresar"), " ")</f>
        <v xml:space="preserve"> </v>
      </c>
      <c r="L1835" s="4" t="str">
        <f>IFERROR(VLOOKUP($C1835,Observaciones!$A:$B,2,FALSE)," ")</f>
        <v>ESPERAR AL VENDEDOR DEBE ENVIAR OC</v>
      </c>
      <c r="M1835" t="s">
        <v>681</v>
      </c>
      <c r="O1835" s="5">
        <v>30861303</v>
      </c>
      <c r="P1835" s="5">
        <v>46949</v>
      </c>
      <c r="Q1835" s="5">
        <v>8920</v>
      </c>
      <c r="R1835" s="5">
        <v>55869</v>
      </c>
    </row>
    <row r="1836" spans="1:18" x14ac:dyDescent="0.25">
      <c r="A1836" t="s">
        <v>501</v>
      </c>
      <c r="B1836" t="s">
        <v>494</v>
      </c>
      <c r="C1836">
        <v>76568680</v>
      </c>
      <c r="D1836">
        <v>528</v>
      </c>
      <c r="E1836">
        <v>30860197</v>
      </c>
      <c r="F1836" t="s">
        <v>1168</v>
      </c>
      <c r="G1836" s="1">
        <v>45238</v>
      </c>
      <c r="H1836">
        <v>5414876</v>
      </c>
      <c r="I1836">
        <v>184</v>
      </c>
      <c r="J1836" t="s">
        <v>394</v>
      </c>
      <c r="K1836" t="str">
        <f>IFERROR(IF(AND(VLOOKUP($C1836,Hes!$A:$B, 1, FALSE), $M1836&lt;&gt;" "), "Ingresada", "Falta Ingresar"), " ")</f>
        <v xml:space="preserve"> </v>
      </c>
      <c r="L1836" s="4" t="str">
        <f>IFERROR(VLOOKUP($C1836,Observaciones!$A:$B,2,FALSE)," ")</f>
        <v>ESPERAR AL VENDEDOR DEBE ENVIAR OC</v>
      </c>
      <c r="M1836" t="s">
        <v>681</v>
      </c>
      <c r="O1836" s="5">
        <v>30860197</v>
      </c>
      <c r="P1836" s="5">
        <v>38442</v>
      </c>
      <c r="Q1836" s="5">
        <v>7304</v>
      </c>
      <c r="R1836" s="5">
        <v>45746</v>
      </c>
    </row>
    <row r="1837" spans="1:18" x14ac:dyDescent="0.25">
      <c r="A1837" t="s">
        <v>501</v>
      </c>
      <c r="B1837" t="s">
        <v>494</v>
      </c>
      <c r="C1837">
        <v>76568680</v>
      </c>
      <c r="D1837">
        <v>704</v>
      </c>
      <c r="E1837">
        <v>30861231</v>
      </c>
      <c r="F1837" t="s">
        <v>1168</v>
      </c>
      <c r="G1837" s="1">
        <v>45238</v>
      </c>
      <c r="H1837">
        <v>5414908</v>
      </c>
      <c r="I1837">
        <v>184</v>
      </c>
      <c r="J1837" t="s">
        <v>394</v>
      </c>
      <c r="K1837" t="str">
        <f>IFERROR(IF(AND(VLOOKUP($C1837,Hes!$A:$B, 1, FALSE), $M1837&lt;&gt;" "), "Ingresada", "Falta Ingresar"), " ")</f>
        <v xml:space="preserve"> </v>
      </c>
      <c r="L1837" s="4" t="str">
        <f>IFERROR(VLOOKUP($C1837,Observaciones!$A:$B,2,FALSE)," ")</f>
        <v>ESPERAR AL VENDEDOR DEBE ENVIAR OC</v>
      </c>
      <c r="M1837" t="s">
        <v>681</v>
      </c>
      <c r="O1837" s="5">
        <v>30861231</v>
      </c>
      <c r="P1837" s="5">
        <v>40490</v>
      </c>
      <c r="Q1837" s="5">
        <v>7693</v>
      </c>
      <c r="R1837" s="5">
        <v>48183</v>
      </c>
    </row>
    <row r="1838" spans="1:18" x14ac:dyDescent="0.25">
      <c r="A1838" t="s">
        <v>501</v>
      </c>
      <c r="B1838" t="s">
        <v>494</v>
      </c>
      <c r="C1838">
        <v>76568680</v>
      </c>
      <c r="D1838">
        <v>120</v>
      </c>
      <c r="E1838">
        <v>30860567</v>
      </c>
      <c r="F1838" t="s">
        <v>1168</v>
      </c>
      <c r="G1838" s="1">
        <v>45238</v>
      </c>
      <c r="H1838">
        <v>5414920</v>
      </c>
      <c r="I1838">
        <v>184</v>
      </c>
      <c r="J1838" t="s">
        <v>394</v>
      </c>
      <c r="K1838" t="str">
        <f>IFERROR(IF(AND(VLOOKUP($C1838,Hes!$A:$B, 1, FALSE), $M1838&lt;&gt;" "), "Ingresada", "Falta Ingresar"), " ")</f>
        <v xml:space="preserve"> </v>
      </c>
      <c r="L1838" s="4" t="str">
        <f>IFERROR(VLOOKUP($C1838,Observaciones!$A:$B,2,FALSE)," ")</f>
        <v>ESPERAR AL VENDEDOR DEBE ENVIAR OC</v>
      </c>
      <c r="M1838" t="s">
        <v>681</v>
      </c>
      <c r="O1838" s="5">
        <v>30860567</v>
      </c>
      <c r="P1838" s="5">
        <v>23989</v>
      </c>
      <c r="Q1838" s="5">
        <v>4558</v>
      </c>
      <c r="R1838" s="5">
        <v>28547</v>
      </c>
    </row>
    <row r="1839" spans="1:18" x14ac:dyDescent="0.25">
      <c r="A1839" t="s">
        <v>501</v>
      </c>
      <c r="B1839" t="s">
        <v>494</v>
      </c>
      <c r="C1839">
        <v>76568680</v>
      </c>
      <c r="D1839">
        <v>19</v>
      </c>
      <c r="E1839">
        <v>30859797</v>
      </c>
      <c r="F1839" t="s">
        <v>1168</v>
      </c>
      <c r="G1839" s="1">
        <v>45238</v>
      </c>
      <c r="H1839">
        <v>5414922</v>
      </c>
      <c r="I1839">
        <v>184</v>
      </c>
      <c r="J1839" t="s">
        <v>394</v>
      </c>
      <c r="K1839" t="str">
        <f>IFERROR(IF(AND(VLOOKUP($C1839,Hes!$A:$B, 1, FALSE), $M1839&lt;&gt;" "), "Ingresada", "Falta Ingresar"), " ")</f>
        <v xml:space="preserve"> </v>
      </c>
      <c r="L1839" s="4" t="str">
        <f>IFERROR(VLOOKUP($C1839,Observaciones!$A:$B,2,FALSE)," ")</f>
        <v>ESPERAR AL VENDEDOR DEBE ENVIAR OC</v>
      </c>
      <c r="M1839" t="s">
        <v>681</v>
      </c>
      <c r="O1839" s="5">
        <v>30859797</v>
      </c>
      <c r="P1839" s="5">
        <v>50655</v>
      </c>
      <c r="Q1839" s="5">
        <v>9624</v>
      </c>
      <c r="R1839" s="5">
        <v>60279</v>
      </c>
    </row>
    <row r="1840" spans="1:18" x14ac:dyDescent="0.25">
      <c r="A1840" t="s">
        <v>501</v>
      </c>
      <c r="B1840" t="s">
        <v>494</v>
      </c>
      <c r="C1840">
        <v>76568680</v>
      </c>
      <c r="D1840">
        <v>706</v>
      </c>
      <c r="E1840">
        <v>30860505</v>
      </c>
      <c r="F1840" t="s">
        <v>1168</v>
      </c>
      <c r="G1840" s="1">
        <v>45238</v>
      </c>
      <c r="H1840">
        <v>5414925</v>
      </c>
      <c r="I1840">
        <v>184</v>
      </c>
      <c r="J1840" t="s">
        <v>394</v>
      </c>
      <c r="K1840" t="str">
        <f>IFERROR(IF(AND(VLOOKUP($C1840,Hes!$A:$B, 1, FALSE), $M1840&lt;&gt;" "), "Ingresada", "Falta Ingresar"), " ")</f>
        <v xml:space="preserve"> </v>
      </c>
      <c r="L1840" s="4" t="str">
        <f>IFERROR(VLOOKUP($C1840,Observaciones!$A:$B,2,FALSE)," ")</f>
        <v>ESPERAR AL VENDEDOR DEBE ENVIAR OC</v>
      </c>
      <c r="M1840" t="s">
        <v>681</v>
      </c>
      <c r="O1840" s="5">
        <v>30860505</v>
      </c>
      <c r="P1840" s="5">
        <v>27929</v>
      </c>
      <c r="Q1840" s="5">
        <v>5307</v>
      </c>
      <c r="R1840" s="5">
        <v>33236</v>
      </c>
    </row>
    <row r="1841" spans="1:18" x14ac:dyDescent="0.25">
      <c r="A1841" t="s">
        <v>501</v>
      </c>
      <c r="B1841" t="s">
        <v>494</v>
      </c>
      <c r="C1841">
        <v>76568680</v>
      </c>
      <c r="D1841">
        <v>21</v>
      </c>
      <c r="E1841">
        <v>30860769</v>
      </c>
      <c r="F1841" t="s">
        <v>1168</v>
      </c>
      <c r="G1841" s="1">
        <v>45238</v>
      </c>
      <c r="H1841">
        <v>5414967</v>
      </c>
      <c r="I1841">
        <v>184</v>
      </c>
      <c r="J1841" t="s">
        <v>394</v>
      </c>
      <c r="K1841" t="str">
        <f>IFERROR(IF(AND(VLOOKUP($C1841,Hes!$A:$B, 1, FALSE), $M1841&lt;&gt;" "), "Ingresada", "Falta Ingresar"), " ")</f>
        <v xml:space="preserve"> </v>
      </c>
      <c r="L1841" s="4" t="str">
        <f>IFERROR(VLOOKUP($C1841,Observaciones!$A:$B,2,FALSE)," ")</f>
        <v>ESPERAR AL VENDEDOR DEBE ENVIAR OC</v>
      </c>
      <c r="M1841" t="s">
        <v>681</v>
      </c>
      <c r="O1841" s="5">
        <v>30860769</v>
      </c>
      <c r="P1841" s="5">
        <v>53986</v>
      </c>
      <c r="Q1841" s="5">
        <v>10257</v>
      </c>
      <c r="R1841" s="5">
        <v>64243</v>
      </c>
    </row>
    <row r="1842" spans="1:18" x14ac:dyDescent="0.25">
      <c r="A1842" t="s">
        <v>501</v>
      </c>
      <c r="B1842" t="s">
        <v>494</v>
      </c>
      <c r="C1842">
        <v>76568680</v>
      </c>
      <c r="D1842">
        <v>729</v>
      </c>
      <c r="E1842">
        <v>30860040</v>
      </c>
      <c r="F1842" t="s">
        <v>1168</v>
      </c>
      <c r="G1842" s="1">
        <v>45238</v>
      </c>
      <c r="H1842">
        <v>5415107</v>
      </c>
      <c r="I1842">
        <v>184</v>
      </c>
      <c r="J1842" t="s">
        <v>394</v>
      </c>
      <c r="K1842" t="str">
        <f>IFERROR(IF(AND(VLOOKUP($C1842,Hes!$A:$B, 1, FALSE), $M1842&lt;&gt;" "), "Ingresada", "Falta Ingresar"), " ")</f>
        <v xml:space="preserve"> </v>
      </c>
      <c r="L1842" s="4" t="str">
        <f>IFERROR(VLOOKUP($C1842,Observaciones!$A:$B,2,FALSE)," ")</f>
        <v>ESPERAR AL VENDEDOR DEBE ENVIAR OC</v>
      </c>
      <c r="M1842" t="s">
        <v>681</v>
      </c>
      <c r="O1842" s="5">
        <v>30860040</v>
      </c>
      <c r="P1842" s="5">
        <v>25709</v>
      </c>
      <c r="Q1842" s="5">
        <v>4885</v>
      </c>
      <c r="R1842" s="5">
        <v>30594</v>
      </c>
    </row>
    <row r="1843" spans="1:18" x14ac:dyDescent="0.25">
      <c r="A1843" t="s">
        <v>501</v>
      </c>
      <c r="B1843" t="s">
        <v>494</v>
      </c>
      <c r="C1843">
        <v>76568680</v>
      </c>
      <c r="D1843">
        <v>752</v>
      </c>
      <c r="E1843">
        <v>30860392</v>
      </c>
      <c r="F1843" t="s">
        <v>1168</v>
      </c>
      <c r="G1843" s="1">
        <v>45238</v>
      </c>
      <c r="H1843">
        <v>5415207</v>
      </c>
      <c r="I1843">
        <v>184</v>
      </c>
      <c r="J1843" t="s">
        <v>394</v>
      </c>
      <c r="K1843" t="str">
        <f>IFERROR(IF(AND(VLOOKUP($C1843,Hes!$A:$B, 1, FALSE), $M1843&lt;&gt;" "), "Ingresada", "Falta Ingresar"), " ")</f>
        <v xml:space="preserve"> </v>
      </c>
      <c r="L1843" s="4" t="str">
        <f>IFERROR(VLOOKUP($C1843,Observaciones!$A:$B,2,FALSE)," ")</f>
        <v>ESPERAR AL VENDEDOR DEBE ENVIAR OC</v>
      </c>
      <c r="M1843" t="s">
        <v>681</v>
      </c>
      <c r="O1843" s="5">
        <v>30860392</v>
      </c>
      <c r="P1843" s="5">
        <v>36785</v>
      </c>
      <c r="Q1843" s="5">
        <v>6989</v>
      </c>
      <c r="R1843" s="5">
        <v>43774</v>
      </c>
    </row>
    <row r="1844" spans="1:18" x14ac:dyDescent="0.25">
      <c r="A1844" t="s">
        <v>501</v>
      </c>
      <c r="B1844" t="s">
        <v>494</v>
      </c>
      <c r="C1844">
        <v>76568680</v>
      </c>
      <c r="D1844">
        <v>37</v>
      </c>
      <c r="E1844">
        <v>30861192</v>
      </c>
      <c r="F1844" t="s">
        <v>1168</v>
      </c>
      <c r="G1844" s="1">
        <v>45237</v>
      </c>
      <c r="H1844">
        <v>5415283</v>
      </c>
      <c r="I1844">
        <v>184</v>
      </c>
      <c r="J1844" t="s">
        <v>394</v>
      </c>
      <c r="K1844" t="str">
        <f>IFERROR(IF(AND(VLOOKUP($C1844,Hes!$A:$B, 1, FALSE), $M1844&lt;&gt;" "), "Ingresada", "Falta Ingresar"), " ")</f>
        <v xml:space="preserve"> </v>
      </c>
      <c r="L1844" s="4" t="str">
        <f>IFERROR(VLOOKUP($C1844,Observaciones!$A:$B,2,FALSE)," ")</f>
        <v>ESPERAR AL VENDEDOR DEBE ENVIAR OC</v>
      </c>
      <c r="M1844" t="s">
        <v>681</v>
      </c>
      <c r="O1844" s="5">
        <v>30861192</v>
      </c>
      <c r="P1844" s="5">
        <v>28948</v>
      </c>
      <c r="Q1844" s="5">
        <v>5500</v>
      </c>
      <c r="R1844" s="5">
        <v>34448</v>
      </c>
    </row>
    <row r="1845" spans="1:18" x14ac:dyDescent="0.25">
      <c r="A1845" t="s">
        <v>501</v>
      </c>
      <c r="B1845" t="s">
        <v>494</v>
      </c>
      <c r="C1845">
        <v>76568680</v>
      </c>
      <c r="D1845">
        <v>13</v>
      </c>
      <c r="E1845">
        <v>30860268</v>
      </c>
      <c r="F1845" t="s">
        <v>1168</v>
      </c>
      <c r="G1845" s="1">
        <v>45238</v>
      </c>
      <c r="H1845">
        <v>5415325</v>
      </c>
      <c r="I1845">
        <v>184</v>
      </c>
      <c r="J1845" t="s">
        <v>394</v>
      </c>
      <c r="K1845" t="str">
        <f>IFERROR(IF(AND(VLOOKUP($C1845,Hes!$A:$B, 1, FALSE), $M1845&lt;&gt;" "), "Ingresada", "Falta Ingresar"), " ")</f>
        <v xml:space="preserve"> </v>
      </c>
      <c r="L1845" s="4" t="str">
        <f>IFERROR(VLOOKUP($C1845,Observaciones!$A:$B,2,FALSE)," ")</f>
        <v>ESPERAR AL VENDEDOR DEBE ENVIAR OC</v>
      </c>
      <c r="M1845" t="s">
        <v>681</v>
      </c>
      <c r="O1845" s="5">
        <v>30860268</v>
      </c>
      <c r="P1845" s="5">
        <v>28930</v>
      </c>
      <c r="Q1845" s="5">
        <v>5497</v>
      </c>
      <c r="R1845" s="5">
        <v>34427</v>
      </c>
    </row>
    <row r="1846" spans="1:18" x14ac:dyDescent="0.25">
      <c r="A1846" t="s">
        <v>501</v>
      </c>
      <c r="B1846" t="s">
        <v>494</v>
      </c>
      <c r="C1846">
        <v>76568680</v>
      </c>
      <c r="D1846">
        <v>13</v>
      </c>
      <c r="E1846">
        <v>30864783</v>
      </c>
      <c r="F1846" t="s">
        <v>1168</v>
      </c>
      <c r="G1846" s="1">
        <v>45238</v>
      </c>
      <c r="H1846">
        <v>5415326</v>
      </c>
      <c r="I1846">
        <v>184</v>
      </c>
      <c r="J1846" t="s">
        <v>394</v>
      </c>
      <c r="K1846" t="str">
        <f>IFERROR(IF(AND(VLOOKUP($C1846,Hes!$A:$B, 1, FALSE), $M1846&lt;&gt;" "), "Ingresada", "Falta Ingresar"), " ")</f>
        <v xml:space="preserve"> </v>
      </c>
      <c r="L1846" s="4" t="str">
        <f>IFERROR(VLOOKUP($C1846,Observaciones!$A:$B,2,FALSE)," ")</f>
        <v>ESPERAR AL VENDEDOR DEBE ENVIAR OC</v>
      </c>
      <c r="M1846" t="s">
        <v>681</v>
      </c>
      <c r="O1846" s="5">
        <v>30864783</v>
      </c>
      <c r="P1846" s="5">
        <v>10480</v>
      </c>
      <c r="Q1846" s="5">
        <v>1991</v>
      </c>
      <c r="R1846" s="5">
        <v>12471</v>
      </c>
    </row>
    <row r="1847" spans="1:18" x14ac:dyDescent="0.25">
      <c r="A1847" t="s">
        <v>501</v>
      </c>
      <c r="B1847" t="s">
        <v>494</v>
      </c>
      <c r="C1847">
        <v>76568680</v>
      </c>
      <c r="D1847">
        <v>125</v>
      </c>
      <c r="E1847">
        <v>30861350</v>
      </c>
      <c r="F1847" t="s">
        <v>1168</v>
      </c>
      <c r="G1847" s="1">
        <v>45238</v>
      </c>
      <c r="H1847">
        <v>5415430</v>
      </c>
      <c r="I1847">
        <v>184</v>
      </c>
      <c r="J1847" t="s">
        <v>394</v>
      </c>
      <c r="K1847" t="str">
        <f>IFERROR(IF(AND(VLOOKUP($C1847,Hes!$A:$B, 1, FALSE), $M1847&lt;&gt;" "), "Ingresada", "Falta Ingresar"), " ")</f>
        <v xml:space="preserve"> </v>
      </c>
      <c r="L1847" s="4" t="str">
        <f>IFERROR(VLOOKUP($C1847,Observaciones!$A:$B,2,FALSE)," ")</f>
        <v>ESPERAR AL VENDEDOR DEBE ENVIAR OC</v>
      </c>
      <c r="M1847" t="s">
        <v>681</v>
      </c>
      <c r="O1847" s="5">
        <v>30861350</v>
      </c>
      <c r="P1847" s="5">
        <v>48909</v>
      </c>
      <c r="Q1847" s="5">
        <v>9293</v>
      </c>
      <c r="R1847" s="5">
        <v>58202</v>
      </c>
    </row>
    <row r="1848" spans="1:18" x14ac:dyDescent="0.25">
      <c r="A1848" t="s">
        <v>501</v>
      </c>
      <c r="B1848" t="s">
        <v>494</v>
      </c>
      <c r="C1848">
        <v>76568680</v>
      </c>
      <c r="D1848">
        <v>24</v>
      </c>
      <c r="E1848">
        <v>30861391</v>
      </c>
      <c r="F1848" t="s">
        <v>1168</v>
      </c>
      <c r="G1848" s="1">
        <v>45238</v>
      </c>
      <c r="H1848">
        <v>5415437</v>
      </c>
      <c r="I1848">
        <v>184</v>
      </c>
      <c r="J1848" t="s">
        <v>394</v>
      </c>
      <c r="K1848" t="str">
        <f>IFERROR(IF(AND(VLOOKUP($C1848,Hes!$A:$B, 1, FALSE), $M1848&lt;&gt;" "), "Ingresada", "Falta Ingresar"), " ")</f>
        <v xml:space="preserve"> </v>
      </c>
      <c r="L1848" s="4" t="str">
        <f>IFERROR(VLOOKUP($C1848,Observaciones!$A:$B,2,FALSE)," ")</f>
        <v>ESPERAR AL VENDEDOR DEBE ENVIAR OC</v>
      </c>
      <c r="M1848" t="s">
        <v>681</v>
      </c>
      <c r="O1848" s="5">
        <v>30861391</v>
      </c>
      <c r="P1848" s="5">
        <v>32227</v>
      </c>
      <c r="Q1848" s="5">
        <v>6123</v>
      </c>
      <c r="R1848" s="5">
        <v>38350</v>
      </c>
    </row>
    <row r="1849" spans="1:18" x14ac:dyDescent="0.25">
      <c r="A1849" t="s">
        <v>501</v>
      </c>
      <c r="B1849" t="s">
        <v>494</v>
      </c>
      <c r="C1849">
        <v>76568680</v>
      </c>
      <c r="D1849">
        <v>724</v>
      </c>
      <c r="E1849">
        <v>30860076</v>
      </c>
      <c r="F1849" t="s">
        <v>1168</v>
      </c>
      <c r="G1849" s="1">
        <v>45238</v>
      </c>
      <c r="H1849">
        <v>5415620</v>
      </c>
      <c r="I1849">
        <v>184</v>
      </c>
      <c r="J1849" t="s">
        <v>394</v>
      </c>
      <c r="K1849" t="str">
        <f>IFERROR(IF(AND(VLOOKUP($C1849,Hes!$A:$B, 1, FALSE), $M1849&lt;&gt;" "), "Ingresada", "Falta Ingresar"), " ")</f>
        <v xml:space="preserve"> </v>
      </c>
      <c r="L1849" s="4" t="str">
        <f>IFERROR(VLOOKUP($C1849,Observaciones!$A:$B,2,FALSE)," ")</f>
        <v>ESPERAR AL VENDEDOR DEBE ENVIAR OC</v>
      </c>
      <c r="M1849" t="s">
        <v>681</v>
      </c>
      <c r="O1849" s="5">
        <v>30860076</v>
      </c>
      <c r="P1849" s="5">
        <v>24516</v>
      </c>
      <c r="Q1849" s="5">
        <v>4658</v>
      </c>
      <c r="R1849" s="5">
        <v>29174</v>
      </c>
    </row>
    <row r="1850" spans="1:18" x14ac:dyDescent="0.25">
      <c r="A1850" t="s">
        <v>501</v>
      </c>
      <c r="B1850" t="s">
        <v>494</v>
      </c>
      <c r="C1850">
        <v>76568680</v>
      </c>
      <c r="D1850">
        <v>730</v>
      </c>
      <c r="E1850">
        <v>30864766</v>
      </c>
      <c r="F1850" t="s">
        <v>1168</v>
      </c>
      <c r="G1850" s="1">
        <v>45238</v>
      </c>
      <c r="H1850">
        <v>5415781</v>
      </c>
      <c r="I1850">
        <v>184</v>
      </c>
      <c r="J1850" t="s">
        <v>394</v>
      </c>
      <c r="K1850" t="str">
        <f>IFERROR(IF(AND(VLOOKUP($C1850,Hes!$A:$B, 1, FALSE), $M1850&lt;&gt;" "), "Ingresada", "Falta Ingresar"), " ")</f>
        <v xml:space="preserve"> </v>
      </c>
      <c r="L1850" s="4" t="str">
        <f>IFERROR(VLOOKUP($C1850,Observaciones!$A:$B,2,FALSE)," ")</f>
        <v>ESPERAR AL VENDEDOR DEBE ENVIAR OC</v>
      </c>
      <c r="M1850" t="s">
        <v>681</v>
      </c>
      <c r="O1850" s="5">
        <v>30864766</v>
      </c>
      <c r="P1850" s="5">
        <v>20852</v>
      </c>
      <c r="Q1850" s="5">
        <v>3962</v>
      </c>
      <c r="R1850" s="5">
        <v>24814</v>
      </c>
    </row>
    <row r="1851" spans="1:18" x14ac:dyDescent="0.25">
      <c r="A1851" t="s">
        <v>501</v>
      </c>
      <c r="B1851" t="s">
        <v>494</v>
      </c>
      <c r="C1851">
        <v>76568680</v>
      </c>
      <c r="D1851">
        <v>508</v>
      </c>
      <c r="E1851">
        <v>30864625</v>
      </c>
      <c r="F1851" t="s">
        <v>1168</v>
      </c>
      <c r="G1851" s="1">
        <v>45238</v>
      </c>
      <c r="H1851">
        <v>5415803</v>
      </c>
      <c r="I1851">
        <v>184</v>
      </c>
      <c r="J1851" t="s">
        <v>394</v>
      </c>
      <c r="K1851" t="str">
        <f>IFERROR(IF(AND(VLOOKUP($C1851,Hes!$A:$B, 1, FALSE), $M1851&lt;&gt;" "), "Ingresada", "Falta Ingresar"), " ")</f>
        <v xml:space="preserve"> </v>
      </c>
      <c r="L1851" s="4" t="str">
        <f>IFERROR(VLOOKUP($C1851,Observaciones!$A:$B,2,FALSE)," ")</f>
        <v>ESPERAR AL VENDEDOR DEBE ENVIAR OC</v>
      </c>
      <c r="M1851" t="s">
        <v>681</v>
      </c>
      <c r="O1851" s="5">
        <v>30864625</v>
      </c>
      <c r="P1851" s="5">
        <v>26837</v>
      </c>
      <c r="Q1851" s="5">
        <v>5099</v>
      </c>
      <c r="R1851" s="5">
        <v>31936</v>
      </c>
    </row>
    <row r="1852" spans="1:18" x14ac:dyDescent="0.25">
      <c r="F1852" t="s">
        <v>1169</v>
      </c>
      <c r="K1852" t="str">
        <f>IFERROR(IF(AND(VLOOKUP($C1852,Hes!$A:$B, 1, FALSE), $M1852&lt;&gt;" "), "Ingresada", "Falta Ingresar"), " ")</f>
        <v xml:space="preserve"> </v>
      </c>
      <c r="L1852" s="4" t="str">
        <f>IFERROR(VLOOKUP($C1852,Observaciones!$A:$B,2,FALSE)," ")</f>
        <v xml:space="preserve"> </v>
      </c>
      <c r="M1852" t="s">
        <v>681</v>
      </c>
      <c r="P1852" s="5">
        <v>2904347</v>
      </c>
      <c r="Q1852" s="5">
        <v>551823</v>
      </c>
      <c r="R1852" s="5">
        <v>3459297</v>
      </c>
    </row>
    <row r="1853" spans="1:18" x14ac:dyDescent="0.25">
      <c r="A1853" t="s">
        <v>496</v>
      </c>
      <c r="B1853" t="s">
        <v>494</v>
      </c>
      <c r="C1853">
        <v>76585685</v>
      </c>
      <c r="D1853">
        <v>0</v>
      </c>
      <c r="E1853">
        <v>21020001235</v>
      </c>
      <c r="F1853" t="s">
        <v>697</v>
      </c>
      <c r="G1853" s="1">
        <v>45238</v>
      </c>
      <c r="H1853">
        <v>5415814</v>
      </c>
      <c r="I1853">
        <v>281</v>
      </c>
      <c r="J1853" t="s">
        <v>162</v>
      </c>
      <c r="K1853" s="8" t="str">
        <f>IFERROR(IF(AND(VLOOKUP($C1853,Hes!$A:$B, 1, FALSE), $M1853&lt;&gt;" "), "Ingresada", "Falta Ingresar"), " ")</f>
        <v>Falta Ingresar</v>
      </c>
      <c r="L1853" s="4" t="str">
        <f>IFERROR(VLOOKUP($C1853,Observaciones!$A:$B,2,FALSE)," ")</f>
        <v xml:space="preserve"> </v>
      </c>
      <c r="M1853" t="s">
        <v>681</v>
      </c>
      <c r="N1853" s="5" t="s">
        <v>841</v>
      </c>
      <c r="O1853" s="5">
        <v>30852215</v>
      </c>
      <c r="P1853" s="5">
        <v>30370</v>
      </c>
      <c r="Q1853" s="5">
        <v>5770</v>
      </c>
      <c r="R1853" s="5">
        <v>36140</v>
      </c>
    </row>
    <row r="1854" spans="1:18" x14ac:dyDescent="0.25">
      <c r="F1854" t="s">
        <v>495</v>
      </c>
      <c r="K1854" t="str">
        <f>IFERROR(IF(AND(VLOOKUP($C1854,Hes!$A:$B, 1, FALSE), $M1854&lt;&gt;" "), "Ingresada", "Falta Ingresar"), " ")</f>
        <v xml:space="preserve"> </v>
      </c>
      <c r="L1854" s="4" t="str">
        <f>IFERROR(VLOOKUP($C1854,Observaciones!$A:$B,2,FALSE)," ")</f>
        <v xml:space="preserve"> </v>
      </c>
      <c r="M1854" t="s">
        <v>681</v>
      </c>
      <c r="P1854" s="5">
        <v>30370</v>
      </c>
      <c r="Q1854" s="5">
        <v>5770</v>
      </c>
      <c r="R1854" s="5">
        <v>36140</v>
      </c>
    </row>
    <row r="1855" spans="1:18" x14ac:dyDescent="0.25">
      <c r="A1855" t="s">
        <v>496</v>
      </c>
      <c r="B1855" t="s">
        <v>509</v>
      </c>
      <c r="C1855">
        <v>76591160</v>
      </c>
      <c r="D1855">
        <v>0</v>
      </c>
      <c r="E1855" t="s">
        <v>1170</v>
      </c>
      <c r="F1855" t="s">
        <v>1171</v>
      </c>
      <c r="G1855" s="1">
        <v>45232</v>
      </c>
      <c r="H1855">
        <v>5411068</v>
      </c>
      <c r="I1855">
        <v>326</v>
      </c>
      <c r="J1855" t="s">
        <v>246</v>
      </c>
      <c r="K1855" t="str">
        <f>IFERROR(IF(AND(VLOOKUP($C1855,Hes!$A:$B, 1, FALSE), $M1855&lt;&gt;" "), "Ingresada", "Falta Ingresar"), " ")</f>
        <v xml:space="preserve"> </v>
      </c>
      <c r="L1855" s="4" t="s">
        <v>681</v>
      </c>
      <c r="M1855" t="s">
        <v>681</v>
      </c>
      <c r="O1855" s="5">
        <v>30846851</v>
      </c>
      <c r="P1855" s="5">
        <v>696558</v>
      </c>
      <c r="Q1855" s="5">
        <v>132346</v>
      </c>
      <c r="R1855" s="5">
        <v>828904</v>
      </c>
    </row>
    <row r="1856" spans="1:18" x14ac:dyDescent="0.25">
      <c r="A1856" t="s">
        <v>496</v>
      </c>
      <c r="B1856" t="s">
        <v>509</v>
      </c>
      <c r="C1856">
        <v>76591160</v>
      </c>
      <c r="D1856">
        <v>0</v>
      </c>
      <c r="E1856" t="s">
        <v>1172</v>
      </c>
      <c r="F1856" t="s">
        <v>1171</v>
      </c>
      <c r="G1856" s="1">
        <v>45233</v>
      </c>
      <c r="H1856">
        <v>5411576</v>
      </c>
      <c r="I1856">
        <v>2</v>
      </c>
      <c r="J1856" t="s">
        <v>242</v>
      </c>
      <c r="K1856" t="str">
        <f>IFERROR(IF(AND(VLOOKUP($C1856,Hes!$A:$B, 1, FALSE), $M1856&lt;&gt;" "), "Ingresada", "Falta Ingresar"), " ")</f>
        <v xml:space="preserve"> </v>
      </c>
      <c r="L1856" s="4" t="s">
        <v>681</v>
      </c>
      <c r="M1856" t="s">
        <v>681</v>
      </c>
      <c r="O1856" s="5">
        <v>30831458</v>
      </c>
      <c r="P1856" s="5">
        <v>126560</v>
      </c>
      <c r="Q1856" s="5">
        <v>24046</v>
      </c>
      <c r="R1856" s="5">
        <v>150606</v>
      </c>
    </row>
    <row r="1857" spans="1:18" x14ac:dyDescent="0.25">
      <c r="F1857" t="s">
        <v>497</v>
      </c>
      <c r="K1857" t="str">
        <f>IFERROR(IF(AND(VLOOKUP($C1857,Hes!$A:$B, 1, FALSE), $M1857&lt;&gt;" "), "Ingresada", "Falta Ingresar"), " ")</f>
        <v xml:space="preserve"> </v>
      </c>
      <c r="L1857" s="4" t="str">
        <f>IFERROR(VLOOKUP($C1857,Observaciones!$A:$B,2,FALSE)," ")</f>
        <v xml:space="preserve"> </v>
      </c>
      <c r="M1857" t="s">
        <v>681</v>
      </c>
      <c r="P1857" s="5">
        <v>823118</v>
      </c>
      <c r="Q1857" s="5">
        <v>156392</v>
      </c>
      <c r="R1857" s="5">
        <v>979510</v>
      </c>
    </row>
    <row r="1858" spans="1:18" x14ac:dyDescent="0.25">
      <c r="A1858" t="s">
        <v>501</v>
      </c>
      <c r="B1858" t="s">
        <v>494</v>
      </c>
      <c r="C1858">
        <v>76596732</v>
      </c>
      <c r="D1858">
        <v>2</v>
      </c>
      <c r="E1858">
        <v>30859854</v>
      </c>
      <c r="F1858" t="s">
        <v>1173</v>
      </c>
      <c r="G1858" s="1">
        <v>45238</v>
      </c>
      <c r="H1858">
        <v>5414560</v>
      </c>
      <c r="I1858">
        <v>196</v>
      </c>
      <c r="J1858" t="s">
        <v>382</v>
      </c>
      <c r="K1858" s="8" t="str">
        <f>IFERROR(IF(AND(VLOOKUP($C1858,Hes!$A:$B, 1, FALSE), $M1858&lt;&gt;" "), "Ingresada", "Falta Ingresar"), " ")</f>
        <v>Falta Ingresar</v>
      </c>
      <c r="L1858" s="4" t="str">
        <f>IFERROR(VLOOKUP($C1858,Observaciones!$A:$B,2,FALSE)," ")</f>
        <v xml:space="preserve"> </v>
      </c>
      <c r="M1858" t="s">
        <v>681</v>
      </c>
      <c r="N1858" s="5" t="s">
        <v>841</v>
      </c>
      <c r="O1858" s="5">
        <v>30859854</v>
      </c>
      <c r="P1858" s="5">
        <v>29288</v>
      </c>
      <c r="Q1858" s="5">
        <v>5565</v>
      </c>
      <c r="R1858" s="5">
        <v>34853</v>
      </c>
    </row>
    <row r="1859" spans="1:18" x14ac:dyDescent="0.25">
      <c r="A1859" t="s">
        <v>501</v>
      </c>
      <c r="B1859" t="s">
        <v>494</v>
      </c>
      <c r="C1859">
        <v>76596732</v>
      </c>
      <c r="D1859">
        <v>10</v>
      </c>
      <c r="E1859">
        <v>30862907</v>
      </c>
      <c r="F1859" t="s">
        <v>1173</v>
      </c>
      <c r="G1859" s="1">
        <v>45238</v>
      </c>
      <c r="H1859">
        <v>5415084</v>
      </c>
      <c r="I1859">
        <v>196</v>
      </c>
      <c r="J1859" t="s">
        <v>382</v>
      </c>
      <c r="K1859" s="8" t="str">
        <f>IFERROR(IF(AND(VLOOKUP($C1859,Hes!$A:$B, 1, FALSE), $M1859&lt;&gt;" "), "Ingresada", "Falta Ingresar"), " ")</f>
        <v>Falta Ingresar</v>
      </c>
      <c r="L1859" s="4" t="str">
        <f>IFERROR(VLOOKUP($C1859,Observaciones!$A:$B,2,FALSE)," ")</f>
        <v xml:space="preserve"> </v>
      </c>
      <c r="M1859" t="s">
        <v>681</v>
      </c>
      <c r="N1859" s="5" t="s">
        <v>841</v>
      </c>
      <c r="O1859" s="5">
        <v>30862907</v>
      </c>
      <c r="P1859" s="5">
        <v>24888</v>
      </c>
      <c r="Q1859" s="5">
        <v>4729</v>
      </c>
      <c r="R1859" s="5">
        <v>29617</v>
      </c>
    </row>
    <row r="1860" spans="1:18" x14ac:dyDescent="0.25">
      <c r="F1860" t="s">
        <v>497</v>
      </c>
      <c r="K1860" t="str">
        <f>IFERROR(IF(AND(VLOOKUP($C1860,Hes!$A:$B, 1, FALSE), $M1860&lt;&gt;" "), "Ingresada", "Falta Ingresar"), " ")</f>
        <v xml:space="preserve"> </v>
      </c>
      <c r="L1860" s="4" t="str">
        <f>IFERROR(VLOOKUP($C1860,Observaciones!$A:$B,2,FALSE)," ")</f>
        <v xml:space="preserve"> </v>
      </c>
      <c r="M1860" t="s">
        <v>681</v>
      </c>
      <c r="P1860" s="5">
        <v>54176</v>
      </c>
      <c r="Q1860" s="5">
        <v>10294</v>
      </c>
      <c r="R1860" s="5">
        <v>64470</v>
      </c>
    </row>
    <row r="1861" spans="1:18" x14ac:dyDescent="0.25">
      <c r="A1861" t="s">
        <v>501</v>
      </c>
      <c r="B1861" t="s">
        <v>494</v>
      </c>
      <c r="C1861">
        <v>76598536</v>
      </c>
      <c r="D1861">
        <v>8</v>
      </c>
      <c r="E1861">
        <v>4501111168</v>
      </c>
      <c r="F1861" t="s">
        <v>1174</v>
      </c>
      <c r="G1861" s="1">
        <v>45233</v>
      </c>
      <c r="H1861">
        <v>5411107</v>
      </c>
      <c r="I1861">
        <v>196</v>
      </c>
      <c r="J1861" t="s">
        <v>382</v>
      </c>
      <c r="K1861" s="8" t="str">
        <f>IFERROR(IF(AND(VLOOKUP($C1861,Hes!$A:$B, 1, FALSE), $M1861&lt;&gt;" "), "Ingresada", "Falta Ingresar"), " ")</f>
        <v>Falta Ingresar</v>
      </c>
      <c r="L1861" s="4" t="str">
        <f>IFERROR(VLOOKUP($C1861,Observaciones!$A:$B,2,FALSE)," ")</f>
        <v xml:space="preserve"> </v>
      </c>
      <c r="M1861" t="s">
        <v>681</v>
      </c>
      <c r="N1861" s="5" t="s">
        <v>841</v>
      </c>
      <c r="O1861" s="5">
        <v>30847776</v>
      </c>
      <c r="P1861" s="5">
        <v>218800</v>
      </c>
      <c r="Q1861" s="5">
        <v>41572</v>
      </c>
      <c r="R1861" s="5">
        <v>260372</v>
      </c>
    </row>
    <row r="1862" spans="1:18" x14ac:dyDescent="0.25">
      <c r="A1862" t="s">
        <v>501</v>
      </c>
      <c r="B1862" t="s">
        <v>494</v>
      </c>
      <c r="C1862">
        <v>76598536</v>
      </c>
      <c r="D1862">
        <v>1</v>
      </c>
      <c r="E1862">
        <v>30859189</v>
      </c>
      <c r="F1862" t="s">
        <v>1174</v>
      </c>
      <c r="G1862" s="1">
        <v>45237</v>
      </c>
      <c r="H1862">
        <v>5414126</v>
      </c>
      <c r="I1862">
        <v>196</v>
      </c>
      <c r="J1862" t="s">
        <v>382</v>
      </c>
      <c r="K1862" s="8" t="str">
        <f>IFERROR(IF(AND(VLOOKUP($C1862,Hes!$A:$B, 1, FALSE), $M1862&lt;&gt;" "), "Ingresada", "Falta Ingresar"), " ")</f>
        <v>Falta Ingresar</v>
      </c>
      <c r="L1862" s="4" t="str">
        <f>IFERROR(VLOOKUP($C1862,Observaciones!$A:$B,2,FALSE)," ")</f>
        <v xml:space="preserve"> </v>
      </c>
      <c r="M1862" t="s">
        <v>681</v>
      </c>
      <c r="N1862" s="5" t="s">
        <v>841</v>
      </c>
      <c r="O1862" s="5">
        <v>30859189</v>
      </c>
      <c r="P1862" s="5">
        <v>232566</v>
      </c>
      <c r="Q1862" s="5">
        <v>44188</v>
      </c>
      <c r="R1862" s="5">
        <v>276754</v>
      </c>
    </row>
    <row r="1863" spans="1:18" x14ac:dyDescent="0.25">
      <c r="A1863" t="s">
        <v>501</v>
      </c>
      <c r="B1863" t="s">
        <v>494</v>
      </c>
      <c r="C1863">
        <v>76598536</v>
      </c>
      <c r="D1863">
        <v>6</v>
      </c>
      <c r="E1863">
        <v>30859707</v>
      </c>
      <c r="F1863" t="s">
        <v>1174</v>
      </c>
      <c r="G1863" s="1">
        <v>45237</v>
      </c>
      <c r="H1863">
        <v>5414127</v>
      </c>
      <c r="I1863">
        <v>196</v>
      </c>
      <c r="J1863" t="s">
        <v>382</v>
      </c>
      <c r="K1863" s="8" t="str">
        <f>IFERROR(IF(AND(VLOOKUP($C1863,Hes!$A:$B, 1, FALSE), $M1863&lt;&gt;" "), "Ingresada", "Falta Ingresar"), " ")</f>
        <v>Falta Ingresar</v>
      </c>
      <c r="L1863" s="4" t="str">
        <f>IFERROR(VLOOKUP($C1863,Observaciones!$A:$B,2,FALSE)," ")</f>
        <v xml:space="preserve"> </v>
      </c>
      <c r="M1863" t="s">
        <v>681</v>
      </c>
      <c r="N1863" s="5" t="s">
        <v>841</v>
      </c>
      <c r="O1863" s="5">
        <v>30859707</v>
      </c>
      <c r="P1863" s="5">
        <v>99869</v>
      </c>
      <c r="Q1863" s="5">
        <v>18975</v>
      </c>
      <c r="R1863" s="5">
        <v>118844</v>
      </c>
    </row>
    <row r="1864" spans="1:18" x14ac:dyDescent="0.25">
      <c r="A1864" t="s">
        <v>501</v>
      </c>
      <c r="B1864" t="s">
        <v>494</v>
      </c>
      <c r="C1864">
        <v>76598536</v>
      </c>
      <c r="D1864">
        <v>3</v>
      </c>
      <c r="E1864">
        <v>30861964</v>
      </c>
      <c r="F1864" t="s">
        <v>1174</v>
      </c>
      <c r="G1864" s="1">
        <v>45238</v>
      </c>
      <c r="H1864">
        <v>5414910</v>
      </c>
      <c r="I1864">
        <v>196</v>
      </c>
      <c r="J1864" t="s">
        <v>382</v>
      </c>
      <c r="K1864" s="8" t="str">
        <f>IFERROR(IF(AND(VLOOKUP($C1864,Hes!$A:$B, 1, FALSE), $M1864&lt;&gt;" "), "Ingresada", "Falta Ingresar"), " ")</f>
        <v>Falta Ingresar</v>
      </c>
      <c r="L1864" s="4" t="str">
        <f>IFERROR(VLOOKUP($C1864,Observaciones!$A:$B,2,FALSE)," ")</f>
        <v xml:space="preserve"> </v>
      </c>
      <c r="M1864" t="s">
        <v>681</v>
      </c>
      <c r="N1864" s="5" t="s">
        <v>841</v>
      </c>
      <c r="O1864" s="5">
        <v>30861964</v>
      </c>
      <c r="P1864" s="5">
        <v>47811</v>
      </c>
      <c r="Q1864" s="5">
        <v>9084</v>
      </c>
      <c r="R1864" s="5">
        <v>56895</v>
      </c>
    </row>
    <row r="1865" spans="1:18" x14ac:dyDescent="0.25">
      <c r="F1865" t="s">
        <v>498</v>
      </c>
      <c r="K1865" t="str">
        <f>IFERROR(IF(AND(VLOOKUP($C1865,Hes!$A:$B, 1, FALSE), $M1865&lt;&gt;" "), "Ingresada", "Falta Ingresar"), " ")</f>
        <v xml:space="preserve"> </v>
      </c>
      <c r="L1865" s="4" t="str">
        <f>IFERROR(VLOOKUP($C1865,Observaciones!$A:$B,2,FALSE)," ")</f>
        <v xml:space="preserve"> </v>
      </c>
      <c r="M1865" t="s">
        <v>681</v>
      </c>
      <c r="P1865" s="5">
        <v>599046</v>
      </c>
      <c r="Q1865" s="5">
        <v>113819</v>
      </c>
      <c r="R1865" s="5">
        <v>712865</v>
      </c>
    </row>
    <row r="1866" spans="1:18" x14ac:dyDescent="0.25">
      <c r="A1866" t="s">
        <v>522</v>
      </c>
      <c r="B1866" t="s">
        <v>494</v>
      </c>
      <c r="C1866">
        <v>76611509</v>
      </c>
      <c r="D1866">
        <v>87</v>
      </c>
      <c r="E1866">
        <v>30862836</v>
      </c>
      <c r="F1866" t="s">
        <v>1175</v>
      </c>
      <c r="G1866" s="1">
        <v>45238</v>
      </c>
      <c r="H1866">
        <v>5415668</v>
      </c>
      <c r="I1866">
        <v>414</v>
      </c>
      <c r="J1866" t="s">
        <v>281</v>
      </c>
      <c r="K1866" t="str">
        <f>IFERROR(IF(AND(VLOOKUP($C1866,Hes!$A:$B, 1, FALSE), $M1866&lt;&gt;" "), "Ingresada", "Falta Ingresar"), " ")</f>
        <v xml:space="preserve"> </v>
      </c>
      <c r="L1866" s="4" t="str">
        <f>IFERROR(VLOOKUP($C1866,Observaciones!$A:$B,2,FALSE)," ")</f>
        <v>ENVIAR SER-18 A VENDEDOR LOS 25</v>
      </c>
      <c r="M1866" t="s">
        <v>681</v>
      </c>
      <c r="O1866" s="5">
        <v>30862836</v>
      </c>
      <c r="P1866" s="5">
        <v>171229</v>
      </c>
      <c r="Q1866" s="5">
        <v>32534</v>
      </c>
      <c r="R1866" s="5">
        <v>203763</v>
      </c>
    </row>
    <row r="1867" spans="1:18" x14ac:dyDescent="0.25">
      <c r="F1867" t="s">
        <v>495</v>
      </c>
      <c r="K1867" t="str">
        <f>IFERROR(IF(AND(VLOOKUP($C1867,Hes!$A:$B, 1, FALSE), $M1867&lt;&gt;" "), "Ingresada", "Falta Ingresar"), " ")</f>
        <v xml:space="preserve"> </v>
      </c>
      <c r="L1867" s="4" t="str">
        <f>IFERROR(VLOOKUP($C1867,Observaciones!$A:$B,2,FALSE)," ")</f>
        <v xml:space="preserve"> </v>
      </c>
      <c r="M1867" t="s">
        <v>681</v>
      </c>
      <c r="P1867" s="5">
        <v>171229</v>
      </c>
      <c r="Q1867" s="5">
        <v>32534</v>
      </c>
      <c r="R1867" s="5">
        <v>203763</v>
      </c>
    </row>
    <row r="1868" spans="1:18" x14ac:dyDescent="0.25">
      <c r="A1868" t="s">
        <v>1027</v>
      </c>
      <c r="B1868" t="s">
        <v>494</v>
      </c>
      <c r="C1868">
        <v>76620000</v>
      </c>
      <c r="D1868">
        <v>2</v>
      </c>
      <c r="E1868">
        <v>30859501</v>
      </c>
      <c r="F1868" t="s">
        <v>1176</v>
      </c>
      <c r="G1868" s="1">
        <v>45237</v>
      </c>
      <c r="H1868">
        <v>5414077</v>
      </c>
      <c r="I1868">
        <v>91</v>
      </c>
      <c r="J1868" t="s">
        <v>172</v>
      </c>
      <c r="K1868" s="8" t="str">
        <f>IFERROR(IF(AND(VLOOKUP($C1868,Hes!$A:$B, 1, FALSE), $M1868&lt;&gt;" "), "Ingresada", "Falta Ingresar"), " ")</f>
        <v>Falta Ingresar</v>
      </c>
      <c r="L1868" s="4" t="str">
        <f>IFERROR(VLOOKUP($C1868,Observaciones!$A:$B,2,FALSE)," ")</f>
        <v xml:space="preserve"> </v>
      </c>
      <c r="M1868" t="s">
        <v>681</v>
      </c>
      <c r="N1868" s="5" t="s">
        <v>841</v>
      </c>
      <c r="O1868" s="5">
        <v>30859501</v>
      </c>
      <c r="P1868" s="5">
        <v>7914</v>
      </c>
      <c r="Q1868" s="5">
        <v>1504</v>
      </c>
      <c r="R1868" s="5">
        <v>9418</v>
      </c>
    </row>
    <row r="1869" spans="1:18" x14ac:dyDescent="0.25">
      <c r="A1869" t="s">
        <v>1027</v>
      </c>
      <c r="B1869" t="s">
        <v>494</v>
      </c>
      <c r="C1869">
        <v>76620000</v>
      </c>
      <c r="D1869">
        <v>2</v>
      </c>
      <c r="E1869">
        <v>30859464</v>
      </c>
      <c r="F1869" t="s">
        <v>1176</v>
      </c>
      <c r="G1869" s="1">
        <v>45237</v>
      </c>
      <c r="H1869">
        <v>5414087</v>
      </c>
      <c r="I1869">
        <v>91</v>
      </c>
      <c r="J1869" t="s">
        <v>172</v>
      </c>
      <c r="K1869" s="8" t="str">
        <f>IFERROR(IF(AND(VLOOKUP($C1869,Hes!$A:$B, 1, FALSE), $M1869&lt;&gt;" "), "Ingresada", "Falta Ingresar"), " ")</f>
        <v>Falta Ingresar</v>
      </c>
      <c r="L1869" s="4" t="str">
        <f>IFERROR(VLOOKUP($C1869,Observaciones!$A:$B,2,FALSE)," ")</f>
        <v xml:space="preserve"> </v>
      </c>
      <c r="M1869" t="s">
        <v>681</v>
      </c>
      <c r="N1869" s="5" t="s">
        <v>841</v>
      </c>
      <c r="O1869" s="5">
        <v>30859464</v>
      </c>
      <c r="P1869" s="5">
        <v>33210</v>
      </c>
      <c r="Q1869" s="5">
        <v>6310</v>
      </c>
      <c r="R1869" s="5">
        <v>39520</v>
      </c>
    </row>
    <row r="1870" spans="1:18" x14ac:dyDescent="0.25">
      <c r="A1870" t="s">
        <v>1027</v>
      </c>
      <c r="B1870" t="s">
        <v>494</v>
      </c>
      <c r="C1870">
        <v>76620000</v>
      </c>
      <c r="D1870">
        <v>4</v>
      </c>
      <c r="E1870">
        <v>30859547</v>
      </c>
      <c r="F1870" t="s">
        <v>1176</v>
      </c>
      <c r="G1870" s="1">
        <v>45237</v>
      </c>
      <c r="H1870">
        <v>5414322</v>
      </c>
      <c r="I1870">
        <v>91</v>
      </c>
      <c r="J1870" t="s">
        <v>172</v>
      </c>
      <c r="K1870" s="8" t="str">
        <f>IFERROR(IF(AND(VLOOKUP($C1870,Hes!$A:$B, 1, FALSE), $M1870&lt;&gt;" "), "Ingresada", "Falta Ingresar"), " ")</f>
        <v>Falta Ingresar</v>
      </c>
      <c r="L1870" s="4" t="str">
        <f>IFERROR(VLOOKUP($C1870,Observaciones!$A:$B,2,FALSE)," ")</f>
        <v xml:space="preserve"> </v>
      </c>
      <c r="M1870" t="s">
        <v>681</v>
      </c>
      <c r="N1870" s="5" t="s">
        <v>841</v>
      </c>
      <c r="O1870" s="5">
        <v>30859547</v>
      </c>
      <c r="P1870" s="5">
        <v>41486</v>
      </c>
      <c r="Q1870" s="5">
        <v>7882</v>
      </c>
      <c r="R1870" s="5">
        <v>49368</v>
      </c>
    </row>
    <row r="1871" spans="1:18" x14ac:dyDescent="0.25">
      <c r="A1871" t="s">
        <v>1027</v>
      </c>
      <c r="B1871" t="s">
        <v>494</v>
      </c>
      <c r="C1871">
        <v>76620000</v>
      </c>
      <c r="D1871">
        <v>1</v>
      </c>
      <c r="E1871">
        <v>30859528</v>
      </c>
      <c r="F1871" t="s">
        <v>1176</v>
      </c>
      <c r="G1871" s="1">
        <v>45237</v>
      </c>
      <c r="H1871">
        <v>5414333</v>
      </c>
      <c r="I1871">
        <v>91</v>
      </c>
      <c r="J1871" t="s">
        <v>172</v>
      </c>
      <c r="K1871" s="8" t="str">
        <f>IFERROR(IF(AND(VLOOKUP($C1871,Hes!$A:$B, 1, FALSE), $M1871&lt;&gt;" "), "Ingresada", "Falta Ingresar"), " ")</f>
        <v>Falta Ingresar</v>
      </c>
      <c r="L1871" s="4" t="str">
        <f>IFERROR(VLOOKUP($C1871,Observaciones!$A:$B,2,FALSE)," ")</f>
        <v xml:space="preserve"> </v>
      </c>
      <c r="M1871" t="s">
        <v>681</v>
      </c>
      <c r="N1871" s="5" t="s">
        <v>841</v>
      </c>
      <c r="O1871" s="5">
        <v>30859528</v>
      </c>
      <c r="P1871" s="5">
        <v>45518</v>
      </c>
      <c r="Q1871" s="5">
        <v>8648</v>
      </c>
      <c r="R1871" s="5">
        <v>54166</v>
      </c>
    </row>
    <row r="1872" spans="1:18" x14ac:dyDescent="0.25">
      <c r="F1872" t="s">
        <v>498</v>
      </c>
      <c r="K1872" t="str">
        <f>IFERROR(IF(AND(VLOOKUP($C1872,Hes!$A:$B, 1, FALSE), $M1872&lt;&gt;" "), "Ingresada", "Falta Ingresar"), " ")</f>
        <v xml:space="preserve"> </v>
      </c>
      <c r="L1872" s="4" t="str">
        <f>IFERROR(VLOOKUP($C1872,Observaciones!$A:$B,2,FALSE)," ")</f>
        <v xml:space="preserve"> </v>
      </c>
      <c r="M1872" t="s">
        <v>681</v>
      </c>
      <c r="P1872" s="5">
        <v>128128</v>
      </c>
      <c r="Q1872" s="5">
        <v>24344</v>
      </c>
      <c r="R1872" s="5">
        <v>152472</v>
      </c>
    </row>
    <row r="1873" spans="1:18" x14ac:dyDescent="0.25">
      <c r="A1873" t="s">
        <v>503</v>
      </c>
      <c r="B1873" t="s">
        <v>494</v>
      </c>
      <c r="C1873">
        <v>76629600</v>
      </c>
      <c r="D1873">
        <v>0</v>
      </c>
      <c r="E1873">
        <v>180006761</v>
      </c>
      <c r="F1873" t="s">
        <v>1177</v>
      </c>
      <c r="G1873" s="1">
        <v>45236</v>
      </c>
      <c r="H1873">
        <v>5412636</v>
      </c>
      <c r="I1873">
        <v>52</v>
      </c>
      <c r="J1873" t="s">
        <v>311</v>
      </c>
      <c r="K1873" t="str">
        <f>IFERROR(IF(AND(VLOOKUP($C1873,Hes!$A:$B, 1, FALSE), $M1873&lt;&gt;" "), "Ingresada", "Falta Ingresar"), " ")</f>
        <v xml:space="preserve"> </v>
      </c>
      <c r="L1873" s="4" t="str">
        <f>IFERROR(VLOOKUP($C1873,Observaciones!$A:$B,2,FALSE)," ")</f>
        <v xml:space="preserve"> </v>
      </c>
      <c r="M1873" t="s">
        <v>681</v>
      </c>
      <c r="O1873" s="5">
        <v>30854412</v>
      </c>
      <c r="P1873" s="5">
        <v>11446</v>
      </c>
      <c r="Q1873" s="5">
        <v>2175</v>
      </c>
      <c r="R1873" s="5">
        <v>13621</v>
      </c>
    </row>
    <row r="1874" spans="1:18" x14ac:dyDescent="0.25">
      <c r="F1874" t="s">
        <v>495</v>
      </c>
      <c r="K1874" t="str">
        <f>IFERROR(IF(AND(VLOOKUP($C1874,Hes!$A:$B, 1, FALSE), $M1874&lt;&gt;" "), "Ingresada", "Falta Ingresar"), " ")</f>
        <v xml:space="preserve"> </v>
      </c>
      <c r="L1874" s="4" t="str">
        <f>IFERROR(VLOOKUP($C1874,Observaciones!$A:$B,2,FALSE)," ")</f>
        <v xml:space="preserve"> </v>
      </c>
      <c r="M1874" t="s">
        <v>681</v>
      </c>
      <c r="P1874" s="5">
        <v>11446</v>
      </c>
      <c r="Q1874" s="5">
        <v>2175</v>
      </c>
      <c r="R1874" s="5">
        <v>13621</v>
      </c>
    </row>
    <row r="1875" spans="1:18" x14ac:dyDescent="0.25">
      <c r="A1875" t="s">
        <v>496</v>
      </c>
      <c r="B1875" t="s">
        <v>494</v>
      </c>
      <c r="C1875">
        <v>76662490</v>
      </c>
      <c r="D1875">
        <v>26</v>
      </c>
      <c r="E1875">
        <v>4502167933</v>
      </c>
      <c r="F1875" t="s">
        <v>1178</v>
      </c>
      <c r="G1875" s="1">
        <v>45234</v>
      </c>
      <c r="H1875">
        <v>5411790</v>
      </c>
      <c r="I1875">
        <v>132</v>
      </c>
      <c r="J1875" t="s">
        <v>416</v>
      </c>
      <c r="K1875" s="8" t="str">
        <f>IFERROR(IF(AND(VLOOKUP($C1875,Hes!$A:$B, 1, FALSE), $M1875&lt;&gt;" "), "Ingresada", "Falta Ingresar"), " ")</f>
        <v>Falta Ingresar</v>
      </c>
      <c r="L1875" s="4" t="str">
        <f>IFERROR(VLOOKUP($C1875,Observaciones!$A:$B,2,FALSE)," ")</f>
        <v xml:space="preserve"> </v>
      </c>
      <c r="M1875" t="s">
        <v>681</v>
      </c>
      <c r="O1875" s="5">
        <v>30845285</v>
      </c>
      <c r="P1875" s="5">
        <v>182547</v>
      </c>
      <c r="Q1875" s="5">
        <v>34684</v>
      </c>
      <c r="R1875" s="5">
        <v>217231</v>
      </c>
    </row>
    <row r="1876" spans="1:18" x14ac:dyDescent="0.25">
      <c r="F1876" t="s">
        <v>495</v>
      </c>
      <c r="K1876" t="str">
        <f>IFERROR(IF(AND(VLOOKUP($C1876,Hes!$A:$B, 1, FALSE), $M1876&lt;&gt;" "), "Ingresada", "Falta Ingresar"), " ")</f>
        <v xml:space="preserve"> </v>
      </c>
      <c r="L1876" s="4" t="str">
        <f>IFERROR(VLOOKUP($C1876,Observaciones!$A:$B,2,FALSE)," ")</f>
        <v xml:space="preserve"> </v>
      </c>
      <c r="M1876" t="s">
        <v>681</v>
      </c>
      <c r="P1876" s="5">
        <v>182547</v>
      </c>
      <c r="Q1876" s="5">
        <v>34684</v>
      </c>
      <c r="R1876" s="5">
        <v>217231</v>
      </c>
    </row>
    <row r="1877" spans="1:18" x14ac:dyDescent="0.25">
      <c r="A1877" t="s">
        <v>496</v>
      </c>
      <c r="B1877" t="s">
        <v>494</v>
      </c>
      <c r="C1877">
        <v>76676731</v>
      </c>
      <c r="D1877">
        <v>0</v>
      </c>
      <c r="E1877">
        <v>72729</v>
      </c>
      <c r="F1877" t="s">
        <v>1179</v>
      </c>
      <c r="G1877" s="1">
        <v>45236</v>
      </c>
      <c r="H1877">
        <v>5413820</v>
      </c>
      <c r="I1877">
        <v>446</v>
      </c>
      <c r="J1877" t="s">
        <v>342</v>
      </c>
      <c r="K1877" t="str">
        <f>IFERROR(IF(AND(VLOOKUP($C1877,Hes!$A:$B, 1, FALSE), $M1877&lt;&gt;" "), "Ingresada", "Falta Ingresar"), " ")</f>
        <v xml:space="preserve"> </v>
      </c>
      <c r="L1877" s="4" t="str">
        <f>IFERROR(VLOOKUP($C1877,Observaciones!$A:$B,2,FALSE)," ")</f>
        <v xml:space="preserve"> </v>
      </c>
      <c r="M1877" t="s">
        <v>681</v>
      </c>
      <c r="O1877" s="5">
        <v>30854400</v>
      </c>
      <c r="P1877" s="5">
        <v>161538</v>
      </c>
      <c r="Q1877" s="5">
        <v>30692</v>
      </c>
      <c r="R1877" s="5">
        <v>192230</v>
      </c>
    </row>
    <row r="1878" spans="1:18" x14ac:dyDescent="0.25">
      <c r="F1878" t="s">
        <v>495</v>
      </c>
      <c r="K1878" t="str">
        <f>IFERROR(IF(AND(VLOOKUP($C1878,Hes!$A:$B, 1, FALSE), $M1878&lt;&gt;" "), "Ingresada", "Falta Ingresar"), " ")</f>
        <v xml:space="preserve"> </v>
      </c>
      <c r="L1878" s="4" t="str">
        <f>IFERROR(VLOOKUP($C1878,Observaciones!$A:$B,2,FALSE)," ")</f>
        <v xml:space="preserve"> </v>
      </c>
      <c r="M1878" t="s">
        <v>681</v>
      </c>
      <c r="P1878" s="5">
        <v>161538</v>
      </c>
      <c r="Q1878" s="5">
        <v>30692</v>
      </c>
      <c r="R1878" s="5">
        <v>192230</v>
      </c>
    </row>
    <row r="1879" spans="1:18" x14ac:dyDescent="0.25">
      <c r="A1879" t="s">
        <v>503</v>
      </c>
      <c r="B1879" t="s">
        <v>494</v>
      </c>
      <c r="C1879">
        <v>76686282</v>
      </c>
      <c r="D1879">
        <v>41</v>
      </c>
      <c r="E1879" t="s">
        <v>1180</v>
      </c>
      <c r="F1879" t="s">
        <v>1181</v>
      </c>
      <c r="G1879" s="1">
        <v>45231</v>
      </c>
      <c r="H1879">
        <v>5410583</v>
      </c>
      <c r="I1879">
        <v>459</v>
      </c>
      <c r="J1879" t="s">
        <v>198</v>
      </c>
      <c r="K1879" t="str">
        <f>IFERROR(IF(AND(VLOOKUP($C1879,Hes!$A:$B, 1, FALSE), $M1879&lt;&gt;" "), "Ingresada", "Falta Ingresar"), " ")</f>
        <v xml:space="preserve"> </v>
      </c>
      <c r="L1879" s="4" t="s">
        <v>681</v>
      </c>
      <c r="M1879" t="s">
        <v>681</v>
      </c>
      <c r="O1879" s="5">
        <v>30842845</v>
      </c>
      <c r="P1879" s="5">
        <v>496643</v>
      </c>
      <c r="Q1879" s="5">
        <v>94362</v>
      </c>
      <c r="R1879" s="5">
        <v>591005</v>
      </c>
    </row>
    <row r="1880" spans="1:18" x14ac:dyDescent="0.25">
      <c r="A1880" t="s">
        <v>503</v>
      </c>
      <c r="B1880" t="s">
        <v>494</v>
      </c>
      <c r="C1880">
        <v>76686282</v>
      </c>
      <c r="D1880">
        <v>100</v>
      </c>
      <c r="E1880" t="s">
        <v>1182</v>
      </c>
      <c r="F1880" t="s">
        <v>1181</v>
      </c>
      <c r="G1880" s="1">
        <v>45234</v>
      </c>
      <c r="H1880">
        <v>5412079</v>
      </c>
      <c r="I1880">
        <v>459</v>
      </c>
      <c r="J1880" t="s">
        <v>198</v>
      </c>
      <c r="K1880" t="str">
        <f>IFERROR(IF(AND(VLOOKUP($C1880,Hes!$A:$B, 1, FALSE), $M1880&lt;&gt;" "), "Ingresada", "Falta Ingresar"), " ")</f>
        <v xml:space="preserve"> </v>
      </c>
      <c r="L1880" s="4" t="s">
        <v>681</v>
      </c>
      <c r="M1880" t="s">
        <v>681</v>
      </c>
      <c r="O1880" s="5">
        <v>30852319</v>
      </c>
      <c r="P1880" s="5">
        <v>60295</v>
      </c>
      <c r="Q1880" s="5">
        <v>11456</v>
      </c>
      <c r="R1880" s="5">
        <v>71751</v>
      </c>
    </row>
    <row r="1881" spans="1:18" x14ac:dyDescent="0.25">
      <c r="A1881" t="s">
        <v>503</v>
      </c>
      <c r="B1881" t="s">
        <v>494</v>
      </c>
      <c r="C1881">
        <v>76686282</v>
      </c>
      <c r="D1881">
        <v>81</v>
      </c>
      <c r="E1881" t="s">
        <v>1183</v>
      </c>
      <c r="F1881" t="s">
        <v>1181</v>
      </c>
      <c r="G1881" s="1">
        <v>45238</v>
      </c>
      <c r="H1881">
        <v>5415083</v>
      </c>
      <c r="I1881">
        <v>459</v>
      </c>
      <c r="J1881" t="s">
        <v>198</v>
      </c>
      <c r="K1881" t="str">
        <f>IFERROR(IF(AND(VLOOKUP($C1881,Hes!$A:$B, 1, FALSE), $M1881&lt;&gt;" "), "Ingresada", "Falta Ingresar"), " ")</f>
        <v xml:space="preserve"> </v>
      </c>
      <c r="L1881" s="4" t="s">
        <v>681</v>
      </c>
      <c r="M1881" t="s">
        <v>681</v>
      </c>
      <c r="O1881" s="5">
        <v>30861635</v>
      </c>
      <c r="P1881" s="5">
        <v>160026</v>
      </c>
      <c r="Q1881" s="5">
        <v>30405</v>
      </c>
      <c r="R1881" s="5">
        <v>190431</v>
      </c>
    </row>
    <row r="1882" spans="1:18" x14ac:dyDescent="0.25">
      <c r="A1882" t="s">
        <v>503</v>
      </c>
      <c r="B1882" t="s">
        <v>494</v>
      </c>
      <c r="C1882">
        <v>76686282</v>
      </c>
      <c r="D1882">
        <v>273</v>
      </c>
      <c r="E1882" t="s">
        <v>1184</v>
      </c>
      <c r="F1882" t="s">
        <v>1181</v>
      </c>
      <c r="G1882" s="1">
        <v>45238</v>
      </c>
      <c r="H1882">
        <v>5415774</v>
      </c>
      <c r="I1882">
        <v>459</v>
      </c>
      <c r="J1882" t="s">
        <v>198</v>
      </c>
      <c r="K1882" t="str">
        <f>IFERROR(IF(AND(VLOOKUP($C1882,Hes!$A:$B, 1, FALSE), $M1882&lt;&gt;" "), "Ingresada", "Falta Ingresar"), " ")</f>
        <v xml:space="preserve"> </v>
      </c>
      <c r="L1882" s="4" t="s">
        <v>681</v>
      </c>
      <c r="M1882" t="s">
        <v>681</v>
      </c>
      <c r="O1882" s="5">
        <v>30863227</v>
      </c>
      <c r="P1882" s="5">
        <v>443000</v>
      </c>
      <c r="Q1882" s="5">
        <v>84170</v>
      </c>
      <c r="R1882" s="5">
        <v>527170</v>
      </c>
    </row>
    <row r="1883" spans="1:18" x14ac:dyDescent="0.25">
      <c r="F1883" t="s">
        <v>498</v>
      </c>
      <c r="K1883" t="str">
        <f>IFERROR(IF(AND(VLOOKUP($C1883,Hes!$A:$B, 1, FALSE), $M1883&lt;&gt;" "), "Ingresada", "Falta Ingresar"), " ")</f>
        <v xml:space="preserve"> </v>
      </c>
      <c r="L1883" s="4" t="str">
        <f>IFERROR(VLOOKUP($C1883,Observaciones!$A:$B,2,FALSE)," ")</f>
        <v xml:space="preserve"> </v>
      </c>
      <c r="M1883" t="s">
        <v>681</v>
      </c>
      <c r="P1883" s="5">
        <v>1159964</v>
      </c>
      <c r="Q1883" s="5">
        <v>220393</v>
      </c>
      <c r="R1883" s="5">
        <v>1380357</v>
      </c>
    </row>
    <row r="1884" spans="1:18" x14ac:dyDescent="0.25">
      <c r="A1884" t="s">
        <v>522</v>
      </c>
      <c r="B1884" t="s">
        <v>494</v>
      </c>
      <c r="C1884">
        <v>76690901</v>
      </c>
      <c r="D1884">
        <v>29</v>
      </c>
      <c r="E1884" t="s">
        <v>1185</v>
      </c>
      <c r="F1884" t="s">
        <v>1186</v>
      </c>
      <c r="G1884" s="1">
        <v>45237</v>
      </c>
      <c r="H1884">
        <v>5414222</v>
      </c>
      <c r="I1884">
        <v>456</v>
      </c>
      <c r="J1884" t="s">
        <v>275</v>
      </c>
      <c r="K1884" t="str">
        <f>IFERROR(IF(AND(VLOOKUP($C1884,Hes!$A:$B, 1, FALSE), $M1884&lt;&gt;" "), "Ingresada", "Falta Ingresar"), " ")</f>
        <v xml:space="preserve"> </v>
      </c>
      <c r="L1884" s="4" t="str">
        <f>IFERROR(VLOOKUP($C1884,Observaciones!$A:$B,2,FALSE)," ")</f>
        <v xml:space="preserve"> </v>
      </c>
      <c r="M1884" t="s">
        <v>681</v>
      </c>
      <c r="O1884" s="5">
        <v>30837903</v>
      </c>
      <c r="P1884" s="5">
        <v>23670</v>
      </c>
      <c r="Q1884" s="5">
        <v>4497</v>
      </c>
      <c r="R1884" s="5">
        <v>28167</v>
      </c>
    </row>
    <row r="1885" spans="1:18" x14ac:dyDescent="0.25">
      <c r="F1885" t="s">
        <v>495</v>
      </c>
      <c r="K1885" t="str">
        <f>IFERROR(IF(AND(VLOOKUP($C1885,Hes!$A:$B, 1, FALSE), $M1885&lt;&gt;" "), "Ingresada", "Falta Ingresar"), " ")</f>
        <v xml:space="preserve"> </v>
      </c>
      <c r="L1885" s="4" t="str">
        <f>IFERROR(VLOOKUP($C1885,Observaciones!$A:$B,2,FALSE)," ")</f>
        <v xml:space="preserve"> </v>
      </c>
      <c r="M1885" t="s">
        <v>681</v>
      </c>
      <c r="P1885" s="5">
        <v>23670</v>
      </c>
      <c r="Q1885" s="5">
        <v>4497</v>
      </c>
      <c r="R1885" s="5">
        <v>28167</v>
      </c>
    </row>
    <row r="1886" spans="1:18" x14ac:dyDescent="0.25">
      <c r="A1886" t="s">
        <v>1187</v>
      </c>
      <c r="B1886" t="s">
        <v>494</v>
      </c>
      <c r="C1886">
        <v>76697790</v>
      </c>
      <c r="D1886">
        <v>39</v>
      </c>
      <c r="E1886">
        <v>30844371</v>
      </c>
      <c r="F1886" t="s">
        <v>560</v>
      </c>
      <c r="G1886" s="1">
        <v>45231</v>
      </c>
      <c r="H1886">
        <v>5410604</v>
      </c>
      <c r="I1886">
        <v>392</v>
      </c>
      <c r="J1886" t="s">
        <v>228</v>
      </c>
      <c r="K1886" t="str">
        <f>IFERROR(IF(AND(VLOOKUP($C1886,Hes!$A:$B, 1, FALSE), $M1886&lt;&gt;" "), "Ingresada", "Falta Ingresar"), " ")</f>
        <v xml:space="preserve"> </v>
      </c>
      <c r="L1886" s="4" t="str">
        <f>IFERROR(VLOOKUP($C1886,Observaciones!$A:$B,2,FALSE)," ")</f>
        <v>2 FACT. CASA MATRIZ (CC 0) Y RESTO X RUT (CC 98)</v>
      </c>
      <c r="M1886" t="s">
        <v>681</v>
      </c>
      <c r="O1886" s="5">
        <v>30844371</v>
      </c>
      <c r="P1886" s="5">
        <v>34819</v>
      </c>
      <c r="Q1886" s="5">
        <v>6616</v>
      </c>
      <c r="R1886" s="5">
        <v>41435</v>
      </c>
    </row>
    <row r="1887" spans="1:18" x14ac:dyDescent="0.25">
      <c r="A1887" t="s">
        <v>1187</v>
      </c>
      <c r="B1887" t="s">
        <v>494</v>
      </c>
      <c r="C1887">
        <v>76697790</v>
      </c>
      <c r="D1887">
        <v>92</v>
      </c>
      <c r="E1887">
        <v>30844362</v>
      </c>
      <c r="F1887" t="s">
        <v>560</v>
      </c>
      <c r="G1887" s="1">
        <v>45231</v>
      </c>
      <c r="H1887">
        <v>5410673</v>
      </c>
      <c r="I1887">
        <v>392</v>
      </c>
      <c r="J1887" t="s">
        <v>228</v>
      </c>
      <c r="K1887" t="str">
        <f>IFERROR(IF(AND(VLOOKUP($C1887,Hes!$A:$B, 1, FALSE), $M1887&lt;&gt;" "), "Ingresada", "Falta Ingresar"), " ")</f>
        <v xml:space="preserve"> </v>
      </c>
      <c r="L1887" s="4" t="str">
        <f>IFERROR(VLOOKUP($C1887,Observaciones!$A:$B,2,FALSE)," ")</f>
        <v>2 FACT. CASA MATRIZ (CC 0) Y RESTO X RUT (CC 98)</v>
      </c>
      <c r="M1887" t="s">
        <v>681</v>
      </c>
      <c r="O1887" s="5">
        <v>30844362</v>
      </c>
      <c r="P1887" s="5">
        <v>35494</v>
      </c>
      <c r="Q1887" s="5">
        <v>6744</v>
      </c>
      <c r="R1887" s="5">
        <v>42238</v>
      </c>
    </row>
    <row r="1888" spans="1:18" x14ac:dyDescent="0.25">
      <c r="A1888" t="s">
        <v>1187</v>
      </c>
      <c r="B1888" t="s">
        <v>494</v>
      </c>
      <c r="C1888">
        <v>76697790</v>
      </c>
      <c r="D1888">
        <v>55</v>
      </c>
      <c r="E1888">
        <v>30844348</v>
      </c>
      <c r="F1888" t="s">
        <v>560</v>
      </c>
      <c r="G1888" s="1">
        <v>45232</v>
      </c>
      <c r="H1888">
        <v>5410740</v>
      </c>
      <c r="I1888">
        <v>392</v>
      </c>
      <c r="J1888" t="s">
        <v>228</v>
      </c>
      <c r="K1888" t="str">
        <f>IFERROR(IF(AND(VLOOKUP($C1888,Hes!$A:$B, 1, FALSE), $M1888&lt;&gt;" "), "Ingresada", "Falta Ingresar"), " ")</f>
        <v xml:space="preserve"> </v>
      </c>
      <c r="L1888" s="4" t="str">
        <f>IFERROR(VLOOKUP($C1888,Observaciones!$A:$B,2,FALSE)," ")</f>
        <v>2 FACT. CASA MATRIZ (CC 0) Y RESTO X RUT (CC 98)</v>
      </c>
      <c r="M1888" t="s">
        <v>681</v>
      </c>
      <c r="O1888" s="5">
        <v>30844348</v>
      </c>
      <c r="P1888" s="5">
        <v>30241</v>
      </c>
      <c r="Q1888" s="5">
        <v>5746</v>
      </c>
      <c r="R1888" s="5">
        <v>35987</v>
      </c>
    </row>
    <row r="1889" spans="1:18" x14ac:dyDescent="0.25">
      <c r="A1889" t="s">
        <v>1187</v>
      </c>
      <c r="B1889" t="s">
        <v>494</v>
      </c>
      <c r="C1889">
        <v>76697790</v>
      </c>
      <c r="D1889">
        <v>16</v>
      </c>
      <c r="E1889">
        <v>30844355</v>
      </c>
      <c r="F1889" t="s">
        <v>560</v>
      </c>
      <c r="G1889" s="1">
        <v>45232</v>
      </c>
      <c r="H1889">
        <v>5410747</v>
      </c>
      <c r="I1889">
        <v>392</v>
      </c>
      <c r="J1889" t="s">
        <v>228</v>
      </c>
      <c r="K1889" t="str">
        <f>IFERROR(IF(AND(VLOOKUP($C1889,Hes!$A:$B, 1, FALSE), $M1889&lt;&gt;" "), "Ingresada", "Falta Ingresar"), " ")</f>
        <v xml:space="preserve"> </v>
      </c>
      <c r="L1889" s="4" t="str">
        <f>IFERROR(VLOOKUP($C1889,Observaciones!$A:$B,2,FALSE)," ")</f>
        <v>2 FACT. CASA MATRIZ (CC 0) Y RESTO X RUT (CC 98)</v>
      </c>
      <c r="M1889" t="s">
        <v>681</v>
      </c>
      <c r="O1889" s="5">
        <v>30844355</v>
      </c>
      <c r="P1889" s="5">
        <v>34858</v>
      </c>
      <c r="Q1889" s="5">
        <v>6623</v>
      </c>
      <c r="R1889" s="5">
        <v>41481</v>
      </c>
    </row>
    <row r="1890" spans="1:18" x14ac:dyDescent="0.25">
      <c r="A1890" t="s">
        <v>1187</v>
      </c>
      <c r="B1890" t="s">
        <v>494</v>
      </c>
      <c r="C1890">
        <v>76697790</v>
      </c>
      <c r="D1890">
        <v>0</v>
      </c>
      <c r="E1890">
        <v>30847821</v>
      </c>
      <c r="F1890" t="s">
        <v>560</v>
      </c>
      <c r="G1890" s="1">
        <v>45232</v>
      </c>
      <c r="H1890">
        <v>5411104</v>
      </c>
      <c r="I1890">
        <v>392</v>
      </c>
      <c r="J1890" t="s">
        <v>228</v>
      </c>
      <c r="K1890" t="str">
        <f>IFERROR(IF(AND(VLOOKUP($C1890,Hes!$A:$B, 1, FALSE), $M1890&lt;&gt;" "), "Ingresada", "Falta Ingresar"), " ")</f>
        <v xml:space="preserve"> </v>
      </c>
      <c r="L1890" s="4" t="str">
        <f>IFERROR(VLOOKUP($C1890,Observaciones!$A:$B,2,FALSE)," ")</f>
        <v>2 FACT. CASA MATRIZ (CC 0) Y RESTO X RUT (CC 98)</v>
      </c>
      <c r="M1890" t="s">
        <v>681</v>
      </c>
      <c r="O1890" s="5">
        <v>30847821</v>
      </c>
      <c r="P1890" s="5">
        <v>28648</v>
      </c>
      <c r="Q1890" s="5">
        <v>5443</v>
      </c>
      <c r="R1890" s="5">
        <v>34091</v>
      </c>
    </row>
    <row r="1891" spans="1:18" x14ac:dyDescent="0.25">
      <c r="A1891" t="s">
        <v>1187</v>
      </c>
      <c r="B1891" t="s">
        <v>494</v>
      </c>
      <c r="C1891">
        <v>76697790</v>
      </c>
      <c r="D1891">
        <v>1</v>
      </c>
      <c r="E1891">
        <v>30844405</v>
      </c>
      <c r="F1891" t="s">
        <v>560</v>
      </c>
      <c r="G1891" s="1">
        <v>45236</v>
      </c>
      <c r="H1891">
        <v>5411949</v>
      </c>
      <c r="I1891">
        <v>392</v>
      </c>
      <c r="J1891" t="s">
        <v>228</v>
      </c>
      <c r="K1891" t="str">
        <f>IFERROR(IF(AND(VLOOKUP($C1891,Hes!$A:$B, 1, FALSE), $M1891&lt;&gt;" "), "Ingresada", "Falta Ingresar"), " ")</f>
        <v xml:space="preserve"> </v>
      </c>
      <c r="L1891" s="4" t="str">
        <f>IFERROR(VLOOKUP($C1891,Observaciones!$A:$B,2,FALSE)," ")</f>
        <v>2 FACT. CASA MATRIZ (CC 0) Y RESTO X RUT (CC 98)</v>
      </c>
      <c r="M1891" t="s">
        <v>681</v>
      </c>
      <c r="O1891" s="5">
        <v>30844405</v>
      </c>
      <c r="P1891" s="5">
        <v>27389</v>
      </c>
      <c r="Q1891" s="5">
        <v>5204</v>
      </c>
      <c r="R1891" s="5">
        <v>32593</v>
      </c>
    </row>
    <row r="1892" spans="1:18" x14ac:dyDescent="0.25">
      <c r="A1892" t="s">
        <v>1187</v>
      </c>
      <c r="B1892" t="s">
        <v>494</v>
      </c>
      <c r="C1892">
        <v>76697790</v>
      </c>
      <c r="D1892">
        <v>44</v>
      </c>
      <c r="E1892">
        <v>30844389</v>
      </c>
      <c r="F1892" t="s">
        <v>560</v>
      </c>
      <c r="G1892" s="1">
        <v>45236</v>
      </c>
      <c r="H1892">
        <v>5412007</v>
      </c>
      <c r="I1892">
        <v>392</v>
      </c>
      <c r="J1892" t="s">
        <v>228</v>
      </c>
      <c r="K1892" t="str">
        <f>IFERROR(IF(AND(VLOOKUP($C1892,Hes!$A:$B, 1, FALSE), $M1892&lt;&gt;" "), "Ingresada", "Falta Ingresar"), " ")</f>
        <v xml:space="preserve"> </v>
      </c>
      <c r="L1892" s="4" t="str">
        <f>IFERROR(VLOOKUP($C1892,Observaciones!$A:$B,2,FALSE)," ")</f>
        <v>2 FACT. CASA MATRIZ (CC 0) Y RESTO X RUT (CC 98)</v>
      </c>
      <c r="M1892" t="s">
        <v>681</v>
      </c>
      <c r="O1892" s="5">
        <v>30844389</v>
      </c>
      <c r="P1892" s="5">
        <v>27651</v>
      </c>
      <c r="Q1892" s="5">
        <v>5254</v>
      </c>
      <c r="R1892" s="5">
        <v>32905</v>
      </c>
    </row>
    <row r="1893" spans="1:18" x14ac:dyDescent="0.25">
      <c r="A1893" t="s">
        <v>1187</v>
      </c>
      <c r="B1893" t="s">
        <v>494</v>
      </c>
      <c r="C1893">
        <v>76697790</v>
      </c>
      <c r="D1893">
        <v>95</v>
      </c>
      <c r="E1893">
        <v>30862078</v>
      </c>
      <c r="F1893" t="s">
        <v>560</v>
      </c>
      <c r="G1893" s="1">
        <v>45238</v>
      </c>
      <c r="H1893">
        <v>5415561</v>
      </c>
      <c r="I1893">
        <v>392</v>
      </c>
      <c r="J1893" t="s">
        <v>228</v>
      </c>
      <c r="K1893" t="str">
        <f>IFERROR(IF(AND(VLOOKUP($C1893,Hes!$A:$B, 1, FALSE), $M1893&lt;&gt;" "), "Ingresada", "Falta Ingresar"), " ")</f>
        <v xml:space="preserve"> </v>
      </c>
      <c r="L1893" s="4" t="str">
        <f>IFERROR(VLOOKUP($C1893,Observaciones!$A:$B,2,FALSE)," ")</f>
        <v>2 FACT. CASA MATRIZ (CC 0) Y RESTO X RUT (CC 98)</v>
      </c>
      <c r="M1893" t="s">
        <v>681</v>
      </c>
      <c r="O1893" s="5">
        <v>30862078</v>
      </c>
      <c r="P1893" s="5">
        <v>34855</v>
      </c>
      <c r="Q1893" s="5">
        <v>6622</v>
      </c>
      <c r="R1893" s="5">
        <v>41477</v>
      </c>
    </row>
    <row r="1894" spans="1:18" x14ac:dyDescent="0.25">
      <c r="A1894" t="s">
        <v>1187</v>
      </c>
      <c r="B1894" t="s">
        <v>494</v>
      </c>
      <c r="C1894">
        <v>76697790</v>
      </c>
      <c r="D1894">
        <v>54</v>
      </c>
      <c r="E1894">
        <v>30862102</v>
      </c>
      <c r="F1894" t="s">
        <v>560</v>
      </c>
      <c r="G1894" s="1">
        <v>45238</v>
      </c>
      <c r="H1894">
        <v>5415569</v>
      </c>
      <c r="I1894">
        <v>392</v>
      </c>
      <c r="J1894" t="s">
        <v>228</v>
      </c>
      <c r="K1894" t="str">
        <f>IFERROR(IF(AND(VLOOKUP($C1894,Hes!$A:$B, 1, FALSE), $M1894&lt;&gt;" "), "Ingresada", "Falta Ingresar"), " ")</f>
        <v xml:space="preserve"> </v>
      </c>
      <c r="L1894" s="4" t="str">
        <f>IFERROR(VLOOKUP($C1894,Observaciones!$A:$B,2,FALSE)," ")</f>
        <v>2 FACT. CASA MATRIZ (CC 0) Y RESTO X RUT (CC 98)</v>
      </c>
      <c r="M1894" t="s">
        <v>681</v>
      </c>
      <c r="O1894" s="5">
        <v>30862102</v>
      </c>
      <c r="P1894" s="5">
        <v>37437</v>
      </c>
      <c r="Q1894" s="5">
        <v>7113</v>
      </c>
      <c r="R1894" s="5">
        <v>44550</v>
      </c>
    </row>
    <row r="1895" spans="1:18" x14ac:dyDescent="0.25">
      <c r="A1895" t="s">
        <v>1187</v>
      </c>
      <c r="B1895" t="s">
        <v>494</v>
      </c>
      <c r="C1895">
        <v>76697790</v>
      </c>
      <c r="D1895">
        <v>20</v>
      </c>
      <c r="E1895">
        <v>30862091</v>
      </c>
      <c r="F1895" t="s">
        <v>560</v>
      </c>
      <c r="G1895" s="1">
        <v>45238</v>
      </c>
      <c r="H1895">
        <v>5415738</v>
      </c>
      <c r="I1895">
        <v>392</v>
      </c>
      <c r="J1895" t="s">
        <v>228</v>
      </c>
      <c r="K1895" t="str">
        <f>IFERROR(IF(AND(VLOOKUP($C1895,Hes!$A:$B, 1, FALSE), $M1895&lt;&gt;" "), "Ingresada", "Falta Ingresar"), " ")</f>
        <v xml:space="preserve"> </v>
      </c>
      <c r="L1895" s="4" t="str">
        <f>IFERROR(VLOOKUP($C1895,Observaciones!$A:$B,2,FALSE)," ")</f>
        <v>2 FACT. CASA MATRIZ (CC 0) Y RESTO X RUT (CC 98)</v>
      </c>
      <c r="M1895" t="s">
        <v>681</v>
      </c>
      <c r="O1895" s="5">
        <v>30862091</v>
      </c>
      <c r="P1895" s="5">
        <v>35921</v>
      </c>
      <c r="Q1895" s="5">
        <v>6825</v>
      </c>
      <c r="R1895" s="5">
        <v>42746</v>
      </c>
    </row>
    <row r="1896" spans="1:18" x14ac:dyDescent="0.25">
      <c r="F1896" t="s">
        <v>533</v>
      </c>
      <c r="K1896" t="str">
        <f>IFERROR(IF(AND(VLOOKUP($C1896,Hes!$A:$B, 1, FALSE), $M1896&lt;&gt;" "), "Ingresada", "Falta Ingresar"), " ")</f>
        <v xml:space="preserve"> </v>
      </c>
      <c r="L1896" s="4" t="str">
        <f>IFERROR(VLOOKUP($C1896,Observaciones!$A:$B,2,FALSE)," ")</f>
        <v xml:space="preserve"> </v>
      </c>
      <c r="M1896" t="s">
        <v>681</v>
      </c>
      <c r="P1896" s="5">
        <v>327313</v>
      </c>
      <c r="Q1896" s="5">
        <v>62190</v>
      </c>
      <c r="R1896" s="5">
        <v>389503</v>
      </c>
    </row>
    <row r="1897" spans="1:18" x14ac:dyDescent="0.25">
      <c r="A1897" t="s">
        <v>522</v>
      </c>
      <c r="B1897" t="s">
        <v>494</v>
      </c>
      <c r="C1897">
        <v>76729932</v>
      </c>
      <c r="D1897">
        <v>5</v>
      </c>
      <c r="E1897">
        <v>80064569</v>
      </c>
      <c r="F1897" t="s">
        <v>1188</v>
      </c>
      <c r="G1897" s="1">
        <v>45237</v>
      </c>
      <c r="H1897">
        <v>5414434</v>
      </c>
      <c r="I1897">
        <v>71</v>
      </c>
      <c r="J1897" t="s">
        <v>250</v>
      </c>
      <c r="K1897" s="8" t="str">
        <f>IFERROR(IF(AND(VLOOKUP($C1897,Hes!$A:$B, 1, FALSE), $M1897&lt;&gt;" "), "Ingresada", "Falta Ingresar"), " ")</f>
        <v>Falta Ingresar</v>
      </c>
      <c r="L1897" s="4" t="str">
        <f>IFERROR(VLOOKUP($C1897,Observaciones!$A:$B,2,FALSE)," ")</f>
        <v>XOC Y CC</v>
      </c>
      <c r="M1897" t="s">
        <v>681</v>
      </c>
      <c r="N1897" s="5" t="s">
        <v>841</v>
      </c>
      <c r="O1897" s="5">
        <v>30860619</v>
      </c>
      <c r="P1897" s="5">
        <v>277090</v>
      </c>
      <c r="Q1897" s="5">
        <v>52647</v>
      </c>
      <c r="R1897" s="5">
        <v>329737</v>
      </c>
    </row>
    <row r="1898" spans="1:18" x14ac:dyDescent="0.25">
      <c r="F1898" t="s">
        <v>495</v>
      </c>
      <c r="K1898" t="str">
        <f>IFERROR(IF(AND(VLOOKUP($C1898,Hes!$A:$B, 1, FALSE), $M1898&lt;&gt;" "), "Ingresada", "Falta Ingresar"), " ")</f>
        <v xml:space="preserve"> </v>
      </c>
      <c r="L1898" s="4" t="str">
        <f>IFERROR(VLOOKUP($C1898,Observaciones!$A:$B,2,FALSE)," ")</f>
        <v xml:space="preserve"> </v>
      </c>
      <c r="M1898" t="s">
        <v>681</v>
      </c>
      <c r="P1898" s="5">
        <v>277090</v>
      </c>
      <c r="Q1898" s="5">
        <v>52647</v>
      </c>
      <c r="R1898" s="5">
        <v>329737</v>
      </c>
    </row>
    <row r="1899" spans="1:18" x14ac:dyDescent="0.25">
      <c r="A1899" t="s">
        <v>512</v>
      </c>
      <c r="B1899" t="s">
        <v>494</v>
      </c>
      <c r="C1899">
        <v>76758790</v>
      </c>
      <c r="D1899">
        <v>1</v>
      </c>
      <c r="E1899">
        <v>30852633</v>
      </c>
      <c r="F1899" t="s">
        <v>1189</v>
      </c>
      <c r="G1899" s="1">
        <v>45236</v>
      </c>
      <c r="H1899">
        <v>5413219</v>
      </c>
      <c r="I1899">
        <v>315</v>
      </c>
      <c r="J1899" t="s">
        <v>380</v>
      </c>
      <c r="K1899" t="str">
        <f>IFERROR(IF(AND(VLOOKUP($C1899,Hes!$A:$B, 1, FALSE), $M1899&lt;&gt;" "), "Ingresada", "Falta Ingresar"), " ")</f>
        <v xml:space="preserve"> </v>
      </c>
      <c r="L1899" s="4" t="str">
        <f>IFERROR(VLOOKUP($C1899,Observaciones!$A:$B,2,FALSE)," ")</f>
        <v xml:space="preserve"> </v>
      </c>
      <c r="M1899" t="s">
        <v>681</v>
      </c>
      <c r="O1899" s="5">
        <v>30852633</v>
      </c>
      <c r="P1899" s="5">
        <v>196503</v>
      </c>
      <c r="Q1899" s="5">
        <v>37336</v>
      </c>
      <c r="R1899" s="5">
        <v>233839</v>
      </c>
    </row>
    <row r="1900" spans="1:18" x14ac:dyDescent="0.25">
      <c r="F1900" t="s">
        <v>495</v>
      </c>
      <c r="K1900" t="str">
        <f>IFERROR(IF(AND(VLOOKUP($C1900,Hes!$A:$B, 1, FALSE), $M1900&lt;&gt;" "), "Ingresada", "Falta Ingresar"), " ")</f>
        <v xml:space="preserve"> </v>
      </c>
      <c r="L1900" s="4" t="str">
        <f>IFERROR(VLOOKUP($C1900,Observaciones!$A:$B,2,FALSE)," ")</f>
        <v xml:space="preserve"> </v>
      </c>
      <c r="M1900" t="s">
        <v>681</v>
      </c>
      <c r="P1900" s="5">
        <v>196503</v>
      </c>
      <c r="Q1900" s="5">
        <v>37336</v>
      </c>
      <c r="R1900" s="5">
        <v>233839</v>
      </c>
    </row>
    <row r="1901" spans="1:18" x14ac:dyDescent="0.25">
      <c r="A1901" t="s">
        <v>501</v>
      </c>
      <c r="B1901" t="s">
        <v>494</v>
      </c>
      <c r="C1901">
        <v>76762250</v>
      </c>
      <c r="D1901">
        <v>19</v>
      </c>
      <c r="E1901">
        <v>30849328</v>
      </c>
      <c r="F1901" t="s">
        <v>1190</v>
      </c>
      <c r="G1901" s="1">
        <v>45233</v>
      </c>
      <c r="H1901">
        <v>5411735</v>
      </c>
      <c r="I1901">
        <v>438</v>
      </c>
      <c r="J1901" t="s">
        <v>352</v>
      </c>
      <c r="K1901" t="str">
        <f>IFERROR(IF(AND(VLOOKUP($C1901,Hes!$A:$B, 1, FALSE), $M1901&lt;&gt;" "), "Ingresada", "Falta Ingresar"), " ")</f>
        <v xml:space="preserve"> </v>
      </c>
      <c r="L1901" s="4" t="str">
        <f>IFERROR(VLOOKUP($C1901,Observaciones!$A:$B,2,FALSE)," ")</f>
        <v xml:space="preserve"> </v>
      </c>
      <c r="M1901" t="s">
        <v>681</v>
      </c>
      <c r="O1901" s="5">
        <v>30849328</v>
      </c>
      <c r="P1901" s="5">
        <v>815378</v>
      </c>
      <c r="Q1901" s="5">
        <v>154922</v>
      </c>
      <c r="R1901" s="5">
        <v>970300</v>
      </c>
    </row>
    <row r="1902" spans="1:18" x14ac:dyDescent="0.25">
      <c r="A1902" t="s">
        <v>501</v>
      </c>
      <c r="B1902" t="s">
        <v>494</v>
      </c>
      <c r="C1902">
        <v>76762250</v>
      </c>
      <c r="D1902">
        <v>31</v>
      </c>
      <c r="E1902">
        <v>30849668</v>
      </c>
      <c r="F1902" t="s">
        <v>1190</v>
      </c>
      <c r="G1902" s="1">
        <v>45236</v>
      </c>
      <c r="H1902">
        <v>5413469</v>
      </c>
      <c r="I1902">
        <v>438</v>
      </c>
      <c r="J1902" t="s">
        <v>352</v>
      </c>
      <c r="K1902" t="str">
        <f>IFERROR(IF(AND(VLOOKUP($C1902,Hes!$A:$B, 1, FALSE), $M1902&lt;&gt;" "), "Ingresada", "Falta Ingresar"), " ")</f>
        <v xml:space="preserve"> </v>
      </c>
      <c r="L1902" s="4" t="str">
        <f>IFERROR(VLOOKUP($C1902,Observaciones!$A:$B,2,FALSE)," ")</f>
        <v xml:space="preserve"> </v>
      </c>
      <c r="M1902" t="s">
        <v>681</v>
      </c>
      <c r="O1902" s="5">
        <v>30849668</v>
      </c>
      <c r="P1902" s="5">
        <v>269781</v>
      </c>
      <c r="Q1902" s="5">
        <v>51258</v>
      </c>
      <c r="R1902" s="5">
        <v>321039</v>
      </c>
    </row>
    <row r="1903" spans="1:18" x14ac:dyDescent="0.25">
      <c r="F1903" t="s">
        <v>497</v>
      </c>
      <c r="K1903" t="str">
        <f>IFERROR(IF(AND(VLOOKUP($C1903,Hes!$A:$B, 1, FALSE), $M1903&lt;&gt;" "), "Ingresada", "Falta Ingresar"), " ")</f>
        <v xml:space="preserve"> </v>
      </c>
      <c r="L1903" s="4" t="str">
        <f>IFERROR(VLOOKUP($C1903,Observaciones!$A:$B,2,FALSE)," ")</f>
        <v xml:space="preserve"> </v>
      </c>
      <c r="M1903" t="s">
        <v>681</v>
      </c>
      <c r="P1903" s="5">
        <v>1085159</v>
      </c>
      <c r="Q1903" s="5">
        <v>206180</v>
      </c>
      <c r="R1903" s="5">
        <v>1291339</v>
      </c>
    </row>
    <row r="1904" spans="1:18" x14ac:dyDescent="0.25">
      <c r="A1904" t="s">
        <v>3</v>
      </c>
      <c r="B1904" t="s">
        <v>494</v>
      </c>
      <c r="C1904">
        <v>76762740</v>
      </c>
      <c r="D1904">
        <v>65</v>
      </c>
      <c r="E1904">
        <v>30854708</v>
      </c>
      <c r="F1904" t="s">
        <v>1191</v>
      </c>
      <c r="G1904" s="1">
        <v>45236</v>
      </c>
      <c r="H1904">
        <v>5412776</v>
      </c>
      <c r="I1904">
        <v>25</v>
      </c>
      <c r="J1904" t="s">
        <v>323</v>
      </c>
      <c r="K1904" t="str">
        <f>IFERROR(IF(AND(VLOOKUP($C1904,Hes!$A:$B, 1, FALSE), $M1904&lt;&gt;" "), "Ingresada", "Falta Ingresar"), " ")</f>
        <v xml:space="preserve"> </v>
      </c>
      <c r="L1904" s="4" t="str">
        <f>IFERROR(VLOOKUP($C1904,Observaciones!$A:$B,2,FALSE)," ")</f>
        <v>ULTIMO DIA, ESPERAR INFORME DE LUCIA, DEBE CUADRAR MONTOS</v>
      </c>
      <c r="M1904" t="s">
        <v>681</v>
      </c>
      <c r="O1904" s="5">
        <v>30854708</v>
      </c>
      <c r="P1904" s="5">
        <v>69938</v>
      </c>
      <c r="Q1904" s="5">
        <v>13288</v>
      </c>
      <c r="R1904" s="5">
        <v>83226</v>
      </c>
    </row>
    <row r="1905" spans="1:18" x14ac:dyDescent="0.25">
      <c r="A1905" t="s">
        <v>3</v>
      </c>
      <c r="B1905" t="s">
        <v>494</v>
      </c>
      <c r="C1905">
        <v>76762740</v>
      </c>
      <c r="D1905">
        <v>17</v>
      </c>
      <c r="E1905">
        <v>30852471</v>
      </c>
      <c r="F1905" t="s">
        <v>1191</v>
      </c>
      <c r="G1905" s="1">
        <v>45236</v>
      </c>
      <c r="H1905">
        <v>5412789</v>
      </c>
      <c r="I1905">
        <v>25</v>
      </c>
      <c r="J1905" t="s">
        <v>323</v>
      </c>
      <c r="K1905" t="str">
        <f>IFERROR(IF(AND(VLOOKUP($C1905,Hes!$A:$B, 1, FALSE), $M1905&lt;&gt;" "), "Ingresada", "Falta Ingresar"), " ")</f>
        <v xml:space="preserve"> </v>
      </c>
      <c r="L1905" s="4" t="str">
        <f>IFERROR(VLOOKUP($C1905,Observaciones!$A:$B,2,FALSE)," ")</f>
        <v>ULTIMO DIA, ESPERAR INFORME DE LUCIA, DEBE CUADRAR MONTOS</v>
      </c>
      <c r="M1905" t="s">
        <v>681</v>
      </c>
      <c r="O1905" s="5">
        <v>30852471</v>
      </c>
      <c r="P1905" s="5">
        <v>284452</v>
      </c>
      <c r="Q1905" s="5">
        <v>54046</v>
      </c>
      <c r="R1905" s="5">
        <v>338498</v>
      </c>
    </row>
    <row r="1906" spans="1:18" x14ac:dyDescent="0.25">
      <c r="A1906" t="s">
        <v>3</v>
      </c>
      <c r="B1906" t="s">
        <v>494</v>
      </c>
      <c r="C1906">
        <v>76762740</v>
      </c>
      <c r="D1906">
        <v>74</v>
      </c>
      <c r="E1906">
        <v>30854720</v>
      </c>
      <c r="F1906" t="s">
        <v>1191</v>
      </c>
      <c r="G1906" s="1">
        <v>45236</v>
      </c>
      <c r="H1906">
        <v>5412859</v>
      </c>
      <c r="I1906">
        <v>25</v>
      </c>
      <c r="J1906" t="s">
        <v>323</v>
      </c>
      <c r="K1906" t="str">
        <f>IFERROR(IF(AND(VLOOKUP($C1906,Hes!$A:$B, 1, FALSE), $M1906&lt;&gt;" "), "Ingresada", "Falta Ingresar"), " ")</f>
        <v xml:space="preserve"> </v>
      </c>
      <c r="L1906" s="4" t="str">
        <f>IFERROR(VLOOKUP($C1906,Observaciones!$A:$B,2,FALSE)," ")</f>
        <v>ULTIMO DIA, ESPERAR INFORME DE LUCIA, DEBE CUADRAR MONTOS</v>
      </c>
      <c r="M1906" t="s">
        <v>681</v>
      </c>
      <c r="O1906" s="5">
        <v>30854720</v>
      </c>
      <c r="P1906" s="5">
        <v>69944</v>
      </c>
      <c r="Q1906" s="5">
        <v>13289</v>
      </c>
      <c r="R1906" s="5">
        <v>83233</v>
      </c>
    </row>
    <row r="1907" spans="1:18" x14ac:dyDescent="0.25">
      <c r="A1907" t="s">
        <v>3</v>
      </c>
      <c r="B1907" t="s">
        <v>494</v>
      </c>
      <c r="C1907">
        <v>76762740</v>
      </c>
      <c r="D1907">
        <v>41</v>
      </c>
      <c r="E1907">
        <v>30854722</v>
      </c>
      <c r="F1907" t="s">
        <v>1191</v>
      </c>
      <c r="G1907" s="1">
        <v>45236</v>
      </c>
      <c r="H1907">
        <v>5412860</v>
      </c>
      <c r="I1907">
        <v>25</v>
      </c>
      <c r="J1907" t="s">
        <v>323</v>
      </c>
      <c r="K1907" t="str">
        <f>IFERROR(IF(AND(VLOOKUP($C1907,Hes!$A:$B, 1, FALSE), $M1907&lt;&gt;" "), "Ingresada", "Falta Ingresar"), " ")</f>
        <v xml:space="preserve"> </v>
      </c>
      <c r="L1907" s="4" t="str">
        <f>IFERROR(VLOOKUP($C1907,Observaciones!$A:$B,2,FALSE)," ")</f>
        <v>ULTIMO DIA, ESPERAR INFORME DE LUCIA, DEBE CUADRAR MONTOS</v>
      </c>
      <c r="M1907" t="s">
        <v>681</v>
      </c>
      <c r="O1907" s="5">
        <v>30854722</v>
      </c>
      <c r="P1907" s="5">
        <v>70218</v>
      </c>
      <c r="Q1907" s="5">
        <v>13341</v>
      </c>
      <c r="R1907" s="5">
        <v>83559</v>
      </c>
    </row>
    <row r="1908" spans="1:18" x14ac:dyDescent="0.25">
      <c r="A1908" t="s">
        <v>3</v>
      </c>
      <c r="B1908" t="s">
        <v>494</v>
      </c>
      <c r="C1908">
        <v>76762740</v>
      </c>
      <c r="D1908">
        <v>32</v>
      </c>
      <c r="E1908">
        <v>30854715</v>
      </c>
      <c r="F1908" t="s">
        <v>1191</v>
      </c>
      <c r="G1908" s="1">
        <v>45236</v>
      </c>
      <c r="H1908">
        <v>5412924</v>
      </c>
      <c r="I1908">
        <v>25</v>
      </c>
      <c r="J1908" t="s">
        <v>323</v>
      </c>
      <c r="K1908" t="str">
        <f>IFERROR(IF(AND(VLOOKUP($C1908,Hes!$A:$B, 1, FALSE), $M1908&lt;&gt;" "), "Ingresada", "Falta Ingresar"), " ")</f>
        <v xml:space="preserve"> </v>
      </c>
      <c r="L1908" s="4" t="str">
        <f>IFERROR(VLOOKUP($C1908,Observaciones!$A:$B,2,FALSE)," ")</f>
        <v>ULTIMO DIA, ESPERAR INFORME DE LUCIA, DEBE CUADRAR MONTOS</v>
      </c>
      <c r="M1908" t="s">
        <v>681</v>
      </c>
      <c r="O1908" s="5">
        <v>30854715</v>
      </c>
      <c r="P1908" s="5">
        <v>70219</v>
      </c>
      <c r="Q1908" s="5">
        <v>13342</v>
      </c>
      <c r="R1908" s="5">
        <v>83561</v>
      </c>
    </row>
    <row r="1909" spans="1:18" x14ac:dyDescent="0.25">
      <c r="A1909" t="s">
        <v>3</v>
      </c>
      <c r="B1909" t="s">
        <v>494</v>
      </c>
      <c r="C1909">
        <v>76762740</v>
      </c>
      <c r="D1909">
        <v>13</v>
      </c>
      <c r="E1909">
        <v>30852092</v>
      </c>
      <c r="F1909" t="s">
        <v>1191</v>
      </c>
      <c r="G1909" s="1">
        <v>45236</v>
      </c>
      <c r="H1909">
        <v>5413069</v>
      </c>
      <c r="I1909">
        <v>25</v>
      </c>
      <c r="J1909" t="s">
        <v>323</v>
      </c>
      <c r="K1909" t="str">
        <f>IFERROR(IF(AND(VLOOKUP($C1909,Hes!$A:$B, 1, FALSE), $M1909&lt;&gt;" "), "Ingresada", "Falta Ingresar"), " ")</f>
        <v xml:space="preserve"> </v>
      </c>
      <c r="L1909" s="4" t="str">
        <f>IFERROR(VLOOKUP($C1909,Observaciones!$A:$B,2,FALSE)," ")</f>
        <v>ULTIMO DIA, ESPERAR INFORME DE LUCIA, DEBE CUADRAR MONTOS</v>
      </c>
      <c r="M1909" t="s">
        <v>681</v>
      </c>
      <c r="O1909" s="5">
        <v>30852092</v>
      </c>
      <c r="P1909" s="5">
        <v>89926</v>
      </c>
      <c r="Q1909" s="5">
        <v>17086</v>
      </c>
      <c r="R1909" s="5">
        <v>107012</v>
      </c>
    </row>
    <row r="1910" spans="1:18" x14ac:dyDescent="0.25">
      <c r="A1910" t="s">
        <v>3</v>
      </c>
      <c r="B1910" t="s">
        <v>494</v>
      </c>
      <c r="C1910">
        <v>76762740</v>
      </c>
      <c r="D1910">
        <v>19</v>
      </c>
      <c r="E1910">
        <v>30853290</v>
      </c>
      <c r="F1910" t="s">
        <v>1191</v>
      </c>
      <c r="G1910" s="1">
        <v>45236</v>
      </c>
      <c r="H1910">
        <v>5413195</v>
      </c>
      <c r="I1910">
        <v>25</v>
      </c>
      <c r="J1910" t="s">
        <v>323</v>
      </c>
      <c r="K1910" t="str">
        <f>IFERROR(IF(AND(VLOOKUP($C1910,Hes!$A:$B, 1, FALSE), $M1910&lt;&gt;" "), "Ingresada", "Falta Ingresar"), " ")</f>
        <v xml:space="preserve"> </v>
      </c>
      <c r="L1910" s="4" t="str">
        <f>IFERROR(VLOOKUP($C1910,Observaciones!$A:$B,2,FALSE)," ")</f>
        <v>ULTIMO DIA, ESPERAR INFORME DE LUCIA, DEBE CUADRAR MONTOS</v>
      </c>
      <c r="M1910" t="s">
        <v>681</v>
      </c>
      <c r="O1910" s="5">
        <v>30853290</v>
      </c>
      <c r="P1910" s="5">
        <v>89979</v>
      </c>
      <c r="Q1910" s="5">
        <v>17096</v>
      </c>
      <c r="R1910" s="5">
        <v>107075</v>
      </c>
    </row>
    <row r="1911" spans="1:18" x14ac:dyDescent="0.25">
      <c r="A1911" t="s">
        <v>3</v>
      </c>
      <c r="B1911" t="s">
        <v>494</v>
      </c>
      <c r="C1911">
        <v>76762740</v>
      </c>
      <c r="D1911">
        <v>109</v>
      </c>
      <c r="E1911">
        <v>30851271</v>
      </c>
      <c r="F1911" t="s">
        <v>1191</v>
      </c>
      <c r="G1911" s="1">
        <v>45236</v>
      </c>
      <c r="H1911">
        <v>5413213</v>
      </c>
      <c r="I1911">
        <v>25</v>
      </c>
      <c r="J1911" t="s">
        <v>323</v>
      </c>
      <c r="K1911" t="str">
        <f>IFERROR(IF(AND(VLOOKUP($C1911,Hes!$A:$B, 1, FALSE), $M1911&lt;&gt;" "), "Ingresada", "Falta Ingresar"), " ")</f>
        <v xml:space="preserve"> </v>
      </c>
      <c r="L1911" s="4" t="str">
        <f>IFERROR(VLOOKUP($C1911,Observaciones!$A:$B,2,FALSE)," ")</f>
        <v>ULTIMO DIA, ESPERAR INFORME DE LUCIA, DEBE CUADRAR MONTOS</v>
      </c>
      <c r="M1911" t="s">
        <v>681</v>
      </c>
      <c r="O1911" s="5">
        <v>30851271</v>
      </c>
      <c r="P1911" s="5">
        <v>47956</v>
      </c>
      <c r="Q1911" s="5">
        <v>9112</v>
      </c>
      <c r="R1911" s="5">
        <v>57068</v>
      </c>
    </row>
    <row r="1912" spans="1:18" x14ac:dyDescent="0.25">
      <c r="A1912" t="s">
        <v>3</v>
      </c>
      <c r="B1912" t="s">
        <v>494</v>
      </c>
      <c r="C1912">
        <v>76762740</v>
      </c>
      <c r="D1912">
        <v>2</v>
      </c>
      <c r="E1912">
        <v>30851273</v>
      </c>
      <c r="F1912" t="s">
        <v>1191</v>
      </c>
      <c r="G1912" s="1">
        <v>45236</v>
      </c>
      <c r="H1912">
        <v>5413412</v>
      </c>
      <c r="I1912">
        <v>25</v>
      </c>
      <c r="J1912" t="s">
        <v>323</v>
      </c>
      <c r="K1912" t="str">
        <f>IFERROR(IF(AND(VLOOKUP($C1912,Hes!$A:$B, 1, FALSE), $M1912&lt;&gt;" "), "Ingresada", "Falta Ingresar"), " ")</f>
        <v xml:space="preserve"> </v>
      </c>
      <c r="L1912" s="4" t="str">
        <f>IFERROR(VLOOKUP($C1912,Observaciones!$A:$B,2,FALSE)," ")</f>
        <v>ULTIMO DIA, ESPERAR INFORME DE LUCIA, DEBE CUADRAR MONTOS</v>
      </c>
      <c r="M1912" t="s">
        <v>681</v>
      </c>
      <c r="O1912" s="5">
        <v>30851273</v>
      </c>
      <c r="P1912" s="5">
        <v>89977</v>
      </c>
      <c r="Q1912" s="5">
        <v>17096</v>
      </c>
      <c r="R1912" s="5">
        <v>107073</v>
      </c>
    </row>
    <row r="1913" spans="1:18" x14ac:dyDescent="0.25">
      <c r="A1913" t="s">
        <v>3</v>
      </c>
      <c r="B1913" t="s">
        <v>494</v>
      </c>
      <c r="C1913">
        <v>76762740</v>
      </c>
      <c r="D1913">
        <v>59</v>
      </c>
      <c r="E1913">
        <v>30852704</v>
      </c>
      <c r="F1913" t="s">
        <v>1191</v>
      </c>
      <c r="G1913" s="1">
        <v>45236</v>
      </c>
      <c r="H1913">
        <v>5413415</v>
      </c>
      <c r="I1913">
        <v>25</v>
      </c>
      <c r="J1913" t="s">
        <v>323</v>
      </c>
      <c r="K1913" t="str">
        <f>IFERROR(IF(AND(VLOOKUP($C1913,Hes!$A:$B, 1, FALSE), $M1913&lt;&gt;" "), "Ingresada", "Falta Ingresar"), " ")</f>
        <v xml:space="preserve"> </v>
      </c>
      <c r="L1913" s="4" t="str">
        <f>IFERROR(VLOOKUP($C1913,Observaciones!$A:$B,2,FALSE)," ")</f>
        <v>ULTIMO DIA, ESPERAR INFORME DE LUCIA, DEBE CUADRAR MONTOS</v>
      </c>
      <c r="M1913" t="s">
        <v>681</v>
      </c>
      <c r="O1913" s="5">
        <v>30852704</v>
      </c>
      <c r="P1913" s="5">
        <v>89921</v>
      </c>
      <c r="Q1913" s="5">
        <v>17085</v>
      </c>
      <c r="R1913" s="5">
        <v>107006</v>
      </c>
    </row>
    <row r="1914" spans="1:18" x14ac:dyDescent="0.25">
      <c r="A1914" t="s">
        <v>3</v>
      </c>
      <c r="B1914" t="s">
        <v>494</v>
      </c>
      <c r="C1914">
        <v>76762740</v>
      </c>
      <c r="D1914">
        <v>113</v>
      </c>
      <c r="E1914">
        <v>30857466</v>
      </c>
      <c r="F1914" t="s">
        <v>1191</v>
      </c>
      <c r="G1914" s="1">
        <v>45236</v>
      </c>
      <c r="H1914">
        <v>5413505</v>
      </c>
      <c r="I1914">
        <v>25</v>
      </c>
      <c r="J1914" t="s">
        <v>323</v>
      </c>
      <c r="K1914" t="str">
        <f>IFERROR(IF(AND(VLOOKUP($C1914,Hes!$A:$B, 1, FALSE), $M1914&lt;&gt;" "), "Ingresada", "Falta Ingresar"), " ")</f>
        <v xml:space="preserve"> </v>
      </c>
      <c r="L1914" s="4" t="str">
        <f>IFERROR(VLOOKUP($C1914,Observaciones!$A:$B,2,FALSE)," ")</f>
        <v>ULTIMO DIA, ESPERAR INFORME DE LUCIA, DEBE CUADRAR MONTOS</v>
      </c>
      <c r="M1914" t="s">
        <v>681</v>
      </c>
      <c r="O1914" s="5">
        <v>30857466</v>
      </c>
      <c r="P1914" s="5">
        <v>89757</v>
      </c>
      <c r="Q1914" s="5">
        <v>17054</v>
      </c>
      <c r="R1914" s="5">
        <v>106811</v>
      </c>
    </row>
    <row r="1915" spans="1:18" x14ac:dyDescent="0.25">
      <c r="A1915" t="s">
        <v>3</v>
      </c>
      <c r="B1915" t="s">
        <v>494</v>
      </c>
      <c r="C1915">
        <v>76762740</v>
      </c>
      <c r="D1915">
        <v>63</v>
      </c>
      <c r="E1915">
        <v>30857470</v>
      </c>
      <c r="F1915" t="s">
        <v>1191</v>
      </c>
      <c r="G1915" s="1">
        <v>45236</v>
      </c>
      <c r="H1915">
        <v>5413513</v>
      </c>
      <c r="I1915">
        <v>25</v>
      </c>
      <c r="J1915" t="s">
        <v>323</v>
      </c>
      <c r="K1915" t="str">
        <f>IFERROR(IF(AND(VLOOKUP($C1915,Hes!$A:$B, 1, FALSE), $M1915&lt;&gt;" "), "Ingresada", "Falta Ingresar"), " ")</f>
        <v xml:space="preserve"> </v>
      </c>
      <c r="L1915" s="4" t="str">
        <f>IFERROR(VLOOKUP($C1915,Observaciones!$A:$B,2,FALSE)," ")</f>
        <v>ULTIMO DIA, ESPERAR INFORME DE LUCIA, DEBE CUADRAR MONTOS</v>
      </c>
      <c r="M1915" t="s">
        <v>681</v>
      </c>
      <c r="O1915" s="5">
        <v>30857470</v>
      </c>
      <c r="P1915" s="5">
        <v>88761</v>
      </c>
      <c r="Q1915" s="5">
        <v>16865</v>
      </c>
      <c r="R1915" s="5">
        <v>105626</v>
      </c>
    </row>
    <row r="1916" spans="1:18" x14ac:dyDescent="0.25">
      <c r="A1916" t="s">
        <v>3</v>
      </c>
      <c r="B1916" t="s">
        <v>494</v>
      </c>
      <c r="C1916">
        <v>76762740</v>
      </c>
      <c r="D1916">
        <v>12</v>
      </c>
      <c r="E1916">
        <v>30856983</v>
      </c>
      <c r="F1916" t="s">
        <v>1191</v>
      </c>
      <c r="G1916" s="1">
        <v>45236</v>
      </c>
      <c r="H1916">
        <v>5413544</v>
      </c>
      <c r="I1916">
        <v>25</v>
      </c>
      <c r="J1916" t="s">
        <v>323</v>
      </c>
      <c r="K1916" t="str">
        <f>IFERROR(IF(AND(VLOOKUP($C1916,Hes!$A:$B, 1, FALSE), $M1916&lt;&gt;" "), "Ingresada", "Falta Ingresar"), " ")</f>
        <v xml:space="preserve"> </v>
      </c>
      <c r="L1916" s="4" t="str">
        <f>IFERROR(VLOOKUP($C1916,Observaciones!$A:$B,2,FALSE)," ")</f>
        <v>ULTIMO DIA, ESPERAR INFORME DE LUCIA, DEBE CUADRAR MONTOS</v>
      </c>
      <c r="M1916" t="s">
        <v>681</v>
      </c>
      <c r="O1916" s="5">
        <v>30856983</v>
      </c>
      <c r="P1916" s="5">
        <v>14370</v>
      </c>
      <c r="Q1916" s="5">
        <v>2730</v>
      </c>
      <c r="R1916" s="5">
        <v>17100</v>
      </c>
    </row>
    <row r="1917" spans="1:18" x14ac:dyDescent="0.25">
      <c r="A1917" t="s">
        <v>3</v>
      </c>
      <c r="B1917" t="s">
        <v>494</v>
      </c>
      <c r="C1917">
        <v>76762740</v>
      </c>
      <c r="D1917">
        <v>82</v>
      </c>
      <c r="E1917">
        <v>30856272</v>
      </c>
      <c r="F1917" t="s">
        <v>1191</v>
      </c>
      <c r="G1917" s="1">
        <v>45236</v>
      </c>
      <c r="H1917">
        <v>5413586</v>
      </c>
      <c r="I1917">
        <v>25</v>
      </c>
      <c r="J1917" t="s">
        <v>323</v>
      </c>
      <c r="K1917" t="str">
        <f>IFERROR(IF(AND(VLOOKUP($C1917,Hes!$A:$B, 1, FALSE), $M1917&lt;&gt;" "), "Ingresada", "Falta Ingresar"), " ")</f>
        <v xml:space="preserve"> </v>
      </c>
      <c r="L1917" s="4" t="str">
        <f>IFERROR(VLOOKUP($C1917,Observaciones!$A:$B,2,FALSE)," ")</f>
        <v>ULTIMO DIA, ESPERAR INFORME DE LUCIA, DEBE CUADRAR MONTOS</v>
      </c>
      <c r="M1917" t="s">
        <v>681</v>
      </c>
      <c r="O1917" s="5">
        <v>30856272</v>
      </c>
      <c r="P1917" s="5">
        <v>80760</v>
      </c>
      <c r="Q1917" s="5">
        <v>15344</v>
      </c>
      <c r="R1917" s="5">
        <v>96104</v>
      </c>
    </row>
    <row r="1918" spans="1:18" x14ac:dyDescent="0.25">
      <c r="A1918" t="s">
        <v>3</v>
      </c>
      <c r="B1918" t="s">
        <v>494</v>
      </c>
      <c r="C1918">
        <v>76762740</v>
      </c>
      <c r="D1918">
        <v>82</v>
      </c>
      <c r="E1918">
        <v>30856272</v>
      </c>
      <c r="F1918" t="s">
        <v>1191</v>
      </c>
      <c r="G1918" s="1">
        <v>45236</v>
      </c>
      <c r="H1918">
        <v>5413587</v>
      </c>
      <c r="I1918">
        <v>25</v>
      </c>
      <c r="J1918" t="s">
        <v>323</v>
      </c>
      <c r="K1918" t="str">
        <f>IFERROR(IF(AND(VLOOKUP($C1918,Hes!$A:$B, 1, FALSE), $M1918&lt;&gt;" "), "Ingresada", "Falta Ingresar"), " ")</f>
        <v xml:space="preserve"> </v>
      </c>
      <c r="L1918" s="4" t="str">
        <f>IFERROR(VLOOKUP($C1918,Observaciones!$A:$B,2,FALSE)," ")</f>
        <v>ULTIMO DIA, ESPERAR INFORME DE LUCIA, DEBE CUADRAR MONTOS</v>
      </c>
      <c r="M1918" t="s">
        <v>681</v>
      </c>
      <c r="O1918" s="5">
        <v>30856272</v>
      </c>
      <c r="P1918" s="5">
        <v>9202</v>
      </c>
      <c r="Q1918" s="5">
        <v>1748</v>
      </c>
      <c r="R1918" s="5">
        <v>10950</v>
      </c>
    </row>
    <row r="1919" spans="1:18" x14ac:dyDescent="0.25">
      <c r="A1919" t="s">
        <v>3</v>
      </c>
      <c r="B1919" t="s">
        <v>494</v>
      </c>
      <c r="C1919">
        <v>76762740</v>
      </c>
      <c r="D1919">
        <v>68</v>
      </c>
      <c r="E1919">
        <v>30856920</v>
      </c>
      <c r="F1919" t="s">
        <v>1191</v>
      </c>
      <c r="G1919" s="1">
        <v>45236</v>
      </c>
      <c r="H1919">
        <v>5413712</v>
      </c>
      <c r="I1919">
        <v>25</v>
      </c>
      <c r="J1919" t="s">
        <v>323</v>
      </c>
      <c r="K1919" t="str">
        <f>IFERROR(IF(AND(VLOOKUP($C1919,Hes!$A:$B, 1, FALSE), $M1919&lt;&gt;" "), "Ingresada", "Falta Ingresar"), " ")</f>
        <v xml:space="preserve"> </v>
      </c>
      <c r="L1919" s="4" t="str">
        <f>IFERROR(VLOOKUP($C1919,Observaciones!$A:$B,2,FALSE)," ")</f>
        <v>ULTIMO DIA, ESPERAR INFORME DE LUCIA, DEBE CUADRAR MONTOS</v>
      </c>
      <c r="M1919" t="s">
        <v>681</v>
      </c>
      <c r="O1919" s="5">
        <v>30856920</v>
      </c>
      <c r="P1919" s="5">
        <v>89107</v>
      </c>
      <c r="Q1919" s="5">
        <v>16930</v>
      </c>
      <c r="R1919" s="5">
        <v>106037</v>
      </c>
    </row>
    <row r="1920" spans="1:18" x14ac:dyDescent="0.25">
      <c r="A1920" t="s">
        <v>3</v>
      </c>
      <c r="B1920" t="s">
        <v>494</v>
      </c>
      <c r="C1920">
        <v>76762740</v>
      </c>
      <c r="D1920">
        <v>35</v>
      </c>
      <c r="E1920">
        <v>30857462</v>
      </c>
      <c r="F1920" t="s">
        <v>1191</v>
      </c>
      <c r="G1920" s="1">
        <v>45236</v>
      </c>
      <c r="H1920">
        <v>5413722</v>
      </c>
      <c r="I1920">
        <v>25</v>
      </c>
      <c r="J1920" t="s">
        <v>323</v>
      </c>
      <c r="K1920" t="str">
        <f>IFERROR(IF(AND(VLOOKUP($C1920,Hes!$A:$B, 1, FALSE), $M1920&lt;&gt;" "), "Ingresada", "Falta Ingresar"), " ")</f>
        <v xml:space="preserve"> </v>
      </c>
      <c r="L1920" s="4" t="str">
        <f>IFERROR(VLOOKUP($C1920,Observaciones!$A:$B,2,FALSE)," ")</f>
        <v>ULTIMO DIA, ESPERAR INFORME DE LUCIA, DEBE CUADRAR MONTOS</v>
      </c>
      <c r="M1920" t="s">
        <v>681</v>
      </c>
      <c r="O1920" s="5">
        <v>30857462</v>
      </c>
      <c r="P1920" s="5">
        <v>89927</v>
      </c>
      <c r="Q1920" s="5">
        <v>17086</v>
      </c>
      <c r="R1920" s="5">
        <v>107013</v>
      </c>
    </row>
    <row r="1921" spans="1:18" x14ac:dyDescent="0.25">
      <c r="A1921" t="s">
        <v>3</v>
      </c>
      <c r="B1921" t="s">
        <v>494</v>
      </c>
      <c r="C1921">
        <v>76762740</v>
      </c>
      <c r="D1921">
        <v>88</v>
      </c>
      <c r="E1921">
        <v>30856442</v>
      </c>
      <c r="F1921" t="s">
        <v>1191</v>
      </c>
      <c r="G1921" s="1">
        <v>45236</v>
      </c>
      <c r="H1921">
        <v>5413757</v>
      </c>
      <c r="I1921">
        <v>25</v>
      </c>
      <c r="J1921" t="s">
        <v>323</v>
      </c>
      <c r="K1921" t="str">
        <f>IFERROR(IF(AND(VLOOKUP($C1921,Hes!$A:$B, 1, FALSE), $M1921&lt;&gt;" "), "Ingresada", "Falta Ingresar"), " ")</f>
        <v xml:space="preserve"> </v>
      </c>
      <c r="L1921" s="4" t="str">
        <f>IFERROR(VLOOKUP($C1921,Observaciones!$A:$B,2,FALSE)," ")</f>
        <v>ULTIMO DIA, ESPERAR INFORME DE LUCIA, DEBE CUADRAR MONTOS</v>
      </c>
      <c r="M1921" t="s">
        <v>681</v>
      </c>
      <c r="O1921" s="5">
        <v>30856442</v>
      </c>
      <c r="P1921" s="5">
        <v>89985</v>
      </c>
      <c r="Q1921" s="5">
        <v>17097</v>
      </c>
      <c r="R1921" s="5">
        <v>107082</v>
      </c>
    </row>
    <row r="1922" spans="1:18" x14ac:dyDescent="0.25">
      <c r="A1922" t="s">
        <v>3</v>
      </c>
      <c r="B1922" t="s">
        <v>494</v>
      </c>
      <c r="C1922">
        <v>76762740</v>
      </c>
      <c r="D1922">
        <v>81</v>
      </c>
      <c r="E1922">
        <v>30857620</v>
      </c>
      <c r="F1922" t="s">
        <v>1191</v>
      </c>
      <c r="G1922" s="1">
        <v>45236</v>
      </c>
      <c r="H1922">
        <v>5413764</v>
      </c>
      <c r="I1922">
        <v>25</v>
      </c>
      <c r="J1922" t="s">
        <v>323</v>
      </c>
      <c r="K1922" t="str">
        <f>IFERROR(IF(AND(VLOOKUP($C1922,Hes!$A:$B, 1, FALSE), $M1922&lt;&gt;" "), "Ingresada", "Falta Ingresar"), " ")</f>
        <v xml:space="preserve"> </v>
      </c>
      <c r="L1922" s="4" t="str">
        <f>IFERROR(VLOOKUP($C1922,Observaciones!$A:$B,2,FALSE)," ")</f>
        <v>ULTIMO DIA, ESPERAR INFORME DE LUCIA, DEBE CUADRAR MONTOS</v>
      </c>
      <c r="M1922" t="s">
        <v>681</v>
      </c>
      <c r="O1922" s="5">
        <v>30857620</v>
      </c>
      <c r="P1922" s="5">
        <v>89940</v>
      </c>
      <c r="Q1922" s="5">
        <v>17089</v>
      </c>
      <c r="R1922" s="5">
        <v>107029</v>
      </c>
    </row>
    <row r="1923" spans="1:18" x14ac:dyDescent="0.25">
      <c r="A1923" t="s">
        <v>3</v>
      </c>
      <c r="B1923" t="s">
        <v>494</v>
      </c>
      <c r="C1923">
        <v>76762740</v>
      </c>
      <c r="D1923">
        <v>56</v>
      </c>
      <c r="E1923">
        <v>30853646</v>
      </c>
      <c r="F1923" t="s">
        <v>1191</v>
      </c>
      <c r="G1923" s="1">
        <v>45236</v>
      </c>
      <c r="H1923">
        <v>5413772</v>
      </c>
      <c r="I1923">
        <v>25</v>
      </c>
      <c r="J1923" t="s">
        <v>323</v>
      </c>
      <c r="K1923" t="str">
        <f>IFERROR(IF(AND(VLOOKUP($C1923,Hes!$A:$B, 1, FALSE), $M1923&lt;&gt;" "), "Ingresada", "Falta Ingresar"), " ")</f>
        <v xml:space="preserve"> </v>
      </c>
      <c r="L1923" s="4" t="str">
        <f>IFERROR(VLOOKUP($C1923,Observaciones!$A:$B,2,FALSE)," ")</f>
        <v>ULTIMO DIA, ESPERAR INFORME DE LUCIA, DEBE CUADRAR MONTOS</v>
      </c>
      <c r="M1923" t="s">
        <v>681</v>
      </c>
      <c r="O1923" s="5">
        <v>30853646</v>
      </c>
      <c r="P1923" s="5">
        <v>89715</v>
      </c>
      <c r="Q1923" s="5">
        <v>17046</v>
      </c>
      <c r="R1923" s="5">
        <v>106761</v>
      </c>
    </row>
    <row r="1924" spans="1:18" x14ac:dyDescent="0.25">
      <c r="A1924" t="s">
        <v>3</v>
      </c>
      <c r="B1924" t="s">
        <v>494</v>
      </c>
      <c r="C1924">
        <v>76762740</v>
      </c>
      <c r="D1924">
        <v>4</v>
      </c>
      <c r="E1924">
        <v>30857455</v>
      </c>
      <c r="F1924" t="s">
        <v>1191</v>
      </c>
      <c r="G1924" s="1">
        <v>45236</v>
      </c>
      <c r="H1924">
        <v>5413806</v>
      </c>
      <c r="I1924">
        <v>25</v>
      </c>
      <c r="J1924" t="s">
        <v>323</v>
      </c>
      <c r="K1924" t="str">
        <f>IFERROR(IF(AND(VLOOKUP($C1924,Hes!$A:$B, 1, FALSE), $M1924&lt;&gt;" "), "Ingresada", "Falta Ingresar"), " ")</f>
        <v xml:space="preserve"> </v>
      </c>
      <c r="L1924" s="4" t="str">
        <f>IFERROR(VLOOKUP($C1924,Observaciones!$A:$B,2,FALSE)," ")</f>
        <v>ULTIMO DIA, ESPERAR INFORME DE LUCIA, DEBE CUADRAR MONTOS</v>
      </c>
      <c r="M1924" t="s">
        <v>681</v>
      </c>
      <c r="O1924" s="5">
        <v>30857455</v>
      </c>
      <c r="P1924" s="5">
        <v>89991</v>
      </c>
      <c r="Q1924" s="5">
        <v>17098</v>
      </c>
      <c r="R1924" s="5">
        <v>107089</v>
      </c>
    </row>
    <row r="1925" spans="1:18" x14ac:dyDescent="0.25">
      <c r="A1925" t="s">
        <v>3</v>
      </c>
      <c r="B1925" t="s">
        <v>494</v>
      </c>
      <c r="C1925">
        <v>76762740</v>
      </c>
      <c r="D1925">
        <v>12</v>
      </c>
      <c r="E1925">
        <v>30856918</v>
      </c>
      <c r="F1925" t="s">
        <v>1191</v>
      </c>
      <c r="G1925" s="1">
        <v>45236</v>
      </c>
      <c r="H1925">
        <v>5413807</v>
      </c>
      <c r="I1925">
        <v>25</v>
      </c>
      <c r="J1925" t="s">
        <v>323</v>
      </c>
      <c r="K1925" t="str">
        <f>IFERROR(IF(AND(VLOOKUP($C1925,Hes!$A:$B, 1, FALSE), $M1925&lt;&gt;" "), "Ingresada", "Falta Ingresar"), " ")</f>
        <v xml:space="preserve"> </v>
      </c>
      <c r="L1925" s="4" t="str">
        <f>IFERROR(VLOOKUP($C1925,Observaciones!$A:$B,2,FALSE)," ")</f>
        <v>ULTIMO DIA, ESPERAR INFORME DE LUCIA, DEBE CUADRAR MONTOS</v>
      </c>
      <c r="M1925" t="s">
        <v>681</v>
      </c>
      <c r="O1925" s="5">
        <v>30856918</v>
      </c>
      <c r="P1925" s="5">
        <v>75618</v>
      </c>
      <c r="Q1925" s="5">
        <v>14367</v>
      </c>
      <c r="R1925" s="5">
        <v>89985</v>
      </c>
    </row>
    <row r="1926" spans="1:18" x14ac:dyDescent="0.25">
      <c r="A1926" t="s">
        <v>3</v>
      </c>
      <c r="B1926" t="s">
        <v>494</v>
      </c>
      <c r="C1926">
        <v>76762740</v>
      </c>
      <c r="D1926">
        <v>55</v>
      </c>
      <c r="E1926">
        <v>30857452</v>
      </c>
      <c r="F1926" t="s">
        <v>1191</v>
      </c>
      <c r="G1926" s="1">
        <v>45236</v>
      </c>
      <c r="H1926">
        <v>5413889</v>
      </c>
      <c r="I1926">
        <v>25</v>
      </c>
      <c r="J1926" t="s">
        <v>323</v>
      </c>
      <c r="K1926" t="str">
        <f>IFERROR(IF(AND(VLOOKUP($C1926,Hes!$A:$B, 1, FALSE), $M1926&lt;&gt;" "), "Ingresada", "Falta Ingresar"), " ")</f>
        <v xml:space="preserve"> </v>
      </c>
      <c r="L1926" s="4" t="str">
        <f>IFERROR(VLOOKUP($C1926,Observaciones!$A:$B,2,FALSE)," ")</f>
        <v>ULTIMO DIA, ESPERAR INFORME DE LUCIA, DEBE CUADRAR MONTOS</v>
      </c>
      <c r="M1926" t="s">
        <v>681</v>
      </c>
      <c r="O1926" s="5">
        <v>30857452</v>
      </c>
      <c r="P1926" s="5">
        <v>89932</v>
      </c>
      <c r="Q1926" s="5">
        <v>17087</v>
      </c>
      <c r="R1926" s="5">
        <v>107019</v>
      </c>
    </row>
    <row r="1927" spans="1:18" x14ac:dyDescent="0.25">
      <c r="A1927" t="s">
        <v>3</v>
      </c>
      <c r="B1927" t="s">
        <v>494</v>
      </c>
      <c r="C1927">
        <v>76762740</v>
      </c>
      <c r="D1927">
        <v>36</v>
      </c>
      <c r="E1927">
        <v>30854712</v>
      </c>
      <c r="F1927" t="s">
        <v>1191</v>
      </c>
      <c r="G1927" s="1">
        <v>45237</v>
      </c>
      <c r="H1927">
        <v>5413936</v>
      </c>
      <c r="I1927">
        <v>25</v>
      </c>
      <c r="J1927" t="s">
        <v>323</v>
      </c>
      <c r="K1927" t="str">
        <f>IFERROR(IF(AND(VLOOKUP($C1927,Hes!$A:$B, 1, FALSE), $M1927&lt;&gt;" "), "Ingresada", "Falta Ingresar"), " ")</f>
        <v xml:space="preserve"> </v>
      </c>
      <c r="L1927" s="4" t="str">
        <f>IFERROR(VLOOKUP($C1927,Observaciones!$A:$B,2,FALSE)," ")</f>
        <v>ULTIMO DIA, ESPERAR INFORME DE LUCIA, DEBE CUADRAR MONTOS</v>
      </c>
      <c r="M1927" t="s">
        <v>681</v>
      </c>
      <c r="O1927" s="5">
        <v>30854712</v>
      </c>
      <c r="P1927" s="5">
        <v>69633</v>
      </c>
      <c r="Q1927" s="5">
        <v>13230</v>
      </c>
      <c r="R1927" s="5">
        <v>82863</v>
      </c>
    </row>
    <row r="1928" spans="1:18" x14ac:dyDescent="0.25">
      <c r="A1928" t="s">
        <v>3</v>
      </c>
      <c r="B1928" t="s">
        <v>494</v>
      </c>
      <c r="C1928">
        <v>76762740</v>
      </c>
      <c r="D1928">
        <v>72</v>
      </c>
      <c r="E1928">
        <v>30859784</v>
      </c>
      <c r="F1928" t="s">
        <v>1191</v>
      </c>
      <c r="G1928" s="1">
        <v>45237</v>
      </c>
      <c r="H1928">
        <v>5414173</v>
      </c>
      <c r="I1928">
        <v>25</v>
      </c>
      <c r="J1928" t="s">
        <v>323</v>
      </c>
      <c r="K1928" t="str">
        <f>IFERROR(IF(AND(VLOOKUP($C1928,Hes!$A:$B, 1, FALSE), $M1928&lt;&gt;" "), "Ingresada", "Falta Ingresar"), " ")</f>
        <v xml:space="preserve"> </v>
      </c>
      <c r="L1928" s="4" t="str">
        <f>IFERROR(VLOOKUP($C1928,Observaciones!$A:$B,2,FALSE)," ")</f>
        <v>ULTIMO DIA, ESPERAR INFORME DE LUCIA, DEBE CUADRAR MONTOS</v>
      </c>
      <c r="M1928" t="s">
        <v>681</v>
      </c>
      <c r="O1928" s="5">
        <v>30859784</v>
      </c>
      <c r="P1928" s="5">
        <v>99971</v>
      </c>
      <c r="Q1928" s="5">
        <v>18994</v>
      </c>
      <c r="R1928" s="5">
        <v>118965</v>
      </c>
    </row>
    <row r="1929" spans="1:18" x14ac:dyDescent="0.25">
      <c r="A1929" t="s">
        <v>3</v>
      </c>
      <c r="B1929" t="s">
        <v>494</v>
      </c>
      <c r="C1929">
        <v>76762740</v>
      </c>
      <c r="D1929">
        <v>33</v>
      </c>
      <c r="E1929">
        <v>30859782</v>
      </c>
      <c r="F1929" t="s">
        <v>1191</v>
      </c>
      <c r="G1929" s="1">
        <v>45237</v>
      </c>
      <c r="H1929">
        <v>5414215</v>
      </c>
      <c r="I1929">
        <v>25</v>
      </c>
      <c r="J1929" t="s">
        <v>323</v>
      </c>
      <c r="K1929" t="str">
        <f>IFERROR(IF(AND(VLOOKUP($C1929,Hes!$A:$B, 1, FALSE), $M1929&lt;&gt;" "), "Ingresada", "Falta Ingresar"), " ")</f>
        <v xml:space="preserve"> </v>
      </c>
      <c r="L1929" s="4" t="str">
        <f>IFERROR(VLOOKUP($C1929,Observaciones!$A:$B,2,FALSE)," ")</f>
        <v>ULTIMO DIA, ESPERAR INFORME DE LUCIA, DEBE CUADRAR MONTOS</v>
      </c>
      <c r="M1929" t="s">
        <v>681</v>
      </c>
      <c r="O1929" s="5">
        <v>30859782</v>
      </c>
      <c r="P1929" s="5">
        <v>88722</v>
      </c>
      <c r="Q1929" s="5">
        <v>16857</v>
      </c>
      <c r="R1929" s="5">
        <v>105579</v>
      </c>
    </row>
    <row r="1930" spans="1:18" x14ac:dyDescent="0.25">
      <c r="A1930" t="s">
        <v>3</v>
      </c>
      <c r="B1930" t="s">
        <v>494</v>
      </c>
      <c r="C1930">
        <v>76762740</v>
      </c>
      <c r="D1930">
        <v>14</v>
      </c>
      <c r="E1930">
        <v>30859789</v>
      </c>
      <c r="F1930" t="s">
        <v>1191</v>
      </c>
      <c r="G1930" s="1">
        <v>45237</v>
      </c>
      <c r="H1930">
        <v>5414303</v>
      </c>
      <c r="I1930">
        <v>25</v>
      </c>
      <c r="J1930" t="s">
        <v>323</v>
      </c>
      <c r="K1930" t="str">
        <f>IFERROR(IF(AND(VLOOKUP($C1930,Hes!$A:$B, 1, FALSE), $M1930&lt;&gt;" "), "Ingresada", "Falta Ingresar"), " ")</f>
        <v xml:space="preserve"> </v>
      </c>
      <c r="L1930" s="4" t="str">
        <f>IFERROR(VLOOKUP($C1930,Observaciones!$A:$B,2,FALSE)," ")</f>
        <v>ULTIMO DIA, ESPERAR INFORME DE LUCIA, DEBE CUADRAR MONTOS</v>
      </c>
      <c r="M1930" t="s">
        <v>681</v>
      </c>
      <c r="O1930" s="5">
        <v>30859789</v>
      </c>
      <c r="P1930" s="5">
        <v>89462</v>
      </c>
      <c r="Q1930" s="5">
        <v>16998</v>
      </c>
      <c r="R1930" s="5">
        <v>106460</v>
      </c>
    </row>
    <row r="1931" spans="1:18" x14ac:dyDescent="0.25">
      <c r="A1931" t="s">
        <v>3</v>
      </c>
      <c r="B1931" t="s">
        <v>494</v>
      </c>
      <c r="C1931">
        <v>76762740</v>
      </c>
      <c r="D1931">
        <v>83</v>
      </c>
      <c r="E1931">
        <v>30859778</v>
      </c>
      <c r="F1931" t="s">
        <v>1191</v>
      </c>
      <c r="G1931" s="1">
        <v>45237</v>
      </c>
      <c r="H1931">
        <v>5414343</v>
      </c>
      <c r="I1931">
        <v>25</v>
      </c>
      <c r="J1931" t="s">
        <v>323</v>
      </c>
      <c r="K1931" t="str">
        <f>IFERROR(IF(AND(VLOOKUP($C1931,Hes!$A:$B, 1, FALSE), $M1931&lt;&gt;" "), "Ingresada", "Falta Ingresar"), " ")</f>
        <v xml:space="preserve"> </v>
      </c>
      <c r="L1931" s="4" t="str">
        <f>IFERROR(VLOOKUP($C1931,Observaciones!$A:$B,2,FALSE)," ")</f>
        <v>ULTIMO DIA, ESPERAR INFORME DE LUCIA, DEBE CUADRAR MONTOS</v>
      </c>
      <c r="M1931" t="s">
        <v>681</v>
      </c>
      <c r="O1931" s="5">
        <v>30859778</v>
      </c>
      <c r="P1931" s="5">
        <v>85063</v>
      </c>
      <c r="Q1931" s="5">
        <v>16162</v>
      </c>
      <c r="R1931" s="5">
        <v>101225</v>
      </c>
    </row>
    <row r="1932" spans="1:18" x14ac:dyDescent="0.25">
      <c r="A1932" t="s">
        <v>3</v>
      </c>
      <c r="B1932" t="s">
        <v>494</v>
      </c>
      <c r="C1932">
        <v>76762740</v>
      </c>
      <c r="D1932">
        <v>44</v>
      </c>
      <c r="E1932">
        <v>30860925</v>
      </c>
      <c r="F1932" t="s">
        <v>1191</v>
      </c>
      <c r="G1932" s="1">
        <v>45237</v>
      </c>
      <c r="H1932">
        <v>5414461</v>
      </c>
      <c r="I1932">
        <v>25</v>
      </c>
      <c r="J1932" t="s">
        <v>323</v>
      </c>
      <c r="K1932" t="str">
        <f>IFERROR(IF(AND(VLOOKUP($C1932,Hes!$A:$B, 1, FALSE), $M1932&lt;&gt;" "), "Ingresada", "Falta Ingresar"), " ")</f>
        <v xml:space="preserve"> </v>
      </c>
      <c r="L1932" s="4" t="str">
        <f>IFERROR(VLOOKUP($C1932,Observaciones!$A:$B,2,FALSE)," ")</f>
        <v>ULTIMO DIA, ESPERAR INFORME DE LUCIA, DEBE CUADRAR MONTOS</v>
      </c>
      <c r="M1932" t="s">
        <v>681</v>
      </c>
      <c r="O1932" s="5">
        <v>30860925</v>
      </c>
      <c r="P1932" s="5">
        <v>75424</v>
      </c>
      <c r="Q1932" s="5">
        <v>14331</v>
      </c>
      <c r="R1932" s="5">
        <v>89755</v>
      </c>
    </row>
    <row r="1933" spans="1:18" x14ac:dyDescent="0.25">
      <c r="A1933" t="s">
        <v>3</v>
      </c>
      <c r="B1933" t="s">
        <v>494</v>
      </c>
      <c r="C1933">
        <v>76762740</v>
      </c>
      <c r="D1933">
        <v>107</v>
      </c>
      <c r="E1933">
        <v>30858355</v>
      </c>
      <c r="F1933" t="s">
        <v>1191</v>
      </c>
      <c r="G1933" s="1">
        <v>45238</v>
      </c>
      <c r="H1933">
        <v>5414536</v>
      </c>
      <c r="I1933">
        <v>25</v>
      </c>
      <c r="J1933" t="s">
        <v>323</v>
      </c>
      <c r="K1933" t="str">
        <f>IFERROR(IF(AND(VLOOKUP($C1933,Hes!$A:$B, 1, FALSE), $M1933&lt;&gt;" "), "Ingresada", "Falta Ingresar"), " ")</f>
        <v xml:space="preserve"> </v>
      </c>
      <c r="L1933" s="4" t="str">
        <f>IFERROR(VLOOKUP($C1933,Observaciones!$A:$B,2,FALSE)," ")</f>
        <v>ULTIMO DIA, ESPERAR INFORME DE LUCIA, DEBE CUADRAR MONTOS</v>
      </c>
      <c r="M1933" t="s">
        <v>681</v>
      </c>
      <c r="O1933" s="5">
        <v>30858355</v>
      </c>
      <c r="P1933" s="5">
        <v>50304</v>
      </c>
      <c r="Q1933" s="5">
        <v>9558</v>
      </c>
      <c r="R1933" s="5">
        <v>59862</v>
      </c>
    </row>
    <row r="1934" spans="1:18" x14ac:dyDescent="0.25">
      <c r="A1934" t="s">
        <v>3</v>
      </c>
      <c r="B1934" t="s">
        <v>494</v>
      </c>
      <c r="C1934">
        <v>76762740</v>
      </c>
      <c r="D1934">
        <v>128</v>
      </c>
      <c r="E1934">
        <v>30861197</v>
      </c>
      <c r="F1934" t="s">
        <v>1191</v>
      </c>
      <c r="G1934" s="1">
        <v>45238</v>
      </c>
      <c r="H1934">
        <v>5414539</v>
      </c>
      <c r="I1934">
        <v>25</v>
      </c>
      <c r="J1934" t="s">
        <v>323</v>
      </c>
      <c r="K1934" t="str">
        <f>IFERROR(IF(AND(VLOOKUP($C1934,Hes!$A:$B, 1, FALSE), $M1934&lt;&gt;" "), "Ingresada", "Falta Ingresar"), " ")</f>
        <v xml:space="preserve"> </v>
      </c>
      <c r="L1934" s="4" t="str">
        <f>IFERROR(VLOOKUP($C1934,Observaciones!$A:$B,2,FALSE)," ")</f>
        <v>ULTIMO DIA, ESPERAR INFORME DE LUCIA, DEBE CUADRAR MONTOS</v>
      </c>
      <c r="M1934" t="s">
        <v>681</v>
      </c>
      <c r="O1934" s="5">
        <v>30861197</v>
      </c>
      <c r="P1934" s="5">
        <v>47850</v>
      </c>
      <c r="Q1934" s="5">
        <v>9092</v>
      </c>
      <c r="R1934" s="5">
        <v>56942</v>
      </c>
    </row>
    <row r="1935" spans="1:18" x14ac:dyDescent="0.25">
      <c r="A1935" t="s">
        <v>3</v>
      </c>
      <c r="B1935" t="s">
        <v>494</v>
      </c>
      <c r="C1935">
        <v>76762740</v>
      </c>
      <c r="D1935">
        <v>122</v>
      </c>
      <c r="E1935">
        <v>30858342</v>
      </c>
      <c r="F1935" t="s">
        <v>1191</v>
      </c>
      <c r="G1935" s="1">
        <v>45238</v>
      </c>
      <c r="H1935">
        <v>5414578</v>
      </c>
      <c r="I1935">
        <v>25</v>
      </c>
      <c r="J1935" t="s">
        <v>323</v>
      </c>
      <c r="K1935" t="str">
        <f>IFERROR(IF(AND(VLOOKUP($C1935,Hes!$A:$B, 1, FALSE), $M1935&lt;&gt;" "), "Ingresada", "Falta Ingresar"), " ")</f>
        <v xml:space="preserve"> </v>
      </c>
      <c r="L1935" s="4" t="str">
        <f>IFERROR(VLOOKUP($C1935,Observaciones!$A:$B,2,FALSE)," ")</f>
        <v>ULTIMO DIA, ESPERAR INFORME DE LUCIA, DEBE CUADRAR MONTOS</v>
      </c>
      <c r="M1935" t="s">
        <v>681</v>
      </c>
      <c r="O1935" s="5">
        <v>30858342</v>
      </c>
      <c r="P1935" s="5">
        <v>47627</v>
      </c>
      <c r="Q1935" s="5">
        <v>9049</v>
      </c>
      <c r="R1935" s="5">
        <v>56676</v>
      </c>
    </row>
    <row r="1936" spans="1:18" x14ac:dyDescent="0.25">
      <c r="A1936" t="s">
        <v>3</v>
      </c>
      <c r="B1936" t="s">
        <v>494</v>
      </c>
      <c r="C1936">
        <v>76762740</v>
      </c>
      <c r="D1936">
        <v>48</v>
      </c>
      <c r="E1936">
        <v>30858319</v>
      </c>
      <c r="F1936" t="s">
        <v>1191</v>
      </c>
      <c r="G1936" s="1">
        <v>45238</v>
      </c>
      <c r="H1936">
        <v>5414590</v>
      </c>
      <c r="I1936">
        <v>25</v>
      </c>
      <c r="J1936" t="s">
        <v>323</v>
      </c>
      <c r="K1936" t="str">
        <f>IFERROR(IF(AND(VLOOKUP($C1936,Hes!$A:$B, 1, FALSE), $M1936&lt;&gt;" "), "Ingresada", "Falta Ingresar"), " ")</f>
        <v xml:space="preserve"> </v>
      </c>
      <c r="L1936" s="4" t="str">
        <f>IFERROR(VLOOKUP($C1936,Observaciones!$A:$B,2,FALSE)," ")</f>
        <v>ULTIMO DIA, ESPERAR INFORME DE LUCIA, DEBE CUADRAR MONTOS</v>
      </c>
      <c r="M1936" t="s">
        <v>681</v>
      </c>
      <c r="O1936" s="5">
        <v>30858319</v>
      </c>
      <c r="P1936" s="5">
        <v>69920</v>
      </c>
      <c r="Q1936" s="5">
        <v>13285</v>
      </c>
      <c r="R1936" s="5">
        <v>83205</v>
      </c>
    </row>
    <row r="1937" spans="1:18" x14ac:dyDescent="0.25">
      <c r="A1937" t="s">
        <v>3</v>
      </c>
      <c r="B1937" t="s">
        <v>494</v>
      </c>
      <c r="C1937">
        <v>76762740</v>
      </c>
      <c r="D1937">
        <v>29</v>
      </c>
      <c r="E1937">
        <v>30858393</v>
      </c>
      <c r="F1937" t="s">
        <v>1191</v>
      </c>
      <c r="G1937" s="1">
        <v>45238</v>
      </c>
      <c r="H1937">
        <v>5414668</v>
      </c>
      <c r="I1937">
        <v>25</v>
      </c>
      <c r="J1937" t="s">
        <v>323</v>
      </c>
      <c r="K1937" t="str">
        <f>IFERROR(IF(AND(VLOOKUP($C1937,Hes!$A:$B, 1, FALSE), $M1937&lt;&gt;" "), "Ingresada", "Falta Ingresar"), " ")</f>
        <v xml:space="preserve"> </v>
      </c>
      <c r="L1937" s="4" t="str">
        <f>IFERROR(VLOOKUP($C1937,Observaciones!$A:$B,2,FALSE)," ")</f>
        <v>ULTIMO DIA, ESPERAR INFORME DE LUCIA, DEBE CUADRAR MONTOS</v>
      </c>
      <c r="M1937" t="s">
        <v>681</v>
      </c>
      <c r="O1937" s="5">
        <v>30858393</v>
      </c>
      <c r="P1937" s="5">
        <v>69945</v>
      </c>
      <c r="Q1937" s="5">
        <v>13290</v>
      </c>
      <c r="R1937" s="5">
        <v>83235</v>
      </c>
    </row>
    <row r="1938" spans="1:18" x14ac:dyDescent="0.25">
      <c r="A1938" t="s">
        <v>3</v>
      </c>
      <c r="B1938" t="s">
        <v>494</v>
      </c>
      <c r="C1938">
        <v>76762740</v>
      </c>
      <c r="D1938">
        <v>115</v>
      </c>
      <c r="E1938">
        <v>30858341</v>
      </c>
      <c r="F1938" t="s">
        <v>1191</v>
      </c>
      <c r="G1938" s="1">
        <v>45238</v>
      </c>
      <c r="H1938">
        <v>5414674</v>
      </c>
      <c r="I1938">
        <v>25</v>
      </c>
      <c r="J1938" t="s">
        <v>323</v>
      </c>
      <c r="K1938" t="str">
        <f>IFERROR(IF(AND(VLOOKUP($C1938,Hes!$A:$B, 1, FALSE), $M1938&lt;&gt;" "), "Ingresada", "Falta Ingresar"), " ")</f>
        <v xml:space="preserve"> </v>
      </c>
      <c r="L1938" s="4" t="str">
        <f>IFERROR(VLOOKUP($C1938,Observaciones!$A:$B,2,FALSE)," ")</f>
        <v>ULTIMO DIA, ESPERAR INFORME DE LUCIA, DEBE CUADRAR MONTOS</v>
      </c>
      <c r="M1938" t="s">
        <v>681</v>
      </c>
      <c r="O1938" s="5">
        <v>30858341</v>
      </c>
      <c r="P1938" s="5">
        <v>59596</v>
      </c>
      <c r="Q1938" s="5">
        <v>11323</v>
      </c>
      <c r="R1938" s="5">
        <v>70919</v>
      </c>
    </row>
    <row r="1939" spans="1:18" x14ac:dyDescent="0.25">
      <c r="A1939" t="s">
        <v>3</v>
      </c>
      <c r="B1939" t="s">
        <v>494</v>
      </c>
      <c r="C1939">
        <v>76762740</v>
      </c>
      <c r="D1939">
        <v>110</v>
      </c>
      <c r="E1939">
        <v>30858340</v>
      </c>
      <c r="F1939" t="s">
        <v>1191</v>
      </c>
      <c r="G1939" s="1">
        <v>45238</v>
      </c>
      <c r="H1939">
        <v>5414707</v>
      </c>
      <c r="I1939">
        <v>25</v>
      </c>
      <c r="J1939" t="s">
        <v>323</v>
      </c>
      <c r="K1939" t="str">
        <f>IFERROR(IF(AND(VLOOKUP($C1939,Hes!$A:$B, 1, FALSE), $M1939&lt;&gt;" "), "Ingresada", "Falta Ingresar"), " ")</f>
        <v xml:space="preserve"> </v>
      </c>
      <c r="L1939" s="4" t="str">
        <f>IFERROR(VLOOKUP($C1939,Observaciones!$A:$B,2,FALSE)," ")</f>
        <v>ULTIMO DIA, ESPERAR INFORME DE LUCIA, DEBE CUADRAR MONTOS</v>
      </c>
      <c r="M1939" t="s">
        <v>681</v>
      </c>
      <c r="O1939" s="5">
        <v>30858340</v>
      </c>
      <c r="P1939" s="5">
        <v>116781</v>
      </c>
      <c r="Q1939" s="5">
        <v>22188</v>
      </c>
      <c r="R1939" s="5">
        <v>138969</v>
      </c>
    </row>
    <row r="1940" spans="1:18" x14ac:dyDescent="0.25">
      <c r="A1940" t="s">
        <v>3</v>
      </c>
      <c r="B1940" t="s">
        <v>494</v>
      </c>
      <c r="C1940">
        <v>76762740</v>
      </c>
      <c r="D1940">
        <v>51</v>
      </c>
      <c r="E1940">
        <v>30858414</v>
      </c>
      <c r="F1940" t="s">
        <v>1191</v>
      </c>
      <c r="G1940" s="1">
        <v>45238</v>
      </c>
      <c r="H1940">
        <v>5414715</v>
      </c>
      <c r="I1940">
        <v>25</v>
      </c>
      <c r="J1940" t="s">
        <v>323</v>
      </c>
      <c r="K1940" t="str">
        <f>IFERROR(IF(AND(VLOOKUP($C1940,Hes!$A:$B, 1, FALSE), $M1940&lt;&gt;" "), "Ingresada", "Falta Ingresar"), " ")</f>
        <v xml:space="preserve"> </v>
      </c>
      <c r="L1940" s="4" t="str">
        <f>IFERROR(VLOOKUP($C1940,Observaciones!$A:$B,2,FALSE)," ")</f>
        <v>ULTIMO DIA, ESPERAR INFORME DE LUCIA, DEBE CUADRAR MONTOS</v>
      </c>
      <c r="M1940" t="s">
        <v>681</v>
      </c>
      <c r="O1940" s="5">
        <v>30858414</v>
      </c>
      <c r="P1940" s="5">
        <v>139866</v>
      </c>
      <c r="Q1940" s="5">
        <v>26575</v>
      </c>
      <c r="R1940" s="5">
        <v>166441</v>
      </c>
    </row>
    <row r="1941" spans="1:18" x14ac:dyDescent="0.25">
      <c r="A1941" t="s">
        <v>3</v>
      </c>
      <c r="B1941" t="s">
        <v>494</v>
      </c>
      <c r="C1941">
        <v>76762740</v>
      </c>
      <c r="D1941">
        <v>129</v>
      </c>
      <c r="E1941">
        <v>30858397</v>
      </c>
      <c r="F1941" t="s">
        <v>1191</v>
      </c>
      <c r="G1941" s="1">
        <v>45237</v>
      </c>
      <c r="H1941">
        <v>5414768</v>
      </c>
      <c r="I1941">
        <v>25</v>
      </c>
      <c r="J1941" t="s">
        <v>323</v>
      </c>
      <c r="K1941" t="str">
        <f>IFERROR(IF(AND(VLOOKUP($C1941,Hes!$A:$B, 1, FALSE), $M1941&lt;&gt;" "), "Ingresada", "Falta Ingresar"), " ")</f>
        <v xml:space="preserve"> </v>
      </c>
      <c r="L1941" s="4" t="str">
        <f>IFERROR(VLOOKUP($C1941,Observaciones!$A:$B,2,FALSE)," ")</f>
        <v>ULTIMO DIA, ESPERAR INFORME DE LUCIA, DEBE CUADRAR MONTOS</v>
      </c>
      <c r="M1941" t="s">
        <v>681</v>
      </c>
      <c r="O1941" s="5">
        <v>30858397</v>
      </c>
      <c r="P1941" s="5">
        <v>69940</v>
      </c>
      <c r="Q1941" s="5">
        <v>13289</v>
      </c>
      <c r="R1941" s="5">
        <v>83229</v>
      </c>
    </row>
    <row r="1942" spans="1:18" x14ac:dyDescent="0.25">
      <c r="A1942" t="s">
        <v>3</v>
      </c>
      <c r="B1942" t="s">
        <v>494</v>
      </c>
      <c r="C1942">
        <v>76762740</v>
      </c>
      <c r="D1942">
        <v>27</v>
      </c>
      <c r="E1942">
        <v>30858404</v>
      </c>
      <c r="F1942" t="s">
        <v>1191</v>
      </c>
      <c r="G1942" s="1">
        <v>45237</v>
      </c>
      <c r="H1942">
        <v>5414782</v>
      </c>
      <c r="I1942">
        <v>25</v>
      </c>
      <c r="J1942" t="s">
        <v>323</v>
      </c>
      <c r="K1942" t="str">
        <f>IFERROR(IF(AND(VLOOKUP($C1942,Hes!$A:$B, 1, FALSE), $M1942&lt;&gt;" "), "Ingresada", "Falta Ingresar"), " ")</f>
        <v xml:space="preserve"> </v>
      </c>
      <c r="L1942" s="4" t="str">
        <f>IFERROR(VLOOKUP($C1942,Observaciones!$A:$B,2,FALSE)," ")</f>
        <v>ULTIMO DIA, ESPERAR INFORME DE LUCIA, DEBE CUADRAR MONTOS</v>
      </c>
      <c r="M1942" t="s">
        <v>681</v>
      </c>
      <c r="O1942" s="5">
        <v>30858404</v>
      </c>
      <c r="P1942" s="5">
        <v>69763</v>
      </c>
      <c r="Q1942" s="5">
        <v>13255</v>
      </c>
      <c r="R1942" s="5">
        <v>83018</v>
      </c>
    </row>
    <row r="1943" spans="1:18" x14ac:dyDescent="0.25">
      <c r="A1943" t="s">
        <v>3</v>
      </c>
      <c r="B1943" t="s">
        <v>494</v>
      </c>
      <c r="C1943">
        <v>76762740</v>
      </c>
      <c r="D1943">
        <v>5</v>
      </c>
      <c r="E1943">
        <v>30858401</v>
      </c>
      <c r="F1943" t="s">
        <v>1191</v>
      </c>
      <c r="G1943" s="1">
        <v>45237</v>
      </c>
      <c r="H1943">
        <v>5414802</v>
      </c>
      <c r="I1943">
        <v>25</v>
      </c>
      <c r="J1943" t="s">
        <v>323</v>
      </c>
      <c r="K1943" t="str">
        <f>IFERROR(IF(AND(VLOOKUP($C1943,Hes!$A:$B, 1, FALSE), $M1943&lt;&gt;" "), "Ingresada", "Falta Ingresar"), " ")</f>
        <v xml:space="preserve"> </v>
      </c>
      <c r="L1943" s="4" t="str">
        <f>IFERROR(VLOOKUP($C1943,Observaciones!$A:$B,2,FALSE)," ")</f>
        <v>ULTIMO DIA, ESPERAR INFORME DE LUCIA, DEBE CUADRAR MONTOS</v>
      </c>
      <c r="M1943" t="s">
        <v>681</v>
      </c>
      <c r="O1943" s="5">
        <v>30858401</v>
      </c>
      <c r="P1943" s="5">
        <v>70189</v>
      </c>
      <c r="Q1943" s="5">
        <v>13336</v>
      </c>
      <c r="R1943" s="5">
        <v>83525</v>
      </c>
    </row>
    <row r="1944" spans="1:18" x14ac:dyDescent="0.25">
      <c r="A1944" t="s">
        <v>3</v>
      </c>
      <c r="B1944" t="s">
        <v>494</v>
      </c>
      <c r="C1944">
        <v>76762740</v>
      </c>
      <c r="D1944">
        <v>15</v>
      </c>
      <c r="E1944">
        <v>30861585</v>
      </c>
      <c r="F1944" t="s">
        <v>1191</v>
      </c>
      <c r="G1944" s="1">
        <v>45238</v>
      </c>
      <c r="H1944">
        <v>5414821</v>
      </c>
      <c r="I1944">
        <v>25</v>
      </c>
      <c r="J1944" t="s">
        <v>323</v>
      </c>
      <c r="K1944" t="str">
        <f>IFERROR(IF(AND(VLOOKUP($C1944,Hes!$A:$B, 1, FALSE), $M1944&lt;&gt;" "), "Ingresada", "Falta Ingresar"), " ")</f>
        <v xml:space="preserve"> </v>
      </c>
      <c r="L1944" s="4" t="str">
        <f>IFERROR(VLOOKUP($C1944,Observaciones!$A:$B,2,FALSE)," ")</f>
        <v>ULTIMO DIA, ESPERAR INFORME DE LUCIA, DEBE CUADRAR MONTOS</v>
      </c>
      <c r="M1944" t="s">
        <v>681</v>
      </c>
      <c r="O1944" s="5">
        <v>30861585</v>
      </c>
      <c r="P1944" s="5">
        <v>69886</v>
      </c>
      <c r="Q1944" s="5">
        <v>13278</v>
      </c>
      <c r="R1944" s="5">
        <v>83164</v>
      </c>
    </row>
    <row r="1945" spans="1:18" x14ac:dyDescent="0.25">
      <c r="A1945" t="s">
        <v>3</v>
      </c>
      <c r="B1945" t="s">
        <v>494</v>
      </c>
      <c r="C1945">
        <v>76762740</v>
      </c>
      <c r="D1945">
        <v>31</v>
      </c>
      <c r="E1945">
        <v>30858406</v>
      </c>
      <c r="F1945" t="s">
        <v>1191</v>
      </c>
      <c r="G1945" s="1">
        <v>45238</v>
      </c>
      <c r="H1945">
        <v>5414857</v>
      </c>
      <c r="I1945">
        <v>25</v>
      </c>
      <c r="J1945" t="s">
        <v>323</v>
      </c>
      <c r="K1945" t="str">
        <f>IFERROR(IF(AND(VLOOKUP($C1945,Hes!$A:$B, 1, FALSE), $M1945&lt;&gt;" "), "Ingresada", "Falta Ingresar"), " ")</f>
        <v xml:space="preserve"> </v>
      </c>
      <c r="L1945" s="4" t="str">
        <f>IFERROR(VLOOKUP($C1945,Observaciones!$A:$B,2,FALSE)," ")</f>
        <v>ULTIMO DIA, ESPERAR INFORME DE LUCIA, DEBE CUADRAR MONTOS</v>
      </c>
      <c r="M1945" t="s">
        <v>681</v>
      </c>
      <c r="O1945" s="5">
        <v>30858406</v>
      </c>
      <c r="P1945" s="5">
        <v>69852</v>
      </c>
      <c r="Q1945" s="5">
        <v>13272</v>
      </c>
      <c r="R1945" s="5">
        <v>83124</v>
      </c>
    </row>
    <row r="1946" spans="1:18" x14ac:dyDescent="0.25">
      <c r="A1946" t="s">
        <v>3</v>
      </c>
      <c r="B1946" t="s">
        <v>494</v>
      </c>
      <c r="C1946">
        <v>76762740</v>
      </c>
      <c r="D1946">
        <v>18</v>
      </c>
      <c r="E1946">
        <v>30858399</v>
      </c>
      <c r="F1946" t="s">
        <v>1191</v>
      </c>
      <c r="G1946" s="1">
        <v>45238</v>
      </c>
      <c r="H1946">
        <v>5414867</v>
      </c>
      <c r="I1946">
        <v>25</v>
      </c>
      <c r="J1946" t="s">
        <v>323</v>
      </c>
      <c r="K1946" t="str">
        <f>IFERROR(IF(AND(VLOOKUP($C1946,Hes!$A:$B, 1, FALSE), $M1946&lt;&gt;" "), "Ingresada", "Falta Ingresar"), " ")</f>
        <v xml:space="preserve"> </v>
      </c>
      <c r="L1946" s="4" t="str">
        <f>IFERROR(VLOOKUP($C1946,Observaciones!$A:$B,2,FALSE)," ")</f>
        <v>ULTIMO DIA, ESPERAR INFORME DE LUCIA, DEBE CUADRAR MONTOS</v>
      </c>
      <c r="M1946" t="s">
        <v>681</v>
      </c>
      <c r="O1946" s="5">
        <v>30858399</v>
      </c>
      <c r="P1946" s="5">
        <v>69978</v>
      </c>
      <c r="Q1946" s="5">
        <v>13296</v>
      </c>
      <c r="R1946" s="5">
        <v>83274</v>
      </c>
    </row>
    <row r="1947" spans="1:18" x14ac:dyDescent="0.25">
      <c r="A1947" t="s">
        <v>3</v>
      </c>
      <c r="B1947" t="s">
        <v>494</v>
      </c>
      <c r="C1947">
        <v>76762740</v>
      </c>
      <c r="D1947">
        <v>119</v>
      </c>
      <c r="E1947">
        <v>30859793</v>
      </c>
      <c r="F1947" t="s">
        <v>1191</v>
      </c>
      <c r="G1947" s="1">
        <v>45238</v>
      </c>
      <c r="H1947">
        <v>5414924</v>
      </c>
      <c r="I1947">
        <v>25</v>
      </c>
      <c r="J1947" t="s">
        <v>323</v>
      </c>
      <c r="K1947" t="str">
        <f>IFERROR(IF(AND(VLOOKUP($C1947,Hes!$A:$B, 1, FALSE), $M1947&lt;&gt;" "), "Ingresada", "Falta Ingresar"), " ")</f>
        <v xml:space="preserve"> </v>
      </c>
      <c r="L1947" s="4" t="str">
        <f>IFERROR(VLOOKUP($C1947,Observaciones!$A:$B,2,FALSE)," ")</f>
        <v>ULTIMO DIA, ESPERAR INFORME DE LUCIA, DEBE CUADRAR MONTOS</v>
      </c>
      <c r="M1947" t="s">
        <v>681</v>
      </c>
      <c r="O1947" s="5">
        <v>30859793</v>
      </c>
      <c r="P1947" s="5">
        <v>80534</v>
      </c>
      <c r="Q1947" s="5">
        <v>15301</v>
      </c>
      <c r="R1947" s="5">
        <v>95835</v>
      </c>
    </row>
    <row r="1948" spans="1:18" x14ac:dyDescent="0.25">
      <c r="A1948" t="s">
        <v>3</v>
      </c>
      <c r="B1948" t="s">
        <v>494</v>
      </c>
      <c r="C1948">
        <v>76762740</v>
      </c>
      <c r="D1948">
        <v>103</v>
      </c>
      <c r="E1948">
        <v>30861210</v>
      </c>
      <c r="F1948" t="s">
        <v>1191</v>
      </c>
      <c r="G1948" s="1">
        <v>45238</v>
      </c>
      <c r="H1948">
        <v>5414940</v>
      </c>
      <c r="I1948">
        <v>25</v>
      </c>
      <c r="J1948" t="s">
        <v>323</v>
      </c>
      <c r="K1948" t="str">
        <f>IFERROR(IF(AND(VLOOKUP($C1948,Hes!$A:$B, 1, FALSE), $M1948&lt;&gt;" "), "Ingresada", "Falta Ingresar"), " ")</f>
        <v xml:space="preserve"> </v>
      </c>
      <c r="L1948" s="4" t="str">
        <f>IFERROR(VLOOKUP($C1948,Observaciones!$A:$B,2,FALSE)," ")</f>
        <v>ULTIMO DIA, ESPERAR INFORME DE LUCIA, DEBE CUADRAR MONTOS</v>
      </c>
      <c r="M1948" t="s">
        <v>681</v>
      </c>
      <c r="O1948" s="5">
        <v>30861210</v>
      </c>
      <c r="P1948" s="5">
        <v>89985</v>
      </c>
      <c r="Q1948" s="5">
        <v>17097</v>
      </c>
      <c r="R1948" s="5">
        <v>107082</v>
      </c>
    </row>
    <row r="1949" spans="1:18" x14ac:dyDescent="0.25">
      <c r="A1949" t="s">
        <v>3</v>
      </c>
      <c r="B1949" t="s">
        <v>494</v>
      </c>
      <c r="C1949">
        <v>76762740</v>
      </c>
      <c r="D1949">
        <v>61</v>
      </c>
      <c r="E1949">
        <v>30858403</v>
      </c>
      <c r="F1949" t="s">
        <v>1191</v>
      </c>
      <c r="G1949" s="1">
        <v>45238</v>
      </c>
      <c r="H1949">
        <v>5415140</v>
      </c>
      <c r="I1949">
        <v>25</v>
      </c>
      <c r="J1949" t="s">
        <v>323</v>
      </c>
      <c r="K1949" t="str">
        <f>IFERROR(IF(AND(VLOOKUP($C1949,Hes!$A:$B, 1, FALSE), $M1949&lt;&gt;" "), "Ingresada", "Falta Ingresar"), " ")</f>
        <v xml:space="preserve"> </v>
      </c>
      <c r="L1949" s="4" t="str">
        <f>IFERROR(VLOOKUP($C1949,Observaciones!$A:$B,2,FALSE)," ")</f>
        <v>ULTIMO DIA, ESPERAR INFORME DE LUCIA, DEBE CUADRAR MONTOS</v>
      </c>
      <c r="M1949" t="s">
        <v>681</v>
      </c>
      <c r="O1949" s="5">
        <v>30858403</v>
      </c>
      <c r="P1949" s="5">
        <v>69947</v>
      </c>
      <c r="Q1949" s="5">
        <v>13290</v>
      </c>
      <c r="R1949" s="5">
        <v>83237</v>
      </c>
    </row>
    <row r="1950" spans="1:18" x14ac:dyDescent="0.25">
      <c r="A1950" t="s">
        <v>3</v>
      </c>
      <c r="B1950" t="s">
        <v>494</v>
      </c>
      <c r="C1950">
        <v>76762740</v>
      </c>
      <c r="D1950">
        <v>54</v>
      </c>
      <c r="E1950">
        <v>30861134</v>
      </c>
      <c r="F1950" t="s">
        <v>1191</v>
      </c>
      <c r="G1950" s="1">
        <v>45238</v>
      </c>
      <c r="H1950">
        <v>5415143</v>
      </c>
      <c r="I1950">
        <v>25</v>
      </c>
      <c r="J1950" t="s">
        <v>323</v>
      </c>
      <c r="K1950" t="str">
        <f>IFERROR(IF(AND(VLOOKUP($C1950,Hes!$A:$B, 1, FALSE), $M1950&lt;&gt;" "), "Ingresada", "Falta Ingresar"), " ")</f>
        <v xml:space="preserve"> </v>
      </c>
      <c r="L1950" s="4" t="str">
        <f>IFERROR(VLOOKUP($C1950,Observaciones!$A:$B,2,FALSE)," ")</f>
        <v>ULTIMO DIA, ESPERAR INFORME DE LUCIA, DEBE CUADRAR MONTOS</v>
      </c>
      <c r="M1950" t="s">
        <v>681</v>
      </c>
      <c r="O1950" s="5">
        <v>30861134</v>
      </c>
      <c r="P1950" s="5">
        <v>69976</v>
      </c>
      <c r="Q1950" s="5">
        <v>13295</v>
      </c>
      <c r="R1950" s="5">
        <v>83271</v>
      </c>
    </row>
    <row r="1951" spans="1:18" x14ac:dyDescent="0.25">
      <c r="A1951" t="s">
        <v>3</v>
      </c>
      <c r="B1951" t="s">
        <v>494</v>
      </c>
      <c r="C1951">
        <v>76762740</v>
      </c>
      <c r="D1951">
        <v>1</v>
      </c>
      <c r="E1951">
        <v>30861362</v>
      </c>
      <c r="F1951" t="s">
        <v>1191</v>
      </c>
      <c r="G1951" s="1">
        <v>45238</v>
      </c>
      <c r="H1951">
        <v>5415436</v>
      </c>
      <c r="I1951">
        <v>25</v>
      </c>
      <c r="J1951" t="s">
        <v>323</v>
      </c>
      <c r="K1951" t="str">
        <f>IFERROR(IF(AND(VLOOKUP($C1951,Hes!$A:$B, 1, FALSE), $M1951&lt;&gt;" "), "Ingresada", "Falta Ingresar"), " ")</f>
        <v xml:space="preserve"> </v>
      </c>
      <c r="L1951" s="4" t="str">
        <f>IFERROR(VLOOKUP($C1951,Observaciones!$A:$B,2,FALSE)," ")</f>
        <v>ULTIMO DIA, ESPERAR INFORME DE LUCIA, DEBE CUADRAR MONTOS</v>
      </c>
      <c r="M1951" t="s">
        <v>681</v>
      </c>
      <c r="O1951" s="5">
        <v>30861362</v>
      </c>
      <c r="P1951" s="5">
        <v>76483</v>
      </c>
      <c r="Q1951" s="5">
        <v>14532</v>
      </c>
      <c r="R1951" s="5">
        <v>91015</v>
      </c>
    </row>
    <row r="1952" spans="1:18" x14ac:dyDescent="0.25">
      <c r="A1952" t="s">
        <v>3</v>
      </c>
      <c r="B1952" t="s">
        <v>494</v>
      </c>
      <c r="C1952">
        <v>76762740</v>
      </c>
      <c r="D1952">
        <v>47</v>
      </c>
      <c r="E1952">
        <v>30861137</v>
      </c>
      <c r="F1952" t="s">
        <v>1191</v>
      </c>
      <c r="G1952" s="1">
        <v>45238</v>
      </c>
      <c r="H1952">
        <v>5415723</v>
      </c>
      <c r="I1952">
        <v>25</v>
      </c>
      <c r="J1952" t="s">
        <v>323</v>
      </c>
      <c r="K1952" t="str">
        <f>IFERROR(IF(AND(VLOOKUP($C1952,Hes!$A:$B, 1, FALSE), $M1952&lt;&gt;" "), "Ingresada", "Falta Ingresar"), " ")</f>
        <v xml:space="preserve"> </v>
      </c>
      <c r="L1952" s="4" t="str">
        <f>IFERROR(VLOOKUP($C1952,Observaciones!$A:$B,2,FALSE)," ")</f>
        <v>ULTIMO DIA, ESPERAR INFORME DE LUCIA, DEBE CUADRAR MONTOS</v>
      </c>
      <c r="M1952" t="s">
        <v>681</v>
      </c>
      <c r="O1952" s="5">
        <v>30861137</v>
      </c>
      <c r="P1952" s="5">
        <v>69984</v>
      </c>
      <c r="Q1952" s="5">
        <v>13297</v>
      </c>
      <c r="R1952" s="5">
        <v>83281</v>
      </c>
    </row>
    <row r="1953" spans="1:18" x14ac:dyDescent="0.25">
      <c r="F1953" t="s">
        <v>1192</v>
      </c>
      <c r="K1953" t="str">
        <f>IFERROR(IF(AND(VLOOKUP($C1953,Hes!$A:$B, 1, FALSE), $M1953&lt;&gt;" "), "Ingresada", "Falta Ingresar"), " ")</f>
        <v xml:space="preserve"> </v>
      </c>
      <c r="L1953" s="4" t="str">
        <f>IFERROR(VLOOKUP($C1953,Observaciones!$A:$B,2,FALSE)," ")</f>
        <v xml:space="preserve"> </v>
      </c>
      <c r="M1953" t="s">
        <v>681</v>
      </c>
      <c r="P1953" s="5">
        <v>3946276</v>
      </c>
      <c r="Q1953" s="5">
        <v>749792</v>
      </c>
      <c r="R1953" s="5">
        <v>4696068</v>
      </c>
    </row>
    <row r="1954" spans="1:18" x14ac:dyDescent="0.25">
      <c r="A1954" t="s">
        <v>513</v>
      </c>
      <c r="B1954" t="s">
        <v>509</v>
      </c>
      <c r="C1954">
        <v>76788080</v>
      </c>
      <c r="D1954">
        <v>1</v>
      </c>
      <c r="E1954">
        <v>30861561</v>
      </c>
      <c r="F1954" t="s">
        <v>1193</v>
      </c>
      <c r="G1954" s="1">
        <v>45238</v>
      </c>
      <c r="H1954">
        <v>5414823</v>
      </c>
      <c r="I1954">
        <v>71</v>
      </c>
      <c r="J1954" t="s">
        <v>250</v>
      </c>
      <c r="K1954" t="str">
        <f>IFERROR(IF(AND(VLOOKUP($C1954,Hes!$A:$B, 1, FALSE), $M1954&lt;&gt;" "), "Ingresada", "Falta Ingresar"), " ")</f>
        <v xml:space="preserve"> </v>
      </c>
      <c r="L1954" s="4" t="s">
        <v>681</v>
      </c>
      <c r="M1954" t="s">
        <v>681</v>
      </c>
      <c r="O1954" s="5">
        <v>30861561</v>
      </c>
      <c r="P1954" s="5">
        <v>58558</v>
      </c>
      <c r="Q1954" s="5">
        <v>11126</v>
      </c>
      <c r="R1954" s="5">
        <v>69684</v>
      </c>
    </row>
    <row r="1955" spans="1:18" x14ac:dyDescent="0.25">
      <c r="F1955" t="s">
        <v>495</v>
      </c>
      <c r="K1955" t="str">
        <f>IFERROR(IF(AND(VLOOKUP($C1955,Hes!$A:$B, 1, FALSE), $M1955&lt;&gt;" "), "Ingresada", "Falta Ingresar"), " ")</f>
        <v xml:space="preserve"> </v>
      </c>
      <c r="L1955" s="4" t="str">
        <f>IFERROR(VLOOKUP($C1955,Observaciones!$A:$B,2,FALSE)," ")</f>
        <v xml:space="preserve"> </v>
      </c>
      <c r="M1955" t="s">
        <v>681</v>
      </c>
      <c r="P1955" s="5">
        <v>58558</v>
      </c>
      <c r="Q1955" s="5">
        <v>11126</v>
      </c>
      <c r="R1955" s="5">
        <v>69684</v>
      </c>
    </row>
    <row r="1956" spans="1:18" x14ac:dyDescent="0.25">
      <c r="A1956" t="s">
        <v>496</v>
      </c>
      <c r="B1956" t="s">
        <v>494</v>
      </c>
      <c r="C1956">
        <v>76792609</v>
      </c>
      <c r="D1956">
        <v>0</v>
      </c>
      <c r="E1956">
        <v>30845649</v>
      </c>
      <c r="F1956" t="s">
        <v>1194</v>
      </c>
      <c r="G1956" s="1">
        <v>45234</v>
      </c>
      <c r="H1956">
        <v>5411851</v>
      </c>
      <c r="I1956">
        <v>424</v>
      </c>
      <c r="J1956" t="s">
        <v>146</v>
      </c>
      <c r="K1956" t="str">
        <f>IFERROR(IF(AND(VLOOKUP($C1956,Hes!$A:$B, 1, FALSE), $M1956&lt;&gt;" "), "Ingresada", "Falta Ingresar"), " ")</f>
        <v xml:space="preserve"> </v>
      </c>
      <c r="L1956" s="4" t="str">
        <f>IFERROR(VLOOKUP($C1956,Observaciones!$A:$B,2,FALSE)," ")</f>
        <v xml:space="preserve"> </v>
      </c>
      <c r="M1956" t="s">
        <v>681</v>
      </c>
      <c r="O1956" s="5">
        <v>30845649</v>
      </c>
      <c r="P1956" s="5">
        <v>164115</v>
      </c>
      <c r="Q1956" s="5">
        <v>31182</v>
      </c>
      <c r="R1956" s="5">
        <v>195297</v>
      </c>
    </row>
    <row r="1957" spans="1:18" x14ac:dyDescent="0.25">
      <c r="A1957" t="s">
        <v>496</v>
      </c>
      <c r="B1957" t="s">
        <v>494</v>
      </c>
      <c r="C1957">
        <v>76792609</v>
      </c>
      <c r="D1957">
        <v>0</v>
      </c>
      <c r="E1957">
        <v>642</v>
      </c>
      <c r="F1957" t="s">
        <v>1194</v>
      </c>
      <c r="G1957" s="1">
        <v>45234</v>
      </c>
      <c r="H1957">
        <v>5412960</v>
      </c>
      <c r="I1957">
        <v>424</v>
      </c>
      <c r="J1957" t="s">
        <v>146</v>
      </c>
      <c r="K1957" t="str">
        <f>IFERROR(IF(AND(VLOOKUP($C1957,Hes!$A:$B, 1, FALSE), $M1957&lt;&gt;" "), "Ingresada", "Falta Ingresar"), " ")</f>
        <v xml:space="preserve"> </v>
      </c>
      <c r="L1957" s="4" t="str">
        <f>IFERROR(VLOOKUP($C1957,Observaciones!$A:$B,2,FALSE)," ")</f>
        <v xml:space="preserve"> </v>
      </c>
      <c r="M1957" t="s">
        <v>681</v>
      </c>
      <c r="O1957" s="5">
        <v>30852556</v>
      </c>
      <c r="P1957" s="5">
        <v>952836</v>
      </c>
      <c r="Q1957" s="5">
        <v>181039</v>
      </c>
      <c r="R1957" s="5">
        <v>1133875</v>
      </c>
    </row>
    <row r="1958" spans="1:18" x14ac:dyDescent="0.25">
      <c r="F1958" t="s">
        <v>497</v>
      </c>
      <c r="K1958" t="str">
        <f>IFERROR(IF(AND(VLOOKUP($C1958,Hes!$A:$B, 1, FALSE), $M1958&lt;&gt;" "), "Ingresada", "Falta Ingresar"), " ")</f>
        <v xml:space="preserve"> </v>
      </c>
      <c r="L1958" s="4" t="str">
        <f>IFERROR(VLOOKUP($C1958,Observaciones!$A:$B,2,FALSE)," ")</f>
        <v xml:space="preserve"> </v>
      </c>
      <c r="M1958" t="s">
        <v>681</v>
      </c>
      <c r="P1958" s="5">
        <v>1116951</v>
      </c>
      <c r="Q1958" s="5">
        <v>212221</v>
      </c>
      <c r="R1958" s="5">
        <v>1329172</v>
      </c>
    </row>
    <row r="1959" spans="1:18" x14ac:dyDescent="0.25">
      <c r="A1959" t="s">
        <v>496</v>
      </c>
      <c r="B1959" t="s">
        <v>494</v>
      </c>
      <c r="C1959">
        <v>76807664</v>
      </c>
      <c r="D1959">
        <v>3</v>
      </c>
      <c r="E1959" t="s">
        <v>1195</v>
      </c>
      <c r="F1959" t="s">
        <v>1196</v>
      </c>
      <c r="G1959" s="1">
        <v>45238</v>
      </c>
      <c r="H1959">
        <v>5414710</v>
      </c>
      <c r="I1959">
        <v>349</v>
      </c>
      <c r="J1959" t="s">
        <v>364</v>
      </c>
      <c r="K1959" t="str">
        <f>IFERROR(IF(AND(VLOOKUP($C1959,Hes!$A:$B, 1, FALSE), $M1959&lt;&gt;" "), "Ingresada", "Falta Ingresar"), " ")</f>
        <v xml:space="preserve"> </v>
      </c>
      <c r="L1959" s="4" t="str">
        <f>IFERROR(VLOOKUP($C1959,Observaciones!$A:$B,2,FALSE)," ")</f>
        <v xml:space="preserve"> </v>
      </c>
      <c r="M1959" t="s">
        <v>681</v>
      </c>
      <c r="O1959" s="5">
        <v>30850109</v>
      </c>
      <c r="P1959" s="5">
        <v>274154</v>
      </c>
      <c r="Q1959" s="5">
        <v>52089</v>
      </c>
      <c r="R1959" s="5">
        <v>326243</v>
      </c>
    </row>
    <row r="1960" spans="1:18" x14ac:dyDescent="0.25">
      <c r="A1960" t="s">
        <v>496</v>
      </c>
      <c r="B1960" t="s">
        <v>494</v>
      </c>
      <c r="C1960">
        <v>76807664</v>
      </c>
      <c r="D1960">
        <v>3</v>
      </c>
      <c r="E1960" t="s">
        <v>1197</v>
      </c>
      <c r="F1960" t="s">
        <v>1196</v>
      </c>
      <c r="G1960" s="1">
        <v>45238</v>
      </c>
      <c r="H1960">
        <v>5414718</v>
      </c>
      <c r="I1960">
        <v>349</v>
      </c>
      <c r="J1960" t="s">
        <v>364</v>
      </c>
      <c r="K1960" t="str">
        <f>IFERROR(IF(AND(VLOOKUP($C1960,Hes!$A:$B, 1, FALSE), $M1960&lt;&gt;" "), "Ingresada", "Falta Ingresar"), " ")</f>
        <v xml:space="preserve"> </v>
      </c>
      <c r="L1960" s="4" t="str">
        <f>IFERROR(VLOOKUP($C1960,Observaciones!$A:$B,2,FALSE)," ")</f>
        <v xml:space="preserve"> </v>
      </c>
      <c r="M1960" t="s">
        <v>681</v>
      </c>
      <c r="O1960" s="5">
        <v>30851557</v>
      </c>
      <c r="P1960" s="5">
        <v>117741</v>
      </c>
      <c r="Q1960" s="5">
        <v>22371</v>
      </c>
      <c r="R1960" s="5">
        <v>140112</v>
      </c>
    </row>
    <row r="1961" spans="1:18" x14ac:dyDescent="0.25">
      <c r="F1961" t="s">
        <v>497</v>
      </c>
      <c r="K1961" t="str">
        <f>IFERROR(IF(AND(VLOOKUP($C1961,Hes!$A:$B, 1, FALSE), $M1961&lt;&gt;" "), "Ingresada", "Falta Ingresar"), " ")</f>
        <v xml:space="preserve"> </v>
      </c>
      <c r="L1961" s="4" t="str">
        <f>IFERROR(VLOOKUP($C1961,Observaciones!$A:$B,2,FALSE)," ")</f>
        <v xml:space="preserve"> </v>
      </c>
      <c r="M1961" t="s">
        <v>681</v>
      </c>
      <c r="P1961" s="5">
        <v>391895</v>
      </c>
      <c r="Q1961" s="5">
        <v>74460</v>
      </c>
      <c r="R1961" s="5">
        <v>466355</v>
      </c>
    </row>
    <row r="1962" spans="1:18" x14ac:dyDescent="0.25">
      <c r="A1962" t="s">
        <v>564</v>
      </c>
      <c r="B1962" t="s">
        <v>494</v>
      </c>
      <c r="C1962">
        <v>76811980</v>
      </c>
      <c r="D1962">
        <v>173</v>
      </c>
      <c r="E1962">
        <v>30848940</v>
      </c>
      <c r="F1962" t="s">
        <v>1198</v>
      </c>
      <c r="G1962" s="1">
        <v>45233</v>
      </c>
      <c r="H1962">
        <v>5411412</v>
      </c>
      <c r="I1962">
        <v>424</v>
      </c>
      <c r="J1962" t="s">
        <v>146</v>
      </c>
      <c r="K1962" t="str">
        <f>IFERROR(IF(AND(VLOOKUP($C1962,Hes!$A:$B, 1, FALSE), $M1962&lt;&gt;" "), "Ingresada", "Falta Ingresar"), " ")</f>
        <v xml:space="preserve"> </v>
      </c>
      <c r="L1962" s="4" t="str">
        <f>IFERROR(VLOOKUP($C1962,Observaciones!$A:$B,2,FALSE)," ")</f>
        <v>VENDEDOR ENVIA INFORME</v>
      </c>
      <c r="M1962" t="s">
        <v>681</v>
      </c>
      <c r="O1962" s="5">
        <v>30848940</v>
      </c>
      <c r="P1962" s="5">
        <v>93140</v>
      </c>
      <c r="Q1962" s="5">
        <v>17697</v>
      </c>
      <c r="R1962" s="5">
        <v>110837</v>
      </c>
    </row>
    <row r="1963" spans="1:18" x14ac:dyDescent="0.25">
      <c r="A1963" t="s">
        <v>564</v>
      </c>
      <c r="B1963" t="s">
        <v>494</v>
      </c>
      <c r="C1963">
        <v>76811980</v>
      </c>
      <c r="D1963">
        <v>103</v>
      </c>
      <c r="E1963">
        <v>30849287</v>
      </c>
      <c r="F1963" t="s">
        <v>1198</v>
      </c>
      <c r="G1963" s="1">
        <v>45233</v>
      </c>
      <c r="H1963">
        <v>5411434</v>
      </c>
      <c r="I1963">
        <v>424</v>
      </c>
      <c r="J1963" t="s">
        <v>146</v>
      </c>
      <c r="K1963" t="str">
        <f>IFERROR(IF(AND(VLOOKUP($C1963,Hes!$A:$B, 1, FALSE), $M1963&lt;&gt;" "), "Ingresada", "Falta Ingresar"), " ")</f>
        <v xml:space="preserve"> </v>
      </c>
      <c r="L1963" s="4" t="str">
        <f>IFERROR(VLOOKUP($C1963,Observaciones!$A:$B,2,FALSE)," ")</f>
        <v>VENDEDOR ENVIA INFORME</v>
      </c>
      <c r="M1963" t="s">
        <v>681</v>
      </c>
      <c r="O1963" s="5">
        <v>30849287</v>
      </c>
      <c r="P1963" s="5">
        <v>60871</v>
      </c>
      <c r="Q1963" s="5">
        <v>11565</v>
      </c>
      <c r="R1963" s="5">
        <v>72436</v>
      </c>
    </row>
    <row r="1964" spans="1:18" x14ac:dyDescent="0.25">
      <c r="A1964" t="s">
        <v>564</v>
      </c>
      <c r="B1964" t="s">
        <v>494</v>
      </c>
      <c r="C1964">
        <v>76811980</v>
      </c>
      <c r="D1964">
        <v>108</v>
      </c>
      <c r="E1964">
        <v>30853248</v>
      </c>
      <c r="F1964" t="s">
        <v>1198</v>
      </c>
      <c r="G1964" s="1">
        <v>45236</v>
      </c>
      <c r="H1964">
        <v>5413120</v>
      </c>
      <c r="I1964">
        <v>424</v>
      </c>
      <c r="J1964" t="s">
        <v>146</v>
      </c>
      <c r="K1964" t="str">
        <f>IFERROR(IF(AND(VLOOKUP($C1964,Hes!$A:$B, 1, FALSE), $M1964&lt;&gt;" "), "Ingresada", "Falta Ingresar"), " ")</f>
        <v xml:space="preserve"> </v>
      </c>
      <c r="L1964" s="4" t="str">
        <f>IFERROR(VLOOKUP($C1964,Observaciones!$A:$B,2,FALSE)," ")</f>
        <v>VENDEDOR ENVIA INFORME</v>
      </c>
      <c r="M1964" t="s">
        <v>681</v>
      </c>
      <c r="O1964" s="5">
        <v>30853248</v>
      </c>
      <c r="P1964" s="5">
        <v>342913</v>
      </c>
      <c r="Q1964" s="5">
        <v>65153</v>
      </c>
      <c r="R1964" s="5">
        <v>408066</v>
      </c>
    </row>
    <row r="1965" spans="1:18" x14ac:dyDescent="0.25">
      <c r="A1965" t="s">
        <v>564</v>
      </c>
      <c r="B1965" t="s">
        <v>494</v>
      </c>
      <c r="C1965">
        <v>76811980</v>
      </c>
      <c r="D1965">
        <v>18</v>
      </c>
      <c r="E1965">
        <v>30853233</v>
      </c>
      <c r="F1965" t="s">
        <v>1198</v>
      </c>
      <c r="G1965" s="1">
        <v>45236</v>
      </c>
      <c r="H1965">
        <v>5413334</v>
      </c>
      <c r="I1965">
        <v>424</v>
      </c>
      <c r="J1965" t="s">
        <v>146</v>
      </c>
      <c r="K1965" t="str">
        <f>IFERROR(IF(AND(VLOOKUP($C1965,Hes!$A:$B, 1, FALSE), $M1965&lt;&gt;" "), "Ingresada", "Falta Ingresar"), " ")</f>
        <v xml:space="preserve"> </v>
      </c>
      <c r="L1965" s="4" t="str">
        <f>IFERROR(VLOOKUP($C1965,Observaciones!$A:$B,2,FALSE)," ")</f>
        <v>VENDEDOR ENVIA INFORME</v>
      </c>
      <c r="M1965" t="s">
        <v>681</v>
      </c>
      <c r="O1965" s="5">
        <v>30853233</v>
      </c>
      <c r="P1965" s="5">
        <v>1103566</v>
      </c>
      <c r="Q1965" s="5">
        <v>209678</v>
      </c>
      <c r="R1965" s="5">
        <v>1313244</v>
      </c>
    </row>
    <row r="1966" spans="1:18" x14ac:dyDescent="0.25">
      <c r="A1966" t="s">
        <v>564</v>
      </c>
      <c r="B1966" t="s">
        <v>494</v>
      </c>
      <c r="C1966">
        <v>76811980</v>
      </c>
      <c r="D1966">
        <v>109</v>
      </c>
      <c r="E1966">
        <v>30853331</v>
      </c>
      <c r="F1966" t="s">
        <v>1198</v>
      </c>
      <c r="G1966" s="1">
        <v>45236</v>
      </c>
      <c r="H1966">
        <v>5413441</v>
      </c>
      <c r="I1966">
        <v>424</v>
      </c>
      <c r="J1966" t="s">
        <v>146</v>
      </c>
      <c r="K1966" t="str">
        <f>IFERROR(IF(AND(VLOOKUP($C1966,Hes!$A:$B, 1, FALSE), $M1966&lt;&gt;" "), "Ingresada", "Falta Ingresar"), " ")</f>
        <v xml:space="preserve"> </v>
      </c>
      <c r="L1966" s="4" t="str">
        <f>IFERROR(VLOOKUP($C1966,Observaciones!$A:$B,2,FALSE)," ")</f>
        <v>VENDEDOR ENVIA INFORME</v>
      </c>
      <c r="M1966" t="s">
        <v>681</v>
      </c>
      <c r="O1966" s="5">
        <v>30853331</v>
      </c>
      <c r="P1966" s="5">
        <v>115092</v>
      </c>
      <c r="Q1966" s="5">
        <v>21867</v>
      </c>
      <c r="R1966" s="5">
        <v>136959</v>
      </c>
    </row>
    <row r="1967" spans="1:18" x14ac:dyDescent="0.25">
      <c r="A1967" t="s">
        <v>564</v>
      </c>
      <c r="B1967" t="s">
        <v>494</v>
      </c>
      <c r="C1967">
        <v>76811980</v>
      </c>
      <c r="D1967">
        <v>0</v>
      </c>
      <c r="E1967">
        <v>30859644</v>
      </c>
      <c r="F1967" t="s">
        <v>1198</v>
      </c>
      <c r="G1967" s="1">
        <v>45238</v>
      </c>
      <c r="H1967">
        <v>5414996</v>
      </c>
      <c r="I1967">
        <v>424</v>
      </c>
      <c r="J1967" t="s">
        <v>146</v>
      </c>
      <c r="K1967" t="str">
        <f>IFERROR(IF(AND(VLOOKUP($C1967,Hes!$A:$B, 1, FALSE), $M1967&lt;&gt;" "), "Ingresada", "Falta Ingresar"), " ")</f>
        <v xml:space="preserve"> </v>
      </c>
      <c r="L1967" s="4" t="str">
        <f>IFERROR(VLOOKUP($C1967,Observaciones!$A:$B,2,FALSE)," ")</f>
        <v>VENDEDOR ENVIA INFORME</v>
      </c>
      <c r="M1967" t="s">
        <v>681</v>
      </c>
      <c r="O1967" s="5">
        <v>30859644</v>
      </c>
      <c r="P1967" s="5">
        <v>93670</v>
      </c>
      <c r="Q1967" s="5">
        <v>17797</v>
      </c>
      <c r="R1967" s="5">
        <v>111467</v>
      </c>
    </row>
    <row r="1968" spans="1:18" x14ac:dyDescent="0.25">
      <c r="A1968" t="s">
        <v>564</v>
      </c>
      <c r="B1968" t="s">
        <v>494</v>
      </c>
      <c r="C1968">
        <v>76811980</v>
      </c>
      <c r="D1968">
        <v>98</v>
      </c>
      <c r="E1968">
        <v>30863504</v>
      </c>
      <c r="F1968" t="s">
        <v>1198</v>
      </c>
      <c r="G1968" s="1">
        <v>45238</v>
      </c>
      <c r="H1968">
        <v>5415630</v>
      </c>
      <c r="I1968">
        <v>424</v>
      </c>
      <c r="J1968" t="s">
        <v>146</v>
      </c>
      <c r="K1968" t="str">
        <f>IFERROR(IF(AND(VLOOKUP($C1968,Hes!$A:$B, 1, FALSE), $M1968&lt;&gt;" "), "Ingresada", "Falta Ingresar"), " ")</f>
        <v xml:space="preserve"> </v>
      </c>
      <c r="L1968" s="4" t="str">
        <f>IFERROR(VLOOKUP($C1968,Observaciones!$A:$B,2,FALSE)," ")</f>
        <v>VENDEDOR ENVIA INFORME</v>
      </c>
      <c r="M1968" t="s">
        <v>681</v>
      </c>
      <c r="O1968" s="5">
        <v>30863504</v>
      </c>
      <c r="P1968" s="5">
        <v>24143</v>
      </c>
      <c r="Q1968" s="5">
        <v>4587</v>
      </c>
      <c r="R1968" s="5">
        <v>28730</v>
      </c>
    </row>
    <row r="1969" spans="1:18" x14ac:dyDescent="0.25">
      <c r="F1969" t="s">
        <v>537</v>
      </c>
      <c r="K1969" t="str">
        <f>IFERROR(IF(AND(VLOOKUP($C1969,Hes!$A:$B, 1, FALSE), $M1969&lt;&gt;" "), "Ingresada", "Falta Ingresar"), " ")</f>
        <v xml:space="preserve"> </v>
      </c>
      <c r="L1969" s="4" t="str">
        <f>IFERROR(VLOOKUP($C1969,Observaciones!$A:$B,2,FALSE)," ")</f>
        <v xml:space="preserve"> </v>
      </c>
      <c r="M1969" t="s">
        <v>681</v>
      </c>
      <c r="P1969" s="5">
        <v>1833395</v>
      </c>
      <c r="Q1969" s="5">
        <v>348344</v>
      </c>
      <c r="R1969" s="5">
        <v>2181739</v>
      </c>
    </row>
    <row r="1970" spans="1:18" x14ac:dyDescent="0.25">
      <c r="A1970" t="s">
        <v>881</v>
      </c>
      <c r="B1970" t="s">
        <v>502</v>
      </c>
      <c r="C1970">
        <v>76818074</v>
      </c>
      <c r="D1970">
        <v>1</v>
      </c>
      <c r="E1970" t="s">
        <v>1199</v>
      </c>
      <c r="F1970" t="s">
        <v>1200</v>
      </c>
      <c r="G1970" s="1">
        <v>45232</v>
      </c>
      <c r="H1970">
        <v>5410701</v>
      </c>
      <c r="I1970">
        <v>341</v>
      </c>
      <c r="J1970" t="s">
        <v>362</v>
      </c>
      <c r="K1970" t="str">
        <f>IFERROR(IF(AND(VLOOKUP($C1970,Hes!$A:$B, 1, FALSE), $M1970&lt;&gt;" "), "Ingresada", "Falta Ingresar"), " ")</f>
        <v xml:space="preserve"> </v>
      </c>
      <c r="L1970" s="4" t="str">
        <f>IFERROR(VLOOKUP($C1970,Observaciones!$A:$B,2,FALSE)," ")</f>
        <v xml:space="preserve"> </v>
      </c>
      <c r="M1970" t="s">
        <v>681</v>
      </c>
      <c r="O1970" s="5">
        <v>30841311</v>
      </c>
      <c r="P1970" s="5">
        <v>213210</v>
      </c>
      <c r="Q1970" s="5">
        <v>40510</v>
      </c>
      <c r="R1970" s="5">
        <v>253720</v>
      </c>
    </row>
    <row r="1971" spans="1:18" x14ac:dyDescent="0.25">
      <c r="A1971" t="s">
        <v>881</v>
      </c>
      <c r="B1971" t="s">
        <v>502</v>
      </c>
      <c r="C1971">
        <v>76818074</v>
      </c>
      <c r="D1971">
        <v>1</v>
      </c>
      <c r="E1971" t="s">
        <v>1201</v>
      </c>
      <c r="F1971" t="s">
        <v>1200</v>
      </c>
      <c r="G1971" s="1">
        <v>45232</v>
      </c>
      <c r="H1971">
        <v>5410748</v>
      </c>
      <c r="I1971">
        <v>341</v>
      </c>
      <c r="J1971" t="s">
        <v>362</v>
      </c>
      <c r="K1971" t="str">
        <f>IFERROR(IF(AND(VLOOKUP($C1971,Hes!$A:$B, 1, FALSE), $M1971&lt;&gt;" "), "Ingresada", "Falta Ingresar"), " ")</f>
        <v xml:space="preserve"> </v>
      </c>
      <c r="L1971" s="4" t="str">
        <f>IFERROR(VLOOKUP($C1971,Observaciones!$A:$B,2,FALSE)," ")</f>
        <v xml:space="preserve"> </v>
      </c>
      <c r="M1971" t="s">
        <v>681</v>
      </c>
      <c r="O1971" s="5">
        <v>30840637</v>
      </c>
      <c r="P1971" s="5">
        <v>128535</v>
      </c>
      <c r="Q1971" s="5">
        <v>24422</v>
      </c>
      <c r="R1971" s="5">
        <v>152957</v>
      </c>
    </row>
    <row r="1972" spans="1:18" x14ac:dyDescent="0.25">
      <c r="A1972" t="s">
        <v>881</v>
      </c>
      <c r="B1972" t="s">
        <v>502</v>
      </c>
      <c r="C1972">
        <v>76818074</v>
      </c>
      <c r="D1972">
        <v>1</v>
      </c>
      <c r="E1972" t="s">
        <v>1202</v>
      </c>
      <c r="F1972" t="s">
        <v>1200</v>
      </c>
      <c r="G1972" s="1">
        <v>45232</v>
      </c>
      <c r="H1972">
        <v>5410952</v>
      </c>
      <c r="I1972">
        <v>341</v>
      </c>
      <c r="J1972" t="s">
        <v>362</v>
      </c>
      <c r="K1972" t="str">
        <f>IFERROR(IF(AND(VLOOKUP($C1972,Hes!$A:$B, 1, FALSE), $M1972&lt;&gt;" "), "Ingresada", "Falta Ingresar"), " ")</f>
        <v xml:space="preserve"> </v>
      </c>
      <c r="L1972" s="4" t="str">
        <f>IFERROR(VLOOKUP($C1972,Observaciones!$A:$B,2,FALSE)," ")</f>
        <v xml:space="preserve"> </v>
      </c>
      <c r="M1972" t="s">
        <v>681</v>
      </c>
      <c r="O1972" s="5">
        <v>30842827</v>
      </c>
      <c r="P1972" s="5">
        <v>37320</v>
      </c>
      <c r="Q1972" s="5">
        <v>7091</v>
      </c>
      <c r="R1972" s="5">
        <v>44411</v>
      </c>
    </row>
    <row r="1973" spans="1:18" x14ac:dyDescent="0.25">
      <c r="A1973" t="s">
        <v>881</v>
      </c>
      <c r="B1973" t="s">
        <v>502</v>
      </c>
      <c r="C1973">
        <v>76818074</v>
      </c>
      <c r="D1973">
        <v>1</v>
      </c>
      <c r="E1973" t="s">
        <v>1203</v>
      </c>
      <c r="F1973" t="s">
        <v>1200</v>
      </c>
      <c r="G1973" s="1">
        <v>45236</v>
      </c>
      <c r="H1973">
        <v>5413661</v>
      </c>
      <c r="I1973">
        <v>341</v>
      </c>
      <c r="J1973" t="s">
        <v>362</v>
      </c>
      <c r="K1973" t="str">
        <f>IFERROR(IF(AND(VLOOKUP($C1973,Hes!$A:$B, 1, FALSE), $M1973&lt;&gt;" "), "Ingresada", "Falta Ingresar"), " ")</f>
        <v xml:space="preserve"> </v>
      </c>
      <c r="L1973" s="4" t="str">
        <f>IFERROR(VLOOKUP($C1973,Observaciones!$A:$B,2,FALSE)," ")</f>
        <v xml:space="preserve"> </v>
      </c>
      <c r="M1973" t="s">
        <v>681</v>
      </c>
      <c r="O1973" s="5">
        <v>30834316</v>
      </c>
      <c r="P1973" s="5">
        <v>728028</v>
      </c>
      <c r="Q1973" s="5">
        <v>138325</v>
      </c>
      <c r="R1973" s="5">
        <v>866353</v>
      </c>
    </row>
    <row r="1974" spans="1:18" x14ac:dyDescent="0.25">
      <c r="A1974" t="s">
        <v>881</v>
      </c>
      <c r="B1974" t="s">
        <v>502</v>
      </c>
      <c r="C1974">
        <v>76818074</v>
      </c>
      <c r="D1974">
        <v>1</v>
      </c>
      <c r="E1974" t="s">
        <v>1204</v>
      </c>
      <c r="F1974" t="s">
        <v>1200</v>
      </c>
      <c r="G1974" s="1">
        <v>45238</v>
      </c>
      <c r="H1974">
        <v>5415103</v>
      </c>
      <c r="I1974">
        <v>341</v>
      </c>
      <c r="J1974" t="s">
        <v>362</v>
      </c>
      <c r="K1974" t="str">
        <f>IFERROR(IF(AND(VLOOKUP($C1974,Hes!$A:$B, 1, FALSE), $M1974&lt;&gt;" "), "Ingresada", "Falta Ingresar"), " ")</f>
        <v xml:space="preserve"> </v>
      </c>
      <c r="L1974" s="4" t="str">
        <f>IFERROR(VLOOKUP($C1974,Observaciones!$A:$B,2,FALSE)," ")</f>
        <v xml:space="preserve"> </v>
      </c>
      <c r="M1974" t="s">
        <v>681</v>
      </c>
      <c r="O1974" s="5">
        <v>30862145</v>
      </c>
      <c r="P1974" s="5">
        <v>671358</v>
      </c>
      <c r="Q1974" s="5">
        <v>127558</v>
      </c>
      <c r="R1974" s="5">
        <v>798916</v>
      </c>
    </row>
    <row r="1975" spans="1:18" x14ac:dyDescent="0.25">
      <c r="F1975" t="s">
        <v>499</v>
      </c>
      <c r="K1975" t="str">
        <f>IFERROR(IF(AND(VLOOKUP($C1975,Hes!$A:$B, 1, FALSE), $M1975&lt;&gt;" "), "Ingresada", "Falta Ingresar"), " ")</f>
        <v xml:space="preserve"> </v>
      </c>
      <c r="L1975" s="4" t="str">
        <f>IFERROR(VLOOKUP($C1975,Observaciones!$A:$B,2,FALSE)," ")</f>
        <v xml:space="preserve"> </v>
      </c>
      <c r="M1975" t="s">
        <v>681</v>
      </c>
      <c r="P1975" s="5">
        <v>1778451</v>
      </c>
      <c r="Q1975" s="5">
        <v>337906</v>
      </c>
      <c r="R1975" s="5">
        <v>2116357</v>
      </c>
    </row>
    <row r="1976" spans="1:18" x14ac:dyDescent="0.25">
      <c r="A1976" t="s">
        <v>496</v>
      </c>
      <c r="B1976" t="s">
        <v>494</v>
      </c>
      <c r="C1976">
        <v>76879562</v>
      </c>
      <c r="D1976">
        <v>3</v>
      </c>
      <c r="E1976">
        <v>30861707</v>
      </c>
      <c r="F1976" t="s">
        <v>1205</v>
      </c>
      <c r="G1976" s="1">
        <v>45237</v>
      </c>
      <c r="H1976">
        <v>5414788</v>
      </c>
      <c r="I1976">
        <v>44</v>
      </c>
      <c r="J1976" t="s">
        <v>148</v>
      </c>
      <c r="K1976" s="8" t="str">
        <f>IFERROR(IF(AND(VLOOKUP($C1976,Hes!$A:$B, 1, FALSE), $M1976&lt;&gt;" "), "Ingresada", "Falta Ingresar"), " ")</f>
        <v>Falta Ingresar</v>
      </c>
      <c r="L1976" s="4" t="str">
        <f>IFERROR(VLOOKUP($C1976,Observaciones!$A:$B,2,FALSE)," ")</f>
        <v>XOC Y CC</v>
      </c>
      <c r="M1976" t="s">
        <v>681</v>
      </c>
      <c r="N1976" s="5" t="s">
        <v>841</v>
      </c>
      <c r="O1976" s="5">
        <v>30861707</v>
      </c>
      <c r="P1976" s="5">
        <v>184450</v>
      </c>
      <c r="Q1976" s="5">
        <v>35046</v>
      </c>
      <c r="R1976" s="5">
        <v>219496</v>
      </c>
    </row>
    <row r="1977" spans="1:18" x14ac:dyDescent="0.25">
      <c r="F1977" t="s">
        <v>495</v>
      </c>
      <c r="K1977" t="str">
        <f>IFERROR(IF(AND(VLOOKUP($C1977,Hes!$A:$B, 1, FALSE), $M1977&lt;&gt;" "), "Ingresada", "Falta Ingresar"), " ")</f>
        <v xml:space="preserve"> </v>
      </c>
      <c r="L1977" s="4" t="str">
        <f>IFERROR(VLOOKUP($C1977,Observaciones!$A:$B,2,FALSE)," ")</f>
        <v xml:space="preserve"> </v>
      </c>
      <c r="M1977" t="s">
        <v>681</v>
      </c>
      <c r="P1977" s="5">
        <v>184450</v>
      </c>
      <c r="Q1977" s="5">
        <v>35046</v>
      </c>
      <c r="R1977" s="5">
        <v>219496</v>
      </c>
    </row>
    <row r="1978" spans="1:18" x14ac:dyDescent="0.25">
      <c r="A1978" t="s">
        <v>522</v>
      </c>
      <c r="B1978" t="s">
        <v>494</v>
      </c>
      <c r="C1978">
        <v>76885606</v>
      </c>
      <c r="D1978">
        <v>0</v>
      </c>
      <c r="E1978" t="s">
        <v>1206</v>
      </c>
      <c r="F1978" t="s">
        <v>1207</v>
      </c>
      <c r="G1978" s="1">
        <v>45236</v>
      </c>
      <c r="H1978">
        <v>5412254</v>
      </c>
      <c r="I1978">
        <v>52</v>
      </c>
      <c r="J1978" t="s">
        <v>311</v>
      </c>
      <c r="K1978" t="str">
        <f>IFERROR(IF(AND(VLOOKUP($C1978,Hes!$A:$B, 1, FALSE), $M1978&lt;&gt;" "), "Ingresada", "Falta Ingresar"), " ")</f>
        <v xml:space="preserve"> </v>
      </c>
      <c r="L1978" s="4" t="str">
        <f>IFERROR(VLOOKUP($C1978,Observaciones!$A:$B,2,FALSE)," ")</f>
        <v>XOC Y CC</v>
      </c>
      <c r="M1978" t="s">
        <v>681</v>
      </c>
      <c r="O1978" s="5">
        <v>30852323</v>
      </c>
      <c r="P1978" s="5">
        <v>1615689</v>
      </c>
      <c r="Q1978" s="5">
        <v>306981</v>
      </c>
      <c r="R1978" s="5">
        <v>1922670</v>
      </c>
    </row>
    <row r="1979" spans="1:18" x14ac:dyDescent="0.25">
      <c r="A1979" t="s">
        <v>522</v>
      </c>
      <c r="B1979" t="s">
        <v>494</v>
      </c>
      <c r="C1979">
        <v>76885606</v>
      </c>
      <c r="D1979">
        <v>0</v>
      </c>
      <c r="E1979" t="s">
        <v>1206</v>
      </c>
      <c r="F1979" t="s">
        <v>1207</v>
      </c>
      <c r="G1979" s="1">
        <v>45236</v>
      </c>
      <c r="H1979">
        <v>5412255</v>
      </c>
      <c r="I1979">
        <v>52</v>
      </c>
      <c r="J1979" t="s">
        <v>311</v>
      </c>
      <c r="K1979" t="str">
        <f>IFERROR(IF(AND(VLOOKUP($C1979,Hes!$A:$B, 1, FALSE), $M1979&lt;&gt;" "), "Ingresada", "Falta Ingresar"), " ")</f>
        <v xml:space="preserve"> </v>
      </c>
      <c r="L1979" s="4" t="str">
        <f>IFERROR(VLOOKUP($C1979,Observaciones!$A:$B,2,FALSE)," ")</f>
        <v>XOC Y CC</v>
      </c>
      <c r="M1979" t="s">
        <v>681</v>
      </c>
      <c r="O1979" s="5">
        <v>30852323</v>
      </c>
      <c r="P1979" s="5">
        <v>308215</v>
      </c>
      <c r="Q1979" s="5">
        <v>58561</v>
      </c>
      <c r="R1979" s="5">
        <v>366776</v>
      </c>
    </row>
    <row r="1980" spans="1:18" x14ac:dyDescent="0.25">
      <c r="F1980" t="s">
        <v>497</v>
      </c>
      <c r="K1980" t="str">
        <f>IFERROR(IF(AND(VLOOKUP($C1980,Hes!$A:$B, 1, FALSE), $M1980&lt;&gt;" "), "Ingresada", "Falta Ingresar"), " ")</f>
        <v xml:space="preserve"> </v>
      </c>
      <c r="L1980" s="4" t="str">
        <f>IFERROR(VLOOKUP($C1980,Observaciones!$A:$B,2,FALSE)," ")</f>
        <v xml:space="preserve"> </v>
      </c>
      <c r="M1980" t="s">
        <v>681</v>
      </c>
      <c r="P1980" s="5">
        <v>1923904</v>
      </c>
      <c r="Q1980" s="5">
        <v>365542</v>
      </c>
      <c r="R1980" s="5">
        <v>2289446</v>
      </c>
    </row>
    <row r="1981" spans="1:18" x14ac:dyDescent="0.25">
      <c r="A1981" t="s">
        <v>501</v>
      </c>
      <c r="B1981" t="s">
        <v>494</v>
      </c>
      <c r="C1981">
        <v>76901400</v>
      </c>
      <c r="D1981">
        <v>5</v>
      </c>
      <c r="E1981">
        <v>30850700</v>
      </c>
      <c r="F1981" t="s">
        <v>1208</v>
      </c>
      <c r="G1981" s="1">
        <v>45233</v>
      </c>
      <c r="H1981">
        <v>5411408</v>
      </c>
      <c r="I1981">
        <v>392</v>
      </c>
      <c r="J1981" t="s">
        <v>228</v>
      </c>
      <c r="K1981" t="str">
        <f>IFERROR(IF(AND(VLOOKUP($C1981,Hes!$A:$B, 1, FALSE), $M1981&lt;&gt;" "), "Ingresada", "Falta Ingresar"), " ")</f>
        <v xml:space="preserve"> </v>
      </c>
      <c r="L1981" s="4" t="str">
        <f>IFERROR(VLOOKUP($C1981,Observaciones!$A:$B,2,FALSE)," ")</f>
        <v>VENDEDORA DEBE ENVIAR OC</v>
      </c>
      <c r="M1981" t="s">
        <v>681</v>
      </c>
      <c r="O1981" s="5">
        <v>30850700</v>
      </c>
      <c r="P1981" s="5">
        <v>199260</v>
      </c>
      <c r="Q1981" s="5">
        <v>37859</v>
      </c>
      <c r="R1981" s="5">
        <v>237119</v>
      </c>
    </row>
    <row r="1982" spans="1:18" x14ac:dyDescent="0.25">
      <c r="A1982" t="s">
        <v>501</v>
      </c>
      <c r="B1982" t="s">
        <v>494</v>
      </c>
      <c r="C1982">
        <v>76901400</v>
      </c>
      <c r="D1982">
        <v>7</v>
      </c>
      <c r="E1982">
        <v>30850623</v>
      </c>
      <c r="F1982" t="s">
        <v>1208</v>
      </c>
      <c r="G1982" s="1">
        <v>45233</v>
      </c>
      <c r="H1982">
        <v>5411591</v>
      </c>
      <c r="I1982">
        <v>392</v>
      </c>
      <c r="J1982" t="s">
        <v>228</v>
      </c>
      <c r="K1982" t="str">
        <f>IFERROR(IF(AND(VLOOKUP($C1982,Hes!$A:$B, 1, FALSE), $M1982&lt;&gt;" "), "Ingresada", "Falta Ingresar"), " ")</f>
        <v xml:space="preserve"> </v>
      </c>
      <c r="L1982" s="4" t="str">
        <f>IFERROR(VLOOKUP($C1982,Observaciones!$A:$B,2,FALSE)," ")</f>
        <v>VENDEDORA DEBE ENVIAR OC</v>
      </c>
      <c r="M1982" t="s">
        <v>681</v>
      </c>
      <c r="O1982" s="5">
        <v>30850623</v>
      </c>
      <c r="P1982" s="5">
        <v>21002</v>
      </c>
      <c r="Q1982" s="5">
        <v>3990</v>
      </c>
      <c r="R1982" s="5">
        <v>24992</v>
      </c>
    </row>
    <row r="1983" spans="1:18" x14ac:dyDescent="0.25">
      <c r="A1983" t="s">
        <v>501</v>
      </c>
      <c r="B1983" t="s">
        <v>494</v>
      </c>
      <c r="C1983">
        <v>76901400</v>
      </c>
      <c r="D1983">
        <v>3</v>
      </c>
      <c r="E1983">
        <v>30850693</v>
      </c>
      <c r="F1983" t="s">
        <v>1208</v>
      </c>
      <c r="G1983" s="1">
        <v>45233</v>
      </c>
      <c r="H1983">
        <v>5411679</v>
      </c>
      <c r="I1983">
        <v>392</v>
      </c>
      <c r="J1983" t="s">
        <v>228</v>
      </c>
      <c r="K1983" t="str">
        <f>IFERROR(IF(AND(VLOOKUP($C1983,Hes!$A:$B, 1, FALSE), $M1983&lt;&gt;" "), "Ingresada", "Falta Ingresar"), " ")</f>
        <v xml:space="preserve"> </v>
      </c>
      <c r="L1983" s="4" t="str">
        <f>IFERROR(VLOOKUP($C1983,Observaciones!$A:$B,2,FALSE)," ")</f>
        <v>VENDEDORA DEBE ENVIAR OC</v>
      </c>
      <c r="M1983" t="s">
        <v>681</v>
      </c>
      <c r="O1983" s="5">
        <v>30850693</v>
      </c>
      <c r="P1983" s="5">
        <v>460137</v>
      </c>
      <c r="Q1983" s="5">
        <v>87426</v>
      </c>
      <c r="R1983" s="5">
        <v>547563</v>
      </c>
    </row>
    <row r="1984" spans="1:18" x14ac:dyDescent="0.25">
      <c r="A1984" t="s">
        <v>501</v>
      </c>
      <c r="B1984" t="s">
        <v>494</v>
      </c>
      <c r="C1984">
        <v>76901400</v>
      </c>
      <c r="D1984">
        <v>3</v>
      </c>
      <c r="E1984">
        <v>30850693</v>
      </c>
      <c r="F1984" t="s">
        <v>1208</v>
      </c>
      <c r="G1984" s="1">
        <v>45233</v>
      </c>
      <c r="H1984">
        <v>5411680</v>
      </c>
      <c r="I1984">
        <v>392</v>
      </c>
      <c r="J1984" t="s">
        <v>228</v>
      </c>
      <c r="K1984" t="str">
        <f>IFERROR(IF(AND(VLOOKUP($C1984,Hes!$A:$B, 1, FALSE), $M1984&lt;&gt;" "), "Ingresada", "Falta Ingresar"), " ")</f>
        <v xml:space="preserve"> </v>
      </c>
      <c r="L1984" s="4" t="str">
        <f>IFERROR(VLOOKUP($C1984,Observaciones!$A:$B,2,FALSE)," ")</f>
        <v>VENDEDORA DEBE ENVIAR OC</v>
      </c>
      <c r="M1984" t="s">
        <v>681</v>
      </c>
      <c r="O1984" s="5">
        <v>30850693</v>
      </c>
      <c r="P1984" s="5">
        <v>8569</v>
      </c>
      <c r="Q1984" s="5">
        <v>1628</v>
      </c>
      <c r="R1984" s="5">
        <v>10197</v>
      </c>
    </row>
    <row r="1985" spans="1:18" x14ac:dyDescent="0.25">
      <c r="A1985" t="s">
        <v>501</v>
      </c>
      <c r="B1985" t="s">
        <v>494</v>
      </c>
      <c r="C1985">
        <v>76901400</v>
      </c>
      <c r="D1985">
        <v>0</v>
      </c>
      <c r="E1985">
        <v>30851553</v>
      </c>
      <c r="F1985" t="s">
        <v>1208</v>
      </c>
      <c r="G1985" s="1">
        <v>45236</v>
      </c>
      <c r="H1985">
        <v>5413401</v>
      </c>
      <c r="I1985">
        <v>392</v>
      </c>
      <c r="J1985" t="s">
        <v>228</v>
      </c>
      <c r="K1985" t="str">
        <f>IFERROR(IF(AND(VLOOKUP($C1985,Hes!$A:$B, 1, FALSE), $M1985&lt;&gt;" "), "Ingresada", "Falta Ingresar"), " ")</f>
        <v xml:space="preserve"> </v>
      </c>
      <c r="L1985" s="4" t="str">
        <f>IFERROR(VLOOKUP($C1985,Observaciones!$A:$B,2,FALSE)," ")</f>
        <v>VENDEDORA DEBE ENVIAR OC</v>
      </c>
      <c r="M1985" t="s">
        <v>681</v>
      </c>
      <c r="O1985" s="5">
        <v>30851553</v>
      </c>
      <c r="P1985" s="5">
        <v>341257</v>
      </c>
      <c r="Q1985" s="5">
        <v>64839</v>
      </c>
      <c r="R1985" s="5">
        <v>411179</v>
      </c>
    </row>
    <row r="1986" spans="1:18" x14ac:dyDescent="0.25">
      <c r="A1986" t="s">
        <v>501</v>
      </c>
      <c r="B1986" t="s">
        <v>494</v>
      </c>
      <c r="C1986">
        <v>76901400</v>
      </c>
      <c r="D1986">
        <v>0</v>
      </c>
      <c r="E1986">
        <v>30851553</v>
      </c>
      <c r="F1986" t="s">
        <v>1208</v>
      </c>
      <c r="G1986" s="1">
        <v>45236</v>
      </c>
      <c r="H1986">
        <v>5413402</v>
      </c>
      <c r="I1986">
        <v>392</v>
      </c>
      <c r="J1986" t="s">
        <v>228</v>
      </c>
      <c r="K1986" t="str">
        <f>IFERROR(IF(AND(VLOOKUP($C1986,Hes!$A:$B, 1, FALSE), $M1986&lt;&gt;" "), "Ingresada", "Falta Ingresar"), " ")</f>
        <v xml:space="preserve"> </v>
      </c>
      <c r="L1986" s="4" t="str">
        <f>IFERROR(VLOOKUP($C1986,Observaciones!$A:$B,2,FALSE)," ")</f>
        <v>VENDEDORA DEBE ENVIAR OC</v>
      </c>
      <c r="M1986" t="s">
        <v>681</v>
      </c>
      <c r="O1986" s="5">
        <v>30851553</v>
      </c>
      <c r="P1986" s="5">
        <v>39748</v>
      </c>
      <c r="Q1986" s="5">
        <v>7552</v>
      </c>
      <c r="R1986" s="5">
        <v>47300</v>
      </c>
    </row>
    <row r="1987" spans="1:18" x14ac:dyDescent="0.25">
      <c r="F1987" t="s">
        <v>523</v>
      </c>
      <c r="K1987" t="str">
        <f>IFERROR(IF(AND(VLOOKUP($C1987,Hes!$A:$B, 1, FALSE), $M1987&lt;&gt;" "), "Ingresada", "Falta Ingresar"), " ")</f>
        <v xml:space="preserve"> </v>
      </c>
      <c r="L1987" s="4" t="str">
        <f>IFERROR(VLOOKUP($C1987,Observaciones!$A:$B,2,FALSE)," ")</f>
        <v xml:space="preserve"> </v>
      </c>
      <c r="M1987" t="s">
        <v>681</v>
      </c>
      <c r="P1987" s="5">
        <v>1069973</v>
      </c>
      <c r="Q1987" s="5">
        <v>203294</v>
      </c>
      <c r="R1987" s="5">
        <v>1278350</v>
      </c>
    </row>
    <row r="1988" spans="1:18" x14ac:dyDescent="0.25">
      <c r="A1988" t="s">
        <v>522</v>
      </c>
      <c r="B1988" t="s">
        <v>494</v>
      </c>
      <c r="C1988">
        <v>76909880</v>
      </c>
      <c r="D1988">
        <v>8</v>
      </c>
      <c r="E1988">
        <v>11308</v>
      </c>
      <c r="F1988" t="s">
        <v>1209</v>
      </c>
      <c r="G1988" s="1">
        <v>45237</v>
      </c>
      <c r="H1988">
        <v>5414342</v>
      </c>
      <c r="I1988">
        <v>359</v>
      </c>
      <c r="J1988" t="s">
        <v>334</v>
      </c>
      <c r="K1988" t="str">
        <f>IFERROR(IF(AND(VLOOKUP($C1988,Hes!$A:$B, 1, FALSE), $M1988&lt;&gt;" "), "Ingresada", "Falta Ingresar"), " ")</f>
        <v xml:space="preserve"> </v>
      </c>
      <c r="L1988" s="4" t="str">
        <f>IFERROR(VLOOKUP($C1988,Observaciones!$A:$B,2,FALSE)," ")</f>
        <v xml:space="preserve"> </v>
      </c>
      <c r="M1988" t="s">
        <v>681</v>
      </c>
      <c r="O1988" s="5">
        <v>30862151</v>
      </c>
      <c r="P1988" s="5">
        <v>17180</v>
      </c>
      <c r="Q1988" s="5">
        <v>3264</v>
      </c>
      <c r="R1988" s="5">
        <v>20444</v>
      </c>
    </row>
    <row r="1989" spans="1:18" x14ac:dyDescent="0.25">
      <c r="A1989" t="s">
        <v>522</v>
      </c>
      <c r="B1989" t="s">
        <v>494</v>
      </c>
      <c r="C1989">
        <v>76909880</v>
      </c>
      <c r="D1989">
        <v>8</v>
      </c>
      <c r="E1989">
        <v>11309</v>
      </c>
      <c r="F1989" t="s">
        <v>1209</v>
      </c>
      <c r="G1989" s="1">
        <v>45237</v>
      </c>
      <c r="H1989">
        <v>5414474</v>
      </c>
      <c r="I1989">
        <v>359</v>
      </c>
      <c r="J1989" t="s">
        <v>334</v>
      </c>
      <c r="K1989" t="str">
        <f>IFERROR(IF(AND(VLOOKUP($C1989,Hes!$A:$B, 1, FALSE), $M1989&lt;&gt;" "), "Ingresada", "Falta Ingresar"), " ")</f>
        <v xml:space="preserve"> </v>
      </c>
      <c r="L1989" s="4" t="str">
        <f>IFERROR(VLOOKUP($C1989,Observaciones!$A:$B,2,FALSE)," ")</f>
        <v xml:space="preserve"> </v>
      </c>
      <c r="M1989" t="s">
        <v>681</v>
      </c>
      <c r="O1989" s="5">
        <v>30861782</v>
      </c>
      <c r="P1989" s="5">
        <v>7720</v>
      </c>
      <c r="Q1989" s="5">
        <v>1467</v>
      </c>
      <c r="R1989" s="5">
        <v>9187</v>
      </c>
    </row>
    <row r="1990" spans="1:18" x14ac:dyDescent="0.25">
      <c r="A1990" t="s">
        <v>522</v>
      </c>
      <c r="B1990" t="s">
        <v>494</v>
      </c>
      <c r="C1990">
        <v>76909880</v>
      </c>
      <c r="D1990">
        <v>8</v>
      </c>
      <c r="E1990">
        <v>11316</v>
      </c>
      <c r="F1990" t="s">
        <v>1209</v>
      </c>
      <c r="G1990" s="1">
        <v>45238</v>
      </c>
      <c r="H1990">
        <v>5414917</v>
      </c>
      <c r="I1990">
        <v>359</v>
      </c>
      <c r="J1990" t="s">
        <v>334</v>
      </c>
      <c r="K1990" t="str">
        <f>IFERROR(IF(AND(VLOOKUP($C1990,Hes!$A:$B, 1, FALSE), $M1990&lt;&gt;" "), "Ingresada", "Falta Ingresar"), " ")</f>
        <v xml:space="preserve"> </v>
      </c>
      <c r="L1990" s="4" t="str">
        <f>IFERROR(VLOOKUP($C1990,Observaciones!$A:$B,2,FALSE)," ")</f>
        <v xml:space="preserve"> </v>
      </c>
      <c r="M1990" t="s">
        <v>681</v>
      </c>
      <c r="O1990" s="5">
        <v>30862258</v>
      </c>
      <c r="P1990" s="5">
        <v>141300</v>
      </c>
      <c r="Q1990" s="5">
        <v>26847</v>
      </c>
      <c r="R1990" s="5">
        <v>168147</v>
      </c>
    </row>
    <row r="1991" spans="1:18" x14ac:dyDescent="0.25">
      <c r="F1991" t="s">
        <v>500</v>
      </c>
      <c r="K1991" t="str">
        <f>IFERROR(IF(AND(VLOOKUP($C1991,Hes!$A:$B, 1, FALSE), $M1991&lt;&gt;" "), "Ingresada", "Falta Ingresar"), " ")</f>
        <v xml:space="preserve"> </v>
      </c>
      <c r="L1991" s="4" t="str">
        <f>IFERROR(VLOOKUP($C1991,Observaciones!$A:$B,2,FALSE)," ")</f>
        <v xml:space="preserve"> </v>
      </c>
      <c r="M1991" t="s">
        <v>681</v>
      </c>
      <c r="P1991" s="5">
        <v>166200</v>
      </c>
      <c r="Q1991" s="5">
        <v>31578</v>
      </c>
      <c r="R1991" s="5">
        <v>197778</v>
      </c>
    </row>
    <row r="1992" spans="1:18" x14ac:dyDescent="0.25">
      <c r="A1992" t="s">
        <v>503</v>
      </c>
      <c r="B1992" t="s">
        <v>494</v>
      </c>
      <c r="C1992">
        <v>76910360</v>
      </c>
      <c r="D1992">
        <v>84</v>
      </c>
      <c r="E1992">
        <v>305803</v>
      </c>
      <c r="F1992" t="s">
        <v>1210</v>
      </c>
      <c r="G1992" s="1">
        <v>45232</v>
      </c>
      <c r="H1992">
        <v>5410937</v>
      </c>
      <c r="I1992">
        <v>359</v>
      </c>
      <c r="J1992" t="s">
        <v>334</v>
      </c>
      <c r="K1992" t="str">
        <f>IFERROR(IF(AND(VLOOKUP($C1992,Hes!$A:$B, 1, FALSE), $M1992&lt;&gt;" "), "Ingresada", "Falta Ingresar"), " ")</f>
        <v xml:space="preserve"> </v>
      </c>
      <c r="L1992" s="4" t="s">
        <v>681</v>
      </c>
      <c r="M1992" t="s">
        <v>681</v>
      </c>
      <c r="O1992" s="5">
        <v>30844799</v>
      </c>
      <c r="P1992" s="5">
        <v>46675</v>
      </c>
      <c r="Q1992" s="5">
        <v>8868</v>
      </c>
      <c r="R1992" s="5">
        <v>55543</v>
      </c>
    </row>
    <row r="1993" spans="1:18" x14ac:dyDescent="0.25">
      <c r="A1993" t="s">
        <v>503</v>
      </c>
      <c r="B1993" t="s">
        <v>494</v>
      </c>
      <c r="C1993">
        <v>76910360</v>
      </c>
      <c r="D1993">
        <v>60</v>
      </c>
      <c r="E1993">
        <v>305837</v>
      </c>
      <c r="F1993" t="s">
        <v>1210</v>
      </c>
      <c r="G1993" s="1">
        <v>45232</v>
      </c>
      <c r="H1993">
        <v>5411212</v>
      </c>
      <c r="I1993">
        <v>359</v>
      </c>
      <c r="J1993" t="s">
        <v>334</v>
      </c>
      <c r="K1993" t="str">
        <f>IFERROR(IF(AND(VLOOKUP($C1993,Hes!$A:$B, 1, FALSE), $M1993&lt;&gt;" "), "Ingresada", "Falta Ingresar"), " ")</f>
        <v xml:space="preserve"> </v>
      </c>
      <c r="L1993" s="4" t="s">
        <v>681</v>
      </c>
      <c r="M1993" t="s">
        <v>681</v>
      </c>
      <c r="O1993" s="5">
        <v>30848413</v>
      </c>
      <c r="P1993" s="5">
        <v>277180</v>
      </c>
      <c r="Q1993" s="5">
        <v>52664</v>
      </c>
      <c r="R1993" s="5">
        <v>329844</v>
      </c>
    </row>
    <row r="1994" spans="1:18" x14ac:dyDescent="0.25">
      <c r="A1994" t="s">
        <v>503</v>
      </c>
      <c r="B1994" t="s">
        <v>494</v>
      </c>
      <c r="C1994">
        <v>76910360</v>
      </c>
      <c r="D1994">
        <v>72</v>
      </c>
      <c r="E1994">
        <v>305816</v>
      </c>
      <c r="F1994" t="s">
        <v>1210</v>
      </c>
      <c r="G1994" s="1">
        <v>45233</v>
      </c>
      <c r="H1994">
        <v>5411670</v>
      </c>
      <c r="I1994">
        <v>359</v>
      </c>
      <c r="J1994" t="s">
        <v>334</v>
      </c>
      <c r="K1994" t="str">
        <f>IFERROR(IF(AND(VLOOKUP($C1994,Hes!$A:$B, 1, FALSE), $M1994&lt;&gt;" "), "Ingresada", "Falta Ingresar"), " ")</f>
        <v xml:space="preserve"> </v>
      </c>
      <c r="L1994" s="4" t="s">
        <v>681</v>
      </c>
      <c r="M1994" t="s">
        <v>681</v>
      </c>
      <c r="O1994" s="5">
        <v>30844872</v>
      </c>
      <c r="P1994" s="5">
        <v>905990</v>
      </c>
      <c r="Q1994" s="5">
        <v>172138</v>
      </c>
      <c r="R1994" s="5">
        <v>1078128</v>
      </c>
    </row>
    <row r="1995" spans="1:18" x14ac:dyDescent="0.25">
      <c r="A1995" t="s">
        <v>503</v>
      </c>
      <c r="B1995" t="s">
        <v>494</v>
      </c>
      <c r="C1995">
        <v>76910360</v>
      </c>
      <c r="D1995">
        <v>81</v>
      </c>
      <c r="E1995">
        <v>305903</v>
      </c>
      <c r="F1995" t="s">
        <v>1210</v>
      </c>
      <c r="G1995" s="1">
        <v>45236</v>
      </c>
      <c r="H1995">
        <v>5413265</v>
      </c>
      <c r="I1995">
        <v>449</v>
      </c>
      <c r="K1995" t="str">
        <f>IFERROR(IF(AND(VLOOKUP($C1995,Hes!$A:$B, 1, FALSE), $M1995&lt;&gt;" "), "Ingresada", "Falta Ingresar"), " ")</f>
        <v xml:space="preserve"> </v>
      </c>
      <c r="L1995" s="4" t="s">
        <v>681</v>
      </c>
      <c r="M1995" t="s">
        <v>681</v>
      </c>
      <c r="O1995" s="5">
        <v>30857004</v>
      </c>
      <c r="P1995" s="5">
        <v>40170</v>
      </c>
      <c r="Q1995" s="5">
        <v>7632</v>
      </c>
      <c r="R1995" s="5">
        <v>47802</v>
      </c>
    </row>
    <row r="1996" spans="1:18" x14ac:dyDescent="0.25">
      <c r="A1996" t="s">
        <v>503</v>
      </c>
      <c r="B1996" t="s">
        <v>494</v>
      </c>
      <c r="C1996">
        <v>76910360</v>
      </c>
      <c r="D1996">
        <v>25</v>
      </c>
      <c r="E1996">
        <v>305924</v>
      </c>
      <c r="F1996" t="s">
        <v>1210</v>
      </c>
      <c r="G1996" s="1">
        <v>45238</v>
      </c>
      <c r="H1996">
        <v>5415128</v>
      </c>
      <c r="I1996">
        <v>359</v>
      </c>
      <c r="J1996" t="s">
        <v>334</v>
      </c>
      <c r="K1996" t="str">
        <f>IFERROR(IF(AND(VLOOKUP($C1996,Hes!$A:$B, 1, FALSE), $M1996&lt;&gt;" "), "Ingresada", "Falta Ingresar"), " ")</f>
        <v xml:space="preserve"> </v>
      </c>
      <c r="L1996" s="4" t="s">
        <v>681</v>
      </c>
      <c r="M1996" t="s">
        <v>681</v>
      </c>
      <c r="O1996" s="5">
        <v>30862630</v>
      </c>
      <c r="P1996" s="5">
        <v>1103580</v>
      </c>
      <c r="Q1996" s="5">
        <v>209680</v>
      </c>
      <c r="R1996" s="5">
        <v>1313260</v>
      </c>
    </row>
    <row r="1997" spans="1:18" x14ac:dyDescent="0.25">
      <c r="A1997" t="s">
        <v>503</v>
      </c>
      <c r="B1997" t="s">
        <v>494</v>
      </c>
      <c r="C1997">
        <v>76910360</v>
      </c>
      <c r="D1997">
        <v>82</v>
      </c>
      <c r="E1997">
        <v>305921</v>
      </c>
      <c r="F1997" t="s">
        <v>1210</v>
      </c>
      <c r="G1997" s="1">
        <v>45237</v>
      </c>
      <c r="H1997">
        <v>5415284</v>
      </c>
      <c r="I1997">
        <v>359</v>
      </c>
      <c r="J1997" t="s">
        <v>334</v>
      </c>
      <c r="K1997" t="str">
        <f>IFERROR(IF(AND(VLOOKUP($C1997,Hes!$A:$B, 1, FALSE), $M1997&lt;&gt;" "), "Ingresada", "Falta Ingresar"), " ")</f>
        <v xml:space="preserve"> </v>
      </c>
      <c r="L1997" s="4" t="s">
        <v>681</v>
      </c>
      <c r="M1997" t="s">
        <v>681</v>
      </c>
      <c r="O1997" s="5">
        <v>30862596</v>
      </c>
      <c r="P1997" s="5">
        <v>69912</v>
      </c>
      <c r="Q1997" s="5">
        <v>13283</v>
      </c>
      <c r="R1997" s="5">
        <v>83195</v>
      </c>
    </row>
    <row r="1998" spans="1:18" x14ac:dyDescent="0.25">
      <c r="A1998" t="s">
        <v>503</v>
      </c>
      <c r="B1998" t="s">
        <v>494</v>
      </c>
      <c r="C1998">
        <v>76910360</v>
      </c>
      <c r="D1998">
        <v>81</v>
      </c>
      <c r="E1998">
        <v>305942</v>
      </c>
      <c r="F1998" t="s">
        <v>1210</v>
      </c>
      <c r="G1998" s="1">
        <v>45238</v>
      </c>
      <c r="H1998">
        <v>5415648</v>
      </c>
      <c r="I1998">
        <v>359</v>
      </c>
      <c r="J1998" t="s">
        <v>334</v>
      </c>
      <c r="K1998" t="str">
        <f>IFERROR(IF(AND(VLOOKUP($C1998,Hes!$A:$B, 1, FALSE), $M1998&lt;&gt;" "), "Ingresada", "Falta Ingresar"), " ")</f>
        <v xml:space="preserve"> </v>
      </c>
      <c r="L1998" s="4" t="s">
        <v>681</v>
      </c>
      <c r="M1998" t="s">
        <v>681</v>
      </c>
      <c r="O1998" s="5">
        <v>30864776</v>
      </c>
      <c r="P1998" s="5">
        <v>124166</v>
      </c>
      <c r="Q1998" s="5">
        <v>23592</v>
      </c>
      <c r="R1998" s="5">
        <v>147758</v>
      </c>
    </row>
    <row r="1999" spans="1:18" x14ac:dyDescent="0.25">
      <c r="A1999" t="s">
        <v>503</v>
      </c>
      <c r="B1999" t="s">
        <v>494</v>
      </c>
      <c r="C1999">
        <v>76910360</v>
      </c>
      <c r="D1999">
        <v>60</v>
      </c>
      <c r="E1999">
        <v>305980</v>
      </c>
      <c r="F1999" t="s">
        <v>1210</v>
      </c>
      <c r="G1999" s="1">
        <v>45238</v>
      </c>
      <c r="H1999">
        <v>5415727</v>
      </c>
      <c r="I1999">
        <v>359</v>
      </c>
      <c r="J1999" t="s">
        <v>334</v>
      </c>
      <c r="K1999" t="str">
        <f>IFERROR(IF(AND(VLOOKUP($C1999,Hes!$A:$B, 1, FALSE), $M1999&lt;&gt;" "), "Ingresada", "Falta Ingresar"), " ")</f>
        <v xml:space="preserve"> </v>
      </c>
      <c r="L1999" s="4" t="s">
        <v>681</v>
      </c>
      <c r="M1999" t="s">
        <v>681</v>
      </c>
      <c r="O1999" s="5">
        <v>30867319</v>
      </c>
      <c r="P1999" s="5">
        <v>70720</v>
      </c>
      <c r="Q1999" s="5">
        <v>13437</v>
      </c>
      <c r="R1999" s="5">
        <v>84157</v>
      </c>
    </row>
    <row r="2000" spans="1:18" x14ac:dyDescent="0.25">
      <c r="F2000" t="s">
        <v>511</v>
      </c>
      <c r="K2000" t="str">
        <f>IFERROR(IF(AND(VLOOKUP($C2000,Hes!$A:$B, 1, FALSE), $M2000&lt;&gt;" "), "Ingresada", "Falta Ingresar"), " ")</f>
        <v xml:space="preserve"> </v>
      </c>
      <c r="L2000" s="4" t="str">
        <f>IFERROR(VLOOKUP($C2000,Observaciones!$A:$B,2,FALSE)," ")</f>
        <v xml:space="preserve"> </v>
      </c>
      <c r="M2000" t="s">
        <v>681</v>
      </c>
      <c r="P2000" s="5">
        <v>2638393</v>
      </c>
      <c r="Q2000" s="5">
        <v>501294</v>
      </c>
      <c r="R2000" s="5">
        <v>3139687</v>
      </c>
    </row>
    <row r="2001" spans="1:18" x14ac:dyDescent="0.25">
      <c r="A2001" t="s">
        <v>496</v>
      </c>
      <c r="B2001" t="s">
        <v>494</v>
      </c>
      <c r="C2001">
        <v>76911637</v>
      </c>
      <c r="D2001">
        <v>0</v>
      </c>
      <c r="E2001">
        <v>30844838</v>
      </c>
      <c r="F2001" t="s">
        <v>1211</v>
      </c>
      <c r="G2001" s="1">
        <v>45232</v>
      </c>
      <c r="H2001">
        <v>5410714</v>
      </c>
      <c r="I2001">
        <v>326</v>
      </c>
      <c r="J2001" t="s">
        <v>246</v>
      </c>
      <c r="K2001" t="str">
        <f>IFERROR(IF(AND(VLOOKUP($C2001,Hes!$A:$B, 1, FALSE), $M2001&lt;&gt;" "), "Ingresada", "Falta Ingresar"), " ")</f>
        <v xml:space="preserve"> </v>
      </c>
      <c r="L2001" s="4" t="str">
        <f>IFERROR(VLOOKUP($C2001,Observaciones!$A:$B,2,FALSE)," ")</f>
        <v>XOC Y CC</v>
      </c>
      <c r="M2001" t="s">
        <v>681</v>
      </c>
      <c r="O2001" s="5">
        <v>30844838</v>
      </c>
      <c r="P2001" s="5">
        <v>248674</v>
      </c>
      <c r="Q2001" s="5">
        <v>47248</v>
      </c>
      <c r="R2001" s="5">
        <v>295922</v>
      </c>
    </row>
    <row r="2002" spans="1:18" x14ac:dyDescent="0.25">
      <c r="F2002" t="s">
        <v>495</v>
      </c>
      <c r="K2002" t="str">
        <f>IFERROR(IF(AND(VLOOKUP($C2002,Hes!$A:$B, 1, FALSE), $M2002&lt;&gt;" "), "Ingresada", "Falta Ingresar"), " ")</f>
        <v xml:space="preserve"> </v>
      </c>
      <c r="L2002" s="4" t="str">
        <f>IFERROR(VLOOKUP($C2002,Observaciones!$A:$B,2,FALSE)," ")</f>
        <v xml:space="preserve"> </v>
      </c>
      <c r="M2002" t="s">
        <v>681</v>
      </c>
      <c r="P2002" s="5">
        <v>248674</v>
      </c>
      <c r="Q2002" s="5">
        <v>47248</v>
      </c>
      <c r="R2002" s="5">
        <v>295922</v>
      </c>
    </row>
    <row r="2003" spans="1:18" x14ac:dyDescent="0.25">
      <c r="A2003" t="s">
        <v>496</v>
      </c>
      <c r="B2003" t="s">
        <v>494</v>
      </c>
      <c r="C2003">
        <v>76914469</v>
      </c>
      <c r="D2003">
        <v>12</v>
      </c>
      <c r="E2003">
        <v>30853989</v>
      </c>
      <c r="F2003" t="s">
        <v>1212</v>
      </c>
      <c r="G2003" s="1">
        <v>45236</v>
      </c>
      <c r="H2003">
        <v>5413340</v>
      </c>
      <c r="I2003">
        <v>104</v>
      </c>
      <c r="J2003" t="s">
        <v>210</v>
      </c>
      <c r="K2003" s="8" t="str">
        <f>IFERROR(IF(AND(VLOOKUP($C2003,Hes!$A:$B, 1, FALSE), $M2003&lt;&gt;" "), "Ingresada", "Falta Ingresar"), " ")</f>
        <v>Falta Ingresar</v>
      </c>
      <c r="L2003" s="4" t="str">
        <f>IFERROR(VLOOKUP($C2003,Observaciones!$A:$B,2,FALSE)," ")</f>
        <v>SEGUN INFORME VENDEDOR</v>
      </c>
      <c r="M2003" t="s">
        <v>681</v>
      </c>
      <c r="N2003" s="5" t="s">
        <v>841</v>
      </c>
      <c r="O2003" s="5">
        <v>30853989</v>
      </c>
      <c r="P2003" s="5">
        <v>28972</v>
      </c>
      <c r="Q2003" s="5">
        <v>5505</v>
      </c>
      <c r="R2003" s="5">
        <v>34477</v>
      </c>
    </row>
    <row r="2004" spans="1:18" x14ac:dyDescent="0.25">
      <c r="A2004" t="s">
        <v>496</v>
      </c>
      <c r="B2004" t="s">
        <v>494</v>
      </c>
      <c r="C2004">
        <v>76914469</v>
      </c>
      <c r="D2004">
        <v>8</v>
      </c>
      <c r="E2004">
        <v>30853991</v>
      </c>
      <c r="F2004" t="s">
        <v>1212</v>
      </c>
      <c r="G2004" s="1">
        <v>45236</v>
      </c>
      <c r="H2004">
        <v>5413585</v>
      </c>
      <c r="I2004">
        <v>104</v>
      </c>
      <c r="J2004" t="s">
        <v>210</v>
      </c>
      <c r="K2004" s="8" t="str">
        <f>IFERROR(IF(AND(VLOOKUP($C2004,Hes!$A:$B, 1, FALSE), $M2004&lt;&gt;" "), "Ingresada", "Falta Ingresar"), " ")</f>
        <v>Falta Ingresar</v>
      </c>
      <c r="L2004" s="4" t="str">
        <f>IFERROR(VLOOKUP($C2004,Observaciones!$A:$B,2,FALSE)," ")</f>
        <v>SEGUN INFORME VENDEDOR</v>
      </c>
      <c r="M2004" t="s">
        <v>681</v>
      </c>
      <c r="N2004" s="5" t="s">
        <v>841</v>
      </c>
      <c r="O2004" s="5">
        <v>30853991</v>
      </c>
      <c r="P2004" s="5">
        <v>59148</v>
      </c>
      <c r="Q2004" s="5">
        <v>11238</v>
      </c>
      <c r="R2004" s="5">
        <v>70386</v>
      </c>
    </row>
    <row r="2005" spans="1:18" x14ac:dyDescent="0.25">
      <c r="A2005" t="s">
        <v>496</v>
      </c>
      <c r="B2005" t="s">
        <v>494</v>
      </c>
      <c r="C2005">
        <v>76914469</v>
      </c>
      <c r="D2005">
        <v>1</v>
      </c>
      <c r="E2005">
        <v>30853992</v>
      </c>
      <c r="F2005" t="s">
        <v>1212</v>
      </c>
      <c r="G2005" s="1">
        <v>45236</v>
      </c>
      <c r="H2005">
        <v>5413624</v>
      </c>
      <c r="I2005">
        <v>104</v>
      </c>
      <c r="J2005" t="s">
        <v>210</v>
      </c>
      <c r="K2005" s="8" t="str">
        <f>IFERROR(IF(AND(VLOOKUP($C2005,Hes!$A:$B, 1, FALSE), $M2005&lt;&gt;" "), "Ingresada", "Falta Ingresar"), " ")</f>
        <v>Falta Ingresar</v>
      </c>
      <c r="L2005" s="4" t="str">
        <f>IFERROR(VLOOKUP($C2005,Observaciones!$A:$B,2,FALSE)," ")</f>
        <v>SEGUN INFORME VENDEDOR</v>
      </c>
      <c r="M2005" t="s">
        <v>681</v>
      </c>
      <c r="N2005" s="5" t="s">
        <v>841</v>
      </c>
      <c r="O2005" s="5">
        <v>30853992</v>
      </c>
      <c r="P2005" s="5">
        <v>125624</v>
      </c>
      <c r="Q2005" s="5">
        <v>23869</v>
      </c>
      <c r="R2005" s="5">
        <v>149493</v>
      </c>
    </row>
    <row r="2006" spans="1:18" x14ac:dyDescent="0.25">
      <c r="A2006" t="s">
        <v>496</v>
      </c>
      <c r="B2006" t="s">
        <v>494</v>
      </c>
      <c r="C2006">
        <v>76914469</v>
      </c>
      <c r="D2006">
        <v>10</v>
      </c>
      <c r="E2006">
        <v>30853986</v>
      </c>
      <c r="F2006" t="s">
        <v>1212</v>
      </c>
      <c r="G2006" s="1">
        <v>45236</v>
      </c>
      <c r="H2006">
        <v>5413627</v>
      </c>
      <c r="I2006">
        <v>104</v>
      </c>
      <c r="J2006" t="s">
        <v>210</v>
      </c>
      <c r="K2006" s="8" t="str">
        <f>IFERROR(IF(AND(VLOOKUP($C2006,Hes!$A:$B, 1, FALSE), $M2006&lt;&gt;" "), "Ingresada", "Falta Ingresar"), " ")</f>
        <v>Falta Ingresar</v>
      </c>
      <c r="L2006" s="4" t="str">
        <f>IFERROR(VLOOKUP($C2006,Observaciones!$A:$B,2,FALSE)," ")</f>
        <v>SEGUN INFORME VENDEDOR</v>
      </c>
      <c r="M2006" t="s">
        <v>681</v>
      </c>
      <c r="N2006" s="5" t="s">
        <v>841</v>
      </c>
      <c r="O2006" s="5">
        <v>30853986</v>
      </c>
      <c r="P2006" s="5">
        <v>99529</v>
      </c>
      <c r="Q2006" s="5">
        <v>18911</v>
      </c>
      <c r="R2006" s="5">
        <v>118440</v>
      </c>
    </row>
    <row r="2007" spans="1:18" x14ac:dyDescent="0.25">
      <c r="F2007" t="s">
        <v>498</v>
      </c>
      <c r="K2007" t="str">
        <f>IFERROR(IF(AND(VLOOKUP($C2007,Hes!$A:$B, 1, FALSE), $M2007&lt;&gt;" "), "Ingresada", "Falta Ingresar"), " ")</f>
        <v xml:space="preserve"> </v>
      </c>
      <c r="L2007" s="4" t="str">
        <f>IFERROR(VLOOKUP($C2007,Observaciones!$A:$B,2,FALSE)," ")</f>
        <v xml:space="preserve"> </v>
      </c>
      <c r="M2007" t="s">
        <v>681</v>
      </c>
      <c r="P2007" s="5">
        <v>313273</v>
      </c>
      <c r="Q2007" s="5">
        <v>59523</v>
      </c>
      <c r="R2007" s="5">
        <v>372796</v>
      </c>
    </row>
    <row r="2008" spans="1:18" x14ac:dyDescent="0.25">
      <c r="A2008" t="s">
        <v>520</v>
      </c>
      <c r="B2008" t="s">
        <v>494</v>
      </c>
      <c r="C2008">
        <v>76921410</v>
      </c>
      <c r="D2008">
        <v>3</v>
      </c>
      <c r="E2008">
        <v>30862041</v>
      </c>
      <c r="F2008" t="s">
        <v>1213</v>
      </c>
      <c r="G2008" s="1">
        <v>45237</v>
      </c>
      <c r="H2008">
        <v>5415277</v>
      </c>
      <c r="I2008">
        <v>108</v>
      </c>
      <c r="J2008" t="s">
        <v>196</v>
      </c>
      <c r="K2008" t="str">
        <f>IFERROR(IF(AND(VLOOKUP($C2008,Hes!$A:$B, 1, FALSE), $M2008&lt;&gt;" "), "Ingresada", "Falta Ingresar"), " ")</f>
        <v xml:space="preserve"> </v>
      </c>
      <c r="L2008" s="4" t="str">
        <f>IFERROR(VLOOKUP($C2008,Observaciones!$A:$B,2,FALSE)," ")</f>
        <v xml:space="preserve"> </v>
      </c>
      <c r="M2008" t="s">
        <v>681</v>
      </c>
      <c r="O2008" s="5">
        <v>30862041</v>
      </c>
      <c r="P2008" s="5">
        <v>155445</v>
      </c>
      <c r="Q2008" s="5">
        <v>29535</v>
      </c>
      <c r="R2008" s="5">
        <v>184980</v>
      </c>
    </row>
    <row r="2009" spans="1:18" x14ac:dyDescent="0.25">
      <c r="F2009" t="s">
        <v>495</v>
      </c>
      <c r="K2009" t="str">
        <f>IFERROR(IF(AND(VLOOKUP($C2009,Hes!$A:$B, 1, FALSE), $M2009&lt;&gt;" "), "Ingresada", "Falta Ingresar"), " ")</f>
        <v xml:space="preserve"> </v>
      </c>
      <c r="L2009" s="4" t="str">
        <f>IFERROR(VLOOKUP($C2009,Observaciones!$A:$B,2,FALSE)," ")</f>
        <v xml:space="preserve"> </v>
      </c>
      <c r="M2009" t="s">
        <v>681</v>
      </c>
      <c r="P2009" s="5">
        <v>155445</v>
      </c>
      <c r="Q2009" s="5">
        <v>29535</v>
      </c>
      <c r="R2009" s="5">
        <v>184980</v>
      </c>
    </row>
    <row r="2010" spans="1:18" x14ac:dyDescent="0.25">
      <c r="A2010" t="s">
        <v>503</v>
      </c>
      <c r="B2010" t="s">
        <v>502</v>
      </c>
      <c r="C2010">
        <v>76937033</v>
      </c>
      <c r="D2010">
        <v>6</v>
      </c>
      <c r="E2010">
        <v>30856088</v>
      </c>
      <c r="F2010" t="s">
        <v>1214</v>
      </c>
      <c r="G2010" s="1">
        <v>45234</v>
      </c>
      <c r="H2010">
        <v>5412886</v>
      </c>
      <c r="I2010">
        <v>17</v>
      </c>
      <c r="J2010" t="s">
        <v>305</v>
      </c>
      <c r="K2010" t="str">
        <f>IFERROR(IF(AND(VLOOKUP($C2010,Hes!$A:$B, 1, FALSE), $M2010&lt;&gt;" "), "Ingresada", "Falta Ingresar"), " ")</f>
        <v xml:space="preserve"> </v>
      </c>
      <c r="L2010" s="4" t="str">
        <f>IFERROR(VLOOKUP($C2010,Observaciones!$A:$B,2,FALSE)," ")</f>
        <v xml:space="preserve"> </v>
      </c>
      <c r="M2010" t="s">
        <v>681</v>
      </c>
      <c r="O2010" s="5">
        <v>30856088</v>
      </c>
      <c r="P2010" s="5">
        <v>23942</v>
      </c>
      <c r="Q2010" s="5">
        <v>4549</v>
      </c>
      <c r="R2010" s="5">
        <v>28491</v>
      </c>
    </row>
    <row r="2011" spans="1:18" x14ac:dyDescent="0.25">
      <c r="A2011" t="s">
        <v>503</v>
      </c>
      <c r="B2011" t="s">
        <v>502</v>
      </c>
      <c r="C2011">
        <v>76937033</v>
      </c>
      <c r="D2011">
        <v>11</v>
      </c>
      <c r="E2011">
        <v>30856173</v>
      </c>
      <c r="F2011" t="s">
        <v>1214</v>
      </c>
      <c r="G2011" s="1">
        <v>45236</v>
      </c>
      <c r="H2011">
        <v>5413264</v>
      </c>
      <c r="I2011">
        <v>17</v>
      </c>
      <c r="J2011" t="s">
        <v>305</v>
      </c>
      <c r="K2011" t="str">
        <f>IFERROR(IF(AND(VLOOKUP($C2011,Hes!$A:$B, 1, FALSE), $M2011&lt;&gt;" "), "Ingresada", "Falta Ingresar"), " ")</f>
        <v xml:space="preserve"> </v>
      </c>
      <c r="L2011" s="4" t="str">
        <f>IFERROR(VLOOKUP($C2011,Observaciones!$A:$B,2,FALSE)," ")</f>
        <v xml:space="preserve"> </v>
      </c>
      <c r="M2011" t="s">
        <v>681</v>
      </c>
      <c r="O2011" s="5">
        <v>30856173</v>
      </c>
      <c r="P2011" s="5">
        <v>53484</v>
      </c>
      <c r="Q2011" s="5">
        <v>10162</v>
      </c>
      <c r="R2011" s="5">
        <v>63646</v>
      </c>
    </row>
    <row r="2012" spans="1:18" x14ac:dyDescent="0.25">
      <c r="F2012" t="s">
        <v>497</v>
      </c>
      <c r="K2012" t="str">
        <f>IFERROR(IF(AND(VLOOKUP($C2012,Hes!$A:$B, 1, FALSE), $M2012&lt;&gt;" "), "Ingresada", "Falta Ingresar"), " ")</f>
        <v xml:space="preserve"> </v>
      </c>
      <c r="L2012" s="4" t="str">
        <f>IFERROR(VLOOKUP($C2012,Observaciones!$A:$B,2,FALSE)," ")</f>
        <v xml:space="preserve"> </v>
      </c>
      <c r="M2012" t="s">
        <v>681</v>
      </c>
      <c r="P2012" s="5">
        <v>77426</v>
      </c>
      <c r="Q2012" s="5">
        <v>14711</v>
      </c>
      <c r="R2012" s="5">
        <v>92137</v>
      </c>
    </row>
    <row r="2013" spans="1:18" x14ac:dyDescent="0.25">
      <c r="A2013" t="s">
        <v>513</v>
      </c>
      <c r="B2013" t="s">
        <v>494</v>
      </c>
      <c r="C2013">
        <v>76938030</v>
      </c>
      <c r="D2013">
        <v>41</v>
      </c>
      <c r="E2013">
        <v>30844962</v>
      </c>
      <c r="F2013" t="s">
        <v>1215</v>
      </c>
      <c r="G2013" s="1">
        <v>45232</v>
      </c>
      <c r="H2013">
        <v>5410718</v>
      </c>
      <c r="I2013">
        <v>114</v>
      </c>
      <c r="J2013" t="s">
        <v>182</v>
      </c>
      <c r="K2013" t="str">
        <f>IFERROR(IF(AND(VLOOKUP($C2013,Hes!$A:$B, 1, FALSE), $M2013&lt;&gt;" "), "Ingresada", "Falta Ingresar"), " ")</f>
        <v xml:space="preserve"> </v>
      </c>
      <c r="L2013" s="4" t="s">
        <v>681</v>
      </c>
      <c r="M2013" t="s">
        <v>681</v>
      </c>
      <c r="O2013" s="5">
        <v>30844962</v>
      </c>
      <c r="P2013" s="5">
        <v>272410</v>
      </c>
      <c r="Q2013" s="5">
        <v>51758</v>
      </c>
      <c r="R2013" s="5">
        <v>324168</v>
      </c>
    </row>
    <row r="2014" spans="1:18" x14ac:dyDescent="0.25">
      <c r="F2014" t="s">
        <v>495</v>
      </c>
      <c r="K2014" t="str">
        <f>IFERROR(IF(AND(VLOOKUP($C2014,Hes!$A:$B, 1, FALSE), $M2014&lt;&gt;" "), "Ingresada", "Falta Ingresar"), " ")</f>
        <v xml:space="preserve"> </v>
      </c>
      <c r="L2014" s="4" t="str">
        <f>IFERROR(VLOOKUP($C2014,Observaciones!$A:$B,2,FALSE)," ")</f>
        <v xml:space="preserve"> </v>
      </c>
      <c r="M2014" t="s">
        <v>681</v>
      </c>
      <c r="P2014" s="5">
        <v>272410</v>
      </c>
      <c r="Q2014" s="5">
        <v>51758</v>
      </c>
      <c r="R2014" s="5">
        <v>324168</v>
      </c>
    </row>
    <row r="2015" spans="1:18" x14ac:dyDescent="0.25">
      <c r="A2015" t="s">
        <v>1216</v>
      </c>
      <c r="B2015" t="s">
        <v>494</v>
      </c>
      <c r="C2015">
        <v>76957554</v>
      </c>
      <c r="D2015">
        <v>3</v>
      </c>
      <c r="E2015">
        <v>30849866</v>
      </c>
      <c r="F2015" t="s">
        <v>1217</v>
      </c>
      <c r="G2015" s="1">
        <v>45233</v>
      </c>
      <c r="H2015">
        <v>5411562</v>
      </c>
      <c r="I2015">
        <v>122</v>
      </c>
      <c r="J2015" t="s">
        <v>396</v>
      </c>
      <c r="K2015" t="str">
        <f>IFERROR(IF(AND(VLOOKUP($C2015,Hes!$A:$B, 1, FALSE), $M2015&lt;&gt;" "), "Ingresada", "Falta Ingresar"), " ")</f>
        <v xml:space="preserve"> </v>
      </c>
      <c r="L2015" s="4" t="str">
        <f>IFERROR(VLOOKUP($C2015,Observaciones!$A:$B,2,FALSE)," ")</f>
        <v>XRUT AL CC COSTO</v>
      </c>
      <c r="M2015" t="s">
        <v>681</v>
      </c>
      <c r="O2015" s="5">
        <v>30849866</v>
      </c>
      <c r="P2015" s="5">
        <v>234849</v>
      </c>
      <c r="Q2015" s="5">
        <v>44621</v>
      </c>
      <c r="R2015" s="5">
        <v>279470</v>
      </c>
    </row>
    <row r="2016" spans="1:18" x14ac:dyDescent="0.25">
      <c r="A2016" t="s">
        <v>1216</v>
      </c>
      <c r="B2016" t="s">
        <v>494</v>
      </c>
      <c r="C2016">
        <v>76957554</v>
      </c>
      <c r="D2016">
        <v>50</v>
      </c>
      <c r="E2016">
        <v>30853557</v>
      </c>
      <c r="F2016" t="s">
        <v>1217</v>
      </c>
      <c r="G2016" s="1">
        <v>45236</v>
      </c>
      <c r="H2016">
        <v>5412240</v>
      </c>
      <c r="I2016">
        <v>122</v>
      </c>
      <c r="J2016" t="s">
        <v>396</v>
      </c>
      <c r="K2016" t="str">
        <f>IFERROR(IF(AND(VLOOKUP($C2016,Hes!$A:$B, 1, FALSE), $M2016&lt;&gt;" "), "Ingresada", "Falta Ingresar"), " ")</f>
        <v xml:space="preserve"> </v>
      </c>
      <c r="L2016" s="4" t="str">
        <f>IFERROR(VLOOKUP($C2016,Observaciones!$A:$B,2,FALSE)," ")</f>
        <v>XRUT AL CC COSTO</v>
      </c>
      <c r="M2016" t="s">
        <v>681</v>
      </c>
      <c r="O2016" s="5">
        <v>30853557</v>
      </c>
      <c r="P2016" s="5">
        <v>40549</v>
      </c>
      <c r="Q2016" s="5">
        <v>7704</v>
      </c>
      <c r="R2016" s="5">
        <v>48253</v>
      </c>
    </row>
    <row r="2017" spans="1:18" x14ac:dyDescent="0.25">
      <c r="A2017" t="s">
        <v>1216</v>
      </c>
      <c r="B2017" t="s">
        <v>494</v>
      </c>
      <c r="C2017">
        <v>76957554</v>
      </c>
      <c r="D2017">
        <v>25</v>
      </c>
      <c r="E2017">
        <v>30853585</v>
      </c>
      <c r="F2017" t="s">
        <v>1217</v>
      </c>
      <c r="G2017" s="1">
        <v>45236</v>
      </c>
      <c r="H2017">
        <v>5412310</v>
      </c>
      <c r="I2017">
        <v>122</v>
      </c>
      <c r="J2017" t="s">
        <v>396</v>
      </c>
      <c r="K2017" t="str">
        <f>IFERROR(IF(AND(VLOOKUP($C2017,Hes!$A:$B, 1, FALSE), $M2017&lt;&gt;" "), "Ingresada", "Falta Ingresar"), " ")</f>
        <v xml:space="preserve"> </v>
      </c>
      <c r="L2017" s="4" t="str">
        <f>IFERROR(VLOOKUP($C2017,Observaciones!$A:$B,2,FALSE)," ")</f>
        <v>XRUT AL CC COSTO</v>
      </c>
      <c r="M2017" t="s">
        <v>681</v>
      </c>
      <c r="O2017" s="5">
        <v>30853585</v>
      </c>
      <c r="P2017" s="5">
        <v>84112</v>
      </c>
      <c r="Q2017" s="5">
        <v>15981</v>
      </c>
      <c r="R2017" s="5">
        <v>100093</v>
      </c>
    </row>
    <row r="2018" spans="1:18" x14ac:dyDescent="0.25">
      <c r="A2018" t="s">
        <v>1216</v>
      </c>
      <c r="B2018" t="s">
        <v>494</v>
      </c>
      <c r="C2018">
        <v>76957554</v>
      </c>
      <c r="D2018">
        <v>3</v>
      </c>
      <c r="E2018">
        <v>30852063</v>
      </c>
      <c r="F2018" t="s">
        <v>1217</v>
      </c>
      <c r="G2018" s="1">
        <v>45236</v>
      </c>
      <c r="H2018">
        <v>5412330</v>
      </c>
      <c r="I2018">
        <v>122</v>
      </c>
      <c r="J2018" t="s">
        <v>396</v>
      </c>
      <c r="K2018" t="str">
        <f>IFERROR(IF(AND(VLOOKUP($C2018,Hes!$A:$B, 1, FALSE), $M2018&lt;&gt;" "), "Ingresada", "Falta Ingresar"), " ")</f>
        <v xml:space="preserve"> </v>
      </c>
      <c r="L2018" s="4" t="str">
        <f>IFERROR(VLOOKUP($C2018,Observaciones!$A:$B,2,FALSE)," ")</f>
        <v>XRUT AL CC COSTO</v>
      </c>
      <c r="M2018" t="s">
        <v>681</v>
      </c>
      <c r="O2018" s="5">
        <v>30852063</v>
      </c>
      <c r="P2018" s="5">
        <v>53044</v>
      </c>
      <c r="Q2018" s="5">
        <v>10078</v>
      </c>
      <c r="R2018" s="5">
        <v>63122</v>
      </c>
    </row>
    <row r="2019" spans="1:18" x14ac:dyDescent="0.25">
      <c r="A2019" t="s">
        <v>1216</v>
      </c>
      <c r="B2019" t="s">
        <v>494</v>
      </c>
      <c r="C2019">
        <v>76957554</v>
      </c>
      <c r="D2019">
        <v>87</v>
      </c>
      <c r="E2019" t="s">
        <v>1218</v>
      </c>
      <c r="F2019" t="s">
        <v>1217</v>
      </c>
      <c r="G2019" s="1">
        <v>45234</v>
      </c>
      <c r="H2019">
        <v>5412529</v>
      </c>
      <c r="I2019">
        <v>122</v>
      </c>
      <c r="J2019" t="s">
        <v>396</v>
      </c>
      <c r="K2019" t="str">
        <f>IFERROR(IF(AND(VLOOKUP($C2019,Hes!$A:$B, 1, FALSE), $M2019&lt;&gt;" "), "Ingresada", "Falta Ingresar"), " ")</f>
        <v xml:space="preserve"> </v>
      </c>
      <c r="L2019" s="4" t="str">
        <f>IFERROR(VLOOKUP($C2019,Observaciones!$A:$B,2,FALSE)," ")</f>
        <v>XRUT AL CC COSTO</v>
      </c>
      <c r="M2019" t="s">
        <v>681</v>
      </c>
      <c r="O2019" s="5">
        <v>30854074</v>
      </c>
      <c r="P2019" s="5">
        <v>14436</v>
      </c>
      <c r="Q2019" s="5">
        <v>2743</v>
      </c>
      <c r="R2019" s="5">
        <v>17179</v>
      </c>
    </row>
    <row r="2020" spans="1:18" x14ac:dyDescent="0.25">
      <c r="A2020" t="s">
        <v>1216</v>
      </c>
      <c r="B2020" t="s">
        <v>494</v>
      </c>
      <c r="C2020">
        <v>76957554</v>
      </c>
      <c r="D2020">
        <v>88</v>
      </c>
      <c r="E2020">
        <v>30853733</v>
      </c>
      <c r="F2020" t="s">
        <v>1217</v>
      </c>
      <c r="G2020" s="1">
        <v>45234</v>
      </c>
      <c r="H2020">
        <v>5412534</v>
      </c>
      <c r="I2020">
        <v>122</v>
      </c>
      <c r="J2020" t="s">
        <v>396</v>
      </c>
      <c r="K2020" t="str">
        <f>IFERROR(IF(AND(VLOOKUP($C2020,Hes!$A:$B, 1, FALSE), $M2020&lt;&gt;" "), "Ingresada", "Falta Ingresar"), " ")</f>
        <v xml:space="preserve"> </v>
      </c>
      <c r="L2020" s="4" t="str">
        <f>IFERROR(VLOOKUP($C2020,Observaciones!$A:$B,2,FALSE)," ")</f>
        <v>XRUT AL CC COSTO</v>
      </c>
      <c r="M2020" t="s">
        <v>681</v>
      </c>
      <c r="O2020" s="5">
        <v>30853733</v>
      </c>
      <c r="P2020" s="5">
        <v>99937</v>
      </c>
      <c r="Q2020" s="5">
        <v>18988</v>
      </c>
      <c r="R2020" s="5">
        <v>118925</v>
      </c>
    </row>
    <row r="2021" spans="1:18" x14ac:dyDescent="0.25">
      <c r="A2021" t="s">
        <v>1216</v>
      </c>
      <c r="B2021" t="s">
        <v>494</v>
      </c>
      <c r="C2021">
        <v>76957554</v>
      </c>
      <c r="D2021">
        <v>35</v>
      </c>
      <c r="E2021">
        <v>30853609</v>
      </c>
      <c r="F2021" t="s">
        <v>1217</v>
      </c>
      <c r="G2021" s="1">
        <v>45236</v>
      </c>
      <c r="H2021">
        <v>5412583</v>
      </c>
      <c r="I2021">
        <v>122</v>
      </c>
      <c r="J2021" t="s">
        <v>396</v>
      </c>
      <c r="K2021" t="str">
        <f>IFERROR(IF(AND(VLOOKUP($C2021,Hes!$A:$B, 1, FALSE), $M2021&lt;&gt;" "), "Ingresada", "Falta Ingresar"), " ")</f>
        <v xml:space="preserve"> </v>
      </c>
      <c r="L2021" s="4" t="str">
        <f>IFERROR(VLOOKUP($C2021,Observaciones!$A:$B,2,FALSE)," ")</f>
        <v>XRUT AL CC COSTO</v>
      </c>
      <c r="M2021" t="s">
        <v>681</v>
      </c>
      <c r="O2021" s="5">
        <v>30853609</v>
      </c>
      <c r="P2021" s="5">
        <v>50970</v>
      </c>
      <c r="Q2021" s="5">
        <v>9684</v>
      </c>
      <c r="R2021" s="5">
        <v>60654</v>
      </c>
    </row>
    <row r="2022" spans="1:18" x14ac:dyDescent="0.25">
      <c r="A2022" t="s">
        <v>1216</v>
      </c>
      <c r="B2022" t="s">
        <v>494</v>
      </c>
      <c r="C2022">
        <v>76957554</v>
      </c>
      <c r="D2022">
        <v>45</v>
      </c>
      <c r="E2022">
        <v>30853647</v>
      </c>
      <c r="F2022" t="s">
        <v>1217</v>
      </c>
      <c r="G2022" s="1">
        <v>45236</v>
      </c>
      <c r="H2022">
        <v>5412587</v>
      </c>
      <c r="I2022">
        <v>122</v>
      </c>
      <c r="J2022" t="s">
        <v>396</v>
      </c>
      <c r="K2022" t="str">
        <f>IFERROR(IF(AND(VLOOKUP($C2022,Hes!$A:$B, 1, FALSE), $M2022&lt;&gt;" "), "Ingresada", "Falta Ingresar"), " ")</f>
        <v xml:space="preserve"> </v>
      </c>
      <c r="L2022" s="4" t="str">
        <f>IFERROR(VLOOKUP($C2022,Observaciones!$A:$B,2,FALSE)," ")</f>
        <v>XRUT AL CC COSTO</v>
      </c>
      <c r="M2022" t="s">
        <v>681</v>
      </c>
      <c r="O2022" s="5">
        <v>30853647</v>
      </c>
      <c r="P2022" s="5">
        <v>148787</v>
      </c>
      <c r="Q2022" s="5">
        <v>28270</v>
      </c>
      <c r="R2022" s="5">
        <v>177057</v>
      </c>
    </row>
    <row r="2023" spans="1:18" x14ac:dyDescent="0.25">
      <c r="A2023" t="s">
        <v>1216</v>
      </c>
      <c r="B2023" t="s">
        <v>494</v>
      </c>
      <c r="C2023">
        <v>76957554</v>
      </c>
      <c r="D2023">
        <v>89</v>
      </c>
      <c r="E2023">
        <v>30853987</v>
      </c>
      <c r="F2023" t="s">
        <v>1217</v>
      </c>
      <c r="G2023" s="1">
        <v>45234</v>
      </c>
      <c r="H2023">
        <v>5412599</v>
      </c>
      <c r="I2023">
        <v>122</v>
      </c>
      <c r="J2023" t="s">
        <v>396</v>
      </c>
      <c r="K2023" t="str">
        <f>IFERROR(IF(AND(VLOOKUP($C2023,Hes!$A:$B, 1, FALSE), $M2023&lt;&gt;" "), "Ingresada", "Falta Ingresar"), " ")</f>
        <v xml:space="preserve"> </v>
      </c>
      <c r="L2023" s="4" t="str">
        <f>IFERROR(VLOOKUP($C2023,Observaciones!$A:$B,2,FALSE)," ")</f>
        <v>XRUT AL CC COSTO</v>
      </c>
      <c r="M2023" t="s">
        <v>681</v>
      </c>
      <c r="O2023" s="5">
        <v>30853987</v>
      </c>
      <c r="P2023" s="5">
        <v>147439</v>
      </c>
      <c r="Q2023" s="5">
        <v>28013</v>
      </c>
      <c r="R2023" s="5">
        <v>175452</v>
      </c>
    </row>
    <row r="2024" spans="1:18" x14ac:dyDescent="0.25">
      <c r="A2024" t="s">
        <v>1216</v>
      </c>
      <c r="B2024" t="s">
        <v>494</v>
      </c>
      <c r="C2024">
        <v>76957554</v>
      </c>
      <c r="D2024">
        <v>94</v>
      </c>
      <c r="E2024">
        <v>30853576</v>
      </c>
      <c r="F2024" t="s">
        <v>1217</v>
      </c>
      <c r="G2024" s="1">
        <v>45235</v>
      </c>
      <c r="H2024">
        <v>5412601</v>
      </c>
      <c r="I2024">
        <v>122</v>
      </c>
      <c r="J2024" t="s">
        <v>396</v>
      </c>
      <c r="K2024" t="str">
        <f>IFERROR(IF(AND(VLOOKUP($C2024,Hes!$A:$B, 1, FALSE), $M2024&lt;&gt;" "), "Ingresada", "Falta Ingresar"), " ")</f>
        <v xml:space="preserve"> </v>
      </c>
      <c r="L2024" s="4" t="str">
        <f>IFERROR(VLOOKUP($C2024,Observaciones!$A:$B,2,FALSE)," ")</f>
        <v>XRUT AL CC COSTO</v>
      </c>
      <c r="M2024" t="s">
        <v>681</v>
      </c>
      <c r="O2024" s="5">
        <v>30853576</v>
      </c>
      <c r="P2024" s="5">
        <v>79587</v>
      </c>
      <c r="Q2024" s="5">
        <v>15122</v>
      </c>
      <c r="R2024" s="5">
        <v>94709</v>
      </c>
    </row>
    <row r="2025" spans="1:18" x14ac:dyDescent="0.25">
      <c r="A2025" t="s">
        <v>1216</v>
      </c>
      <c r="B2025" t="s">
        <v>494</v>
      </c>
      <c r="C2025">
        <v>76957554</v>
      </c>
      <c r="D2025">
        <v>87</v>
      </c>
      <c r="E2025">
        <v>30853893</v>
      </c>
      <c r="F2025" t="s">
        <v>1217</v>
      </c>
      <c r="G2025" s="1">
        <v>45234</v>
      </c>
      <c r="H2025">
        <v>5412603</v>
      </c>
      <c r="I2025">
        <v>122</v>
      </c>
      <c r="J2025" t="s">
        <v>396</v>
      </c>
      <c r="K2025" t="str">
        <f>IFERROR(IF(AND(VLOOKUP($C2025,Hes!$A:$B, 1, FALSE), $M2025&lt;&gt;" "), "Ingresada", "Falta Ingresar"), " ")</f>
        <v xml:space="preserve"> </v>
      </c>
      <c r="L2025" s="4" t="str">
        <f>IFERROR(VLOOKUP($C2025,Observaciones!$A:$B,2,FALSE)," ")</f>
        <v>XRUT AL CC COSTO</v>
      </c>
      <c r="M2025" t="s">
        <v>681</v>
      </c>
      <c r="O2025" s="5">
        <v>30853893</v>
      </c>
      <c r="P2025" s="5">
        <v>64611</v>
      </c>
      <c r="Q2025" s="5">
        <v>12276</v>
      </c>
      <c r="R2025" s="5">
        <v>76887</v>
      </c>
    </row>
    <row r="2026" spans="1:18" x14ac:dyDescent="0.25">
      <c r="A2026" t="s">
        <v>1216</v>
      </c>
      <c r="B2026" t="s">
        <v>494</v>
      </c>
      <c r="C2026">
        <v>76957554</v>
      </c>
      <c r="D2026">
        <v>52</v>
      </c>
      <c r="E2026">
        <v>30853603</v>
      </c>
      <c r="F2026" t="s">
        <v>1217</v>
      </c>
      <c r="G2026" s="1">
        <v>45236</v>
      </c>
      <c r="H2026">
        <v>5412613</v>
      </c>
      <c r="I2026">
        <v>122</v>
      </c>
      <c r="J2026" t="s">
        <v>396</v>
      </c>
      <c r="K2026" t="str">
        <f>IFERROR(IF(AND(VLOOKUP($C2026,Hes!$A:$B, 1, FALSE), $M2026&lt;&gt;" "), "Ingresada", "Falta Ingresar"), " ")</f>
        <v xml:space="preserve"> </v>
      </c>
      <c r="L2026" s="4" t="str">
        <f>IFERROR(VLOOKUP($C2026,Observaciones!$A:$B,2,FALSE)," ")</f>
        <v>XRUT AL CC COSTO</v>
      </c>
      <c r="M2026" t="s">
        <v>681</v>
      </c>
      <c r="O2026" s="5">
        <v>30853603</v>
      </c>
      <c r="P2026" s="5">
        <v>88826</v>
      </c>
      <c r="Q2026" s="5">
        <v>16877</v>
      </c>
      <c r="R2026" s="5">
        <v>105703</v>
      </c>
    </row>
    <row r="2027" spans="1:18" x14ac:dyDescent="0.25">
      <c r="A2027" t="s">
        <v>1216</v>
      </c>
      <c r="B2027" t="s">
        <v>494</v>
      </c>
      <c r="C2027">
        <v>76957554</v>
      </c>
      <c r="D2027">
        <v>16</v>
      </c>
      <c r="E2027">
        <v>30853974</v>
      </c>
      <c r="F2027" t="s">
        <v>1217</v>
      </c>
      <c r="G2027" s="1">
        <v>45236</v>
      </c>
      <c r="H2027">
        <v>5412624</v>
      </c>
      <c r="I2027">
        <v>122</v>
      </c>
      <c r="J2027" t="s">
        <v>396</v>
      </c>
      <c r="K2027" t="str">
        <f>IFERROR(IF(AND(VLOOKUP($C2027,Hes!$A:$B, 1, FALSE), $M2027&lt;&gt;" "), "Ingresada", "Falta Ingresar"), " ")</f>
        <v xml:space="preserve"> </v>
      </c>
      <c r="L2027" s="4" t="str">
        <f>IFERROR(VLOOKUP($C2027,Observaciones!$A:$B,2,FALSE)," ")</f>
        <v>XRUT AL CC COSTO</v>
      </c>
      <c r="M2027" t="s">
        <v>681</v>
      </c>
      <c r="O2027" s="5">
        <v>30853974</v>
      </c>
      <c r="P2027" s="5">
        <v>172370</v>
      </c>
      <c r="Q2027" s="5">
        <v>32750</v>
      </c>
      <c r="R2027" s="5">
        <v>205120</v>
      </c>
    </row>
    <row r="2028" spans="1:18" x14ac:dyDescent="0.25">
      <c r="A2028" t="s">
        <v>1216</v>
      </c>
      <c r="B2028" t="s">
        <v>494</v>
      </c>
      <c r="C2028">
        <v>76957554</v>
      </c>
      <c r="D2028">
        <v>11</v>
      </c>
      <c r="E2028">
        <v>30853924</v>
      </c>
      <c r="F2028" t="s">
        <v>1217</v>
      </c>
      <c r="G2028" s="1">
        <v>45234</v>
      </c>
      <c r="H2028">
        <v>5412651</v>
      </c>
      <c r="I2028">
        <v>122</v>
      </c>
      <c r="J2028" t="s">
        <v>396</v>
      </c>
      <c r="K2028" t="str">
        <f>IFERROR(IF(AND(VLOOKUP($C2028,Hes!$A:$B, 1, FALSE), $M2028&lt;&gt;" "), "Ingresada", "Falta Ingresar"), " ")</f>
        <v xml:space="preserve"> </v>
      </c>
      <c r="L2028" s="4" t="str">
        <f>IFERROR(VLOOKUP($C2028,Observaciones!$A:$B,2,FALSE)," ")</f>
        <v>XRUT AL CC COSTO</v>
      </c>
      <c r="M2028" t="s">
        <v>681</v>
      </c>
      <c r="O2028" s="5">
        <v>30853924</v>
      </c>
      <c r="P2028" s="5">
        <v>120714</v>
      </c>
      <c r="Q2028" s="5">
        <v>22936</v>
      </c>
      <c r="R2028" s="5">
        <v>143650</v>
      </c>
    </row>
    <row r="2029" spans="1:18" x14ac:dyDescent="0.25">
      <c r="A2029" t="s">
        <v>1216</v>
      </c>
      <c r="B2029" t="s">
        <v>494</v>
      </c>
      <c r="C2029">
        <v>76957554</v>
      </c>
      <c r="D2029">
        <v>47</v>
      </c>
      <c r="E2029">
        <v>30853066</v>
      </c>
      <c r="F2029" t="s">
        <v>1217</v>
      </c>
      <c r="G2029" s="1">
        <v>45236</v>
      </c>
      <c r="H2029">
        <v>5412670</v>
      </c>
      <c r="I2029">
        <v>122</v>
      </c>
      <c r="J2029" t="s">
        <v>396</v>
      </c>
      <c r="K2029" t="str">
        <f>IFERROR(IF(AND(VLOOKUP($C2029,Hes!$A:$B, 1, FALSE), $M2029&lt;&gt;" "), "Ingresada", "Falta Ingresar"), " ")</f>
        <v xml:space="preserve"> </v>
      </c>
      <c r="L2029" s="4" t="str">
        <f>IFERROR(VLOOKUP($C2029,Observaciones!$A:$B,2,FALSE)," ")</f>
        <v>XRUT AL CC COSTO</v>
      </c>
      <c r="M2029" t="s">
        <v>681</v>
      </c>
      <c r="O2029" s="5">
        <v>30853066</v>
      </c>
      <c r="P2029" s="5">
        <v>241438</v>
      </c>
      <c r="Q2029" s="5">
        <v>45873</v>
      </c>
      <c r="R2029" s="5">
        <v>287311</v>
      </c>
    </row>
    <row r="2030" spans="1:18" x14ac:dyDescent="0.25">
      <c r="A2030" t="s">
        <v>1216</v>
      </c>
      <c r="B2030" t="s">
        <v>494</v>
      </c>
      <c r="C2030">
        <v>76957554</v>
      </c>
      <c r="D2030">
        <v>6</v>
      </c>
      <c r="E2030">
        <v>30854002</v>
      </c>
      <c r="F2030" t="s">
        <v>1217</v>
      </c>
      <c r="G2030" s="1">
        <v>45234</v>
      </c>
      <c r="H2030">
        <v>5412712</v>
      </c>
      <c r="I2030">
        <v>122</v>
      </c>
      <c r="J2030" t="s">
        <v>396</v>
      </c>
      <c r="K2030" t="str">
        <f>IFERROR(IF(AND(VLOOKUP($C2030,Hes!$A:$B, 1, FALSE), $M2030&lt;&gt;" "), "Ingresada", "Falta Ingresar"), " ")</f>
        <v xml:space="preserve"> </v>
      </c>
      <c r="L2030" s="4" t="str">
        <f>IFERROR(VLOOKUP($C2030,Observaciones!$A:$B,2,FALSE)," ")</f>
        <v>XRUT AL CC COSTO</v>
      </c>
      <c r="M2030" t="s">
        <v>681</v>
      </c>
      <c r="O2030" s="5">
        <v>30854002</v>
      </c>
      <c r="P2030" s="5">
        <v>120715</v>
      </c>
      <c r="Q2030" s="5">
        <v>22936</v>
      </c>
      <c r="R2030" s="5">
        <v>143651</v>
      </c>
    </row>
    <row r="2031" spans="1:18" x14ac:dyDescent="0.25">
      <c r="A2031" t="s">
        <v>1216</v>
      </c>
      <c r="B2031" t="s">
        <v>494</v>
      </c>
      <c r="C2031">
        <v>76957554</v>
      </c>
      <c r="D2031">
        <v>10</v>
      </c>
      <c r="E2031">
        <v>30854520</v>
      </c>
      <c r="F2031" t="s">
        <v>1217</v>
      </c>
      <c r="G2031" s="1">
        <v>45234</v>
      </c>
      <c r="H2031">
        <v>5412715</v>
      </c>
      <c r="I2031">
        <v>122</v>
      </c>
      <c r="J2031" t="s">
        <v>396</v>
      </c>
      <c r="K2031" t="str">
        <f>IFERROR(IF(AND(VLOOKUP($C2031,Hes!$A:$B, 1, FALSE), $M2031&lt;&gt;" "), "Ingresada", "Falta Ingresar"), " ")</f>
        <v xml:space="preserve"> </v>
      </c>
      <c r="L2031" s="4" t="str">
        <f>IFERROR(VLOOKUP($C2031,Observaciones!$A:$B,2,FALSE)," ")</f>
        <v>XRUT AL CC COSTO</v>
      </c>
      <c r="M2031" t="s">
        <v>681</v>
      </c>
      <c r="O2031" s="5">
        <v>30854520</v>
      </c>
      <c r="P2031" s="5">
        <v>321576</v>
      </c>
      <c r="Q2031" s="5">
        <v>61099</v>
      </c>
      <c r="R2031" s="5">
        <v>382675</v>
      </c>
    </row>
    <row r="2032" spans="1:18" x14ac:dyDescent="0.25">
      <c r="A2032" t="s">
        <v>1216</v>
      </c>
      <c r="B2032" t="s">
        <v>494</v>
      </c>
      <c r="C2032">
        <v>76957554</v>
      </c>
      <c r="D2032">
        <v>92</v>
      </c>
      <c r="E2032">
        <v>30854572</v>
      </c>
      <c r="F2032" t="s">
        <v>1217</v>
      </c>
      <c r="G2032" s="1">
        <v>45235</v>
      </c>
      <c r="H2032">
        <v>5412718</v>
      </c>
      <c r="I2032">
        <v>122</v>
      </c>
      <c r="J2032" t="s">
        <v>396</v>
      </c>
      <c r="K2032" t="str">
        <f>IFERROR(IF(AND(VLOOKUP($C2032,Hes!$A:$B, 1, FALSE), $M2032&lt;&gt;" "), "Ingresada", "Falta Ingresar"), " ")</f>
        <v xml:space="preserve"> </v>
      </c>
      <c r="L2032" s="4" t="str">
        <f>IFERROR(VLOOKUP($C2032,Observaciones!$A:$B,2,FALSE)," ")</f>
        <v>XRUT AL CC COSTO</v>
      </c>
      <c r="M2032" t="s">
        <v>681</v>
      </c>
      <c r="O2032" s="5">
        <v>30854572</v>
      </c>
      <c r="P2032" s="5">
        <v>96935</v>
      </c>
      <c r="Q2032" s="5">
        <v>18418</v>
      </c>
      <c r="R2032" s="5">
        <v>115353</v>
      </c>
    </row>
    <row r="2033" spans="1:18" x14ac:dyDescent="0.25">
      <c r="A2033" t="s">
        <v>1216</v>
      </c>
      <c r="B2033" t="s">
        <v>494</v>
      </c>
      <c r="C2033">
        <v>76957554</v>
      </c>
      <c r="D2033">
        <v>27</v>
      </c>
      <c r="E2033">
        <v>30853596</v>
      </c>
      <c r="F2033" t="s">
        <v>1217</v>
      </c>
      <c r="G2033" s="1">
        <v>45236</v>
      </c>
      <c r="H2033">
        <v>5412833</v>
      </c>
      <c r="I2033">
        <v>122</v>
      </c>
      <c r="J2033" t="s">
        <v>396</v>
      </c>
      <c r="K2033" t="str">
        <f>IFERROR(IF(AND(VLOOKUP($C2033,Hes!$A:$B, 1, FALSE), $M2033&lt;&gt;" "), "Ingresada", "Falta Ingresar"), " ")</f>
        <v xml:space="preserve"> </v>
      </c>
      <c r="L2033" s="4" t="str">
        <f>IFERROR(VLOOKUP($C2033,Observaciones!$A:$B,2,FALSE)," ")</f>
        <v>XRUT AL CC COSTO</v>
      </c>
      <c r="M2033" t="s">
        <v>681</v>
      </c>
      <c r="O2033" s="5">
        <v>30853596</v>
      </c>
      <c r="P2033" s="5">
        <v>157219</v>
      </c>
      <c r="Q2033" s="5">
        <v>29872</v>
      </c>
      <c r="R2033" s="5">
        <v>187091</v>
      </c>
    </row>
    <row r="2034" spans="1:18" x14ac:dyDescent="0.25">
      <c r="A2034" t="s">
        <v>1216</v>
      </c>
      <c r="B2034" t="s">
        <v>494</v>
      </c>
      <c r="C2034">
        <v>76957554</v>
      </c>
      <c r="D2034">
        <v>17</v>
      </c>
      <c r="E2034">
        <v>30853969</v>
      </c>
      <c r="F2034" t="s">
        <v>1217</v>
      </c>
      <c r="G2034" s="1">
        <v>45236</v>
      </c>
      <c r="H2034">
        <v>5412843</v>
      </c>
      <c r="I2034">
        <v>122</v>
      </c>
      <c r="J2034" t="s">
        <v>396</v>
      </c>
      <c r="K2034" t="str">
        <f>IFERROR(IF(AND(VLOOKUP($C2034,Hes!$A:$B, 1, FALSE), $M2034&lt;&gt;" "), "Ingresada", "Falta Ingresar"), " ")</f>
        <v xml:space="preserve"> </v>
      </c>
      <c r="L2034" s="4" t="str">
        <f>IFERROR(VLOOKUP($C2034,Observaciones!$A:$B,2,FALSE)," ")</f>
        <v>XRUT AL CC COSTO</v>
      </c>
      <c r="M2034" t="s">
        <v>681</v>
      </c>
      <c r="O2034" s="5">
        <v>30853969</v>
      </c>
      <c r="P2034" s="5">
        <v>275866</v>
      </c>
      <c r="Q2034" s="5">
        <v>52415</v>
      </c>
      <c r="R2034" s="5">
        <v>328281</v>
      </c>
    </row>
    <row r="2035" spans="1:18" x14ac:dyDescent="0.25">
      <c r="A2035" t="s">
        <v>1216</v>
      </c>
      <c r="B2035" t="s">
        <v>494</v>
      </c>
      <c r="C2035">
        <v>76957554</v>
      </c>
      <c r="D2035">
        <v>51</v>
      </c>
      <c r="E2035">
        <v>30853567</v>
      </c>
      <c r="F2035" t="s">
        <v>1217</v>
      </c>
      <c r="G2035" s="1">
        <v>45236</v>
      </c>
      <c r="H2035">
        <v>5412869</v>
      </c>
      <c r="I2035">
        <v>122</v>
      </c>
      <c r="J2035" t="s">
        <v>396</v>
      </c>
      <c r="K2035" t="str">
        <f>IFERROR(IF(AND(VLOOKUP($C2035,Hes!$A:$B, 1, FALSE), $M2035&lt;&gt;" "), "Ingresada", "Falta Ingresar"), " ")</f>
        <v xml:space="preserve"> </v>
      </c>
      <c r="L2035" s="4" t="str">
        <f>IFERROR(VLOOKUP($C2035,Observaciones!$A:$B,2,FALSE)," ")</f>
        <v>XRUT AL CC COSTO</v>
      </c>
      <c r="M2035" t="s">
        <v>681</v>
      </c>
      <c r="O2035" s="5">
        <v>30853567</v>
      </c>
      <c r="P2035" s="5">
        <v>111556</v>
      </c>
      <c r="Q2035" s="5">
        <v>21196</v>
      </c>
      <c r="R2035" s="5">
        <v>132752</v>
      </c>
    </row>
    <row r="2036" spans="1:18" x14ac:dyDescent="0.25">
      <c r="A2036" t="s">
        <v>1216</v>
      </c>
      <c r="B2036" t="s">
        <v>494</v>
      </c>
      <c r="C2036">
        <v>76957554</v>
      </c>
      <c r="D2036">
        <v>51</v>
      </c>
      <c r="E2036">
        <v>30853567</v>
      </c>
      <c r="F2036" t="s">
        <v>1217</v>
      </c>
      <c r="G2036" s="1">
        <v>45236</v>
      </c>
      <c r="H2036">
        <v>5412870</v>
      </c>
      <c r="I2036">
        <v>122</v>
      </c>
      <c r="J2036" t="s">
        <v>396</v>
      </c>
      <c r="K2036" t="str">
        <f>IFERROR(IF(AND(VLOOKUP($C2036,Hes!$A:$B, 1, FALSE), $M2036&lt;&gt;" "), "Ingresada", "Falta Ingresar"), " ")</f>
        <v xml:space="preserve"> </v>
      </c>
      <c r="L2036" s="4" t="str">
        <f>IFERROR(VLOOKUP($C2036,Observaciones!$A:$B,2,FALSE)," ")</f>
        <v>XRUT AL CC COSTO</v>
      </c>
      <c r="M2036" t="s">
        <v>681</v>
      </c>
      <c r="O2036" s="5">
        <v>30853567</v>
      </c>
      <c r="P2036" s="5">
        <v>2980</v>
      </c>
      <c r="Q2036" s="5">
        <v>566</v>
      </c>
      <c r="R2036" s="5">
        <v>3546</v>
      </c>
    </row>
    <row r="2037" spans="1:18" x14ac:dyDescent="0.25">
      <c r="A2037" t="s">
        <v>1216</v>
      </c>
      <c r="B2037" t="s">
        <v>494</v>
      </c>
      <c r="C2037">
        <v>76957554</v>
      </c>
      <c r="D2037">
        <v>66</v>
      </c>
      <c r="E2037">
        <v>30853998</v>
      </c>
      <c r="F2037" t="s">
        <v>1217</v>
      </c>
      <c r="G2037" s="1">
        <v>45236</v>
      </c>
      <c r="H2037">
        <v>5412872</v>
      </c>
      <c r="I2037">
        <v>122</v>
      </c>
      <c r="J2037" t="s">
        <v>396</v>
      </c>
      <c r="K2037" t="str">
        <f>IFERROR(IF(AND(VLOOKUP($C2037,Hes!$A:$B, 1, FALSE), $M2037&lt;&gt;" "), "Ingresada", "Falta Ingresar"), " ")</f>
        <v xml:space="preserve"> </v>
      </c>
      <c r="L2037" s="4" t="str">
        <f>IFERROR(VLOOKUP($C2037,Observaciones!$A:$B,2,FALSE)," ")</f>
        <v>XRUT AL CC COSTO</v>
      </c>
      <c r="M2037" t="s">
        <v>681</v>
      </c>
      <c r="O2037" s="5">
        <v>30853998</v>
      </c>
      <c r="P2037" s="5">
        <v>74543</v>
      </c>
      <c r="Q2037" s="5">
        <v>14163</v>
      </c>
      <c r="R2037" s="5">
        <v>88706</v>
      </c>
    </row>
    <row r="2038" spans="1:18" x14ac:dyDescent="0.25">
      <c r="A2038" t="s">
        <v>1216</v>
      </c>
      <c r="B2038" t="s">
        <v>494</v>
      </c>
      <c r="C2038">
        <v>76957554</v>
      </c>
      <c r="D2038">
        <v>46</v>
      </c>
      <c r="E2038">
        <v>30853629</v>
      </c>
      <c r="F2038" t="s">
        <v>1217</v>
      </c>
      <c r="G2038" s="1">
        <v>45236</v>
      </c>
      <c r="H2038">
        <v>5413004</v>
      </c>
      <c r="I2038">
        <v>122</v>
      </c>
      <c r="J2038" t="s">
        <v>396</v>
      </c>
      <c r="K2038" t="str">
        <f>IFERROR(IF(AND(VLOOKUP($C2038,Hes!$A:$B, 1, FALSE), $M2038&lt;&gt;" "), "Ingresada", "Falta Ingresar"), " ")</f>
        <v xml:space="preserve"> </v>
      </c>
      <c r="L2038" s="4" t="str">
        <f>IFERROR(VLOOKUP($C2038,Observaciones!$A:$B,2,FALSE)," ")</f>
        <v>XRUT AL CC COSTO</v>
      </c>
      <c r="M2038" t="s">
        <v>681</v>
      </c>
      <c r="O2038" s="5">
        <v>30853629</v>
      </c>
      <c r="P2038" s="5">
        <v>68992</v>
      </c>
      <c r="Q2038" s="5">
        <v>13108</v>
      </c>
      <c r="R2038" s="5">
        <v>82100</v>
      </c>
    </row>
    <row r="2039" spans="1:18" x14ac:dyDescent="0.25">
      <c r="A2039" t="s">
        <v>1216</v>
      </c>
      <c r="B2039" t="s">
        <v>494</v>
      </c>
      <c r="C2039">
        <v>76957554</v>
      </c>
      <c r="D2039">
        <v>36</v>
      </c>
      <c r="E2039">
        <v>30853615</v>
      </c>
      <c r="F2039" t="s">
        <v>1217</v>
      </c>
      <c r="G2039" s="1">
        <v>45236</v>
      </c>
      <c r="H2039">
        <v>5413346</v>
      </c>
      <c r="I2039">
        <v>122</v>
      </c>
      <c r="J2039" t="s">
        <v>396</v>
      </c>
      <c r="K2039" t="str">
        <f>IFERROR(IF(AND(VLOOKUP($C2039,Hes!$A:$B, 1, FALSE), $M2039&lt;&gt;" "), "Ingresada", "Falta Ingresar"), " ")</f>
        <v xml:space="preserve"> </v>
      </c>
      <c r="L2039" s="4" t="str">
        <f>IFERROR(VLOOKUP($C2039,Observaciones!$A:$B,2,FALSE)," ")</f>
        <v>XRUT AL CC COSTO</v>
      </c>
      <c r="M2039" t="s">
        <v>681</v>
      </c>
      <c r="O2039" s="5">
        <v>30853615</v>
      </c>
      <c r="P2039" s="5">
        <v>56761</v>
      </c>
      <c r="Q2039" s="5">
        <v>10785</v>
      </c>
      <c r="R2039" s="5">
        <v>67546</v>
      </c>
    </row>
    <row r="2040" spans="1:18" x14ac:dyDescent="0.25">
      <c r="A2040" t="s">
        <v>1216</v>
      </c>
      <c r="B2040" t="s">
        <v>494</v>
      </c>
      <c r="C2040">
        <v>76957554</v>
      </c>
      <c r="D2040">
        <v>37</v>
      </c>
      <c r="E2040">
        <v>30853619</v>
      </c>
      <c r="F2040" t="s">
        <v>1217</v>
      </c>
      <c r="G2040" s="1">
        <v>45236</v>
      </c>
      <c r="H2040">
        <v>5413347</v>
      </c>
      <c r="I2040">
        <v>122</v>
      </c>
      <c r="J2040" t="s">
        <v>396</v>
      </c>
      <c r="K2040" t="str">
        <f>IFERROR(IF(AND(VLOOKUP($C2040,Hes!$A:$B, 1, FALSE), $M2040&lt;&gt;" "), "Ingresada", "Falta Ingresar"), " ")</f>
        <v xml:space="preserve"> </v>
      </c>
      <c r="L2040" s="4" t="str">
        <f>IFERROR(VLOOKUP($C2040,Observaciones!$A:$B,2,FALSE)," ")</f>
        <v>XRUT AL CC COSTO</v>
      </c>
      <c r="M2040" t="s">
        <v>681</v>
      </c>
      <c r="O2040" s="5">
        <v>30853619</v>
      </c>
      <c r="P2040" s="5">
        <v>114748</v>
      </c>
      <c r="Q2040" s="5">
        <v>21802</v>
      </c>
      <c r="R2040" s="5">
        <v>136550</v>
      </c>
    </row>
    <row r="2041" spans="1:18" x14ac:dyDescent="0.25">
      <c r="A2041" t="s">
        <v>1216</v>
      </c>
      <c r="B2041" t="s">
        <v>494</v>
      </c>
      <c r="C2041">
        <v>76957554</v>
      </c>
      <c r="D2041">
        <v>26</v>
      </c>
      <c r="E2041">
        <v>30853601</v>
      </c>
      <c r="F2041" t="s">
        <v>1217</v>
      </c>
      <c r="G2041" s="1">
        <v>45236</v>
      </c>
      <c r="H2041">
        <v>5413359</v>
      </c>
      <c r="I2041">
        <v>122</v>
      </c>
      <c r="J2041" t="s">
        <v>396</v>
      </c>
      <c r="K2041" t="str">
        <f>IFERROR(IF(AND(VLOOKUP($C2041,Hes!$A:$B, 1, FALSE), $M2041&lt;&gt;" "), "Ingresada", "Falta Ingresar"), " ")</f>
        <v xml:space="preserve"> </v>
      </c>
      <c r="L2041" s="4" t="str">
        <f>IFERROR(VLOOKUP($C2041,Observaciones!$A:$B,2,FALSE)," ")</f>
        <v>XRUT AL CC COSTO</v>
      </c>
      <c r="M2041" t="s">
        <v>681</v>
      </c>
      <c r="O2041" s="5">
        <v>30853601</v>
      </c>
      <c r="P2041" s="5">
        <v>328439</v>
      </c>
      <c r="Q2041" s="5">
        <v>62403</v>
      </c>
      <c r="R2041" s="5">
        <v>390842</v>
      </c>
    </row>
    <row r="2042" spans="1:18" x14ac:dyDescent="0.25">
      <c r="A2042" t="s">
        <v>1216</v>
      </c>
      <c r="B2042" t="s">
        <v>494</v>
      </c>
      <c r="C2042">
        <v>76957554</v>
      </c>
      <c r="D2042">
        <v>31</v>
      </c>
      <c r="E2042">
        <v>30853961</v>
      </c>
      <c r="F2042" t="s">
        <v>1217</v>
      </c>
      <c r="G2042" s="1">
        <v>45236</v>
      </c>
      <c r="H2042">
        <v>5413535</v>
      </c>
      <c r="I2042">
        <v>122</v>
      </c>
      <c r="J2042" t="s">
        <v>396</v>
      </c>
      <c r="K2042" t="str">
        <f>IFERROR(IF(AND(VLOOKUP($C2042,Hes!$A:$B, 1, FALSE), $M2042&lt;&gt;" "), "Ingresada", "Falta Ingresar"), " ")</f>
        <v xml:space="preserve"> </v>
      </c>
      <c r="L2042" s="4" t="str">
        <f>IFERROR(VLOOKUP($C2042,Observaciones!$A:$B,2,FALSE)," ")</f>
        <v>XRUT AL CC COSTO</v>
      </c>
      <c r="M2042" t="s">
        <v>681</v>
      </c>
      <c r="O2042" s="5">
        <v>30853961</v>
      </c>
      <c r="P2042" s="5">
        <v>144311</v>
      </c>
      <c r="Q2042" s="5">
        <v>27419</v>
      </c>
      <c r="R2042" s="5">
        <v>171730</v>
      </c>
    </row>
    <row r="2043" spans="1:18" x14ac:dyDescent="0.25">
      <c r="A2043" t="s">
        <v>1216</v>
      </c>
      <c r="B2043" t="s">
        <v>494</v>
      </c>
      <c r="C2043">
        <v>76957554</v>
      </c>
      <c r="D2043">
        <v>30</v>
      </c>
      <c r="E2043">
        <v>30853946</v>
      </c>
      <c r="F2043" t="s">
        <v>1217</v>
      </c>
      <c r="G2043" s="1">
        <v>45236</v>
      </c>
      <c r="H2043">
        <v>5413717</v>
      </c>
      <c r="I2043">
        <v>122</v>
      </c>
      <c r="J2043" t="s">
        <v>396</v>
      </c>
      <c r="K2043" t="str">
        <f>IFERROR(IF(AND(VLOOKUP($C2043,Hes!$A:$B, 1, FALSE), $M2043&lt;&gt;" "), "Ingresada", "Falta Ingresar"), " ")</f>
        <v xml:space="preserve"> </v>
      </c>
      <c r="L2043" s="4" t="str">
        <f>IFERROR(VLOOKUP($C2043,Observaciones!$A:$B,2,FALSE)," ")</f>
        <v>XRUT AL CC COSTO</v>
      </c>
      <c r="M2043" t="s">
        <v>681</v>
      </c>
      <c r="O2043" s="5">
        <v>30853946</v>
      </c>
      <c r="P2043" s="5">
        <v>48935</v>
      </c>
      <c r="Q2043" s="5">
        <v>9298</v>
      </c>
      <c r="R2043" s="5">
        <v>58233</v>
      </c>
    </row>
    <row r="2044" spans="1:18" x14ac:dyDescent="0.25">
      <c r="A2044" t="s">
        <v>1216</v>
      </c>
      <c r="B2044" t="s">
        <v>494</v>
      </c>
      <c r="C2044">
        <v>76957554</v>
      </c>
      <c r="D2044">
        <v>3</v>
      </c>
      <c r="E2044">
        <v>30854388</v>
      </c>
      <c r="F2044" t="s">
        <v>1217</v>
      </c>
      <c r="G2044" s="1">
        <v>45236</v>
      </c>
      <c r="H2044">
        <v>5413746</v>
      </c>
      <c r="I2044">
        <v>122</v>
      </c>
      <c r="J2044" t="s">
        <v>396</v>
      </c>
      <c r="K2044" t="str">
        <f>IFERROR(IF(AND(VLOOKUP($C2044,Hes!$A:$B, 1, FALSE), $M2044&lt;&gt;" "), "Ingresada", "Falta Ingresar"), " ")</f>
        <v xml:space="preserve"> </v>
      </c>
      <c r="L2044" s="4" t="str">
        <f>IFERROR(VLOOKUP($C2044,Observaciones!$A:$B,2,FALSE)," ")</f>
        <v>XRUT AL CC COSTO</v>
      </c>
      <c r="M2044" t="s">
        <v>681</v>
      </c>
      <c r="O2044" s="5">
        <v>30854388</v>
      </c>
      <c r="P2044" s="5">
        <v>99130</v>
      </c>
      <c r="Q2044" s="5">
        <v>18835</v>
      </c>
      <c r="R2044" s="5">
        <v>117965</v>
      </c>
    </row>
    <row r="2045" spans="1:18" x14ac:dyDescent="0.25">
      <c r="A2045" t="s">
        <v>1216</v>
      </c>
      <c r="B2045" t="s">
        <v>494</v>
      </c>
      <c r="C2045">
        <v>76957554</v>
      </c>
      <c r="D2045">
        <v>32</v>
      </c>
      <c r="E2045">
        <v>30853704</v>
      </c>
      <c r="F2045" t="s">
        <v>1217</v>
      </c>
      <c r="G2045" s="1">
        <v>45236</v>
      </c>
      <c r="H2045">
        <v>5413753</v>
      </c>
      <c r="I2045">
        <v>122</v>
      </c>
      <c r="J2045" t="s">
        <v>396</v>
      </c>
      <c r="K2045" t="str">
        <f>IFERROR(IF(AND(VLOOKUP($C2045,Hes!$A:$B, 1, FALSE), $M2045&lt;&gt;" "), "Ingresada", "Falta Ingresar"), " ")</f>
        <v xml:space="preserve"> </v>
      </c>
      <c r="L2045" s="4" t="str">
        <f>IFERROR(VLOOKUP($C2045,Observaciones!$A:$B,2,FALSE)," ")</f>
        <v>XRUT AL CC COSTO</v>
      </c>
      <c r="M2045" t="s">
        <v>681</v>
      </c>
      <c r="O2045" s="5">
        <v>30853704</v>
      </c>
      <c r="P2045" s="5">
        <v>131409</v>
      </c>
      <c r="Q2045" s="5">
        <v>24968</v>
      </c>
      <c r="R2045" s="5">
        <v>156377</v>
      </c>
    </row>
    <row r="2046" spans="1:18" x14ac:dyDescent="0.25">
      <c r="F2046" t="s">
        <v>1014</v>
      </c>
      <c r="K2046" t="str">
        <f>IFERROR(IF(AND(VLOOKUP($C2046,Hes!$A:$B, 1, FALSE), $M2046&lt;&gt;" "), "Ingresada", "Falta Ingresar"), " ")</f>
        <v xml:space="preserve"> </v>
      </c>
      <c r="L2046" s="4" t="str">
        <f>IFERROR(VLOOKUP($C2046,Observaciones!$A:$B,2,FALSE)," ")</f>
        <v xml:space="preserve"> </v>
      </c>
      <c r="M2046" t="s">
        <v>681</v>
      </c>
      <c r="P2046" s="5">
        <v>3795784</v>
      </c>
      <c r="Q2046" s="5">
        <v>721199</v>
      </c>
      <c r="R2046" s="5">
        <v>4516983</v>
      </c>
    </row>
    <row r="2047" spans="1:18" x14ac:dyDescent="0.25">
      <c r="A2047" t="s">
        <v>496</v>
      </c>
      <c r="B2047" t="s">
        <v>494</v>
      </c>
      <c r="C2047">
        <v>77017436</v>
      </c>
      <c r="D2047">
        <v>28</v>
      </c>
      <c r="E2047">
        <v>4300049104</v>
      </c>
      <c r="F2047" t="s">
        <v>566</v>
      </c>
      <c r="G2047" s="1">
        <v>45236</v>
      </c>
      <c r="H2047">
        <v>5413502</v>
      </c>
      <c r="I2047">
        <v>431</v>
      </c>
      <c r="J2047" t="s">
        <v>354</v>
      </c>
      <c r="K2047" s="8" t="str">
        <f>IFERROR(IF(AND(VLOOKUP($C2047,Hes!$A:$B, 1, FALSE), $M2047&lt;&gt;" "), "Ingresada", "Falta Ingresar"), " ")</f>
        <v>Falta Ingresar</v>
      </c>
      <c r="L2047" s="4" t="str">
        <f>IFERROR(VLOOKUP($C2047,Observaciones!$A:$B,2,FALSE)," ")</f>
        <v>XOC Y CC</v>
      </c>
      <c r="M2047" t="s">
        <v>681</v>
      </c>
      <c r="N2047" s="5" t="s">
        <v>841</v>
      </c>
      <c r="O2047" s="5">
        <v>30854305</v>
      </c>
      <c r="P2047" s="5">
        <v>67156</v>
      </c>
      <c r="Q2047" s="5">
        <v>12760</v>
      </c>
      <c r="R2047" s="5">
        <v>79916</v>
      </c>
    </row>
    <row r="2048" spans="1:18" x14ac:dyDescent="0.25">
      <c r="A2048" t="s">
        <v>496</v>
      </c>
      <c r="B2048" t="s">
        <v>494</v>
      </c>
      <c r="C2048">
        <v>77017436</v>
      </c>
      <c r="D2048">
        <v>21</v>
      </c>
      <c r="E2048">
        <v>4300049103</v>
      </c>
      <c r="F2048" t="s">
        <v>566</v>
      </c>
      <c r="G2048" s="1">
        <v>45236</v>
      </c>
      <c r="H2048">
        <v>5413732</v>
      </c>
      <c r="I2048">
        <v>431</v>
      </c>
      <c r="J2048" t="s">
        <v>354</v>
      </c>
      <c r="K2048" s="8" t="str">
        <f>IFERROR(IF(AND(VLOOKUP($C2048,Hes!$A:$B, 1, FALSE), $M2048&lt;&gt;" "), "Ingresada", "Falta Ingresar"), " ")</f>
        <v>Falta Ingresar</v>
      </c>
      <c r="L2048" s="4" t="str">
        <f>IFERROR(VLOOKUP($C2048,Observaciones!$A:$B,2,FALSE)," ")</f>
        <v>XOC Y CC</v>
      </c>
      <c r="M2048" t="s">
        <v>681</v>
      </c>
      <c r="N2048" s="5" t="s">
        <v>841</v>
      </c>
      <c r="O2048" s="5">
        <v>30854341</v>
      </c>
      <c r="P2048" s="5">
        <v>77596</v>
      </c>
      <c r="Q2048" s="5">
        <v>14743</v>
      </c>
      <c r="R2048" s="5">
        <v>92339</v>
      </c>
    </row>
    <row r="2049" spans="1:18" x14ac:dyDescent="0.25">
      <c r="A2049" t="s">
        <v>496</v>
      </c>
      <c r="B2049" t="s">
        <v>494</v>
      </c>
      <c r="C2049">
        <v>77017436</v>
      </c>
      <c r="D2049">
        <v>24</v>
      </c>
      <c r="E2049">
        <v>4300049106</v>
      </c>
      <c r="F2049" t="s">
        <v>566</v>
      </c>
      <c r="G2049" s="1">
        <v>45236</v>
      </c>
      <c r="H2049">
        <v>5413768</v>
      </c>
      <c r="I2049">
        <v>431</v>
      </c>
      <c r="J2049" t="s">
        <v>354</v>
      </c>
      <c r="K2049" s="8" t="str">
        <f>IFERROR(IF(AND(VLOOKUP($C2049,Hes!$A:$B, 1, FALSE), $M2049&lt;&gt;" "), "Ingresada", "Falta Ingresar"), " ")</f>
        <v>Falta Ingresar</v>
      </c>
      <c r="L2049" s="4" t="str">
        <f>IFERROR(VLOOKUP($C2049,Observaciones!$A:$B,2,FALSE)," ")</f>
        <v>XOC Y CC</v>
      </c>
      <c r="M2049" t="s">
        <v>681</v>
      </c>
      <c r="N2049" s="5" t="s">
        <v>841</v>
      </c>
      <c r="O2049" s="5">
        <v>30854361</v>
      </c>
      <c r="P2049" s="5">
        <v>59949</v>
      </c>
      <c r="Q2049" s="5">
        <v>11390</v>
      </c>
      <c r="R2049" s="5">
        <v>71339</v>
      </c>
    </row>
    <row r="2050" spans="1:18" x14ac:dyDescent="0.25">
      <c r="A2050" t="s">
        <v>496</v>
      </c>
      <c r="B2050" t="s">
        <v>494</v>
      </c>
      <c r="C2050">
        <v>77017436</v>
      </c>
      <c r="D2050">
        <v>27</v>
      </c>
      <c r="E2050">
        <v>4300049105</v>
      </c>
      <c r="F2050" t="s">
        <v>566</v>
      </c>
      <c r="G2050" s="1">
        <v>45237</v>
      </c>
      <c r="H2050">
        <v>5414401</v>
      </c>
      <c r="I2050">
        <v>431</v>
      </c>
      <c r="J2050" t="s">
        <v>354</v>
      </c>
      <c r="K2050" s="8" t="str">
        <f>IFERROR(IF(AND(VLOOKUP($C2050,Hes!$A:$B, 1, FALSE), $M2050&lt;&gt;" "), "Ingresada", "Falta Ingresar"), " ")</f>
        <v>Falta Ingresar</v>
      </c>
      <c r="L2050" s="4" t="str">
        <f>IFERROR(VLOOKUP($C2050,Observaciones!$A:$B,2,FALSE)," ")</f>
        <v>XOC Y CC</v>
      </c>
      <c r="M2050" t="s">
        <v>681</v>
      </c>
      <c r="N2050" s="5" t="s">
        <v>841</v>
      </c>
      <c r="O2050" s="5">
        <v>30858862</v>
      </c>
      <c r="P2050" s="5">
        <v>130374</v>
      </c>
      <c r="Q2050" s="5">
        <v>24771</v>
      </c>
      <c r="R2050" s="5">
        <v>155145</v>
      </c>
    </row>
    <row r="2051" spans="1:18" x14ac:dyDescent="0.25">
      <c r="F2051" t="s">
        <v>498</v>
      </c>
      <c r="K2051" t="str">
        <f>IFERROR(IF(AND(VLOOKUP($C2051,Hes!$A:$B, 1, FALSE), $M2051&lt;&gt;" "), "Ingresada", "Falta Ingresar"), " ")</f>
        <v xml:space="preserve"> </v>
      </c>
      <c r="L2051" s="4" t="str">
        <f>IFERROR(VLOOKUP($C2051,Observaciones!$A:$B,2,FALSE)," ")</f>
        <v xml:space="preserve"> </v>
      </c>
      <c r="M2051" t="s">
        <v>681</v>
      </c>
      <c r="P2051" s="5">
        <v>335075</v>
      </c>
      <c r="Q2051" s="5">
        <v>63664</v>
      </c>
      <c r="R2051" s="5">
        <v>398739</v>
      </c>
    </row>
    <row r="2052" spans="1:18" x14ac:dyDescent="0.25">
      <c r="A2052" t="s">
        <v>501</v>
      </c>
      <c r="B2052" t="s">
        <v>494</v>
      </c>
      <c r="C2052">
        <v>77020050</v>
      </c>
      <c r="D2052">
        <v>8</v>
      </c>
      <c r="E2052">
        <v>30854163</v>
      </c>
      <c r="F2052" t="s">
        <v>1219</v>
      </c>
      <c r="G2052" s="1">
        <v>45236</v>
      </c>
      <c r="H2052">
        <v>5413131</v>
      </c>
      <c r="I2052">
        <v>12</v>
      </c>
      <c r="J2052" t="s">
        <v>319</v>
      </c>
      <c r="K2052" t="str">
        <f>IFERROR(IF(AND(VLOOKUP($C2052,Hes!$A:$B, 1, FALSE), $M2052&lt;&gt;" "), "Ingresada", "Falta Ingresar"), " ")</f>
        <v xml:space="preserve"> </v>
      </c>
      <c r="L2052" s="4" t="str">
        <f>IFERROR(VLOOKUP($C2052,Observaciones!$A:$B,2,FALSE)," ")</f>
        <v xml:space="preserve"> </v>
      </c>
      <c r="M2052" t="s">
        <v>681</v>
      </c>
      <c r="O2052" s="5">
        <v>30854163</v>
      </c>
      <c r="P2052" s="5">
        <v>28257</v>
      </c>
      <c r="Q2052" s="5">
        <v>5369</v>
      </c>
      <c r="R2052" s="5">
        <v>33626</v>
      </c>
    </row>
    <row r="2053" spans="1:18" x14ac:dyDescent="0.25">
      <c r="A2053" t="s">
        <v>501</v>
      </c>
      <c r="B2053" t="s">
        <v>494</v>
      </c>
      <c r="C2053">
        <v>77020050</v>
      </c>
      <c r="D2053">
        <v>0</v>
      </c>
      <c r="E2053">
        <v>30853279</v>
      </c>
      <c r="F2053" t="s">
        <v>1219</v>
      </c>
      <c r="G2053" s="1">
        <v>45236</v>
      </c>
      <c r="H2053">
        <v>5413376</v>
      </c>
      <c r="I2053">
        <v>12</v>
      </c>
      <c r="J2053" t="s">
        <v>319</v>
      </c>
      <c r="K2053" t="str">
        <f>IFERROR(IF(AND(VLOOKUP($C2053,Hes!$A:$B, 1, FALSE), $M2053&lt;&gt;" "), "Ingresada", "Falta Ingresar"), " ")</f>
        <v xml:space="preserve"> </v>
      </c>
      <c r="L2053" s="4" t="str">
        <f>IFERROR(VLOOKUP($C2053,Observaciones!$A:$B,2,FALSE)," ")</f>
        <v xml:space="preserve"> </v>
      </c>
      <c r="M2053" t="s">
        <v>681</v>
      </c>
      <c r="O2053" s="5">
        <v>30853279</v>
      </c>
      <c r="P2053" s="5">
        <v>307136</v>
      </c>
      <c r="Q2053" s="5">
        <v>58356</v>
      </c>
      <c r="R2053" s="5">
        <v>365492</v>
      </c>
    </row>
    <row r="2054" spans="1:18" x14ac:dyDescent="0.25">
      <c r="A2054" t="s">
        <v>501</v>
      </c>
      <c r="B2054" t="s">
        <v>494</v>
      </c>
      <c r="C2054">
        <v>77020050</v>
      </c>
      <c r="D2054">
        <v>24</v>
      </c>
      <c r="E2054">
        <v>30854881</v>
      </c>
      <c r="F2054" t="s">
        <v>1219</v>
      </c>
      <c r="G2054" s="1">
        <v>45236</v>
      </c>
      <c r="H2054">
        <v>5413383</v>
      </c>
      <c r="I2054">
        <v>12</v>
      </c>
      <c r="J2054" t="s">
        <v>319</v>
      </c>
      <c r="K2054" t="str">
        <f>IFERROR(IF(AND(VLOOKUP($C2054,Hes!$A:$B, 1, FALSE), $M2054&lt;&gt;" "), "Ingresada", "Falta Ingresar"), " ")</f>
        <v xml:space="preserve"> </v>
      </c>
      <c r="L2054" s="4" t="str">
        <f>IFERROR(VLOOKUP($C2054,Observaciones!$A:$B,2,FALSE)," ")</f>
        <v xml:space="preserve"> </v>
      </c>
      <c r="M2054" t="s">
        <v>681</v>
      </c>
      <c r="O2054" s="5">
        <v>30854881</v>
      </c>
      <c r="P2054" s="5">
        <v>49741</v>
      </c>
      <c r="Q2054" s="5">
        <v>9451</v>
      </c>
      <c r="R2054" s="5">
        <v>59192</v>
      </c>
    </row>
    <row r="2055" spans="1:18" x14ac:dyDescent="0.25">
      <c r="A2055" t="s">
        <v>501</v>
      </c>
      <c r="B2055" t="s">
        <v>494</v>
      </c>
      <c r="C2055">
        <v>77020050</v>
      </c>
      <c r="D2055">
        <v>0</v>
      </c>
      <c r="E2055">
        <v>30855020</v>
      </c>
      <c r="F2055" t="s">
        <v>1219</v>
      </c>
      <c r="G2055" s="1">
        <v>45236</v>
      </c>
      <c r="H2055">
        <v>5413418</v>
      </c>
      <c r="I2055">
        <v>12</v>
      </c>
      <c r="J2055" t="s">
        <v>319</v>
      </c>
      <c r="K2055" t="str">
        <f>IFERROR(IF(AND(VLOOKUP($C2055,Hes!$A:$B, 1, FALSE), $M2055&lt;&gt;" "), "Ingresada", "Falta Ingresar"), " ")</f>
        <v xml:space="preserve"> </v>
      </c>
      <c r="L2055" s="4" t="str">
        <f>IFERROR(VLOOKUP($C2055,Observaciones!$A:$B,2,FALSE)," ")</f>
        <v xml:space="preserve"> </v>
      </c>
      <c r="M2055" t="s">
        <v>681</v>
      </c>
      <c r="O2055" s="5">
        <v>30855020</v>
      </c>
      <c r="P2055" s="5">
        <v>50178</v>
      </c>
      <c r="Q2055" s="5">
        <v>9534</v>
      </c>
      <c r="R2055" s="5">
        <v>59712</v>
      </c>
    </row>
    <row r="2056" spans="1:18" x14ac:dyDescent="0.25">
      <c r="A2056" t="s">
        <v>501</v>
      </c>
      <c r="B2056" t="s">
        <v>494</v>
      </c>
      <c r="C2056">
        <v>77020050</v>
      </c>
      <c r="D2056">
        <v>9</v>
      </c>
      <c r="E2056">
        <v>30854258</v>
      </c>
      <c r="F2056" t="s">
        <v>1219</v>
      </c>
      <c r="G2056" s="1">
        <v>45236</v>
      </c>
      <c r="H2056">
        <v>5413419</v>
      </c>
      <c r="I2056">
        <v>12</v>
      </c>
      <c r="J2056" t="s">
        <v>319</v>
      </c>
      <c r="K2056" t="str">
        <f>IFERROR(IF(AND(VLOOKUP($C2056,Hes!$A:$B, 1, FALSE), $M2056&lt;&gt;" "), "Ingresada", "Falta Ingresar"), " ")</f>
        <v xml:space="preserve"> </v>
      </c>
      <c r="L2056" s="4" t="str">
        <f>IFERROR(VLOOKUP($C2056,Observaciones!$A:$B,2,FALSE)," ")</f>
        <v xml:space="preserve"> </v>
      </c>
      <c r="M2056" t="s">
        <v>681</v>
      </c>
      <c r="O2056" s="5">
        <v>30854258</v>
      </c>
      <c r="P2056" s="5">
        <v>41608</v>
      </c>
      <c r="Q2056" s="5">
        <v>7906</v>
      </c>
      <c r="R2056" s="5">
        <v>49514</v>
      </c>
    </row>
    <row r="2057" spans="1:18" x14ac:dyDescent="0.25">
      <c r="A2057" t="s">
        <v>501</v>
      </c>
      <c r="B2057" t="s">
        <v>494</v>
      </c>
      <c r="C2057">
        <v>77020050</v>
      </c>
      <c r="D2057">
        <v>16</v>
      </c>
      <c r="E2057">
        <v>30854355</v>
      </c>
      <c r="F2057" t="s">
        <v>1219</v>
      </c>
      <c r="G2057" s="1">
        <v>45236</v>
      </c>
      <c r="H2057">
        <v>5413612</v>
      </c>
      <c r="I2057">
        <v>12</v>
      </c>
      <c r="J2057" t="s">
        <v>319</v>
      </c>
      <c r="K2057" t="str">
        <f>IFERROR(IF(AND(VLOOKUP($C2057,Hes!$A:$B, 1, FALSE), $M2057&lt;&gt;" "), "Ingresada", "Falta Ingresar"), " ")</f>
        <v xml:space="preserve"> </v>
      </c>
      <c r="L2057" s="4" t="str">
        <f>IFERROR(VLOOKUP($C2057,Observaciones!$A:$B,2,FALSE)," ")</f>
        <v xml:space="preserve"> </v>
      </c>
      <c r="M2057" t="s">
        <v>681</v>
      </c>
      <c r="O2057" s="5">
        <v>30854355</v>
      </c>
      <c r="P2057" s="5">
        <v>24882</v>
      </c>
      <c r="Q2057" s="5">
        <v>4728</v>
      </c>
      <c r="R2057" s="5">
        <v>29610</v>
      </c>
    </row>
    <row r="2058" spans="1:18" x14ac:dyDescent="0.25">
      <c r="A2058" t="s">
        <v>501</v>
      </c>
      <c r="B2058" t="s">
        <v>494</v>
      </c>
      <c r="C2058">
        <v>77020050</v>
      </c>
      <c r="D2058">
        <v>18</v>
      </c>
      <c r="E2058">
        <v>30854043</v>
      </c>
      <c r="F2058" t="s">
        <v>1219</v>
      </c>
      <c r="G2058" s="1">
        <v>45236</v>
      </c>
      <c r="H2058">
        <v>5413638</v>
      </c>
      <c r="I2058">
        <v>12</v>
      </c>
      <c r="J2058" t="s">
        <v>319</v>
      </c>
      <c r="K2058" t="str">
        <f>IFERROR(IF(AND(VLOOKUP($C2058,Hes!$A:$B, 1, FALSE), $M2058&lt;&gt;" "), "Ingresada", "Falta Ingresar"), " ")</f>
        <v xml:space="preserve"> </v>
      </c>
      <c r="L2058" s="4" t="str">
        <f>IFERROR(VLOOKUP($C2058,Observaciones!$A:$B,2,FALSE)," ")</f>
        <v xml:space="preserve"> </v>
      </c>
      <c r="M2058" t="s">
        <v>681</v>
      </c>
      <c r="O2058" s="5">
        <v>30854043</v>
      </c>
      <c r="P2058" s="5">
        <v>38928</v>
      </c>
      <c r="Q2058" s="5">
        <v>7396</v>
      </c>
      <c r="R2058" s="5">
        <v>46324</v>
      </c>
    </row>
    <row r="2059" spans="1:18" x14ac:dyDescent="0.25">
      <c r="A2059" t="s">
        <v>501</v>
      </c>
      <c r="B2059" t="s">
        <v>494</v>
      </c>
      <c r="C2059">
        <v>77020050</v>
      </c>
      <c r="D2059">
        <v>29</v>
      </c>
      <c r="E2059">
        <v>30854504</v>
      </c>
      <c r="F2059" t="s">
        <v>1219</v>
      </c>
      <c r="G2059" s="1">
        <v>45236</v>
      </c>
      <c r="H2059">
        <v>5413713</v>
      </c>
      <c r="I2059">
        <v>12</v>
      </c>
      <c r="J2059" t="s">
        <v>319</v>
      </c>
      <c r="K2059" t="str">
        <f>IFERROR(IF(AND(VLOOKUP($C2059,Hes!$A:$B, 1, FALSE), $M2059&lt;&gt;" "), "Ingresada", "Falta Ingresar"), " ")</f>
        <v xml:space="preserve"> </v>
      </c>
      <c r="L2059" s="4" t="str">
        <f>IFERROR(VLOOKUP($C2059,Observaciones!$A:$B,2,FALSE)," ")</f>
        <v xml:space="preserve"> </v>
      </c>
      <c r="M2059" t="s">
        <v>681</v>
      </c>
      <c r="O2059" s="5">
        <v>30854504</v>
      </c>
      <c r="P2059" s="5">
        <v>41401</v>
      </c>
      <c r="Q2059" s="5">
        <v>7866</v>
      </c>
      <c r="R2059" s="5">
        <v>49267</v>
      </c>
    </row>
    <row r="2060" spans="1:18" x14ac:dyDescent="0.25">
      <c r="A2060" t="s">
        <v>501</v>
      </c>
      <c r="B2060" t="s">
        <v>494</v>
      </c>
      <c r="C2060">
        <v>77020050</v>
      </c>
      <c r="D2060">
        <v>7</v>
      </c>
      <c r="E2060">
        <v>30853836</v>
      </c>
      <c r="F2060" t="s">
        <v>1219</v>
      </c>
      <c r="G2060" s="1">
        <v>45236</v>
      </c>
      <c r="H2060">
        <v>5413824</v>
      </c>
      <c r="I2060">
        <v>12</v>
      </c>
      <c r="J2060" t="s">
        <v>319</v>
      </c>
      <c r="K2060" t="str">
        <f>IFERROR(IF(AND(VLOOKUP($C2060,Hes!$A:$B, 1, FALSE), $M2060&lt;&gt;" "), "Ingresada", "Falta Ingresar"), " ")</f>
        <v xml:space="preserve"> </v>
      </c>
      <c r="L2060" s="4" t="str">
        <f>IFERROR(VLOOKUP($C2060,Observaciones!$A:$B,2,FALSE)," ")</f>
        <v xml:space="preserve"> </v>
      </c>
      <c r="M2060" t="s">
        <v>681</v>
      </c>
      <c r="O2060" s="5">
        <v>30853836</v>
      </c>
      <c r="P2060" s="5">
        <v>39479</v>
      </c>
      <c r="Q2060" s="5">
        <v>7501</v>
      </c>
      <c r="R2060" s="5">
        <v>46980</v>
      </c>
    </row>
    <row r="2061" spans="1:18" x14ac:dyDescent="0.25">
      <c r="A2061" t="s">
        <v>501</v>
      </c>
      <c r="B2061" t="s">
        <v>494</v>
      </c>
      <c r="C2061">
        <v>77020050</v>
      </c>
      <c r="D2061">
        <v>23</v>
      </c>
      <c r="E2061">
        <v>30853887</v>
      </c>
      <c r="F2061" t="s">
        <v>1219</v>
      </c>
      <c r="G2061" s="1">
        <v>45236</v>
      </c>
      <c r="H2061">
        <v>5413857</v>
      </c>
      <c r="I2061">
        <v>12</v>
      </c>
      <c r="J2061" t="s">
        <v>319</v>
      </c>
      <c r="K2061" t="str">
        <f>IFERROR(IF(AND(VLOOKUP($C2061,Hes!$A:$B, 1, FALSE), $M2061&lt;&gt;" "), "Ingresada", "Falta Ingresar"), " ")</f>
        <v xml:space="preserve"> </v>
      </c>
      <c r="L2061" s="4" t="str">
        <f>IFERROR(VLOOKUP($C2061,Observaciones!$A:$B,2,FALSE)," ")</f>
        <v xml:space="preserve"> </v>
      </c>
      <c r="M2061" t="s">
        <v>681</v>
      </c>
      <c r="O2061" s="5">
        <v>30853887</v>
      </c>
      <c r="P2061" s="5">
        <v>27551</v>
      </c>
      <c r="Q2061" s="5">
        <v>5235</v>
      </c>
      <c r="R2061" s="5">
        <v>32786</v>
      </c>
    </row>
    <row r="2062" spans="1:18" x14ac:dyDescent="0.25">
      <c r="F2062" t="s">
        <v>533</v>
      </c>
      <c r="K2062" t="str">
        <f>IFERROR(IF(AND(VLOOKUP($C2062,Hes!$A:$B, 1, FALSE), $M2062&lt;&gt;" "), "Ingresada", "Falta Ingresar"), " ")</f>
        <v xml:space="preserve"> </v>
      </c>
      <c r="L2062" s="4" t="str">
        <f>IFERROR(VLOOKUP($C2062,Observaciones!$A:$B,2,FALSE)," ")</f>
        <v xml:space="preserve"> </v>
      </c>
      <c r="M2062" t="s">
        <v>681</v>
      </c>
      <c r="P2062" s="5">
        <v>649161</v>
      </c>
      <c r="Q2062" s="5">
        <v>123342</v>
      </c>
      <c r="R2062" s="5">
        <v>772503</v>
      </c>
    </row>
    <row r="2063" spans="1:18" x14ac:dyDescent="0.25">
      <c r="A2063" t="s">
        <v>496</v>
      </c>
      <c r="B2063" t="s">
        <v>494</v>
      </c>
      <c r="C2063">
        <v>77032236</v>
      </c>
      <c r="D2063">
        <v>3</v>
      </c>
      <c r="E2063">
        <v>30847112</v>
      </c>
      <c r="F2063" t="s">
        <v>1220</v>
      </c>
      <c r="G2063" s="1">
        <v>45231</v>
      </c>
      <c r="H2063">
        <v>5410981</v>
      </c>
      <c r="I2063">
        <v>272</v>
      </c>
      <c r="J2063" t="s">
        <v>398</v>
      </c>
      <c r="K2063" s="8" t="str">
        <f>IFERROR(IF(AND(VLOOKUP($C2063,Hes!$A:$B, 1, FALSE), $M2063&lt;&gt;" "), "Ingresada", "Falta Ingresar"), " ")</f>
        <v>Falta Ingresar</v>
      </c>
      <c r="L2063" s="4" t="str">
        <f>IFERROR(VLOOKUP($C2063,Observaciones!$A:$B,2,FALSE)," ")</f>
        <v>VENDEDOR ENVIA INFORME</v>
      </c>
      <c r="M2063" t="s">
        <v>681</v>
      </c>
      <c r="N2063" s="5" t="s">
        <v>841</v>
      </c>
      <c r="O2063" s="5">
        <v>30847112</v>
      </c>
      <c r="P2063" s="5">
        <v>616423</v>
      </c>
      <c r="Q2063" s="5">
        <v>117120</v>
      </c>
      <c r="R2063" s="5">
        <v>733543</v>
      </c>
    </row>
    <row r="2064" spans="1:18" x14ac:dyDescent="0.25">
      <c r="A2064" t="s">
        <v>496</v>
      </c>
      <c r="B2064" t="s">
        <v>494</v>
      </c>
      <c r="C2064">
        <v>77032236</v>
      </c>
      <c r="D2064">
        <v>2</v>
      </c>
      <c r="E2064">
        <v>30847484</v>
      </c>
      <c r="F2064" t="s">
        <v>1220</v>
      </c>
      <c r="G2064" s="1">
        <v>45232</v>
      </c>
      <c r="H2064">
        <v>5411061</v>
      </c>
      <c r="I2064">
        <v>272</v>
      </c>
      <c r="J2064" t="s">
        <v>398</v>
      </c>
      <c r="K2064" s="8" t="str">
        <f>IFERROR(IF(AND(VLOOKUP($C2064,Hes!$A:$B, 1, FALSE), $M2064&lt;&gt;" "), "Ingresada", "Falta Ingresar"), " ")</f>
        <v>Falta Ingresar</v>
      </c>
      <c r="L2064" s="4" t="str">
        <f>IFERROR(VLOOKUP($C2064,Observaciones!$A:$B,2,FALSE)," ")</f>
        <v>VENDEDOR ENVIA INFORME</v>
      </c>
      <c r="M2064" t="s">
        <v>681</v>
      </c>
      <c r="N2064" s="5" t="s">
        <v>841</v>
      </c>
      <c r="O2064" s="5">
        <v>30847484</v>
      </c>
      <c r="P2064" s="5">
        <v>947438</v>
      </c>
      <c r="Q2064" s="5">
        <v>180013</v>
      </c>
      <c r="R2064" s="5">
        <v>1127451</v>
      </c>
    </row>
    <row r="2065" spans="1:18" x14ac:dyDescent="0.25">
      <c r="A2065" t="s">
        <v>496</v>
      </c>
      <c r="B2065" t="s">
        <v>494</v>
      </c>
      <c r="C2065">
        <v>77032236</v>
      </c>
      <c r="D2065">
        <v>1</v>
      </c>
      <c r="E2065">
        <v>30847473</v>
      </c>
      <c r="F2065" t="s">
        <v>1220</v>
      </c>
      <c r="G2065" s="1">
        <v>45232</v>
      </c>
      <c r="H2065">
        <v>5411176</v>
      </c>
      <c r="I2065">
        <v>272</v>
      </c>
      <c r="J2065" t="s">
        <v>398</v>
      </c>
      <c r="K2065" s="8" t="str">
        <f>IFERROR(IF(AND(VLOOKUP($C2065,Hes!$A:$B, 1, FALSE), $M2065&lt;&gt;" "), "Ingresada", "Falta Ingresar"), " ")</f>
        <v>Falta Ingresar</v>
      </c>
      <c r="L2065" s="4" t="str">
        <f>IFERROR(VLOOKUP($C2065,Observaciones!$A:$B,2,FALSE)," ")</f>
        <v>VENDEDOR ENVIA INFORME</v>
      </c>
      <c r="M2065" t="s">
        <v>681</v>
      </c>
      <c r="N2065" s="5" t="s">
        <v>841</v>
      </c>
      <c r="O2065" s="5">
        <v>30847473</v>
      </c>
      <c r="P2065" s="5">
        <v>648986</v>
      </c>
      <c r="Q2065" s="5">
        <v>123307</v>
      </c>
      <c r="R2065" s="5">
        <v>772293</v>
      </c>
    </row>
    <row r="2066" spans="1:18" x14ac:dyDescent="0.25">
      <c r="F2066" t="s">
        <v>500</v>
      </c>
      <c r="K2066" t="str">
        <f>IFERROR(IF(AND(VLOOKUP($C2066,Hes!$A:$B, 1, FALSE), $M2066&lt;&gt;" "), "Ingresada", "Falta Ingresar"), " ")</f>
        <v xml:space="preserve"> </v>
      </c>
      <c r="L2066" s="4" t="str">
        <f>IFERROR(VLOOKUP($C2066,Observaciones!$A:$B,2,FALSE)," ")</f>
        <v xml:space="preserve"> </v>
      </c>
      <c r="M2066" t="s">
        <v>681</v>
      </c>
      <c r="P2066" s="5">
        <v>2212847</v>
      </c>
      <c r="Q2066" s="5">
        <v>420440</v>
      </c>
      <c r="R2066" s="5">
        <v>2633287</v>
      </c>
    </row>
    <row r="2067" spans="1:18" x14ac:dyDescent="0.25">
      <c r="A2067" t="s">
        <v>496</v>
      </c>
      <c r="B2067" t="s">
        <v>494</v>
      </c>
      <c r="C2067">
        <v>77038674</v>
      </c>
      <c r="D2067">
        <v>3</v>
      </c>
      <c r="E2067">
        <v>23101084</v>
      </c>
      <c r="F2067" t="s">
        <v>569</v>
      </c>
      <c r="G2067" s="1">
        <v>45235</v>
      </c>
      <c r="H2067">
        <v>5412209</v>
      </c>
      <c r="I2067">
        <v>82</v>
      </c>
      <c r="J2067" t="s">
        <v>238</v>
      </c>
      <c r="K2067" s="7" t="str">
        <f>IFERROR(IF(AND(VLOOKUP($C2067,Hes!$A:$B, 1, FALSE), $M2067&lt;&gt;" "), "Ingresada", "Falta Ingresar"), " ")</f>
        <v>Ingresada</v>
      </c>
      <c r="L2067" s="4" t="str">
        <f>IFERROR(VLOOKUP($C2067,Observaciones!$A:$B,2,FALSE)," ")</f>
        <v>XOC Y CC</v>
      </c>
      <c r="M2067">
        <v>553166</v>
      </c>
      <c r="N2067" s="5" t="s">
        <v>841</v>
      </c>
      <c r="O2067" s="5">
        <v>30853597</v>
      </c>
      <c r="P2067" s="5">
        <v>210350</v>
      </c>
      <c r="Q2067" s="5">
        <v>39967</v>
      </c>
      <c r="R2067" s="5">
        <v>250317</v>
      </c>
    </row>
    <row r="2068" spans="1:18" x14ac:dyDescent="0.25">
      <c r="F2068" t="s">
        <v>495</v>
      </c>
      <c r="K2068" t="str">
        <f>IFERROR(IF(AND(VLOOKUP($C2068,Hes!$A:$B, 1, FALSE), $M2068&lt;&gt;" "), "Ingresada", "Falta Ingresar"), " ")</f>
        <v xml:space="preserve"> </v>
      </c>
      <c r="L2068" s="4" t="str">
        <f>IFERROR(VLOOKUP($C2068,Observaciones!$A:$B,2,FALSE)," ")</f>
        <v xml:space="preserve"> </v>
      </c>
      <c r="M2068" t="s">
        <v>681</v>
      </c>
      <c r="P2068" s="5">
        <v>210350</v>
      </c>
      <c r="Q2068" s="5">
        <v>39967</v>
      </c>
      <c r="R2068" s="5">
        <v>250317</v>
      </c>
    </row>
    <row r="2069" spans="1:18" x14ac:dyDescent="0.25">
      <c r="A2069" t="s">
        <v>513</v>
      </c>
      <c r="B2069" t="s">
        <v>494</v>
      </c>
      <c r="C2069">
        <v>77045310</v>
      </c>
      <c r="D2069">
        <v>3</v>
      </c>
      <c r="E2069" t="s">
        <v>1221</v>
      </c>
      <c r="F2069" t="s">
        <v>1222</v>
      </c>
      <c r="G2069" s="1">
        <v>45236</v>
      </c>
      <c r="H2069">
        <v>5413641</v>
      </c>
      <c r="I2069">
        <v>464</v>
      </c>
      <c r="J2069" t="s">
        <v>127</v>
      </c>
      <c r="K2069" t="str">
        <f>IFERROR(IF(AND(VLOOKUP($C2069,Hes!$A:$B, 1, FALSE), $M2069&lt;&gt;" "), "Ingresada", "Falta Ingresar"), " ")</f>
        <v xml:space="preserve"> </v>
      </c>
      <c r="L2069" s="4" t="s">
        <v>681</v>
      </c>
      <c r="M2069" t="s">
        <v>681</v>
      </c>
      <c r="O2069" s="5">
        <v>30838183</v>
      </c>
      <c r="P2069" s="5">
        <v>645363</v>
      </c>
      <c r="Q2069" s="5">
        <v>122619</v>
      </c>
      <c r="R2069" s="5">
        <v>767982</v>
      </c>
    </row>
    <row r="2070" spans="1:18" x14ac:dyDescent="0.25">
      <c r="A2070" t="s">
        <v>513</v>
      </c>
      <c r="B2070" t="s">
        <v>494</v>
      </c>
      <c r="C2070">
        <v>77045310</v>
      </c>
      <c r="D2070">
        <v>3</v>
      </c>
      <c r="E2070" t="s">
        <v>1221</v>
      </c>
      <c r="F2070" t="s">
        <v>1222</v>
      </c>
      <c r="G2070" s="1">
        <v>45236</v>
      </c>
      <c r="H2070">
        <v>5413642</v>
      </c>
      <c r="I2070">
        <v>464</v>
      </c>
      <c r="J2070" t="s">
        <v>127</v>
      </c>
      <c r="K2070" t="str">
        <f>IFERROR(IF(AND(VLOOKUP($C2070,Hes!$A:$B, 1, FALSE), $M2070&lt;&gt;" "), "Ingresada", "Falta Ingresar"), " ")</f>
        <v xml:space="preserve"> </v>
      </c>
      <c r="L2070" s="4" t="s">
        <v>681</v>
      </c>
      <c r="M2070" t="s">
        <v>681</v>
      </c>
      <c r="O2070" s="5">
        <v>30838183</v>
      </c>
      <c r="P2070" s="5">
        <v>496925</v>
      </c>
      <c r="Q2070" s="5">
        <v>94416</v>
      </c>
      <c r="R2070" s="5">
        <v>591341</v>
      </c>
    </row>
    <row r="2071" spans="1:18" x14ac:dyDescent="0.25">
      <c r="A2071" t="s">
        <v>513</v>
      </c>
      <c r="B2071" t="s">
        <v>494</v>
      </c>
      <c r="C2071">
        <v>77045310</v>
      </c>
      <c r="D2071">
        <v>0</v>
      </c>
      <c r="E2071">
        <v>30858705</v>
      </c>
      <c r="F2071" t="s">
        <v>1222</v>
      </c>
      <c r="G2071" s="1">
        <v>45237</v>
      </c>
      <c r="H2071">
        <v>5414412</v>
      </c>
      <c r="I2071">
        <v>464</v>
      </c>
      <c r="J2071" t="s">
        <v>127</v>
      </c>
      <c r="K2071" t="str">
        <f>IFERROR(IF(AND(VLOOKUP($C2071,Hes!$A:$B, 1, FALSE), $M2071&lt;&gt;" "), "Ingresada", "Falta Ingresar"), " ")</f>
        <v xml:space="preserve"> </v>
      </c>
      <c r="L2071" s="4" t="s">
        <v>681</v>
      </c>
      <c r="M2071" t="s">
        <v>681</v>
      </c>
      <c r="O2071" s="5">
        <v>30858705</v>
      </c>
      <c r="P2071" s="5">
        <v>290956</v>
      </c>
      <c r="Q2071" s="5">
        <v>55282</v>
      </c>
      <c r="R2071" s="5">
        <v>346238</v>
      </c>
    </row>
    <row r="2072" spans="1:18" x14ac:dyDescent="0.25">
      <c r="F2072" t="s">
        <v>500</v>
      </c>
      <c r="K2072" t="str">
        <f>IFERROR(IF(AND(VLOOKUP($C2072,Hes!$A:$B, 1, FALSE), $M2072&lt;&gt;" "), "Ingresada", "Falta Ingresar"), " ")</f>
        <v xml:space="preserve"> </v>
      </c>
      <c r="L2072" s="4" t="str">
        <f>IFERROR(VLOOKUP($C2072,Observaciones!$A:$B,2,FALSE)," ")</f>
        <v xml:space="preserve"> </v>
      </c>
      <c r="M2072" t="s">
        <v>681</v>
      </c>
      <c r="P2072" s="5">
        <v>1433244</v>
      </c>
      <c r="Q2072" s="5">
        <v>272317</v>
      </c>
      <c r="R2072" s="5">
        <v>1705561</v>
      </c>
    </row>
    <row r="2073" spans="1:18" x14ac:dyDescent="0.25">
      <c r="A2073" t="s">
        <v>501</v>
      </c>
      <c r="B2073" t="s">
        <v>494</v>
      </c>
      <c r="C2073">
        <v>77048196</v>
      </c>
      <c r="D2073">
        <v>1</v>
      </c>
      <c r="E2073">
        <v>30861385</v>
      </c>
      <c r="F2073" t="s">
        <v>1223</v>
      </c>
      <c r="G2073" s="1">
        <v>45238</v>
      </c>
      <c r="H2073">
        <v>5414930</v>
      </c>
      <c r="I2073">
        <v>72</v>
      </c>
      <c r="J2073" t="s">
        <v>176</v>
      </c>
      <c r="K2073" t="str">
        <f>IFERROR(IF(AND(VLOOKUP($C2073,Hes!$A:$B, 1, FALSE), $M2073&lt;&gt;" "), "Ingresada", "Falta Ingresar"), " ")</f>
        <v xml:space="preserve"> </v>
      </c>
      <c r="L2073" s="4" t="str">
        <f>IFERROR(VLOOKUP($C2073,Observaciones!$A:$B,2,FALSE)," ")</f>
        <v xml:space="preserve"> </v>
      </c>
      <c r="M2073" t="s">
        <v>681</v>
      </c>
      <c r="O2073" s="5">
        <v>30861385</v>
      </c>
      <c r="P2073" s="5">
        <v>53066</v>
      </c>
      <c r="Q2073" s="5">
        <v>10083</v>
      </c>
      <c r="R2073" s="5">
        <v>63149</v>
      </c>
    </row>
    <row r="2074" spans="1:18" x14ac:dyDescent="0.25">
      <c r="F2074" t="s">
        <v>495</v>
      </c>
      <c r="K2074" t="str">
        <f>IFERROR(IF(AND(VLOOKUP($C2074,Hes!$A:$B, 1, FALSE), $M2074&lt;&gt;" "), "Ingresada", "Falta Ingresar"), " ")</f>
        <v xml:space="preserve"> </v>
      </c>
      <c r="L2074" s="4" t="str">
        <f>IFERROR(VLOOKUP($C2074,Observaciones!$A:$B,2,FALSE)," ")</f>
        <v xml:space="preserve"> </v>
      </c>
      <c r="M2074" t="s">
        <v>681</v>
      </c>
      <c r="P2074" s="5">
        <v>53066</v>
      </c>
      <c r="Q2074" s="5">
        <v>10083</v>
      </c>
      <c r="R2074" s="5">
        <v>63149</v>
      </c>
    </row>
    <row r="2075" spans="1:18" x14ac:dyDescent="0.25">
      <c r="A2075" t="s">
        <v>501</v>
      </c>
      <c r="B2075" t="s">
        <v>494</v>
      </c>
      <c r="C2075">
        <v>77090370</v>
      </c>
      <c r="D2075">
        <v>13</v>
      </c>
      <c r="E2075">
        <v>30847891</v>
      </c>
      <c r="F2075" t="s">
        <v>1224</v>
      </c>
      <c r="G2075" s="1">
        <v>45234</v>
      </c>
      <c r="H2075">
        <v>5411907</v>
      </c>
      <c r="I2075">
        <v>64</v>
      </c>
      <c r="J2075" t="s">
        <v>138</v>
      </c>
      <c r="K2075" t="str">
        <f>IFERROR(IF(AND(VLOOKUP($C2075,Hes!$A:$B, 1, FALSE), $M2075&lt;&gt;" "), "Ingresada", "Falta Ingresar"), " ")</f>
        <v xml:space="preserve"> </v>
      </c>
      <c r="L2075" s="4" t="str">
        <f>IFERROR(VLOOKUP($C2075,Observaciones!$A:$B,2,FALSE)," ")</f>
        <v xml:space="preserve"> </v>
      </c>
      <c r="M2075" t="s">
        <v>681</v>
      </c>
      <c r="O2075" s="5">
        <v>30847891</v>
      </c>
      <c r="P2075" s="5">
        <v>67544</v>
      </c>
      <c r="Q2075" s="5">
        <v>12833</v>
      </c>
      <c r="R2075" s="5">
        <v>80377</v>
      </c>
    </row>
    <row r="2076" spans="1:18" x14ac:dyDescent="0.25">
      <c r="A2076" t="s">
        <v>501</v>
      </c>
      <c r="B2076" t="s">
        <v>494</v>
      </c>
      <c r="C2076">
        <v>77090370</v>
      </c>
      <c r="D2076">
        <v>0</v>
      </c>
      <c r="E2076" t="s">
        <v>1225</v>
      </c>
      <c r="F2076" t="s">
        <v>1224</v>
      </c>
      <c r="G2076" s="1">
        <v>45236</v>
      </c>
      <c r="H2076">
        <v>5412616</v>
      </c>
      <c r="I2076">
        <v>64</v>
      </c>
      <c r="J2076" t="s">
        <v>138</v>
      </c>
      <c r="K2076" t="str">
        <f>IFERROR(IF(AND(VLOOKUP($C2076,Hes!$A:$B, 1, FALSE), $M2076&lt;&gt;" "), "Ingresada", "Falta Ingresar"), " ")</f>
        <v xml:space="preserve"> </v>
      </c>
      <c r="L2076" s="4" t="str">
        <f>IFERROR(VLOOKUP($C2076,Observaciones!$A:$B,2,FALSE)," ")</f>
        <v xml:space="preserve"> </v>
      </c>
      <c r="M2076" t="s">
        <v>681</v>
      </c>
      <c r="O2076" s="5">
        <v>30851967</v>
      </c>
      <c r="P2076" s="5">
        <v>48551</v>
      </c>
      <c r="Q2076" s="5">
        <v>9225</v>
      </c>
      <c r="R2076" s="5">
        <v>57776</v>
      </c>
    </row>
    <row r="2077" spans="1:18" x14ac:dyDescent="0.25">
      <c r="A2077" t="s">
        <v>501</v>
      </c>
      <c r="B2077" t="s">
        <v>494</v>
      </c>
      <c r="C2077">
        <v>77090370</v>
      </c>
      <c r="D2077">
        <v>0</v>
      </c>
      <c r="E2077" t="s">
        <v>1225</v>
      </c>
      <c r="F2077" t="s">
        <v>1224</v>
      </c>
      <c r="G2077" s="1">
        <v>45238</v>
      </c>
      <c r="H2077">
        <v>5414592</v>
      </c>
      <c r="I2077">
        <v>64</v>
      </c>
      <c r="J2077" t="s">
        <v>138</v>
      </c>
      <c r="K2077" t="str">
        <f>IFERROR(IF(AND(VLOOKUP($C2077,Hes!$A:$B, 1, FALSE), $M2077&lt;&gt;" "), "Ingresada", "Falta Ingresar"), " ")</f>
        <v xml:space="preserve"> </v>
      </c>
      <c r="L2077" s="4" t="str">
        <f>IFERROR(VLOOKUP($C2077,Observaciones!$A:$B,2,FALSE)," ")</f>
        <v xml:space="preserve"> </v>
      </c>
      <c r="M2077" t="s">
        <v>681</v>
      </c>
      <c r="O2077" s="5">
        <v>30856525</v>
      </c>
      <c r="P2077" s="5">
        <v>37444</v>
      </c>
      <c r="Q2077" s="5">
        <v>7114</v>
      </c>
      <c r="R2077" s="5">
        <v>44558</v>
      </c>
    </row>
    <row r="2078" spans="1:18" x14ac:dyDescent="0.25">
      <c r="A2078" t="s">
        <v>501</v>
      </c>
      <c r="B2078" t="s">
        <v>494</v>
      </c>
      <c r="C2078">
        <v>77090370</v>
      </c>
      <c r="D2078">
        <v>4</v>
      </c>
      <c r="E2078">
        <v>30864062</v>
      </c>
      <c r="F2078" t="s">
        <v>1224</v>
      </c>
      <c r="G2078" s="1">
        <v>45237</v>
      </c>
      <c r="H2078">
        <v>5415256</v>
      </c>
      <c r="I2078">
        <v>64</v>
      </c>
      <c r="J2078" t="s">
        <v>138</v>
      </c>
      <c r="K2078" t="str">
        <f>IFERROR(IF(AND(VLOOKUP($C2078,Hes!$A:$B, 1, FALSE), $M2078&lt;&gt;" "), "Ingresada", "Falta Ingresar"), " ")</f>
        <v xml:space="preserve"> </v>
      </c>
      <c r="L2078" s="4" t="str">
        <f>IFERROR(VLOOKUP($C2078,Observaciones!$A:$B,2,FALSE)," ")</f>
        <v xml:space="preserve"> </v>
      </c>
      <c r="M2078" t="s">
        <v>681</v>
      </c>
      <c r="O2078" s="5">
        <v>30864062</v>
      </c>
      <c r="P2078" s="5">
        <v>87057</v>
      </c>
      <c r="Q2078" s="5">
        <v>16541</v>
      </c>
      <c r="R2078" s="5">
        <v>103598</v>
      </c>
    </row>
    <row r="2079" spans="1:18" x14ac:dyDescent="0.25">
      <c r="A2079" t="s">
        <v>501</v>
      </c>
      <c r="B2079" t="s">
        <v>494</v>
      </c>
      <c r="C2079">
        <v>77090370</v>
      </c>
      <c r="D2079">
        <v>3</v>
      </c>
      <c r="E2079">
        <v>30863841</v>
      </c>
      <c r="F2079" t="s">
        <v>1224</v>
      </c>
      <c r="G2079" s="1">
        <v>45238</v>
      </c>
      <c r="H2079">
        <v>5415378</v>
      </c>
      <c r="I2079">
        <v>64</v>
      </c>
      <c r="J2079" t="s">
        <v>138</v>
      </c>
      <c r="K2079" t="str">
        <f>IFERROR(IF(AND(VLOOKUP($C2079,Hes!$A:$B, 1, FALSE), $M2079&lt;&gt;" "), "Ingresada", "Falta Ingresar"), " ")</f>
        <v xml:space="preserve"> </v>
      </c>
      <c r="L2079" s="4" t="str">
        <f>IFERROR(VLOOKUP($C2079,Observaciones!$A:$B,2,FALSE)," ")</f>
        <v xml:space="preserve"> </v>
      </c>
      <c r="M2079" t="s">
        <v>681</v>
      </c>
      <c r="O2079" s="5">
        <v>30863841</v>
      </c>
      <c r="P2079" s="5">
        <v>67772</v>
      </c>
      <c r="Q2079" s="5">
        <v>12877</v>
      </c>
      <c r="R2079" s="5">
        <v>80649</v>
      </c>
    </row>
    <row r="2080" spans="1:18" x14ac:dyDescent="0.25">
      <c r="F2080" t="s">
        <v>499</v>
      </c>
      <c r="K2080" t="str">
        <f>IFERROR(IF(AND(VLOOKUP($C2080,Hes!$A:$B, 1, FALSE), $M2080&lt;&gt;" "), "Ingresada", "Falta Ingresar"), " ")</f>
        <v xml:space="preserve"> </v>
      </c>
      <c r="L2080" s="4" t="str">
        <f>IFERROR(VLOOKUP($C2080,Observaciones!$A:$B,2,FALSE)," ")</f>
        <v xml:space="preserve"> </v>
      </c>
      <c r="M2080" t="s">
        <v>681</v>
      </c>
      <c r="P2080" s="5">
        <v>308368</v>
      </c>
      <c r="Q2080" s="5">
        <v>58590</v>
      </c>
      <c r="R2080" s="5">
        <v>366958</v>
      </c>
    </row>
    <row r="2081" spans="1:18" x14ac:dyDescent="0.25">
      <c r="A2081" t="s">
        <v>501</v>
      </c>
      <c r="B2081" t="s">
        <v>494</v>
      </c>
      <c r="C2081">
        <v>77099010</v>
      </c>
      <c r="D2081">
        <v>7726</v>
      </c>
      <c r="E2081">
        <v>30852577</v>
      </c>
      <c r="F2081" t="s">
        <v>1226</v>
      </c>
      <c r="G2081" s="1">
        <v>45233</v>
      </c>
      <c r="H2081">
        <v>5411753</v>
      </c>
      <c r="I2081">
        <v>63</v>
      </c>
      <c r="J2081" t="s">
        <v>170</v>
      </c>
      <c r="K2081" s="8" t="str">
        <f>IFERROR(IF(AND(VLOOKUP($C2081,Hes!$A:$B, 1, FALSE), $M2081&lt;&gt;" "), "Ingresada", "Falta Ingresar"), " ")</f>
        <v>Falta Ingresar</v>
      </c>
      <c r="L2081" s="4" t="str">
        <f>IFERROR(VLOOKUP($C2081,Observaciones!$A:$B,2,FALSE)," ")</f>
        <v xml:space="preserve"> </v>
      </c>
      <c r="M2081" t="s">
        <v>681</v>
      </c>
      <c r="N2081" s="5" t="s">
        <v>841</v>
      </c>
      <c r="O2081" s="5">
        <v>30852577</v>
      </c>
      <c r="P2081" s="5">
        <v>93195</v>
      </c>
      <c r="Q2081" s="5">
        <v>17707</v>
      </c>
      <c r="R2081" s="5">
        <v>110902</v>
      </c>
    </row>
    <row r="2082" spans="1:18" x14ac:dyDescent="0.25">
      <c r="A2082" t="s">
        <v>501</v>
      </c>
      <c r="B2082" t="s">
        <v>494</v>
      </c>
      <c r="C2082">
        <v>77099010</v>
      </c>
      <c r="D2082">
        <v>30</v>
      </c>
      <c r="E2082">
        <v>30853161</v>
      </c>
      <c r="F2082" t="s">
        <v>1226</v>
      </c>
      <c r="G2082" s="1">
        <v>45234</v>
      </c>
      <c r="H2082">
        <v>5412173</v>
      </c>
      <c r="I2082">
        <v>63</v>
      </c>
      <c r="J2082" t="s">
        <v>170</v>
      </c>
      <c r="K2082" s="8" t="str">
        <f>IFERROR(IF(AND(VLOOKUP($C2082,Hes!$A:$B, 1, FALSE), $M2082&lt;&gt;" "), "Ingresada", "Falta Ingresar"), " ")</f>
        <v>Falta Ingresar</v>
      </c>
      <c r="L2082" s="4" t="str">
        <f>IFERROR(VLOOKUP($C2082,Observaciones!$A:$B,2,FALSE)," ")</f>
        <v xml:space="preserve"> </v>
      </c>
      <c r="M2082" t="s">
        <v>681</v>
      </c>
      <c r="N2082" s="5" t="s">
        <v>841</v>
      </c>
      <c r="O2082" s="5">
        <v>30853161</v>
      </c>
      <c r="P2082" s="5">
        <v>87911</v>
      </c>
      <c r="Q2082" s="5">
        <v>16703</v>
      </c>
      <c r="R2082" s="5">
        <v>104614</v>
      </c>
    </row>
    <row r="2083" spans="1:18" x14ac:dyDescent="0.25">
      <c r="A2083" t="s">
        <v>501</v>
      </c>
      <c r="B2083" t="s">
        <v>494</v>
      </c>
      <c r="C2083">
        <v>77099010</v>
      </c>
      <c r="D2083">
        <v>2775</v>
      </c>
      <c r="E2083">
        <v>30853199</v>
      </c>
      <c r="F2083" t="s">
        <v>1226</v>
      </c>
      <c r="G2083" s="1">
        <v>45235</v>
      </c>
      <c r="H2083">
        <v>5412546</v>
      </c>
      <c r="I2083">
        <v>63</v>
      </c>
      <c r="J2083" t="s">
        <v>170</v>
      </c>
      <c r="K2083" s="8" t="str">
        <f>IFERROR(IF(AND(VLOOKUP($C2083,Hes!$A:$B, 1, FALSE), $M2083&lt;&gt;" "), "Ingresada", "Falta Ingresar"), " ")</f>
        <v>Falta Ingresar</v>
      </c>
      <c r="L2083" s="4" t="str">
        <f>IFERROR(VLOOKUP($C2083,Observaciones!$A:$B,2,FALSE)," ")</f>
        <v xml:space="preserve"> </v>
      </c>
      <c r="M2083" t="s">
        <v>681</v>
      </c>
      <c r="N2083" s="5" t="s">
        <v>841</v>
      </c>
      <c r="O2083" s="5">
        <v>30853199</v>
      </c>
      <c r="P2083" s="5">
        <v>85158</v>
      </c>
      <c r="Q2083" s="5">
        <v>16180</v>
      </c>
      <c r="R2083" s="5">
        <v>101338</v>
      </c>
    </row>
    <row r="2084" spans="1:18" x14ac:dyDescent="0.25">
      <c r="A2084" t="s">
        <v>501</v>
      </c>
      <c r="B2084" t="s">
        <v>494</v>
      </c>
      <c r="C2084">
        <v>77099010</v>
      </c>
      <c r="D2084">
        <v>6</v>
      </c>
      <c r="E2084">
        <v>30855010</v>
      </c>
      <c r="F2084" t="s">
        <v>1226</v>
      </c>
      <c r="G2084" s="1">
        <v>45236</v>
      </c>
      <c r="H2084">
        <v>5413684</v>
      </c>
      <c r="I2084">
        <v>63</v>
      </c>
      <c r="J2084" t="s">
        <v>170</v>
      </c>
      <c r="K2084" s="8" t="str">
        <f>IFERROR(IF(AND(VLOOKUP($C2084,Hes!$A:$B, 1, FALSE), $M2084&lt;&gt;" "), "Ingresada", "Falta Ingresar"), " ")</f>
        <v>Falta Ingresar</v>
      </c>
      <c r="L2084" s="4" t="str">
        <f>IFERROR(VLOOKUP($C2084,Observaciones!$A:$B,2,FALSE)," ")</f>
        <v xml:space="preserve"> </v>
      </c>
      <c r="M2084" t="s">
        <v>681</v>
      </c>
      <c r="N2084" s="5" t="s">
        <v>841</v>
      </c>
      <c r="O2084" s="5">
        <v>30855010</v>
      </c>
      <c r="P2084" s="5">
        <v>89843</v>
      </c>
      <c r="Q2084" s="5">
        <v>17070</v>
      </c>
      <c r="R2084" s="5">
        <v>106913</v>
      </c>
    </row>
    <row r="2085" spans="1:18" x14ac:dyDescent="0.25">
      <c r="A2085" t="s">
        <v>501</v>
      </c>
      <c r="B2085" t="s">
        <v>494</v>
      </c>
      <c r="C2085">
        <v>77099010</v>
      </c>
      <c r="D2085">
        <v>2389</v>
      </c>
      <c r="E2085">
        <v>30854808</v>
      </c>
      <c r="F2085" t="s">
        <v>1226</v>
      </c>
      <c r="G2085" s="1">
        <v>45236</v>
      </c>
      <c r="H2085">
        <v>5413698</v>
      </c>
      <c r="I2085">
        <v>63</v>
      </c>
      <c r="J2085" t="s">
        <v>170</v>
      </c>
      <c r="K2085" s="8" t="str">
        <f>IFERROR(IF(AND(VLOOKUP($C2085,Hes!$A:$B, 1, FALSE), $M2085&lt;&gt;" "), "Ingresada", "Falta Ingresar"), " ")</f>
        <v>Falta Ingresar</v>
      </c>
      <c r="L2085" s="4" t="str">
        <f>IFERROR(VLOOKUP($C2085,Observaciones!$A:$B,2,FALSE)," ")</f>
        <v xml:space="preserve"> </v>
      </c>
      <c r="M2085" t="s">
        <v>681</v>
      </c>
      <c r="N2085" s="5" t="s">
        <v>841</v>
      </c>
      <c r="O2085" s="5">
        <v>30854808</v>
      </c>
      <c r="P2085" s="5">
        <v>113793</v>
      </c>
      <c r="Q2085" s="5">
        <v>21621</v>
      </c>
      <c r="R2085" s="5">
        <v>135414</v>
      </c>
    </row>
    <row r="2086" spans="1:18" x14ac:dyDescent="0.25">
      <c r="A2086" t="s">
        <v>501</v>
      </c>
      <c r="B2086" t="s">
        <v>494</v>
      </c>
      <c r="C2086">
        <v>77099010</v>
      </c>
      <c r="D2086">
        <v>440</v>
      </c>
      <c r="E2086">
        <v>30855112</v>
      </c>
      <c r="F2086" t="s">
        <v>1226</v>
      </c>
      <c r="G2086" s="1">
        <v>45236</v>
      </c>
      <c r="H2086">
        <v>5413868</v>
      </c>
      <c r="I2086">
        <v>63</v>
      </c>
      <c r="J2086" t="s">
        <v>170</v>
      </c>
      <c r="K2086" s="8" t="str">
        <f>IFERROR(IF(AND(VLOOKUP($C2086,Hes!$A:$B, 1, FALSE), $M2086&lt;&gt;" "), "Ingresada", "Falta Ingresar"), " ")</f>
        <v>Falta Ingresar</v>
      </c>
      <c r="L2086" s="4" t="str">
        <f>IFERROR(VLOOKUP($C2086,Observaciones!$A:$B,2,FALSE)," ")</f>
        <v xml:space="preserve"> </v>
      </c>
      <c r="M2086" t="s">
        <v>681</v>
      </c>
      <c r="N2086" s="5" t="s">
        <v>841</v>
      </c>
      <c r="O2086" s="5">
        <v>30855112</v>
      </c>
      <c r="P2086" s="5">
        <v>116430</v>
      </c>
      <c r="Q2086" s="5">
        <v>22122</v>
      </c>
      <c r="R2086" s="5">
        <v>138552</v>
      </c>
    </row>
    <row r="2087" spans="1:18" x14ac:dyDescent="0.25">
      <c r="A2087" t="s">
        <v>501</v>
      </c>
      <c r="B2087" t="s">
        <v>494</v>
      </c>
      <c r="C2087">
        <v>77099010</v>
      </c>
      <c r="D2087">
        <v>7726</v>
      </c>
      <c r="E2087">
        <v>30859875</v>
      </c>
      <c r="F2087" t="s">
        <v>1226</v>
      </c>
      <c r="G2087" s="1">
        <v>45237</v>
      </c>
      <c r="H2087">
        <v>5414093</v>
      </c>
      <c r="I2087">
        <v>63</v>
      </c>
      <c r="J2087" t="s">
        <v>170</v>
      </c>
      <c r="K2087" s="8" t="str">
        <f>IFERROR(IF(AND(VLOOKUP($C2087,Hes!$A:$B, 1, FALSE), $M2087&lt;&gt;" "), "Ingresada", "Falta Ingresar"), " ")</f>
        <v>Falta Ingresar</v>
      </c>
      <c r="L2087" s="4" t="str">
        <f>IFERROR(VLOOKUP($C2087,Observaciones!$A:$B,2,FALSE)," ")</f>
        <v xml:space="preserve"> </v>
      </c>
      <c r="M2087" t="s">
        <v>681</v>
      </c>
      <c r="N2087" s="5" t="s">
        <v>841</v>
      </c>
      <c r="O2087" s="5">
        <v>30859875</v>
      </c>
      <c r="P2087" s="5">
        <v>23099</v>
      </c>
      <c r="Q2087" s="5">
        <v>4389</v>
      </c>
      <c r="R2087" s="5">
        <v>27488</v>
      </c>
    </row>
    <row r="2088" spans="1:18" x14ac:dyDescent="0.25">
      <c r="A2088" t="s">
        <v>501</v>
      </c>
      <c r="B2088" t="s">
        <v>494</v>
      </c>
      <c r="C2088">
        <v>77099010</v>
      </c>
      <c r="D2088">
        <v>520</v>
      </c>
      <c r="E2088">
        <v>30860307</v>
      </c>
      <c r="F2088" t="s">
        <v>1226</v>
      </c>
      <c r="G2088" s="1">
        <v>45237</v>
      </c>
      <c r="H2088">
        <v>5414135</v>
      </c>
      <c r="I2088">
        <v>63</v>
      </c>
      <c r="J2088" t="s">
        <v>170</v>
      </c>
      <c r="K2088" s="8" t="str">
        <f>IFERROR(IF(AND(VLOOKUP($C2088,Hes!$A:$B, 1, FALSE), $M2088&lt;&gt;" "), "Ingresada", "Falta Ingresar"), " ")</f>
        <v>Falta Ingresar</v>
      </c>
      <c r="L2088" s="4" t="str">
        <f>IFERROR(VLOOKUP($C2088,Observaciones!$A:$B,2,FALSE)," ")</f>
        <v xml:space="preserve"> </v>
      </c>
      <c r="M2088" t="s">
        <v>681</v>
      </c>
      <c r="N2088" s="5" t="s">
        <v>841</v>
      </c>
      <c r="O2088" s="5">
        <v>30860307</v>
      </c>
      <c r="P2088" s="5">
        <v>43103</v>
      </c>
      <c r="Q2088" s="5">
        <v>8190</v>
      </c>
      <c r="R2088" s="5">
        <v>51293</v>
      </c>
    </row>
    <row r="2089" spans="1:18" x14ac:dyDescent="0.25">
      <c r="A2089" t="s">
        <v>501</v>
      </c>
      <c r="B2089" t="s">
        <v>494</v>
      </c>
      <c r="C2089">
        <v>77099010</v>
      </c>
      <c r="D2089">
        <v>33</v>
      </c>
      <c r="E2089">
        <v>30859779</v>
      </c>
      <c r="F2089" t="s">
        <v>1226</v>
      </c>
      <c r="G2089" s="1">
        <v>45237</v>
      </c>
      <c r="H2089">
        <v>5414157</v>
      </c>
      <c r="I2089">
        <v>63</v>
      </c>
      <c r="J2089" t="s">
        <v>170</v>
      </c>
      <c r="K2089" s="8" t="str">
        <f>IFERROR(IF(AND(VLOOKUP($C2089,Hes!$A:$B, 1, FALSE), $M2089&lt;&gt;" "), "Ingresada", "Falta Ingresar"), " ")</f>
        <v>Falta Ingresar</v>
      </c>
      <c r="L2089" s="4" t="str">
        <f>IFERROR(VLOOKUP($C2089,Observaciones!$A:$B,2,FALSE)," ")</f>
        <v xml:space="preserve"> </v>
      </c>
      <c r="M2089" t="s">
        <v>681</v>
      </c>
      <c r="N2089" s="5" t="s">
        <v>841</v>
      </c>
      <c r="O2089" s="5">
        <v>30859779</v>
      </c>
      <c r="P2089" s="5">
        <v>118587</v>
      </c>
      <c r="Q2089" s="5">
        <v>22532</v>
      </c>
      <c r="R2089" s="5">
        <v>141119</v>
      </c>
    </row>
    <row r="2090" spans="1:18" x14ac:dyDescent="0.25">
      <c r="A2090" t="s">
        <v>501</v>
      </c>
      <c r="B2090" t="s">
        <v>494</v>
      </c>
      <c r="C2090">
        <v>77099010</v>
      </c>
      <c r="D2090">
        <v>32</v>
      </c>
      <c r="E2090">
        <v>30860181</v>
      </c>
      <c r="F2090" t="s">
        <v>1226</v>
      </c>
      <c r="G2090" s="1">
        <v>45237</v>
      </c>
      <c r="H2090">
        <v>5414284</v>
      </c>
      <c r="I2090">
        <v>63</v>
      </c>
      <c r="J2090" t="s">
        <v>170</v>
      </c>
      <c r="K2090" s="8" t="str">
        <f>IFERROR(IF(AND(VLOOKUP($C2090,Hes!$A:$B, 1, FALSE), $M2090&lt;&gt;" "), "Ingresada", "Falta Ingresar"), " ")</f>
        <v>Falta Ingresar</v>
      </c>
      <c r="L2090" s="4" t="str">
        <f>IFERROR(VLOOKUP($C2090,Observaciones!$A:$B,2,FALSE)," ")</f>
        <v xml:space="preserve"> </v>
      </c>
      <c r="M2090" t="s">
        <v>681</v>
      </c>
      <c r="N2090" s="5" t="s">
        <v>841</v>
      </c>
      <c r="O2090" s="5">
        <v>30860181</v>
      </c>
      <c r="P2090" s="5">
        <v>71377</v>
      </c>
      <c r="Q2090" s="5">
        <v>13562</v>
      </c>
      <c r="R2090" s="5">
        <v>84939</v>
      </c>
    </row>
    <row r="2091" spans="1:18" x14ac:dyDescent="0.25">
      <c r="A2091" t="s">
        <v>501</v>
      </c>
      <c r="B2091" t="s">
        <v>494</v>
      </c>
      <c r="C2091">
        <v>77099010</v>
      </c>
      <c r="D2091">
        <v>2190</v>
      </c>
      <c r="E2091">
        <v>30860270</v>
      </c>
      <c r="F2091" t="s">
        <v>1226</v>
      </c>
      <c r="G2091" s="1">
        <v>45237</v>
      </c>
      <c r="H2091">
        <v>5414370</v>
      </c>
      <c r="I2091">
        <v>63</v>
      </c>
      <c r="J2091" t="s">
        <v>170</v>
      </c>
      <c r="K2091" s="8" t="str">
        <f>IFERROR(IF(AND(VLOOKUP($C2091,Hes!$A:$B, 1, FALSE), $M2091&lt;&gt;" "), "Ingresada", "Falta Ingresar"), " ")</f>
        <v>Falta Ingresar</v>
      </c>
      <c r="L2091" s="4" t="str">
        <f>IFERROR(VLOOKUP($C2091,Observaciones!$A:$B,2,FALSE)," ")</f>
        <v xml:space="preserve"> </v>
      </c>
      <c r="M2091" t="s">
        <v>681</v>
      </c>
      <c r="N2091" s="5" t="s">
        <v>841</v>
      </c>
      <c r="O2091" s="5">
        <v>30860270</v>
      </c>
      <c r="P2091" s="5">
        <v>91037</v>
      </c>
      <c r="Q2091" s="5">
        <v>17297</v>
      </c>
      <c r="R2091" s="5">
        <v>108334</v>
      </c>
    </row>
    <row r="2092" spans="1:18" x14ac:dyDescent="0.25">
      <c r="A2092" t="s">
        <v>501</v>
      </c>
      <c r="B2092" t="s">
        <v>494</v>
      </c>
      <c r="C2092">
        <v>77099010</v>
      </c>
      <c r="D2092">
        <v>2727</v>
      </c>
      <c r="E2092">
        <v>30858160</v>
      </c>
      <c r="F2092" t="s">
        <v>1226</v>
      </c>
      <c r="G2092" s="1">
        <v>45238</v>
      </c>
      <c r="H2092">
        <v>5414655</v>
      </c>
      <c r="I2092">
        <v>63</v>
      </c>
      <c r="J2092" t="s">
        <v>170</v>
      </c>
      <c r="K2092" s="8" t="str">
        <f>IFERROR(IF(AND(VLOOKUP($C2092,Hes!$A:$B, 1, FALSE), $M2092&lt;&gt;" "), "Ingresada", "Falta Ingresar"), " ")</f>
        <v>Falta Ingresar</v>
      </c>
      <c r="L2092" s="4" t="str">
        <f>IFERROR(VLOOKUP($C2092,Observaciones!$A:$B,2,FALSE)," ")</f>
        <v xml:space="preserve"> </v>
      </c>
      <c r="M2092" t="s">
        <v>681</v>
      </c>
      <c r="N2092" s="5" t="s">
        <v>841</v>
      </c>
      <c r="O2092" s="5">
        <v>30858160</v>
      </c>
      <c r="P2092" s="5">
        <v>129715</v>
      </c>
      <c r="Q2092" s="5">
        <v>24646</v>
      </c>
      <c r="R2092" s="5">
        <v>154361</v>
      </c>
    </row>
    <row r="2093" spans="1:18" x14ac:dyDescent="0.25">
      <c r="A2093" t="s">
        <v>501</v>
      </c>
      <c r="B2093" t="s">
        <v>494</v>
      </c>
      <c r="C2093">
        <v>77099010</v>
      </c>
      <c r="D2093">
        <v>18</v>
      </c>
      <c r="E2093">
        <v>30858184</v>
      </c>
      <c r="F2093" t="s">
        <v>1226</v>
      </c>
      <c r="G2093" s="1">
        <v>45238</v>
      </c>
      <c r="H2093">
        <v>5414675</v>
      </c>
      <c r="I2093">
        <v>63</v>
      </c>
      <c r="J2093" t="s">
        <v>170</v>
      </c>
      <c r="K2093" s="8" t="str">
        <f>IFERROR(IF(AND(VLOOKUP($C2093,Hes!$A:$B, 1, FALSE), $M2093&lt;&gt;" "), "Ingresada", "Falta Ingresar"), " ")</f>
        <v>Falta Ingresar</v>
      </c>
      <c r="L2093" s="4" t="str">
        <f>IFERROR(VLOOKUP($C2093,Observaciones!$A:$B,2,FALSE)," ")</f>
        <v xml:space="preserve"> </v>
      </c>
      <c r="M2093" t="s">
        <v>681</v>
      </c>
      <c r="N2093" s="5" t="s">
        <v>841</v>
      </c>
      <c r="O2093" s="5">
        <v>30858184</v>
      </c>
      <c r="P2093" s="5">
        <v>42961</v>
      </c>
      <c r="Q2093" s="5">
        <v>8163</v>
      </c>
      <c r="R2093" s="5">
        <v>51124</v>
      </c>
    </row>
    <row r="2094" spans="1:18" x14ac:dyDescent="0.25">
      <c r="A2094" t="s">
        <v>501</v>
      </c>
      <c r="B2094" t="s">
        <v>494</v>
      </c>
      <c r="C2094">
        <v>77099010</v>
      </c>
      <c r="D2094">
        <v>1001</v>
      </c>
      <c r="E2094">
        <v>30860500</v>
      </c>
      <c r="F2094" t="s">
        <v>1226</v>
      </c>
      <c r="G2094" s="1">
        <v>45238</v>
      </c>
      <c r="H2094">
        <v>5414775</v>
      </c>
      <c r="I2094">
        <v>63</v>
      </c>
      <c r="J2094" t="s">
        <v>170</v>
      </c>
      <c r="K2094" s="8" t="str">
        <f>IFERROR(IF(AND(VLOOKUP($C2094,Hes!$A:$B, 1, FALSE), $M2094&lt;&gt;" "), "Ingresada", "Falta Ingresar"), " ")</f>
        <v>Falta Ingresar</v>
      </c>
      <c r="L2094" s="4" t="str">
        <f>IFERROR(VLOOKUP($C2094,Observaciones!$A:$B,2,FALSE)," ")</f>
        <v xml:space="preserve"> </v>
      </c>
      <c r="M2094" t="s">
        <v>681</v>
      </c>
      <c r="N2094" s="5" t="s">
        <v>841</v>
      </c>
      <c r="O2094" s="5">
        <v>30860500</v>
      </c>
      <c r="P2094" s="5">
        <v>76978</v>
      </c>
      <c r="Q2094" s="5">
        <v>14626</v>
      </c>
      <c r="R2094" s="5">
        <v>91604</v>
      </c>
    </row>
    <row r="2095" spans="1:18" x14ac:dyDescent="0.25">
      <c r="A2095" t="s">
        <v>501</v>
      </c>
      <c r="B2095" t="s">
        <v>494</v>
      </c>
      <c r="C2095">
        <v>77099010</v>
      </c>
      <c r="D2095">
        <v>2302</v>
      </c>
      <c r="E2095">
        <v>30858154</v>
      </c>
      <c r="F2095" t="s">
        <v>1226</v>
      </c>
      <c r="G2095" s="1">
        <v>45238</v>
      </c>
      <c r="H2095">
        <v>5414859</v>
      </c>
      <c r="I2095">
        <v>63</v>
      </c>
      <c r="J2095" t="s">
        <v>170</v>
      </c>
      <c r="K2095" s="8" t="str">
        <f>IFERROR(IF(AND(VLOOKUP($C2095,Hes!$A:$B, 1, FALSE), $M2095&lt;&gt;" "), "Ingresada", "Falta Ingresar"), " ")</f>
        <v>Falta Ingresar</v>
      </c>
      <c r="L2095" s="4" t="str">
        <f>IFERROR(VLOOKUP($C2095,Observaciones!$A:$B,2,FALSE)," ")</f>
        <v xml:space="preserve"> </v>
      </c>
      <c r="M2095" t="s">
        <v>681</v>
      </c>
      <c r="N2095" s="5" t="s">
        <v>841</v>
      </c>
      <c r="O2095" s="5">
        <v>30858154</v>
      </c>
      <c r="P2095" s="5">
        <v>87999</v>
      </c>
      <c r="Q2095" s="5">
        <v>16720</v>
      </c>
      <c r="R2095" s="5">
        <v>104719</v>
      </c>
    </row>
    <row r="2096" spans="1:18" x14ac:dyDescent="0.25">
      <c r="A2096" t="s">
        <v>501</v>
      </c>
      <c r="B2096" t="s">
        <v>494</v>
      </c>
      <c r="C2096">
        <v>77099010</v>
      </c>
      <c r="D2096">
        <v>2326</v>
      </c>
      <c r="E2096">
        <v>30858206</v>
      </c>
      <c r="F2096" t="s">
        <v>1226</v>
      </c>
      <c r="G2096" s="1">
        <v>45238</v>
      </c>
      <c r="H2096">
        <v>5414883</v>
      </c>
      <c r="I2096">
        <v>63</v>
      </c>
      <c r="J2096" t="s">
        <v>170</v>
      </c>
      <c r="K2096" s="8" t="str">
        <f>IFERROR(IF(AND(VLOOKUP($C2096,Hes!$A:$B, 1, FALSE), $M2096&lt;&gt;" "), "Ingresada", "Falta Ingresar"), " ")</f>
        <v>Falta Ingresar</v>
      </c>
      <c r="L2096" s="4" t="str">
        <f>IFERROR(VLOOKUP($C2096,Observaciones!$A:$B,2,FALSE)," ")</f>
        <v xml:space="preserve"> </v>
      </c>
      <c r="M2096" t="s">
        <v>681</v>
      </c>
      <c r="N2096" s="5" t="s">
        <v>841</v>
      </c>
      <c r="O2096" s="5">
        <v>30858206</v>
      </c>
      <c r="P2096" s="5">
        <v>38469</v>
      </c>
      <c r="Q2096" s="5">
        <v>7309</v>
      </c>
      <c r="R2096" s="5">
        <v>45778</v>
      </c>
    </row>
    <row r="2097" spans="1:18" x14ac:dyDescent="0.25">
      <c r="A2097" t="s">
        <v>501</v>
      </c>
      <c r="B2097" t="s">
        <v>494</v>
      </c>
      <c r="C2097">
        <v>77099010</v>
      </c>
      <c r="D2097">
        <v>2703</v>
      </c>
      <c r="E2097">
        <v>30865260</v>
      </c>
      <c r="F2097" t="s">
        <v>1226</v>
      </c>
      <c r="G2097" s="1">
        <v>45238</v>
      </c>
      <c r="H2097">
        <v>5415520</v>
      </c>
      <c r="I2097">
        <v>63</v>
      </c>
      <c r="J2097" t="s">
        <v>170</v>
      </c>
      <c r="K2097" s="8" t="str">
        <f>IFERROR(IF(AND(VLOOKUP($C2097,Hes!$A:$B, 1, FALSE), $M2097&lt;&gt;" "), "Ingresada", "Falta Ingresar"), " ")</f>
        <v>Falta Ingresar</v>
      </c>
      <c r="L2097" s="4" t="str">
        <f>IFERROR(VLOOKUP($C2097,Observaciones!$A:$B,2,FALSE)," ")</f>
        <v xml:space="preserve"> </v>
      </c>
      <c r="M2097" t="s">
        <v>681</v>
      </c>
      <c r="N2097" s="5" t="s">
        <v>841</v>
      </c>
      <c r="O2097" s="5">
        <v>30865260</v>
      </c>
      <c r="P2097" s="5">
        <v>119147</v>
      </c>
      <c r="Q2097" s="5">
        <v>22638</v>
      </c>
      <c r="R2097" s="5">
        <v>141785</v>
      </c>
    </row>
    <row r="2098" spans="1:18" x14ac:dyDescent="0.25">
      <c r="A2098" t="s">
        <v>501</v>
      </c>
      <c r="B2098" t="s">
        <v>494</v>
      </c>
      <c r="C2098">
        <v>77099010</v>
      </c>
      <c r="D2098">
        <v>2254</v>
      </c>
      <c r="E2098">
        <v>30865342</v>
      </c>
      <c r="F2098" t="s">
        <v>1226</v>
      </c>
      <c r="G2098" s="1">
        <v>45238</v>
      </c>
      <c r="H2098">
        <v>5415711</v>
      </c>
      <c r="I2098">
        <v>63</v>
      </c>
      <c r="J2098" t="s">
        <v>170</v>
      </c>
      <c r="K2098" s="8" t="str">
        <f>IFERROR(IF(AND(VLOOKUP($C2098,Hes!$A:$B, 1, FALSE), $M2098&lt;&gt;" "), "Ingresada", "Falta Ingresar"), " ")</f>
        <v>Falta Ingresar</v>
      </c>
      <c r="L2098" s="4" t="str">
        <f>IFERROR(VLOOKUP($C2098,Observaciones!$A:$B,2,FALSE)," ")</f>
        <v xml:space="preserve"> </v>
      </c>
      <c r="M2098" t="s">
        <v>681</v>
      </c>
      <c r="N2098" s="5" t="s">
        <v>841</v>
      </c>
      <c r="O2098" s="5">
        <v>30865342</v>
      </c>
      <c r="P2098" s="5">
        <v>89215</v>
      </c>
      <c r="Q2098" s="5">
        <v>16951</v>
      </c>
      <c r="R2098" s="5">
        <v>106166</v>
      </c>
    </row>
    <row r="2099" spans="1:18" x14ac:dyDescent="0.25">
      <c r="F2099" t="s">
        <v>526</v>
      </c>
      <c r="K2099" t="str">
        <f>IFERROR(IF(AND(VLOOKUP($C2099,Hes!$A:$B, 1, FALSE), $M2099&lt;&gt;" "), "Ingresada", "Falta Ingresar"), " ")</f>
        <v xml:space="preserve"> </v>
      </c>
      <c r="L2099" s="4" t="str">
        <f>IFERROR(VLOOKUP($C2099,Observaciones!$A:$B,2,FALSE)," ")</f>
        <v xml:space="preserve"> </v>
      </c>
      <c r="M2099" t="s">
        <v>681</v>
      </c>
      <c r="P2099" s="5">
        <v>1518017</v>
      </c>
      <c r="Q2099" s="5">
        <v>288426</v>
      </c>
      <c r="R2099" s="5">
        <v>1806443</v>
      </c>
    </row>
    <row r="2100" spans="1:18" x14ac:dyDescent="0.25">
      <c r="A2100" t="s">
        <v>496</v>
      </c>
      <c r="B2100" t="s">
        <v>494</v>
      </c>
      <c r="C2100">
        <v>77102042</v>
      </c>
      <c r="D2100">
        <v>0</v>
      </c>
      <c r="E2100">
        <v>4000083444</v>
      </c>
      <c r="F2100" t="s">
        <v>1227</v>
      </c>
      <c r="G2100" s="1">
        <v>45236</v>
      </c>
      <c r="H2100">
        <v>5412308</v>
      </c>
      <c r="I2100">
        <v>52</v>
      </c>
      <c r="J2100" t="s">
        <v>311</v>
      </c>
      <c r="K2100" t="str">
        <f>IFERROR(IF(AND(VLOOKUP($C2100,Hes!$A:$B, 1, FALSE), $M2100&lt;&gt;" "), "Ingresada", "Falta Ingresar"), " ")</f>
        <v xml:space="preserve"> </v>
      </c>
      <c r="L2100" s="4" t="str">
        <f>IFERROR(VLOOKUP($C2100,Observaciones!$A:$B,2,FALSE)," ")</f>
        <v xml:space="preserve"> </v>
      </c>
      <c r="M2100" t="s">
        <v>681</v>
      </c>
      <c r="O2100" s="5">
        <v>30852814</v>
      </c>
      <c r="P2100" s="5">
        <v>107384</v>
      </c>
      <c r="Q2100" s="5">
        <v>20403</v>
      </c>
      <c r="R2100" s="5">
        <v>127787</v>
      </c>
    </row>
    <row r="2101" spans="1:18" x14ac:dyDescent="0.25">
      <c r="A2101" t="s">
        <v>496</v>
      </c>
      <c r="B2101" t="s">
        <v>494</v>
      </c>
      <c r="C2101">
        <v>77102042</v>
      </c>
      <c r="D2101">
        <v>0</v>
      </c>
      <c r="E2101">
        <v>4000083444</v>
      </c>
      <c r="F2101" t="s">
        <v>1227</v>
      </c>
      <c r="G2101" s="1">
        <v>45236</v>
      </c>
      <c r="H2101">
        <v>5412316</v>
      </c>
      <c r="I2101">
        <v>52</v>
      </c>
      <c r="J2101" t="s">
        <v>311</v>
      </c>
      <c r="K2101" t="str">
        <f>IFERROR(IF(AND(VLOOKUP($C2101,Hes!$A:$B, 1, FALSE), $M2101&lt;&gt;" "), "Ingresada", "Falta Ingresar"), " ")</f>
        <v xml:space="preserve"> </v>
      </c>
      <c r="L2101" s="4" t="str">
        <f>IFERROR(VLOOKUP($C2101,Observaciones!$A:$B,2,FALSE)," ")</f>
        <v xml:space="preserve"> </v>
      </c>
      <c r="M2101" t="s">
        <v>681</v>
      </c>
      <c r="O2101" s="5">
        <v>30852787</v>
      </c>
      <c r="P2101" s="5">
        <v>68592</v>
      </c>
      <c r="Q2101" s="5">
        <v>13032</v>
      </c>
      <c r="R2101" s="5">
        <v>81624</v>
      </c>
    </row>
    <row r="2102" spans="1:18" x14ac:dyDescent="0.25">
      <c r="F2102" t="s">
        <v>497</v>
      </c>
      <c r="K2102" t="str">
        <f>IFERROR(IF(AND(VLOOKUP($C2102,Hes!$A:$B, 1, FALSE), $M2102&lt;&gt;" "), "Ingresada", "Falta Ingresar"), " ")</f>
        <v xml:space="preserve"> </v>
      </c>
      <c r="L2102" s="4" t="str">
        <f>IFERROR(VLOOKUP($C2102,Observaciones!$A:$B,2,FALSE)," ")</f>
        <v xml:space="preserve"> </v>
      </c>
      <c r="M2102" t="s">
        <v>681</v>
      </c>
      <c r="P2102" s="5">
        <v>175976</v>
      </c>
      <c r="Q2102" s="5">
        <v>33435</v>
      </c>
      <c r="R2102" s="5">
        <v>209411</v>
      </c>
    </row>
    <row r="2103" spans="1:18" x14ac:dyDescent="0.25">
      <c r="C2103">
        <v>77107585</v>
      </c>
      <c r="D2103">
        <v>2</v>
      </c>
      <c r="E2103">
        <v>30846996</v>
      </c>
      <c r="F2103" t="s">
        <v>1228</v>
      </c>
      <c r="G2103" s="1">
        <v>45236</v>
      </c>
      <c r="H2103">
        <v>5412041</v>
      </c>
      <c r="I2103">
        <v>18</v>
      </c>
      <c r="J2103" t="s">
        <v>168</v>
      </c>
      <c r="K2103" s="8" t="str">
        <f>IFERROR(IF(AND(VLOOKUP($C2103,Hes!$A:$B, 1, FALSE), $M2103&lt;&gt;" "), "Ingresada", "Falta Ingresar"), " ")</f>
        <v>Falta Ingresar</v>
      </c>
      <c r="L2103" s="4" t="str">
        <f>IFERROR(VLOOKUP($C2103,Observaciones!$A:$B,2,FALSE)," ")</f>
        <v>XRUT</v>
      </c>
      <c r="M2103" t="s">
        <v>681</v>
      </c>
      <c r="N2103" s="5" t="s">
        <v>841</v>
      </c>
      <c r="O2103" s="5">
        <v>30846996</v>
      </c>
      <c r="P2103" s="5">
        <v>102457</v>
      </c>
      <c r="Q2103" s="5">
        <v>19467</v>
      </c>
      <c r="R2103" s="5">
        <v>121924</v>
      </c>
    </row>
    <row r="2104" spans="1:18" x14ac:dyDescent="0.25">
      <c r="C2104">
        <v>77107585</v>
      </c>
      <c r="D2104">
        <v>2</v>
      </c>
      <c r="E2104">
        <v>30846996</v>
      </c>
      <c r="F2104" t="s">
        <v>1228</v>
      </c>
      <c r="G2104" s="1">
        <v>45236</v>
      </c>
      <c r="H2104">
        <v>5412042</v>
      </c>
      <c r="I2104">
        <v>18</v>
      </c>
      <c r="J2104" t="s">
        <v>168</v>
      </c>
      <c r="K2104" s="8" t="str">
        <f>IFERROR(IF(AND(VLOOKUP($C2104,Hes!$A:$B, 1, FALSE), $M2104&lt;&gt;" "), "Ingresada", "Falta Ingresar"), " ")</f>
        <v>Falta Ingresar</v>
      </c>
      <c r="L2104" s="4" t="str">
        <f>IFERROR(VLOOKUP($C2104,Observaciones!$A:$B,2,FALSE)," ")</f>
        <v>XRUT</v>
      </c>
      <c r="M2104" t="s">
        <v>681</v>
      </c>
      <c r="N2104" s="5" t="s">
        <v>841</v>
      </c>
      <c r="O2104" s="5">
        <v>30846996</v>
      </c>
      <c r="P2104" s="5">
        <v>47645</v>
      </c>
      <c r="Q2104" s="5">
        <v>9053</v>
      </c>
      <c r="R2104" s="5">
        <v>57340</v>
      </c>
    </row>
    <row r="2105" spans="1:18" x14ac:dyDescent="0.25">
      <c r="F2105" t="s">
        <v>497</v>
      </c>
      <c r="K2105" t="str">
        <f>IFERROR(IF(AND(VLOOKUP($C2105,Hes!$A:$B, 1, FALSE), $M2105&lt;&gt;" "), "Ingresada", "Falta Ingresar"), " ")</f>
        <v xml:space="preserve"> </v>
      </c>
      <c r="L2105" s="4" t="str">
        <f>IFERROR(VLOOKUP($C2105,Observaciones!$A:$B,2,FALSE)," ")</f>
        <v xml:space="preserve"> </v>
      </c>
      <c r="M2105" t="s">
        <v>681</v>
      </c>
      <c r="P2105" s="5">
        <v>150102</v>
      </c>
      <c r="Q2105" s="5">
        <v>28520</v>
      </c>
      <c r="R2105" s="5">
        <v>179264</v>
      </c>
    </row>
    <row r="2106" spans="1:18" x14ac:dyDescent="0.25">
      <c r="A2106" t="s">
        <v>496</v>
      </c>
      <c r="B2106" t="s">
        <v>494</v>
      </c>
      <c r="C2106">
        <v>77124900</v>
      </c>
      <c r="D2106">
        <v>6</v>
      </c>
      <c r="E2106" t="s">
        <v>1229</v>
      </c>
      <c r="F2106" t="s">
        <v>1230</v>
      </c>
      <c r="G2106" s="1">
        <v>45233</v>
      </c>
      <c r="H2106">
        <v>5411369</v>
      </c>
      <c r="I2106">
        <v>42</v>
      </c>
      <c r="J2106" t="s">
        <v>297</v>
      </c>
      <c r="K2106" t="str">
        <f>IFERROR(IF(AND(VLOOKUP($C2106,Hes!$A:$B, 1, FALSE), $M2106&lt;&gt;" "), "Ingresada", "Falta Ingresar"), " ")</f>
        <v xml:space="preserve"> </v>
      </c>
      <c r="L2106" s="4" t="str">
        <f>IFERROR(VLOOKUP($C2106,Observaciones!$A:$B,2,FALSE)," ")</f>
        <v>XOC Y CC</v>
      </c>
      <c r="M2106" t="s">
        <v>681</v>
      </c>
      <c r="O2106" s="5">
        <v>30848763</v>
      </c>
      <c r="P2106" s="5">
        <v>96812</v>
      </c>
      <c r="Q2106" s="5">
        <v>18394</v>
      </c>
      <c r="R2106" s="5">
        <v>115206</v>
      </c>
    </row>
    <row r="2107" spans="1:18" x14ac:dyDescent="0.25">
      <c r="A2107" t="s">
        <v>496</v>
      </c>
      <c r="B2107" t="s">
        <v>494</v>
      </c>
      <c r="C2107">
        <v>77124900</v>
      </c>
      <c r="D2107">
        <v>10</v>
      </c>
      <c r="E2107" t="s">
        <v>1231</v>
      </c>
      <c r="F2107" t="s">
        <v>1230</v>
      </c>
      <c r="G2107" s="1">
        <v>45236</v>
      </c>
      <c r="H2107">
        <v>5413596</v>
      </c>
      <c r="I2107">
        <v>42</v>
      </c>
      <c r="J2107" t="s">
        <v>297</v>
      </c>
      <c r="K2107" t="str">
        <f>IFERROR(IF(AND(VLOOKUP($C2107,Hes!$A:$B, 1, FALSE), $M2107&lt;&gt;" "), "Ingresada", "Falta Ingresar"), " ")</f>
        <v xml:space="preserve"> </v>
      </c>
      <c r="L2107" s="4" t="str">
        <f>IFERROR(VLOOKUP($C2107,Observaciones!$A:$B,2,FALSE)," ")</f>
        <v>XOC Y CC</v>
      </c>
      <c r="M2107" t="s">
        <v>681</v>
      </c>
      <c r="O2107" s="5">
        <v>30852905</v>
      </c>
      <c r="P2107" s="5">
        <v>123179</v>
      </c>
      <c r="Q2107" s="5">
        <v>23404</v>
      </c>
      <c r="R2107" s="5">
        <v>146583</v>
      </c>
    </row>
    <row r="2108" spans="1:18" x14ac:dyDescent="0.25">
      <c r="F2108" t="s">
        <v>497</v>
      </c>
      <c r="K2108" t="str">
        <f>IFERROR(IF(AND(VLOOKUP($C2108,Hes!$A:$B, 1, FALSE), $M2108&lt;&gt;" "), "Ingresada", "Falta Ingresar"), " ")</f>
        <v xml:space="preserve"> </v>
      </c>
      <c r="L2108" s="4" t="str">
        <f>IFERROR(VLOOKUP($C2108,Observaciones!$A:$B,2,FALSE)," ")</f>
        <v xml:space="preserve"> </v>
      </c>
      <c r="M2108" t="s">
        <v>681</v>
      </c>
      <c r="P2108" s="5">
        <v>219991</v>
      </c>
      <c r="Q2108" s="5">
        <v>41798</v>
      </c>
      <c r="R2108" s="5">
        <v>261789</v>
      </c>
    </row>
    <row r="2109" spans="1:18" x14ac:dyDescent="0.25">
      <c r="A2109" t="s">
        <v>503</v>
      </c>
      <c r="B2109" t="s">
        <v>494</v>
      </c>
      <c r="C2109">
        <v>77125467</v>
      </c>
      <c r="D2109">
        <v>0</v>
      </c>
      <c r="E2109">
        <v>30861260</v>
      </c>
      <c r="F2109" t="s">
        <v>1232</v>
      </c>
      <c r="G2109" s="1">
        <v>45237</v>
      </c>
      <c r="H2109">
        <v>5414411</v>
      </c>
      <c r="I2109">
        <v>72</v>
      </c>
      <c r="J2109" t="s">
        <v>176</v>
      </c>
      <c r="K2109" t="str">
        <f>IFERROR(IF(AND(VLOOKUP($C2109,Hes!$A:$B, 1, FALSE), $M2109&lt;&gt;" "), "Ingresada", "Falta Ingresar"), " ")</f>
        <v xml:space="preserve"> </v>
      </c>
      <c r="L2109" s="4" t="s">
        <v>681</v>
      </c>
      <c r="M2109" t="s">
        <v>681</v>
      </c>
      <c r="O2109" s="5">
        <v>30861260</v>
      </c>
      <c r="P2109" s="5">
        <v>34180</v>
      </c>
      <c r="Q2109" s="5">
        <v>6494</v>
      </c>
      <c r="R2109" s="5">
        <v>40674</v>
      </c>
    </row>
    <row r="2110" spans="1:18" x14ac:dyDescent="0.25">
      <c r="F2110" t="s">
        <v>495</v>
      </c>
      <c r="K2110" t="str">
        <f>IFERROR(IF(AND(VLOOKUP($C2110,Hes!$A:$B, 1, FALSE), $M2110&lt;&gt;" "), "Ingresada", "Falta Ingresar"), " ")</f>
        <v xml:space="preserve"> </v>
      </c>
      <c r="L2110" s="4" t="str">
        <f>IFERROR(VLOOKUP($C2110,Observaciones!$A:$B,2,FALSE)," ")</f>
        <v xml:space="preserve"> </v>
      </c>
      <c r="M2110" t="s">
        <v>681</v>
      </c>
      <c r="P2110" s="5">
        <v>34180</v>
      </c>
      <c r="Q2110" s="5">
        <v>6494</v>
      </c>
      <c r="R2110" s="5">
        <v>40674</v>
      </c>
    </row>
    <row r="2111" spans="1:18" x14ac:dyDescent="0.25">
      <c r="A2111" t="s">
        <v>501</v>
      </c>
      <c r="B2111" t="s">
        <v>494</v>
      </c>
      <c r="C2111">
        <v>77137860</v>
      </c>
      <c r="D2111">
        <v>44</v>
      </c>
      <c r="E2111">
        <v>20231045</v>
      </c>
      <c r="F2111" t="s">
        <v>1233</v>
      </c>
      <c r="G2111" s="1">
        <v>45233</v>
      </c>
      <c r="H2111">
        <v>5411439</v>
      </c>
      <c r="I2111">
        <v>184</v>
      </c>
      <c r="J2111" t="s">
        <v>394</v>
      </c>
      <c r="K2111" t="str">
        <f>IFERROR(IF(AND(VLOOKUP($C2111,Hes!$A:$B, 1, FALSE), $M2111&lt;&gt;" "), "Ingresada", "Falta Ingresar"), " ")</f>
        <v xml:space="preserve"> </v>
      </c>
      <c r="L2111" s="4" t="str">
        <f>IFERROR(VLOOKUP($C2111,Observaciones!$A:$B,2,FALSE)," ")</f>
        <v xml:space="preserve"> </v>
      </c>
      <c r="M2111" t="s">
        <v>681</v>
      </c>
      <c r="O2111" s="5">
        <v>30847266</v>
      </c>
      <c r="P2111" s="5">
        <v>9906</v>
      </c>
      <c r="Q2111" s="5">
        <v>1882</v>
      </c>
      <c r="R2111" s="5">
        <v>11788</v>
      </c>
    </row>
    <row r="2112" spans="1:18" x14ac:dyDescent="0.25">
      <c r="A2112" t="s">
        <v>501</v>
      </c>
      <c r="B2112" t="s">
        <v>494</v>
      </c>
      <c r="C2112">
        <v>77137860</v>
      </c>
      <c r="D2112">
        <v>43</v>
      </c>
      <c r="E2112">
        <v>30849705</v>
      </c>
      <c r="F2112" t="s">
        <v>1233</v>
      </c>
      <c r="G2112" s="1">
        <v>45233</v>
      </c>
      <c r="H2112">
        <v>5411467</v>
      </c>
      <c r="I2112">
        <v>184</v>
      </c>
      <c r="J2112" t="s">
        <v>394</v>
      </c>
      <c r="K2112" t="str">
        <f>IFERROR(IF(AND(VLOOKUP($C2112,Hes!$A:$B, 1, FALSE), $M2112&lt;&gt;" "), "Ingresada", "Falta Ingresar"), " ")</f>
        <v xml:space="preserve"> </v>
      </c>
      <c r="L2112" s="4" t="str">
        <f>IFERROR(VLOOKUP($C2112,Observaciones!$A:$B,2,FALSE)," ")</f>
        <v xml:space="preserve"> </v>
      </c>
      <c r="M2112" t="s">
        <v>681</v>
      </c>
      <c r="O2112" s="5">
        <v>30849705</v>
      </c>
      <c r="P2112" s="5">
        <v>81945</v>
      </c>
      <c r="Q2112" s="5">
        <v>15570</v>
      </c>
      <c r="R2112" s="5">
        <v>97515</v>
      </c>
    </row>
    <row r="2113" spans="1:18" x14ac:dyDescent="0.25">
      <c r="A2113" t="s">
        <v>501</v>
      </c>
      <c r="B2113" t="s">
        <v>494</v>
      </c>
      <c r="C2113">
        <v>77137860</v>
      </c>
      <c r="D2113">
        <v>7</v>
      </c>
      <c r="E2113" t="s">
        <v>1234</v>
      </c>
      <c r="F2113" t="s">
        <v>1233</v>
      </c>
      <c r="G2113" s="1">
        <v>45233</v>
      </c>
      <c r="H2113">
        <v>5411475</v>
      </c>
      <c r="I2113">
        <v>184</v>
      </c>
      <c r="J2113" t="s">
        <v>394</v>
      </c>
      <c r="K2113" t="str">
        <f>IFERROR(IF(AND(VLOOKUP($C2113,Hes!$A:$B, 1, FALSE), $M2113&lt;&gt;" "), "Ingresada", "Falta Ingresar"), " ")</f>
        <v xml:space="preserve"> </v>
      </c>
      <c r="L2113" s="4" t="str">
        <f>IFERROR(VLOOKUP($C2113,Observaciones!$A:$B,2,FALSE)," ")</f>
        <v xml:space="preserve"> </v>
      </c>
      <c r="M2113" t="s">
        <v>681</v>
      </c>
      <c r="O2113" s="5">
        <v>30850508</v>
      </c>
      <c r="P2113" s="5">
        <v>32720</v>
      </c>
      <c r="Q2113" s="5">
        <v>6217</v>
      </c>
      <c r="R2113" s="5">
        <v>38937</v>
      </c>
    </row>
    <row r="2114" spans="1:18" x14ac:dyDescent="0.25">
      <c r="A2114" t="s">
        <v>501</v>
      </c>
      <c r="B2114" t="s">
        <v>494</v>
      </c>
      <c r="C2114">
        <v>77137860</v>
      </c>
      <c r="D2114">
        <v>45</v>
      </c>
      <c r="E2114">
        <v>30849602</v>
      </c>
      <c r="F2114" t="s">
        <v>1233</v>
      </c>
      <c r="G2114" s="1">
        <v>45233</v>
      </c>
      <c r="H2114">
        <v>5411567</v>
      </c>
      <c r="I2114">
        <v>184</v>
      </c>
      <c r="J2114" t="s">
        <v>394</v>
      </c>
      <c r="K2114" t="str">
        <f>IFERROR(IF(AND(VLOOKUP($C2114,Hes!$A:$B, 1, FALSE), $M2114&lt;&gt;" "), "Ingresada", "Falta Ingresar"), " ")</f>
        <v xml:space="preserve"> </v>
      </c>
      <c r="L2114" s="4" t="str">
        <f>IFERROR(VLOOKUP($C2114,Observaciones!$A:$B,2,FALSE)," ")</f>
        <v xml:space="preserve"> </v>
      </c>
      <c r="M2114" t="s">
        <v>681</v>
      </c>
      <c r="O2114" s="5">
        <v>30849602</v>
      </c>
      <c r="P2114" s="5">
        <v>731620</v>
      </c>
      <c r="Q2114" s="5">
        <v>139008</v>
      </c>
      <c r="R2114" s="5">
        <v>870628</v>
      </c>
    </row>
    <row r="2115" spans="1:18" x14ac:dyDescent="0.25">
      <c r="A2115" t="s">
        <v>501</v>
      </c>
      <c r="B2115" t="s">
        <v>494</v>
      </c>
      <c r="C2115">
        <v>77137860</v>
      </c>
      <c r="D2115">
        <v>43</v>
      </c>
      <c r="E2115">
        <v>30866451</v>
      </c>
      <c r="F2115" t="s">
        <v>1233</v>
      </c>
      <c r="G2115" s="1">
        <v>45238</v>
      </c>
      <c r="H2115">
        <v>5415643</v>
      </c>
      <c r="I2115">
        <v>184</v>
      </c>
      <c r="J2115" t="s">
        <v>394</v>
      </c>
      <c r="K2115" t="str">
        <f>IFERROR(IF(AND(VLOOKUP($C2115,Hes!$A:$B, 1, FALSE), $M2115&lt;&gt;" "), "Ingresada", "Falta Ingresar"), " ")</f>
        <v xml:space="preserve"> </v>
      </c>
      <c r="L2115" s="4" t="str">
        <f>IFERROR(VLOOKUP($C2115,Observaciones!$A:$B,2,FALSE)," ")</f>
        <v xml:space="preserve"> </v>
      </c>
      <c r="M2115" t="s">
        <v>681</v>
      </c>
      <c r="O2115" s="5">
        <v>30866451</v>
      </c>
      <c r="P2115" s="5">
        <v>25406</v>
      </c>
      <c r="Q2115" s="5">
        <v>4827</v>
      </c>
      <c r="R2115" s="5">
        <v>30233</v>
      </c>
    </row>
    <row r="2116" spans="1:18" x14ac:dyDescent="0.25">
      <c r="F2116" t="s">
        <v>499</v>
      </c>
      <c r="K2116" t="str">
        <f>IFERROR(IF(AND(VLOOKUP($C2116,Hes!$A:$B, 1, FALSE), $M2116&lt;&gt;" "), "Ingresada", "Falta Ingresar"), " ")</f>
        <v xml:space="preserve"> </v>
      </c>
      <c r="L2116" s="4" t="str">
        <f>IFERROR(VLOOKUP($C2116,Observaciones!$A:$B,2,FALSE)," ")</f>
        <v xml:space="preserve"> </v>
      </c>
      <c r="M2116" t="s">
        <v>681</v>
      </c>
      <c r="P2116" s="5">
        <v>881597</v>
      </c>
      <c r="Q2116" s="5">
        <v>167504</v>
      </c>
      <c r="R2116" s="5">
        <v>1049101</v>
      </c>
    </row>
    <row r="2117" spans="1:18" x14ac:dyDescent="0.25">
      <c r="A2117" t="s">
        <v>513</v>
      </c>
      <c r="B2117" t="s">
        <v>494</v>
      </c>
      <c r="C2117">
        <v>77191070</v>
      </c>
      <c r="D2117">
        <v>2</v>
      </c>
      <c r="E2117">
        <v>30861664</v>
      </c>
      <c r="F2117" t="s">
        <v>1235</v>
      </c>
      <c r="G2117" s="1">
        <v>45237</v>
      </c>
      <c r="H2117">
        <v>5414478</v>
      </c>
      <c r="I2117">
        <v>394</v>
      </c>
      <c r="J2117" t="s">
        <v>224</v>
      </c>
      <c r="K2117" t="str">
        <f>IFERROR(IF(AND(VLOOKUP($C2117,Hes!$A:$B, 1, FALSE), $M2117&lt;&gt;" "), "Ingresada", "Falta Ingresar"), " ")</f>
        <v xml:space="preserve"> </v>
      </c>
      <c r="L2117" s="4" t="s">
        <v>681</v>
      </c>
      <c r="M2117" t="s">
        <v>681</v>
      </c>
      <c r="O2117" s="5">
        <v>30861664</v>
      </c>
      <c r="P2117" s="5">
        <v>992395</v>
      </c>
      <c r="Q2117" s="5">
        <v>188555</v>
      </c>
      <c r="R2117" s="5">
        <v>1185316</v>
      </c>
    </row>
    <row r="2118" spans="1:18" x14ac:dyDescent="0.25">
      <c r="F2118" t="s">
        <v>495</v>
      </c>
      <c r="K2118" t="str">
        <f>IFERROR(IF(AND(VLOOKUP($C2118,Hes!$A:$B, 1, FALSE), $M2118&lt;&gt;" "), "Ingresada", "Falta Ingresar"), " ")</f>
        <v xml:space="preserve"> </v>
      </c>
      <c r="L2118" s="4" t="str">
        <f>IFERROR(VLOOKUP($C2118,Observaciones!$A:$B,2,FALSE)," ")</f>
        <v xml:space="preserve"> </v>
      </c>
      <c r="M2118" t="s">
        <v>681</v>
      </c>
      <c r="P2118" s="5">
        <v>992395</v>
      </c>
      <c r="Q2118" s="5">
        <v>188555</v>
      </c>
      <c r="R2118" s="5">
        <v>1185316</v>
      </c>
    </row>
    <row r="2119" spans="1:18" x14ac:dyDescent="0.25">
      <c r="A2119" t="s">
        <v>881</v>
      </c>
      <c r="B2119" t="s">
        <v>494</v>
      </c>
      <c r="C2119">
        <v>77215640</v>
      </c>
      <c r="D2119">
        <v>125</v>
      </c>
      <c r="E2119">
        <v>5000174321</v>
      </c>
      <c r="F2119" t="s">
        <v>1236</v>
      </c>
      <c r="G2119" s="1">
        <v>45236</v>
      </c>
      <c r="H2119">
        <v>5411974</v>
      </c>
      <c r="I2119">
        <v>50</v>
      </c>
      <c r="J2119" t="s">
        <v>376</v>
      </c>
      <c r="K2119" t="str">
        <f>IFERROR(IF(AND(VLOOKUP($C2119,Hes!$A:$B, 1, FALSE), $M2119&lt;&gt;" "), "Ingresada", "Falta Ingresar"), " ")</f>
        <v xml:space="preserve"> </v>
      </c>
      <c r="L2119" s="4" t="str">
        <f>IFERROR(VLOOKUP($C2119,Observaciones!$A:$B,2,FALSE)," ")</f>
        <v xml:space="preserve"> </v>
      </c>
      <c r="M2119" t="s">
        <v>681</v>
      </c>
      <c r="O2119" s="5">
        <v>30841235</v>
      </c>
      <c r="P2119" s="5">
        <v>20380</v>
      </c>
      <c r="Q2119" s="5">
        <v>3872</v>
      </c>
      <c r="R2119" s="5">
        <v>24252</v>
      </c>
    </row>
    <row r="2120" spans="1:18" x14ac:dyDescent="0.25">
      <c r="F2120" t="s">
        <v>495</v>
      </c>
      <c r="K2120" t="str">
        <f>IFERROR(IF(AND(VLOOKUP($C2120,Hes!$A:$B, 1, FALSE), $M2120&lt;&gt;" "), "Ingresada", "Falta Ingresar"), " ")</f>
        <v xml:space="preserve"> </v>
      </c>
      <c r="L2120" s="4" t="str">
        <f>IFERROR(VLOOKUP($C2120,Observaciones!$A:$B,2,FALSE)," ")</f>
        <v xml:space="preserve"> </v>
      </c>
      <c r="M2120" t="s">
        <v>681</v>
      </c>
      <c r="P2120" s="5">
        <v>20380</v>
      </c>
      <c r="Q2120" s="5">
        <v>3872</v>
      </c>
      <c r="R2120" s="5">
        <v>24252</v>
      </c>
    </row>
    <row r="2121" spans="1:18" x14ac:dyDescent="0.25">
      <c r="A2121" t="s">
        <v>496</v>
      </c>
      <c r="B2121" t="s">
        <v>502</v>
      </c>
      <c r="C2121">
        <v>77260520</v>
      </c>
      <c r="D2121">
        <v>5</v>
      </c>
      <c r="E2121">
        <v>4500461858</v>
      </c>
      <c r="F2121" t="s">
        <v>1237</v>
      </c>
      <c r="G2121" s="1">
        <v>45233</v>
      </c>
      <c r="H2121">
        <v>5411542</v>
      </c>
      <c r="I2121">
        <v>394</v>
      </c>
      <c r="J2121" t="s">
        <v>224</v>
      </c>
      <c r="K2121" s="8" t="str">
        <f>IFERROR(IF(AND(VLOOKUP($C2121,Hes!$A:$B, 1, FALSE), $M2121&lt;&gt;" "), "Ingresada", "Falta Ingresar"), " ")</f>
        <v>Falta Ingresar</v>
      </c>
      <c r="L2121" s="4" t="str">
        <f>IFERROR(VLOOKUP($C2121,Observaciones!$A:$B,2,FALSE)," ")</f>
        <v>XOC Y CC</v>
      </c>
      <c r="M2121" t="s">
        <v>681</v>
      </c>
      <c r="N2121" s="5" t="s">
        <v>841</v>
      </c>
      <c r="O2121" s="5">
        <v>30845772</v>
      </c>
      <c r="P2121" s="5">
        <v>14816</v>
      </c>
      <c r="Q2121" s="5">
        <v>2815</v>
      </c>
      <c r="R2121" s="5">
        <v>17631</v>
      </c>
    </row>
    <row r="2122" spans="1:18" x14ac:dyDescent="0.25">
      <c r="A2122" t="s">
        <v>496</v>
      </c>
      <c r="B2122" t="s">
        <v>502</v>
      </c>
      <c r="C2122">
        <v>77260520</v>
      </c>
      <c r="D2122">
        <v>3</v>
      </c>
      <c r="E2122">
        <v>4500462238</v>
      </c>
      <c r="F2122" t="s">
        <v>1237</v>
      </c>
      <c r="G2122" s="1">
        <v>45236</v>
      </c>
      <c r="H2122">
        <v>5412122</v>
      </c>
      <c r="I2122">
        <v>394</v>
      </c>
      <c r="J2122" t="s">
        <v>224</v>
      </c>
      <c r="K2122" s="8" t="str">
        <f>IFERROR(IF(AND(VLOOKUP($C2122,Hes!$A:$B, 1, FALSE), $M2122&lt;&gt;" "), "Ingresada", "Falta Ingresar"), " ")</f>
        <v>Falta Ingresar</v>
      </c>
      <c r="L2122" s="4" t="str">
        <f>IFERROR(VLOOKUP($C2122,Observaciones!$A:$B,2,FALSE)," ")</f>
        <v>XOC Y CC</v>
      </c>
      <c r="M2122" t="s">
        <v>681</v>
      </c>
      <c r="N2122" s="5" t="s">
        <v>841</v>
      </c>
      <c r="O2122" s="5">
        <v>30848412</v>
      </c>
      <c r="P2122" s="5">
        <v>254152</v>
      </c>
      <c r="Q2122" s="5">
        <v>48289</v>
      </c>
      <c r="R2122" s="5">
        <v>302441</v>
      </c>
    </row>
    <row r="2123" spans="1:18" x14ac:dyDescent="0.25">
      <c r="A2123" t="s">
        <v>496</v>
      </c>
      <c r="B2123" t="s">
        <v>502</v>
      </c>
      <c r="C2123">
        <v>77260520</v>
      </c>
      <c r="D2123">
        <v>5</v>
      </c>
      <c r="E2123">
        <v>4500462531</v>
      </c>
      <c r="F2123" t="s">
        <v>1237</v>
      </c>
      <c r="G2123" s="1">
        <v>45236</v>
      </c>
      <c r="H2123">
        <v>5412124</v>
      </c>
      <c r="I2123">
        <v>394</v>
      </c>
      <c r="J2123" t="s">
        <v>224</v>
      </c>
      <c r="K2123" s="8" t="str">
        <f>IFERROR(IF(AND(VLOOKUP($C2123,Hes!$A:$B, 1, FALSE), $M2123&lt;&gt;" "), "Ingresada", "Falta Ingresar"), " ")</f>
        <v>Falta Ingresar</v>
      </c>
      <c r="L2123" s="4" t="str">
        <f>IFERROR(VLOOKUP($C2123,Observaciones!$A:$B,2,FALSE)," ")</f>
        <v>XOC Y CC</v>
      </c>
      <c r="M2123" t="s">
        <v>681</v>
      </c>
      <c r="N2123" s="5" t="s">
        <v>841</v>
      </c>
      <c r="O2123" s="5">
        <v>30848552</v>
      </c>
      <c r="P2123" s="5">
        <v>46944</v>
      </c>
      <c r="Q2123" s="5">
        <v>8919</v>
      </c>
      <c r="R2123" s="5">
        <v>55863</v>
      </c>
    </row>
    <row r="2124" spans="1:18" x14ac:dyDescent="0.25">
      <c r="A2124" t="s">
        <v>496</v>
      </c>
      <c r="B2124" t="s">
        <v>502</v>
      </c>
      <c r="C2124">
        <v>77260520</v>
      </c>
      <c r="D2124">
        <v>0</v>
      </c>
      <c r="E2124">
        <v>4500460821</v>
      </c>
      <c r="F2124" t="s">
        <v>1237</v>
      </c>
      <c r="G2124" s="1">
        <v>45236</v>
      </c>
      <c r="H2124">
        <v>5412125</v>
      </c>
      <c r="I2124">
        <v>394</v>
      </c>
      <c r="J2124" t="s">
        <v>224</v>
      </c>
      <c r="K2124" s="8" t="str">
        <f>IFERROR(IF(AND(VLOOKUP($C2124,Hes!$A:$B, 1, FALSE), $M2124&lt;&gt;" "), "Ingresada", "Falta Ingresar"), " ")</f>
        <v>Falta Ingresar</v>
      </c>
      <c r="L2124" s="4" t="str">
        <f>IFERROR(VLOOKUP($C2124,Observaciones!$A:$B,2,FALSE)," ")</f>
        <v>XOC Y CC</v>
      </c>
      <c r="M2124" t="s">
        <v>681</v>
      </c>
      <c r="N2124" s="5" t="s">
        <v>841</v>
      </c>
      <c r="O2124" s="5">
        <v>30823085</v>
      </c>
      <c r="P2124" s="5">
        <v>20001</v>
      </c>
      <c r="Q2124" s="5">
        <v>3800</v>
      </c>
      <c r="R2124" s="5">
        <v>23801</v>
      </c>
    </row>
    <row r="2125" spans="1:18" x14ac:dyDescent="0.25">
      <c r="A2125" t="s">
        <v>496</v>
      </c>
      <c r="B2125" t="s">
        <v>502</v>
      </c>
      <c r="C2125">
        <v>77260520</v>
      </c>
      <c r="D2125">
        <v>0</v>
      </c>
      <c r="E2125">
        <v>4500461843</v>
      </c>
      <c r="F2125" t="s">
        <v>1237</v>
      </c>
      <c r="G2125" s="1">
        <v>45236</v>
      </c>
      <c r="H2125">
        <v>5412126</v>
      </c>
      <c r="I2125">
        <v>394</v>
      </c>
      <c r="J2125" t="s">
        <v>224</v>
      </c>
      <c r="K2125" s="8" t="str">
        <f>IFERROR(IF(AND(VLOOKUP($C2125,Hes!$A:$B, 1, FALSE), $M2125&lt;&gt;" "), "Ingresada", "Falta Ingresar"), " ")</f>
        <v>Falta Ingresar</v>
      </c>
      <c r="L2125" s="4" t="str">
        <f>IFERROR(VLOOKUP($C2125,Observaciones!$A:$B,2,FALSE)," ")</f>
        <v>XOC Y CC</v>
      </c>
      <c r="M2125" t="s">
        <v>681</v>
      </c>
      <c r="N2125" s="5" t="s">
        <v>841</v>
      </c>
      <c r="O2125" s="5">
        <v>30828871</v>
      </c>
      <c r="P2125" s="5">
        <v>156192</v>
      </c>
      <c r="Q2125" s="5">
        <v>29676</v>
      </c>
      <c r="R2125" s="5">
        <v>185868</v>
      </c>
    </row>
    <row r="2126" spans="1:18" x14ac:dyDescent="0.25">
      <c r="A2126" t="s">
        <v>496</v>
      </c>
      <c r="B2126" t="s">
        <v>502</v>
      </c>
      <c r="C2126">
        <v>77260520</v>
      </c>
      <c r="D2126">
        <v>0</v>
      </c>
      <c r="E2126">
        <v>4500462100</v>
      </c>
      <c r="F2126" t="s">
        <v>1237</v>
      </c>
      <c r="G2126" s="1">
        <v>45236</v>
      </c>
      <c r="H2126">
        <v>5412127</v>
      </c>
      <c r="I2126">
        <v>394</v>
      </c>
      <c r="J2126" t="s">
        <v>224</v>
      </c>
      <c r="K2126" s="8" t="str">
        <f>IFERROR(IF(AND(VLOOKUP($C2126,Hes!$A:$B, 1, FALSE), $M2126&lt;&gt;" "), "Ingresada", "Falta Ingresar"), " ")</f>
        <v>Falta Ingresar</v>
      </c>
      <c r="L2126" s="4" t="str">
        <f>IFERROR(VLOOKUP($C2126,Observaciones!$A:$B,2,FALSE)," ")</f>
        <v>XOC Y CC</v>
      </c>
      <c r="M2126" t="s">
        <v>681</v>
      </c>
      <c r="N2126" s="5" t="s">
        <v>841</v>
      </c>
      <c r="O2126" s="5">
        <v>30843584</v>
      </c>
      <c r="P2126" s="5">
        <v>7320</v>
      </c>
      <c r="Q2126" s="5">
        <v>1391</v>
      </c>
      <c r="R2126" s="5">
        <v>8711</v>
      </c>
    </row>
    <row r="2127" spans="1:18" x14ac:dyDescent="0.25">
      <c r="A2127" t="s">
        <v>496</v>
      </c>
      <c r="B2127" t="s">
        <v>502</v>
      </c>
      <c r="C2127">
        <v>77260520</v>
      </c>
      <c r="D2127">
        <v>0</v>
      </c>
      <c r="E2127">
        <v>4500462014</v>
      </c>
      <c r="F2127" t="s">
        <v>1237</v>
      </c>
      <c r="G2127" s="1">
        <v>45236</v>
      </c>
      <c r="H2127">
        <v>5412131</v>
      </c>
      <c r="I2127">
        <v>394</v>
      </c>
      <c r="J2127" t="s">
        <v>224</v>
      </c>
      <c r="K2127" s="8" t="str">
        <f>IFERROR(IF(AND(VLOOKUP($C2127,Hes!$A:$B, 1, FALSE), $M2127&lt;&gt;" "), "Ingresada", "Falta Ingresar"), " ")</f>
        <v>Falta Ingresar</v>
      </c>
      <c r="L2127" s="4" t="str">
        <f>IFERROR(VLOOKUP($C2127,Observaciones!$A:$B,2,FALSE)," ")</f>
        <v>XOC Y CC</v>
      </c>
      <c r="M2127" t="s">
        <v>681</v>
      </c>
      <c r="N2127" s="5" t="s">
        <v>841</v>
      </c>
      <c r="O2127" s="5">
        <v>30847263</v>
      </c>
      <c r="P2127" s="5">
        <v>139200</v>
      </c>
      <c r="Q2127" s="5">
        <v>26448</v>
      </c>
      <c r="R2127" s="5">
        <v>165648</v>
      </c>
    </row>
    <row r="2128" spans="1:18" x14ac:dyDescent="0.25">
      <c r="A2128" t="s">
        <v>496</v>
      </c>
      <c r="B2128" t="s">
        <v>502</v>
      </c>
      <c r="C2128">
        <v>77260520</v>
      </c>
      <c r="D2128">
        <v>1</v>
      </c>
      <c r="E2128">
        <v>4500461734</v>
      </c>
      <c r="F2128" t="s">
        <v>1237</v>
      </c>
      <c r="G2128" s="1">
        <v>45236</v>
      </c>
      <c r="H2128">
        <v>5412497</v>
      </c>
      <c r="I2128">
        <v>394</v>
      </c>
      <c r="J2128" t="s">
        <v>224</v>
      </c>
      <c r="K2128" s="8" t="str">
        <f>IFERROR(IF(AND(VLOOKUP($C2128,Hes!$A:$B, 1, FALSE), $M2128&lt;&gt;" "), "Ingresada", "Falta Ingresar"), " ")</f>
        <v>Falta Ingresar</v>
      </c>
      <c r="L2128" s="4" t="str">
        <f>IFERROR(VLOOKUP($C2128,Observaciones!$A:$B,2,FALSE)," ")</f>
        <v>XOC Y CC</v>
      </c>
      <c r="M2128" t="s">
        <v>681</v>
      </c>
      <c r="N2128" s="5" t="s">
        <v>841</v>
      </c>
      <c r="O2128" s="5">
        <v>30847349</v>
      </c>
      <c r="P2128" s="5">
        <v>36846</v>
      </c>
      <c r="Q2128" s="5">
        <v>7001</v>
      </c>
      <c r="R2128" s="5">
        <v>43847</v>
      </c>
    </row>
    <row r="2129" spans="1:18" x14ac:dyDescent="0.25">
      <c r="A2129" t="s">
        <v>496</v>
      </c>
      <c r="B2129" t="s">
        <v>502</v>
      </c>
      <c r="C2129">
        <v>77260520</v>
      </c>
      <c r="D2129">
        <v>1</v>
      </c>
      <c r="E2129">
        <v>4500461733</v>
      </c>
      <c r="F2129" t="s">
        <v>1237</v>
      </c>
      <c r="G2129" s="1">
        <v>45236</v>
      </c>
      <c r="H2129">
        <v>5412498</v>
      </c>
      <c r="I2129">
        <v>394</v>
      </c>
      <c r="J2129" t="s">
        <v>224</v>
      </c>
      <c r="K2129" s="8" t="str">
        <f>IFERROR(IF(AND(VLOOKUP($C2129,Hes!$A:$B, 1, FALSE), $M2129&lt;&gt;" "), "Ingresada", "Falta Ingresar"), " ")</f>
        <v>Falta Ingresar</v>
      </c>
      <c r="L2129" s="4" t="str">
        <f>IFERROR(VLOOKUP($C2129,Observaciones!$A:$B,2,FALSE)," ")</f>
        <v>XOC Y CC</v>
      </c>
      <c r="M2129" t="s">
        <v>681</v>
      </c>
      <c r="N2129" s="5" t="s">
        <v>841</v>
      </c>
      <c r="O2129" s="5">
        <v>30847370</v>
      </c>
      <c r="P2129" s="5">
        <v>3704</v>
      </c>
      <c r="Q2129" s="5">
        <v>704</v>
      </c>
      <c r="R2129" s="5">
        <v>4408</v>
      </c>
    </row>
    <row r="2130" spans="1:18" x14ac:dyDescent="0.25">
      <c r="A2130" t="s">
        <v>496</v>
      </c>
      <c r="B2130" t="s">
        <v>502</v>
      </c>
      <c r="C2130">
        <v>77260520</v>
      </c>
      <c r="D2130">
        <v>1</v>
      </c>
      <c r="E2130">
        <v>4500461770</v>
      </c>
      <c r="F2130" t="s">
        <v>1237</v>
      </c>
      <c r="G2130" s="1">
        <v>45236</v>
      </c>
      <c r="H2130">
        <v>5412499</v>
      </c>
      <c r="I2130">
        <v>394</v>
      </c>
      <c r="J2130" t="s">
        <v>224</v>
      </c>
      <c r="K2130" s="8" t="str">
        <f>IFERROR(IF(AND(VLOOKUP($C2130,Hes!$A:$B, 1, FALSE), $M2130&lt;&gt;" "), "Ingresada", "Falta Ingresar"), " ")</f>
        <v>Falta Ingresar</v>
      </c>
      <c r="L2130" s="4" t="str">
        <f>IFERROR(VLOOKUP($C2130,Observaciones!$A:$B,2,FALSE)," ")</f>
        <v>XOC Y CC</v>
      </c>
      <c r="M2130" t="s">
        <v>681</v>
      </c>
      <c r="N2130" s="5" t="s">
        <v>841</v>
      </c>
      <c r="O2130" s="5">
        <v>30847376</v>
      </c>
      <c r="P2130" s="5">
        <v>37056</v>
      </c>
      <c r="Q2130" s="5">
        <v>7041</v>
      </c>
      <c r="R2130" s="5">
        <v>44097</v>
      </c>
    </row>
    <row r="2131" spans="1:18" x14ac:dyDescent="0.25">
      <c r="A2131" t="s">
        <v>496</v>
      </c>
      <c r="B2131" t="s">
        <v>502</v>
      </c>
      <c r="C2131">
        <v>77260520</v>
      </c>
      <c r="D2131">
        <v>5</v>
      </c>
      <c r="E2131">
        <v>4500462311</v>
      </c>
      <c r="F2131" t="s">
        <v>1237</v>
      </c>
      <c r="G2131" s="1">
        <v>45237</v>
      </c>
      <c r="H2131">
        <v>5413963</v>
      </c>
      <c r="I2131">
        <v>394</v>
      </c>
      <c r="J2131" t="s">
        <v>224</v>
      </c>
      <c r="K2131" s="8" t="str">
        <f>IFERROR(IF(AND(VLOOKUP($C2131,Hes!$A:$B, 1, FALSE), $M2131&lt;&gt;" "), "Ingresada", "Falta Ingresar"), " ")</f>
        <v>Falta Ingresar</v>
      </c>
      <c r="L2131" s="4" t="str">
        <f>IFERROR(VLOOKUP($C2131,Observaciones!$A:$B,2,FALSE)," ")</f>
        <v>XOC Y CC</v>
      </c>
      <c r="M2131" t="s">
        <v>681</v>
      </c>
      <c r="N2131" s="5" t="s">
        <v>841</v>
      </c>
      <c r="O2131" s="5">
        <v>30847236</v>
      </c>
      <c r="P2131" s="5">
        <v>29403</v>
      </c>
      <c r="Q2131" s="5">
        <v>5587</v>
      </c>
      <c r="R2131" s="5">
        <v>34990</v>
      </c>
    </row>
    <row r="2132" spans="1:18" x14ac:dyDescent="0.25">
      <c r="A2132" t="s">
        <v>496</v>
      </c>
      <c r="B2132" t="s">
        <v>502</v>
      </c>
      <c r="C2132">
        <v>77260520</v>
      </c>
      <c r="D2132">
        <v>0</v>
      </c>
      <c r="E2132">
        <v>4500462373</v>
      </c>
      <c r="F2132" t="s">
        <v>1237</v>
      </c>
      <c r="G2132" s="1">
        <v>45238</v>
      </c>
      <c r="H2132">
        <v>5415446</v>
      </c>
      <c r="I2132">
        <v>394</v>
      </c>
      <c r="J2132" t="s">
        <v>224</v>
      </c>
      <c r="K2132" s="8" t="str">
        <f>IFERROR(IF(AND(VLOOKUP($C2132,Hes!$A:$B, 1, FALSE), $M2132&lt;&gt;" "), "Ingresada", "Falta Ingresar"), " ")</f>
        <v>Falta Ingresar</v>
      </c>
      <c r="L2132" s="4" t="str">
        <f>IFERROR(VLOOKUP($C2132,Observaciones!$A:$B,2,FALSE)," ")</f>
        <v>XOC Y CC</v>
      </c>
      <c r="M2132" t="s">
        <v>681</v>
      </c>
      <c r="N2132" s="5" t="s">
        <v>841</v>
      </c>
      <c r="O2132" s="5">
        <v>30858875</v>
      </c>
      <c r="P2132" s="5">
        <v>8280</v>
      </c>
      <c r="Q2132" s="5">
        <v>1573</v>
      </c>
      <c r="R2132" s="5">
        <v>9853</v>
      </c>
    </row>
    <row r="2133" spans="1:18" x14ac:dyDescent="0.25">
      <c r="A2133" t="s">
        <v>496</v>
      </c>
      <c r="B2133" t="s">
        <v>502</v>
      </c>
      <c r="C2133">
        <v>77260520</v>
      </c>
      <c r="D2133">
        <v>0</v>
      </c>
      <c r="E2133">
        <v>4500462527</v>
      </c>
      <c r="F2133" t="s">
        <v>1237</v>
      </c>
      <c r="G2133" s="1">
        <v>45238</v>
      </c>
      <c r="H2133">
        <v>5415447</v>
      </c>
      <c r="I2133">
        <v>394</v>
      </c>
      <c r="J2133" t="s">
        <v>224</v>
      </c>
      <c r="K2133" s="8" t="str">
        <f>IFERROR(IF(AND(VLOOKUP($C2133,Hes!$A:$B, 1, FALSE), $M2133&lt;&gt;" "), "Ingresada", "Falta Ingresar"), " ")</f>
        <v>Falta Ingresar</v>
      </c>
      <c r="L2133" s="4" t="str">
        <f>IFERROR(VLOOKUP($C2133,Observaciones!$A:$B,2,FALSE)," ")</f>
        <v>XOC Y CC</v>
      </c>
      <c r="M2133" t="s">
        <v>681</v>
      </c>
      <c r="N2133" s="5" t="s">
        <v>841</v>
      </c>
      <c r="O2133" s="5">
        <v>30858946</v>
      </c>
      <c r="P2133" s="5">
        <v>104400</v>
      </c>
      <c r="Q2133" s="5">
        <v>19836</v>
      </c>
      <c r="R2133" s="5">
        <v>124236</v>
      </c>
    </row>
    <row r="2134" spans="1:18" x14ac:dyDescent="0.25">
      <c r="A2134" t="s">
        <v>496</v>
      </c>
      <c r="B2134" t="s">
        <v>502</v>
      </c>
      <c r="C2134">
        <v>77260520</v>
      </c>
      <c r="D2134">
        <v>0</v>
      </c>
      <c r="E2134">
        <v>4500462485</v>
      </c>
      <c r="F2134" t="s">
        <v>1237</v>
      </c>
      <c r="G2134" s="1">
        <v>45238</v>
      </c>
      <c r="H2134">
        <v>5415448</v>
      </c>
      <c r="I2134">
        <v>394</v>
      </c>
      <c r="J2134" t="s">
        <v>224</v>
      </c>
      <c r="K2134" s="8" t="str">
        <f>IFERROR(IF(AND(VLOOKUP($C2134,Hes!$A:$B, 1, FALSE), $M2134&lt;&gt;" "), "Ingresada", "Falta Ingresar"), " ")</f>
        <v>Falta Ingresar</v>
      </c>
      <c r="L2134" s="4" t="str">
        <f>IFERROR(VLOOKUP($C2134,Observaciones!$A:$B,2,FALSE)," ")</f>
        <v>XOC Y CC</v>
      </c>
      <c r="M2134" t="s">
        <v>681</v>
      </c>
      <c r="N2134" s="5" t="s">
        <v>841</v>
      </c>
      <c r="O2134" s="5">
        <v>30859098</v>
      </c>
      <c r="P2134" s="5">
        <v>132704</v>
      </c>
      <c r="Q2134" s="5">
        <v>25214</v>
      </c>
      <c r="R2134" s="5">
        <v>157918</v>
      </c>
    </row>
    <row r="2135" spans="1:18" x14ac:dyDescent="0.25">
      <c r="A2135" t="s">
        <v>496</v>
      </c>
      <c r="B2135" t="s">
        <v>502</v>
      </c>
      <c r="C2135">
        <v>77260520</v>
      </c>
      <c r="D2135">
        <v>0</v>
      </c>
      <c r="E2135">
        <v>4500462550</v>
      </c>
      <c r="F2135" t="s">
        <v>1237</v>
      </c>
      <c r="G2135" s="1">
        <v>45238</v>
      </c>
      <c r="H2135">
        <v>5415449</v>
      </c>
      <c r="I2135">
        <v>394</v>
      </c>
      <c r="J2135" t="s">
        <v>224</v>
      </c>
      <c r="K2135" s="8" t="str">
        <f>IFERROR(IF(AND(VLOOKUP($C2135,Hes!$A:$B, 1, FALSE), $M2135&lt;&gt;" "), "Ingresada", "Falta Ingresar"), " ")</f>
        <v>Falta Ingresar</v>
      </c>
      <c r="L2135" s="4" t="str">
        <f>IFERROR(VLOOKUP($C2135,Observaciones!$A:$B,2,FALSE)," ")</f>
        <v>XOC Y CC</v>
      </c>
      <c r="M2135" t="s">
        <v>681</v>
      </c>
      <c r="N2135" s="5" t="s">
        <v>841</v>
      </c>
      <c r="O2135" s="5">
        <v>30859278</v>
      </c>
      <c r="P2135" s="5">
        <v>38148</v>
      </c>
      <c r="Q2135" s="5">
        <v>7248</v>
      </c>
      <c r="R2135" s="5">
        <v>45396</v>
      </c>
    </row>
    <row r="2136" spans="1:18" x14ac:dyDescent="0.25">
      <c r="A2136" t="s">
        <v>496</v>
      </c>
      <c r="B2136" t="s">
        <v>502</v>
      </c>
      <c r="C2136">
        <v>77260520</v>
      </c>
      <c r="D2136">
        <v>0</v>
      </c>
      <c r="E2136">
        <v>4500462504</v>
      </c>
      <c r="F2136" t="s">
        <v>1237</v>
      </c>
      <c r="G2136" s="1">
        <v>45238</v>
      </c>
      <c r="H2136">
        <v>5415450</v>
      </c>
      <c r="I2136">
        <v>394</v>
      </c>
      <c r="J2136" t="s">
        <v>224</v>
      </c>
      <c r="K2136" s="8" t="str">
        <f>IFERROR(IF(AND(VLOOKUP($C2136,Hes!$A:$B, 1, FALSE), $M2136&lt;&gt;" "), "Ingresada", "Falta Ingresar"), " ")</f>
        <v>Falta Ingresar</v>
      </c>
      <c r="L2136" s="4" t="str">
        <f>IFERROR(VLOOKUP($C2136,Observaciones!$A:$B,2,FALSE)," ")</f>
        <v>XOC Y CC</v>
      </c>
      <c r="M2136" t="s">
        <v>681</v>
      </c>
      <c r="N2136" s="5" t="s">
        <v>841</v>
      </c>
      <c r="O2136" s="5">
        <v>30859339</v>
      </c>
      <c r="P2136" s="5">
        <v>83866</v>
      </c>
      <c r="Q2136" s="5">
        <v>15935</v>
      </c>
      <c r="R2136" s="5">
        <v>99801</v>
      </c>
    </row>
    <row r="2137" spans="1:18" x14ac:dyDescent="0.25">
      <c r="A2137" t="s">
        <v>496</v>
      </c>
      <c r="B2137" t="s">
        <v>502</v>
      </c>
      <c r="C2137">
        <v>77260520</v>
      </c>
      <c r="D2137">
        <v>0</v>
      </c>
      <c r="E2137">
        <v>4500462800</v>
      </c>
      <c r="F2137" t="s">
        <v>1237</v>
      </c>
      <c r="G2137" s="1">
        <v>45238</v>
      </c>
      <c r="H2137">
        <v>5415451</v>
      </c>
      <c r="I2137">
        <v>394</v>
      </c>
      <c r="J2137" t="s">
        <v>224</v>
      </c>
      <c r="K2137" s="8" t="str">
        <f>IFERROR(IF(AND(VLOOKUP($C2137,Hes!$A:$B, 1, FALSE), $M2137&lt;&gt;" "), "Ingresada", "Falta Ingresar"), " ")</f>
        <v>Falta Ingresar</v>
      </c>
      <c r="L2137" s="4" t="str">
        <f>IFERROR(VLOOKUP($C2137,Observaciones!$A:$B,2,FALSE)," ")</f>
        <v>XOC Y CC</v>
      </c>
      <c r="M2137" t="s">
        <v>681</v>
      </c>
      <c r="N2137" s="5" t="s">
        <v>841</v>
      </c>
      <c r="O2137" s="5">
        <v>30859429</v>
      </c>
      <c r="P2137" s="5">
        <v>522000</v>
      </c>
      <c r="Q2137" s="5">
        <v>99180</v>
      </c>
      <c r="R2137" s="5">
        <v>621180</v>
      </c>
    </row>
    <row r="2138" spans="1:18" x14ac:dyDescent="0.25">
      <c r="A2138" t="s">
        <v>496</v>
      </c>
      <c r="B2138" t="s">
        <v>502</v>
      </c>
      <c r="C2138">
        <v>77260520</v>
      </c>
      <c r="D2138">
        <v>0</v>
      </c>
      <c r="E2138">
        <v>4500462549</v>
      </c>
      <c r="F2138" t="s">
        <v>1237</v>
      </c>
      <c r="G2138" s="1">
        <v>45238</v>
      </c>
      <c r="H2138">
        <v>5415452</v>
      </c>
      <c r="I2138">
        <v>394</v>
      </c>
      <c r="J2138" t="s">
        <v>224</v>
      </c>
      <c r="K2138" s="8" t="str">
        <f>IFERROR(IF(AND(VLOOKUP($C2138,Hes!$A:$B, 1, FALSE), $M2138&lt;&gt;" "), "Ingresada", "Falta Ingresar"), " ")</f>
        <v>Falta Ingresar</v>
      </c>
      <c r="L2138" s="4" t="str">
        <f>IFERROR(VLOOKUP($C2138,Observaciones!$A:$B,2,FALSE)," ")</f>
        <v>XOC Y CC</v>
      </c>
      <c r="M2138" t="s">
        <v>681</v>
      </c>
      <c r="N2138" s="5" t="s">
        <v>841</v>
      </c>
      <c r="O2138" s="5">
        <v>30859488</v>
      </c>
      <c r="P2138" s="5">
        <v>38148</v>
      </c>
      <c r="Q2138" s="5">
        <v>7248</v>
      </c>
      <c r="R2138" s="5">
        <v>45396</v>
      </c>
    </row>
    <row r="2139" spans="1:18" x14ac:dyDescent="0.25">
      <c r="A2139" t="s">
        <v>496</v>
      </c>
      <c r="B2139" t="s">
        <v>502</v>
      </c>
      <c r="C2139">
        <v>77260520</v>
      </c>
      <c r="D2139">
        <v>0</v>
      </c>
      <c r="E2139">
        <v>4500462536</v>
      </c>
      <c r="F2139" t="s">
        <v>1237</v>
      </c>
      <c r="G2139" s="1">
        <v>45238</v>
      </c>
      <c r="H2139">
        <v>5415453</v>
      </c>
      <c r="I2139">
        <v>394</v>
      </c>
      <c r="J2139" t="s">
        <v>224</v>
      </c>
      <c r="K2139" s="8" t="str">
        <f>IFERROR(IF(AND(VLOOKUP($C2139,Hes!$A:$B, 1, FALSE), $M2139&lt;&gt;" "), "Ingresada", "Falta Ingresar"), " ")</f>
        <v>Falta Ingresar</v>
      </c>
      <c r="L2139" s="4" t="str">
        <f>IFERROR(VLOOKUP($C2139,Observaciones!$A:$B,2,FALSE)," ")</f>
        <v>XOC Y CC</v>
      </c>
      <c r="M2139" t="s">
        <v>681</v>
      </c>
      <c r="N2139" s="5" t="s">
        <v>841</v>
      </c>
      <c r="O2139" s="5">
        <v>30859543</v>
      </c>
      <c r="P2139" s="5">
        <v>28098</v>
      </c>
      <c r="Q2139" s="5">
        <v>5339</v>
      </c>
      <c r="R2139" s="5">
        <v>33437</v>
      </c>
    </row>
    <row r="2140" spans="1:18" x14ac:dyDescent="0.25">
      <c r="A2140" t="s">
        <v>496</v>
      </c>
      <c r="B2140" t="s">
        <v>502</v>
      </c>
      <c r="C2140">
        <v>77260520</v>
      </c>
      <c r="D2140">
        <v>0</v>
      </c>
      <c r="E2140">
        <v>4500462454</v>
      </c>
      <c r="F2140" t="s">
        <v>1237</v>
      </c>
      <c r="G2140" s="1">
        <v>45238</v>
      </c>
      <c r="H2140">
        <v>5415454</v>
      </c>
      <c r="I2140">
        <v>394</v>
      </c>
      <c r="J2140" t="s">
        <v>224</v>
      </c>
      <c r="K2140" s="8" t="str">
        <f>IFERROR(IF(AND(VLOOKUP($C2140,Hes!$A:$B, 1, FALSE), $M2140&lt;&gt;" "), "Ingresada", "Falta Ingresar"), " ")</f>
        <v>Falta Ingresar</v>
      </c>
      <c r="L2140" s="4" t="str">
        <f>IFERROR(VLOOKUP($C2140,Observaciones!$A:$B,2,FALSE)," ")</f>
        <v>XOC Y CC</v>
      </c>
      <c r="M2140" t="s">
        <v>681</v>
      </c>
      <c r="N2140" s="5" t="s">
        <v>841</v>
      </c>
      <c r="O2140" s="5">
        <v>30859592</v>
      </c>
      <c r="P2140" s="5">
        <v>51015</v>
      </c>
      <c r="Q2140" s="5">
        <v>9693</v>
      </c>
      <c r="R2140" s="5">
        <v>60708</v>
      </c>
    </row>
    <row r="2141" spans="1:18" x14ac:dyDescent="0.25">
      <c r="A2141" t="s">
        <v>496</v>
      </c>
      <c r="B2141" t="s">
        <v>502</v>
      </c>
      <c r="C2141">
        <v>77260520</v>
      </c>
      <c r="D2141">
        <v>0</v>
      </c>
      <c r="E2141">
        <v>4500462660</v>
      </c>
      <c r="F2141" t="s">
        <v>1237</v>
      </c>
      <c r="G2141" s="1">
        <v>45238</v>
      </c>
      <c r="H2141">
        <v>5415455</v>
      </c>
      <c r="I2141">
        <v>394</v>
      </c>
      <c r="J2141" t="s">
        <v>224</v>
      </c>
      <c r="K2141" s="8" t="str">
        <f>IFERROR(IF(AND(VLOOKUP($C2141,Hes!$A:$B, 1, FALSE), $M2141&lt;&gt;" "), "Ingresada", "Falta Ingresar"), " ")</f>
        <v>Falta Ingresar</v>
      </c>
      <c r="L2141" s="4" t="str">
        <f>IFERROR(VLOOKUP($C2141,Observaciones!$A:$B,2,FALSE)," ")</f>
        <v>XOC Y CC</v>
      </c>
      <c r="M2141" t="s">
        <v>681</v>
      </c>
      <c r="N2141" s="5" t="s">
        <v>841</v>
      </c>
      <c r="O2141" s="5">
        <v>30859646</v>
      </c>
      <c r="P2141" s="5">
        <v>69600</v>
      </c>
      <c r="Q2141" s="5">
        <v>13224</v>
      </c>
      <c r="R2141" s="5">
        <v>82824</v>
      </c>
    </row>
    <row r="2142" spans="1:18" x14ac:dyDescent="0.25">
      <c r="A2142" t="s">
        <v>496</v>
      </c>
      <c r="B2142" t="s">
        <v>502</v>
      </c>
      <c r="C2142">
        <v>77260520</v>
      </c>
      <c r="D2142">
        <v>0</v>
      </c>
      <c r="E2142">
        <v>4500462530</v>
      </c>
      <c r="F2142" t="s">
        <v>1237</v>
      </c>
      <c r="G2142" s="1">
        <v>45238</v>
      </c>
      <c r="H2142">
        <v>5415456</v>
      </c>
      <c r="I2142">
        <v>394</v>
      </c>
      <c r="J2142" t="s">
        <v>224</v>
      </c>
      <c r="K2142" s="8" t="str">
        <f>IFERROR(IF(AND(VLOOKUP($C2142,Hes!$A:$B, 1, FALSE), $M2142&lt;&gt;" "), "Ingresada", "Falta Ingresar"), " ")</f>
        <v>Falta Ingresar</v>
      </c>
      <c r="L2142" s="4" t="str">
        <f>IFERROR(VLOOKUP($C2142,Observaciones!$A:$B,2,FALSE)," ")</f>
        <v>XOC Y CC</v>
      </c>
      <c r="M2142" t="s">
        <v>681</v>
      </c>
      <c r="N2142" s="5" t="s">
        <v>841</v>
      </c>
      <c r="O2142" s="5">
        <v>30859719</v>
      </c>
      <c r="P2142" s="5">
        <v>19851</v>
      </c>
      <c r="Q2142" s="5">
        <v>3772</v>
      </c>
      <c r="R2142" s="5">
        <v>23623</v>
      </c>
    </row>
    <row r="2143" spans="1:18" x14ac:dyDescent="0.25">
      <c r="A2143" t="s">
        <v>496</v>
      </c>
      <c r="B2143" t="s">
        <v>502</v>
      </c>
      <c r="C2143">
        <v>77260520</v>
      </c>
      <c r="D2143">
        <v>0</v>
      </c>
      <c r="E2143">
        <v>4500462551</v>
      </c>
      <c r="F2143" t="s">
        <v>1237</v>
      </c>
      <c r="G2143" s="1">
        <v>45238</v>
      </c>
      <c r="H2143">
        <v>5415457</v>
      </c>
      <c r="I2143">
        <v>394</v>
      </c>
      <c r="J2143" t="s">
        <v>224</v>
      </c>
      <c r="K2143" s="8" t="str">
        <f>IFERROR(IF(AND(VLOOKUP($C2143,Hes!$A:$B, 1, FALSE), $M2143&lt;&gt;" "), "Ingresada", "Falta Ingresar"), " ")</f>
        <v>Falta Ingresar</v>
      </c>
      <c r="L2143" s="4" t="str">
        <f>IFERROR(VLOOKUP($C2143,Observaciones!$A:$B,2,FALSE)," ")</f>
        <v>XOC Y CC</v>
      </c>
      <c r="M2143" t="s">
        <v>681</v>
      </c>
      <c r="N2143" s="5" t="s">
        <v>841</v>
      </c>
      <c r="O2143" s="5">
        <v>30860173</v>
      </c>
      <c r="P2143" s="5">
        <v>87608</v>
      </c>
      <c r="Q2143" s="5">
        <v>16646</v>
      </c>
      <c r="R2143" s="5">
        <v>104254</v>
      </c>
    </row>
    <row r="2144" spans="1:18" x14ac:dyDescent="0.25">
      <c r="A2144" t="s">
        <v>496</v>
      </c>
      <c r="B2144" t="s">
        <v>502</v>
      </c>
      <c r="C2144">
        <v>77260520</v>
      </c>
      <c r="D2144">
        <v>0</v>
      </c>
      <c r="E2144">
        <v>4500462365</v>
      </c>
      <c r="F2144" t="s">
        <v>1237</v>
      </c>
      <c r="G2144" s="1">
        <v>45238</v>
      </c>
      <c r="H2144">
        <v>5415458</v>
      </c>
      <c r="I2144">
        <v>394</v>
      </c>
      <c r="J2144" t="s">
        <v>224</v>
      </c>
      <c r="K2144" s="8" t="str">
        <f>IFERROR(IF(AND(VLOOKUP($C2144,Hes!$A:$B, 1, FALSE), $M2144&lt;&gt;" "), "Ingresada", "Falta Ingresar"), " ")</f>
        <v>Falta Ingresar</v>
      </c>
      <c r="L2144" s="4" t="str">
        <f>IFERROR(VLOOKUP($C2144,Observaciones!$A:$B,2,FALSE)," ")</f>
        <v>XOC Y CC</v>
      </c>
      <c r="M2144" t="s">
        <v>681</v>
      </c>
      <c r="N2144" s="5" t="s">
        <v>841</v>
      </c>
      <c r="O2144" s="5">
        <v>30860198</v>
      </c>
      <c r="P2144" s="5">
        <v>47472</v>
      </c>
      <c r="Q2144" s="5">
        <v>9020</v>
      </c>
      <c r="R2144" s="5">
        <v>56492</v>
      </c>
    </row>
    <row r="2145" spans="1:18" x14ac:dyDescent="0.25">
      <c r="F2145" t="s">
        <v>1238</v>
      </c>
      <c r="K2145" t="str">
        <f>IFERROR(IF(AND(VLOOKUP($C2145,Hes!$A:$B, 1, FALSE), $M2145&lt;&gt;" "), "Ingresada", "Falta Ingresar"), " ")</f>
        <v xml:space="preserve"> </v>
      </c>
      <c r="L2145" s="4" t="str">
        <f>IFERROR(VLOOKUP($C2145,Observaciones!$A:$B,2,FALSE)," ")</f>
        <v xml:space="preserve"> </v>
      </c>
      <c r="M2145" t="s">
        <v>681</v>
      </c>
      <c r="P2145" s="5">
        <v>1976824</v>
      </c>
      <c r="Q2145" s="5">
        <v>375599</v>
      </c>
      <c r="R2145" s="5">
        <v>2352423</v>
      </c>
    </row>
    <row r="2146" spans="1:18" x14ac:dyDescent="0.25">
      <c r="A2146" t="s">
        <v>503</v>
      </c>
      <c r="B2146" t="s">
        <v>494</v>
      </c>
      <c r="C2146">
        <v>77261318</v>
      </c>
      <c r="D2146">
        <v>1</v>
      </c>
      <c r="E2146">
        <v>23001122</v>
      </c>
      <c r="F2146" t="s">
        <v>1239</v>
      </c>
      <c r="G2146" s="1">
        <v>45231</v>
      </c>
      <c r="H2146">
        <v>5410648</v>
      </c>
      <c r="I2146">
        <v>420</v>
      </c>
      <c r="J2146" t="s">
        <v>265</v>
      </c>
      <c r="K2146" s="7" t="str">
        <f>IFERROR(IF(AND(VLOOKUP($C2146,Hes!$A:$B, 1, FALSE), $M2146&lt;&gt;" "), "Ingresada", "Falta Ingresar"), " ")</f>
        <v>Ingresada</v>
      </c>
      <c r="L2146" s="4" t="str">
        <f>IFERROR(VLOOKUP($C2146,Observaciones!$A:$B,2,FALSE)," ")</f>
        <v xml:space="preserve"> </v>
      </c>
      <c r="M2146">
        <v>552772</v>
      </c>
      <c r="N2146" s="5" t="s">
        <v>841</v>
      </c>
      <c r="O2146" s="5">
        <v>30831460</v>
      </c>
      <c r="P2146" s="5">
        <v>16320</v>
      </c>
      <c r="Q2146" s="5">
        <v>3101</v>
      </c>
      <c r="R2146" s="5">
        <v>19421</v>
      </c>
    </row>
    <row r="2147" spans="1:18" x14ac:dyDescent="0.25">
      <c r="A2147" t="s">
        <v>503</v>
      </c>
      <c r="B2147" t="s">
        <v>494</v>
      </c>
      <c r="C2147">
        <v>77261318</v>
      </c>
      <c r="D2147">
        <v>1</v>
      </c>
      <c r="E2147">
        <v>23001133</v>
      </c>
      <c r="F2147" t="s">
        <v>1239</v>
      </c>
      <c r="G2147" s="1">
        <v>45231</v>
      </c>
      <c r="H2147">
        <v>5410649</v>
      </c>
      <c r="I2147">
        <v>420</v>
      </c>
      <c r="J2147" t="s">
        <v>265</v>
      </c>
      <c r="K2147" s="7" t="str">
        <f>IFERROR(IF(AND(VLOOKUP($C2147,Hes!$A:$B, 1, FALSE), $M2147&lt;&gt;" "), "Ingresada", "Falta Ingresar"), " ")</f>
        <v>Ingresada</v>
      </c>
      <c r="L2147" s="4" t="str">
        <f>IFERROR(VLOOKUP($C2147,Observaciones!$A:$B,2,FALSE)," ")</f>
        <v xml:space="preserve"> </v>
      </c>
      <c r="M2147">
        <v>552771</v>
      </c>
      <c r="N2147" s="5" t="s">
        <v>841</v>
      </c>
      <c r="O2147" s="5">
        <v>30837948</v>
      </c>
      <c r="P2147" s="5">
        <v>194477</v>
      </c>
      <c r="Q2147" s="5">
        <v>36951</v>
      </c>
      <c r="R2147" s="5">
        <v>231428</v>
      </c>
    </row>
    <row r="2148" spans="1:18" x14ac:dyDescent="0.25">
      <c r="F2148" t="s">
        <v>497</v>
      </c>
      <c r="K2148" t="str">
        <f>IFERROR(IF(AND(VLOOKUP($C2148,Hes!$A:$B, 1, FALSE), $M2148&lt;&gt;" "), "Ingresada", "Falta Ingresar"), " ")</f>
        <v xml:space="preserve"> </v>
      </c>
      <c r="L2148" s="4" t="str">
        <f>IFERROR(VLOOKUP($C2148,Observaciones!$A:$B,2,FALSE)," ")</f>
        <v xml:space="preserve"> </v>
      </c>
      <c r="M2148" t="s">
        <v>681</v>
      </c>
      <c r="P2148" s="5">
        <v>210797</v>
      </c>
      <c r="Q2148" s="5">
        <v>40052</v>
      </c>
      <c r="R2148" s="5">
        <v>250849</v>
      </c>
    </row>
    <row r="2149" spans="1:18" x14ac:dyDescent="0.25">
      <c r="A2149" t="s">
        <v>503</v>
      </c>
      <c r="B2149" t="s">
        <v>502</v>
      </c>
      <c r="C2149">
        <v>77263730</v>
      </c>
      <c r="D2149">
        <v>3</v>
      </c>
      <c r="E2149">
        <v>30851839</v>
      </c>
      <c r="F2149" t="s">
        <v>1240</v>
      </c>
      <c r="G2149" s="1">
        <v>45233</v>
      </c>
      <c r="H2149">
        <v>5411709</v>
      </c>
      <c r="I2149">
        <v>17</v>
      </c>
      <c r="J2149" t="s">
        <v>305</v>
      </c>
      <c r="K2149" t="str">
        <f>IFERROR(IF(AND(VLOOKUP($C2149,Hes!$A:$B, 1, FALSE), $M2149&lt;&gt;" "), "Ingresada", "Falta Ingresar"), " ")</f>
        <v xml:space="preserve"> </v>
      </c>
      <c r="L2149" s="4" t="str">
        <f>IFERROR(VLOOKUP($C2149,Observaciones!$A:$B,2,FALSE)," ")</f>
        <v xml:space="preserve"> </v>
      </c>
      <c r="M2149" t="s">
        <v>681</v>
      </c>
      <c r="O2149" s="5">
        <v>30851839</v>
      </c>
      <c r="P2149" s="5">
        <v>58257</v>
      </c>
      <c r="Q2149" s="5">
        <v>11069</v>
      </c>
      <c r="R2149" s="5">
        <v>69326</v>
      </c>
    </row>
    <row r="2150" spans="1:18" x14ac:dyDescent="0.25">
      <c r="F2150" t="s">
        <v>495</v>
      </c>
      <c r="K2150" t="str">
        <f>IFERROR(IF(AND(VLOOKUP($C2150,Hes!$A:$B, 1, FALSE), $M2150&lt;&gt;" "), "Ingresada", "Falta Ingresar"), " ")</f>
        <v xml:space="preserve"> </v>
      </c>
      <c r="L2150" s="4" t="str">
        <f>IFERROR(VLOOKUP($C2150,Observaciones!$A:$B,2,FALSE)," ")</f>
        <v xml:space="preserve"> </v>
      </c>
      <c r="M2150" t="s">
        <v>681</v>
      </c>
      <c r="P2150" s="5">
        <v>58257</v>
      </c>
      <c r="Q2150" s="5">
        <v>11069</v>
      </c>
      <c r="R2150" s="5">
        <v>69326</v>
      </c>
    </row>
    <row r="2151" spans="1:18" x14ac:dyDescent="0.25">
      <c r="A2151" t="s">
        <v>1241</v>
      </c>
      <c r="B2151" t="s">
        <v>494</v>
      </c>
      <c r="C2151">
        <v>77276280</v>
      </c>
      <c r="D2151">
        <v>574</v>
      </c>
      <c r="E2151">
        <v>30842025</v>
      </c>
      <c r="F2151" t="s">
        <v>1242</v>
      </c>
      <c r="G2151" s="1">
        <v>45234</v>
      </c>
      <c r="H2151">
        <v>5411782</v>
      </c>
      <c r="I2151">
        <v>176</v>
      </c>
      <c r="J2151" t="s">
        <v>158</v>
      </c>
      <c r="K2151" t="str">
        <f>IFERROR(IF(AND(VLOOKUP($C2151,Hes!$A:$B, 1, FALSE), $M2151&lt;&gt;" "), "Ingresada", "Falta Ingresar"), " ")</f>
        <v xml:space="preserve"> </v>
      </c>
      <c r="L2151" s="4" t="str">
        <f>IFERROR(VLOOKUP($C2151,Observaciones!$A:$B,2,FALSE)," ")</f>
        <v xml:space="preserve"> </v>
      </c>
      <c r="M2151" t="s">
        <v>681</v>
      </c>
      <c r="O2151" s="5">
        <v>30842025</v>
      </c>
      <c r="P2151" s="5">
        <v>268791</v>
      </c>
      <c r="Q2151" s="5">
        <v>51070</v>
      </c>
      <c r="R2151" s="5">
        <v>319861</v>
      </c>
    </row>
    <row r="2152" spans="1:18" x14ac:dyDescent="0.25">
      <c r="A2152" t="s">
        <v>1241</v>
      </c>
      <c r="B2152" t="s">
        <v>494</v>
      </c>
      <c r="C2152">
        <v>77276280</v>
      </c>
      <c r="D2152">
        <v>487</v>
      </c>
      <c r="E2152">
        <v>30842178</v>
      </c>
      <c r="F2152" t="s">
        <v>1242</v>
      </c>
      <c r="G2152" s="1">
        <v>45234</v>
      </c>
      <c r="H2152">
        <v>5411792</v>
      </c>
      <c r="I2152">
        <v>176</v>
      </c>
      <c r="J2152" t="s">
        <v>158</v>
      </c>
      <c r="K2152" t="str">
        <f>IFERROR(IF(AND(VLOOKUP($C2152,Hes!$A:$B, 1, FALSE), $M2152&lt;&gt;" "), "Ingresada", "Falta Ingresar"), " ")</f>
        <v xml:space="preserve"> </v>
      </c>
      <c r="L2152" s="4" t="str">
        <f>IFERROR(VLOOKUP($C2152,Observaciones!$A:$B,2,FALSE)," ")</f>
        <v xml:space="preserve"> </v>
      </c>
      <c r="M2152" t="s">
        <v>681</v>
      </c>
      <c r="O2152" s="5">
        <v>30842178</v>
      </c>
      <c r="P2152" s="5">
        <v>30250</v>
      </c>
      <c r="Q2152" s="5">
        <v>5748</v>
      </c>
      <c r="R2152" s="5">
        <v>35998</v>
      </c>
    </row>
    <row r="2153" spans="1:18" x14ac:dyDescent="0.25">
      <c r="A2153" t="s">
        <v>1241</v>
      </c>
      <c r="B2153" t="s">
        <v>494</v>
      </c>
      <c r="C2153">
        <v>77276280</v>
      </c>
      <c r="D2153">
        <v>573</v>
      </c>
      <c r="E2153">
        <v>30842017</v>
      </c>
      <c r="F2153" t="s">
        <v>1242</v>
      </c>
      <c r="G2153" s="1">
        <v>45234</v>
      </c>
      <c r="H2153">
        <v>5411794</v>
      </c>
      <c r="I2153">
        <v>176</v>
      </c>
      <c r="J2153" t="s">
        <v>158</v>
      </c>
      <c r="K2153" t="str">
        <f>IFERROR(IF(AND(VLOOKUP($C2153,Hes!$A:$B, 1, FALSE), $M2153&lt;&gt;" "), "Ingresada", "Falta Ingresar"), " ")</f>
        <v xml:space="preserve"> </v>
      </c>
      <c r="L2153" s="4" t="str">
        <f>IFERROR(VLOOKUP($C2153,Observaciones!$A:$B,2,FALSE)," ")</f>
        <v xml:space="preserve"> </v>
      </c>
      <c r="M2153" t="s">
        <v>681</v>
      </c>
      <c r="O2153" s="5">
        <v>30842017</v>
      </c>
      <c r="P2153" s="5">
        <v>545663</v>
      </c>
      <c r="Q2153" s="5">
        <v>103676</v>
      </c>
      <c r="R2153" s="5">
        <v>649339</v>
      </c>
    </row>
    <row r="2154" spans="1:18" x14ac:dyDescent="0.25">
      <c r="A2154" t="s">
        <v>1241</v>
      </c>
      <c r="B2154" t="s">
        <v>494</v>
      </c>
      <c r="C2154">
        <v>77276280</v>
      </c>
      <c r="D2154">
        <v>102</v>
      </c>
      <c r="E2154">
        <v>30860027</v>
      </c>
      <c r="F2154" t="s">
        <v>1242</v>
      </c>
      <c r="G2154" s="1">
        <v>45238</v>
      </c>
      <c r="H2154">
        <v>5415334</v>
      </c>
      <c r="I2154">
        <v>176</v>
      </c>
      <c r="J2154" t="s">
        <v>158</v>
      </c>
      <c r="K2154" t="str">
        <f>IFERROR(IF(AND(VLOOKUP($C2154,Hes!$A:$B, 1, FALSE), $M2154&lt;&gt;" "), "Ingresada", "Falta Ingresar"), " ")</f>
        <v xml:space="preserve"> </v>
      </c>
      <c r="L2154" s="4" t="str">
        <f>IFERROR(VLOOKUP($C2154,Observaciones!$A:$B,2,FALSE)," ")</f>
        <v xml:space="preserve"> </v>
      </c>
      <c r="M2154" t="s">
        <v>681</v>
      </c>
      <c r="O2154" s="5">
        <v>30860027</v>
      </c>
      <c r="P2154" s="5">
        <v>41796</v>
      </c>
      <c r="Q2154" s="5">
        <v>7941</v>
      </c>
      <c r="R2154" s="5">
        <v>49737</v>
      </c>
    </row>
    <row r="2155" spans="1:18" x14ac:dyDescent="0.25">
      <c r="F2155" t="s">
        <v>498</v>
      </c>
      <c r="K2155" t="str">
        <f>IFERROR(IF(AND(VLOOKUP($C2155,Hes!$A:$B, 1, FALSE), $M2155&lt;&gt;" "), "Ingresada", "Falta Ingresar"), " ")</f>
        <v xml:space="preserve"> </v>
      </c>
      <c r="L2155" s="4" t="str">
        <f>IFERROR(VLOOKUP($C2155,Observaciones!$A:$B,2,FALSE)," ")</f>
        <v xml:space="preserve"> </v>
      </c>
      <c r="M2155" t="s">
        <v>681</v>
      </c>
      <c r="P2155" s="5">
        <v>886500</v>
      </c>
      <c r="Q2155" s="5">
        <v>168435</v>
      </c>
      <c r="R2155" s="5">
        <v>1054935</v>
      </c>
    </row>
    <row r="2156" spans="1:18" x14ac:dyDescent="0.25">
      <c r="A2156" t="s">
        <v>881</v>
      </c>
      <c r="B2156" t="s">
        <v>494</v>
      </c>
      <c r="C2156">
        <v>77281922</v>
      </c>
      <c r="D2156">
        <v>0</v>
      </c>
      <c r="E2156" t="s">
        <v>1243</v>
      </c>
      <c r="F2156" t="s">
        <v>1244</v>
      </c>
      <c r="G2156" s="1">
        <v>45234</v>
      </c>
      <c r="H2156">
        <v>5411806</v>
      </c>
      <c r="I2156">
        <v>100</v>
      </c>
      <c r="J2156" t="s">
        <v>384</v>
      </c>
      <c r="K2156" t="str">
        <f>IFERROR(IF(AND(VLOOKUP($C2156,Hes!$A:$B, 1, FALSE), $M2156&lt;&gt;" "), "Ingresada", "Falta Ingresar"), " ")</f>
        <v xml:space="preserve"> </v>
      </c>
      <c r="L2156" s="4" t="str">
        <f>IFERROR(VLOOKUP($C2156,Observaciones!$A:$B,2,FALSE)," ")</f>
        <v xml:space="preserve"> </v>
      </c>
      <c r="M2156" t="s">
        <v>681</v>
      </c>
      <c r="O2156" s="5">
        <v>30823783</v>
      </c>
      <c r="P2156" s="5">
        <v>621990</v>
      </c>
      <c r="Q2156" s="5">
        <v>118178</v>
      </c>
      <c r="R2156" s="5">
        <v>740168</v>
      </c>
    </row>
    <row r="2157" spans="1:18" x14ac:dyDescent="0.25">
      <c r="F2157" t="s">
        <v>495</v>
      </c>
      <c r="K2157" t="str">
        <f>IFERROR(IF(AND(VLOOKUP($C2157,Hes!$A:$B, 1, FALSE), $M2157&lt;&gt;" "), "Ingresada", "Falta Ingresar"), " ")</f>
        <v xml:space="preserve"> </v>
      </c>
      <c r="L2157" s="4" t="str">
        <f>IFERROR(VLOOKUP($C2157,Observaciones!$A:$B,2,FALSE)," ")</f>
        <v xml:space="preserve"> </v>
      </c>
      <c r="M2157" t="s">
        <v>681</v>
      </c>
      <c r="P2157" s="5">
        <v>621990</v>
      </c>
      <c r="Q2157" s="5">
        <v>118178</v>
      </c>
      <c r="R2157" s="5">
        <v>740168</v>
      </c>
    </row>
    <row r="2158" spans="1:18" x14ac:dyDescent="0.25">
      <c r="A2158" t="s">
        <v>501</v>
      </c>
      <c r="B2158" t="s">
        <v>508</v>
      </c>
      <c r="C2158">
        <v>77286240</v>
      </c>
      <c r="D2158">
        <v>0</v>
      </c>
      <c r="E2158">
        <v>30859686</v>
      </c>
      <c r="F2158" t="s">
        <v>1245</v>
      </c>
      <c r="G2158" s="1">
        <v>45236</v>
      </c>
      <c r="H2158">
        <v>5410494</v>
      </c>
      <c r="I2158">
        <v>12</v>
      </c>
      <c r="J2158" t="s">
        <v>319</v>
      </c>
      <c r="K2158" t="str">
        <f>IFERROR(IF(AND(VLOOKUP($C2158,Hes!$A:$B, 1, FALSE), $M2158&lt;&gt;" "), "Ingresada", "Falta Ingresar"), " ")</f>
        <v xml:space="preserve"> </v>
      </c>
      <c r="L2158" s="4" t="str">
        <f>IFERROR(VLOOKUP($C2158,Observaciones!$A:$B,2,FALSE)," ")</f>
        <v>RETIRA CLIENTE</v>
      </c>
      <c r="M2158" t="s">
        <v>681</v>
      </c>
      <c r="O2158" s="5">
        <v>30859686</v>
      </c>
      <c r="P2158" s="5">
        <v>27275</v>
      </c>
      <c r="Q2158" s="5">
        <v>5182</v>
      </c>
      <c r="R2158" s="5">
        <v>32457</v>
      </c>
    </row>
    <row r="2159" spans="1:18" x14ac:dyDescent="0.25">
      <c r="A2159" t="s">
        <v>501</v>
      </c>
      <c r="B2159" t="s">
        <v>508</v>
      </c>
      <c r="C2159">
        <v>77286240</v>
      </c>
      <c r="D2159">
        <v>0</v>
      </c>
      <c r="E2159">
        <v>30860088</v>
      </c>
      <c r="F2159" t="s">
        <v>1245</v>
      </c>
      <c r="G2159" s="1">
        <v>45236</v>
      </c>
      <c r="H2159">
        <v>5410497</v>
      </c>
      <c r="I2159">
        <v>12</v>
      </c>
      <c r="J2159" t="s">
        <v>319</v>
      </c>
      <c r="K2159" t="str">
        <f>IFERROR(IF(AND(VLOOKUP($C2159,Hes!$A:$B, 1, FALSE), $M2159&lt;&gt;" "), "Ingresada", "Falta Ingresar"), " ")</f>
        <v xml:space="preserve"> </v>
      </c>
      <c r="L2159" s="4" t="str">
        <f>IFERROR(VLOOKUP($C2159,Observaciones!$A:$B,2,FALSE)," ")</f>
        <v>RETIRA CLIENTE</v>
      </c>
      <c r="M2159" t="s">
        <v>681</v>
      </c>
      <c r="O2159" s="5">
        <v>30860088</v>
      </c>
      <c r="P2159" s="5">
        <v>93160</v>
      </c>
      <c r="Q2159" s="5">
        <v>17700</v>
      </c>
      <c r="R2159" s="5">
        <v>110860</v>
      </c>
    </row>
    <row r="2160" spans="1:18" x14ac:dyDescent="0.25">
      <c r="A2160" t="s">
        <v>501</v>
      </c>
      <c r="B2160" t="s">
        <v>508</v>
      </c>
      <c r="C2160">
        <v>77286240</v>
      </c>
      <c r="D2160">
        <v>0</v>
      </c>
      <c r="E2160">
        <v>30860316</v>
      </c>
      <c r="F2160" t="s">
        <v>1245</v>
      </c>
      <c r="G2160" s="1">
        <v>45236</v>
      </c>
      <c r="H2160">
        <v>5410498</v>
      </c>
      <c r="I2160">
        <v>12</v>
      </c>
      <c r="J2160" t="s">
        <v>319</v>
      </c>
      <c r="K2160" t="str">
        <f>IFERROR(IF(AND(VLOOKUP($C2160,Hes!$A:$B, 1, FALSE), $M2160&lt;&gt;" "), "Ingresada", "Falta Ingresar"), " ")</f>
        <v xml:space="preserve"> </v>
      </c>
      <c r="L2160" s="4" t="str">
        <f>IFERROR(VLOOKUP($C2160,Observaciones!$A:$B,2,FALSE)," ")</f>
        <v>RETIRA CLIENTE</v>
      </c>
      <c r="M2160" t="s">
        <v>681</v>
      </c>
      <c r="O2160" s="5">
        <v>30860316</v>
      </c>
      <c r="P2160" s="5">
        <v>49568</v>
      </c>
      <c r="Q2160" s="5">
        <v>9418</v>
      </c>
      <c r="R2160" s="5">
        <v>58986</v>
      </c>
    </row>
    <row r="2161" spans="1:18" x14ac:dyDescent="0.25">
      <c r="A2161" t="s">
        <v>501</v>
      </c>
      <c r="B2161" t="s">
        <v>508</v>
      </c>
      <c r="C2161">
        <v>77286240</v>
      </c>
      <c r="D2161">
        <v>0</v>
      </c>
      <c r="E2161">
        <v>30861155</v>
      </c>
      <c r="F2161" t="s">
        <v>1245</v>
      </c>
      <c r="G2161" s="1">
        <v>45236</v>
      </c>
      <c r="H2161">
        <v>5410499</v>
      </c>
      <c r="I2161">
        <v>12</v>
      </c>
      <c r="J2161" t="s">
        <v>319</v>
      </c>
      <c r="K2161" t="str">
        <f>IFERROR(IF(AND(VLOOKUP($C2161,Hes!$A:$B, 1, FALSE), $M2161&lt;&gt;" "), "Ingresada", "Falta Ingresar"), " ")</f>
        <v xml:space="preserve"> </v>
      </c>
      <c r="L2161" s="4" t="str">
        <f>IFERROR(VLOOKUP($C2161,Observaciones!$A:$B,2,FALSE)," ")</f>
        <v>RETIRA CLIENTE</v>
      </c>
      <c r="M2161" t="s">
        <v>681</v>
      </c>
      <c r="O2161" s="5">
        <v>30861155</v>
      </c>
      <c r="P2161" s="5">
        <v>22740</v>
      </c>
      <c r="Q2161" s="5">
        <v>4321</v>
      </c>
      <c r="R2161" s="5">
        <v>27061</v>
      </c>
    </row>
    <row r="2162" spans="1:18" x14ac:dyDescent="0.25">
      <c r="A2162" t="s">
        <v>501</v>
      </c>
      <c r="B2162" t="s">
        <v>508</v>
      </c>
      <c r="C2162">
        <v>77286240</v>
      </c>
      <c r="D2162">
        <v>0</v>
      </c>
      <c r="E2162">
        <v>30861467</v>
      </c>
      <c r="F2162" t="s">
        <v>1245</v>
      </c>
      <c r="G2162" s="1">
        <v>45236</v>
      </c>
      <c r="H2162">
        <v>5410500</v>
      </c>
      <c r="I2162">
        <v>12</v>
      </c>
      <c r="J2162" t="s">
        <v>319</v>
      </c>
      <c r="K2162" t="str">
        <f>IFERROR(IF(AND(VLOOKUP($C2162,Hes!$A:$B, 1, FALSE), $M2162&lt;&gt;" "), "Ingresada", "Falta Ingresar"), " ")</f>
        <v xml:space="preserve"> </v>
      </c>
      <c r="L2162" s="4" t="str">
        <f>IFERROR(VLOOKUP($C2162,Observaciones!$A:$B,2,FALSE)," ")</f>
        <v>RETIRA CLIENTE</v>
      </c>
      <c r="M2162" t="s">
        <v>681</v>
      </c>
      <c r="O2162" s="5">
        <v>30861467</v>
      </c>
      <c r="P2162" s="5">
        <v>82232</v>
      </c>
      <c r="Q2162" s="5">
        <v>15624</v>
      </c>
      <c r="R2162" s="5">
        <v>97856</v>
      </c>
    </row>
    <row r="2163" spans="1:18" x14ac:dyDescent="0.25">
      <c r="A2163" t="s">
        <v>501</v>
      </c>
      <c r="B2163" t="s">
        <v>508</v>
      </c>
      <c r="C2163">
        <v>77286240</v>
      </c>
      <c r="D2163">
        <v>0</v>
      </c>
      <c r="E2163">
        <v>30864281</v>
      </c>
      <c r="F2163" t="s">
        <v>1245</v>
      </c>
      <c r="G2163" s="1">
        <v>45237</v>
      </c>
      <c r="H2163">
        <v>5410510</v>
      </c>
      <c r="I2163">
        <v>12</v>
      </c>
      <c r="J2163" t="s">
        <v>319</v>
      </c>
      <c r="K2163" t="str">
        <f>IFERROR(IF(AND(VLOOKUP($C2163,Hes!$A:$B, 1, FALSE), $M2163&lt;&gt;" "), "Ingresada", "Falta Ingresar"), " ")</f>
        <v xml:space="preserve"> </v>
      </c>
      <c r="L2163" s="4" t="str">
        <f>IFERROR(VLOOKUP($C2163,Observaciones!$A:$B,2,FALSE)," ")</f>
        <v>RETIRA CLIENTE</v>
      </c>
      <c r="M2163" t="s">
        <v>681</v>
      </c>
      <c r="O2163" s="5">
        <v>30864281</v>
      </c>
      <c r="P2163" s="5">
        <v>111985</v>
      </c>
      <c r="Q2163" s="5">
        <v>21277</v>
      </c>
      <c r="R2163" s="5">
        <v>133262</v>
      </c>
    </row>
    <row r="2164" spans="1:18" x14ac:dyDescent="0.25">
      <c r="A2164" t="s">
        <v>501</v>
      </c>
      <c r="B2164" t="s">
        <v>508</v>
      </c>
      <c r="C2164">
        <v>77286240</v>
      </c>
      <c r="D2164">
        <v>0</v>
      </c>
      <c r="E2164">
        <v>30865224</v>
      </c>
      <c r="F2164" t="s">
        <v>1245</v>
      </c>
      <c r="G2164" s="1">
        <v>45237</v>
      </c>
      <c r="H2164">
        <v>5410511</v>
      </c>
      <c r="I2164">
        <v>12</v>
      </c>
      <c r="J2164" t="s">
        <v>319</v>
      </c>
      <c r="K2164" t="str">
        <f>IFERROR(IF(AND(VLOOKUP($C2164,Hes!$A:$B, 1, FALSE), $M2164&lt;&gt;" "), "Ingresada", "Falta Ingresar"), " ")</f>
        <v xml:space="preserve"> </v>
      </c>
      <c r="L2164" s="4" t="str">
        <f>IFERROR(VLOOKUP($C2164,Observaciones!$A:$B,2,FALSE)," ")</f>
        <v>RETIRA CLIENTE</v>
      </c>
      <c r="M2164" t="s">
        <v>681</v>
      </c>
      <c r="O2164" s="5">
        <v>30865224</v>
      </c>
      <c r="P2164" s="5">
        <v>80371</v>
      </c>
      <c r="Q2164" s="5">
        <v>15270</v>
      </c>
      <c r="R2164" s="5">
        <v>95641</v>
      </c>
    </row>
    <row r="2165" spans="1:18" x14ac:dyDescent="0.25">
      <c r="A2165" t="s">
        <v>501</v>
      </c>
      <c r="B2165" t="s">
        <v>508</v>
      </c>
      <c r="C2165">
        <v>77286240</v>
      </c>
      <c r="D2165">
        <v>0</v>
      </c>
      <c r="E2165">
        <v>30863904</v>
      </c>
      <c r="F2165" t="s">
        <v>1245</v>
      </c>
      <c r="G2165" s="1">
        <v>45237</v>
      </c>
      <c r="H2165">
        <v>5410512</v>
      </c>
      <c r="I2165">
        <v>12</v>
      </c>
      <c r="J2165" t="s">
        <v>319</v>
      </c>
      <c r="K2165" t="str">
        <f>IFERROR(IF(AND(VLOOKUP($C2165,Hes!$A:$B, 1, FALSE), $M2165&lt;&gt;" "), "Ingresada", "Falta Ingresar"), " ")</f>
        <v xml:space="preserve"> </v>
      </c>
      <c r="L2165" s="4" t="str">
        <f>IFERROR(VLOOKUP($C2165,Observaciones!$A:$B,2,FALSE)," ")</f>
        <v>RETIRA CLIENTE</v>
      </c>
      <c r="M2165" t="s">
        <v>681</v>
      </c>
      <c r="O2165" s="5">
        <v>30863904</v>
      </c>
      <c r="P2165" s="5">
        <v>26180</v>
      </c>
      <c r="Q2165" s="5">
        <v>4974</v>
      </c>
      <c r="R2165" s="5">
        <v>31154</v>
      </c>
    </row>
    <row r="2166" spans="1:18" x14ac:dyDescent="0.25">
      <c r="A2166" t="s">
        <v>501</v>
      </c>
      <c r="B2166" t="s">
        <v>508</v>
      </c>
      <c r="C2166">
        <v>77286240</v>
      </c>
      <c r="D2166">
        <v>0</v>
      </c>
      <c r="E2166">
        <v>30862926</v>
      </c>
      <c r="F2166" t="s">
        <v>1245</v>
      </c>
      <c r="G2166" s="1">
        <v>45237</v>
      </c>
      <c r="H2166">
        <v>5410513</v>
      </c>
      <c r="I2166">
        <v>12</v>
      </c>
      <c r="J2166" t="s">
        <v>319</v>
      </c>
      <c r="K2166" t="str">
        <f>IFERROR(IF(AND(VLOOKUP($C2166,Hes!$A:$B, 1, FALSE), $M2166&lt;&gt;" "), "Ingresada", "Falta Ingresar"), " ")</f>
        <v xml:space="preserve"> </v>
      </c>
      <c r="L2166" s="4" t="str">
        <f>IFERROR(VLOOKUP($C2166,Observaciones!$A:$B,2,FALSE)," ")</f>
        <v>RETIRA CLIENTE</v>
      </c>
      <c r="M2166" t="s">
        <v>681</v>
      </c>
      <c r="O2166" s="5">
        <v>30862926</v>
      </c>
      <c r="P2166" s="5">
        <v>20744</v>
      </c>
      <c r="Q2166" s="5">
        <v>3941</v>
      </c>
      <c r="R2166" s="5">
        <v>24685</v>
      </c>
    </row>
    <row r="2167" spans="1:18" x14ac:dyDescent="0.25">
      <c r="F2167" t="s">
        <v>514</v>
      </c>
      <c r="K2167" t="str">
        <f>IFERROR(IF(AND(VLOOKUP($C2167,Hes!$A:$B, 1, FALSE), $M2167&lt;&gt;" "), "Ingresada", "Falta Ingresar"), " ")</f>
        <v xml:space="preserve"> </v>
      </c>
      <c r="L2167" s="4" t="str">
        <f>IFERROR(VLOOKUP($C2167,Observaciones!$A:$B,2,FALSE)," ")</f>
        <v xml:space="preserve"> </v>
      </c>
      <c r="M2167" t="s">
        <v>681</v>
      </c>
      <c r="P2167" s="5">
        <v>514255</v>
      </c>
      <c r="Q2167" s="5">
        <v>97707</v>
      </c>
      <c r="R2167" s="5">
        <v>611962</v>
      </c>
    </row>
    <row r="2168" spans="1:18" x14ac:dyDescent="0.25">
      <c r="A2168" t="s">
        <v>503</v>
      </c>
      <c r="B2168" t="s">
        <v>494</v>
      </c>
      <c r="C2168">
        <v>77307757</v>
      </c>
      <c r="D2168">
        <v>0</v>
      </c>
      <c r="E2168">
        <v>4300002572</v>
      </c>
      <c r="F2168" t="s">
        <v>1246</v>
      </c>
      <c r="G2168" s="1">
        <v>45238</v>
      </c>
      <c r="H2168">
        <v>5415095</v>
      </c>
      <c r="I2168">
        <v>37</v>
      </c>
      <c r="J2168" t="s">
        <v>156</v>
      </c>
      <c r="K2168" t="str">
        <f>IFERROR(IF(AND(VLOOKUP($C2168,Hes!$A:$B, 1, FALSE), $M2168&lt;&gt;" "), "Ingresada", "Falta Ingresar"), " ")</f>
        <v xml:space="preserve"> </v>
      </c>
      <c r="L2168" s="4" t="s">
        <v>681</v>
      </c>
      <c r="M2168" t="s">
        <v>681</v>
      </c>
      <c r="O2168" s="5">
        <v>30855872</v>
      </c>
      <c r="P2168" s="5">
        <v>38937</v>
      </c>
      <c r="Q2168" s="5">
        <v>7398</v>
      </c>
      <c r="R2168" s="5">
        <v>46335</v>
      </c>
    </row>
    <row r="2169" spans="1:18" x14ac:dyDescent="0.25">
      <c r="F2169" t="s">
        <v>495</v>
      </c>
      <c r="K2169" t="str">
        <f>IFERROR(IF(AND(VLOOKUP($C2169,Hes!$A:$B, 1, FALSE), $M2169&lt;&gt;" "), "Ingresada", "Falta Ingresar"), " ")</f>
        <v xml:space="preserve"> </v>
      </c>
      <c r="L2169" s="4" t="str">
        <f>IFERROR(VLOOKUP($C2169,Observaciones!$A:$B,2,FALSE)," ")</f>
        <v xml:space="preserve"> </v>
      </c>
      <c r="M2169" t="s">
        <v>681</v>
      </c>
      <c r="P2169" s="5">
        <v>38937</v>
      </c>
      <c r="Q2169" s="5">
        <v>7398</v>
      </c>
      <c r="R2169" s="5">
        <v>46335</v>
      </c>
    </row>
    <row r="2170" spans="1:18" x14ac:dyDescent="0.25">
      <c r="A2170" t="s">
        <v>512</v>
      </c>
      <c r="B2170" t="s">
        <v>494</v>
      </c>
      <c r="C2170">
        <v>77360390</v>
      </c>
      <c r="D2170">
        <v>2</v>
      </c>
      <c r="E2170">
        <v>30852434</v>
      </c>
      <c r="F2170" t="s">
        <v>1247</v>
      </c>
      <c r="G2170" s="1">
        <v>45236</v>
      </c>
      <c r="H2170">
        <v>5412441</v>
      </c>
      <c r="I2170">
        <v>272</v>
      </c>
      <c r="J2170" t="s">
        <v>398</v>
      </c>
      <c r="K2170" s="8" t="str">
        <f>IFERROR(IF(AND(VLOOKUP($C2170,Hes!$A:$B, 1, FALSE), $M2170&lt;&gt;" "), "Ingresada", "Falta Ingresar"), " ")</f>
        <v>Falta Ingresar</v>
      </c>
      <c r="L2170" s="4" t="str">
        <f>IFERROR(VLOOKUP($C2170,Observaciones!$A:$B,2,FALSE)," ")</f>
        <v xml:space="preserve"> </v>
      </c>
      <c r="M2170" t="s">
        <v>681</v>
      </c>
      <c r="O2170" s="5">
        <v>30852434</v>
      </c>
      <c r="P2170" s="5">
        <v>196452</v>
      </c>
      <c r="Q2170" s="5">
        <v>37326</v>
      </c>
      <c r="R2170" s="5">
        <v>233778</v>
      </c>
    </row>
    <row r="2171" spans="1:18" x14ac:dyDescent="0.25">
      <c r="A2171" t="s">
        <v>512</v>
      </c>
      <c r="B2171" t="s">
        <v>494</v>
      </c>
      <c r="C2171">
        <v>77360390</v>
      </c>
      <c r="D2171">
        <v>1</v>
      </c>
      <c r="E2171">
        <v>30859235</v>
      </c>
      <c r="F2171" t="s">
        <v>1247</v>
      </c>
      <c r="G2171" s="1">
        <v>45237</v>
      </c>
      <c r="H2171">
        <v>5414039</v>
      </c>
      <c r="I2171">
        <v>272</v>
      </c>
      <c r="J2171" t="s">
        <v>398</v>
      </c>
      <c r="K2171" s="8" t="str">
        <f>IFERROR(IF(AND(VLOOKUP($C2171,Hes!$A:$B, 1, FALSE), $M2171&lt;&gt;" "), "Ingresada", "Falta Ingresar"), " ")</f>
        <v>Falta Ingresar</v>
      </c>
      <c r="L2171" s="4" t="str">
        <f>IFERROR(VLOOKUP($C2171,Observaciones!$A:$B,2,FALSE)," ")</f>
        <v xml:space="preserve"> </v>
      </c>
      <c r="M2171" t="s">
        <v>681</v>
      </c>
      <c r="O2171" s="5">
        <v>30859235</v>
      </c>
      <c r="P2171" s="5">
        <v>99855</v>
      </c>
      <c r="Q2171" s="5">
        <v>18972</v>
      </c>
      <c r="R2171" s="5">
        <v>118827</v>
      </c>
    </row>
    <row r="2172" spans="1:18" x14ac:dyDescent="0.25">
      <c r="A2172" t="s">
        <v>512</v>
      </c>
      <c r="B2172" t="s">
        <v>494</v>
      </c>
      <c r="C2172">
        <v>77360390</v>
      </c>
      <c r="D2172">
        <v>26</v>
      </c>
      <c r="E2172">
        <v>30861228</v>
      </c>
      <c r="F2172" t="s">
        <v>1247</v>
      </c>
      <c r="G2172" s="1">
        <v>45237</v>
      </c>
      <c r="H2172">
        <v>5414368</v>
      </c>
      <c r="I2172">
        <v>272</v>
      </c>
      <c r="J2172" t="s">
        <v>398</v>
      </c>
      <c r="K2172" s="8" t="str">
        <f>IFERROR(IF(AND(VLOOKUP($C2172,Hes!$A:$B, 1, FALSE), $M2172&lt;&gt;" "), "Ingresada", "Falta Ingresar"), " ")</f>
        <v>Falta Ingresar</v>
      </c>
      <c r="L2172" s="4" t="str">
        <f>IFERROR(VLOOKUP($C2172,Observaciones!$A:$B,2,FALSE)," ")</f>
        <v xml:space="preserve"> </v>
      </c>
      <c r="M2172" t="s">
        <v>681</v>
      </c>
      <c r="O2172" s="5">
        <v>30861228</v>
      </c>
      <c r="P2172" s="5">
        <v>36293</v>
      </c>
      <c r="Q2172" s="5">
        <v>6896</v>
      </c>
      <c r="R2172" s="5">
        <v>43189</v>
      </c>
    </row>
    <row r="2173" spans="1:18" x14ac:dyDescent="0.25">
      <c r="A2173" t="s">
        <v>512</v>
      </c>
      <c r="B2173" t="s">
        <v>494</v>
      </c>
      <c r="C2173">
        <v>77360390</v>
      </c>
      <c r="D2173">
        <v>37</v>
      </c>
      <c r="E2173">
        <v>30861244</v>
      </c>
      <c r="F2173" t="s">
        <v>1247</v>
      </c>
      <c r="G2173" s="1">
        <v>45237</v>
      </c>
      <c r="H2173">
        <v>5414509</v>
      </c>
      <c r="I2173">
        <v>272</v>
      </c>
      <c r="J2173" t="s">
        <v>398</v>
      </c>
      <c r="K2173" s="8" t="str">
        <f>IFERROR(IF(AND(VLOOKUP($C2173,Hes!$A:$B, 1, FALSE), $M2173&lt;&gt;" "), "Ingresada", "Falta Ingresar"), " ")</f>
        <v>Falta Ingresar</v>
      </c>
      <c r="L2173" s="4" t="str">
        <f>IFERROR(VLOOKUP($C2173,Observaciones!$A:$B,2,FALSE)," ")</f>
        <v xml:space="preserve"> </v>
      </c>
      <c r="M2173" t="s">
        <v>681</v>
      </c>
      <c r="O2173" s="5">
        <v>30861244</v>
      </c>
      <c r="P2173" s="5">
        <v>26841</v>
      </c>
      <c r="Q2173" s="5">
        <v>5100</v>
      </c>
      <c r="R2173" s="5">
        <v>31941</v>
      </c>
    </row>
    <row r="2174" spans="1:18" x14ac:dyDescent="0.25">
      <c r="A2174" t="s">
        <v>512</v>
      </c>
      <c r="B2174" t="s">
        <v>494</v>
      </c>
      <c r="C2174">
        <v>77360390</v>
      </c>
      <c r="D2174">
        <v>8</v>
      </c>
      <c r="E2174">
        <v>30859418</v>
      </c>
      <c r="F2174" t="s">
        <v>1247</v>
      </c>
      <c r="G2174" s="1">
        <v>45238</v>
      </c>
      <c r="H2174">
        <v>5414571</v>
      </c>
      <c r="I2174">
        <v>272</v>
      </c>
      <c r="J2174" t="s">
        <v>398</v>
      </c>
      <c r="K2174" s="8" t="str">
        <f>IFERROR(IF(AND(VLOOKUP($C2174,Hes!$A:$B, 1, FALSE), $M2174&lt;&gt;" "), "Ingresada", "Falta Ingresar"), " ")</f>
        <v>Falta Ingresar</v>
      </c>
      <c r="L2174" s="4" t="str">
        <f>IFERROR(VLOOKUP($C2174,Observaciones!$A:$B,2,FALSE)," ")</f>
        <v xml:space="preserve"> </v>
      </c>
      <c r="M2174" t="s">
        <v>681</v>
      </c>
      <c r="O2174" s="5">
        <v>30859418</v>
      </c>
      <c r="P2174" s="5">
        <v>70955</v>
      </c>
      <c r="Q2174" s="5">
        <v>13481</v>
      </c>
      <c r="R2174" s="5">
        <v>84436</v>
      </c>
    </row>
    <row r="2175" spans="1:18" x14ac:dyDescent="0.25">
      <c r="A2175" t="s">
        <v>512</v>
      </c>
      <c r="B2175" t="s">
        <v>494</v>
      </c>
      <c r="C2175">
        <v>77360390</v>
      </c>
      <c r="D2175">
        <v>11</v>
      </c>
      <c r="E2175">
        <v>30861186</v>
      </c>
      <c r="F2175" t="s">
        <v>1247</v>
      </c>
      <c r="G2175" s="1">
        <v>45238</v>
      </c>
      <c r="H2175">
        <v>5414583</v>
      </c>
      <c r="I2175">
        <v>272</v>
      </c>
      <c r="J2175" t="s">
        <v>398</v>
      </c>
      <c r="K2175" s="8" t="str">
        <f>IFERROR(IF(AND(VLOOKUP($C2175,Hes!$A:$B, 1, FALSE), $M2175&lt;&gt;" "), "Ingresada", "Falta Ingresar"), " ")</f>
        <v>Falta Ingresar</v>
      </c>
      <c r="L2175" s="4" t="str">
        <f>IFERROR(VLOOKUP($C2175,Observaciones!$A:$B,2,FALSE)," ")</f>
        <v xml:space="preserve"> </v>
      </c>
      <c r="M2175" t="s">
        <v>681</v>
      </c>
      <c r="O2175" s="5">
        <v>30861186</v>
      </c>
      <c r="P2175" s="5">
        <v>20374</v>
      </c>
      <c r="Q2175" s="5">
        <v>3871</v>
      </c>
      <c r="R2175" s="5">
        <v>24245</v>
      </c>
    </row>
    <row r="2176" spans="1:18" x14ac:dyDescent="0.25">
      <c r="A2176" t="s">
        <v>512</v>
      </c>
      <c r="B2176" t="s">
        <v>494</v>
      </c>
      <c r="C2176">
        <v>77360390</v>
      </c>
      <c r="D2176">
        <v>42</v>
      </c>
      <c r="E2176">
        <v>30861178</v>
      </c>
      <c r="F2176" t="s">
        <v>1247</v>
      </c>
      <c r="G2176" s="1">
        <v>45238</v>
      </c>
      <c r="H2176">
        <v>5414605</v>
      </c>
      <c r="I2176">
        <v>272</v>
      </c>
      <c r="J2176" t="s">
        <v>398</v>
      </c>
      <c r="K2176" s="8" t="str">
        <f>IFERROR(IF(AND(VLOOKUP($C2176,Hes!$A:$B, 1, FALSE), $M2176&lt;&gt;" "), "Ingresada", "Falta Ingresar"), " ")</f>
        <v>Falta Ingresar</v>
      </c>
      <c r="L2176" s="4" t="str">
        <f>IFERROR(VLOOKUP($C2176,Observaciones!$A:$B,2,FALSE)," ")</f>
        <v xml:space="preserve"> </v>
      </c>
      <c r="M2176" t="s">
        <v>681</v>
      </c>
      <c r="O2176" s="5">
        <v>30861178</v>
      </c>
      <c r="P2176" s="5">
        <v>33907</v>
      </c>
      <c r="Q2176" s="5">
        <v>6442</v>
      </c>
      <c r="R2176" s="5">
        <v>40349</v>
      </c>
    </row>
    <row r="2177" spans="1:18" x14ac:dyDescent="0.25">
      <c r="A2177" t="s">
        <v>512</v>
      </c>
      <c r="B2177" t="s">
        <v>494</v>
      </c>
      <c r="C2177">
        <v>77360390</v>
      </c>
      <c r="D2177">
        <v>12</v>
      </c>
      <c r="E2177">
        <v>30861216</v>
      </c>
      <c r="F2177" t="s">
        <v>1247</v>
      </c>
      <c r="G2177" s="1">
        <v>45238</v>
      </c>
      <c r="H2177">
        <v>5414696</v>
      </c>
      <c r="I2177">
        <v>272</v>
      </c>
      <c r="J2177" t="s">
        <v>398</v>
      </c>
      <c r="K2177" s="8" t="str">
        <f>IFERROR(IF(AND(VLOOKUP($C2177,Hes!$A:$B, 1, FALSE), $M2177&lt;&gt;" "), "Ingresada", "Falta Ingresar"), " ")</f>
        <v>Falta Ingresar</v>
      </c>
      <c r="L2177" s="4" t="str">
        <f>IFERROR(VLOOKUP($C2177,Observaciones!$A:$B,2,FALSE)," ")</f>
        <v xml:space="preserve"> </v>
      </c>
      <c r="M2177" t="s">
        <v>681</v>
      </c>
      <c r="O2177" s="5">
        <v>30861216</v>
      </c>
      <c r="P2177" s="5">
        <v>22854</v>
      </c>
      <c r="Q2177" s="5">
        <v>4342</v>
      </c>
      <c r="R2177" s="5">
        <v>27196</v>
      </c>
    </row>
    <row r="2178" spans="1:18" x14ac:dyDescent="0.25">
      <c r="A2178" t="s">
        <v>512</v>
      </c>
      <c r="B2178" t="s">
        <v>494</v>
      </c>
      <c r="C2178">
        <v>77360390</v>
      </c>
      <c r="D2178">
        <v>43</v>
      </c>
      <c r="E2178">
        <v>30861165</v>
      </c>
      <c r="F2178" t="s">
        <v>1247</v>
      </c>
      <c r="G2178" s="1">
        <v>45238</v>
      </c>
      <c r="H2178">
        <v>5414759</v>
      </c>
      <c r="I2178">
        <v>272</v>
      </c>
      <c r="J2178" t="s">
        <v>398</v>
      </c>
      <c r="K2178" s="8" t="str">
        <f>IFERROR(IF(AND(VLOOKUP($C2178,Hes!$A:$B, 1, FALSE), $M2178&lt;&gt;" "), "Ingresada", "Falta Ingresar"), " ")</f>
        <v>Falta Ingresar</v>
      </c>
      <c r="L2178" s="4" t="str">
        <f>IFERROR(VLOOKUP($C2178,Observaciones!$A:$B,2,FALSE)," ")</f>
        <v xml:space="preserve"> </v>
      </c>
      <c r="M2178" t="s">
        <v>681</v>
      </c>
      <c r="O2178" s="5">
        <v>30861165</v>
      </c>
      <c r="P2178" s="5">
        <v>69004</v>
      </c>
      <c r="Q2178" s="5">
        <v>13111</v>
      </c>
      <c r="R2178" s="5">
        <v>82115</v>
      </c>
    </row>
    <row r="2179" spans="1:18" x14ac:dyDescent="0.25">
      <c r="A2179" t="s">
        <v>512</v>
      </c>
      <c r="B2179" t="s">
        <v>494</v>
      </c>
      <c r="C2179">
        <v>77360390</v>
      </c>
      <c r="D2179">
        <v>5</v>
      </c>
      <c r="E2179">
        <v>30861205</v>
      </c>
      <c r="F2179" t="s">
        <v>1247</v>
      </c>
      <c r="G2179" s="1">
        <v>45238</v>
      </c>
      <c r="H2179">
        <v>5414762</v>
      </c>
      <c r="I2179">
        <v>272</v>
      </c>
      <c r="J2179" t="s">
        <v>398</v>
      </c>
      <c r="K2179" s="8" t="str">
        <f>IFERROR(IF(AND(VLOOKUP($C2179,Hes!$A:$B, 1, FALSE), $M2179&lt;&gt;" "), "Ingresada", "Falta Ingresar"), " ")</f>
        <v>Falta Ingresar</v>
      </c>
      <c r="L2179" s="4" t="str">
        <f>IFERROR(VLOOKUP($C2179,Observaciones!$A:$B,2,FALSE)," ")</f>
        <v xml:space="preserve"> </v>
      </c>
      <c r="M2179" t="s">
        <v>681</v>
      </c>
      <c r="O2179" s="5">
        <v>30861205</v>
      </c>
      <c r="P2179" s="5">
        <v>32442</v>
      </c>
      <c r="Q2179" s="5">
        <v>6164</v>
      </c>
      <c r="R2179" s="5">
        <v>38606</v>
      </c>
    </row>
    <row r="2180" spans="1:18" x14ac:dyDescent="0.25">
      <c r="A2180" t="s">
        <v>512</v>
      </c>
      <c r="B2180" t="s">
        <v>494</v>
      </c>
      <c r="C2180">
        <v>77360390</v>
      </c>
      <c r="D2180">
        <v>3</v>
      </c>
      <c r="E2180">
        <v>30861154</v>
      </c>
      <c r="F2180" t="s">
        <v>1247</v>
      </c>
      <c r="G2180" s="1">
        <v>45238</v>
      </c>
      <c r="H2180">
        <v>5414866</v>
      </c>
      <c r="I2180">
        <v>272</v>
      </c>
      <c r="J2180" t="s">
        <v>398</v>
      </c>
      <c r="K2180" s="8" t="str">
        <f>IFERROR(IF(AND(VLOOKUP($C2180,Hes!$A:$B, 1, FALSE), $M2180&lt;&gt;" "), "Ingresada", "Falta Ingresar"), " ")</f>
        <v>Falta Ingresar</v>
      </c>
      <c r="L2180" s="4" t="str">
        <f>IFERROR(VLOOKUP($C2180,Observaciones!$A:$B,2,FALSE)," ")</f>
        <v xml:space="preserve"> </v>
      </c>
      <c r="M2180" t="s">
        <v>681</v>
      </c>
      <c r="O2180" s="5">
        <v>30861154</v>
      </c>
      <c r="P2180" s="5">
        <v>34572</v>
      </c>
      <c r="Q2180" s="5">
        <v>6569</v>
      </c>
      <c r="R2180" s="5">
        <v>41141</v>
      </c>
    </row>
    <row r="2181" spans="1:18" x14ac:dyDescent="0.25">
      <c r="F2181" t="s">
        <v>510</v>
      </c>
      <c r="K2181" t="str">
        <f>IFERROR(IF(AND(VLOOKUP($C2181,Hes!$A:$B, 1, FALSE), $M2181&lt;&gt;" "), "Ingresada", "Falta Ingresar"), " ")</f>
        <v xml:space="preserve"> </v>
      </c>
      <c r="L2181" s="4" t="str">
        <f>IFERROR(VLOOKUP($C2181,Observaciones!$A:$B,2,FALSE)," ")</f>
        <v xml:space="preserve"> </v>
      </c>
      <c r="M2181" t="s">
        <v>681</v>
      </c>
      <c r="P2181" s="5">
        <v>643549</v>
      </c>
      <c r="Q2181" s="5">
        <v>122274</v>
      </c>
      <c r="R2181" s="5">
        <v>765823</v>
      </c>
    </row>
    <row r="2182" spans="1:18" x14ac:dyDescent="0.25">
      <c r="A2182" t="s">
        <v>1248</v>
      </c>
      <c r="B2182" t="s">
        <v>494</v>
      </c>
      <c r="C2182">
        <v>77379404</v>
      </c>
      <c r="D2182">
        <v>1</v>
      </c>
      <c r="E2182">
        <v>4000116241</v>
      </c>
      <c r="F2182" t="s">
        <v>1249</v>
      </c>
      <c r="G2182" s="1">
        <v>45232</v>
      </c>
      <c r="H2182">
        <v>5411054</v>
      </c>
      <c r="I2182">
        <v>52</v>
      </c>
      <c r="J2182" t="s">
        <v>311</v>
      </c>
      <c r="K2182" t="str">
        <f>IFERROR(IF(AND(VLOOKUP($C2182,Hes!$A:$B, 1, FALSE), $M2182&lt;&gt;" "), "Ingresada", "Falta Ingresar"), " ")</f>
        <v xml:space="preserve"> </v>
      </c>
      <c r="L2182" s="4" t="str">
        <f>IFERROR(VLOOKUP($C2182,Observaciones!$A:$B,2,FALSE)," ")</f>
        <v xml:space="preserve"> </v>
      </c>
      <c r="M2182" t="s">
        <v>681</v>
      </c>
      <c r="O2182" s="5">
        <v>30847302</v>
      </c>
      <c r="P2182" s="5">
        <v>159480</v>
      </c>
      <c r="Q2182" s="5">
        <v>30301</v>
      </c>
      <c r="R2182" s="5">
        <v>189781</v>
      </c>
    </row>
    <row r="2183" spans="1:18" x14ac:dyDescent="0.25">
      <c r="F2183" t="s">
        <v>495</v>
      </c>
      <c r="K2183" t="str">
        <f>IFERROR(IF(AND(VLOOKUP($C2183,Hes!$A:$B, 1, FALSE), $M2183&lt;&gt;" "), "Ingresada", "Falta Ingresar"), " ")</f>
        <v xml:space="preserve"> </v>
      </c>
      <c r="L2183" s="4" t="str">
        <f>IFERROR(VLOOKUP($C2183,Observaciones!$A:$B,2,FALSE)," ")</f>
        <v xml:space="preserve"> </v>
      </c>
      <c r="M2183" t="s">
        <v>681</v>
      </c>
      <c r="P2183" s="5">
        <v>159480</v>
      </c>
      <c r="Q2183" s="5">
        <v>30301</v>
      </c>
      <c r="R2183" s="5">
        <v>189781</v>
      </c>
    </row>
    <row r="2184" spans="1:18" x14ac:dyDescent="0.25">
      <c r="A2184" t="s">
        <v>513</v>
      </c>
      <c r="B2184" t="s">
        <v>494</v>
      </c>
      <c r="C2184">
        <v>77396020</v>
      </c>
      <c r="D2184">
        <v>1</v>
      </c>
      <c r="E2184">
        <v>21416</v>
      </c>
      <c r="F2184" t="s">
        <v>1250</v>
      </c>
      <c r="G2184" s="1">
        <v>45231</v>
      </c>
      <c r="H2184">
        <v>5410829</v>
      </c>
      <c r="I2184">
        <v>181</v>
      </c>
      <c r="J2184" t="s">
        <v>206</v>
      </c>
      <c r="K2184" t="str">
        <f>IFERROR(IF(AND(VLOOKUP($C2184,Hes!$A:$B, 1, FALSE), $M2184&lt;&gt;" "), "Ingresada", "Falta Ingresar"), " ")</f>
        <v xml:space="preserve"> </v>
      </c>
      <c r="L2184" s="4" t="str">
        <f>IFERROR(VLOOKUP($C2184,Observaciones!$A:$B,2,FALSE)," ")</f>
        <v xml:space="preserve"> </v>
      </c>
      <c r="M2184" t="s">
        <v>681</v>
      </c>
      <c r="O2184" s="5">
        <v>30840676</v>
      </c>
      <c r="P2184" s="5">
        <v>191418</v>
      </c>
      <c r="Q2184" s="5">
        <v>36369</v>
      </c>
      <c r="R2184" s="5">
        <v>227787</v>
      </c>
    </row>
    <row r="2185" spans="1:18" x14ac:dyDescent="0.25">
      <c r="F2185" t="s">
        <v>495</v>
      </c>
      <c r="K2185" t="str">
        <f>IFERROR(IF(AND(VLOOKUP($C2185,Hes!$A:$B, 1, FALSE), $M2185&lt;&gt;" "), "Ingresada", "Falta Ingresar"), " ")</f>
        <v xml:space="preserve"> </v>
      </c>
      <c r="L2185" s="4" t="str">
        <f>IFERROR(VLOOKUP($C2185,Observaciones!$A:$B,2,FALSE)," ")</f>
        <v xml:space="preserve"> </v>
      </c>
      <c r="M2185" t="s">
        <v>681</v>
      </c>
      <c r="P2185" s="5">
        <v>191418</v>
      </c>
      <c r="Q2185" s="5">
        <v>36369</v>
      </c>
      <c r="R2185" s="5">
        <v>227787</v>
      </c>
    </row>
    <row r="2186" spans="1:18" x14ac:dyDescent="0.25">
      <c r="A2186" t="s">
        <v>496</v>
      </c>
      <c r="B2186" t="s">
        <v>494</v>
      </c>
      <c r="C2186">
        <v>77402098</v>
      </c>
      <c r="D2186">
        <v>4</v>
      </c>
      <c r="E2186" t="s">
        <v>1251</v>
      </c>
      <c r="F2186" t="s">
        <v>1252</v>
      </c>
      <c r="G2186" s="1">
        <v>45232</v>
      </c>
      <c r="H2186">
        <v>5410775</v>
      </c>
      <c r="I2186">
        <v>134</v>
      </c>
      <c r="J2186" t="s">
        <v>208</v>
      </c>
      <c r="K2186" t="str">
        <f>IFERROR(IF(AND(VLOOKUP($C2186,Hes!$A:$B, 1, FALSE), $M2186&lt;&gt;" "), "Ingresada", "Falta Ingresar"), " ")</f>
        <v xml:space="preserve"> </v>
      </c>
      <c r="L2186" s="4" t="str">
        <f>IFERROR(VLOOKUP($C2186,Observaciones!$A:$B,2,FALSE)," ")</f>
        <v xml:space="preserve"> </v>
      </c>
      <c r="M2186" t="s">
        <v>681</v>
      </c>
      <c r="O2186" s="5">
        <v>30845790</v>
      </c>
      <c r="P2186" s="5">
        <v>90160</v>
      </c>
      <c r="Q2186" s="5">
        <v>17130</v>
      </c>
      <c r="R2186" s="5">
        <v>107290</v>
      </c>
    </row>
    <row r="2187" spans="1:18" x14ac:dyDescent="0.25">
      <c r="A2187" t="s">
        <v>496</v>
      </c>
      <c r="B2187" t="s">
        <v>494</v>
      </c>
      <c r="C2187">
        <v>77402098</v>
      </c>
      <c r="D2187">
        <v>4</v>
      </c>
      <c r="E2187" t="s">
        <v>1253</v>
      </c>
      <c r="F2187" t="s">
        <v>1252</v>
      </c>
      <c r="G2187" s="1">
        <v>45232</v>
      </c>
      <c r="H2187">
        <v>5410781</v>
      </c>
      <c r="I2187">
        <v>134</v>
      </c>
      <c r="J2187" t="s">
        <v>208</v>
      </c>
      <c r="K2187" t="str">
        <f>IFERROR(IF(AND(VLOOKUP($C2187,Hes!$A:$B, 1, FALSE), $M2187&lt;&gt;" "), "Ingresada", "Falta Ingresar"), " ")</f>
        <v xml:space="preserve"> </v>
      </c>
      <c r="L2187" s="4" t="str">
        <f>IFERROR(VLOOKUP($C2187,Observaciones!$A:$B,2,FALSE)," ")</f>
        <v xml:space="preserve"> </v>
      </c>
      <c r="M2187" t="s">
        <v>681</v>
      </c>
      <c r="O2187" s="5">
        <v>30845803</v>
      </c>
      <c r="P2187" s="5">
        <v>58336</v>
      </c>
      <c r="Q2187" s="5">
        <v>11084</v>
      </c>
      <c r="R2187" s="5">
        <v>69420</v>
      </c>
    </row>
    <row r="2188" spans="1:18" x14ac:dyDescent="0.25">
      <c r="A2188" t="s">
        <v>496</v>
      </c>
      <c r="B2188" t="s">
        <v>494</v>
      </c>
      <c r="C2188">
        <v>77402098</v>
      </c>
      <c r="D2188">
        <v>4</v>
      </c>
      <c r="E2188" t="s">
        <v>1254</v>
      </c>
      <c r="F2188" t="s">
        <v>1252</v>
      </c>
      <c r="G2188" s="1">
        <v>45232</v>
      </c>
      <c r="H2188">
        <v>5410940</v>
      </c>
      <c r="I2188">
        <v>134</v>
      </c>
      <c r="J2188" t="s">
        <v>208</v>
      </c>
      <c r="K2188" t="str">
        <f>IFERROR(IF(AND(VLOOKUP($C2188,Hes!$A:$B, 1, FALSE), $M2188&lt;&gt;" "), "Ingresada", "Falta Ingresar"), " ")</f>
        <v xml:space="preserve"> </v>
      </c>
      <c r="L2188" s="4" t="str">
        <f>IFERROR(VLOOKUP($C2188,Observaciones!$A:$B,2,FALSE)," ")</f>
        <v xml:space="preserve"> </v>
      </c>
      <c r="M2188" t="s">
        <v>681</v>
      </c>
      <c r="O2188" s="5">
        <v>30845812</v>
      </c>
      <c r="P2188" s="5">
        <v>41220</v>
      </c>
      <c r="Q2188" s="5">
        <v>7832</v>
      </c>
      <c r="R2188" s="5">
        <v>49052</v>
      </c>
    </row>
    <row r="2189" spans="1:18" x14ac:dyDescent="0.25">
      <c r="A2189" t="s">
        <v>496</v>
      </c>
      <c r="B2189" t="s">
        <v>494</v>
      </c>
      <c r="C2189">
        <v>77402098</v>
      </c>
      <c r="D2189">
        <v>11</v>
      </c>
      <c r="E2189" t="s">
        <v>1254</v>
      </c>
      <c r="F2189" t="s">
        <v>1252</v>
      </c>
      <c r="G2189" s="1">
        <v>45232</v>
      </c>
      <c r="H2189">
        <v>5410957</v>
      </c>
      <c r="I2189">
        <v>134</v>
      </c>
      <c r="J2189" t="s">
        <v>208</v>
      </c>
      <c r="K2189" t="str">
        <f>IFERROR(IF(AND(VLOOKUP($C2189,Hes!$A:$B, 1, FALSE), $M2189&lt;&gt;" "), "Ingresada", "Falta Ingresar"), " ")</f>
        <v xml:space="preserve"> </v>
      </c>
      <c r="L2189" s="4" t="str">
        <f>IFERROR(VLOOKUP($C2189,Observaciones!$A:$B,2,FALSE)," ")</f>
        <v xml:space="preserve"> </v>
      </c>
      <c r="M2189" t="s">
        <v>681</v>
      </c>
      <c r="O2189" s="5">
        <v>30846905</v>
      </c>
      <c r="P2189" s="5">
        <v>24500</v>
      </c>
      <c r="Q2189" s="5">
        <v>4655</v>
      </c>
      <c r="R2189" s="5">
        <v>29320</v>
      </c>
    </row>
    <row r="2190" spans="1:18" x14ac:dyDescent="0.25">
      <c r="A2190" t="s">
        <v>496</v>
      </c>
      <c r="B2190" t="s">
        <v>494</v>
      </c>
      <c r="C2190">
        <v>77402098</v>
      </c>
      <c r="D2190">
        <v>11</v>
      </c>
      <c r="E2190" t="s">
        <v>1253</v>
      </c>
      <c r="F2190" t="s">
        <v>1252</v>
      </c>
      <c r="G2190" s="1">
        <v>45232</v>
      </c>
      <c r="H2190">
        <v>5410998</v>
      </c>
      <c r="I2190">
        <v>134</v>
      </c>
      <c r="J2190" t="s">
        <v>208</v>
      </c>
      <c r="K2190" t="str">
        <f>IFERROR(IF(AND(VLOOKUP($C2190,Hes!$A:$B, 1, FALSE), $M2190&lt;&gt;" "), "Ingresada", "Falta Ingresar"), " ")</f>
        <v xml:space="preserve"> </v>
      </c>
      <c r="L2190" s="4" t="str">
        <f>IFERROR(VLOOKUP($C2190,Observaciones!$A:$B,2,FALSE)," ")</f>
        <v xml:space="preserve"> </v>
      </c>
      <c r="M2190" t="s">
        <v>681</v>
      </c>
      <c r="O2190" s="5">
        <v>30846879</v>
      </c>
      <c r="P2190" s="5">
        <v>103759</v>
      </c>
      <c r="Q2190" s="5">
        <v>19714</v>
      </c>
      <c r="R2190" s="5">
        <v>123473</v>
      </c>
    </row>
    <row r="2191" spans="1:18" x14ac:dyDescent="0.25">
      <c r="A2191" t="s">
        <v>496</v>
      </c>
      <c r="B2191" t="s">
        <v>494</v>
      </c>
      <c r="C2191">
        <v>77402098</v>
      </c>
      <c r="D2191">
        <v>11</v>
      </c>
      <c r="E2191" t="s">
        <v>1251</v>
      </c>
      <c r="F2191" t="s">
        <v>1252</v>
      </c>
      <c r="G2191" s="1">
        <v>45232</v>
      </c>
      <c r="H2191">
        <v>5410999</v>
      </c>
      <c r="I2191">
        <v>134</v>
      </c>
      <c r="J2191" t="s">
        <v>208</v>
      </c>
      <c r="K2191" t="str">
        <f>IFERROR(IF(AND(VLOOKUP($C2191,Hes!$A:$B, 1, FALSE), $M2191&lt;&gt;" "), "Ingresada", "Falta Ingresar"), " ")</f>
        <v xml:space="preserve"> </v>
      </c>
      <c r="L2191" s="4" t="str">
        <f>IFERROR(VLOOKUP($C2191,Observaciones!$A:$B,2,FALSE)," ")</f>
        <v xml:space="preserve"> </v>
      </c>
      <c r="M2191" t="s">
        <v>681</v>
      </c>
      <c r="O2191" s="5">
        <v>30846870</v>
      </c>
      <c r="P2191" s="5">
        <v>52552</v>
      </c>
      <c r="Q2191" s="5">
        <v>9985</v>
      </c>
      <c r="R2191" s="5">
        <v>62537</v>
      </c>
    </row>
    <row r="2192" spans="1:18" x14ac:dyDescent="0.25">
      <c r="A2192" t="s">
        <v>496</v>
      </c>
      <c r="B2192" t="s">
        <v>494</v>
      </c>
      <c r="C2192">
        <v>77402098</v>
      </c>
      <c r="D2192">
        <v>13</v>
      </c>
      <c r="E2192" t="s">
        <v>1254</v>
      </c>
      <c r="F2192" t="s">
        <v>1252</v>
      </c>
      <c r="G2192" s="1">
        <v>45232</v>
      </c>
      <c r="H2192">
        <v>5411058</v>
      </c>
      <c r="I2192">
        <v>134</v>
      </c>
      <c r="J2192" t="s">
        <v>208</v>
      </c>
      <c r="K2192" t="str">
        <f>IFERROR(IF(AND(VLOOKUP($C2192,Hes!$A:$B, 1, FALSE), $M2192&lt;&gt;" "), "Ingresada", "Falta Ingresar"), " ")</f>
        <v xml:space="preserve"> </v>
      </c>
      <c r="L2192" s="4" t="str">
        <f>IFERROR(VLOOKUP($C2192,Observaciones!$A:$B,2,FALSE)," ")</f>
        <v xml:space="preserve"> </v>
      </c>
      <c r="M2192" t="s">
        <v>681</v>
      </c>
      <c r="O2192" s="5">
        <v>30847521</v>
      </c>
      <c r="P2192" s="5">
        <v>57783</v>
      </c>
      <c r="Q2192" s="5">
        <v>10979</v>
      </c>
      <c r="R2192" s="5">
        <v>68762</v>
      </c>
    </row>
    <row r="2193" spans="1:18" x14ac:dyDescent="0.25">
      <c r="A2193" t="s">
        <v>496</v>
      </c>
      <c r="B2193" t="s">
        <v>494</v>
      </c>
      <c r="C2193">
        <v>77402098</v>
      </c>
      <c r="D2193">
        <v>13</v>
      </c>
      <c r="E2193" t="s">
        <v>1253</v>
      </c>
      <c r="F2193" t="s">
        <v>1252</v>
      </c>
      <c r="G2193" s="1">
        <v>45232</v>
      </c>
      <c r="H2193">
        <v>5411066</v>
      </c>
      <c r="I2193">
        <v>134</v>
      </c>
      <c r="J2193" t="s">
        <v>208</v>
      </c>
      <c r="K2193" t="str">
        <f>IFERROR(IF(AND(VLOOKUP($C2193,Hes!$A:$B, 1, FALSE), $M2193&lt;&gt;" "), "Ingresada", "Falta Ingresar"), " ")</f>
        <v xml:space="preserve"> </v>
      </c>
      <c r="L2193" s="4" t="str">
        <f>IFERROR(VLOOKUP($C2193,Observaciones!$A:$B,2,FALSE)," ")</f>
        <v xml:space="preserve"> </v>
      </c>
      <c r="M2193" t="s">
        <v>681</v>
      </c>
      <c r="O2193" s="5">
        <v>30847527</v>
      </c>
      <c r="P2193" s="5">
        <v>244287</v>
      </c>
      <c r="Q2193" s="5">
        <v>46415</v>
      </c>
      <c r="R2193" s="5">
        <v>290702</v>
      </c>
    </row>
    <row r="2194" spans="1:18" x14ac:dyDescent="0.25">
      <c r="A2194" t="s">
        <v>496</v>
      </c>
      <c r="B2194" t="s">
        <v>494</v>
      </c>
      <c r="C2194">
        <v>77402098</v>
      </c>
      <c r="D2194">
        <v>3</v>
      </c>
      <c r="E2194" t="s">
        <v>1253</v>
      </c>
      <c r="F2194" t="s">
        <v>1252</v>
      </c>
      <c r="G2194" s="1">
        <v>45232</v>
      </c>
      <c r="H2194">
        <v>5411094</v>
      </c>
      <c r="I2194">
        <v>134</v>
      </c>
      <c r="J2194" t="s">
        <v>208</v>
      </c>
      <c r="K2194" t="str">
        <f>IFERROR(IF(AND(VLOOKUP($C2194,Hes!$A:$B, 1, FALSE), $M2194&lt;&gt;" "), "Ingresada", "Falta Ingresar"), " ")</f>
        <v xml:space="preserve"> </v>
      </c>
      <c r="L2194" s="4" t="str">
        <f>IFERROR(VLOOKUP($C2194,Observaciones!$A:$B,2,FALSE)," ")</f>
        <v xml:space="preserve"> </v>
      </c>
      <c r="M2194" t="s">
        <v>681</v>
      </c>
      <c r="O2194" s="5">
        <v>30847623</v>
      </c>
      <c r="P2194" s="5">
        <v>190990</v>
      </c>
      <c r="Q2194" s="5">
        <v>36288</v>
      </c>
      <c r="R2194" s="5">
        <v>227278</v>
      </c>
    </row>
    <row r="2195" spans="1:18" x14ac:dyDescent="0.25">
      <c r="A2195" t="s">
        <v>496</v>
      </c>
      <c r="B2195" t="s">
        <v>494</v>
      </c>
      <c r="C2195">
        <v>77402098</v>
      </c>
      <c r="D2195">
        <v>6</v>
      </c>
      <c r="E2195" t="s">
        <v>1255</v>
      </c>
      <c r="F2195" t="s">
        <v>1252</v>
      </c>
      <c r="G2195" s="1">
        <v>45233</v>
      </c>
      <c r="H2195">
        <v>5411105</v>
      </c>
      <c r="I2195">
        <v>134</v>
      </c>
      <c r="J2195" t="s">
        <v>208</v>
      </c>
      <c r="K2195" t="str">
        <f>IFERROR(IF(AND(VLOOKUP($C2195,Hes!$A:$B, 1, FALSE), $M2195&lt;&gt;" "), "Ingresada", "Falta Ingresar"), " ")</f>
        <v xml:space="preserve"> </v>
      </c>
      <c r="L2195" s="4" t="str">
        <f>IFERROR(VLOOKUP($C2195,Observaciones!$A:$B,2,FALSE)," ")</f>
        <v xml:space="preserve"> </v>
      </c>
      <c r="M2195" t="s">
        <v>681</v>
      </c>
      <c r="O2195" s="5">
        <v>30847710</v>
      </c>
      <c r="P2195" s="5">
        <v>128611</v>
      </c>
      <c r="Q2195" s="5">
        <v>24436</v>
      </c>
      <c r="R2195" s="5">
        <v>153047</v>
      </c>
    </row>
    <row r="2196" spans="1:18" x14ac:dyDescent="0.25">
      <c r="A2196" t="s">
        <v>496</v>
      </c>
      <c r="B2196" t="s">
        <v>494</v>
      </c>
      <c r="C2196">
        <v>77402098</v>
      </c>
      <c r="D2196">
        <v>13</v>
      </c>
      <c r="E2196" t="s">
        <v>1251</v>
      </c>
      <c r="F2196" t="s">
        <v>1252</v>
      </c>
      <c r="G2196" s="1">
        <v>45232</v>
      </c>
      <c r="H2196">
        <v>5411124</v>
      </c>
      <c r="I2196">
        <v>134</v>
      </c>
      <c r="J2196" t="s">
        <v>208</v>
      </c>
      <c r="K2196" t="str">
        <f>IFERROR(IF(AND(VLOOKUP($C2196,Hes!$A:$B, 1, FALSE), $M2196&lt;&gt;" "), "Ingresada", "Falta Ingresar"), " ")</f>
        <v xml:space="preserve"> </v>
      </c>
      <c r="L2196" s="4" t="str">
        <f>IFERROR(VLOOKUP($C2196,Observaciones!$A:$B,2,FALSE)," ")</f>
        <v xml:space="preserve"> </v>
      </c>
      <c r="M2196" t="s">
        <v>681</v>
      </c>
      <c r="O2196" s="5">
        <v>30847510</v>
      </c>
      <c r="P2196" s="5">
        <v>95423</v>
      </c>
      <c r="Q2196" s="5">
        <v>18130</v>
      </c>
      <c r="R2196" s="5">
        <v>113553</v>
      </c>
    </row>
    <row r="2197" spans="1:18" x14ac:dyDescent="0.25">
      <c r="A2197" t="s">
        <v>496</v>
      </c>
      <c r="B2197" t="s">
        <v>494</v>
      </c>
      <c r="C2197">
        <v>77402098</v>
      </c>
      <c r="D2197">
        <v>3</v>
      </c>
      <c r="E2197" t="s">
        <v>1251</v>
      </c>
      <c r="F2197" t="s">
        <v>1252</v>
      </c>
      <c r="G2197" s="1">
        <v>45232</v>
      </c>
      <c r="H2197">
        <v>5411131</v>
      </c>
      <c r="I2197">
        <v>134</v>
      </c>
      <c r="J2197" t="s">
        <v>208</v>
      </c>
      <c r="K2197" t="str">
        <f>IFERROR(IF(AND(VLOOKUP($C2197,Hes!$A:$B, 1, FALSE), $M2197&lt;&gt;" "), "Ingresada", "Falta Ingresar"), " ")</f>
        <v xml:space="preserve"> </v>
      </c>
      <c r="L2197" s="4" t="str">
        <f>IFERROR(VLOOKUP($C2197,Observaciones!$A:$B,2,FALSE)," ")</f>
        <v xml:space="preserve"> </v>
      </c>
      <c r="M2197" t="s">
        <v>681</v>
      </c>
      <c r="O2197" s="5">
        <v>30847647</v>
      </c>
      <c r="P2197" s="5">
        <v>121979</v>
      </c>
      <c r="Q2197" s="5">
        <v>23176</v>
      </c>
      <c r="R2197" s="5">
        <v>145155</v>
      </c>
    </row>
    <row r="2198" spans="1:18" x14ac:dyDescent="0.25">
      <c r="A2198" t="s">
        <v>496</v>
      </c>
      <c r="B2198" t="s">
        <v>494</v>
      </c>
      <c r="C2198">
        <v>77402098</v>
      </c>
      <c r="D2198">
        <v>6</v>
      </c>
      <c r="E2198" t="s">
        <v>1251</v>
      </c>
      <c r="F2198" t="s">
        <v>1252</v>
      </c>
      <c r="G2198" s="1">
        <v>45233</v>
      </c>
      <c r="H2198">
        <v>5411233</v>
      </c>
      <c r="I2198">
        <v>134</v>
      </c>
      <c r="J2198" t="s">
        <v>208</v>
      </c>
      <c r="K2198" t="str">
        <f>IFERROR(IF(AND(VLOOKUP($C2198,Hes!$A:$B, 1, FALSE), $M2198&lt;&gt;" "), "Ingresada", "Falta Ingresar"), " ")</f>
        <v xml:space="preserve"> </v>
      </c>
      <c r="L2198" s="4" t="str">
        <f>IFERROR(VLOOKUP($C2198,Observaciones!$A:$B,2,FALSE)," ")</f>
        <v xml:space="preserve"> </v>
      </c>
      <c r="M2198" t="s">
        <v>681</v>
      </c>
      <c r="O2198" s="5">
        <v>30847728</v>
      </c>
      <c r="P2198" s="5">
        <v>57370</v>
      </c>
      <c r="Q2198" s="5">
        <v>10900</v>
      </c>
      <c r="R2198" s="5">
        <v>68270</v>
      </c>
    </row>
    <row r="2199" spans="1:18" x14ac:dyDescent="0.25">
      <c r="A2199" t="s">
        <v>496</v>
      </c>
      <c r="B2199" t="s">
        <v>494</v>
      </c>
      <c r="C2199">
        <v>77402098</v>
      </c>
      <c r="D2199">
        <v>6</v>
      </c>
      <c r="E2199" t="s">
        <v>1254</v>
      </c>
      <c r="F2199" t="s">
        <v>1252</v>
      </c>
      <c r="G2199" s="1">
        <v>45233</v>
      </c>
      <c r="H2199">
        <v>5411351</v>
      </c>
      <c r="I2199">
        <v>134</v>
      </c>
      <c r="J2199" t="s">
        <v>208</v>
      </c>
      <c r="K2199" t="str">
        <f>IFERROR(IF(AND(VLOOKUP($C2199,Hes!$A:$B, 1, FALSE), $M2199&lt;&gt;" "), "Ingresada", "Falta Ingresar"), " ")</f>
        <v xml:space="preserve"> </v>
      </c>
      <c r="L2199" s="4" t="str">
        <f>IFERROR(VLOOKUP($C2199,Observaciones!$A:$B,2,FALSE)," ")</f>
        <v xml:space="preserve"> </v>
      </c>
      <c r="M2199" t="s">
        <v>681</v>
      </c>
      <c r="O2199" s="5">
        <v>30847705</v>
      </c>
      <c r="P2199" s="5">
        <v>29635</v>
      </c>
      <c r="Q2199" s="5">
        <v>5631</v>
      </c>
      <c r="R2199" s="5">
        <v>35266</v>
      </c>
    </row>
    <row r="2200" spans="1:18" x14ac:dyDescent="0.25">
      <c r="A2200" t="s">
        <v>496</v>
      </c>
      <c r="B2200" t="s">
        <v>494</v>
      </c>
      <c r="C2200">
        <v>77402098</v>
      </c>
      <c r="D2200">
        <v>10</v>
      </c>
      <c r="E2200" t="s">
        <v>1256</v>
      </c>
      <c r="F2200" t="s">
        <v>1252</v>
      </c>
      <c r="G2200" s="1">
        <v>45233</v>
      </c>
      <c r="H2200">
        <v>5411393</v>
      </c>
      <c r="I2200">
        <v>134</v>
      </c>
      <c r="J2200" t="s">
        <v>208</v>
      </c>
      <c r="K2200" t="str">
        <f>IFERROR(IF(AND(VLOOKUP($C2200,Hes!$A:$B, 1, FALSE), $M2200&lt;&gt;" "), "Ingresada", "Falta Ingresar"), " ")</f>
        <v xml:space="preserve"> </v>
      </c>
      <c r="L2200" s="4" t="str">
        <f>IFERROR(VLOOKUP($C2200,Observaciones!$A:$B,2,FALSE)," ")</f>
        <v xml:space="preserve"> </v>
      </c>
      <c r="M2200" t="s">
        <v>681</v>
      </c>
      <c r="O2200" s="5">
        <v>30849808</v>
      </c>
      <c r="P2200" s="5">
        <v>36464</v>
      </c>
      <c r="Q2200" s="5">
        <v>6928</v>
      </c>
      <c r="R2200" s="5">
        <v>43392</v>
      </c>
    </row>
    <row r="2201" spans="1:18" x14ac:dyDescent="0.25">
      <c r="A2201" t="s">
        <v>496</v>
      </c>
      <c r="B2201" t="s">
        <v>494</v>
      </c>
      <c r="C2201">
        <v>77402098</v>
      </c>
      <c r="D2201">
        <v>15</v>
      </c>
      <c r="E2201" t="s">
        <v>1254</v>
      </c>
      <c r="F2201" t="s">
        <v>1252</v>
      </c>
      <c r="G2201" s="1">
        <v>45233</v>
      </c>
      <c r="H2201">
        <v>5411405</v>
      </c>
      <c r="I2201">
        <v>134</v>
      </c>
      <c r="J2201" t="s">
        <v>208</v>
      </c>
      <c r="K2201" t="str">
        <f>IFERROR(IF(AND(VLOOKUP($C2201,Hes!$A:$B, 1, FALSE), $M2201&lt;&gt;" "), "Ingresada", "Falta Ingresar"), " ")</f>
        <v xml:space="preserve"> </v>
      </c>
      <c r="L2201" s="4" t="str">
        <f>IFERROR(VLOOKUP($C2201,Observaciones!$A:$B,2,FALSE)," ")</f>
        <v xml:space="preserve"> </v>
      </c>
      <c r="M2201" t="s">
        <v>681</v>
      </c>
      <c r="O2201" s="5">
        <v>30849657</v>
      </c>
      <c r="P2201" s="5">
        <v>16726</v>
      </c>
      <c r="Q2201" s="5">
        <v>3178</v>
      </c>
      <c r="R2201" s="5">
        <v>19904</v>
      </c>
    </row>
    <row r="2202" spans="1:18" x14ac:dyDescent="0.25">
      <c r="A2202" t="s">
        <v>496</v>
      </c>
      <c r="B2202" t="s">
        <v>494</v>
      </c>
      <c r="C2202">
        <v>77402098</v>
      </c>
      <c r="D2202">
        <v>15</v>
      </c>
      <c r="E2202" t="s">
        <v>1253</v>
      </c>
      <c r="F2202" t="s">
        <v>1252</v>
      </c>
      <c r="G2202" s="1">
        <v>45233</v>
      </c>
      <c r="H2202">
        <v>5411451</v>
      </c>
      <c r="I2202">
        <v>134</v>
      </c>
      <c r="J2202" t="s">
        <v>208</v>
      </c>
      <c r="K2202" t="str">
        <f>IFERROR(IF(AND(VLOOKUP($C2202,Hes!$A:$B, 1, FALSE), $M2202&lt;&gt;" "), "Ingresada", "Falta Ingresar"), " ")</f>
        <v xml:space="preserve"> </v>
      </c>
      <c r="L2202" s="4" t="str">
        <f>IFERROR(VLOOKUP($C2202,Observaciones!$A:$B,2,FALSE)," ")</f>
        <v xml:space="preserve"> </v>
      </c>
      <c r="M2202" t="s">
        <v>681</v>
      </c>
      <c r="O2202" s="5">
        <v>30849640</v>
      </c>
      <c r="P2202" s="5">
        <v>113495</v>
      </c>
      <c r="Q2202" s="5">
        <v>21564</v>
      </c>
      <c r="R2202" s="5">
        <v>135059</v>
      </c>
    </row>
    <row r="2203" spans="1:18" x14ac:dyDescent="0.25">
      <c r="A2203" t="s">
        <v>496</v>
      </c>
      <c r="B2203" t="s">
        <v>494</v>
      </c>
      <c r="C2203">
        <v>77402098</v>
      </c>
      <c r="D2203">
        <v>10</v>
      </c>
      <c r="E2203" t="s">
        <v>1254</v>
      </c>
      <c r="F2203" t="s">
        <v>1252</v>
      </c>
      <c r="G2203" s="1">
        <v>45233</v>
      </c>
      <c r="H2203">
        <v>5411453</v>
      </c>
      <c r="I2203">
        <v>134</v>
      </c>
      <c r="J2203" t="s">
        <v>208</v>
      </c>
      <c r="K2203" t="str">
        <f>IFERROR(IF(AND(VLOOKUP($C2203,Hes!$A:$B, 1, FALSE), $M2203&lt;&gt;" "), "Ingresada", "Falta Ingresar"), " ")</f>
        <v xml:space="preserve"> </v>
      </c>
      <c r="L2203" s="4" t="str">
        <f>IFERROR(VLOOKUP($C2203,Observaciones!$A:$B,2,FALSE)," ")</f>
        <v xml:space="preserve"> </v>
      </c>
      <c r="M2203" t="s">
        <v>681</v>
      </c>
      <c r="O2203" s="5">
        <v>30849792</v>
      </c>
      <c r="P2203" s="5">
        <v>14079</v>
      </c>
      <c r="Q2203" s="5">
        <v>2675</v>
      </c>
      <c r="R2203" s="5">
        <v>16754</v>
      </c>
    </row>
    <row r="2204" spans="1:18" x14ac:dyDescent="0.25">
      <c r="A2204" t="s">
        <v>496</v>
      </c>
      <c r="B2204" t="s">
        <v>494</v>
      </c>
      <c r="C2204">
        <v>77402098</v>
      </c>
      <c r="D2204">
        <v>15</v>
      </c>
      <c r="E2204" t="s">
        <v>1257</v>
      </c>
      <c r="F2204" t="s">
        <v>1252</v>
      </c>
      <c r="G2204" s="1">
        <v>45233</v>
      </c>
      <c r="H2204">
        <v>5411565</v>
      </c>
      <c r="I2204">
        <v>134</v>
      </c>
      <c r="J2204" t="s">
        <v>208</v>
      </c>
      <c r="K2204" t="str">
        <f>IFERROR(IF(AND(VLOOKUP($C2204,Hes!$A:$B, 1, FALSE), $M2204&lt;&gt;" "), "Ingresada", "Falta Ingresar"), " ")</f>
        <v xml:space="preserve"> </v>
      </c>
      <c r="L2204" s="4" t="str">
        <f>IFERROR(VLOOKUP($C2204,Observaciones!$A:$B,2,FALSE)," ")</f>
        <v xml:space="preserve"> </v>
      </c>
      <c r="M2204" t="s">
        <v>681</v>
      </c>
      <c r="O2204" s="5">
        <v>30849648</v>
      </c>
      <c r="P2204" s="5">
        <v>54058</v>
      </c>
      <c r="Q2204" s="5">
        <v>10271</v>
      </c>
      <c r="R2204" s="5">
        <v>64329</v>
      </c>
    </row>
    <row r="2205" spans="1:18" x14ac:dyDescent="0.25">
      <c r="A2205" t="s">
        <v>496</v>
      </c>
      <c r="B2205" t="s">
        <v>494</v>
      </c>
      <c r="C2205">
        <v>77402098</v>
      </c>
      <c r="D2205">
        <v>10</v>
      </c>
      <c r="E2205" t="s">
        <v>1251</v>
      </c>
      <c r="F2205" t="s">
        <v>1252</v>
      </c>
      <c r="G2205" s="1">
        <v>45236</v>
      </c>
      <c r="H2205">
        <v>5412705</v>
      </c>
      <c r="I2205">
        <v>134</v>
      </c>
      <c r="J2205" t="s">
        <v>208</v>
      </c>
      <c r="K2205" t="str">
        <f>IFERROR(IF(AND(VLOOKUP($C2205,Hes!$A:$B, 1, FALSE), $M2205&lt;&gt;" "), "Ingresada", "Falta Ingresar"), " ")</f>
        <v xml:space="preserve"> </v>
      </c>
      <c r="L2205" s="4" t="str">
        <f>IFERROR(VLOOKUP($C2205,Observaciones!$A:$B,2,FALSE)," ")</f>
        <v xml:space="preserve"> </v>
      </c>
      <c r="M2205" t="s">
        <v>681</v>
      </c>
      <c r="O2205" s="5">
        <v>30849821</v>
      </c>
      <c r="P2205" s="5">
        <v>48967</v>
      </c>
      <c r="Q2205" s="5">
        <v>9304</v>
      </c>
      <c r="R2205" s="5">
        <v>58271</v>
      </c>
    </row>
    <row r="2206" spans="1:18" x14ac:dyDescent="0.25">
      <c r="A2206" t="s">
        <v>496</v>
      </c>
      <c r="B2206" t="s">
        <v>494</v>
      </c>
      <c r="C2206">
        <v>77402098</v>
      </c>
      <c r="D2206">
        <v>3</v>
      </c>
      <c r="E2206" t="s">
        <v>1254</v>
      </c>
      <c r="F2206" t="s">
        <v>1252</v>
      </c>
      <c r="G2206" s="1">
        <v>45236</v>
      </c>
      <c r="H2206">
        <v>5413060</v>
      </c>
      <c r="I2206">
        <v>134</v>
      </c>
      <c r="J2206" t="s">
        <v>208</v>
      </c>
      <c r="K2206" t="str">
        <f>IFERROR(IF(AND(VLOOKUP($C2206,Hes!$A:$B, 1, FALSE), $M2206&lt;&gt;" "), "Ingresada", "Falta Ingresar"), " ")</f>
        <v xml:space="preserve"> </v>
      </c>
      <c r="L2206" s="4" t="str">
        <f>IFERROR(VLOOKUP($C2206,Observaciones!$A:$B,2,FALSE)," ")</f>
        <v xml:space="preserve"> </v>
      </c>
      <c r="M2206" t="s">
        <v>681</v>
      </c>
      <c r="O2206" s="5">
        <v>30847612</v>
      </c>
      <c r="P2206" s="5">
        <v>134076</v>
      </c>
      <c r="Q2206" s="5">
        <v>25474</v>
      </c>
      <c r="R2206" s="5">
        <v>159550</v>
      </c>
    </row>
    <row r="2207" spans="1:18" x14ac:dyDescent="0.25">
      <c r="A2207" t="s">
        <v>496</v>
      </c>
      <c r="B2207" t="s">
        <v>494</v>
      </c>
      <c r="C2207">
        <v>77402098</v>
      </c>
      <c r="D2207">
        <v>5</v>
      </c>
      <c r="E2207" t="s">
        <v>1254</v>
      </c>
      <c r="F2207" t="s">
        <v>1252</v>
      </c>
      <c r="G2207" s="1">
        <v>45236</v>
      </c>
      <c r="H2207">
        <v>5413595</v>
      </c>
      <c r="I2207">
        <v>396</v>
      </c>
      <c r="J2207" t="s">
        <v>184</v>
      </c>
      <c r="K2207" t="str">
        <f>IFERROR(IF(AND(VLOOKUP($C2207,Hes!$A:$B, 1, FALSE), $M2207&lt;&gt;" "), "Ingresada", "Falta Ingresar"), " ")</f>
        <v xml:space="preserve"> </v>
      </c>
      <c r="L2207" s="4" t="str">
        <f>IFERROR(VLOOKUP($C2207,Observaciones!$A:$B,2,FALSE)," ")</f>
        <v xml:space="preserve"> </v>
      </c>
      <c r="M2207" t="s">
        <v>681</v>
      </c>
      <c r="O2207" s="5">
        <v>30855812</v>
      </c>
      <c r="P2207" s="5">
        <v>73778</v>
      </c>
      <c r="Q2207" s="5">
        <v>14018</v>
      </c>
      <c r="R2207" s="5">
        <v>87796</v>
      </c>
    </row>
    <row r="2208" spans="1:18" x14ac:dyDescent="0.25">
      <c r="A2208" t="s">
        <v>496</v>
      </c>
      <c r="B2208" t="s">
        <v>494</v>
      </c>
      <c r="C2208">
        <v>77402098</v>
      </c>
      <c r="D2208">
        <v>2</v>
      </c>
      <c r="E2208" t="s">
        <v>1253</v>
      </c>
      <c r="F2208" t="s">
        <v>1252</v>
      </c>
      <c r="G2208" s="1">
        <v>45238</v>
      </c>
      <c r="H2208">
        <v>5415199</v>
      </c>
      <c r="I2208">
        <v>396</v>
      </c>
      <c r="J2208" t="s">
        <v>184</v>
      </c>
      <c r="K2208" t="str">
        <f>IFERROR(IF(AND(VLOOKUP($C2208,Hes!$A:$B, 1, FALSE), $M2208&lt;&gt;" "), "Ingresada", "Falta Ingresar"), " ")</f>
        <v xml:space="preserve"> </v>
      </c>
      <c r="L2208" s="4" t="str">
        <f>IFERROR(VLOOKUP($C2208,Observaciones!$A:$B,2,FALSE)," ")</f>
        <v xml:space="preserve"> </v>
      </c>
      <c r="M2208" t="s">
        <v>681</v>
      </c>
      <c r="O2208" s="5">
        <v>30863103</v>
      </c>
      <c r="P2208" s="5">
        <v>170616</v>
      </c>
      <c r="Q2208" s="5">
        <v>32417</v>
      </c>
      <c r="R2208" s="5">
        <v>203033</v>
      </c>
    </row>
    <row r="2209" spans="1:18" x14ac:dyDescent="0.25">
      <c r="A2209" t="s">
        <v>496</v>
      </c>
      <c r="B2209" t="s">
        <v>494</v>
      </c>
      <c r="C2209">
        <v>77402098</v>
      </c>
      <c r="D2209">
        <v>1</v>
      </c>
      <c r="E2209" t="s">
        <v>1253</v>
      </c>
      <c r="F2209" t="s">
        <v>1252</v>
      </c>
      <c r="G2209" s="1">
        <v>45237</v>
      </c>
      <c r="H2209">
        <v>5415260</v>
      </c>
      <c r="I2209">
        <v>396</v>
      </c>
      <c r="J2209" t="s">
        <v>184</v>
      </c>
      <c r="K2209" t="str">
        <f>IFERROR(IF(AND(VLOOKUP($C2209,Hes!$A:$B, 1, FALSE), $M2209&lt;&gt;" "), "Ingresada", "Falta Ingresar"), " ")</f>
        <v xml:space="preserve"> </v>
      </c>
      <c r="L2209" s="4" t="str">
        <f>IFERROR(VLOOKUP($C2209,Observaciones!$A:$B,2,FALSE)," ")</f>
        <v xml:space="preserve"> </v>
      </c>
      <c r="M2209" t="s">
        <v>681</v>
      </c>
      <c r="O2209" s="5">
        <v>30863112</v>
      </c>
      <c r="P2209" s="5">
        <v>138307</v>
      </c>
      <c r="Q2209" s="5">
        <v>26278</v>
      </c>
      <c r="R2209" s="5">
        <v>164585</v>
      </c>
    </row>
    <row r="2210" spans="1:18" x14ac:dyDescent="0.25">
      <c r="A2210" t="s">
        <v>496</v>
      </c>
      <c r="B2210" t="s">
        <v>494</v>
      </c>
      <c r="C2210">
        <v>77402098</v>
      </c>
      <c r="D2210">
        <v>1</v>
      </c>
      <c r="E2210" t="s">
        <v>1254</v>
      </c>
      <c r="F2210" t="s">
        <v>1252</v>
      </c>
      <c r="G2210" s="1">
        <v>45238</v>
      </c>
      <c r="H2210">
        <v>5415577</v>
      </c>
      <c r="I2210">
        <v>396</v>
      </c>
      <c r="J2210" t="s">
        <v>184</v>
      </c>
      <c r="K2210" t="str">
        <f>IFERROR(IF(AND(VLOOKUP($C2210,Hes!$A:$B, 1, FALSE), $M2210&lt;&gt;" "), "Ingresada", "Falta Ingresar"), " ")</f>
        <v xml:space="preserve"> </v>
      </c>
      <c r="L2210" s="4" t="str">
        <f>IFERROR(VLOOKUP($C2210,Observaciones!$A:$B,2,FALSE)," ")</f>
        <v xml:space="preserve"> </v>
      </c>
      <c r="M2210" t="s">
        <v>681</v>
      </c>
      <c r="O2210" s="5">
        <v>30863110</v>
      </c>
      <c r="P2210" s="5">
        <v>35027</v>
      </c>
      <c r="Q2210" s="5">
        <v>6655</v>
      </c>
      <c r="R2210" s="5">
        <v>41682</v>
      </c>
    </row>
    <row r="2211" spans="1:18" x14ac:dyDescent="0.25">
      <c r="A2211" t="s">
        <v>496</v>
      </c>
      <c r="B2211" t="s">
        <v>494</v>
      </c>
      <c r="C2211">
        <v>77402098</v>
      </c>
      <c r="D2211">
        <v>2</v>
      </c>
      <c r="E2211" t="s">
        <v>1251</v>
      </c>
      <c r="F2211" t="s">
        <v>1252</v>
      </c>
      <c r="G2211" s="1">
        <v>45238</v>
      </c>
      <c r="H2211">
        <v>5415627</v>
      </c>
      <c r="I2211">
        <v>396</v>
      </c>
      <c r="J2211" t="s">
        <v>184</v>
      </c>
      <c r="K2211" t="str">
        <f>IFERROR(IF(AND(VLOOKUP($C2211,Hes!$A:$B, 1, FALSE), $M2211&lt;&gt;" "), "Ingresada", "Falta Ingresar"), " ")</f>
        <v xml:space="preserve"> </v>
      </c>
      <c r="L2211" s="4" t="str">
        <f>IFERROR(VLOOKUP($C2211,Observaciones!$A:$B,2,FALSE)," ")</f>
        <v xml:space="preserve"> </v>
      </c>
      <c r="M2211" t="s">
        <v>681</v>
      </c>
      <c r="O2211" s="5">
        <v>30863092</v>
      </c>
      <c r="P2211" s="5">
        <v>123535</v>
      </c>
      <c r="Q2211" s="5">
        <v>23472</v>
      </c>
      <c r="R2211" s="5">
        <v>147007</v>
      </c>
    </row>
    <row r="2212" spans="1:18" x14ac:dyDescent="0.25">
      <c r="A2212" t="s">
        <v>496</v>
      </c>
      <c r="B2212" t="s">
        <v>494</v>
      </c>
      <c r="C2212">
        <v>77402098</v>
      </c>
      <c r="D2212">
        <v>1</v>
      </c>
      <c r="E2212" t="s">
        <v>1251</v>
      </c>
      <c r="F2212" t="s">
        <v>1252</v>
      </c>
      <c r="G2212" s="1">
        <v>45238</v>
      </c>
      <c r="H2212">
        <v>5415657</v>
      </c>
      <c r="I2212">
        <v>396</v>
      </c>
      <c r="J2212" t="s">
        <v>184</v>
      </c>
      <c r="K2212" t="str">
        <f>IFERROR(IF(AND(VLOOKUP($C2212,Hes!$A:$B, 1, FALSE), $M2212&lt;&gt;" "), "Ingresada", "Falta Ingresar"), " ")</f>
        <v xml:space="preserve"> </v>
      </c>
      <c r="L2212" s="4" t="str">
        <f>IFERROR(VLOOKUP($C2212,Observaciones!$A:$B,2,FALSE)," ")</f>
        <v xml:space="preserve"> </v>
      </c>
      <c r="M2212" t="s">
        <v>681</v>
      </c>
      <c r="O2212" s="5">
        <v>30863115</v>
      </c>
      <c r="P2212" s="5">
        <v>54483</v>
      </c>
      <c r="Q2212" s="5">
        <v>10352</v>
      </c>
      <c r="R2212" s="5">
        <v>64835</v>
      </c>
    </row>
    <row r="2213" spans="1:18" x14ac:dyDescent="0.25">
      <c r="A2213" t="s">
        <v>496</v>
      </c>
      <c r="B2213" t="s">
        <v>494</v>
      </c>
      <c r="C2213">
        <v>77402098</v>
      </c>
      <c r="D2213">
        <v>2</v>
      </c>
      <c r="E2213" t="s">
        <v>1254</v>
      </c>
      <c r="F2213" t="s">
        <v>1252</v>
      </c>
      <c r="G2213" s="1">
        <v>45238</v>
      </c>
      <c r="H2213">
        <v>5415660</v>
      </c>
      <c r="I2213">
        <v>396</v>
      </c>
      <c r="J2213" t="s">
        <v>184</v>
      </c>
      <c r="K2213" t="str">
        <f>IFERROR(IF(AND(VLOOKUP($C2213,Hes!$A:$B, 1, FALSE), $M2213&lt;&gt;" "), "Ingresada", "Falta Ingresar"), " ")</f>
        <v xml:space="preserve"> </v>
      </c>
      <c r="L2213" s="4" t="str">
        <f>IFERROR(VLOOKUP($C2213,Observaciones!$A:$B,2,FALSE)," ")</f>
        <v xml:space="preserve"> </v>
      </c>
      <c r="M2213" t="s">
        <v>681</v>
      </c>
      <c r="O2213" s="5">
        <v>30863090</v>
      </c>
      <c r="P2213" s="5">
        <v>72426</v>
      </c>
      <c r="Q2213" s="5">
        <v>13761</v>
      </c>
      <c r="R2213" s="5">
        <v>86187</v>
      </c>
    </row>
    <row r="2214" spans="1:18" x14ac:dyDescent="0.25">
      <c r="F2214" t="s">
        <v>1258</v>
      </c>
      <c r="K2214" t="str">
        <f>IFERROR(IF(AND(VLOOKUP($C2214,Hes!$A:$B, 1, FALSE), $M2214&lt;&gt;" "), "Ingresada", "Falta Ingresar"), " ")</f>
        <v xml:space="preserve"> </v>
      </c>
      <c r="L2214" s="4" t="str">
        <f>IFERROR(VLOOKUP($C2214,Observaciones!$A:$B,2,FALSE)," ")</f>
        <v xml:space="preserve"> </v>
      </c>
      <c r="M2214" t="s">
        <v>681</v>
      </c>
      <c r="P2214" s="5">
        <v>2382642</v>
      </c>
      <c r="Q2214" s="5">
        <v>452702</v>
      </c>
      <c r="R2214" s="5">
        <v>2835509</v>
      </c>
    </row>
    <row r="2215" spans="1:18" x14ac:dyDescent="0.25">
      <c r="A2215" t="s">
        <v>496</v>
      </c>
      <c r="B2215" t="s">
        <v>494</v>
      </c>
      <c r="C2215">
        <v>77441870</v>
      </c>
      <c r="D2215">
        <v>16</v>
      </c>
      <c r="E2215" t="s">
        <v>1259</v>
      </c>
      <c r="F2215" t="s">
        <v>778</v>
      </c>
      <c r="G2215" s="1">
        <v>45237</v>
      </c>
      <c r="H2215">
        <v>5414797</v>
      </c>
      <c r="I2215">
        <v>364</v>
      </c>
      <c r="J2215" t="s">
        <v>194</v>
      </c>
      <c r="K2215" s="8" t="str">
        <f>IFERROR(IF(AND(VLOOKUP($C2215,Hes!$A:$B, 1, FALSE), $M2215&lt;&gt;" "), "Ingresada", "Falta Ingresar"), " ")</f>
        <v>Falta Ingresar</v>
      </c>
      <c r="L2215" s="4" t="str">
        <f>IFERROR(VLOOKUP($C2215,Observaciones!$A:$B,2,FALSE)," ")</f>
        <v>XOC Y CC</v>
      </c>
      <c r="M2215" t="s">
        <v>681</v>
      </c>
      <c r="N2215" s="5" t="s">
        <v>841</v>
      </c>
      <c r="O2215" s="5">
        <v>30835168</v>
      </c>
      <c r="P2215" s="5">
        <v>678520</v>
      </c>
      <c r="Q2215" s="5">
        <v>128919</v>
      </c>
      <c r="R2215" s="5">
        <v>807439</v>
      </c>
    </row>
    <row r="2216" spans="1:18" x14ac:dyDescent="0.25">
      <c r="F2216" t="s">
        <v>495</v>
      </c>
      <c r="K2216" t="str">
        <f>IFERROR(IF(AND(VLOOKUP($C2216,Hes!$A:$B, 1, FALSE), $M2216&lt;&gt;" "), "Ingresada", "Falta Ingresar"), " ")</f>
        <v xml:space="preserve"> </v>
      </c>
      <c r="L2216" s="4" t="str">
        <f>IFERROR(VLOOKUP($C2216,Observaciones!$A:$B,2,FALSE)," ")</f>
        <v xml:space="preserve"> </v>
      </c>
      <c r="M2216" t="s">
        <v>681</v>
      </c>
      <c r="P2216" s="5">
        <v>678520</v>
      </c>
      <c r="Q2216" s="5">
        <v>128919</v>
      </c>
      <c r="R2216" s="5">
        <v>807439</v>
      </c>
    </row>
    <row r="2217" spans="1:18" x14ac:dyDescent="0.25">
      <c r="A2217" t="s">
        <v>881</v>
      </c>
      <c r="B2217" t="s">
        <v>508</v>
      </c>
      <c r="C2217">
        <v>77461750</v>
      </c>
      <c r="D2217">
        <v>2</v>
      </c>
      <c r="E2217">
        <v>284992</v>
      </c>
      <c r="F2217" t="s">
        <v>1260</v>
      </c>
      <c r="G2217" s="1">
        <v>45231</v>
      </c>
      <c r="H2217">
        <v>5410873</v>
      </c>
      <c r="I2217">
        <v>122</v>
      </c>
      <c r="J2217" t="s">
        <v>396</v>
      </c>
      <c r="K2217" t="str">
        <f>IFERROR(IF(AND(VLOOKUP($C2217,Hes!$A:$B, 1, FALSE), $M2217&lt;&gt;" "), "Ingresada", "Falta Ingresar"), " ")</f>
        <v xml:space="preserve"> </v>
      </c>
      <c r="L2217" s="4" t="s">
        <v>681</v>
      </c>
      <c r="M2217" t="s">
        <v>681</v>
      </c>
      <c r="O2217" s="5">
        <v>30828794</v>
      </c>
      <c r="P2217" s="5">
        <v>270192</v>
      </c>
      <c r="Q2217" s="5">
        <v>51336</v>
      </c>
      <c r="R2217" s="5">
        <v>321528</v>
      </c>
    </row>
    <row r="2218" spans="1:18" x14ac:dyDescent="0.25">
      <c r="A2218" t="s">
        <v>881</v>
      </c>
      <c r="B2218" t="s">
        <v>508</v>
      </c>
      <c r="C2218">
        <v>77461750</v>
      </c>
      <c r="D2218">
        <v>2</v>
      </c>
      <c r="E2218">
        <v>285088</v>
      </c>
      <c r="F2218" t="s">
        <v>1260</v>
      </c>
      <c r="G2218" s="1">
        <v>45237</v>
      </c>
      <c r="H2218">
        <v>5413970</v>
      </c>
      <c r="I2218">
        <v>122</v>
      </c>
      <c r="J2218" t="s">
        <v>396</v>
      </c>
      <c r="K2218" t="str">
        <f>IFERROR(IF(AND(VLOOKUP($C2218,Hes!$A:$B, 1, FALSE), $M2218&lt;&gt;" "), "Ingresada", "Falta Ingresar"), " ")</f>
        <v xml:space="preserve"> </v>
      </c>
      <c r="L2218" s="4" t="s">
        <v>681</v>
      </c>
      <c r="M2218" t="s">
        <v>681</v>
      </c>
      <c r="O2218" s="5">
        <v>30833232</v>
      </c>
      <c r="P2218" s="5">
        <v>3632587</v>
      </c>
      <c r="Q2218" s="5">
        <v>690192</v>
      </c>
      <c r="R2218" s="5">
        <v>4322779</v>
      </c>
    </row>
    <row r="2219" spans="1:18" x14ac:dyDescent="0.25">
      <c r="A2219" t="s">
        <v>881</v>
      </c>
      <c r="B2219" t="s">
        <v>508</v>
      </c>
      <c r="C2219">
        <v>77461750</v>
      </c>
      <c r="D2219">
        <v>2</v>
      </c>
      <c r="E2219">
        <v>285088</v>
      </c>
      <c r="F2219" t="s">
        <v>1260</v>
      </c>
      <c r="G2219" s="1">
        <v>45237</v>
      </c>
      <c r="H2219">
        <v>5413971</v>
      </c>
      <c r="I2219">
        <v>122</v>
      </c>
      <c r="J2219" t="s">
        <v>396</v>
      </c>
      <c r="K2219" t="str">
        <f>IFERROR(IF(AND(VLOOKUP($C2219,Hes!$A:$B, 1, FALSE), $M2219&lt;&gt;" "), "Ingresada", "Falta Ingresar"), " ")</f>
        <v xml:space="preserve"> </v>
      </c>
      <c r="L2219" s="4" t="s">
        <v>681</v>
      </c>
      <c r="M2219" t="s">
        <v>681</v>
      </c>
      <c r="O2219" s="5">
        <v>30833232</v>
      </c>
      <c r="P2219" s="5">
        <v>804100</v>
      </c>
      <c r="Q2219" s="5">
        <v>152779</v>
      </c>
      <c r="R2219" s="5">
        <v>956879</v>
      </c>
    </row>
    <row r="2220" spans="1:18" x14ac:dyDescent="0.25">
      <c r="F2220" t="s">
        <v>500</v>
      </c>
      <c r="K2220" t="str">
        <f>IFERROR(IF(AND(VLOOKUP($C2220,Hes!$A:$B, 1, FALSE), $M2220&lt;&gt;" "), "Ingresada", "Falta Ingresar"), " ")</f>
        <v xml:space="preserve"> </v>
      </c>
      <c r="L2220" s="4" t="str">
        <f>IFERROR(VLOOKUP($C2220,Observaciones!$A:$B,2,FALSE)," ")</f>
        <v xml:space="preserve"> </v>
      </c>
      <c r="M2220" t="s">
        <v>681</v>
      </c>
      <c r="P2220" s="5">
        <v>4706879</v>
      </c>
      <c r="Q2220" s="5">
        <v>894307</v>
      </c>
      <c r="R2220" s="5">
        <v>5601186</v>
      </c>
    </row>
    <row r="2221" spans="1:18" x14ac:dyDescent="0.25">
      <c r="A2221" t="s">
        <v>496</v>
      </c>
      <c r="B2221" t="s">
        <v>494</v>
      </c>
      <c r="C2221">
        <v>77476390</v>
      </c>
      <c r="D2221">
        <v>0</v>
      </c>
      <c r="E2221">
        <v>4500827853</v>
      </c>
      <c r="F2221" t="s">
        <v>1261</v>
      </c>
      <c r="G2221" s="1">
        <v>45236</v>
      </c>
      <c r="H2221">
        <v>5413842</v>
      </c>
      <c r="I2221">
        <v>81</v>
      </c>
      <c r="J2221" t="s">
        <v>144</v>
      </c>
      <c r="K2221" t="str">
        <f>IFERROR(IF(AND(VLOOKUP($C2221,Hes!$A:$B, 1, FALSE), $M2221&lt;&gt;" "), "Ingresada", "Falta Ingresar"), " ")</f>
        <v xml:space="preserve"> </v>
      </c>
      <c r="L2221" s="4" t="s">
        <v>681</v>
      </c>
      <c r="M2221" t="s">
        <v>681</v>
      </c>
      <c r="O2221" s="5">
        <v>30856872</v>
      </c>
      <c r="P2221" s="5">
        <v>1256400</v>
      </c>
      <c r="Q2221" s="5">
        <v>238716</v>
      </c>
      <c r="R2221" s="5">
        <v>1495116</v>
      </c>
    </row>
    <row r="2222" spans="1:18" x14ac:dyDescent="0.25">
      <c r="F2222" t="s">
        <v>495</v>
      </c>
      <c r="K2222" t="str">
        <f>IFERROR(IF(AND(VLOOKUP($C2222,Hes!$A:$B, 1, FALSE), $M2222&lt;&gt;" "), "Ingresada", "Falta Ingresar"), " ")</f>
        <v xml:space="preserve"> </v>
      </c>
      <c r="L2222" s="4" t="str">
        <f>IFERROR(VLOOKUP($C2222,Observaciones!$A:$B,2,FALSE)," ")</f>
        <v xml:space="preserve"> </v>
      </c>
      <c r="M2222" t="s">
        <v>681</v>
      </c>
      <c r="P2222" s="5">
        <v>1256400</v>
      </c>
      <c r="Q2222" s="5">
        <v>238716</v>
      </c>
      <c r="R2222" s="5">
        <v>1495116</v>
      </c>
    </row>
    <row r="2223" spans="1:18" x14ac:dyDescent="0.25">
      <c r="A2223" t="s">
        <v>496</v>
      </c>
      <c r="B2223" t="s">
        <v>494</v>
      </c>
      <c r="C2223">
        <v>77478120</v>
      </c>
      <c r="D2223">
        <v>100</v>
      </c>
      <c r="E2223">
        <v>4501465446</v>
      </c>
      <c r="F2223" t="s">
        <v>1262</v>
      </c>
      <c r="G2223" s="1">
        <v>45236</v>
      </c>
      <c r="H2223">
        <v>5412343</v>
      </c>
      <c r="I2223">
        <v>42</v>
      </c>
      <c r="J2223" t="s">
        <v>297</v>
      </c>
      <c r="K2223" s="8" t="str">
        <f>IFERROR(IF(AND(VLOOKUP($C2223,Hes!$A:$B, 1, FALSE), $M2223&lt;&gt;" "), "Ingresada", "Falta Ingresar"), " ")</f>
        <v>Falta Ingresar</v>
      </c>
      <c r="L2223" s="4" t="str">
        <f>IFERROR(VLOOKUP($C2223,Observaciones!$A:$B,2,FALSE)," ")</f>
        <v>XOC Y CC</v>
      </c>
      <c r="M2223" t="s">
        <v>681</v>
      </c>
      <c r="N2223" s="5" t="s">
        <v>841</v>
      </c>
      <c r="O2223" s="5">
        <v>30851771</v>
      </c>
      <c r="P2223" s="5">
        <v>260944</v>
      </c>
      <c r="Q2223" s="5">
        <v>49579</v>
      </c>
      <c r="R2223" s="5">
        <v>310523</v>
      </c>
    </row>
    <row r="2224" spans="1:18" x14ac:dyDescent="0.25">
      <c r="A2224" t="s">
        <v>496</v>
      </c>
      <c r="B2224" t="s">
        <v>494</v>
      </c>
      <c r="C2224">
        <v>77478120</v>
      </c>
      <c r="D2224">
        <v>13</v>
      </c>
      <c r="E2224">
        <v>4501465811</v>
      </c>
      <c r="F2224" t="s">
        <v>1262</v>
      </c>
      <c r="G2224" s="1">
        <v>45236</v>
      </c>
      <c r="H2224">
        <v>5413776</v>
      </c>
      <c r="I2224">
        <v>42</v>
      </c>
      <c r="J2224" t="s">
        <v>297</v>
      </c>
      <c r="K2224" s="8" t="str">
        <f>IFERROR(IF(AND(VLOOKUP($C2224,Hes!$A:$B, 1, FALSE), $M2224&lt;&gt;" "), "Ingresada", "Falta Ingresar"), " ")</f>
        <v>Falta Ingresar</v>
      </c>
      <c r="L2224" s="4" t="str">
        <f>IFERROR(VLOOKUP($C2224,Observaciones!$A:$B,2,FALSE)," ")</f>
        <v>XOC Y CC</v>
      </c>
      <c r="M2224" t="s">
        <v>681</v>
      </c>
      <c r="N2224" s="5" t="s">
        <v>841</v>
      </c>
      <c r="O2224" s="5">
        <v>30857109</v>
      </c>
      <c r="P2224" s="5">
        <v>214143</v>
      </c>
      <c r="Q2224" s="5">
        <v>40687</v>
      </c>
      <c r="R2224" s="5">
        <v>254830</v>
      </c>
    </row>
    <row r="2225" spans="1:18" x14ac:dyDescent="0.25">
      <c r="F2225" t="s">
        <v>497</v>
      </c>
      <c r="K2225" t="str">
        <f>IFERROR(IF(AND(VLOOKUP($C2225,Hes!$A:$B, 1, FALSE), $M2225&lt;&gt;" "), "Ingresada", "Falta Ingresar"), " ")</f>
        <v xml:space="preserve"> </v>
      </c>
      <c r="L2225" s="4" t="str">
        <f>IFERROR(VLOOKUP($C2225,Observaciones!$A:$B,2,FALSE)," ")</f>
        <v xml:space="preserve"> </v>
      </c>
      <c r="M2225" t="s">
        <v>681</v>
      </c>
      <c r="P2225" s="5">
        <v>475087</v>
      </c>
      <c r="Q2225" s="5">
        <v>90266</v>
      </c>
      <c r="R2225" s="5">
        <v>565353</v>
      </c>
    </row>
    <row r="2226" spans="1:18" x14ac:dyDescent="0.25">
      <c r="A2226" t="s">
        <v>3</v>
      </c>
      <c r="B2226" t="s">
        <v>494</v>
      </c>
      <c r="C2226">
        <v>77479063</v>
      </c>
      <c r="D2226">
        <v>2</v>
      </c>
      <c r="E2226">
        <v>30849852</v>
      </c>
      <c r="F2226" t="s">
        <v>1263</v>
      </c>
      <c r="G2226" s="1">
        <v>45233</v>
      </c>
      <c r="H2226">
        <v>5411448</v>
      </c>
      <c r="I2226">
        <v>91</v>
      </c>
      <c r="J2226" t="s">
        <v>172</v>
      </c>
      <c r="K2226" t="str">
        <f>IFERROR(IF(AND(VLOOKUP($C2226,Hes!$A:$B, 1, FALSE), $M2226&lt;&gt;" "), "Ingresada", "Falta Ingresar"), " ")</f>
        <v xml:space="preserve"> </v>
      </c>
      <c r="L2226" s="4" t="str">
        <f>IFERROR(VLOOKUP($C2226,Observaciones!$A:$B,2,FALSE)," ")</f>
        <v xml:space="preserve"> </v>
      </c>
      <c r="M2226" t="s">
        <v>681</v>
      </c>
      <c r="N2226" s="5" t="s">
        <v>841</v>
      </c>
      <c r="O2226" s="5">
        <v>30849852</v>
      </c>
      <c r="P2226" s="5">
        <v>63679</v>
      </c>
      <c r="Q2226" s="5">
        <v>12099</v>
      </c>
      <c r="R2226" s="5">
        <v>77206</v>
      </c>
    </row>
    <row r="2227" spans="1:18" x14ac:dyDescent="0.25">
      <c r="A2227" t="s">
        <v>3</v>
      </c>
      <c r="B2227" t="s">
        <v>494</v>
      </c>
      <c r="C2227">
        <v>77479063</v>
      </c>
      <c r="D2227">
        <v>10</v>
      </c>
      <c r="E2227">
        <v>30850041</v>
      </c>
      <c r="F2227" t="s">
        <v>1263</v>
      </c>
      <c r="G2227" s="1">
        <v>45233</v>
      </c>
      <c r="H2227">
        <v>5411553</v>
      </c>
      <c r="I2227">
        <v>91</v>
      </c>
      <c r="J2227" t="s">
        <v>172</v>
      </c>
      <c r="K2227" t="str">
        <f>IFERROR(IF(AND(VLOOKUP($C2227,Hes!$A:$B, 1, FALSE), $M2227&lt;&gt;" "), "Ingresada", "Falta Ingresar"), " ")</f>
        <v xml:space="preserve"> </v>
      </c>
      <c r="L2227" s="4" t="str">
        <f>IFERROR(VLOOKUP($C2227,Observaciones!$A:$B,2,FALSE)," ")</f>
        <v xml:space="preserve"> </v>
      </c>
      <c r="M2227" t="s">
        <v>681</v>
      </c>
      <c r="N2227" s="5" t="s">
        <v>841</v>
      </c>
      <c r="O2227" s="5">
        <v>30850041</v>
      </c>
      <c r="P2227" s="5">
        <v>29274</v>
      </c>
      <c r="Q2227" s="5">
        <v>5562</v>
      </c>
      <c r="R2227" s="5">
        <v>34836</v>
      </c>
    </row>
    <row r="2228" spans="1:18" x14ac:dyDescent="0.25">
      <c r="A2228" t="s">
        <v>3</v>
      </c>
      <c r="B2228" t="s">
        <v>494</v>
      </c>
      <c r="C2228">
        <v>77479063</v>
      </c>
      <c r="D2228">
        <v>8</v>
      </c>
      <c r="E2228">
        <v>30850039</v>
      </c>
      <c r="F2228" t="s">
        <v>1263</v>
      </c>
      <c r="G2228" s="1">
        <v>45233</v>
      </c>
      <c r="H2228">
        <v>5411559</v>
      </c>
      <c r="I2228">
        <v>91</v>
      </c>
      <c r="J2228" t="s">
        <v>172</v>
      </c>
      <c r="K2228" t="str">
        <f>IFERROR(IF(AND(VLOOKUP($C2228,Hes!$A:$B, 1, FALSE), $M2228&lt;&gt;" "), "Ingresada", "Falta Ingresar"), " ")</f>
        <v xml:space="preserve"> </v>
      </c>
      <c r="L2228" s="4" t="str">
        <f>IFERROR(VLOOKUP($C2228,Observaciones!$A:$B,2,FALSE)," ")</f>
        <v xml:space="preserve"> </v>
      </c>
      <c r="M2228" t="s">
        <v>681</v>
      </c>
      <c r="N2228" s="5" t="s">
        <v>841</v>
      </c>
      <c r="O2228" s="5">
        <v>30850039</v>
      </c>
      <c r="P2228" s="5">
        <v>68716</v>
      </c>
      <c r="Q2228" s="5">
        <v>13056</v>
      </c>
      <c r="R2228" s="5">
        <v>81772</v>
      </c>
    </row>
    <row r="2229" spans="1:18" x14ac:dyDescent="0.25">
      <c r="A2229" t="s">
        <v>3</v>
      </c>
      <c r="B2229" t="s">
        <v>494</v>
      </c>
      <c r="C2229">
        <v>77479063</v>
      </c>
      <c r="D2229">
        <v>18</v>
      </c>
      <c r="E2229">
        <v>30853492</v>
      </c>
      <c r="F2229" t="s">
        <v>1263</v>
      </c>
      <c r="G2229" s="1">
        <v>45234</v>
      </c>
      <c r="H2229">
        <v>5412281</v>
      </c>
      <c r="I2229">
        <v>91</v>
      </c>
      <c r="J2229" t="s">
        <v>172</v>
      </c>
      <c r="K2229" t="str">
        <f>IFERROR(IF(AND(VLOOKUP($C2229,Hes!$A:$B, 1, FALSE), $M2229&lt;&gt;" "), "Ingresada", "Falta Ingresar"), " ")</f>
        <v xml:space="preserve"> </v>
      </c>
      <c r="L2229" s="4" t="str">
        <f>IFERROR(VLOOKUP($C2229,Observaciones!$A:$B,2,FALSE)," ")</f>
        <v xml:space="preserve"> </v>
      </c>
      <c r="M2229" t="s">
        <v>681</v>
      </c>
      <c r="N2229" s="5" t="s">
        <v>841</v>
      </c>
      <c r="O2229" s="5">
        <v>30853492</v>
      </c>
      <c r="P2229" s="5">
        <v>12318</v>
      </c>
      <c r="Q2229" s="5">
        <v>2340</v>
      </c>
      <c r="R2229" s="5">
        <v>14658</v>
      </c>
    </row>
    <row r="2230" spans="1:18" x14ac:dyDescent="0.25">
      <c r="A2230" t="s">
        <v>3</v>
      </c>
      <c r="B2230" t="s">
        <v>494</v>
      </c>
      <c r="C2230">
        <v>77479063</v>
      </c>
      <c r="D2230">
        <v>16</v>
      </c>
      <c r="E2230">
        <v>30853155</v>
      </c>
      <c r="F2230" t="s">
        <v>1263</v>
      </c>
      <c r="G2230" s="1">
        <v>45234</v>
      </c>
      <c r="H2230">
        <v>5412282</v>
      </c>
      <c r="I2230">
        <v>91</v>
      </c>
      <c r="J2230" t="s">
        <v>172</v>
      </c>
      <c r="K2230" t="str">
        <f>IFERROR(IF(AND(VLOOKUP($C2230,Hes!$A:$B, 1, FALSE), $M2230&lt;&gt;" "), "Ingresada", "Falta Ingresar"), " ")</f>
        <v xml:space="preserve"> </v>
      </c>
      <c r="L2230" s="4" t="str">
        <f>IFERROR(VLOOKUP($C2230,Observaciones!$A:$B,2,FALSE)," ")</f>
        <v xml:space="preserve"> </v>
      </c>
      <c r="M2230" t="s">
        <v>681</v>
      </c>
      <c r="N2230" s="5" t="s">
        <v>841</v>
      </c>
      <c r="O2230" s="5">
        <v>30853155</v>
      </c>
      <c r="P2230" s="5">
        <v>59996</v>
      </c>
      <c r="Q2230" s="5">
        <v>11399</v>
      </c>
      <c r="R2230" s="5">
        <v>71395</v>
      </c>
    </row>
    <row r="2231" spans="1:18" x14ac:dyDescent="0.25">
      <c r="A2231" t="s">
        <v>3</v>
      </c>
      <c r="B2231" t="s">
        <v>494</v>
      </c>
      <c r="C2231">
        <v>77479063</v>
      </c>
      <c r="D2231">
        <v>8</v>
      </c>
      <c r="E2231">
        <v>30853145</v>
      </c>
      <c r="F2231" t="s">
        <v>1263</v>
      </c>
      <c r="G2231" s="1">
        <v>45236</v>
      </c>
      <c r="H2231">
        <v>5412379</v>
      </c>
      <c r="I2231">
        <v>91</v>
      </c>
      <c r="J2231" t="s">
        <v>172</v>
      </c>
      <c r="K2231" t="str">
        <f>IFERROR(IF(AND(VLOOKUP($C2231,Hes!$A:$B, 1, FALSE), $M2231&lt;&gt;" "), "Ingresada", "Falta Ingresar"), " ")</f>
        <v xml:space="preserve"> </v>
      </c>
      <c r="L2231" s="4" t="str">
        <f>IFERROR(VLOOKUP($C2231,Observaciones!$A:$B,2,FALSE)," ")</f>
        <v xml:space="preserve"> </v>
      </c>
      <c r="M2231" t="s">
        <v>681</v>
      </c>
      <c r="N2231" s="5" t="s">
        <v>841</v>
      </c>
      <c r="O2231" s="5">
        <v>30853145</v>
      </c>
      <c r="P2231" s="5">
        <v>9028</v>
      </c>
      <c r="Q2231" s="5">
        <v>1715</v>
      </c>
      <c r="R2231" s="5">
        <v>10743</v>
      </c>
    </row>
    <row r="2232" spans="1:18" x14ac:dyDescent="0.25">
      <c r="A2232" t="s">
        <v>3</v>
      </c>
      <c r="B2232" t="s">
        <v>494</v>
      </c>
      <c r="C2232">
        <v>77479063</v>
      </c>
      <c r="D2232">
        <v>1</v>
      </c>
      <c r="E2232">
        <v>30853170</v>
      </c>
      <c r="F2232" t="s">
        <v>1263</v>
      </c>
      <c r="G2232" s="1">
        <v>45234</v>
      </c>
      <c r="H2232">
        <v>5412530</v>
      </c>
      <c r="I2232">
        <v>91</v>
      </c>
      <c r="J2232" t="s">
        <v>172</v>
      </c>
      <c r="K2232" t="str">
        <f>IFERROR(IF(AND(VLOOKUP($C2232,Hes!$A:$B, 1, FALSE), $M2232&lt;&gt;" "), "Ingresada", "Falta Ingresar"), " ")</f>
        <v xml:space="preserve"> </v>
      </c>
      <c r="L2232" s="4" t="str">
        <f>IFERROR(VLOOKUP($C2232,Observaciones!$A:$B,2,FALSE)," ")</f>
        <v xml:space="preserve"> </v>
      </c>
      <c r="M2232" t="s">
        <v>681</v>
      </c>
      <c r="N2232" s="5" t="s">
        <v>841</v>
      </c>
      <c r="O2232" s="5">
        <v>30853170</v>
      </c>
      <c r="P2232" s="5">
        <v>44067</v>
      </c>
      <c r="Q2232" s="5">
        <v>8373</v>
      </c>
      <c r="R2232" s="5">
        <v>52440</v>
      </c>
    </row>
    <row r="2233" spans="1:18" x14ac:dyDescent="0.25">
      <c r="A2233" t="s">
        <v>3</v>
      </c>
      <c r="B2233" t="s">
        <v>494</v>
      </c>
      <c r="C2233">
        <v>77479063</v>
      </c>
      <c r="D2233">
        <v>1</v>
      </c>
      <c r="E2233">
        <v>30856406</v>
      </c>
      <c r="F2233" t="s">
        <v>1263</v>
      </c>
      <c r="G2233" s="1">
        <v>45237</v>
      </c>
      <c r="H2233">
        <v>5413980</v>
      </c>
      <c r="I2233">
        <v>91</v>
      </c>
      <c r="J2233" t="s">
        <v>172</v>
      </c>
      <c r="K2233" t="str">
        <f>IFERROR(IF(AND(VLOOKUP($C2233,Hes!$A:$B, 1, FALSE), $M2233&lt;&gt;" "), "Ingresada", "Falta Ingresar"), " ")</f>
        <v xml:space="preserve"> </v>
      </c>
      <c r="L2233" s="4" t="str">
        <f>IFERROR(VLOOKUP($C2233,Observaciones!$A:$B,2,FALSE)," ")</f>
        <v xml:space="preserve"> </v>
      </c>
      <c r="M2233" t="s">
        <v>681</v>
      </c>
      <c r="N2233" s="5" t="s">
        <v>841</v>
      </c>
      <c r="O2233" s="5">
        <v>30856406</v>
      </c>
      <c r="P2233" s="5">
        <v>32586</v>
      </c>
      <c r="Q2233" s="5">
        <v>6191</v>
      </c>
      <c r="R2233" s="5">
        <v>38777</v>
      </c>
    </row>
    <row r="2234" spans="1:18" x14ac:dyDescent="0.25">
      <c r="A2234" t="s">
        <v>3</v>
      </c>
      <c r="B2234" t="s">
        <v>494</v>
      </c>
      <c r="C2234">
        <v>77479063</v>
      </c>
      <c r="D2234">
        <v>16</v>
      </c>
      <c r="E2234">
        <v>30856388</v>
      </c>
      <c r="F2234" t="s">
        <v>1263</v>
      </c>
      <c r="G2234" s="1">
        <v>45237</v>
      </c>
      <c r="H2234">
        <v>5413983</v>
      </c>
      <c r="I2234">
        <v>91</v>
      </c>
      <c r="J2234" t="s">
        <v>172</v>
      </c>
      <c r="K2234" t="str">
        <f>IFERROR(IF(AND(VLOOKUP($C2234,Hes!$A:$B, 1, FALSE), $M2234&lt;&gt;" "), "Ingresada", "Falta Ingresar"), " ")</f>
        <v xml:space="preserve"> </v>
      </c>
      <c r="L2234" s="4" t="str">
        <f>IFERROR(VLOOKUP($C2234,Observaciones!$A:$B,2,FALSE)," ")</f>
        <v xml:space="preserve"> </v>
      </c>
      <c r="M2234" t="s">
        <v>681</v>
      </c>
      <c r="N2234" s="5" t="s">
        <v>841</v>
      </c>
      <c r="O2234" s="5">
        <v>30856388</v>
      </c>
      <c r="P2234" s="5">
        <v>22248</v>
      </c>
      <c r="Q2234" s="5">
        <v>4227</v>
      </c>
      <c r="R2234" s="5">
        <v>26475</v>
      </c>
    </row>
    <row r="2235" spans="1:18" x14ac:dyDescent="0.25">
      <c r="A2235" t="s">
        <v>3</v>
      </c>
      <c r="B2235" t="s">
        <v>494</v>
      </c>
      <c r="C2235">
        <v>77479063</v>
      </c>
      <c r="D2235">
        <v>15</v>
      </c>
      <c r="E2235">
        <v>30861028</v>
      </c>
      <c r="F2235" t="s">
        <v>1263</v>
      </c>
      <c r="G2235" s="1">
        <v>45237</v>
      </c>
      <c r="H2235">
        <v>5414488</v>
      </c>
      <c r="I2235">
        <v>91</v>
      </c>
      <c r="J2235" t="s">
        <v>172</v>
      </c>
      <c r="K2235" t="str">
        <f>IFERROR(IF(AND(VLOOKUP($C2235,Hes!$A:$B, 1, FALSE), $M2235&lt;&gt;" "), "Ingresada", "Falta Ingresar"), " ")</f>
        <v xml:space="preserve"> </v>
      </c>
      <c r="L2235" s="4" t="str">
        <f>IFERROR(VLOOKUP($C2235,Observaciones!$A:$B,2,FALSE)," ")</f>
        <v xml:space="preserve"> </v>
      </c>
      <c r="M2235" t="s">
        <v>681</v>
      </c>
      <c r="N2235" s="5" t="s">
        <v>841</v>
      </c>
      <c r="O2235" s="5">
        <v>30861028</v>
      </c>
      <c r="P2235" s="5">
        <v>27802</v>
      </c>
      <c r="Q2235" s="5">
        <v>5282</v>
      </c>
      <c r="R2235" s="5">
        <v>33084</v>
      </c>
    </row>
    <row r="2236" spans="1:18" x14ac:dyDescent="0.25">
      <c r="A2236" t="s">
        <v>3</v>
      </c>
      <c r="B2236" t="s">
        <v>494</v>
      </c>
      <c r="C2236">
        <v>77479063</v>
      </c>
      <c r="D2236">
        <v>14</v>
      </c>
      <c r="E2236">
        <v>30861035</v>
      </c>
      <c r="F2236" t="s">
        <v>1263</v>
      </c>
      <c r="G2236" s="1">
        <v>45237</v>
      </c>
      <c r="H2236">
        <v>5414848</v>
      </c>
      <c r="I2236">
        <v>91</v>
      </c>
      <c r="J2236" t="s">
        <v>172</v>
      </c>
      <c r="K2236" t="str">
        <f>IFERROR(IF(AND(VLOOKUP($C2236,Hes!$A:$B, 1, FALSE), $M2236&lt;&gt;" "), "Ingresada", "Falta Ingresar"), " ")</f>
        <v xml:space="preserve"> </v>
      </c>
      <c r="L2236" s="4" t="str">
        <f>IFERROR(VLOOKUP($C2236,Observaciones!$A:$B,2,FALSE)," ")</f>
        <v xml:space="preserve"> </v>
      </c>
      <c r="M2236" t="s">
        <v>681</v>
      </c>
      <c r="N2236" s="5" t="s">
        <v>841</v>
      </c>
      <c r="O2236" s="5">
        <v>30861035</v>
      </c>
      <c r="P2236" s="5">
        <v>33223</v>
      </c>
      <c r="Q2236" s="5">
        <v>6312</v>
      </c>
      <c r="R2236" s="5">
        <v>39535</v>
      </c>
    </row>
    <row r="2237" spans="1:18" x14ac:dyDescent="0.25">
      <c r="A2237" t="s">
        <v>3</v>
      </c>
      <c r="B2237" t="s">
        <v>494</v>
      </c>
      <c r="C2237">
        <v>77479063</v>
      </c>
      <c r="D2237">
        <v>9</v>
      </c>
      <c r="E2237">
        <v>30861026</v>
      </c>
      <c r="F2237" t="s">
        <v>1263</v>
      </c>
      <c r="G2237" s="1">
        <v>45237</v>
      </c>
      <c r="H2237">
        <v>5414872</v>
      </c>
      <c r="I2237">
        <v>91</v>
      </c>
      <c r="J2237" t="s">
        <v>172</v>
      </c>
      <c r="K2237" t="str">
        <f>IFERROR(IF(AND(VLOOKUP($C2237,Hes!$A:$B, 1, FALSE), $M2237&lt;&gt;" "), "Ingresada", "Falta Ingresar"), " ")</f>
        <v xml:space="preserve"> </v>
      </c>
      <c r="L2237" s="4" t="str">
        <f>IFERROR(VLOOKUP($C2237,Observaciones!$A:$B,2,FALSE)," ")</f>
        <v xml:space="preserve"> </v>
      </c>
      <c r="M2237" t="s">
        <v>681</v>
      </c>
      <c r="N2237" s="5" t="s">
        <v>841</v>
      </c>
      <c r="O2237" s="5">
        <v>30861026</v>
      </c>
      <c r="P2237" s="5">
        <v>46494</v>
      </c>
      <c r="Q2237" s="5">
        <v>8834</v>
      </c>
      <c r="R2237" s="5">
        <v>55328</v>
      </c>
    </row>
    <row r="2238" spans="1:18" x14ac:dyDescent="0.25">
      <c r="A2238" t="s">
        <v>3</v>
      </c>
      <c r="B2238" t="s">
        <v>494</v>
      </c>
      <c r="C2238">
        <v>77479063</v>
      </c>
      <c r="D2238">
        <v>19</v>
      </c>
      <c r="E2238">
        <v>30864824</v>
      </c>
      <c r="F2238" t="s">
        <v>1263</v>
      </c>
      <c r="G2238" s="1">
        <v>45238</v>
      </c>
      <c r="H2238">
        <v>5415750</v>
      </c>
      <c r="I2238">
        <v>91</v>
      </c>
      <c r="J2238" t="s">
        <v>172</v>
      </c>
      <c r="K2238" t="str">
        <f>IFERROR(IF(AND(VLOOKUP($C2238,Hes!$A:$B, 1, FALSE), $M2238&lt;&gt;" "), "Ingresada", "Falta Ingresar"), " ")</f>
        <v xml:space="preserve"> </v>
      </c>
      <c r="L2238" s="4" t="str">
        <f>IFERROR(VLOOKUP($C2238,Observaciones!$A:$B,2,FALSE)," ")</f>
        <v xml:space="preserve"> </v>
      </c>
      <c r="M2238" t="s">
        <v>681</v>
      </c>
      <c r="N2238" s="5" t="s">
        <v>841</v>
      </c>
      <c r="O2238" s="5">
        <v>30864824</v>
      </c>
      <c r="P2238" s="5">
        <v>106364</v>
      </c>
      <c r="Q2238" s="5">
        <v>20209</v>
      </c>
      <c r="R2238" s="5">
        <v>126573</v>
      </c>
    </row>
    <row r="2239" spans="1:18" x14ac:dyDescent="0.25">
      <c r="F2239" t="s">
        <v>544</v>
      </c>
      <c r="K2239" t="str">
        <f>IFERROR(IF(AND(VLOOKUP($C2239,Hes!$A:$B, 1, FALSE), $M2239&lt;&gt;" "), "Ingresada", "Falta Ingresar"), " ")</f>
        <v xml:space="preserve"> </v>
      </c>
      <c r="L2239" s="4" t="str">
        <f>IFERROR(VLOOKUP($C2239,Observaciones!$A:$B,2,FALSE)," ")</f>
        <v xml:space="preserve"> </v>
      </c>
      <c r="M2239" t="s">
        <v>681</v>
      </c>
      <c r="P2239" s="5">
        <v>555795</v>
      </c>
      <c r="Q2239" s="5">
        <v>105599</v>
      </c>
      <c r="R2239" s="5">
        <v>662822</v>
      </c>
    </row>
    <row r="2240" spans="1:18" x14ac:dyDescent="0.25">
      <c r="A2240" t="s">
        <v>503</v>
      </c>
      <c r="B2240" t="s">
        <v>494</v>
      </c>
      <c r="C2240">
        <v>77508190</v>
      </c>
      <c r="D2240">
        <v>14</v>
      </c>
      <c r="E2240">
        <v>46942</v>
      </c>
      <c r="F2240" t="s">
        <v>1264</v>
      </c>
      <c r="G2240" s="1">
        <v>45232</v>
      </c>
      <c r="H2240">
        <v>5410802</v>
      </c>
      <c r="I2240">
        <v>72</v>
      </c>
      <c r="J2240" t="s">
        <v>176</v>
      </c>
      <c r="K2240" t="str">
        <f>IFERROR(IF(AND(VLOOKUP($C2240,Hes!$A:$B, 1, FALSE), $M2240&lt;&gt;" "), "Ingresada", "Falta Ingresar"), " ")</f>
        <v xml:space="preserve"> </v>
      </c>
      <c r="L2240" s="4" t="s">
        <v>681</v>
      </c>
      <c r="M2240" t="s">
        <v>681</v>
      </c>
      <c r="O2240" s="5">
        <v>30845363</v>
      </c>
      <c r="P2240" s="5">
        <v>261477</v>
      </c>
      <c r="Q2240" s="5">
        <v>49681</v>
      </c>
      <c r="R2240" s="5">
        <v>311158</v>
      </c>
    </row>
    <row r="2241" spans="1:18" x14ac:dyDescent="0.25">
      <c r="A2241" t="s">
        <v>503</v>
      </c>
      <c r="B2241" t="s">
        <v>494</v>
      </c>
      <c r="C2241">
        <v>77508190</v>
      </c>
      <c r="D2241">
        <v>22</v>
      </c>
      <c r="E2241">
        <v>46989</v>
      </c>
      <c r="F2241" t="s">
        <v>1264</v>
      </c>
      <c r="G2241" s="1">
        <v>45234</v>
      </c>
      <c r="H2241">
        <v>5413075</v>
      </c>
      <c r="I2241">
        <v>72</v>
      </c>
      <c r="J2241" t="s">
        <v>176</v>
      </c>
      <c r="K2241" t="str">
        <f>IFERROR(IF(AND(VLOOKUP($C2241,Hes!$A:$B, 1, FALSE), $M2241&lt;&gt;" "), "Ingresada", "Falta Ingresar"), " ")</f>
        <v xml:space="preserve"> </v>
      </c>
      <c r="L2241" s="4" t="s">
        <v>681</v>
      </c>
      <c r="M2241" t="s">
        <v>681</v>
      </c>
      <c r="O2241" s="5">
        <v>30853823</v>
      </c>
      <c r="P2241" s="5">
        <v>446973</v>
      </c>
      <c r="Q2241" s="5">
        <v>84925</v>
      </c>
      <c r="R2241" s="5">
        <v>531898</v>
      </c>
    </row>
    <row r="2242" spans="1:18" x14ac:dyDescent="0.25">
      <c r="F2242" t="s">
        <v>497</v>
      </c>
      <c r="K2242" t="str">
        <f>IFERROR(IF(AND(VLOOKUP($C2242,Hes!$A:$B, 1, FALSE), $M2242&lt;&gt;" "), "Ingresada", "Falta Ingresar"), " ")</f>
        <v xml:space="preserve"> </v>
      </c>
      <c r="L2242" s="4" t="str">
        <f>IFERROR(VLOOKUP($C2242,Observaciones!$A:$B,2,FALSE)," ")</f>
        <v xml:space="preserve"> </v>
      </c>
      <c r="M2242" t="s">
        <v>681</v>
      </c>
      <c r="P2242" s="5">
        <v>708450</v>
      </c>
      <c r="Q2242" s="5">
        <v>134606</v>
      </c>
      <c r="R2242" s="5">
        <v>843056</v>
      </c>
    </row>
    <row r="2243" spans="1:18" x14ac:dyDescent="0.25">
      <c r="A2243" t="s">
        <v>881</v>
      </c>
      <c r="B2243" t="s">
        <v>508</v>
      </c>
      <c r="C2243">
        <v>77525490</v>
      </c>
      <c r="D2243">
        <v>57</v>
      </c>
      <c r="E2243">
        <v>44580</v>
      </c>
      <c r="F2243" t="s">
        <v>1265</v>
      </c>
      <c r="G2243" s="1">
        <v>45232</v>
      </c>
      <c r="H2243">
        <v>5411065</v>
      </c>
      <c r="I2243">
        <v>431</v>
      </c>
      <c r="J2243" t="s">
        <v>354</v>
      </c>
      <c r="K2243" t="str">
        <f>IFERROR(IF(AND(VLOOKUP($C2243,Hes!$A:$B, 1, FALSE), $M2243&lt;&gt;" "), "Ingresada", "Falta Ingresar"), " ")</f>
        <v xml:space="preserve"> </v>
      </c>
      <c r="L2243" s="4" t="s">
        <v>681</v>
      </c>
      <c r="M2243" t="s">
        <v>681</v>
      </c>
      <c r="O2243" s="5">
        <v>30847019</v>
      </c>
      <c r="P2243" s="5">
        <v>16190</v>
      </c>
      <c r="Q2243" s="5">
        <v>3076</v>
      </c>
      <c r="R2243" s="5">
        <v>19266</v>
      </c>
    </row>
    <row r="2244" spans="1:18" x14ac:dyDescent="0.25">
      <c r="A2244" t="s">
        <v>881</v>
      </c>
      <c r="B2244" t="s">
        <v>508</v>
      </c>
      <c r="C2244">
        <v>77525490</v>
      </c>
      <c r="D2244">
        <v>59</v>
      </c>
      <c r="E2244">
        <v>44512</v>
      </c>
      <c r="F2244" t="s">
        <v>1265</v>
      </c>
      <c r="G2244" s="1">
        <v>45233</v>
      </c>
      <c r="H2244">
        <v>5411316</v>
      </c>
      <c r="I2244">
        <v>431</v>
      </c>
      <c r="J2244" t="s">
        <v>354</v>
      </c>
      <c r="K2244" t="str">
        <f>IFERROR(IF(AND(VLOOKUP($C2244,Hes!$A:$B, 1, FALSE), $M2244&lt;&gt;" "), "Ingresada", "Falta Ingresar"), " ")</f>
        <v xml:space="preserve"> </v>
      </c>
      <c r="L2244" s="4" t="s">
        <v>681</v>
      </c>
      <c r="M2244" t="s">
        <v>681</v>
      </c>
      <c r="O2244" s="5">
        <v>30824364</v>
      </c>
      <c r="P2244" s="5">
        <v>11500</v>
      </c>
      <c r="Q2244" s="5">
        <v>2185</v>
      </c>
      <c r="R2244" s="5">
        <v>13685</v>
      </c>
    </row>
    <row r="2245" spans="1:18" x14ac:dyDescent="0.25">
      <c r="A2245" t="s">
        <v>881</v>
      </c>
      <c r="B2245" t="s">
        <v>508</v>
      </c>
      <c r="C2245">
        <v>77525490</v>
      </c>
      <c r="D2245">
        <v>59</v>
      </c>
      <c r="E2245">
        <v>44582</v>
      </c>
      <c r="F2245" t="s">
        <v>1265</v>
      </c>
      <c r="G2245" s="1">
        <v>45233</v>
      </c>
      <c r="H2245">
        <v>5411360</v>
      </c>
      <c r="I2245">
        <v>431</v>
      </c>
      <c r="J2245" t="s">
        <v>354</v>
      </c>
      <c r="K2245" t="str">
        <f>IFERROR(IF(AND(VLOOKUP($C2245,Hes!$A:$B, 1, FALSE), $M2245&lt;&gt;" "), "Ingresada", "Falta Ingresar"), " ")</f>
        <v xml:space="preserve"> </v>
      </c>
      <c r="L2245" s="4" t="s">
        <v>681</v>
      </c>
      <c r="M2245" t="s">
        <v>681</v>
      </c>
      <c r="O2245" s="5">
        <v>30848366</v>
      </c>
      <c r="P2245" s="5">
        <v>4074</v>
      </c>
      <c r="Q2245" s="5">
        <v>774</v>
      </c>
      <c r="R2245" s="5">
        <v>4848</v>
      </c>
    </row>
    <row r="2246" spans="1:18" x14ac:dyDescent="0.25">
      <c r="F2246" t="s">
        <v>500</v>
      </c>
      <c r="K2246" t="str">
        <f>IFERROR(IF(AND(VLOOKUP($C2246,Hes!$A:$B, 1, FALSE), $M2246&lt;&gt;" "), "Ingresada", "Falta Ingresar"), " ")</f>
        <v xml:space="preserve"> </v>
      </c>
      <c r="L2246" s="4" t="str">
        <f>IFERROR(VLOOKUP($C2246,Observaciones!$A:$B,2,FALSE)," ")</f>
        <v xml:space="preserve"> </v>
      </c>
      <c r="M2246" t="s">
        <v>681</v>
      </c>
      <c r="P2246" s="5">
        <v>31764</v>
      </c>
      <c r="Q2246" s="5">
        <v>6035</v>
      </c>
      <c r="R2246" s="5">
        <v>37799</v>
      </c>
    </row>
    <row r="2247" spans="1:18" x14ac:dyDescent="0.25">
      <c r="A2247" t="s">
        <v>3</v>
      </c>
      <c r="B2247" t="s">
        <v>494</v>
      </c>
      <c r="C2247">
        <v>77575984</v>
      </c>
      <c r="D2247">
        <v>26</v>
      </c>
      <c r="E2247">
        <v>30849427</v>
      </c>
      <c r="F2247" t="s">
        <v>1266</v>
      </c>
      <c r="G2247" s="1">
        <v>45233</v>
      </c>
      <c r="H2247">
        <v>5411717</v>
      </c>
      <c r="I2247">
        <v>44</v>
      </c>
      <c r="J2247" t="s">
        <v>148</v>
      </c>
      <c r="K2247" s="8" t="str">
        <f>IFERROR(IF(AND(VLOOKUP($C2247,Hes!$A:$B, 1, FALSE), $M2247&lt;&gt;" "), "Ingresada", "Falta Ingresar"), " ")</f>
        <v>Falta Ingresar</v>
      </c>
      <c r="L2247" s="4" t="str">
        <f>IFERROR(VLOOKUP($C2247,Observaciones!$A:$B,2,FALSE)," ")</f>
        <v xml:space="preserve"> </v>
      </c>
      <c r="M2247" t="s">
        <v>681</v>
      </c>
      <c r="N2247" s="5" t="s">
        <v>841</v>
      </c>
      <c r="O2247" s="5">
        <v>30849427</v>
      </c>
      <c r="P2247" s="5">
        <v>180069</v>
      </c>
      <c r="Q2247" s="5">
        <v>34213</v>
      </c>
      <c r="R2247" s="5">
        <v>214282</v>
      </c>
    </row>
    <row r="2248" spans="1:18" x14ac:dyDescent="0.25">
      <c r="A2248" t="s">
        <v>3</v>
      </c>
      <c r="B2248" t="s">
        <v>494</v>
      </c>
      <c r="C2248">
        <v>77575984</v>
      </c>
      <c r="D2248">
        <v>26</v>
      </c>
      <c r="E2248">
        <v>30849427</v>
      </c>
      <c r="F2248" t="s">
        <v>1266</v>
      </c>
      <c r="G2248" s="1">
        <v>45233</v>
      </c>
      <c r="H2248">
        <v>5411718</v>
      </c>
      <c r="I2248">
        <v>44</v>
      </c>
      <c r="J2248" t="s">
        <v>148</v>
      </c>
      <c r="K2248" s="8" t="str">
        <f>IFERROR(IF(AND(VLOOKUP($C2248,Hes!$A:$B, 1, FALSE), $M2248&lt;&gt;" "), "Ingresada", "Falta Ingresar"), " ")</f>
        <v>Falta Ingresar</v>
      </c>
      <c r="L2248" s="4" t="str">
        <f>IFERROR(VLOOKUP($C2248,Observaciones!$A:$B,2,FALSE)," ")</f>
        <v xml:space="preserve"> </v>
      </c>
      <c r="M2248" t="s">
        <v>681</v>
      </c>
      <c r="N2248" s="5" t="s">
        <v>841</v>
      </c>
      <c r="O2248" s="5">
        <v>30849427</v>
      </c>
      <c r="P2248" s="5">
        <v>19882</v>
      </c>
      <c r="Q2248" s="5">
        <v>3778</v>
      </c>
      <c r="R2248" s="5">
        <v>23660</v>
      </c>
    </row>
    <row r="2249" spans="1:18" x14ac:dyDescent="0.25">
      <c r="A2249" t="s">
        <v>3</v>
      </c>
      <c r="B2249" t="s">
        <v>494</v>
      </c>
      <c r="C2249">
        <v>77575984</v>
      </c>
      <c r="D2249">
        <v>26</v>
      </c>
      <c r="E2249">
        <v>30849427</v>
      </c>
      <c r="F2249" t="s">
        <v>1266</v>
      </c>
      <c r="G2249" s="1">
        <v>45236</v>
      </c>
      <c r="H2249">
        <v>5413795</v>
      </c>
      <c r="I2249">
        <v>44</v>
      </c>
      <c r="J2249" t="s">
        <v>148</v>
      </c>
      <c r="K2249" s="8" t="str">
        <f>IFERROR(IF(AND(VLOOKUP($C2249,Hes!$A:$B, 1, FALSE), $M2249&lt;&gt;" "), "Ingresada", "Falta Ingresar"), " ")</f>
        <v>Falta Ingresar</v>
      </c>
      <c r="L2249" s="4" t="str">
        <f>IFERROR(VLOOKUP($C2249,Observaciones!$A:$B,2,FALSE)," ")</f>
        <v xml:space="preserve"> </v>
      </c>
      <c r="M2249" t="s">
        <v>681</v>
      </c>
      <c r="N2249" s="5" t="s">
        <v>841</v>
      </c>
      <c r="O2249" s="5">
        <v>30853813</v>
      </c>
      <c r="P2249" s="5">
        <v>180069</v>
      </c>
      <c r="Q2249" s="5">
        <v>34213</v>
      </c>
      <c r="R2249" s="5">
        <v>214282</v>
      </c>
    </row>
    <row r="2250" spans="1:18" x14ac:dyDescent="0.25">
      <c r="A2250" t="s">
        <v>3</v>
      </c>
      <c r="B2250" t="s">
        <v>494</v>
      </c>
      <c r="C2250">
        <v>77575984</v>
      </c>
      <c r="D2250">
        <v>26</v>
      </c>
      <c r="E2250">
        <v>30849427</v>
      </c>
      <c r="F2250" t="s">
        <v>1266</v>
      </c>
      <c r="G2250" s="1">
        <v>45236</v>
      </c>
      <c r="H2250">
        <v>5413796</v>
      </c>
      <c r="I2250">
        <v>44</v>
      </c>
      <c r="J2250" t="s">
        <v>148</v>
      </c>
      <c r="K2250" s="8" t="str">
        <f>IFERROR(IF(AND(VLOOKUP($C2250,Hes!$A:$B, 1, FALSE), $M2250&lt;&gt;" "), "Ingresada", "Falta Ingresar"), " ")</f>
        <v>Falta Ingresar</v>
      </c>
      <c r="L2250" s="4" t="str">
        <f>IFERROR(VLOOKUP($C2250,Observaciones!$A:$B,2,FALSE)," ")</f>
        <v xml:space="preserve"> </v>
      </c>
      <c r="M2250" t="s">
        <v>681</v>
      </c>
      <c r="N2250" s="5" t="s">
        <v>841</v>
      </c>
      <c r="O2250" s="5">
        <v>30853813</v>
      </c>
      <c r="P2250" s="5">
        <v>19882</v>
      </c>
      <c r="Q2250" s="5">
        <v>3778</v>
      </c>
      <c r="R2250" s="5">
        <v>23660</v>
      </c>
    </row>
    <row r="2251" spans="1:18" x14ac:dyDescent="0.25">
      <c r="A2251" t="s">
        <v>3</v>
      </c>
      <c r="B2251" t="s">
        <v>494</v>
      </c>
      <c r="C2251">
        <v>77575984</v>
      </c>
      <c r="D2251">
        <v>37</v>
      </c>
      <c r="E2251">
        <v>30860191</v>
      </c>
      <c r="F2251" t="s">
        <v>1266</v>
      </c>
      <c r="G2251" s="1">
        <v>45237</v>
      </c>
      <c r="H2251">
        <v>5414278</v>
      </c>
      <c r="I2251">
        <v>44</v>
      </c>
      <c r="J2251" t="s">
        <v>148</v>
      </c>
      <c r="K2251" s="8" t="str">
        <f>IFERROR(IF(AND(VLOOKUP($C2251,Hes!$A:$B, 1, FALSE), $M2251&lt;&gt;" "), "Ingresada", "Falta Ingresar"), " ")</f>
        <v>Falta Ingresar</v>
      </c>
      <c r="L2251" s="4" t="str">
        <f>IFERROR(VLOOKUP($C2251,Observaciones!$A:$B,2,FALSE)," ")</f>
        <v xml:space="preserve"> </v>
      </c>
      <c r="M2251" t="s">
        <v>681</v>
      </c>
      <c r="N2251" s="5" t="s">
        <v>841</v>
      </c>
      <c r="O2251" s="5">
        <v>30860191</v>
      </c>
      <c r="P2251" s="5">
        <v>562665</v>
      </c>
      <c r="Q2251" s="5">
        <v>106906</v>
      </c>
      <c r="R2251" s="5">
        <v>669571</v>
      </c>
    </row>
    <row r="2252" spans="1:18" x14ac:dyDescent="0.25">
      <c r="A2252" t="s">
        <v>3</v>
      </c>
      <c r="B2252" t="s">
        <v>494</v>
      </c>
      <c r="C2252">
        <v>77575984</v>
      </c>
      <c r="D2252">
        <v>30</v>
      </c>
      <c r="E2252">
        <v>30829867</v>
      </c>
      <c r="F2252" t="s">
        <v>1266</v>
      </c>
      <c r="G2252" s="1">
        <v>45237</v>
      </c>
      <c r="H2252">
        <v>5414471</v>
      </c>
      <c r="I2252">
        <v>44</v>
      </c>
      <c r="J2252" t="s">
        <v>148</v>
      </c>
      <c r="K2252" s="8" t="str">
        <f>IFERROR(IF(AND(VLOOKUP($C2252,Hes!$A:$B, 1, FALSE), $M2252&lt;&gt;" "), "Ingresada", "Falta Ingresar"), " ")</f>
        <v>Falta Ingresar</v>
      </c>
      <c r="L2252" s="4" t="str">
        <f>IFERROR(VLOOKUP($C2252,Observaciones!$A:$B,2,FALSE)," ")</f>
        <v xml:space="preserve"> </v>
      </c>
      <c r="M2252" t="s">
        <v>681</v>
      </c>
      <c r="N2252" s="5" t="s">
        <v>841</v>
      </c>
      <c r="O2252" s="5">
        <v>30829867</v>
      </c>
      <c r="P2252" s="5">
        <v>2346791</v>
      </c>
      <c r="Q2252" s="5">
        <v>445890</v>
      </c>
      <c r="R2252" s="5">
        <v>2792681</v>
      </c>
    </row>
    <row r="2253" spans="1:18" x14ac:dyDescent="0.25">
      <c r="A2253" t="s">
        <v>3</v>
      </c>
      <c r="B2253" t="s">
        <v>494</v>
      </c>
      <c r="C2253">
        <v>77575984</v>
      </c>
      <c r="D2253">
        <v>37</v>
      </c>
      <c r="E2253">
        <v>30865748</v>
      </c>
      <c r="F2253" t="s">
        <v>1266</v>
      </c>
      <c r="G2253" s="1">
        <v>45238</v>
      </c>
      <c r="H2253">
        <v>5415770</v>
      </c>
      <c r="I2253">
        <v>44</v>
      </c>
      <c r="J2253" t="s">
        <v>148</v>
      </c>
      <c r="K2253" s="8" t="str">
        <f>IFERROR(IF(AND(VLOOKUP($C2253,Hes!$A:$B, 1, FALSE), $M2253&lt;&gt;" "), "Ingresada", "Falta Ingresar"), " ")</f>
        <v>Falta Ingresar</v>
      </c>
      <c r="L2253" s="4" t="str">
        <f>IFERROR(VLOOKUP($C2253,Observaciones!$A:$B,2,FALSE)," ")</f>
        <v xml:space="preserve"> </v>
      </c>
      <c r="M2253" t="s">
        <v>681</v>
      </c>
      <c r="N2253" s="5" t="s">
        <v>841</v>
      </c>
      <c r="O2253" s="5">
        <v>30865748</v>
      </c>
      <c r="P2253" s="5">
        <v>341408</v>
      </c>
      <c r="Q2253" s="5">
        <v>64868</v>
      </c>
      <c r="R2253" s="5">
        <v>406276</v>
      </c>
    </row>
    <row r="2254" spans="1:18" x14ac:dyDescent="0.25">
      <c r="F2254" t="s">
        <v>537</v>
      </c>
      <c r="K2254" t="str">
        <f>IFERROR(IF(AND(VLOOKUP($C2254,Hes!$A:$B, 1, FALSE), $M2254&lt;&gt;" "), "Ingresada", "Falta Ingresar"), " ")</f>
        <v xml:space="preserve"> </v>
      </c>
      <c r="L2254" s="4" t="str">
        <f>IFERROR(VLOOKUP($C2254,Observaciones!$A:$B,2,FALSE)," ")</f>
        <v xml:space="preserve"> </v>
      </c>
      <c r="M2254" t="s">
        <v>681</v>
      </c>
      <c r="P2254" s="5">
        <v>3650766</v>
      </c>
      <c r="Q2254" s="5">
        <v>693646</v>
      </c>
      <c r="R2254" s="5">
        <v>4344412</v>
      </c>
    </row>
    <row r="2255" spans="1:18" x14ac:dyDescent="0.25">
      <c r="A2255" t="s">
        <v>501</v>
      </c>
      <c r="B2255" t="s">
        <v>494</v>
      </c>
      <c r="C2255">
        <v>77596940</v>
      </c>
      <c r="D2255">
        <v>0</v>
      </c>
      <c r="E2255" t="s">
        <v>1267</v>
      </c>
      <c r="F2255" t="s">
        <v>1268</v>
      </c>
      <c r="G2255" s="1">
        <v>45232</v>
      </c>
      <c r="H2255">
        <v>5411095</v>
      </c>
      <c r="I2255">
        <v>132</v>
      </c>
      <c r="J2255" t="s">
        <v>416</v>
      </c>
      <c r="K2255" t="str">
        <f>IFERROR(IF(AND(VLOOKUP($C2255,Hes!$A:$B, 1, FALSE), $M2255&lt;&gt;" "), "Ingresada", "Falta Ingresar"), " ")</f>
        <v xml:space="preserve"> </v>
      </c>
      <c r="L2255" s="4" t="str">
        <f>IFERROR(VLOOKUP($C2255,Observaciones!$A:$B,2,FALSE)," ")</f>
        <v xml:space="preserve"> </v>
      </c>
      <c r="M2255" t="s">
        <v>681</v>
      </c>
      <c r="O2255" s="5">
        <v>30824150</v>
      </c>
      <c r="P2255" s="5">
        <v>153702</v>
      </c>
      <c r="Q2255" s="5">
        <v>29203</v>
      </c>
      <c r="R2255" s="5">
        <v>182905</v>
      </c>
    </row>
    <row r="2256" spans="1:18" x14ac:dyDescent="0.25">
      <c r="F2256" t="s">
        <v>495</v>
      </c>
      <c r="K2256" t="str">
        <f>IFERROR(IF(AND(VLOOKUP($C2256,Hes!$A:$B, 1, FALSE), $M2256&lt;&gt;" "), "Ingresada", "Falta Ingresar"), " ")</f>
        <v xml:space="preserve"> </v>
      </c>
      <c r="L2256" s="4" t="str">
        <f>IFERROR(VLOOKUP($C2256,Observaciones!$A:$B,2,FALSE)," ")</f>
        <v xml:space="preserve"> </v>
      </c>
      <c r="M2256" t="s">
        <v>681</v>
      </c>
      <c r="P2256" s="5">
        <v>153702</v>
      </c>
      <c r="Q2256" s="5">
        <v>29203</v>
      </c>
      <c r="R2256" s="5">
        <v>182905</v>
      </c>
    </row>
    <row r="2257" spans="1:18" x14ac:dyDescent="0.25">
      <c r="A2257" t="s">
        <v>501</v>
      </c>
      <c r="B2257" t="s">
        <v>494</v>
      </c>
      <c r="C2257">
        <v>77630810</v>
      </c>
      <c r="D2257">
        <v>52</v>
      </c>
      <c r="E2257">
        <v>30845907</v>
      </c>
      <c r="F2257" t="s">
        <v>1269</v>
      </c>
      <c r="G2257" s="1">
        <v>45232</v>
      </c>
      <c r="H2257">
        <v>5410777</v>
      </c>
      <c r="I2257">
        <v>44</v>
      </c>
      <c r="J2257" t="s">
        <v>148</v>
      </c>
      <c r="K2257" t="str">
        <f>IFERROR(IF(AND(VLOOKUP($C2257,Hes!$A:$B, 1, FALSE), $M2257&lt;&gt;" "), "Ingresada", "Falta Ingresar"), " ")</f>
        <v xml:space="preserve"> </v>
      </c>
      <c r="L2257" s="4" t="str">
        <f>IFERROR(VLOOKUP($C2257,Observaciones!$A:$B,2,FALSE)," ")</f>
        <v xml:space="preserve"> </v>
      </c>
      <c r="M2257" t="s">
        <v>681</v>
      </c>
      <c r="O2257" s="5">
        <v>30845907</v>
      </c>
      <c r="P2257" s="5">
        <v>176839</v>
      </c>
      <c r="Q2257" s="5">
        <v>33599</v>
      </c>
      <c r="R2257" s="5">
        <v>210438</v>
      </c>
    </row>
    <row r="2258" spans="1:18" x14ac:dyDescent="0.25">
      <c r="A2258" t="s">
        <v>501</v>
      </c>
      <c r="B2258" t="s">
        <v>494</v>
      </c>
      <c r="C2258">
        <v>77630810</v>
      </c>
      <c r="D2258">
        <v>61</v>
      </c>
      <c r="E2258">
        <v>30849793</v>
      </c>
      <c r="F2258" t="s">
        <v>1269</v>
      </c>
      <c r="G2258" s="1">
        <v>45233</v>
      </c>
      <c r="H2258">
        <v>5411462</v>
      </c>
      <c r="I2258">
        <v>44</v>
      </c>
      <c r="J2258" t="s">
        <v>148</v>
      </c>
      <c r="K2258" t="str">
        <f>IFERROR(IF(AND(VLOOKUP($C2258,Hes!$A:$B, 1, FALSE), $M2258&lt;&gt;" "), "Ingresada", "Falta Ingresar"), " ")</f>
        <v xml:space="preserve"> </v>
      </c>
      <c r="L2258" s="4" t="str">
        <f>IFERROR(VLOOKUP($C2258,Observaciones!$A:$B,2,FALSE)," ")</f>
        <v xml:space="preserve"> </v>
      </c>
      <c r="M2258" t="s">
        <v>681</v>
      </c>
      <c r="O2258" s="5">
        <v>30849793</v>
      </c>
      <c r="P2258" s="5">
        <v>42797</v>
      </c>
      <c r="Q2258" s="5">
        <v>8131</v>
      </c>
      <c r="R2258" s="5">
        <v>50928</v>
      </c>
    </row>
    <row r="2259" spans="1:18" x14ac:dyDescent="0.25">
      <c r="A2259" t="s">
        <v>501</v>
      </c>
      <c r="B2259" t="s">
        <v>494</v>
      </c>
      <c r="C2259">
        <v>77630810</v>
      </c>
      <c r="D2259">
        <v>54</v>
      </c>
      <c r="E2259">
        <v>30841103</v>
      </c>
      <c r="F2259" t="s">
        <v>1269</v>
      </c>
      <c r="G2259" s="1">
        <v>45236</v>
      </c>
      <c r="H2259">
        <v>5412019</v>
      </c>
      <c r="I2259">
        <v>44</v>
      </c>
      <c r="J2259" t="s">
        <v>148</v>
      </c>
      <c r="K2259" t="str">
        <f>IFERROR(IF(AND(VLOOKUP($C2259,Hes!$A:$B, 1, FALSE), $M2259&lt;&gt;" "), "Ingresada", "Falta Ingresar"), " ")</f>
        <v xml:space="preserve"> </v>
      </c>
      <c r="L2259" s="4" t="str">
        <f>IFERROR(VLOOKUP($C2259,Observaciones!$A:$B,2,FALSE)," ")</f>
        <v xml:space="preserve"> </v>
      </c>
      <c r="M2259" t="s">
        <v>681</v>
      </c>
      <c r="O2259" s="5">
        <v>30841103</v>
      </c>
      <c r="P2259" s="5">
        <v>286933</v>
      </c>
      <c r="Q2259" s="5">
        <v>54517</v>
      </c>
      <c r="R2259" s="5">
        <v>341450</v>
      </c>
    </row>
    <row r="2260" spans="1:18" x14ac:dyDescent="0.25">
      <c r="A2260" t="s">
        <v>501</v>
      </c>
      <c r="B2260" t="s">
        <v>494</v>
      </c>
      <c r="C2260">
        <v>77630810</v>
      </c>
      <c r="D2260">
        <v>60</v>
      </c>
      <c r="E2260">
        <v>30862976</v>
      </c>
      <c r="F2260" t="s">
        <v>1269</v>
      </c>
      <c r="G2260" s="1">
        <v>45238</v>
      </c>
      <c r="H2260">
        <v>5415528</v>
      </c>
      <c r="I2260">
        <v>44</v>
      </c>
      <c r="J2260" t="s">
        <v>148</v>
      </c>
      <c r="K2260" t="str">
        <f>IFERROR(IF(AND(VLOOKUP($C2260,Hes!$A:$B, 1, FALSE), $M2260&lt;&gt;" "), "Ingresada", "Falta Ingresar"), " ")</f>
        <v xml:space="preserve"> </v>
      </c>
      <c r="L2260" s="4" t="str">
        <f>IFERROR(VLOOKUP($C2260,Observaciones!$A:$B,2,FALSE)," ")</f>
        <v xml:space="preserve"> </v>
      </c>
      <c r="M2260" t="s">
        <v>681</v>
      </c>
      <c r="O2260" s="5">
        <v>30862976</v>
      </c>
      <c r="P2260" s="5">
        <v>541448</v>
      </c>
      <c r="Q2260" s="5">
        <v>102875</v>
      </c>
      <c r="R2260" s="5">
        <v>644323</v>
      </c>
    </row>
    <row r="2261" spans="1:18" x14ac:dyDescent="0.25">
      <c r="A2261" t="s">
        <v>501</v>
      </c>
      <c r="B2261" t="s">
        <v>494</v>
      </c>
      <c r="C2261">
        <v>77630810</v>
      </c>
      <c r="D2261">
        <v>85</v>
      </c>
      <c r="E2261">
        <v>30841946</v>
      </c>
      <c r="F2261" t="s">
        <v>1269</v>
      </c>
      <c r="G2261" s="1">
        <v>45238</v>
      </c>
      <c r="H2261">
        <v>5415565</v>
      </c>
      <c r="I2261">
        <v>44</v>
      </c>
      <c r="J2261" t="s">
        <v>148</v>
      </c>
      <c r="K2261" t="str">
        <f>IFERROR(IF(AND(VLOOKUP($C2261,Hes!$A:$B, 1, FALSE), $M2261&lt;&gt;" "), "Ingresada", "Falta Ingresar"), " ")</f>
        <v xml:space="preserve"> </v>
      </c>
      <c r="L2261" s="4" t="str">
        <f>IFERROR(VLOOKUP($C2261,Observaciones!$A:$B,2,FALSE)," ")</f>
        <v xml:space="preserve"> </v>
      </c>
      <c r="M2261" t="s">
        <v>681</v>
      </c>
      <c r="O2261" s="5">
        <v>30864828</v>
      </c>
      <c r="P2261" s="5">
        <v>367781</v>
      </c>
      <c r="Q2261" s="5">
        <v>69878</v>
      </c>
      <c r="R2261" s="5">
        <v>437659</v>
      </c>
    </row>
    <row r="2262" spans="1:18" x14ac:dyDescent="0.25">
      <c r="F2262" t="s">
        <v>499</v>
      </c>
      <c r="K2262" t="str">
        <f>IFERROR(IF(AND(VLOOKUP($C2262,Hes!$A:$B, 1, FALSE), $M2262&lt;&gt;" "), "Ingresada", "Falta Ingresar"), " ")</f>
        <v xml:space="preserve"> </v>
      </c>
      <c r="L2262" s="4" t="str">
        <f>IFERROR(VLOOKUP($C2262,Observaciones!$A:$B,2,FALSE)," ")</f>
        <v xml:space="preserve"> </v>
      </c>
      <c r="M2262" t="s">
        <v>681</v>
      </c>
      <c r="P2262" s="5">
        <v>1415798</v>
      </c>
      <c r="Q2262" s="5">
        <v>269000</v>
      </c>
      <c r="R2262" s="5">
        <v>1684798</v>
      </c>
    </row>
    <row r="2263" spans="1:18" x14ac:dyDescent="0.25">
      <c r="A2263" t="s">
        <v>513</v>
      </c>
      <c r="B2263" t="s">
        <v>494</v>
      </c>
      <c r="C2263">
        <v>77664990</v>
      </c>
      <c r="D2263">
        <v>2</v>
      </c>
      <c r="E2263">
        <v>30847240</v>
      </c>
      <c r="F2263" t="s">
        <v>1270</v>
      </c>
      <c r="G2263" s="1">
        <v>45232</v>
      </c>
      <c r="H2263">
        <v>5411079</v>
      </c>
      <c r="I2263">
        <v>150</v>
      </c>
      <c r="J2263" t="s">
        <v>121</v>
      </c>
      <c r="K2263" t="str">
        <f>IFERROR(IF(AND(VLOOKUP($C2263,Hes!$A:$B, 1, FALSE), $M2263&lt;&gt;" "), "Ingresada", "Falta Ingresar"), " ")</f>
        <v xml:space="preserve"> </v>
      </c>
      <c r="L2263" s="4" t="s">
        <v>681</v>
      </c>
      <c r="M2263" t="s">
        <v>681</v>
      </c>
      <c r="O2263" s="5">
        <v>30847240</v>
      </c>
      <c r="P2263" s="5">
        <v>175696</v>
      </c>
      <c r="Q2263" s="5">
        <v>33382</v>
      </c>
      <c r="R2263" s="5">
        <v>209078</v>
      </c>
    </row>
    <row r="2264" spans="1:18" x14ac:dyDescent="0.25">
      <c r="A2264" t="s">
        <v>513</v>
      </c>
      <c r="B2264" t="s">
        <v>494</v>
      </c>
      <c r="C2264">
        <v>77664990</v>
      </c>
      <c r="D2264">
        <v>2</v>
      </c>
      <c r="E2264">
        <v>30847240</v>
      </c>
      <c r="F2264" t="s">
        <v>1270</v>
      </c>
      <c r="G2264" s="1">
        <v>45232</v>
      </c>
      <c r="H2264">
        <v>5411080</v>
      </c>
      <c r="I2264">
        <v>150</v>
      </c>
      <c r="J2264" t="s">
        <v>121</v>
      </c>
      <c r="K2264" t="str">
        <f>IFERROR(IF(AND(VLOOKUP($C2264,Hes!$A:$B, 1, FALSE), $M2264&lt;&gt;" "), "Ingresada", "Falta Ingresar"), " ")</f>
        <v xml:space="preserve"> </v>
      </c>
      <c r="L2264" s="4" t="s">
        <v>681</v>
      </c>
      <c r="M2264" t="s">
        <v>681</v>
      </c>
      <c r="O2264" s="5">
        <v>30847240</v>
      </c>
      <c r="P2264" s="5">
        <v>17254</v>
      </c>
      <c r="Q2264" s="5">
        <v>3278</v>
      </c>
      <c r="R2264" s="5">
        <v>20532</v>
      </c>
    </row>
    <row r="2265" spans="1:18" x14ac:dyDescent="0.25">
      <c r="A2265" t="s">
        <v>513</v>
      </c>
      <c r="B2265" t="s">
        <v>494</v>
      </c>
      <c r="C2265">
        <v>77664990</v>
      </c>
      <c r="D2265">
        <v>0</v>
      </c>
      <c r="E2265">
        <v>30847083</v>
      </c>
      <c r="F2265" t="s">
        <v>1270</v>
      </c>
      <c r="G2265" s="1">
        <v>45233</v>
      </c>
      <c r="H2265">
        <v>5411265</v>
      </c>
      <c r="I2265">
        <v>150</v>
      </c>
      <c r="J2265" t="s">
        <v>121</v>
      </c>
      <c r="K2265" t="str">
        <f>IFERROR(IF(AND(VLOOKUP($C2265,Hes!$A:$B, 1, FALSE), $M2265&lt;&gt;" "), "Ingresada", "Falta Ingresar"), " ")</f>
        <v xml:space="preserve"> </v>
      </c>
      <c r="L2265" s="4" t="s">
        <v>681</v>
      </c>
      <c r="M2265" t="s">
        <v>681</v>
      </c>
      <c r="O2265" s="5">
        <v>30847083</v>
      </c>
      <c r="P2265" s="5">
        <v>25696</v>
      </c>
      <c r="Q2265" s="5">
        <v>4882</v>
      </c>
      <c r="R2265" s="5">
        <v>30578</v>
      </c>
    </row>
    <row r="2266" spans="1:18" x14ac:dyDescent="0.25">
      <c r="A2266" t="s">
        <v>513</v>
      </c>
      <c r="B2266" t="s">
        <v>494</v>
      </c>
      <c r="C2266">
        <v>77664990</v>
      </c>
      <c r="D2266">
        <v>7</v>
      </c>
      <c r="E2266">
        <v>30858869</v>
      </c>
      <c r="F2266" t="s">
        <v>1270</v>
      </c>
      <c r="G2266" s="1">
        <v>45237</v>
      </c>
      <c r="H2266">
        <v>5414069</v>
      </c>
      <c r="I2266">
        <v>150</v>
      </c>
      <c r="J2266" t="s">
        <v>121</v>
      </c>
      <c r="K2266" t="str">
        <f>IFERROR(IF(AND(VLOOKUP($C2266,Hes!$A:$B, 1, FALSE), $M2266&lt;&gt;" "), "Ingresada", "Falta Ingresar"), " ")</f>
        <v xml:space="preserve"> </v>
      </c>
      <c r="L2266" s="4" t="s">
        <v>681</v>
      </c>
      <c r="M2266" t="s">
        <v>681</v>
      </c>
      <c r="O2266" s="5">
        <v>30858869</v>
      </c>
      <c r="P2266" s="5">
        <v>67010</v>
      </c>
      <c r="Q2266" s="5">
        <v>12732</v>
      </c>
      <c r="R2266" s="5">
        <v>79742</v>
      </c>
    </row>
    <row r="2267" spans="1:18" x14ac:dyDescent="0.25">
      <c r="A2267" t="s">
        <v>513</v>
      </c>
      <c r="B2267" t="s">
        <v>494</v>
      </c>
      <c r="C2267">
        <v>77664990</v>
      </c>
      <c r="D2267">
        <v>1</v>
      </c>
      <c r="E2267">
        <v>30859041</v>
      </c>
      <c r="F2267" t="s">
        <v>1270</v>
      </c>
      <c r="G2267" s="1">
        <v>45237</v>
      </c>
      <c r="H2267">
        <v>5414267</v>
      </c>
      <c r="I2267">
        <v>150</v>
      </c>
      <c r="J2267" t="s">
        <v>121</v>
      </c>
      <c r="K2267" t="str">
        <f>IFERROR(IF(AND(VLOOKUP($C2267,Hes!$A:$B, 1, FALSE), $M2267&lt;&gt;" "), "Ingresada", "Falta Ingresar"), " ")</f>
        <v xml:space="preserve"> </v>
      </c>
      <c r="L2267" s="4" t="s">
        <v>681</v>
      </c>
      <c r="M2267" t="s">
        <v>681</v>
      </c>
      <c r="O2267" s="5">
        <v>30859041</v>
      </c>
      <c r="P2267" s="5">
        <v>145055</v>
      </c>
      <c r="Q2267" s="5">
        <v>27560</v>
      </c>
      <c r="R2267" s="5">
        <v>172615</v>
      </c>
    </row>
    <row r="2268" spans="1:18" x14ac:dyDescent="0.25">
      <c r="A2268" t="s">
        <v>513</v>
      </c>
      <c r="B2268" t="s">
        <v>494</v>
      </c>
      <c r="C2268">
        <v>77664990</v>
      </c>
      <c r="D2268">
        <v>0</v>
      </c>
      <c r="E2268">
        <v>30860666</v>
      </c>
      <c r="F2268" t="s">
        <v>1270</v>
      </c>
      <c r="G2268" s="1">
        <v>45237</v>
      </c>
      <c r="H2268">
        <v>5414330</v>
      </c>
      <c r="I2268">
        <v>150</v>
      </c>
      <c r="J2268" t="s">
        <v>121</v>
      </c>
      <c r="K2268" t="str">
        <f>IFERROR(IF(AND(VLOOKUP($C2268,Hes!$A:$B, 1, FALSE), $M2268&lt;&gt;" "), "Ingresada", "Falta Ingresar"), " ")</f>
        <v xml:space="preserve"> </v>
      </c>
      <c r="L2268" s="4" t="s">
        <v>681</v>
      </c>
      <c r="M2268" t="s">
        <v>681</v>
      </c>
      <c r="O2268" s="5">
        <v>30860666</v>
      </c>
      <c r="P2268" s="5">
        <v>28674</v>
      </c>
      <c r="Q2268" s="5">
        <v>5448</v>
      </c>
      <c r="R2268" s="5">
        <v>34122</v>
      </c>
    </row>
    <row r="2269" spans="1:18" x14ac:dyDescent="0.25">
      <c r="F2269" t="s">
        <v>523</v>
      </c>
      <c r="K2269" t="str">
        <f>IFERROR(IF(AND(VLOOKUP($C2269,Hes!$A:$B, 1, FALSE), $M2269&lt;&gt;" "), "Ingresada", "Falta Ingresar"), " ")</f>
        <v xml:space="preserve"> </v>
      </c>
      <c r="L2269" s="4" t="str">
        <f>IFERROR(VLOOKUP($C2269,Observaciones!$A:$B,2,FALSE)," ")</f>
        <v xml:space="preserve"> </v>
      </c>
      <c r="M2269" t="s">
        <v>681</v>
      </c>
      <c r="P2269" s="5">
        <v>459385</v>
      </c>
      <c r="Q2269" s="5">
        <v>87282</v>
      </c>
      <c r="R2269" s="5">
        <v>546667</v>
      </c>
    </row>
    <row r="2270" spans="1:18" x14ac:dyDescent="0.25">
      <c r="A2270" t="s">
        <v>496</v>
      </c>
      <c r="B2270" t="s">
        <v>509</v>
      </c>
      <c r="C2270">
        <v>77687110</v>
      </c>
      <c r="D2270">
        <v>0</v>
      </c>
      <c r="E2270">
        <v>1249</v>
      </c>
      <c r="F2270" t="s">
        <v>1271</v>
      </c>
      <c r="G2270" s="1">
        <v>45236</v>
      </c>
      <c r="H2270">
        <v>5413658</v>
      </c>
      <c r="I2270">
        <v>364</v>
      </c>
      <c r="J2270" t="s">
        <v>194</v>
      </c>
      <c r="K2270" t="str">
        <f>IFERROR(IF(AND(VLOOKUP($C2270,Hes!$A:$B, 1, FALSE), $M2270&lt;&gt;" "), "Ingresada", "Falta Ingresar"), " ")</f>
        <v xml:space="preserve"> </v>
      </c>
      <c r="L2270" s="4" t="s">
        <v>681</v>
      </c>
      <c r="M2270" t="s">
        <v>681</v>
      </c>
      <c r="O2270" s="5">
        <v>30855757</v>
      </c>
      <c r="P2270" s="5">
        <v>150840</v>
      </c>
      <c r="Q2270" s="5">
        <v>28660</v>
      </c>
      <c r="R2270" s="5">
        <v>179500</v>
      </c>
    </row>
    <row r="2271" spans="1:18" x14ac:dyDescent="0.25">
      <c r="F2271" t="s">
        <v>495</v>
      </c>
      <c r="K2271" t="str">
        <f>IFERROR(IF(AND(VLOOKUP($C2271,Hes!$A:$B, 1, FALSE), $M2271&lt;&gt;" "), "Ingresada", "Falta Ingresar"), " ")</f>
        <v xml:space="preserve"> </v>
      </c>
      <c r="L2271" s="4" t="str">
        <f>IFERROR(VLOOKUP($C2271,Observaciones!$A:$B,2,FALSE)," ")</f>
        <v xml:space="preserve"> </v>
      </c>
      <c r="M2271" t="s">
        <v>681</v>
      </c>
      <c r="P2271" s="5">
        <v>150840</v>
      </c>
      <c r="Q2271" s="5">
        <v>28660</v>
      </c>
      <c r="R2271" s="5">
        <v>179500</v>
      </c>
    </row>
    <row r="2272" spans="1:18" x14ac:dyDescent="0.25">
      <c r="A2272" t="s">
        <v>496</v>
      </c>
      <c r="B2272" t="s">
        <v>494</v>
      </c>
      <c r="C2272">
        <v>77695987</v>
      </c>
      <c r="D2272">
        <v>0</v>
      </c>
      <c r="E2272">
        <v>23100339</v>
      </c>
      <c r="F2272" t="s">
        <v>1272</v>
      </c>
      <c r="G2272" s="1">
        <v>45234</v>
      </c>
      <c r="H2272">
        <v>5411759</v>
      </c>
      <c r="I2272">
        <v>82</v>
      </c>
      <c r="J2272" t="s">
        <v>238</v>
      </c>
      <c r="K2272" s="8" t="str">
        <f>IFERROR(IF(AND(VLOOKUP($C2272,Hes!$A:$B, 1, FALSE), $M2272&lt;&gt;" "), "Ingresada", "Falta Ingresar"), " ")</f>
        <v>Falta Ingresar</v>
      </c>
      <c r="L2272" s="4" t="str">
        <f>IFERROR(VLOOKUP($C2272,Observaciones!$A:$B,2,FALSE)," ")</f>
        <v xml:space="preserve"> </v>
      </c>
      <c r="M2272" t="s">
        <v>681</v>
      </c>
      <c r="N2272" s="5" t="s">
        <v>841</v>
      </c>
      <c r="O2272" s="5">
        <v>30777070</v>
      </c>
      <c r="P2272" s="5">
        <v>268985</v>
      </c>
      <c r="Q2272" s="5">
        <v>51107</v>
      </c>
      <c r="R2272" s="5">
        <v>320092</v>
      </c>
    </row>
    <row r="2273" spans="1:18" x14ac:dyDescent="0.25">
      <c r="A2273" t="s">
        <v>496</v>
      </c>
      <c r="B2273" t="s">
        <v>494</v>
      </c>
      <c r="C2273">
        <v>77695987</v>
      </c>
      <c r="D2273">
        <v>0</v>
      </c>
      <c r="E2273">
        <v>23100396</v>
      </c>
      <c r="F2273" t="s">
        <v>1272</v>
      </c>
      <c r="G2273" s="1">
        <v>45234</v>
      </c>
      <c r="H2273">
        <v>5411761</v>
      </c>
      <c r="I2273">
        <v>82</v>
      </c>
      <c r="J2273" t="s">
        <v>238</v>
      </c>
      <c r="K2273" s="8" t="str">
        <f>IFERROR(IF(AND(VLOOKUP($C2273,Hes!$A:$B, 1, FALSE), $M2273&lt;&gt;" "), "Ingresada", "Falta Ingresar"), " ")</f>
        <v>Falta Ingresar</v>
      </c>
      <c r="L2273" s="4" t="str">
        <f>IFERROR(VLOOKUP($C2273,Observaciones!$A:$B,2,FALSE)," ")</f>
        <v xml:space="preserve"> </v>
      </c>
      <c r="M2273" t="s">
        <v>681</v>
      </c>
      <c r="N2273" s="5" t="s">
        <v>841</v>
      </c>
      <c r="O2273" s="5">
        <v>30850211</v>
      </c>
      <c r="P2273" s="5">
        <v>45000</v>
      </c>
      <c r="Q2273" s="5">
        <v>8550</v>
      </c>
      <c r="R2273" s="5">
        <v>53550</v>
      </c>
    </row>
    <row r="2274" spans="1:18" x14ac:dyDescent="0.25">
      <c r="A2274" t="s">
        <v>496</v>
      </c>
      <c r="B2274" t="s">
        <v>494</v>
      </c>
      <c r="C2274">
        <v>77695987</v>
      </c>
      <c r="D2274">
        <v>0</v>
      </c>
      <c r="E2274">
        <v>23100396</v>
      </c>
      <c r="F2274" t="s">
        <v>1272</v>
      </c>
      <c r="G2274" s="1">
        <v>45234</v>
      </c>
      <c r="H2274">
        <v>5411763</v>
      </c>
      <c r="I2274">
        <v>82</v>
      </c>
      <c r="J2274" t="s">
        <v>238</v>
      </c>
      <c r="K2274" s="8" t="str">
        <f>IFERROR(IF(AND(VLOOKUP($C2274,Hes!$A:$B, 1, FALSE), $M2274&lt;&gt;" "), "Ingresada", "Falta Ingresar"), " ")</f>
        <v>Falta Ingresar</v>
      </c>
      <c r="L2274" s="4" t="str">
        <f>IFERROR(VLOOKUP($C2274,Observaciones!$A:$B,2,FALSE)," ")</f>
        <v xml:space="preserve"> </v>
      </c>
      <c r="M2274" t="s">
        <v>681</v>
      </c>
      <c r="N2274" s="5" t="s">
        <v>841</v>
      </c>
      <c r="O2274" s="5">
        <v>30842703</v>
      </c>
      <c r="P2274" s="5">
        <v>757703</v>
      </c>
      <c r="Q2274" s="5">
        <v>143964</v>
      </c>
      <c r="R2274" s="5">
        <v>901667</v>
      </c>
    </row>
    <row r="2275" spans="1:18" x14ac:dyDescent="0.25">
      <c r="F2275" t="s">
        <v>500</v>
      </c>
      <c r="K2275" t="str">
        <f>IFERROR(IF(AND(VLOOKUP($C2275,Hes!$A:$B, 1, FALSE), $M2275&lt;&gt;" "), "Ingresada", "Falta Ingresar"), " ")</f>
        <v xml:space="preserve"> </v>
      </c>
      <c r="L2275" s="4" t="str">
        <f>IFERROR(VLOOKUP($C2275,Observaciones!$A:$B,2,FALSE)," ")</f>
        <v xml:space="preserve"> </v>
      </c>
      <c r="M2275" t="s">
        <v>681</v>
      </c>
      <c r="P2275" s="5">
        <v>1071688</v>
      </c>
      <c r="Q2275" s="5">
        <v>203621</v>
      </c>
      <c r="R2275" s="5">
        <v>1275309</v>
      </c>
    </row>
    <row r="2276" spans="1:18" x14ac:dyDescent="0.25">
      <c r="A2276" t="s">
        <v>522</v>
      </c>
      <c r="B2276" t="s">
        <v>494</v>
      </c>
      <c r="C2276">
        <v>77721870</v>
      </c>
      <c r="D2276">
        <v>16</v>
      </c>
      <c r="E2276">
        <v>30840805</v>
      </c>
      <c r="F2276" t="s">
        <v>1273</v>
      </c>
      <c r="G2276" s="1">
        <v>45231</v>
      </c>
      <c r="H2276">
        <v>5410616</v>
      </c>
      <c r="I2276">
        <v>52</v>
      </c>
      <c r="J2276" t="s">
        <v>311</v>
      </c>
      <c r="K2276" t="str">
        <f>IFERROR(IF(AND(VLOOKUP($C2276,Hes!$A:$B, 1, FALSE), $M2276&lt;&gt;" "), "Ingresada", "Falta Ingresar"), " ")</f>
        <v xml:space="preserve"> </v>
      </c>
      <c r="L2276" s="4" t="s">
        <v>681</v>
      </c>
      <c r="M2276" t="s">
        <v>681</v>
      </c>
      <c r="O2276" s="5">
        <v>30840805</v>
      </c>
      <c r="P2276" s="5">
        <v>24949</v>
      </c>
      <c r="Q2276" s="5">
        <v>4740</v>
      </c>
      <c r="R2276" s="5">
        <v>29689</v>
      </c>
    </row>
    <row r="2277" spans="1:18" x14ac:dyDescent="0.25">
      <c r="A2277" t="s">
        <v>522</v>
      </c>
      <c r="B2277" t="s">
        <v>494</v>
      </c>
      <c r="C2277">
        <v>77721870</v>
      </c>
      <c r="D2277">
        <v>7</v>
      </c>
      <c r="E2277">
        <v>30851303</v>
      </c>
      <c r="F2277" t="s">
        <v>1273</v>
      </c>
      <c r="G2277" s="1">
        <v>45236</v>
      </c>
      <c r="H2277">
        <v>5412334</v>
      </c>
      <c r="I2277">
        <v>52</v>
      </c>
      <c r="J2277" t="s">
        <v>311</v>
      </c>
      <c r="K2277" t="str">
        <f>IFERROR(IF(AND(VLOOKUP($C2277,Hes!$A:$B, 1, FALSE), $M2277&lt;&gt;" "), "Ingresada", "Falta Ingresar"), " ")</f>
        <v xml:space="preserve"> </v>
      </c>
      <c r="L2277" s="4" t="s">
        <v>681</v>
      </c>
      <c r="M2277" t="s">
        <v>681</v>
      </c>
      <c r="O2277" s="5">
        <v>30851303</v>
      </c>
      <c r="P2277" s="5">
        <v>46677</v>
      </c>
      <c r="Q2277" s="5">
        <v>8869</v>
      </c>
      <c r="R2277" s="5">
        <v>55546</v>
      </c>
    </row>
    <row r="2278" spans="1:18" x14ac:dyDescent="0.25">
      <c r="A2278" t="s">
        <v>522</v>
      </c>
      <c r="B2278" t="s">
        <v>494</v>
      </c>
      <c r="C2278">
        <v>77721870</v>
      </c>
      <c r="D2278">
        <v>10</v>
      </c>
      <c r="E2278">
        <v>30856228</v>
      </c>
      <c r="F2278" t="s">
        <v>1273</v>
      </c>
      <c r="G2278" s="1">
        <v>45236</v>
      </c>
      <c r="H2278">
        <v>5413081</v>
      </c>
      <c r="I2278">
        <v>52</v>
      </c>
      <c r="J2278" t="s">
        <v>311</v>
      </c>
      <c r="K2278" t="str">
        <f>IFERROR(IF(AND(VLOOKUP($C2278,Hes!$A:$B, 1, FALSE), $M2278&lt;&gt;" "), "Ingresada", "Falta Ingresar"), " ")</f>
        <v xml:space="preserve"> </v>
      </c>
      <c r="L2278" s="4" t="s">
        <v>681</v>
      </c>
      <c r="M2278" t="s">
        <v>681</v>
      </c>
      <c r="O2278" s="5">
        <v>30856228</v>
      </c>
      <c r="P2278" s="5">
        <v>53366</v>
      </c>
      <c r="Q2278" s="5">
        <v>10140</v>
      </c>
      <c r="R2278" s="5">
        <v>63506</v>
      </c>
    </row>
    <row r="2279" spans="1:18" x14ac:dyDescent="0.25">
      <c r="A2279" t="s">
        <v>522</v>
      </c>
      <c r="B2279" t="s">
        <v>494</v>
      </c>
      <c r="C2279">
        <v>77721870</v>
      </c>
      <c r="D2279">
        <v>8</v>
      </c>
      <c r="E2279">
        <v>30857042</v>
      </c>
      <c r="F2279" t="s">
        <v>1273</v>
      </c>
      <c r="G2279" s="1">
        <v>45236</v>
      </c>
      <c r="H2279">
        <v>5413569</v>
      </c>
      <c r="I2279">
        <v>52</v>
      </c>
      <c r="J2279" t="s">
        <v>311</v>
      </c>
      <c r="K2279" t="str">
        <f>IFERROR(IF(AND(VLOOKUP($C2279,Hes!$A:$B, 1, FALSE), $M2279&lt;&gt;" "), "Ingresada", "Falta Ingresar"), " ")</f>
        <v xml:space="preserve"> </v>
      </c>
      <c r="L2279" s="4" t="s">
        <v>681</v>
      </c>
      <c r="M2279" t="s">
        <v>681</v>
      </c>
      <c r="O2279" s="5">
        <v>30857042</v>
      </c>
      <c r="P2279" s="5">
        <v>99884</v>
      </c>
      <c r="Q2279" s="5">
        <v>18978</v>
      </c>
      <c r="R2279" s="5">
        <v>118862</v>
      </c>
    </row>
    <row r="2280" spans="1:18" x14ac:dyDescent="0.25">
      <c r="A2280" t="s">
        <v>522</v>
      </c>
      <c r="B2280" t="s">
        <v>494</v>
      </c>
      <c r="C2280">
        <v>77721870</v>
      </c>
      <c r="D2280">
        <v>14</v>
      </c>
      <c r="E2280">
        <v>30862729</v>
      </c>
      <c r="F2280" t="s">
        <v>1273</v>
      </c>
      <c r="G2280" s="1">
        <v>45238</v>
      </c>
      <c r="H2280">
        <v>5415797</v>
      </c>
      <c r="I2280">
        <v>52</v>
      </c>
      <c r="J2280" t="s">
        <v>311</v>
      </c>
      <c r="K2280" t="str">
        <f>IFERROR(IF(AND(VLOOKUP($C2280,Hes!$A:$B, 1, FALSE), $M2280&lt;&gt;" "), "Ingresada", "Falta Ingresar"), " ")</f>
        <v xml:space="preserve"> </v>
      </c>
      <c r="L2280" s="4" t="s">
        <v>681</v>
      </c>
      <c r="M2280" t="s">
        <v>681</v>
      </c>
      <c r="O2280" s="5">
        <v>30862729</v>
      </c>
      <c r="P2280" s="5">
        <v>35701</v>
      </c>
      <c r="Q2280" s="5">
        <v>6783</v>
      </c>
      <c r="R2280" s="5">
        <v>42484</v>
      </c>
    </row>
    <row r="2281" spans="1:18" x14ac:dyDescent="0.25">
      <c r="F2281" t="s">
        <v>499</v>
      </c>
      <c r="K2281" t="str">
        <f>IFERROR(IF(AND(VLOOKUP($C2281,Hes!$A:$B, 1, FALSE), $M2281&lt;&gt;" "), "Ingresada", "Falta Ingresar"), " ")</f>
        <v xml:space="preserve"> </v>
      </c>
      <c r="L2281" s="4" t="str">
        <f>IFERROR(VLOOKUP($C2281,Observaciones!$A:$B,2,FALSE)," ")</f>
        <v xml:space="preserve"> </v>
      </c>
      <c r="M2281" t="s">
        <v>681</v>
      </c>
      <c r="P2281" s="5">
        <v>260577</v>
      </c>
      <c r="Q2281" s="5">
        <v>49510</v>
      </c>
      <c r="R2281" s="5">
        <v>310087</v>
      </c>
    </row>
    <row r="2282" spans="1:18" x14ac:dyDescent="0.25">
      <c r="A2282" t="s">
        <v>513</v>
      </c>
      <c r="B2282" t="s">
        <v>509</v>
      </c>
      <c r="C2282">
        <v>77757050</v>
      </c>
      <c r="D2282">
        <v>0</v>
      </c>
      <c r="E2282">
        <v>13444</v>
      </c>
      <c r="F2282" t="s">
        <v>1274</v>
      </c>
      <c r="G2282" s="1">
        <v>45237</v>
      </c>
      <c r="H2282">
        <v>5413951</v>
      </c>
      <c r="I2282">
        <v>82</v>
      </c>
      <c r="J2282" t="s">
        <v>238</v>
      </c>
      <c r="K2282" t="str">
        <f>IFERROR(IF(AND(VLOOKUP($C2282,Hes!$A:$B, 1, FALSE), $M2282&lt;&gt;" "), "Ingresada", "Falta Ingresar"), " ")</f>
        <v xml:space="preserve"> </v>
      </c>
      <c r="L2282" s="4" t="s">
        <v>681</v>
      </c>
      <c r="M2282" t="s">
        <v>681</v>
      </c>
      <c r="O2282" s="5">
        <v>30855944</v>
      </c>
      <c r="P2282" s="5">
        <v>273827</v>
      </c>
      <c r="Q2282" s="5">
        <v>52027</v>
      </c>
      <c r="R2282" s="5">
        <v>325854</v>
      </c>
    </row>
    <row r="2283" spans="1:18" x14ac:dyDescent="0.25">
      <c r="A2283" t="s">
        <v>513</v>
      </c>
      <c r="B2283" t="s">
        <v>509</v>
      </c>
      <c r="C2283">
        <v>77757050</v>
      </c>
      <c r="D2283">
        <v>0</v>
      </c>
      <c r="E2283">
        <v>13443</v>
      </c>
      <c r="F2283" t="s">
        <v>1274</v>
      </c>
      <c r="G2283" s="1">
        <v>45237</v>
      </c>
      <c r="H2283">
        <v>5414079</v>
      </c>
      <c r="I2283">
        <v>82</v>
      </c>
      <c r="J2283" t="s">
        <v>238</v>
      </c>
      <c r="K2283" t="str">
        <f>IFERROR(IF(AND(VLOOKUP($C2283,Hes!$A:$B, 1, FALSE), $M2283&lt;&gt;" "), "Ingresada", "Falta Ingresar"), " ")</f>
        <v xml:space="preserve"> </v>
      </c>
      <c r="L2283" s="4" t="s">
        <v>681</v>
      </c>
      <c r="M2283" t="s">
        <v>681</v>
      </c>
      <c r="O2283" s="5">
        <v>30855980</v>
      </c>
      <c r="P2283" s="5">
        <v>52902</v>
      </c>
      <c r="Q2283" s="5">
        <v>10051</v>
      </c>
      <c r="R2283" s="5">
        <v>62953</v>
      </c>
    </row>
    <row r="2284" spans="1:18" x14ac:dyDescent="0.25">
      <c r="A2284" t="s">
        <v>513</v>
      </c>
      <c r="B2284" t="s">
        <v>509</v>
      </c>
      <c r="C2284">
        <v>77757050</v>
      </c>
      <c r="D2284">
        <v>0</v>
      </c>
      <c r="E2284">
        <v>13441</v>
      </c>
      <c r="F2284" t="s">
        <v>1274</v>
      </c>
      <c r="G2284" s="1">
        <v>45238</v>
      </c>
      <c r="H2284">
        <v>5414935</v>
      </c>
      <c r="I2284">
        <v>82</v>
      </c>
      <c r="J2284" t="s">
        <v>238</v>
      </c>
      <c r="K2284" t="str">
        <f>IFERROR(IF(AND(VLOOKUP($C2284,Hes!$A:$B, 1, FALSE), $M2284&lt;&gt;" "), "Ingresada", "Falta Ingresar"), " ")</f>
        <v xml:space="preserve"> </v>
      </c>
      <c r="L2284" s="4" t="s">
        <v>681</v>
      </c>
      <c r="M2284" t="s">
        <v>681</v>
      </c>
      <c r="O2284" s="5">
        <v>30855965</v>
      </c>
      <c r="P2284" s="5">
        <v>79805</v>
      </c>
      <c r="Q2284" s="5">
        <v>15163</v>
      </c>
      <c r="R2284" s="5">
        <v>94968</v>
      </c>
    </row>
    <row r="2285" spans="1:18" x14ac:dyDescent="0.25">
      <c r="A2285" t="s">
        <v>513</v>
      </c>
      <c r="B2285" t="s">
        <v>509</v>
      </c>
      <c r="C2285">
        <v>77757050</v>
      </c>
      <c r="D2285">
        <v>0</v>
      </c>
      <c r="E2285">
        <v>13445</v>
      </c>
      <c r="F2285" t="s">
        <v>1274</v>
      </c>
      <c r="G2285" s="1">
        <v>45238</v>
      </c>
      <c r="H2285">
        <v>5415181</v>
      </c>
      <c r="I2285">
        <v>82</v>
      </c>
      <c r="J2285" t="s">
        <v>238</v>
      </c>
      <c r="K2285" t="str">
        <f>IFERROR(IF(AND(VLOOKUP($C2285,Hes!$A:$B, 1, FALSE), $M2285&lt;&gt;" "), "Ingresada", "Falta Ingresar"), " ")</f>
        <v xml:space="preserve"> </v>
      </c>
      <c r="L2285" s="4" t="s">
        <v>681</v>
      </c>
      <c r="M2285" t="s">
        <v>681</v>
      </c>
      <c r="O2285" s="5">
        <v>30855934</v>
      </c>
      <c r="P2285" s="5">
        <v>79974</v>
      </c>
      <c r="Q2285" s="5">
        <v>15195</v>
      </c>
      <c r="R2285" s="5">
        <v>95169</v>
      </c>
    </row>
    <row r="2286" spans="1:18" x14ac:dyDescent="0.25">
      <c r="F2286" t="s">
        <v>498</v>
      </c>
      <c r="K2286" t="str">
        <f>IFERROR(IF(AND(VLOOKUP($C2286,Hes!$A:$B, 1, FALSE), $M2286&lt;&gt;" "), "Ingresada", "Falta Ingresar"), " ")</f>
        <v xml:space="preserve"> </v>
      </c>
      <c r="L2286" s="4" t="str">
        <f>IFERROR(VLOOKUP($C2286,Observaciones!$A:$B,2,FALSE)," ")</f>
        <v xml:space="preserve"> </v>
      </c>
      <c r="M2286" t="s">
        <v>681</v>
      </c>
      <c r="P2286" s="5">
        <v>486508</v>
      </c>
      <c r="Q2286" s="5">
        <v>92436</v>
      </c>
      <c r="R2286" s="5">
        <v>578944</v>
      </c>
    </row>
    <row r="2287" spans="1:18" x14ac:dyDescent="0.25">
      <c r="A2287" t="s">
        <v>496</v>
      </c>
      <c r="B2287" t="s">
        <v>494</v>
      </c>
      <c r="C2287">
        <v>77807840</v>
      </c>
      <c r="D2287">
        <v>8</v>
      </c>
      <c r="E2287">
        <v>4501465814</v>
      </c>
      <c r="F2287" t="s">
        <v>579</v>
      </c>
      <c r="G2287" s="1">
        <v>45236</v>
      </c>
      <c r="H2287">
        <v>5413773</v>
      </c>
      <c r="I2287">
        <v>42</v>
      </c>
      <c r="J2287" t="s">
        <v>297</v>
      </c>
      <c r="K2287" s="8" t="str">
        <f>IFERROR(IF(AND(VLOOKUP($C2287,Hes!$A:$B, 1, FALSE), $M2287&lt;&gt;" "), "Ingresada", "Falta Ingresar"), " ")</f>
        <v>Falta Ingresar</v>
      </c>
      <c r="L2287" s="4" t="str">
        <f>IFERROR(VLOOKUP($C2287,Observaciones!$A:$B,2,FALSE)," ")</f>
        <v>XOC Y CC</v>
      </c>
      <c r="M2287" t="s">
        <v>681</v>
      </c>
      <c r="N2287" s="5" t="s">
        <v>841</v>
      </c>
      <c r="O2287" s="5">
        <v>30857116</v>
      </c>
      <c r="P2287" s="5">
        <v>79859</v>
      </c>
      <c r="Q2287" s="5">
        <v>15173</v>
      </c>
      <c r="R2287" s="5">
        <v>95032</v>
      </c>
    </row>
    <row r="2288" spans="1:18" x14ac:dyDescent="0.25">
      <c r="F2288" t="s">
        <v>495</v>
      </c>
      <c r="K2288" t="str">
        <f>IFERROR(IF(AND(VLOOKUP($C2288,Hes!$A:$B, 1, FALSE), $M2288&lt;&gt;" "), "Ingresada", "Falta Ingresar"), " ")</f>
        <v xml:space="preserve"> </v>
      </c>
      <c r="L2288" s="4" t="str">
        <f>IFERROR(VLOOKUP($C2288,Observaciones!$A:$B,2,FALSE)," ")</f>
        <v xml:space="preserve"> </v>
      </c>
      <c r="M2288" t="s">
        <v>681</v>
      </c>
      <c r="P2288" s="5">
        <v>79859</v>
      </c>
      <c r="Q2288" s="5">
        <v>15173</v>
      </c>
      <c r="R2288" s="5">
        <v>95032</v>
      </c>
    </row>
    <row r="2289" spans="1:18" x14ac:dyDescent="0.25">
      <c r="A2289" t="s">
        <v>501</v>
      </c>
      <c r="B2289" t="s">
        <v>494</v>
      </c>
      <c r="C2289">
        <v>77826220</v>
      </c>
      <c r="D2289">
        <v>0</v>
      </c>
      <c r="E2289">
        <v>4400027112</v>
      </c>
      <c r="F2289" t="s">
        <v>1275</v>
      </c>
      <c r="G2289" s="1">
        <v>45233</v>
      </c>
      <c r="H2289">
        <v>5411747</v>
      </c>
      <c r="I2289">
        <v>134</v>
      </c>
      <c r="J2289" t="s">
        <v>208</v>
      </c>
      <c r="K2289" t="str">
        <f>IFERROR(IF(AND(VLOOKUP($C2289,Hes!$A:$B, 1, FALSE), $M2289&lt;&gt;" "), "Ingresada", "Falta Ingresar"), " ")</f>
        <v xml:space="preserve"> </v>
      </c>
      <c r="L2289" s="4" t="str">
        <f>IFERROR(VLOOKUP($C2289,Observaciones!$A:$B,2,FALSE)," ")</f>
        <v xml:space="preserve"> </v>
      </c>
      <c r="M2289" t="s">
        <v>681</v>
      </c>
      <c r="O2289" s="5">
        <v>30849236</v>
      </c>
      <c r="P2289" s="5">
        <v>125456</v>
      </c>
      <c r="Q2289" s="5">
        <v>23837</v>
      </c>
      <c r="R2289" s="5">
        <v>149293</v>
      </c>
    </row>
    <row r="2290" spans="1:18" x14ac:dyDescent="0.25">
      <c r="F2290" t="s">
        <v>495</v>
      </c>
      <c r="K2290" t="str">
        <f>IFERROR(IF(AND(VLOOKUP($C2290,Hes!$A:$B, 1, FALSE), $M2290&lt;&gt;" "), "Ingresada", "Falta Ingresar"), " ")</f>
        <v xml:space="preserve"> </v>
      </c>
      <c r="L2290" s="4" t="str">
        <f>IFERROR(VLOOKUP($C2290,Observaciones!$A:$B,2,FALSE)," ")</f>
        <v xml:space="preserve"> </v>
      </c>
      <c r="M2290" t="s">
        <v>681</v>
      </c>
      <c r="P2290" s="5">
        <v>125456</v>
      </c>
      <c r="Q2290" s="5">
        <v>23837</v>
      </c>
      <c r="R2290" s="5">
        <v>149293</v>
      </c>
    </row>
    <row r="2291" spans="1:18" x14ac:dyDescent="0.25">
      <c r="A2291" t="s">
        <v>513</v>
      </c>
      <c r="B2291" t="s">
        <v>494</v>
      </c>
      <c r="C2291">
        <v>77856200</v>
      </c>
      <c r="D2291">
        <v>0</v>
      </c>
      <c r="E2291">
        <v>5900004005</v>
      </c>
      <c r="F2291" t="s">
        <v>1276</v>
      </c>
      <c r="G2291" s="1">
        <v>45236</v>
      </c>
      <c r="H2291">
        <v>5411945</v>
      </c>
      <c r="I2291">
        <v>71</v>
      </c>
      <c r="J2291" t="s">
        <v>250</v>
      </c>
      <c r="K2291" t="str">
        <f>IFERROR(IF(AND(VLOOKUP($C2291,Hes!$A:$B, 1, FALSE), $M2291&lt;&gt;" "), "Ingresada", "Falta Ingresar"), " ")</f>
        <v xml:space="preserve"> </v>
      </c>
      <c r="L2291" s="4" t="str">
        <f>IFERROR(VLOOKUP($C2291,Observaciones!$A:$B,2,FALSE)," ")</f>
        <v>XOC Y CC</v>
      </c>
      <c r="M2291" t="s">
        <v>681</v>
      </c>
      <c r="O2291" s="5">
        <v>30849114</v>
      </c>
      <c r="P2291" s="5">
        <v>31250</v>
      </c>
      <c r="Q2291" s="5">
        <v>5938</v>
      </c>
      <c r="R2291" s="5">
        <v>37188</v>
      </c>
    </row>
    <row r="2292" spans="1:18" x14ac:dyDescent="0.25">
      <c r="F2292" t="s">
        <v>495</v>
      </c>
      <c r="K2292" t="str">
        <f>IFERROR(IF(AND(VLOOKUP($C2292,Hes!$A:$B, 1, FALSE), $M2292&lt;&gt;" "), "Ingresada", "Falta Ingresar"), " ")</f>
        <v xml:space="preserve"> </v>
      </c>
      <c r="L2292" s="4" t="str">
        <f>IFERROR(VLOOKUP($C2292,Observaciones!$A:$B,2,FALSE)," ")</f>
        <v xml:space="preserve"> </v>
      </c>
      <c r="M2292" t="s">
        <v>681</v>
      </c>
      <c r="P2292" s="5">
        <v>31250</v>
      </c>
      <c r="Q2292" s="5">
        <v>5938</v>
      </c>
      <c r="R2292" s="5">
        <v>37188</v>
      </c>
    </row>
    <row r="2293" spans="1:18" x14ac:dyDescent="0.25">
      <c r="A2293" t="s">
        <v>501</v>
      </c>
      <c r="B2293" t="s">
        <v>494</v>
      </c>
      <c r="C2293">
        <v>77894990</v>
      </c>
      <c r="D2293">
        <v>13</v>
      </c>
      <c r="E2293">
        <v>30842637</v>
      </c>
      <c r="F2293" t="s">
        <v>1277</v>
      </c>
      <c r="G2293" s="1">
        <v>45231</v>
      </c>
      <c r="H2293">
        <v>5410663</v>
      </c>
      <c r="I2293">
        <v>192</v>
      </c>
      <c r="J2293" t="s">
        <v>378</v>
      </c>
      <c r="K2293" t="str">
        <f>IFERROR(IF(AND(VLOOKUP($C2293,Hes!$A:$B, 1, FALSE), $M2293&lt;&gt;" "), "Ingresada", "Falta Ingresar"), " ")</f>
        <v xml:space="preserve"> </v>
      </c>
      <c r="L2293" s="4" t="str">
        <f>IFERROR(VLOOKUP($C2293,Observaciones!$A:$B,2,FALSE)," ")</f>
        <v xml:space="preserve"> </v>
      </c>
      <c r="M2293" t="s">
        <v>681</v>
      </c>
      <c r="O2293" s="5">
        <v>30842637</v>
      </c>
      <c r="P2293" s="5">
        <v>164236</v>
      </c>
      <c r="Q2293" s="5">
        <v>31205</v>
      </c>
      <c r="R2293" s="5">
        <v>195441</v>
      </c>
    </row>
    <row r="2294" spans="1:18" x14ac:dyDescent="0.25">
      <c r="A2294" t="s">
        <v>501</v>
      </c>
      <c r="B2294" t="s">
        <v>494</v>
      </c>
      <c r="C2294">
        <v>77894990</v>
      </c>
      <c r="D2294">
        <v>6</v>
      </c>
      <c r="E2294">
        <v>30842647</v>
      </c>
      <c r="F2294" t="s">
        <v>1277</v>
      </c>
      <c r="G2294" s="1">
        <v>45231</v>
      </c>
      <c r="H2294">
        <v>5410664</v>
      </c>
      <c r="I2294">
        <v>192</v>
      </c>
      <c r="J2294" t="s">
        <v>378</v>
      </c>
      <c r="K2294" t="str">
        <f>IFERROR(IF(AND(VLOOKUP($C2294,Hes!$A:$B, 1, FALSE), $M2294&lt;&gt;" "), "Ingresada", "Falta Ingresar"), " ")</f>
        <v xml:space="preserve"> </v>
      </c>
      <c r="L2294" s="4" t="str">
        <f>IFERROR(VLOOKUP($C2294,Observaciones!$A:$B,2,FALSE)," ")</f>
        <v xml:space="preserve"> </v>
      </c>
      <c r="M2294" t="s">
        <v>681</v>
      </c>
      <c r="O2294" s="5">
        <v>30842647</v>
      </c>
      <c r="P2294" s="5">
        <v>138784</v>
      </c>
      <c r="Q2294" s="5">
        <v>26369</v>
      </c>
      <c r="R2294" s="5">
        <v>165153</v>
      </c>
    </row>
    <row r="2295" spans="1:18" x14ac:dyDescent="0.25">
      <c r="A2295" t="s">
        <v>501</v>
      </c>
      <c r="B2295" t="s">
        <v>494</v>
      </c>
      <c r="C2295">
        <v>77894990</v>
      </c>
      <c r="D2295">
        <v>9</v>
      </c>
      <c r="E2295">
        <v>30849150</v>
      </c>
      <c r="F2295" t="s">
        <v>1277</v>
      </c>
      <c r="G2295" s="1">
        <v>45236</v>
      </c>
      <c r="H2295">
        <v>5412419</v>
      </c>
      <c r="I2295">
        <v>192</v>
      </c>
      <c r="J2295" t="s">
        <v>378</v>
      </c>
      <c r="K2295" t="str">
        <f>IFERROR(IF(AND(VLOOKUP($C2295,Hes!$A:$B, 1, FALSE), $M2295&lt;&gt;" "), "Ingresada", "Falta Ingresar"), " ")</f>
        <v xml:space="preserve"> </v>
      </c>
      <c r="L2295" s="4" t="str">
        <f>IFERROR(VLOOKUP($C2295,Observaciones!$A:$B,2,FALSE)," ")</f>
        <v xml:space="preserve"> </v>
      </c>
      <c r="M2295" t="s">
        <v>681</v>
      </c>
      <c r="O2295" s="5">
        <v>30849150</v>
      </c>
      <c r="P2295" s="5">
        <v>394967</v>
      </c>
      <c r="Q2295" s="5">
        <v>75044</v>
      </c>
      <c r="R2295" s="5">
        <v>470011</v>
      </c>
    </row>
    <row r="2296" spans="1:18" x14ac:dyDescent="0.25">
      <c r="A2296" t="s">
        <v>501</v>
      </c>
      <c r="B2296" t="s">
        <v>494</v>
      </c>
      <c r="C2296">
        <v>77894990</v>
      </c>
      <c r="D2296">
        <v>17</v>
      </c>
      <c r="E2296">
        <v>30853790</v>
      </c>
      <c r="F2296" t="s">
        <v>1277</v>
      </c>
      <c r="G2296" s="1">
        <v>45236</v>
      </c>
      <c r="H2296">
        <v>5412871</v>
      </c>
      <c r="I2296">
        <v>192</v>
      </c>
      <c r="J2296" t="s">
        <v>378</v>
      </c>
      <c r="K2296" t="str">
        <f>IFERROR(IF(AND(VLOOKUP($C2296,Hes!$A:$B, 1, FALSE), $M2296&lt;&gt;" "), "Ingresada", "Falta Ingresar"), " ")</f>
        <v xml:space="preserve"> </v>
      </c>
      <c r="L2296" s="4" t="str">
        <f>IFERROR(VLOOKUP($C2296,Observaciones!$A:$B,2,FALSE)," ")</f>
        <v xml:space="preserve"> </v>
      </c>
      <c r="M2296" t="s">
        <v>681</v>
      </c>
      <c r="O2296" s="5">
        <v>30853790</v>
      </c>
      <c r="P2296" s="5">
        <v>213550</v>
      </c>
      <c r="Q2296" s="5">
        <v>40575</v>
      </c>
      <c r="R2296" s="5">
        <v>254125</v>
      </c>
    </row>
    <row r="2297" spans="1:18" x14ac:dyDescent="0.25">
      <c r="A2297" t="s">
        <v>501</v>
      </c>
      <c r="B2297" t="s">
        <v>494</v>
      </c>
      <c r="C2297">
        <v>77894990</v>
      </c>
      <c r="D2297">
        <v>14</v>
      </c>
      <c r="E2297">
        <v>30854782</v>
      </c>
      <c r="F2297" t="s">
        <v>1277</v>
      </c>
      <c r="G2297" s="1">
        <v>45236</v>
      </c>
      <c r="H2297">
        <v>5413355</v>
      </c>
      <c r="I2297">
        <v>192</v>
      </c>
      <c r="J2297" t="s">
        <v>378</v>
      </c>
      <c r="K2297" t="str">
        <f>IFERROR(IF(AND(VLOOKUP($C2297,Hes!$A:$B, 1, FALSE), $M2297&lt;&gt;" "), "Ingresada", "Falta Ingresar"), " ")</f>
        <v xml:space="preserve"> </v>
      </c>
      <c r="L2297" s="4" t="str">
        <f>IFERROR(VLOOKUP($C2297,Observaciones!$A:$B,2,FALSE)," ")</f>
        <v xml:space="preserve"> </v>
      </c>
      <c r="M2297" t="s">
        <v>681</v>
      </c>
      <c r="O2297" s="5">
        <v>30854782</v>
      </c>
      <c r="P2297" s="5">
        <v>193613</v>
      </c>
      <c r="Q2297" s="5">
        <v>36786</v>
      </c>
      <c r="R2297" s="5">
        <v>230399</v>
      </c>
    </row>
    <row r="2298" spans="1:18" x14ac:dyDescent="0.25">
      <c r="A2298" t="s">
        <v>501</v>
      </c>
      <c r="B2298" t="s">
        <v>494</v>
      </c>
      <c r="C2298">
        <v>77894990</v>
      </c>
      <c r="D2298">
        <v>15</v>
      </c>
      <c r="E2298">
        <v>30858573</v>
      </c>
      <c r="F2298" t="s">
        <v>1277</v>
      </c>
      <c r="G2298" s="1">
        <v>45238</v>
      </c>
      <c r="H2298">
        <v>5414523</v>
      </c>
      <c r="I2298">
        <v>192</v>
      </c>
      <c r="J2298" t="s">
        <v>378</v>
      </c>
      <c r="K2298" t="str">
        <f>IFERROR(IF(AND(VLOOKUP($C2298,Hes!$A:$B, 1, FALSE), $M2298&lt;&gt;" "), "Ingresada", "Falta Ingresar"), " ")</f>
        <v xml:space="preserve"> </v>
      </c>
      <c r="L2298" s="4" t="str">
        <f>IFERROR(VLOOKUP($C2298,Observaciones!$A:$B,2,FALSE)," ")</f>
        <v xml:space="preserve"> </v>
      </c>
      <c r="M2298" t="s">
        <v>681</v>
      </c>
      <c r="O2298" s="5">
        <v>30858573</v>
      </c>
      <c r="P2298" s="5">
        <v>234816</v>
      </c>
      <c r="Q2298" s="5">
        <v>44615</v>
      </c>
      <c r="R2298" s="5">
        <v>279431</v>
      </c>
    </row>
    <row r="2299" spans="1:18" x14ac:dyDescent="0.25">
      <c r="A2299" t="s">
        <v>501</v>
      </c>
      <c r="B2299" t="s">
        <v>494</v>
      </c>
      <c r="C2299">
        <v>77894990</v>
      </c>
      <c r="D2299">
        <v>15</v>
      </c>
      <c r="E2299">
        <v>30858573</v>
      </c>
      <c r="F2299" t="s">
        <v>1277</v>
      </c>
      <c r="G2299" s="1">
        <v>45238</v>
      </c>
      <c r="H2299">
        <v>5414524</v>
      </c>
      <c r="I2299">
        <v>192</v>
      </c>
      <c r="J2299" t="s">
        <v>378</v>
      </c>
      <c r="K2299" t="str">
        <f>IFERROR(IF(AND(VLOOKUP($C2299,Hes!$A:$B, 1, FALSE), $M2299&lt;&gt;" "), "Ingresada", "Falta Ingresar"), " ")</f>
        <v xml:space="preserve"> </v>
      </c>
      <c r="L2299" s="4" t="str">
        <f>IFERROR(VLOOKUP($C2299,Observaciones!$A:$B,2,FALSE)," ")</f>
        <v xml:space="preserve"> </v>
      </c>
      <c r="M2299" t="s">
        <v>681</v>
      </c>
      <c r="O2299" s="5">
        <v>30858573</v>
      </c>
      <c r="P2299" s="5">
        <v>77899</v>
      </c>
      <c r="Q2299" s="5">
        <v>14801</v>
      </c>
      <c r="R2299" s="5">
        <v>92700</v>
      </c>
    </row>
    <row r="2300" spans="1:18" x14ac:dyDescent="0.25">
      <c r="A2300" t="s">
        <v>501</v>
      </c>
      <c r="B2300" t="s">
        <v>494</v>
      </c>
      <c r="C2300">
        <v>77894990</v>
      </c>
      <c r="D2300">
        <v>0</v>
      </c>
      <c r="E2300" t="s">
        <v>1278</v>
      </c>
      <c r="F2300" t="s">
        <v>1277</v>
      </c>
      <c r="G2300" s="1">
        <v>45238</v>
      </c>
      <c r="H2300">
        <v>5415392</v>
      </c>
      <c r="I2300">
        <v>192</v>
      </c>
      <c r="J2300" t="s">
        <v>378</v>
      </c>
      <c r="K2300" t="str">
        <f>IFERROR(IF(AND(VLOOKUP($C2300,Hes!$A:$B, 1, FALSE), $M2300&lt;&gt;" "), "Ingresada", "Falta Ingresar"), " ")</f>
        <v xml:space="preserve"> </v>
      </c>
      <c r="L2300" s="4" t="str">
        <f>IFERROR(VLOOKUP($C2300,Observaciones!$A:$B,2,FALSE)," ")</f>
        <v xml:space="preserve"> </v>
      </c>
      <c r="M2300" t="s">
        <v>681</v>
      </c>
      <c r="O2300" s="5">
        <v>30860303</v>
      </c>
      <c r="P2300" s="5">
        <v>26615</v>
      </c>
      <c r="Q2300" s="5">
        <v>5057</v>
      </c>
      <c r="R2300" s="5">
        <v>31672</v>
      </c>
    </row>
    <row r="2301" spans="1:18" x14ac:dyDescent="0.25">
      <c r="A2301" t="s">
        <v>501</v>
      </c>
      <c r="B2301" t="s">
        <v>494</v>
      </c>
      <c r="C2301">
        <v>77894990</v>
      </c>
      <c r="D2301">
        <v>18</v>
      </c>
      <c r="E2301">
        <v>30864404</v>
      </c>
      <c r="F2301" t="s">
        <v>1277</v>
      </c>
      <c r="G2301" s="1">
        <v>45238</v>
      </c>
      <c r="H2301">
        <v>5415687</v>
      </c>
      <c r="I2301">
        <v>192</v>
      </c>
      <c r="J2301" t="s">
        <v>378</v>
      </c>
      <c r="K2301" t="str">
        <f>IFERROR(IF(AND(VLOOKUP($C2301,Hes!$A:$B, 1, FALSE), $M2301&lt;&gt;" "), "Ingresada", "Falta Ingresar"), " ")</f>
        <v xml:space="preserve"> </v>
      </c>
      <c r="L2301" s="4" t="str">
        <f>IFERROR(VLOOKUP($C2301,Observaciones!$A:$B,2,FALSE)," ")</f>
        <v xml:space="preserve"> </v>
      </c>
      <c r="M2301" t="s">
        <v>681</v>
      </c>
      <c r="O2301" s="5">
        <v>30864404</v>
      </c>
      <c r="P2301" s="5">
        <v>193576</v>
      </c>
      <c r="Q2301" s="5">
        <v>36779</v>
      </c>
      <c r="R2301" s="5">
        <v>230355</v>
      </c>
    </row>
    <row r="2302" spans="1:18" x14ac:dyDescent="0.25">
      <c r="A2302" t="s">
        <v>501</v>
      </c>
      <c r="B2302" t="s">
        <v>494</v>
      </c>
      <c r="C2302">
        <v>77894990</v>
      </c>
      <c r="D2302">
        <v>18</v>
      </c>
      <c r="E2302">
        <v>30864404</v>
      </c>
      <c r="F2302" t="s">
        <v>1277</v>
      </c>
      <c r="G2302" s="1">
        <v>45238</v>
      </c>
      <c r="H2302">
        <v>5415688</v>
      </c>
      <c r="I2302">
        <v>192</v>
      </c>
      <c r="J2302" t="s">
        <v>378</v>
      </c>
      <c r="K2302" t="str">
        <f>IFERROR(IF(AND(VLOOKUP($C2302,Hes!$A:$B, 1, FALSE), $M2302&lt;&gt;" "), "Ingresada", "Falta Ingresar"), " ")</f>
        <v xml:space="preserve"> </v>
      </c>
      <c r="L2302" s="4" t="str">
        <f>IFERROR(VLOOKUP($C2302,Observaciones!$A:$B,2,FALSE)," ")</f>
        <v xml:space="preserve"> </v>
      </c>
      <c r="M2302" t="s">
        <v>681</v>
      </c>
      <c r="O2302" s="5">
        <v>30864404</v>
      </c>
      <c r="P2302" s="5">
        <v>386686</v>
      </c>
      <c r="Q2302" s="5">
        <v>73470</v>
      </c>
      <c r="R2302" s="5">
        <v>460156</v>
      </c>
    </row>
    <row r="2303" spans="1:18" x14ac:dyDescent="0.25">
      <c r="A2303" t="s">
        <v>501</v>
      </c>
      <c r="B2303" t="s">
        <v>494</v>
      </c>
      <c r="C2303">
        <v>77894990</v>
      </c>
      <c r="D2303">
        <v>18</v>
      </c>
      <c r="E2303">
        <v>30864404</v>
      </c>
      <c r="F2303" t="s">
        <v>1277</v>
      </c>
      <c r="G2303" s="1">
        <v>45238</v>
      </c>
      <c r="H2303">
        <v>5415689</v>
      </c>
      <c r="I2303">
        <v>192</v>
      </c>
      <c r="J2303" t="s">
        <v>378</v>
      </c>
      <c r="K2303" t="str">
        <f>IFERROR(IF(AND(VLOOKUP($C2303,Hes!$A:$B, 1, FALSE), $M2303&lt;&gt;" "), "Ingresada", "Falta Ingresar"), " ")</f>
        <v xml:space="preserve"> </v>
      </c>
      <c r="L2303" s="4" t="str">
        <f>IFERROR(VLOOKUP($C2303,Observaciones!$A:$B,2,FALSE)," ")</f>
        <v xml:space="preserve"> </v>
      </c>
      <c r="M2303" t="s">
        <v>681</v>
      </c>
      <c r="O2303" s="5">
        <v>30864404</v>
      </c>
      <c r="P2303" s="5">
        <v>18269</v>
      </c>
      <c r="Q2303" s="5">
        <v>3471</v>
      </c>
      <c r="R2303" s="5">
        <v>21740</v>
      </c>
    </row>
    <row r="2304" spans="1:18" x14ac:dyDescent="0.25">
      <c r="F2304" t="s">
        <v>510</v>
      </c>
      <c r="K2304" t="str">
        <f>IFERROR(IF(AND(VLOOKUP($C2304,Hes!$A:$B, 1, FALSE), $M2304&lt;&gt;" "), "Ingresada", "Falta Ingresar"), " ")</f>
        <v xml:space="preserve"> </v>
      </c>
      <c r="L2304" s="4" t="str">
        <f>IFERROR(VLOOKUP($C2304,Observaciones!$A:$B,2,FALSE)," ")</f>
        <v xml:space="preserve"> </v>
      </c>
      <c r="M2304" t="s">
        <v>681</v>
      </c>
      <c r="P2304" s="5">
        <v>2043011</v>
      </c>
      <c r="Q2304" s="5">
        <v>388172</v>
      </c>
      <c r="R2304" s="5">
        <v>2431183</v>
      </c>
    </row>
    <row r="2305" spans="1:18" x14ac:dyDescent="0.25">
      <c r="A2305" t="s">
        <v>513</v>
      </c>
      <c r="B2305" t="s">
        <v>509</v>
      </c>
      <c r="C2305">
        <v>77909620</v>
      </c>
      <c r="D2305">
        <v>0</v>
      </c>
      <c r="E2305" t="s">
        <v>1279</v>
      </c>
      <c r="F2305" t="s">
        <v>1280</v>
      </c>
      <c r="G2305" s="1">
        <v>45236</v>
      </c>
      <c r="H2305">
        <v>5413184</v>
      </c>
      <c r="I2305">
        <v>332</v>
      </c>
      <c r="J2305" t="s">
        <v>234</v>
      </c>
      <c r="K2305" t="str">
        <f>IFERROR(IF(AND(VLOOKUP($C2305,Hes!$A:$B, 1, FALSE), $M2305&lt;&gt;" "), "Ingresada", "Falta Ingresar"), " ")</f>
        <v xml:space="preserve"> </v>
      </c>
      <c r="L2305" s="4" t="str">
        <f>IFERROR(VLOOKUP($C2305,Observaciones!$A:$B,2,FALSE)," ")</f>
        <v xml:space="preserve"> </v>
      </c>
      <c r="M2305" t="s">
        <v>681</v>
      </c>
      <c r="O2305" s="5">
        <v>30856049</v>
      </c>
      <c r="P2305" s="5">
        <v>985854</v>
      </c>
      <c r="Q2305" s="5">
        <v>187312</v>
      </c>
      <c r="R2305" s="5">
        <v>1173166</v>
      </c>
    </row>
    <row r="2306" spans="1:18" x14ac:dyDescent="0.25">
      <c r="F2306" t="s">
        <v>495</v>
      </c>
      <c r="K2306" t="str">
        <f>IFERROR(IF(AND(VLOOKUP($C2306,Hes!$A:$B, 1, FALSE), $M2306&lt;&gt;" "), "Ingresada", "Falta Ingresar"), " ")</f>
        <v xml:space="preserve"> </v>
      </c>
      <c r="L2306" s="4" t="str">
        <f>IFERROR(VLOOKUP($C2306,Observaciones!$A:$B,2,FALSE)," ")</f>
        <v xml:space="preserve"> </v>
      </c>
      <c r="M2306" t="s">
        <v>681</v>
      </c>
      <c r="P2306" s="5">
        <v>985854</v>
      </c>
      <c r="Q2306" s="5">
        <v>187312</v>
      </c>
      <c r="R2306" s="5">
        <v>1173166</v>
      </c>
    </row>
    <row r="2307" spans="1:18" x14ac:dyDescent="0.25">
      <c r="A2307" t="s">
        <v>513</v>
      </c>
      <c r="B2307" t="s">
        <v>494</v>
      </c>
      <c r="C2307">
        <v>77922110</v>
      </c>
      <c r="D2307">
        <v>47</v>
      </c>
      <c r="E2307">
        <v>30841515</v>
      </c>
      <c r="F2307" t="s">
        <v>1281</v>
      </c>
      <c r="G2307" s="1">
        <v>45231</v>
      </c>
      <c r="H2307">
        <v>5410580</v>
      </c>
      <c r="I2307">
        <v>195</v>
      </c>
      <c r="J2307" t="s">
        <v>406</v>
      </c>
      <c r="K2307" t="str">
        <f>IFERROR(IF(AND(VLOOKUP($C2307,Hes!$A:$B, 1, FALSE), $M2307&lt;&gt;" "), "Ingresada", "Falta Ingresar"), " ")</f>
        <v xml:space="preserve"> </v>
      </c>
      <c r="L2307" s="4" t="s">
        <v>681</v>
      </c>
      <c r="M2307" t="s">
        <v>681</v>
      </c>
      <c r="O2307" s="5">
        <v>30841515</v>
      </c>
      <c r="P2307" s="5">
        <v>36120</v>
      </c>
      <c r="Q2307" s="5">
        <v>6863</v>
      </c>
      <c r="R2307" s="5">
        <v>42983</v>
      </c>
    </row>
    <row r="2308" spans="1:18" x14ac:dyDescent="0.25">
      <c r="A2308" t="s">
        <v>513</v>
      </c>
      <c r="B2308" t="s">
        <v>494</v>
      </c>
      <c r="C2308">
        <v>77922110</v>
      </c>
      <c r="D2308">
        <v>42</v>
      </c>
      <c r="E2308">
        <v>30841532</v>
      </c>
      <c r="F2308" t="s">
        <v>1281</v>
      </c>
      <c r="G2308" s="1">
        <v>45231</v>
      </c>
      <c r="H2308">
        <v>5410611</v>
      </c>
      <c r="I2308">
        <v>195</v>
      </c>
      <c r="J2308" t="s">
        <v>406</v>
      </c>
      <c r="K2308" t="str">
        <f>IFERROR(IF(AND(VLOOKUP($C2308,Hes!$A:$B, 1, FALSE), $M2308&lt;&gt;" "), "Ingresada", "Falta Ingresar"), " ")</f>
        <v xml:space="preserve"> </v>
      </c>
      <c r="L2308" s="4" t="s">
        <v>681</v>
      </c>
      <c r="M2308" t="s">
        <v>681</v>
      </c>
      <c r="O2308" s="5">
        <v>30841532</v>
      </c>
      <c r="P2308" s="5">
        <v>64054</v>
      </c>
      <c r="Q2308" s="5">
        <v>12170</v>
      </c>
      <c r="R2308" s="5">
        <v>76224</v>
      </c>
    </row>
    <row r="2309" spans="1:18" x14ac:dyDescent="0.25">
      <c r="A2309" t="s">
        <v>513</v>
      </c>
      <c r="B2309" t="s">
        <v>494</v>
      </c>
      <c r="C2309">
        <v>77922110</v>
      </c>
      <c r="D2309">
        <v>23</v>
      </c>
      <c r="E2309">
        <v>30841536</v>
      </c>
      <c r="F2309" t="s">
        <v>1281</v>
      </c>
      <c r="G2309" s="1">
        <v>45231</v>
      </c>
      <c r="H2309">
        <v>5410612</v>
      </c>
      <c r="I2309">
        <v>195</v>
      </c>
      <c r="J2309" t="s">
        <v>406</v>
      </c>
      <c r="K2309" t="str">
        <f>IFERROR(IF(AND(VLOOKUP($C2309,Hes!$A:$B, 1, FALSE), $M2309&lt;&gt;" "), "Ingresada", "Falta Ingresar"), " ")</f>
        <v xml:space="preserve"> </v>
      </c>
      <c r="L2309" s="4" t="s">
        <v>681</v>
      </c>
      <c r="M2309" t="s">
        <v>681</v>
      </c>
      <c r="O2309" s="5">
        <v>30841536</v>
      </c>
      <c r="P2309" s="5">
        <v>59711</v>
      </c>
      <c r="Q2309" s="5">
        <v>11345</v>
      </c>
      <c r="R2309" s="5">
        <v>71056</v>
      </c>
    </row>
    <row r="2310" spans="1:18" x14ac:dyDescent="0.25">
      <c r="A2310" t="s">
        <v>513</v>
      </c>
      <c r="B2310" t="s">
        <v>494</v>
      </c>
      <c r="C2310">
        <v>77922110</v>
      </c>
      <c r="D2310">
        <v>13</v>
      </c>
      <c r="E2310">
        <v>30841521</v>
      </c>
      <c r="F2310" t="s">
        <v>1281</v>
      </c>
      <c r="G2310" s="1">
        <v>45231</v>
      </c>
      <c r="H2310">
        <v>5410614</v>
      </c>
      <c r="I2310">
        <v>195</v>
      </c>
      <c r="J2310" t="s">
        <v>406</v>
      </c>
      <c r="K2310" t="str">
        <f>IFERROR(IF(AND(VLOOKUP($C2310,Hes!$A:$B, 1, FALSE), $M2310&lt;&gt;" "), "Ingresada", "Falta Ingresar"), " ")</f>
        <v xml:space="preserve"> </v>
      </c>
      <c r="L2310" s="4" t="s">
        <v>681</v>
      </c>
      <c r="M2310" t="s">
        <v>681</v>
      </c>
      <c r="O2310" s="5">
        <v>30841521</v>
      </c>
      <c r="P2310" s="5">
        <v>23122</v>
      </c>
      <c r="Q2310" s="5">
        <v>4393</v>
      </c>
      <c r="R2310" s="5">
        <v>27515</v>
      </c>
    </row>
    <row r="2311" spans="1:18" x14ac:dyDescent="0.25">
      <c r="A2311" t="s">
        <v>513</v>
      </c>
      <c r="B2311" t="s">
        <v>494</v>
      </c>
      <c r="C2311">
        <v>77922110</v>
      </c>
      <c r="D2311">
        <v>40</v>
      </c>
      <c r="E2311">
        <v>30841527</v>
      </c>
      <c r="F2311" t="s">
        <v>1281</v>
      </c>
      <c r="G2311" s="1">
        <v>45231</v>
      </c>
      <c r="H2311">
        <v>5410641</v>
      </c>
      <c r="I2311">
        <v>195</v>
      </c>
      <c r="J2311" t="s">
        <v>406</v>
      </c>
      <c r="K2311" t="str">
        <f>IFERROR(IF(AND(VLOOKUP($C2311,Hes!$A:$B, 1, FALSE), $M2311&lt;&gt;" "), "Ingresada", "Falta Ingresar"), " ")</f>
        <v xml:space="preserve"> </v>
      </c>
      <c r="L2311" s="4" t="s">
        <v>681</v>
      </c>
      <c r="M2311" t="s">
        <v>681</v>
      </c>
      <c r="O2311" s="5">
        <v>30841527</v>
      </c>
      <c r="P2311" s="5">
        <v>21332</v>
      </c>
      <c r="Q2311" s="5">
        <v>4053</v>
      </c>
      <c r="R2311" s="5">
        <v>25385</v>
      </c>
    </row>
    <row r="2312" spans="1:18" x14ac:dyDescent="0.25">
      <c r="A2312" t="s">
        <v>513</v>
      </c>
      <c r="B2312" t="s">
        <v>494</v>
      </c>
      <c r="C2312">
        <v>77922110</v>
      </c>
      <c r="D2312">
        <v>15</v>
      </c>
      <c r="E2312">
        <v>30841545</v>
      </c>
      <c r="F2312" t="s">
        <v>1281</v>
      </c>
      <c r="G2312" s="1">
        <v>45236</v>
      </c>
      <c r="H2312">
        <v>5411978</v>
      </c>
      <c r="I2312">
        <v>195</v>
      </c>
      <c r="J2312" t="s">
        <v>406</v>
      </c>
      <c r="K2312" t="str">
        <f>IFERROR(IF(AND(VLOOKUP($C2312,Hes!$A:$B, 1, FALSE), $M2312&lt;&gt;" "), "Ingresada", "Falta Ingresar"), " ")</f>
        <v xml:space="preserve"> </v>
      </c>
      <c r="L2312" s="4" t="s">
        <v>681</v>
      </c>
      <c r="M2312" t="s">
        <v>681</v>
      </c>
      <c r="O2312" s="5">
        <v>30841545</v>
      </c>
      <c r="P2312" s="5">
        <v>61853</v>
      </c>
      <c r="Q2312" s="5">
        <v>11752</v>
      </c>
      <c r="R2312" s="5">
        <v>73605</v>
      </c>
    </row>
    <row r="2313" spans="1:18" x14ac:dyDescent="0.25">
      <c r="A2313" t="s">
        <v>513</v>
      </c>
      <c r="B2313" t="s">
        <v>494</v>
      </c>
      <c r="C2313">
        <v>77922110</v>
      </c>
      <c r="D2313">
        <v>1</v>
      </c>
      <c r="E2313">
        <v>30853783</v>
      </c>
      <c r="F2313" t="s">
        <v>1281</v>
      </c>
      <c r="G2313" s="1">
        <v>45236</v>
      </c>
      <c r="H2313">
        <v>5413470</v>
      </c>
      <c r="I2313">
        <v>129</v>
      </c>
      <c r="J2313" t="s">
        <v>414</v>
      </c>
      <c r="K2313" t="str">
        <f>IFERROR(IF(AND(VLOOKUP($C2313,Hes!$A:$B, 1, FALSE), $M2313&lt;&gt;" "), "Ingresada", "Falta Ingresar"), " ")</f>
        <v xml:space="preserve"> </v>
      </c>
      <c r="L2313" s="4" t="s">
        <v>681</v>
      </c>
      <c r="M2313" t="s">
        <v>681</v>
      </c>
      <c r="O2313" s="5">
        <v>30853783</v>
      </c>
      <c r="P2313" s="5">
        <v>93697</v>
      </c>
      <c r="Q2313" s="5">
        <v>17802</v>
      </c>
      <c r="R2313" s="5">
        <v>111499</v>
      </c>
    </row>
    <row r="2314" spans="1:18" x14ac:dyDescent="0.25">
      <c r="A2314" t="s">
        <v>513</v>
      </c>
      <c r="B2314" t="s">
        <v>494</v>
      </c>
      <c r="C2314">
        <v>77922110</v>
      </c>
      <c r="D2314">
        <v>29</v>
      </c>
      <c r="E2314">
        <v>30859878</v>
      </c>
      <c r="F2314" t="s">
        <v>1281</v>
      </c>
      <c r="G2314" s="1">
        <v>45238</v>
      </c>
      <c r="H2314">
        <v>5414747</v>
      </c>
      <c r="I2314">
        <v>195</v>
      </c>
      <c r="J2314" t="s">
        <v>406</v>
      </c>
      <c r="K2314" t="str">
        <f>IFERROR(IF(AND(VLOOKUP($C2314,Hes!$A:$B, 1, FALSE), $M2314&lt;&gt;" "), "Ingresada", "Falta Ingresar"), " ")</f>
        <v xml:space="preserve"> </v>
      </c>
      <c r="L2314" s="4" t="s">
        <v>681</v>
      </c>
      <c r="M2314" t="s">
        <v>681</v>
      </c>
      <c r="O2314" s="5">
        <v>30859878</v>
      </c>
      <c r="P2314" s="5">
        <v>31332</v>
      </c>
      <c r="Q2314" s="5">
        <v>5953</v>
      </c>
      <c r="R2314" s="5">
        <v>37285</v>
      </c>
    </row>
    <row r="2315" spans="1:18" x14ac:dyDescent="0.25">
      <c r="F2315" t="s">
        <v>511</v>
      </c>
      <c r="K2315" t="str">
        <f>IFERROR(IF(AND(VLOOKUP($C2315,Hes!$A:$B, 1, FALSE), $M2315&lt;&gt;" "), "Ingresada", "Falta Ingresar"), " ")</f>
        <v xml:space="preserve"> </v>
      </c>
      <c r="L2315" s="4" t="str">
        <f>IFERROR(VLOOKUP($C2315,Observaciones!$A:$B,2,FALSE)," ")</f>
        <v xml:space="preserve"> </v>
      </c>
      <c r="M2315" t="s">
        <v>681</v>
      </c>
      <c r="P2315" s="5">
        <v>391221</v>
      </c>
      <c r="Q2315" s="5">
        <v>74331</v>
      </c>
      <c r="R2315" s="5">
        <v>465552</v>
      </c>
    </row>
    <row r="2316" spans="1:18" x14ac:dyDescent="0.25">
      <c r="A2316" t="s">
        <v>501</v>
      </c>
      <c r="B2316" t="s">
        <v>494</v>
      </c>
      <c r="C2316">
        <v>78012790</v>
      </c>
      <c r="D2316">
        <v>54</v>
      </c>
      <c r="E2316">
        <v>10334</v>
      </c>
      <c r="F2316" t="s">
        <v>1282</v>
      </c>
      <c r="G2316" s="1">
        <v>45237</v>
      </c>
      <c r="H2316">
        <v>5414060</v>
      </c>
      <c r="I2316">
        <v>70</v>
      </c>
      <c r="K2316" t="str">
        <f>IFERROR(IF(AND(VLOOKUP($C2316,Hes!$A:$B, 1, FALSE), $M2316&lt;&gt;" "), "Ingresada", "Falta Ingresar"), " ")</f>
        <v xml:space="preserve"> </v>
      </c>
      <c r="L2316" s="4" t="str">
        <f>IFERROR(VLOOKUP($C2316,Observaciones!$A:$B,2,FALSE)," ")</f>
        <v xml:space="preserve"> </v>
      </c>
      <c r="M2316" t="s">
        <v>681</v>
      </c>
      <c r="O2316" s="5">
        <v>30858701</v>
      </c>
      <c r="P2316" s="5">
        <v>697457</v>
      </c>
      <c r="Q2316" s="5">
        <v>132517</v>
      </c>
      <c r="R2316" s="5">
        <v>829974</v>
      </c>
    </row>
    <row r="2317" spans="1:18" x14ac:dyDescent="0.25">
      <c r="A2317" t="s">
        <v>501</v>
      </c>
      <c r="B2317" t="s">
        <v>494</v>
      </c>
      <c r="C2317">
        <v>78012790</v>
      </c>
      <c r="D2317">
        <v>108</v>
      </c>
      <c r="E2317">
        <v>10333</v>
      </c>
      <c r="F2317" t="s">
        <v>1282</v>
      </c>
      <c r="G2317" s="1">
        <v>45238</v>
      </c>
      <c r="H2317">
        <v>5414936</v>
      </c>
      <c r="I2317">
        <v>70</v>
      </c>
      <c r="K2317" t="str">
        <f>IFERROR(IF(AND(VLOOKUP($C2317,Hes!$A:$B, 1, FALSE), $M2317&lt;&gt;" "), "Ingresada", "Falta Ingresar"), " ")</f>
        <v xml:space="preserve"> </v>
      </c>
      <c r="L2317" s="4" t="str">
        <f>IFERROR(VLOOKUP($C2317,Observaciones!$A:$B,2,FALSE)," ")</f>
        <v xml:space="preserve"> </v>
      </c>
      <c r="M2317" t="s">
        <v>681</v>
      </c>
      <c r="O2317" s="5">
        <v>30858772</v>
      </c>
      <c r="P2317" s="5">
        <v>399153</v>
      </c>
      <c r="Q2317" s="5">
        <v>75839</v>
      </c>
      <c r="R2317" s="5">
        <v>474992</v>
      </c>
    </row>
    <row r="2318" spans="1:18" x14ac:dyDescent="0.25">
      <c r="F2318" t="s">
        <v>497</v>
      </c>
      <c r="K2318" t="str">
        <f>IFERROR(IF(AND(VLOOKUP($C2318,Hes!$A:$B, 1, FALSE), $M2318&lt;&gt;" "), "Ingresada", "Falta Ingresar"), " ")</f>
        <v xml:space="preserve"> </v>
      </c>
      <c r="L2318" s="4" t="str">
        <f>IFERROR(VLOOKUP($C2318,Observaciones!$A:$B,2,FALSE)," ")</f>
        <v xml:space="preserve"> </v>
      </c>
      <c r="M2318" t="s">
        <v>681</v>
      </c>
      <c r="P2318" s="5">
        <v>1096610</v>
      </c>
      <c r="Q2318" s="5">
        <v>208356</v>
      </c>
      <c r="R2318" s="5">
        <v>1304966</v>
      </c>
    </row>
    <row r="2319" spans="1:18" x14ac:dyDescent="0.25">
      <c r="A2319" t="s">
        <v>496</v>
      </c>
      <c r="B2319" t="s">
        <v>494</v>
      </c>
      <c r="C2319">
        <v>78028770</v>
      </c>
      <c r="D2319">
        <v>1</v>
      </c>
      <c r="E2319">
        <v>400223720801</v>
      </c>
      <c r="F2319" t="s">
        <v>1283</v>
      </c>
      <c r="G2319" s="1">
        <v>45237</v>
      </c>
      <c r="H2319">
        <v>5414063</v>
      </c>
      <c r="I2319">
        <v>61</v>
      </c>
      <c r="J2319" t="s">
        <v>244</v>
      </c>
      <c r="K2319" t="str">
        <f>IFERROR(IF(AND(VLOOKUP($C2319,Hes!$A:$B, 1, FALSE), $M2319&lt;&gt;" "), "Ingresada", "Falta Ingresar"), " ")</f>
        <v xml:space="preserve"> </v>
      </c>
      <c r="L2319" s="4" t="str">
        <f>IFERROR(VLOOKUP($C2319,Observaciones!$A:$B,2,FALSE)," ")</f>
        <v xml:space="preserve"> </v>
      </c>
      <c r="M2319" t="s">
        <v>681</v>
      </c>
      <c r="O2319" s="5">
        <v>30858638</v>
      </c>
      <c r="P2319" s="5">
        <v>356320</v>
      </c>
      <c r="Q2319" s="5">
        <v>67701</v>
      </c>
      <c r="R2319" s="5">
        <v>424021</v>
      </c>
    </row>
    <row r="2320" spans="1:18" x14ac:dyDescent="0.25">
      <c r="F2320" t="s">
        <v>495</v>
      </c>
      <c r="K2320" t="str">
        <f>IFERROR(IF(AND(VLOOKUP($C2320,Hes!$A:$B, 1, FALSE), $M2320&lt;&gt;" "), "Ingresada", "Falta Ingresar"), " ")</f>
        <v xml:space="preserve"> </v>
      </c>
      <c r="L2320" s="4" t="str">
        <f>IFERROR(VLOOKUP($C2320,Observaciones!$A:$B,2,FALSE)," ")</f>
        <v xml:space="preserve"> </v>
      </c>
      <c r="M2320" t="s">
        <v>681</v>
      </c>
      <c r="P2320" s="5">
        <v>356320</v>
      </c>
      <c r="Q2320" s="5">
        <v>67701</v>
      </c>
      <c r="R2320" s="5">
        <v>424021</v>
      </c>
    </row>
    <row r="2321" spans="1:18" x14ac:dyDescent="0.25">
      <c r="A2321" t="s">
        <v>501</v>
      </c>
      <c r="B2321" t="s">
        <v>494</v>
      </c>
      <c r="C2321">
        <v>78034470</v>
      </c>
      <c r="D2321">
        <v>27</v>
      </c>
      <c r="E2321">
        <v>30850595</v>
      </c>
      <c r="F2321" t="s">
        <v>1284</v>
      </c>
      <c r="G2321" s="1">
        <v>45233</v>
      </c>
      <c r="H2321">
        <v>5411640</v>
      </c>
      <c r="I2321">
        <v>42</v>
      </c>
      <c r="J2321" t="s">
        <v>297</v>
      </c>
      <c r="K2321" t="str">
        <f>IFERROR(IF(AND(VLOOKUP($C2321,Hes!$A:$B, 1, FALSE), $M2321&lt;&gt;" "), "Ingresada", "Falta Ingresar"), " ")</f>
        <v xml:space="preserve"> </v>
      </c>
      <c r="L2321" s="4" t="str">
        <f>IFERROR(VLOOKUP($C2321,Observaciones!$A:$B,2,FALSE)," ")</f>
        <v xml:space="preserve"> </v>
      </c>
      <c r="M2321" t="s">
        <v>681</v>
      </c>
      <c r="O2321" s="5">
        <v>30850595</v>
      </c>
      <c r="P2321" s="5">
        <v>1029328</v>
      </c>
      <c r="Q2321" s="5">
        <v>195572</v>
      </c>
      <c r="R2321" s="5">
        <v>1224900</v>
      </c>
    </row>
    <row r="2322" spans="1:18" x14ac:dyDescent="0.25">
      <c r="A2322" t="s">
        <v>501</v>
      </c>
      <c r="B2322" t="s">
        <v>494</v>
      </c>
      <c r="C2322">
        <v>78034470</v>
      </c>
      <c r="D2322">
        <v>28</v>
      </c>
      <c r="E2322">
        <v>30850588</v>
      </c>
      <c r="F2322" t="s">
        <v>1284</v>
      </c>
      <c r="G2322" s="1">
        <v>45234</v>
      </c>
      <c r="H2322">
        <v>5411838</v>
      </c>
      <c r="I2322">
        <v>42</v>
      </c>
      <c r="J2322" t="s">
        <v>297</v>
      </c>
      <c r="K2322" t="str">
        <f>IFERROR(IF(AND(VLOOKUP($C2322,Hes!$A:$B, 1, FALSE), $M2322&lt;&gt;" "), "Ingresada", "Falta Ingresar"), " ")</f>
        <v xml:space="preserve"> </v>
      </c>
      <c r="L2322" s="4" t="str">
        <f>IFERROR(VLOOKUP($C2322,Observaciones!$A:$B,2,FALSE)," ")</f>
        <v xml:space="preserve"> </v>
      </c>
      <c r="M2322" t="s">
        <v>681</v>
      </c>
      <c r="O2322" s="5">
        <v>30850588</v>
      </c>
      <c r="P2322" s="5">
        <v>24330</v>
      </c>
      <c r="Q2322" s="5">
        <v>4623</v>
      </c>
      <c r="R2322" s="5">
        <v>28953</v>
      </c>
    </row>
    <row r="2323" spans="1:18" x14ac:dyDescent="0.25">
      <c r="A2323" t="s">
        <v>501</v>
      </c>
      <c r="B2323" t="s">
        <v>494</v>
      </c>
      <c r="C2323">
        <v>78034470</v>
      </c>
      <c r="D2323">
        <v>5</v>
      </c>
      <c r="E2323">
        <v>30858153</v>
      </c>
      <c r="F2323" t="s">
        <v>1284</v>
      </c>
      <c r="G2323" s="1">
        <v>45238</v>
      </c>
      <c r="H2323">
        <v>5414573</v>
      </c>
      <c r="I2323">
        <v>42</v>
      </c>
      <c r="J2323" t="s">
        <v>297</v>
      </c>
      <c r="K2323" t="str">
        <f>IFERROR(IF(AND(VLOOKUP($C2323,Hes!$A:$B, 1, FALSE), $M2323&lt;&gt;" "), "Ingresada", "Falta Ingresar"), " ")</f>
        <v xml:space="preserve"> </v>
      </c>
      <c r="L2323" s="4" t="str">
        <f>IFERROR(VLOOKUP($C2323,Observaciones!$A:$B,2,FALSE)," ")</f>
        <v xml:space="preserve"> </v>
      </c>
      <c r="M2323" t="s">
        <v>681</v>
      </c>
      <c r="O2323" s="5">
        <v>30858153</v>
      </c>
      <c r="P2323" s="5">
        <v>58337</v>
      </c>
      <c r="Q2323" s="5">
        <v>11084</v>
      </c>
      <c r="R2323" s="5">
        <v>69421</v>
      </c>
    </row>
    <row r="2324" spans="1:18" x14ac:dyDescent="0.25">
      <c r="A2324" t="s">
        <v>501</v>
      </c>
      <c r="B2324" t="s">
        <v>494</v>
      </c>
      <c r="C2324">
        <v>78034470</v>
      </c>
      <c r="D2324">
        <v>18</v>
      </c>
      <c r="E2324">
        <v>30858151</v>
      </c>
      <c r="F2324" t="s">
        <v>1284</v>
      </c>
      <c r="G2324" s="1">
        <v>45238</v>
      </c>
      <c r="H2324">
        <v>5414581</v>
      </c>
      <c r="I2324">
        <v>42</v>
      </c>
      <c r="J2324" t="s">
        <v>297</v>
      </c>
      <c r="K2324" t="str">
        <f>IFERROR(IF(AND(VLOOKUP($C2324,Hes!$A:$B, 1, FALSE), $M2324&lt;&gt;" "), "Ingresada", "Falta Ingresar"), " ")</f>
        <v xml:space="preserve"> </v>
      </c>
      <c r="L2324" s="4" t="str">
        <f>IFERROR(VLOOKUP($C2324,Observaciones!$A:$B,2,FALSE)," ")</f>
        <v xml:space="preserve"> </v>
      </c>
      <c r="M2324" t="s">
        <v>681</v>
      </c>
      <c r="O2324" s="5">
        <v>30858151</v>
      </c>
      <c r="P2324" s="5">
        <v>46856</v>
      </c>
      <c r="Q2324" s="5">
        <v>8903</v>
      </c>
      <c r="R2324" s="5">
        <v>55759</v>
      </c>
    </row>
    <row r="2325" spans="1:18" x14ac:dyDescent="0.25">
      <c r="A2325" t="s">
        <v>501</v>
      </c>
      <c r="B2325" t="s">
        <v>494</v>
      </c>
      <c r="C2325">
        <v>78034470</v>
      </c>
      <c r="D2325">
        <v>19</v>
      </c>
      <c r="E2325">
        <v>30858152</v>
      </c>
      <c r="F2325" t="s">
        <v>1284</v>
      </c>
      <c r="G2325" s="1">
        <v>45238</v>
      </c>
      <c r="H2325">
        <v>5414582</v>
      </c>
      <c r="I2325">
        <v>42</v>
      </c>
      <c r="J2325" t="s">
        <v>297</v>
      </c>
      <c r="K2325" t="str">
        <f>IFERROR(IF(AND(VLOOKUP($C2325,Hes!$A:$B, 1, FALSE), $M2325&lt;&gt;" "), "Ingresada", "Falta Ingresar"), " ")</f>
        <v xml:space="preserve"> </v>
      </c>
      <c r="L2325" s="4" t="str">
        <f>IFERROR(VLOOKUP($C2325,Observaciones!$A:$B,2,FALSE)," ")</f>
        <v xml:space="preserve"> </v>
      </c>
      <c r="M2325" t="s">
        <v>681</v>
      </c>
      <c r="O2325" s="5">
        <v>30858152</v>
      </c>
      <c r="P2325" s="5">
        <v>145138</v>
      </c>
      <c r="Q2325" s="5">
        <v>27576</v>
      </c>
      <c r="R2325" s="5">
        <v>172714</v>
      </c>
    </row>
    <row r="2326" spans="1:18" x14ac:dyDescent="0.25">
      <c r="F2326" t="s">
        <v>499</v>
      </c>
      <c r="K2326" t="str">
        <f>IFERROR(IF(AND(VLOOKUP($C2326,Hes!$A:$B, 1, FALSE), $M2326&lt;&gt;" "), "Ingresada", "Falta Ingresar"), " ")</f>
        <v xml:space="preserve"> </v>
      </c>
      <c r="L2326" s="4" t="str">
        <f>IFERROR(VLOOKUP($C2326,Observaciones!$A:$B,2,FALSE)," ")</f>
        <v xml:space="preserve"> </v>
      </c>
      <c r="M2326" t="s">
        <v>681</v>
      </c>
      <c r="P2326" s="5">
        <v>1303989</v>
      </c>
      <c r="Q2326" s="5">
        <v>247758</v>
      </c>
      <c r="R2326" s="5">
        <v>1551747</v>
      </c>
    </row>
    <row r="2327" spans="1:18" x14ac:dyDescent="0.25">
      <c r="A2327" t="s">
        <v>501</v>
      </c>
      <c r="B2327" t="s">
        <v>494</v>
      </c>
      <c r="C2327">
        <v>78053790</v>
      </c>
      <c r="D2327">
        <v>99</v>
      </c>
      <c r="E2327">
        <v>30850343</v>
      </c>
      <c r="F2327" t="s">
        <v>1285</v>
      </c>
      <c r="G2327" s="1">
        <v>45233</v>
      </c>
      <c r="H2327">
        <v>5411681</v>
      </c>
      <c r="I2327">
        <v>344</v>
      </c>
      <c r="J2327" t="s">
        <v>301</v>
      </c>
      <c r="K2327" t="str">
        <f>IFERROR(IF(AND(VLOOKUP($C2327,Hes!$A:$B, 1, FALSE), $M2327&lt;&gt;" "), "Ingresada", "Falta Ingresar"), " ")</f>
        <v xml:space="preserve"> </v>
      </c>
      <c r="L2327" s="4" t="str">
        <f>IFERROR(VLOOKUP($C2327,Observaciones!$A:$B,2,FALSE)," ")</f>
        <v xml:space="preserve"> </v>
      </c>
      <c r="M2327" t="s">
        <v>681</v>
      </c>
      <c r="O2327" s="5">
        <v>30850343</v>
      </c>
      <c r="P2327" s="5">
        <v>124997</v>
      </c>
      <c r="Q2327" s="5">
        <v>23749</v>
      </c>
      <c r="R2327" s="5">
        <v>148746</v>
      </c>
    </row>
    <row r="2328" spans="1:18" x14ac:dyDescent="0.25">
      <c r="A2328" t="s">
        <v>501</v>
      </c>
      <c r="B2328" t="s">
        <v>494</v>
      </c>
      <c r="C2328">
        <v>78053790</v>
      </c>
      <c r="D2328">
        <v>98</v>
      </c>
      <c r="E2328">
        <v>30849885</v>
      </c>
      <c r="F2328" t="s">
        <v>1285</v>
      </c>
      <c r="G2328" s="1">
        <v>45234</v>
      </c>
      <c r="H2328">
        <v>5411777</v>
      </c>
      <c r="I2328">
        <v>344</v>
      </c>
      <c r="J2328" t="s">
        <v>301</v>
      </c>
      <c r="K2328" t="str">
        <f>IFERROR(IF(AND(VLOOKUP($C2328,Hes!$A:$B, 1, FALSE), $M2328&lt;&gt;" "), "Ingresada", "Falta Ingresar"), " ")</f>
        <v xml:space="preserve"> </v>
      </c>
      <c r="L2328" s="4" t="str">
        <f>IFERROR(VLOOKUP($C2328,Observaciones!$A:$B,2,FALSE)," ")</f>
        <v xml:space="preserve"> </v>
      </c>
      <c r="M2328" t="s">
        <v>681</v>
      </c>
      <c r="O2328" s="5">
        <v>30849885</v>
      </c>
      <c r="P2328" s="5">
        <v>55643</v>
      </c>
      <c r="Q2328" s="5">
        <v>10572</v>
      </c>
      <c r="R2328" s="5">
        <v>66215</v>
      </c>
    </row>
    <row r="2329" spans="1:18" x14ac:dyDescent="0.25">
      <c r="A2329" t="s">
        <v>501</v>
      </c>
      <c r="B2329" t="s">
        <v>494</v>
      </c>
      <c r="C2329">
        <v>78053790</v>
      </c>
      <c r="D2329">
        <v>2</v>
      </c>
      <c r="E2329" t="s">
        <v>1286</v>
      </c>
      <c r="F2329" t="s">
        <v>1285</v>
      </c>
      <c r="G2329" s="1">
        <v>45236</v>
      </c>
      <c r="H2329">
        <v>5412342</v>
      </c>
      <c r="I2329">
        <v>344</v>
      </c>
      <c r="J2329" t="s">
        <v>301</v>
      </c>
      <c r="K2329" t="str">
        <f>IFERROR(IF(AND(VLOOKUP($C2329,Hes!$A:$B, 1, FALSE), $M2329&lt;&gt;" "), "Ingresada", "Falta Ingresar"), " ")</f>
        <v xml:space="preserve"> </v>
      </c>
      <c r="L2329" s="4" t="str">
        <f>IFERROR(VLOOKUP($C2329,Observaciones!$A:$B,2,FALSE)," ")</f>
        <v xml:space="preserve"> </v>
      </c>
      <c r="M2329" t="s">
        <v>681</v>
      </c>
      <c r="O2329" s="5">
        <v>30846414</v>
      </c>
      <c r="P2329" s="5">
        <v>662114</v>
      </c>
      <c r="Q2329" s="5">
        <v>125802</v>
      </c>
      <c r="R2329" s="5">
        <v>787916</v>
      </c>
    </row>
    <row r="2330" spans="1:18" x14ac:dyDescent="0.25">
      <c r="A2330" t="s">
        <v>501</v>
      </c>
      <c r="B2330" t="s">
        <v>494</v>
      </c>
      <c r="C2330">
        <v>78053790</v>
      </c>
      <c r="D2330">
        <v>88</v>
      </c>
      <c r="E2330">
        <v>30849896</v>
      </c>
      <c r="F2330" t="s">
        <v>1285</v>
      </c>
      <c r="G2330" s="1">
        <v>45236</v>
      </c>
      <c r="H2330">
        <v>5412846</v>
      </c>
      <c r="I2330">
        <v>344</v>
      </c>
      <c r="J2330" t="s">
        <v>301</v>
      </c>
      <c r="K2330" t="str">
        <f>IFERROR(IF(AND(VLOOKUP($C2330,Hes!$A:$B, 1, FALSE), $M2330&lt;&gt;" "), "Ingresada", "Falta Ingresar"), " ")</f>
        <v xml:space="preserve"> </v>
      </c>
      <c r="L2330" s="4" t="str">
        <f>IFERROR(VLOOKUP($C2330,Observaciones!$A:$B,2,FALSE)," ")</f>
        <v xml:space="preserve"> </v>
      </c>
      <c r="M2330" t="s">
        <v>681</v>
      </c>
      <c r="O2330" s="5">
        <v>30849896</v>
      </c>
      <c r="P2330" s="5">
        <v>138277</v>
      </c>
      <c r="Q2330" s="5">
        <v>26273</v>
      </c>
      <c r="R2330" s="5">
        <v>164550</v>
      </c>
    </row>
    <row r="2331" spans="1:18" x14ac:dyDescent="0.25">
      <c r="A2331" t="s">
        <v>501</v>
      </c>
      <c r="B2331" t="s">
        <v>494</v>
      </c>
      <c r="C2331">
        <v>78053790</v>
      </c>
      <c r="D2331">
        <v>88</v>
      </c>
      <c r="E2331">
        <v>30849896</v>
      </c>
      <c r="F2331" t="s">
        <v>1285</v>
      </c>
      <c r="G2331" s="1">
        <v>45236</v>
      </c>
      <c r="H2331">
        <v>5412847</v>
      </c>
      <c r="I2331">
        <v>344</v>
      </c>
      <c r="J2331" t="s">
        <v>301</v>
      </c>
      <c r="K2331" t="str">
        <f>IFERROR(IF(AND(VLOOKUP($C2331,Hes!$A:$B, 1, FALSE), $M2331&lt;&gt;" "), "Ingresada", "Falta Ingresar"), " ")</f>
        <v xml:space="preserve"> </v>
      </c>
      <c r="L2331" s="4" t="str">
        <f>IFERROR(VLOOKUP($C2331,Observaciones!$A:$B,2,FALSE)," ")</f>
        <v xml:space="preserve"> </v>
      </c>
      <c r="M2331" t="s">
        <v>681</v>
      </c>
      <c r="O2331" s="5">
        <v>30849896</v>
      </c>
      <c r="P2331" s="5">
        <v>10802</v>
      </c>
      <c r="Q2331" s="5">
        <v>2052</v>
      </c>
      <c r="R2331" s="5">
        <v>12854</v>
      </c>
    </row>
    <row r="2332" spans="1:18" x14ac:dyDescent="0.25">
      <c r="A2332" t="s">
        <v>501</v>
      </c>
      <c r="B2332" t="s">
        <v>494</v>
      </c>
      <c r="C2332">
        <v>78053790</v>
      </c>
      <c r="D2332">
        <v>59</v>
      </c>
      <c r="E2332">
        <v>30850753</v>
      </c>
      <c r="F2332" t="s">
        <v>1285</v>
      </c>
      <c r="G2332" s="1">
        <v>45236</v>
      </c>
      <c r="H2332">
        <v>5413123</v>
      </c>
      <c r="I2332">
        <v>344</v>
      </c>
      <c r="J2332" t="s">
        <v>301</v>
      </c>
      <c r="K2332" t="str">
        <f>IFERROR(IF(AND(VLOOKUP($C2332,Hes!$A:$B, 1, FALSE), $M2332&lt;&gt;" "), "Ingresada", "Falta Ingresar"), " ")</f>
        <v xml:space="preserve"> </v>
      </c>
      <c r="L2332" s="4" t="str">
        <f>IFERROR(VLOOKUP($C2332,Observaciones!$A:$B,2,FALSE)," ")</f>
        <v xml:space="preserve"> </v>
      </c>
      <c r="M2332" t="s">
        <v>681</v>
      </c>
      <c r="O2332" s="5">
        <v>30850753</v>
      </c>
      <c r="P2332" s="5">
        <v>182054</v>
      </c>
      <c r="Q2332" s="5">
        <v>34590</v>
      </c>
      <c r="R2332" s="5">
        <v>216644</v>
      </c>
    </row>
    <row r="2333" spans="1:18" x14ac:dyDescent="0.25">
      <c r="A2333" t="s">
        <v>501</v>
      </c>
      <c r="B2333" t="s">
        <v>494</v>
      </c>
      <c r="C2333">
        <v>78053790</v>
      </c>
      <c r="D2333">
        <v>38</v>
      </c>
      <c r="E2333">
        <v>30855885</v>
      </c>
      <c r="F2333" t="s">
        <v>1285</v>
      </c>
      <c r="G2333" s="1">
        <v>45236</v>
      </c>
      <c r="H2333">
        <v>5413145</v>
      </c>
      <c r="I2333">
        <v>344</v>
      </c>
      <c r="J2333" t="s">
        <v>301</v>
      </c>
      <c r="K2333" t="str">
        <f>IFERROR(IF(AND(VLOOKUP($C2333,Hes!$A:$B, 1, FALSE), $M2333&lt;&gt;" "), "Ingresada", "Falta Ingresar"), " ")</f>
        <v xml:space="preserve"> </v>
      </c>
      <c r="L2333" s="4" t="str">
        <f>IFERROR(VLOOKUP($C2333,Observaciones!$A:$B,2,FALSE)," ")</f>
        <v xml:space="preserve"> </v>
      </c>
      <c r="M2333" t="s">
        <v>681</v>
      </c>
      <c r="O2333" s="5">
        <v>30855885</v>
      </c>
      <c r="P2333" s="5">
        <v>148443</v>
      </c>
      <c r="Q2333" s="5">
        <v>28204</v>
      </c>
      <c r="R2333" s="5">
        <v>176647</v>
      </c>
    </row>
    <row r="2334" spans="1:18" x14ac:dyDescent="0.25">
      <c r="A2334" t="s">
        <v>501</v>
      </c>
      <c r="B2334" t="s">
        <v>494</v>
      </c>
      <c r="C2334">
        <v>78053790</v>
      </c>
      <c r="D2334">
        <v>2</v>
      </c>
      <c r="E2334" t="s">
        <v>1286</v>
      </c>
      <c r="F2334" t="s">
        <v>1285</v>
      </c>
      <c r="G2334" s="1">
        <v>45236</v>
      </c>
      <c r="H2334">
        <v>5413528</v>
      </c>
      <c r="I2334">
        <v>344</v>
      </c>
      <c r="J2334" t="s">
        <v>301</v>
      </c>
      <c r="K2334" t="str">
        <f>IFERROR(IF(AND(VLOOKUP($C2334,Hes!$A:$B, 1, FALSE), $M2334&lt;&gt;" "), "Ingresada", "Falta Ingresar"), " ")</f>
        <v xml:space="preserve"> </v>
      </c>
      <c r="L2334" s="4" t="str">
        <f>IFERROR(VLOOKUP($C2334,Observaciones!$A:$B,2,FALSE)," ")</f>
        <v xml:space="preserve"> </v>
      </c>
      <c r="M2334" t="s">
        <v>681</v>
      </c>
      <c r="O2334" s="5">
        <v>30854121</v>
      </c>
      <c r="P2334" s="5">
        <v>395250</v>
      </c>
      <c r="Q2334" s="5">
        <v>75098</v>
      </c>
      <c r="R2334" s="5">
        <v>470348</v>
      </c>
    </row>
    <row r="2335" spans="1:18" x14ac:dyDescent="0.25">
      <c r="A2335" t="s">
        <v>501</v>
      </c>
      <c r="B2335" t="s">
        <v>494</v>
      </c>
      <c r="C2335">
        <v>78053790</v>
      </c>
      <c r="D2335">
        <v>40</v>
      </c>
      <c r="E2335">
        <v>30857166</v>
      </c>
      <c r="F2335" t="s">
        <v>1285</v>
      </c>
      <c r="G2335" s="1">
        <v>45237</v>
      </c>
      <c r="H2335">
        <v>5414040</v>
      </c>
      <c r="I2335">
        <v>344</v>
      </c>
      <c r="J2335" t="s">
        <v>301</v>
      </c>
      <c r="K2335" t="str">
        <f>IFERROR(IF(AND(VLOOKUP($C2335,Hes!$A:$B, 1, FALSE), $M2335&lt;&gt;" "), "Ingresada", "Falta Ingresar"), " ")</f>
        <v xml:space="preserve"> </v>
      </c>
      <c r="L2335" s="4" t="str">
        <f>IFERROR(VLOOKUP($C2335,Observaciones!$A:$B,2,FALSE)," ")</f>
        <v xml:space="preserve"> </v>
      </c>
      <c r="M2335" t="s">
        <v>681</v>
      </c>
      <c r="O2335" s="5">
        <v>30857166</v>
      </c>
      <c r="P2335" s="5">
        <v>36952</v>
      </c>
      <c r="Q2335" s="5">
        <v>7021</v>
      </c>
      <c r="R2335" s="5">
        <v>43973</v>
      </c>
    </row>
    <row r="2336" spans="1:18" x14ac:dyDescent="0.25">
      <c r="A2336" t="s">
        <v>501</v>
      </c>
      <c r="B2336" t="s">
        <v>494</v>
      </c>
      <c r="C2336">
        <v>78053790</v>
      </c>
      <c r="D2336">
        <v>94</v>
      </c>
      <c r="E2336">
        <v>30857527</v>
      </c>
      <c r="F2336" t="s">
        <v>1285</v>
      </c>
      <c r="G2336" s="1">
        <v>45238</v>
      </c>
      <c r="H2336">
        <v>5414604</v>
      </c>
      <c r="I2336">
        <v>344</v>
      </c>
      <c r="J2336" t="s">
        <v>301</v>
      </c>
      <c r="K2336" t="str">
        <f>IFERROR(IF(AND(VLOOKUP($C2336,Hes!$A:$B, 1, FALSE), $M2336&lt;&gt;" "), "Ingresada", "Falta Ingresar"), " ")</f>
        <v xml:space="preserve"> </v>
      </c>
      <c r="L2336" s="4" t="str">
        <f>IFERROR(VLOOKUP($C2336,Observaciones!$A:$B,2,FALSE)," ")</f>
        <v xml:space="preserve"> </v>
      </c>
      <c r="M2336" t="s">
        <v>681</v>
      </c>
      <c r="O2336" s="5">
        <v>30857527</v>
      </c>
      <c r="P2336" s="5">
        <v>187540</v>
      </c>
      <c r="Q2336" s="5">
        <v>35633</v>
      </c>
      <c r="R2336" s="5">
        <v>223173</v>
      </c>
    </row>
    <row r="2337" spans="1:18" x14ac:dyDescent="0.25">
      <c r="A2337" t="s">
        <v>501</v>
      </c>
      <c r="B2337" t="s">
        <v>494</v>
      </c>
      <c r="C2337">
        <v>78053790</v>
      </c>
      <c r="D2337">
        <v>90</v>
      </c>
      <c r="E2337">
        <v>30861357</v>
      </c>
      <c r="F2337" t="s">
        <v>1285</v>
      </c>
      <c r="G2337" s="1">
        <v>45238</v>
      </c>
      <c r="H2337">
        <v>5414877</v>
      </c>
      <c r="I2337">
        <v>344</v>
      </c>
      <c r="J2337" t="s">
        <v>301</v>
      </c>
      <c r="K2337" t="str">
        <f>IFERROR(IF(AND(VLOOKUP($C2337,Hes!$A:$B, 1, FALSE), $M2337&lt;&gt;" "), "Ingresada", "Falta Ingresar"), " ")</f>
        <v xml:space="preserve"> </v>
      </c>
      <c r="L2337" s="4" t="str">
        <f>IFERROR(VLOOKUP($C2337,Observaciones!$A:$B,2,FALSE)," ")</f>
        <v xml:space="preserve"> </v>
      </c>
      <c r="M2337" t="s">
        <v>681</v>
      </c>
      <c r="O2337" s="5">
        <v>30861357</v>
      </c>
      <c r="P2337" s="5">
        <v>122867</v>
      </c>
      <c r="Q2337" s="5">
        <v>23345</v>
      </c>
      <c r="R2337" s="5">
        <v>146212</v>
      </c>
    </row>
    <row r="2338" spans="1:18" x14ac:dyDescent="0.25">
      <c r="A2338" t="s">
        <v>501</v>
      </c>
      <c r="B2338" t="s">
        <v>494</v>
      </c>
      <c r="C2338">
        <v>78053790</v>
      </c>
      <c r="D2338">
        <v>34</v>
      </c>
      <c r="E2338">
        <v>30861138</v>
      </c>
      <c r="F2338" t="s">
        <v>1285</v>
      </c>
      <c r="G2338" s="1">
        <v>45238</v>
      </c>
      <c r="H2338">
        <v>5414906</v>
      </c>
      <c r="I2338">
        <v>344</v>
      </c>
      <c r="J2338" t="s">
        <v>301</v>
      </c>
      <c r="K2338" t="str">
        <f>IFERROR(IF(AND(VLOOKUP($C2338,Hes!$A:$B, 1, FALSE), $M2338&lt;&gt;" "), "Ingresada", "Falta Ingresar"), " ")</f>
        <v xml:space="preserve"> </v>
      </c>
      <c r="L2338" s="4" t="str">
        <f>IFERROR(VLOOKUP($C2338,Observaciones!$A:$B,2,FALSE)," ")</f>
        <v xml:space="preserve"> </v>
      </c>
      <c r="M2338" t="s">
        <v>681</v>
      </c>
      <c r="O2338" s="5">
        <v>30861138</v>
      </c>
      <c r="P2338" s="5">
        <v>235627</v>
      </c>
      <c r="Q2338" s="5">
        <v>44769</v>
      </c>
      <c r="R2338" s="5">
        <v>280396</v>
      </c>
    </row>
    <row r="2339" spans="1:18" x14ac:dyDescent="0.25">
      <c r="A2339" t="s">
        <v>501</v>
      </c>
      <c r="B2339" t="s">
        <v>494</v>
      </c>
      <c r="C2339">
        <v>78053790</v>
      </c>
      <c r="D2339">
        <v>31</v>
      </c>
      <c r="E2339">
        <v>30860469</v>
      </c>
      <c r="F2339" t="s">
        <v>1285</v>
      </c>
      <c r="G2339" s="1">
        <v>45238</v>
      </c>
      <c r="H2339">
        <v>5415017</v>
      </c>
      <c r="I2339">
        <v>344</v>
      </c>
      <c r="J2339" t="s">
        <v>301</v>
      </c>
      <c r="K2339" t="str">
        <f>IFERROR(IF(AND(VLOOKUP($C2339,Hes!$A:$B, 1, FALSE), $M2339&lt;&gt;" "), "Ingresada", "Falta Ingresar"), " ")</f>
        <v xml:space="preserve"> </v>
      </c>
      <c r="L2339" s="4" t="str">
        <f>IFERROR(VLOOKUP($C2339,Observaciones!$A:$B,2,FALSE)," ")</f>
        <v xml:space="preserve"> </v>
      </c>
      <c r="M2339" t="s">
        <v>681</v>
      </c>
      <c r="O2339" s="5">
        <v>30860469</v>
      </c>
      <c r="P2339" s="5">
        <v>188629</v>
      </c>
      <c r="Q2339" s="5">
        <v>35840</v>
      </c>
      <c r="R2339" s="5">
        <v>224469</v>
      </c>
    </row>
    <row r="2340" spans="1:18" x14ac:dyDescent="0.25">
      <c r="A2340" t="s">
        <v>501</v>
      </c>
      <c r="B2340" t="s">
        <v>494</v>
      </c>
      <c r="C2340">
        <v>78053790</v>
      </c>
      <c r="D2340">
        <v>89</v>
      </c>
      <c r="E2340">
        <v>30862246</v>
      </c>
      <c r="F2340" t="s">
        <v>1285</v>
      </c>
      <c r="G2340" s="1">
        <v>45238</v>
      </c>
      <c r="H2340">
        <v>5415077</v>
      </c>
      <c r="I2340">
        <v>344</v>
      </c>
      <c r="J2340" t="s">
        <v>301</v>
      </c>
      <c r="K2340" t="str">
        <f>IFERROR(IF(AND(VLOOKUP($C2340,Hes!$A:$B, 1, FALSE), $M2340&lt;&gt;" "), "Ingresada", "Falta Ingresar"), " ")</f>
        <v xml:space="preserve"> </v>
      </c>
      <c r="L2340" s="4" t="str">
        <f>IFERROR(VLOOKUP($C2340,Observaciones!$A:$B,2,FALSE)," ")</f>
        <v xml:space="preserve"> </v>
      </c>
      <c r="M2340" t="s">
        <v>681</v>
      </c>
      <c r="O2340" s="5">
        <v>30862246</v>
      </c>
      <c r="P2340" s="5">
        <v>105961</v>
      </c>
      <c r="Q2340" s="5">
        <v>20133</v>
      </c>
      <c r="R2340" s="5">
        <v>126094</v>
      </c>
    </row>
    <row r="2341" spans="1:18" x14ac:dyDescent="0.25">
      <c r="F2341" t="s">
        <v>576</v>
      </c>
      <c r="K2341" t="str">
        <f>IFERROR(IF(AND(VLOOKUP($C2341,Hes!$A:$B, 1, FALSE), $M2341&lt;&gt;" "), "Ingresada", "Falta Ingresar"), " ")</f>
        <v xml:space="preserve"> </v>
      </c>
      <c r="L2341" s="4" t="str">
        <f>IFERROR(VLOOKUP($C2341,Observaciones!$A:$B,2,FALSE)," ")</f>
        <v xml:space="preserve"> </v>
      </c>
      <c r="M2341" t="s">
        <v>681</v>
      </c>
      <c r="P2341" s="5">
        <v>2595156</v>
      </c>
      <c r="Q2341" s="5">
        <v>493081</v>
      </c>
      <c r="R2341" s="5">
        <v>3088237</v>
      </c>
    </row>
    <row r="2342" spans="1:18" x14ac:dyDescent="0.25">
      <c r="A2342" t="s">
        <v>503</v>
      </c>
      <c r="B2342" t="s">
        <v>494</v>
      </c>
      <c r="C2342">
        <v>78057000</v>
      </c>
      <c r="D2342">
        <v>18</v>
      </c>
      <c r="E2342">
        <v>30840796</v>
      </c>
      <c r="F2342" t="s">
        <v>580</v>
      </c>
      <c r="G2342" s="1">
        <v>45232</v>
      </c>
      <c r="H2342">
        <v>5411109</v>
      </c>
      <c r="I2342">
        <v>37</v>
      </c>
      <c r="J2342" t="s">
        <v>156</v>
      </c>
      <c r="K2342" t="str">
        <f>IFERROR(IF(AND(VLOOKUP($C2342,Hes!$A:$B, 1, FALSE), $M2342&lt;&gt;" "), "Ingresada", "Falta Ingresar"), " ")</f>
        <v xml:space="preserve"> </v>
      </c>
      <c r="L2342" s="4" t="str">
        <f>IFERROR(VLOOKUP($C2342,Observaciones!$A:$B,2,FALSE)," ")</f>
        <v>PEDIDOS WEB 1 FACTURA , OC 43000.. X OC Y CC</v>
      </c>
      <c r="M2342" t="s">
        <v>681</v>
      </c>
      <c r="O2342" s="5">
        <v>30840796</v>
      </c>
      <c r="P2342" s="5">
        <v>46239</v>
      </c>
      <c r="Q2342" s="5">
        <v>8785</v>
      </c>
      <c r="R2342" s="5">
        <v>55024</v>
      </c>
    </row>
    <row r="2343" spans="1:18" x14ac:dyDescent="0.25">
      <c r="F2343" t="s">
        <v>495</v>
      </c>
      <c r="K2343" t="str">
        <f>IFERROR(IF(AND(VLOOKUP($C2343,Hes!$A:$B, 1, FALSE), $M2343&lt;&gt;" "), "Ingresada", "Falta Ingresar"), " ")</f>
        <v xml:space="preserve"> </v>
      </c>
      <c r="L2343" s="4" t="str">
        <f>IFERROR(VLOOKUP($C2343,Observaciones!$A:$B,2,FALSE)," ")</f>
        <v xml:space="preserve"> </v>
      </c>
      <c r="M2343" t="s">
        <v>681</v>
      </c>
      <c r="P2343" s="5">
        <v>46239</v>
      </c>
      <c r="Q2343" s="5">
        <v>8785</v>
      </c>
      <c r="R2343" s="5">
        <v>55024</v>
      </c>
    </row>
    <row r="2344" spans="1:18" x14ac:dyDescent="0.25">
      <c r="A2344" t="s">
        <v>503</v>
      </c>
      <c r="B2344" t="s">
        <v>494</v>
      </c>
      <c r="C2344">
        <v>78092910</v>
      </c>
      <c r="D2344">
        <v>53</v>
      </c>
      <c r="E2344">
        <v>14421</v>
      </c>
      <c r="F2344" t="s">
        <v>1287</v>
      </c>
      <c r="G2344" s="1">
        <v>45238</v>
      </c>
      <c r="H2344">
        <v>5415476</v>
      </c>
      <c r="I2344">
        <v>58</v>
      </c>
      <c r="J2344" t="s">
        <v>230</v>
      </c>
      <c r="K2344" t="str">
        <f>IFERROR(IF(AND(VLOOKUP($C2344,Hes!$A:$B, 1, FALSE), $M2344&lt;&gt;" "), "Ingresada", "Falta Ingresar"), " ")</f>
        <v xml:space="preserve"> </v>
      </c>
      <c r="L2344" s="4" t="s">
        <v>681</v>
      </c>
      <c r="M2344" t="s">
        <v>681</v>
      </c>
      <c r="O2344" s="5">
        <v>30859084</v>
      </c>
      <c r="P2344" s="5">
        <v>17705</v>
      </c>
      <c r="Q2344" s="5">
        <v>3364</v>
      </c>
      <c r="R2344" s="5">
        <v>21069</v>
      </c>
    </row>
    <row r="2345" spans="1:18" x14ac:dyDescent="0.25">
      <c r="A2345" t="s">
        <v>503</v>
      </c>
      <c r="B2345" t="s">
        <v>494</v>
      </c>
      <c r="C2345">
        <v>78092910</v>
      </c>
      <c r="D2345">
        <v>50</v>
      </c>
      <c r="E2345">
        <v>14426</v>
      </c>
      <c r="F2345" t="s">
        <v>1287</v>
      </c>
      <c r="G2345" s="1">
        <v>45238</v>
      </c>
      <c r="H2345">
        <v>5415477</v>
      </c>
      <c r="I2345">
        <v>58</v>
      </c>
      <c r="J2345" t="s">
        <v>230</v>
      </c>
      <c r="K2345" t="str">
        <f>IFERROR(IF(AND(VLOOKUP($C2345,Hes!$A:$B, 1, FALSE), $M2345&lt;&gt;" "), "Ingresada", "Falta Ingresar"), " ")</f>
        <v xml:space="preserve"> </v>
      </c>
      <c r="L2345" s="4" t="s">
        <v>681</v>
      </c>
      <c r="M2345" t="s">
        <v>681</v>
      </c>
      <c r="O2345" s="5">
        <v>30859116</v>
      </c>
      <c r="P2345" s="5">
        <v>51960</v>
      </c>
      <c r="Q2345" s="5">
        <v>9872</v>
      </c>
      <c r="R2345" s="5">
        <v>61832</v>
      </c>
    </row>
    <row r="2346" spans="1:18" x14ac:dyDescent="0.25">
      <c r="A2346" t="s">
        <v>503</v>
      </c>
      <c r="B2346" t="s">
        <v>494</v>
      </c>
      <c r="C2346">
        <v>78092910</v>
      </c>
      <c r="D2346">
        <v>51</v>
      </c>
      <c r="E2346">
        <v>14425</v>
      </c>
      <c r="F2346" t="s">
        <v>1287</v>
      </c>
      <c r="G2346" s="1">
        <v>45238</v>
      </c>
      <c r="H2346">
        <v>5415483</v>
      </c>
      <c r="I2346">
        <v>58</v>
      </c>
      <c r="J2346" t="s">
        <v>230</v>
      </c>
      <c r="K2346" t="str">
        <f>IFERROR(IF(AND(VLOOKUP($C2346,Hes!$A:$B, 1, FALSE), $M2346&lt;&gt;" "), "Ingresada", "Falta Ingresar"), " ")</f>
        <v xml:space="preserve"> </v>
      </c>
      <c r="L2346" s="4" t="s">
        <v>681</v>
      </c>
      <c r="M2346" t="s">
        <v>681</v>
      </c>
      <c r="O2346" s="5">
        <v>30859164</v>
      </c>
      <c r="P2346" s="5">
        <v>45867</v>
      </c>
      <c r="Q2346" s="5">
        <v>8715</v>
      </c>
      <c r="R2346" s="5">
        <v>54582</v>
      </c>
    </row>
    <row r="2347" spans="1:18" x14ac:dyDescent="0.25">
      <c r="A2347" t="s">
        <v>503</v>
      </c>
      <c r="B2347" t="s">
        <v>494</v>
      </c>
      <c r="C2347">
        <v>78092910</v>
      </c>
      <c r="D2347">
        <v>52</v>
      </c>
      <c r="E2347">
        <v>14419</v>
      </c>
      <c r="F2347" t="s">
        <v>1287</v>
      </c>
      <c r="G2347" s="1">
        <v>45238</v>
      </c>
      <c r="H2347">
        <v>5415484</v>
      </c>
      <c r="I2347">
        <v>58</v>
      </c>
      <c r="J2347" t="s">
        <v>230</v>
      </c>
      <c r="K2347" t="str">
        <f>IFERROR(IF(AND(VLOOKUP($C2347,Hes!$A:$B, 1, FALSE), $M2347&lt;&gt;" "), "Ingresada", "Falta Ingresar"), " ")</f>
        <v xml:space="preserve"> </v>
      </c>
      <c r="L2347" s="4" t="s">
        <v>681</v>
      </c>
      <c r="M2347" t="s">
        <v>681</v>
      </c>
      <c r="O2347" s="5">
        <v>30859245</v>
      </c>
      <c r="P2347" s="5">
        <v>35358</v>
      </c>
      <c r="Q2347" s="5">
        <v>6718</v>
      </c>
      <c r="R2347" s="5">
        <v>42076</v>
      </c>
    </row>
    <row r="2348" spans="1:18" x14ac:dyDescent="0.25">
      <c r="A2348" t="s">
        <v>503</v>
      </c>
      <c r="B2348" t="s">
        <v>494</v>
      </c>
      <c r="C2348">
        <v>78092910</v>
      </c>
      <c r="D2348">
        <v>41</v>
      </c>
      <c r="E2348">
        <v>14416</v>
      </c>
      <c r="F2348" t="s">
        <v>1287</v>
      </c>
      <c r="G2348" s="1">
        <v>45238</v>
      </c>
      <c r="H2348">
        <v>5415510</v>
      </c>
      <c r="I2348">
        <v>58</v>
      </c>
      <c r="J2348" t="s">
        <v>230</v>
      </c>
      <c r="K2348" t="str">
        <f>IFERROR(IF(AND(VLOOKUP($C2348,Hes!$A:$B, 1, FALSE), $M2348&lt;&gt;" "), "Ingresada", "Falta Ingresar"), " ")</f>
        <v xml:space="preserve"> </v>
      </c>
      <c r="L2348" s="4" t="s">
        <v>681</v>
      </c>
      <c r="M2348" t="s">
        <v>681</v>
      </c>
      <c r="O2348" s="5">
        <v>30858001</v>
      </c>
      <c r="P2348" s="5">
        <v>25560</v>
      </c>
      <c r="Q2348" s="5">
        <v>4856</v>
      </c>
      <c r="R2348" s="5">
        <v>30416</v>
      </c>
    </row>
    <row r="2349" spans="1:18" x14ac:dyDescent="0.25">
      <c r="A2349" t="s">
        <v>503</v>
      </c>
      <c r="B2349" t="s">
        <v>494</v>
      </c>
      <c r="C2349">
        <v>78092910</v>
      </c>
      <c r="D2349">
        <v>54</v>
      </c>
      <c r="E2349">
        <v>14417</v>
      </c>
      <c r="F2349" t="s">
        <v>1287</v>
      </c>
      <c r="G2349" s="1">
        <v>45238</v>
      </c>
      <c r="H2349">
        <v>5415511</v>
      </c>
      <c r="I2349">
        <v>58</v>
      </c>
      <c r="J2349" t="s">
        <v>230</v>
      </c>
      <c r="K2349" t="str">
        <f>IFERROR(IF(AND(VLOOKUP($C2349,Hes!$A:$B, 1, FALSE), $M2349&lt;&gt;" "), "Ingresada", "Falta Ingresar"), " ")</f>
        <v xml:space="preserve"> </v>
      </c>
      <c r="L2349" s="4" t="s">
        <v>681</v>
      </c>
      <c r="M2349" t="s">
        <v>681</v>
      </c>
      <c r="O2349" s="5">
        <v>30859043</v>
      </c>
      <c r="P2349" s="5">
        <v>17661</v>
      </c>
      <c r="Q2349" s="5">
        <v>3356</v>
      </c>
      <c r="R2349" s="5">
        <v>21017</v>
      </c>
    </row>
    <row r="2350" spans="1:18" x14ac:dyDescent="0.25">
      <c r="A2350" t="s">
        <v>503</v>
      </c>
      <c r="B2350" t="s">
        <v>494</v>
      </c>
      <c r="C2350">
        <v>78092910</v>
      </c>
      <c r="D2350">
        <v>44</v>
      </c>
      <c r="E2350">
        <v>14414</v>
      </c>
      <c r="F2350" t="s">
        <v>1287</v>
      </c>
      <c r="G2350" s="1">
        <v>45238</v>
      </c>
      <c r="H2350">
        <v>5415706</v>
      </c>
      <c r="I2350">
        <v>58</v>
      </c>
      <c r="J2350" t="s">
        <v>230</v>
      </c>
      <c r="K2350" t="str">
        <f>IFERROR(IF(AND(VLOOKUP($C2350,Hes!$A:$B, 1, FALSE), $M2350&lt;&gt;" "), "Ingresada", "Falta Ingresar"), " ")</f>
        <v xml:space="preserve"> </v>
      </c>
      <c r="L2350" s="4" t="s">
        <v>681</v>
      </c>
      <c r="M2350" t="s">
        <v>681</v>
      </c>
      <c r="O2350" s="5">
        <v>30858039</v>
      </c>
      <c r="P2350" s="5">
        <v>387676</v>
      </c>
      <c r="Q2350" s="5">
        <v>73658</v>
      </c>
      <c r="R2350" s="5">
        <v>461334</v>
      </c>
    </row>
    <row r="2351" spans="1:18" x14ac:dyDescent="0.25">
      <c r="A2351" t="s">
        <v>503</v>
      </c>
      <c r="B2351" t="s">
        <v>494</v>
      </c>
      <c r="C2351">
        <v>78092910</v>
      </c>
      <c r="D2351">
        <v>45</v>
      </c>
      <c r="E2351">
        <v>14413</v>
      </c>
      <c r="F2351" t="s">
        <v>1287</v>
      </c>
      <c r="G2351" s="1">
        <v>45238</v>
      </c>
      <c r="H2351">
        <v>5415707</v>
      </c>
      <c r="I2351">
        <v>58</v>
      </c>
      <c r="J2351" t="s">
        <v>230</v>
      </c>
      <c r="K2351" t="str">
        <f>IFERROR(IF(AND(VLOOKUP($C2351,Hes!$A:$B, 1, FALSE), $M2351&lt;&gt;" "), "Ingresada", "Falta Ingresar"), " ")</f>
        <v xml:space="preserve"> </v>
      </c>
      <c r="L2351" s="4" t="s">
        <v>681</v>
      </c>
      <c r="M2351" t="s">
        <v>681</v>
      </c>
      <c r="O2351" s="5">
        <v>30857988</v>
      </c>
      <c r="P2351" s="5">
        <v>49972</v>
      </c>
      <c r="Q2351" s="5">
        <v>9495</v>
      </c>
      <c r="R2351" s="5">
        <v>59467</v>
      </c>
    </row>
    <row r="2352" spans="1:18" x14ac:dyDescent="0.25">
      <c r="A2352" t="s">
        <v>503</v>
      </c>
      <c r="B2352" t="s">
        <v>494</v>
      </c>
      <c r="C2352">
        <v>78092910</v>
      </c>
      <c r="D2352">
        <v>43</v>
      </c>
      <c r="E2352">
        <v>14415</v>
      </c>
      <c r="F2352" t="s">
        <v>1287</v>
      </c>
      <c r="G2352" s="1">
        <v>45238</v>
      </c>
      <c r="H2352">
        <v>5415708</v>
      </c>
      <c r="I2352">
        <v>58</v>
      </c>
      <c r="J2352" t="s">
        <v>230</v>
      </c>
      <c r="K2352" t="str">
        <f>IFERROR(IF(AND(VLOOKUP($C2352,Hes!$A:$B, 1, FALSE), $M2352&lt;&gt;" "), "Ingresada", "Falta Ingresar"), " ")</f>
        <v xml:space="preserve"> </v>
      </c>
      <c r="L2352" s="4" t="s">
        <v>681</v>
      </c>
      <c r="M2352" t="s">
        <v>681</v>
      </c>
      <c r="O2352" s="5">
        <v>30858036</v>
      </c>
      <c r="P2352" s="5">
        <v>32960</v>
      </c>
      <c r="Q2352" s="5">
        <v>6262</v>
      </c>
      <c r="R2352" s="5">
        <v>39222</v>
      </c>
    </row>
    <row r="2353" spans="1:18" x14ac:dyDescent="0.25">
      <c r="A2353" t="s">
        <v>503</v>
      </c>
      <c r="B2353" t="s">
        <v>494</v>
      </c>
      <c r="C2353">
        <v>78092910</v>
      </c>
      <c r="D2353">
        <v>46</v>
      </c>
      <c r="E2353">
        <v>14409</v>
      </c>
      <c r="F2353" t="s">
        <v>1287</v>
      </c>
      <c r="G2353" s="1">
        <v>45238</v>
      </c>
      <c r="H2353">
        <v>5415710</v>
      </c>
      <c r="I2353">
        <v>58</v>
      </c>
      <c r="J2353" t="s">
        <v>230</v>
      </c>
      <c r="K2353" t="str">
        <f>IFERROR(IF(AND(VLOOKUP($C2353,Hes!$A:$B, 1, FALSE), $M2353&lt;&gt;" "), "Ingresada", "Falta Ingresar"), " ")</f>
        <v xml:space="preserve"> </v>
      </c>
      <c r="L2353" s="4" t="s">
        <v>681</v>
      </c>
      <c r="M2353" t="s">
        <v>681</v>
      </c>
      <c r="O2353" s="5">
        <v>30857948</v>
      </c>
      <c r="P2353" s="5">
        <v>25658</v>
      </c>
      <c r="Q2353" s="5">
        <v>4875</v>
      </c>
      <c r="R2353" s="5">
        <v>30533</v>
      </c>
    </row>
    <row r="2354" spans="1:18" x14ac:dyDescent="0.25">
      <c r="A2354" t="s">
        <v>503</v>
      </c>
      <c r="B2354" t="s">
        <v>494</v>
      </c>
      <c r="C2354">
        <v>78092910</v>
      </c>
      <c r="D2354">
        <v>40</v>
      </c>
      <c r="E2354">
        <v>14410</v>
      </c>
      <c r="F2354" t="s">
        <v>1287</v>
      </c>
      <c r="G2354" s="1">
        <v>45238</v>
      </c>
      <c r="H2354">
        <v>5415712</v>
      </c>
      <c r="I2354">
        <v>58</v>
      </c>
      <c r="J2354" t="s">
        <v>230</v>
      </c>
      <c r="K2354" t="str">
        <f>IFERROR(IF(AND(VLOOKUP($C2354,Hes!$A:$B, 1, FALSE), $M2354&lt;&gt;" "), "Ingresada", "Falta Ingresar"), " ")</f>
        <v xml:space="preserve"> </v>
      </c>
      <c r="L2354" s="4" t="s">
        <v>681</v>
      </c>
      <c r="M2354" t="s">
        <v>681</v>
      </c>
      <c r="O2354" s="5">
        <v>30858022</v>
      </c>
      <c r="P2354" s="5">
        <v>56106</v>
      </c>
      <c r="Q2354" s="5">
        <v>10660</v>
      </c>
      <c r="R2354" s="5">
        <v>66766</v>
      </c>
    </row>
    <row r="2355" spans="1:18" x14ac:dyDescent="0.25">
      <c r="A2355" t="s">
        <v>503</v>
      </c>
      <c r="B2355" t="s">
        <v>494</v>
      </c>
      <c r="C2355">
        <v>78092910</v>
      </c>
      <c r="D2355">
        <v>42</v>
      </c>
      <c r="E2355">
        <v>14411</v>
      </c>
      <c r="F2355" t="s">
        <v>1287</v>
      </c>
      <c r="G2355" s="1">
        <v>45238</v>
      </c>
      <c r="H2355">
        <v>5415713</v>
      </c>
      <c r="I2355">
        <v>58</v>
      </c>
      <c r="J2355" t="s">
        <v>230</v>
      </c>
      <c r="K2355" t="str">
        <f>IFERROR(IF(AND(VLOOKUP($C2355,Hes!$A:$B, 1, FALSE), $M2355&lt;&gt;" "), "Ingresada", "Falta Ingresar"), " ")</f>
        <v xml:space="preserve"> </v>
      </c>
      <c r="L2355" s="4" t="s">
        <v>681</v>
      </c>
      <c r="M2355" t="s">
        <v>681</v>
      </c>
      <c r="O2355" s="5">
        <v>30858012</v>
      </c>
      <c r="P2355" s="5">
        <v>86231</v>
      </c>
      <c r="Q2355" s="5">
        <v>16384</v>
      </c>
      <c r="R2355" s="5">
        <v>102615</v>
      </c>
    </row>
    <row r="2356" spans="1:18" x14ac:dyDescent="0.25">
      <c r="F2356" t="s">
        <v>971</v>
      </c>
      <c r="K2356" t="str">
        <f>IFERROR(IF(AND(VLOOKUP($C2356,Hes!$A:$B, 1, FALSE), $M2356&lt;&gt;" "), "Ingresada", "Falta Ingresar"), " ")</f>
        <v xml:space="preserve"> </v>
      </c>
      <c r="L2356" s="4" t="str">
        <f>IFERROR(VLOOKUP($C2356,Observaciones!$A:$B,2,FALSE)," ")</f>
        <v xml:space="preserve"> </v>
      </c>
      <c r="M2356" t="s">
        <v>681</v>
      </c>
      <c r="P2356" s="5">
        <v>832714</v>
      </c>
      <c r="Q2356" s="5">
        <v>158215</v>
      </c>
      <c r="R2356" s="5">
        <v>990929</v>
      </c>
    </row>
    <row r="2357" spans="1:18" x14ac:dyDescent="0.25">
      <c r="A2357" t="s">
        <v>501</v>
      </c>
      <c r="B2357" t="s">
        <v>494</v>
      </c>
      <c r="C2357">
        <v>78105000</v>
      </c>
      <c r="D2357">
        <v>0</v>
      </c>
      <c r="E2357">
        <v>30859627</v>
      </c>
      <c r="F2357" t="s">
        <v>1288</v>
      </c>
      <c r="G2357" s="1">
        <v>45238</v>
      </c>
      <c r="H2357">
        <v>5414520</v>
      </c>
      <c r="I2357">
        <v>85</v>
      </c>
      <c r="J2357" t="s">
        <v>129</v>
      </c>
      <c r="K2357" t="str">
        <f>IFERROR(IF(AND(VLOOKUP($C2357,Hes!$A:$B, 1, FALSE), $M2357&lt;&gt;" "), "Ingresada", "Falta Ingresar"), " ")</f>
        <v xml:space="preserve"> </v>
      </c>
      <c r="L2357" s="4" t="str">
        <f>IFERROR(VLOOKUP($C2357,Observaciones!$A:$B,2,FALSE)," ")</f>
        <v xml:space="preserve"> </v>
      </c>
      <c r="M2357" t="s">
        <v>681</v>
      </c>
      <c r="O2357" s="5">
        <v>30859627</v>
      </c>
      <c r="P2357" s="5">
        <v>759290</v>
      </c>
      <c r="Q2357" s="5">
        <v>144265</v>
      </c>
      <c r="R2357" s="5">
        <v>903910</v>
      </c>
    </row>
    <row r="2358" spans="1:18" x14ac:dyDescent="0.25">
      <c r="A2358" t="s">
        <v>501</v>
      </c>
      <c r="B2358" t="s">
        <v>494</v>
      </c>
      <c r="C2358">
        <v>78105000</v>
      </c>
      <c r="D2358">
        <v>0</v>
      </c>
      <c r="E2358">
        <v>30859627</v>
      </c>
      <c r="F2358" t="s">
        <v>1288</v>
      </c>
      <c r="G2358" s="1">
        <v>45238</v>
      </c>
      <c r="H2358">
        <v>5414521</v>
      </c>
      <c r="I2358">
        <v>85</v>
      </c>
      <c r="J2358" t="s">
        <v>129</v>
      </c>
      <c r="K2358" t="str">
        <f>IFERROR(IF(AND(VLOOKUP($C2358,Hes!$A:$B, 1, FALSE), $M2358&lt;&gt;" "), "Ingresada", "Falta Ingresar"), " ")</f>
        <v xml:space="preserve"> </v>
      </c>
      <c r="L2358" s="4" t="str">
        <f>IFERROR(VLOOKUP($C2358,Observaciones!$A:$B,2,FALSE)," ")</f>
        <v xml:space="preserve"> </v>
      </c>
      <c r="M2358" t="s">
        <v>681</v>
      </c>
      <c r="O2358" s="5">
        <v>30859627</v>
      </c>
      <c r="P2358" s="5">
        <v>100628</v>
      </c>
      <c r="Q2358" s="5">
        <v>19119</v>
      </c>
      <c r="R2358" s="5">
        <v>119747</v>
      </c>
    </row>
    <row r="2359" spans="1:18" x14ac:dyDescent="0.25">
      <c r="F2359" t="s">
        <v>497</v>
      </c>
      <c r="K2359" t="str">
        <f>IFERROR(IF(AND(VLOOKUP($C2359,Hes!$A:$B, 1, FALSE), $M2359&lt;&gt;" "), "Ingresada", "Falta Ingresar"), " ")</f>
        <v xml:space="preserve"> </v>
      </c>
      <c r="L2359" s="4" t="str">
        <f>IFERROR(VLOOKUP($C2359,Observaciones!$A:$B,2,FALSE)," ")</f>
        <v xml:space="preserve"> </v>
      </c>
      <c r="M2359" t="s">
        <v>681</v>
      </c>
      <c r="P2359" s="5">
        <v>859918</v>
      </c>
      <c r="Q2359" s="5">
        <v>163384</v>
      </c>
      <c r="R2359" s="5">
        <v>1023657</v>
      </c>
    </row>
    <row r="2360" spans="1:18" x14ac:dyDescent="0.25">
      <c r="A2360" t="s">
        <v>503</v>
      </c>
      <c r="B2360" t="s">
        <v>494</v>
      </c>
      <c r="C2360">
        <v>78110220</v>
      </c>
      <c r="D2360">
        <v>13</v>
      </c>
      <c r="E2360">
        <v>3000668</v>
      </c>
      <c r="F2360" t="s">
        <v>1289</v>
      </c>
      <c r="G2360" s="1">
        <v>45236</v>
      </c>
      <c r="H2360">
        <v>5412981</v>
      </c>
      <c r="I2360">
        <v>122</v>
      </c>
      <c r="J2360" t="s">
        <v>396</v>
      </c>
      <c r="K2360" t="str">
        <f>IFERROR(IF(AND(VLOOKUP($C2360,Hes!$A:$B, 1, FALSE), $M2360&lt;&gt;" "), "Ingresada", "Falta Ingresar"), " ")</f>
        <v xml:space="preserve"> </v>
      </c>
      <c r="L2360" s="4" t="s">
        <v>681</v>
      </c>
      <c r="M2360" t="s">
        <v>681</v>
      </c>
      <c r="O2360" s="5">
        <v>30841164</v>
      </c>
      <c r="P2360" s="5">
        <v>375429</v>
      </c>
      <c r="Q2360" s="5">
        <v>71332</v>
      </c>
      <c r="R2360" s="5">
        <v>446761</v>
      </c>
    </row>
    <row r="2361" spans="1:18" x14ac:dyDescent="0.25">
      <c r="A2361" t="s">
        <v>503</v>
      </c>
      <c r="B2361" t="s">
        <v>494</v>
      </c>
      <c r="C2361">
        <v>78110220</v>
      </c>
      <c r="D2361">
        <v>0</v>
      </c>
      <c r="E2361">
        <v>7509</v>
      </c>
      <c r="F2361" t="s">
        <v>1289</v>
      </c>
      <c r="G2361" s="1">
        <v>45236</v>
      </c>
      <c r="H2361">
        <v>5413790</v>
      </c>
      <c r="I2361">
        <v>122</v>
      </c>
      <c r="J2361" t="s">
        <v>396</v>
      </c>
      <c r="K2361" t="str">
        <f>IFERROR(IF(AND(VLOOKUP($C2361,Hes!$A:$B, 1, FALSE), $M2361&lt;&gt;" "), "Ingresada", "Falta Ingresar"), " ")</f>
        <v xml:space="preserve"> </v>
      </c>
      <c r="L2361" s="4" t="s">
        <v>681</v>
      </c>
      <c r="M2361" t="s">
        <v>681</v>
      </c>
      <c r="O2361" s="5">
        <v>30830565</v>
      </c>
      <c r="P2361" s="5">
        <v>186047</v>
      </c>
      <c r="Q2361" s="5">
        <v>35349</v>
      </c>
      <c r="R2361" s="5">
        <v>221396</v>
      </c>
    </row>
    <row r="2362" spans="1:18" x14ac:dyDescent="0.25">
      <c r="F2362" t="s">
        <v>497</v>
      </c>
      <c r="K2362" t="str">
        <f>IFERROR(IF(AND(VLOOKUP($C2362,Hes!$A:$B, 1, FALSE), $M2362&lt;&gt;" "), "Ingresada", "Falta Ingresar"), " ")</f>
        <v xml:space="preserve"> </v>
      </c>
      <c r="L2362" s="4" t="str">
        <f>IFERROR(VLOOKUP($C2362,Observaciones!$A:$B,2,FALSE)," ")</f>
        <v xml:space="preserve"> </v>
      </c>
      <c r="M2362" t="s">
        <v>681</v>
      </c>
      <c r="P2362" s="5">
        <v>561476</v>
      </c>
      <c r="Q2362" s="5">
        <v>106681</v>
      </c>
      <c r="R2362" s="5">
        <v>668157</v>
      </c>
    </row>
    <row r="2363" spans="1:18" x14ac:dyDescent="0.25">
      <c r="A2363" t="s">
        <v>503</v>
      </c>
      <c r="B2363" t="s">
        <v>494</v>
      </c>
      <c r="C2363">
        <v>78119320</v>
      </c>
      <c r="D2363">
        <v>0</v>
      </c>
      <c r="E2363">
        <v>23009414</v>
      </c>
      <c r="F2363" t="s">
        <v>1290</v>
      </c>
      <c r="G2363" s="1">
        <v>45232</v>
      </c>
      <c r="H2363">
        <v>5410690</v>
      </c>
      <c r="I2363">
        <v>420</v>
      </c>
      <c r="J2363" t="s">
        <v>265</v>
      </c>
      <c r="K2363" s="7" t="str">
        <f>IFERROR(IF(AND(VLOOKUP($C2363,Hes!$A:$B, 1, FALSE), $M2363&lt;&gt;" "), "Ingresada", "Falta Ingresar"), " ")</f>
        <v>Ingresada</v>
      </c>
      <c r="L2363" s="4" t="s">
        <v>681</v>
      </c>
      <c r="M2363">
        <v>552799</v>
      </c>
      <c r="N2363" s="5" t="s">
        <v>841</v>
      </c>
      <c r="O2363" s="5">
        <v>30838331</v>
      </c>
      <c r="P2363" s="5">
        <v>275195</v>
      </c>
      <c r="Q2363" s="5">
        <v>52287</v>
      </c>
      <c r="R2363" s="5">
        <v>327482</v>
      </c>
    </row>
    <row r="2364" spans="1:18" x14ac:dyDescent="0.25">
      <c r="A2364" t="s">
        <v>503</v>
      </c>
      <c r="B2364" t="s">
        <v>494</v>
      </c>
      <c r="C2364">
        <v>78119320</v>
      </c>
      <c r="D2364">
        <v>0</v>
      </c>
      <c r="E2364">
        <v>23009398</v>
      </c>
      <c r="F2364" t="s">
        <v>1290</v>
      </c>
      <c r="G2364" s="1">
        <v>45232</v>
      </c>
      <c r="H2364">
        <v>5410694</v>
      </c>
      <c r="I2364">
        <v>420</v>
      </c>
      <c r="J2364" t="s">
        <v>265</v>
      </c>
      <c r="K2364" s="7" t="str">
        <f>IFERROR(IF(AND(VLOOKUP($C2364,Hes!$A:$B, 1, FALSE), $M2364&lt;&gt;" "), "Ingresada", "Falta Ingresar"), " ")</f>
        <v>Ingresada</v>
      </c>
      <c r="L2364" s="4" t="s">
        <v>681</v>
      </c>
      <c r="M2364">
        <v>552796</v>
      </c>
      <c r="N2364" s="5" t="s">
        <v>841</v>
      </c>
      <c r="O2364" s="5">
        <v>30835886</v>
      </c>
      <c r="P2364" s="5">
        <v>465482</v>
      </c>
      <c r="Q2364" s="5">
        <v>88442</v>
      </c>
      <c r="R2364" s="5">
        <v>553924</v>
      </c>
    </row>
    <row r="2365" spans="1:18" x14ac:dyDescent="0.25">
      <c r="A2365" t="s">
        <v>503</v>
      </c>
      <c r="B2365" t="s">
        <v>494</v>
      </c>
      <c r="C2365">
        <v>78119320</v>
      </c>
      <c r="D2365">
        <v>0</v>
      </c>
      <c r="E2365">
        <v>23009173</v>
      </c>
      <c r="F2365" t="s">
        <v>1290</v>
      </c>
      <c r="G2365" s="1">
        <v>45232</v>
      </c>
      <c r="H2365">
        <v>5410915</v>
      </c>
      <c r="I2365">
        <v>420</v>
      </c>
      <c r="J2365" t="s">
        <v>265</v>
      </c>
      <c r="K2365" s="7" t="str">
        <f>IFERROR(IF(AND(VLOOKUP($C2365,Hes!$A:$B, 1, FALSE), $M2365&lt;&gt;" "), "Ingresada", "Falta Ingresar"), " ")</f>
        <v>Ingresada</v>
      </c>
      <c r="L2365" s="4" t="s">
        <v>681</v>
      </c>
      <c r="M2365">
        <v>552802</v>
      </c>
      <c r="N2365" s="5" t="s">
        <v>841</v>
      </c>
      <c r="O2365" s="5">
        <v>30820224</v>
      </c>
      <c r="P2365" s="5">
        <v>367835</v>
      </c>
      <c r="Q2365" s="5">
        <v>69889</v>
      </c>
      <c r="R2365" s="5">
        <v>437724</v>
      </c>
    </row>
    <row r="2366" spans="1:18" x14ac:dyDescent="0.25">
      <c r="A2366" t="s">
        <v>503</v>
      </c>
      <c r="B2366" t="s">
        <v>494</v>
      </c>
      <c r="C2366">
        <v>78119320</v>
      </c>
      <c r="D2366">
        <v>0</v>
      </c>
      <c r="E2366">
        <v>23009399</v>
      </c>
      <c r="F2366" t="s">
        <v>1290</v>
      </c>
      <c r="G2366" s="1">
        <v>45232</v>
      </c>
      <c r="H2366">
        <v>5410992</v>
      </c>
      <c r="I2366">
        <v>420</v>
      </c>
      <c r="J2366" t="s">
        <v>265</v>
      </c>
      <c r="K2366" s="7" t="str">
        <f>IFERROR(IF(AND(VLOOKUP($C2366,Hes!$A:$B, 1, FALSE), $M2366&lt;&gt;" "), "Ingresada", "Falta Ingresar"), " ")</f>
        <v>Ingresada</v>
      </c>
      <c r="L2366" s="4" t="s">
        <v>681</v>
      </c>
      <c r="M2366">
        <v>552801</v>
      </c>
      <c r="N2366" s="5" t="s">
        <v>841</v>
      </c>
      <c r="O2366" s="5">
        <v>30846183</v>
      </c>
      <c r="P2366" s="5">
        <v>1236527</v>
      </c>
      <c r="Q2366" s="5">
        <v>234940</v>
      </c>
      <c r="R2366" s="5">
        <v>1471467</v>
      </c>
    </row>
    <row r="2367" spans="1:18" x14ac:dyDescent="0.25">
      <c r="A2367" t="s">
        <v>503</v>
      </c>
      <c r="B2367" t="s">
        <v>494</v>
      </c>
      <c r="C2367">
        <v>78119320</v>
      </c>
      <c r="D2367">
        <v>0</v>
      </c>
      <c r="E2367">
        <v>23009481</v>
      </c>
      <c r="F2367" t="s">
        <v>1290</v>
      </c>
      <c r="G2367" s="1">
        <v>45236</v>
      </c>
      <c r="H2367">
        <v>5412725</v>
      </c>
      <c r="I2367">
        <v>420</v>
      </c>
      <c r="J2367" t="s">
        <v>265</v>
      </c>
      <c r="K2367" s="7" t="str">
        <f>IFERROR(IF(AND(VLOOKUP($C2367,Hes!$A:$B, 1, FALSE), $M2367&lt;&gt;" "), "Ingresada", "Falta Ingresar"), " ")</f>
        <v>Ingresada</v>
      </c>
      <c r="L2367" s="4" t="s">
        <v>681</v>
      </c>
      <c r="M2367">
        <v>553054</v>
      </c>
      <c r="N2367" s="5" t="s">
        <v>841</v>
      </c>
      <c r="O2367" s="5">
        <v>30842320</v>
      </c>
      <c r="P2367" s="5">
        <v>187942</v>
      </c>
      <c r="Q2367" s="5">
        <v>35709</v>
      </c>
      <c r="R2367" s="5">
        <v>223651</v>
      </c>
    </row>
    <row r="2368" spans="1:18" x14ac:dyDescent="0.25">
      <c r="A2368" t="s">
        <v>503</v>
      </c>
      <c r="B2368" t="s">
        <v>494</v>
      </c>
      <c r="C2368">
        <v>78119320</v>
      </c>
      <c r="D2368">
        <v>0</v>
      </c>
      <c r="E2368">
        <v>23009606</v>
      </c>
      <c r="F2368" t="s">
        <v>1290</v>
      </c>
      <c r="G2368" s="1">
        <v>45236</v>
      </c>
      <c r="H2368">
        <v>5412980</v>
      </c>
      <c r="I2368">
        <v>420</v>
      </c>
      <c r="J2368" t="s">
        <v>265</v>
      </c>
      <c r="K2368" s="7" t="str">
        <f>IFERROR(IF(AND(VLOOKUP($C2368,Hes!$A:$B, 1, FALSE), $M2368&lt;&gt;" "), "Ingresada", "Falta Ingresar"), " ")</f>
        <v>Ingresada</v>
      </c>
      <c r="L2368" s="4" t="s">
        <v>681</v>
      </c>
      <c r="M2368">
        <v>553058</v>
      </c>
      <c r="N2368" s="5" t="s">
        <v>841</v>
      </c>
      <c r="O2368" s="5">
        <v>30852835</v>
      </c>
      <c r="P2368" s="5">
        <v>30220</v>
      </c>
      <c r="Q2368" s="5">
        <v>5742</v>
      </c>
      <c r="R2368" s="5">
        <v>35962</v>
      </c>
    </row>
    <row r="2369" spans="1:18" x14ac:dyDescent="0.25">
      <c r="F2369" t="s">
        <v>523</v>
      </c>
      <c r="K2369" t="str">
        <f>IFERROR(IF(AND(VLOOKUP($C2369,Hes!$A:$B, 1, FALSE), $M2369&lt;&gt;" "), "Ingresada", "Falta Ingresar"), " ")</f>
        <v xml:space="preserve"> </v>
      </c>
      <c r="L2369" s="4" t="str">
        <f>IFERROR(VLOOKUP($C2369,Observaciones!$A:$B,2,FALSE)," ")</f>
        <v xml:space="preserve"> </v>
      </c>
      <c r="M2369" t="s">
        <v>681</v>
      </c>
      <c r="P2369" s="5">
        <v>2563201</v>
      </c>
      <c r="Q2369" s="5">
        <v>487009</v>
      </c>
      <c r="R2369" s="5">
        <v>3050210</v>
      </c>
    </row>
    <row r="2370" spans="1:18" x14ac:dyDescent="0.25">
      <c r="A2370" t="s">
        <v>512</v>
      </c>
      <c r="B2370" t="s">
        <v>494</v>
      </c>
      <c r="C2370">
        <v>78137000</v>
      </c>
      <c r="D2370">
        <v>7</v>
      </c>
      <c r="E2370">
        <v>30849546</v>
      </c>
      <c r="F2370" t="s">
        <v>1291</v>
      </c>
      <c r="G2370" s="1">
        <v>45233</v>
      </c>
      <c r="H2370">
        <v>5411459</v>
      </c>
      <c r="I2370">
        <v>129</v>
      </c>
      <c r="J2370" t="s">
        <v>414</v>
      </c>
      <c r="K2370" t="str">
        <f>IFERROR(IF(AND(VLOOKUP($C2370,Hes!$A:$B, 1, FALSE), $M2370&lt;&gt;" "), "Ingresada", "Falta Ingresar"), " ")</f>
        <v xml:space="preserve"> </v>
      </c>
      <c r="L2370" s="4" t="str">
        <f>IFERROR(VLOOKUP($C2370,Observaciones!$A:$B,2,FALSE)," ")</f>
        <v>VENDEDOR ENVIA OC Y DESPUES FACTURAR POR XCC MANUAL MENSIONANDO OC QUE ENVIA CLIENTE</v>
      </c>
      <c r="M2370" t="s">
        <v>681</v>
      </c>
      <c r="O2370" s="5">
        <v>30849546</v>
      </c>
      <c r="P2370" s="5">
        <v>43212</v>
      </c>
      <c r="Q2370" s="5">
        <v>8210</v>
      </c>
      <c r="R2370" s="5">
        <v>51422</v>
      </c>
    </row>
    <row r="2371" spans="1:18" x14ac:dyDescent="0.25">
      <c r="A2371" t="s">
        <v>512</v>
      </c>
      <c r="B2371" t="s">
        <v>494</v>
      </c>
      <c r="C2371">
        <v>78137000</v>
      </c>
      <c r="D2371">
        <v>22</v>
      </c>
      <c r="E2371">
        <v>30849517</v>
      </c>
      <c r="F2371" t="s">
        <v>1291</v>
      </c>
      <c r="G2371" s="1">
        <v>45233</v>
      </c>
      <c r="H2371">
        <v>5411502</v>
      </c>
      <c r="I2371">
        <v>129</v>
      </c>
      <c r="J2371" t="s">
        <v>414</v>
      </c>
      <c r="K2371" t="str">
        <f>IFERROR(IF(AND(VLOOKUP($C2371,Hes!$A:$B, 1, FALSE), $M2371&lt;&gt;" "), "Ingresada", "Falta Ingresar"), " ")</f>
        <v xml:space="preserve"> </v>
      </c>
      <c r="L2371" s="4" t="str">
        <f>IFERROR(VLOOKUP($C2371,Observaciones!$A:$B,2,FALSE)," ")</f>
        <v>VENDEDOR ENVIA OC Y DESPUES FACTURAR POR XCC MANUAL MENSIONANDO OC QUE ENVIA CLIENTE</v>
      </c>
      <c r="M2371" t="s">
        <v>681</v>
      </c>
      <c r="O2371" s="5">
        <v>30849517</v>
      </c>
      <c r="P2371" s="5">
        <v>76963</v>
      </c>
      <c r="Q2371" s="5">
        <v>14623</v>
      </c>
      <c r="R2371" s="5">
        <v>91586</v>
      </c>
    </row>
    <row r="2372" spans="1:18" x14ac:dyDescent="0.25">
      <c r="A2372" t="s">
        <v>512</v>
      </c>
      <c r="B2372" t="s">
        <v>494</v>
      </c>
      <c r="C2372">
        <v>78137000</v>
      </c>
      <c r="D2372">
        <v>3</v>
      </c>
      <c r="E2372">
        <v>30852058</v>
      </c>
      <c r="F2372" t="s">
        <v>1291</v>
      </c>
      <c r="G2372" s="1">
        <v>45233</v>
      </c>
      <c r="H2372">
        <v>5411631</v>
      </c>
      <c r="I2372">
        <v>129</v>
      </c>
      <c r="J2372" t="s">
        <v>414</v>
      </c>
      <c r="K2372" t="str">
        <f>IFERROR(IF(AND(VLOOKUP($C2372,Hes!$A:$B, 1, FALSE), $M2372&lt;&gt;" "), "Ingresada", "Falta Ingresar"), " ")</f>
        <v xml:space="preserve"> </v>
      </c>
      <c r="L2372" s="4" t="str">
        <f>IFERROR(VLOOKUP($C2372,Observaciones!$A:$B,2,FALSE)," ")</f>
        <v>VENDEDOR ENVIA OC Y DESPUES FACTURAR POR XCC MANUAL MENSIONANDO OC QUE ENVIA CLIENTE</v>
      </c>
      <c r="M2372" t="s">
        <v>681</v>
      </c>
      <c r="O2372" s="5">
        <v>30852058</v>
      </c>
      <c r="P2372" s="5">
        <v>178420</v>
      </c>
      <c r="Q2372" s="5">
        <v>33900</v>
      </c>
      <c r="R2372" s="5">
        <v>212320</v>
      </c>
    </row>
    <row r="2373" spans="1:18" x14ac:dyDescent="0.25">
      <c r="A2373" t="s">
        <v>512</v>
      </c>
      <c r="B2373" t="s">
        <v>494</v>
      </c>
      <c r="C2373">
        <v>78137000</v>
      </c>
      <c r="D2373">
        <v>14</v>
      </c>
      <c r="E2373">
        <v>30849723</v>
      </c>
      <c r="F2373" t="s">
        <v>1291</v>
      </c>
      <c r="G2373" s="1">
        <v>45236</v>
      </c>
      <c r="H2373">
        <v>5413488</v>
      </c>
      <c r="I2373">
        <v>129</v>
      </c>
      <c r="J2373" t="s">
        <v>414</v>
      </c>
      <c r="K2373" t="str">
        <f>IFERROR(IF(AND(VLOOKUP($C2373,Hes!$A:$B, 1, FALSE), $M2373&lt;&gt;" "), "Ingresada", "Falta Ingresar"), " ")</f>
        <v xml:space="preserve"> </v>
      </c>
      <c r="L2373" s="4" t="str">
        <f>IFERROR(VLOOKUP($C2373,Observaciones!$A:$B,2,FALSE)," ")</f>
        <v>VENDEDOR ENVIA OC Y DESPUES FACTURAR POR XCC MANUAL MENSIONANDO OC QUE ENVIA CLIENTE</v>
      </c>
      <c r="M2373" t="s">
        <v>681</v>
      </c>
      <c r="O2373" s="5">
        <v>30849723</v>
      </c>
      <c r="P2373" s="5">
        <v>565438</v>
      </c>
      <c r="Q2373" s="5">
        <v>107433</v>
      </c>
      <c r="R2373" s="5">
        <v>672871</v>
      </c>
    </row>
    <row r="2374" spans="1:18" x14ac:dyDescent="0.25">
      <c r="F2374" t="s">
        <v>498</v>
      </c>
      <c r="K2374" t="str">
        <f>IFERROR(IF(AND(VLOOKUP($C2374,Hes!$A:$B, 1, FALSE), $M2374&lt;&gt;" "), "Ingresada", "Falta Ingresar"), " ")</f>
        <v xml:space="preserve"> </v>
      </c>
      <c r="L2374" s="4" t="str">
        <f>IFERROR(VLOOKUP($C2374,Observaciones!$A:$B,2,FALSE)," ")</f>
        <v xml:space="preserve"> </v>
      </c>
      <c r="M2374" t="s">
        <v>681</v>
      </c>
      <c r="P2374" s="5">
        <v>864033</v>
      </c>
      <c r="Q2374" s="5">
        <v>164166</v>
      </c>
      <c r="R2374" s="5">
        <v>1028199</v>
      </c>
    </row>
    <row r="2375" spans="1:18" x14ac:dyDescent="0.25">
      <c r="A2375" t="s">
        <v>496</v>
      </c>
      <c r="B2375" t="s">
        <v>494</v>
      </c>
      <c r="C2375">
        <v>78141230</v>
      </c>
      <c r="D2375">
        <v>12</v>
      </c>
      <c r="E2375" t="s">
        <v>1292</v>
      </c>
      <c r="F2375" t="s">
        <v>1293</v>
      </c>
      <c r="G2375" s="1">
        <v>45232</v>
      </c>
      <c r="H2375">
        <v>5411169</v>
      </c>
      <c r="I2375">
        <v>58</v>
      </c>
      <c r="J2375" t="s">
        <v>230</v>
      </c>
      <c r="K2375" t="str">
        <f>IFERROR(IF(AND(VLOOKUP($C2375,Hes!$A:$B, 1, FALSE), $M2375&lt;&gt;" "), "Ingresada", "Falta Ingresar"), " ")</f>
        <v xml:space="preserve"> </v>
      </c>
      <c r="L2375" s="4" t="s">
        <v>681</v>
      </c>
      <c r="M2375" t="s">
        <v>681</v>
      </c>
      <c r="O2375" s="5">
        <v>30793626</v>
      </c>
      <c r="P2375" s="5">
        <v>53820</v>
      </c>
      <c r="Q2375" s="5">
        <v>10226</v>
      </c>
      <c r="R2375" s="5">
        <v>64046</v>
      </c>
    </row>
    <row r="2376" spans="1:18" x14ac:dyDescent="0.25">
      <c r="F2376" t="s">
        <v>495</v>
      </c>
      <c r="K2376" t="str">
        <f>IFERROR(IF(AND(VLOOKUP($C2376,Hes!$A:$B, 1, FALSE), $M2376&lt;&gt;" "), "Ingresada", "Falta Ingresar"), " ")</f>
        <v xml:space="preserve"> </v>
      </c>
      <c r="L2376" s="4" t="str">
        <f>IFERROR(VLOOKUP($C2376,Observaciones!$A:$B,2,FALSE)," ")</f>
        <v xml:space="preserve"> </v>
      </c>
      <c r="M2376" t="s">
        <v>681</v>
      </c>
      <c r="P2376" s="5">
        <v>53820</v>
      </c>
      <c r="Q2376" s="5">
        <v>10226</v>
      </c>
      <c r="R2376" s="5">
        <v>64046</v>
      </c>
    </row>
    <row r="2377" spans="1:18" x14ac:dyDescent="0.25">
      <c r="A2377" t="s">
        <v>513</v>
      </c>
      <c r="B2377" t="s">
        <v>494</v>
      </c>
      <c r="C2377">
        <v>78206800</v>
      </c>
      <c r="D2377">
        <v>0</v>
      </c>
      <c r="E2377" t="s">
        <v>1294</v>
      </c>
      <c r="F2377" t="s">
        <v>1295</v>
      </c>
      <c r="G2377" s="1">
        <v>45238</v>
      </c>
      <c r="H2377">
        <v>5414953</v>
      </c>
      <c r="I2377">
        <v>114</v>
      </c>
      <c r="J2377" t="s">
        <v>182</v>
      </c>
      <c r="K2377" t="str">
        <f>IFERROR(IF(AND(VLOOKUP($C2377,Hes!$A:$B, 1, FALSE), $M2377&lt;&gt;" "), "Ingresada", "Falta Ingresar"), " ")</f>
        <v xml:space="preserve"> </v>
      </c>
      <c r="L2377" s="4" t="str">
        <f>IFERROR(VLOOKUP($C2377,Observaciones!$A:$B,2,FALSE)," ")</f>
        <v xml:space="preserve"> </v>
      </c>
      <c r="M2377" t="s">
        <v>681</v>
      </c>
      <c r="O2377" s="5">
        <v>30857125</v>
      </c>
      <c r="P2377" s="5">
        <v>303546</v>
      </c>
      <c r="Q2377" s="5">
        <v>57674</v>
      </c>
      <c r="R2377" s="5">
        <v>361220</v>
      </c>
    </row>
    <row r="2378" spans="1:18" x14ac:dyDescent="0.25">
      <c r="A2378" t="s">
        <v>513</v>
      </c>
      <c r="B2378" t="s">
        <v>494</v>
      </c>
      <c r="C2378">
        <v>78206800</v>
      </c>
      <c r="D2378">
        <v>0</v>
      </c>
      <c r="E2378" t="s">
        <v>1294</v>
      </c>
      <c r="F2378" t="s">
        <v>1295</v>
      </c>
      <c r="G2378" s="1">
        <v>45238</v>
      </c>
      <c r="H2378">
        <v>5415117</v>
      </c>
      <c r="I2378">
        <v>114</v>
      </c>
      <c r="J2378" t="s">
        <v>182</v>
      </c>
      <c r="K2378" t="str">
        <f>IFERROR(IF(AND(VLOOKUP($C2378,Hes!$A:$B, 1, FALSE), $M2378&lt;&gt;" "), "Ingresada", "Falta Ingresar"), " ")</f>
        <v xml:space="preserve"> </v>
      </c>
      <c r="L2378" s="4" t="str">
        <f>IFERROR(VLOOKUP($C2378,Observaciones!$A:$B,2,FALSE)," ")</f>
        <v xml:space="preserve"> </v>
      </c>
      <c r="M2378" t="s">
        <v>681</v>
      </c>
      <c r="O2378" s="5">
        <v>30842818</v>
      </c>
      <c r="P2378" s="5">
        <v>18631</v>
      </c>
      <c r="Q2378" s="5">
        <v>3540</v>
      </c>
      <c r="R2378" s="5">
        <v>22171</v>
      </c>
    </row>
    <row r="2379" spans="1:18" x14ac:dyDescent="0.25">
      <c r="F2379" t="s">
        <v>497</v>
      </c>
      <c r="K2379" t="str">
        <f>IFERROR(IF(AND(VLOOKUP($C2379,Hes!$A:$B, 1, FALSE), $M2379&lt;&gt;" "), "Ingresada", "Falta Ingresar"), " ")</f>
        <v xml:space="preserve"> </v>
      </c>
      <c r="L2379" s="4" t="str">
        <f>IFERROR(VLOOKUP($C2379,Observaciones!$A:$B,2,FALSE)," ")</f>
        <v xml:space="preserve"> </v>
      </c>
      <c r="M2379" t="s">
        <v>681</v>
      </c>
      <c r="P2379" s="5">
        <v>322177</v>
      </c>
      <c r="Q2379" s="5">
        <v>61214</v>
      </c>
      <c r="R2379" s="5">
        <v>383391</v>
      </c>
    </row>
    <row r="2380" spans="1:18" x14ac:dyDescent="0.25">
      <c r="A2380" t="s">
        <v>496</v>
      </c>
      <c r="B2380" t="s">
        <v>509</v>
      </c>
      <c r="C2380">
        <v>78223950</v>
      </c>
      <c r="D2380">
        <v>5</v>
      </c>
      <c r="E2380" t="s">
        <v>1296</v>
      </c>
      <c r="F2380" t="s">
        <v>1297</v>
      </c>
      <c r="G2380" s="1">
        <v>45232</v>
      </c>
      <c r="H2380">
        <v>5410715</v>
      </c>
      <c r="I2380">
        <v>321</v>
      </c>
      <c r="J2380" t="s">
        <v>202</v>
      </c>
      <c r="K2380" t="str">
        <f>IFERROR(IF(AND(VLOOKUP($C2380,Hes!$A:$B, 1, FALSE), $M2380&lt;&gt;" "), "Ingresada", "Falta Ingresar"), " ")</f>
        <v xml:space="preserve"> </v>
      </c>
      <c r="L2380" s="4" t="str">
        <f>IFERROR(VLOOKUP($C2380,Observaciones!$A:$B,2,FALSE)," ")</f>
        <v>XOC Y CC</v>
      </c>
      <c r="M2380" t="s">
        <v>681</v>
      </c>
      <c r="O2380" s="5">
        <v>30843463</v>
      </c>
      <c r="P2380" s="5">
        <v>45700</v>
      </c>
      <c r="Q2380" s="5">
        <v>8683</v>
      </c>
      <c r="R2380" s="5">
        <v>54383</v>
      </c>
    </row>
    <row r="2381" spans="1:18" x14ac:dyDescent="0.25">
      <c r="A2381" t="s">
        <v>496</v>
      </c>
      <c r="B2381" t="s">
        <v>509</v>
      </c>
      <c r="C2381">
        <v>78223950</v>
      </c>
      <c r="D2381">
        <v>2</v>
      </c>
      <c r="E2381" t="s">
        <v>1298</v>
      </c>
      <c r="F2381" t="s">
        <v>1297</v>
      </c>
      <c r="G2381" s="1">
        <v>45233</v>
      </c>
      <c r="H2381">
        <v>5411236</v>
      </c>
      <c r="I2381">
        <v>321</v>
      </c>
      <c r="J2381" t="s">
        <v>202</v>
      </c>
      <c r="K2381" t="str">
        <f>IFERROR(IF(AND(VLOOKUP($C2381,Hes!$A:$B, 1, FALSE), $M2381&lt;&gt;" "), "Ingresada", "Falta Ingresar"), " ")</f>
        <v xml:space="preserve"> </v>
      </c>
      <c r="L2381" s="4" t="str">
        <f>IFERROR(VLOOKUP($C2381,Observaciones!$A:$B,2,FALSE)," ")</f>
        <v>XOC Y CC</v>
      </c>
      <c r="M2381" t="s">
        <v>681</v>
      </c>
      <c r="O2381" s="5">
        <v>30844383</v>
      </c>
      <c r="P2381" s="5">
        <v>195974</v>
      </c>
      <c r="Q2381" s="5">
        <v>37235</v>
      </c>
      <c r="R2381" s="5">
        <v>233209</v>
      </c>
    </row>
    <row r="2382" spans="1:18" x14ac:dyDescent="0.25">
      <c r="A2382" t="s">
        <v>496</v>
      </c>
      <c r="B2382" t="s">
        <v>509</v>
      </c>
      <c r="C2382">
        <v>78223950</v>
      </c>
      <c r="D2382">
        <v>5</v>
      </c>
      <c r="E2382" t="s">
        <v>1299</v>
      </c>
      <c r="F2382" t="s">
        <v>1297</v>
      </c>
      <c r="G2382" s="1">
        <v>45236</v>
      </c>
      <c r="H2382">
        <v>5413866</v>
      </c>
      <c r="I2382">
        <v>321</v>
      </c>
      <c r="J2382" t="s">
        <v>202</v>
      </c>
      <c r="K2382" t="str">
        <f>IFERROR(IF(AND(VLOOKUP($C2382,Hes!$A:$B, 1, FALSE), $M2382&lt;&gt;" "), "Ingresada", "Falta Ingresar"), " ")</f>
        <v xml:space="preserve"> </v>
      </c>
      <c r="L2382" s="4" t="str">
        <f>IFERROR(VLOOKUP($C2382,Observaciones!$A:$B,2,FALSE)," ")</f>
        <v>XOC Y CC</v>
      </c>
      <c r="M2382" t="s">
        <v>681</v>
      </c>
      <c r="O2382" s="5">
        <v>30853963</v>
      </c>
      <c r="P2382" s="5">
        <v>107550</v>
      </c>
      <c r="Q2382" s="5">
        <v>20435</v>
      </c>
      <c r="R2382" s="5">
        <v>127985</v>
      </c>
    </row>
    <row r="2383" spans="1:18" x14ac:dyDescent="0.25">
      <c r="A2383" t="s">
        <v>496</v>
      </c>
      <c r="B2383" t="s">
        <v>509</v>
      </c>
      <c r="C2383">
        <v>78223950</v>
      </c>
      <c r="D2383">
        <v>5</v>
      </c>
      <c r="E2383" t="s">
        <v>1299</v>
      </c>
      <c r="F2383" t="s">
        <v>1297</v>
      </c>
      <c r="G2383" s="1">
        <v>45238</v>
      </c>
      <c r="H2383">
        <v>5415116</v>
      </c>
      <c r="I2383">
        <v>321</v>
      </c>
      <c r="J2383" t="s">
        <v>202</v>
      </c>
      <c r="K2383" t="str">
        <f>IFERROR(IF(AND(VLOOKUP($C2383,Hes!$A:$B, 1, FALSE), $M2383&lt;&gt;" "), "Ingresada", "Falta Ingresar"), " ")</f>
        <v xml:space="preserve"> </v>
      </c>
      <c r="L2383" s="4" t="str">
        <f>IFERROR(VLOOKUP($C2383,Observaciones!$A:$B,2,FALSE)," ")</f>
        <v>XOC Y CC</v>
      </c>
      <c r="M2383" t="s">
        <v>681</v>
      </c>
      <c r="O2383" s="5">
        <v>30863648</v>
      </c>
      <c r="P2383" s="5">
        <v>119370</v>
      </c>
      <c r="Q2383" s="5">
        <v>22680</v>
      </c>
      <c r="R2383" s="5">
        <v>142050</v>
      </c>
    </row>
    <row r="2384" spans="1:18" x14ac:dyDescent="0.25">
      <c r="A2384" t="s">
        <v>496</v>
      </c>
      <c r="B2384" t="s">
        <v>509</v>
      </c>
      <c r="C2384">
        <v>78223950</v>
      </c>
      <c r="D2384">
        <v>5</v>
      </c>
      <c r="E2384" t="s">
        <v>1300</v>
      </c>
      <c r="F2384" t="s">
        <v>1297</v>
      </c>
      <c r="G2384" s="1">
        <v>45238</v>
      </c>
      <c r="H2384">
        <v>5415529</v>
      </c>
      <c r="I2384">
        <v>321</v>
      </c>
      <c r="J2384" t="s">
        <v>202</v>
      </c>
      <c r="K2384" t="str">
        <f>IFERROR(IF(AND(VLOOKUP($C2384,Hes!$A:$B, 1, FALSE), $M2384&lt;&gt;" "), "Ingresada", "Falta Ingresar"), " ")</f>
        <v xml:space="preserve"> </v>
      </c>
      <c r="L2384" s="4" t="str">
        <f>IFERROR(VLOOKUP($C2384,Observaciones!$A:$B,2,FALSE)," ")</f>
        <v>XOC Y CC</v>
      </c>
      <c r="M2384" t="s">
        <v>681</v>
      </c>
      <c r="O2384" s="5">
        <v>30856650</v>
      </c>
      <c r="P2384" s="5">
        <v>26389</v>
      </c>
      <c r="Q2384" s="5">
        <v>5014</v>
      </c>
      <c r="R2384" s="5">
        <v>31403</v>
      </c>
    </row>
    <row r="2385" spans="1:18" x14ac:dyDescent="0.25">
      <c r="F2385" t="s">
        <v>499</v>
      </c>
      <c r="K2385" t="str">
        <f>IFERROR(IF(AND(VLOOKUP($C2385,Hes!$A:$B, 1, FALSE), $M2385&lt;&gt;" "), "Ingresada", "Falta Ingresar"), " ")</f>
        <v xml:space="preserve"> </v>
      </c>
      <c r="L2385" s="4" t="str">
        <f>IFERROR(VLOOKUP($C2385,Observaciones!$A:$B,2,FALSE)," ")</f>
        <v xml:space="preserve"> </v>
      </c>
      <c r="M2385" t="s">
        <v>681</v>
      </c>
      <c r="P2385" s="5">
        <v>494983</v>
      </c>
      <c r="Q2385" s="5">
        <v>94047</v>
      </c>
      <c r="R2385" s="5">
        <v>589030</v>
      </c>
    </row>
    <row r="2386" spans="1:18" x14ac:dyDescent="0.25">
      <c r="A2386" t="s">
        <v>496</v>
      </c>
      <c r="B2386" t="s">
        <v>494</v>
      </c>
      <c r="C2386">
        <v>78408440</v>
      </c>
      <c r="D2386">
        <v>0</v>
      </c>
      <c r="E2386">
        <v>4500806392</v>
      </c>
      <c r="F2386" t="s">
        <v>1301</v>
      </c>
      <c r="G2386" s="1">
        <v>45236</v>
      </c>
      <c r="H2386">
        <v>5412629</v>
      </c>
      <c r="I2386">
        <v>81</v>
      </c>
      <c r="J2386" t="s">
        <v>144</v>
      </c>
      <c r="K2386" t="str">
        <f>IFERROR(IF(AND(VLOOKUP($C2386,Hes!$A:$B, 1, FALSE), $M2386&lt;&gt;" "), "Ingresada", "Falta Ingresar"), " ")</f>
        <v xml:space="preserve"> </v>
      </c>
      <c r="L2386" s="4" t="str">
        <f>IFERROR(VLOOKUP($C2386,Observaciones!$A:$B,2,FALSE)," ")</f>
        <v xml:space="preserve"> </v>
      </c>
      <c r="M2386" t="s">
        <v>681</v>
      </c>
      <c r="O2386" s="5">
        <v>30854861</v>
      </c>
      <c r="P2386" s="5">
        <v>22730</v>
      </c>
      <c r="Q2386" s="5">
        <v>4319</v>
      </c>
      <c r="R2386" s="5">
        <v>27049</v>
      </c>
    </row>
    <row r="2387" spans="1:18" x14ac:dyDescent="0.25">
      <c r="A2387" t="s">
        <v>496</v>
      </c>
      <c r="B2387" t="s">
        <v>494</v>
      </c>
      <c r="C2387">
        <v>78408440</v>
      </c>
      <c r="D2387">
        <v>0</v>
      </c>
      <c r="E2387">
        <v>4500813018</v>
      </c>
      <c r="F2387" t="s">
        <v>1301</v>
      </c>
      <c r="G2387" s="1">
        <v>45236</v>
      </c>
      <c r="H2387">
        <v>5412729</v>
      </c>
      <c r="I2387">
        <v>81</v>
      </c>
      <c r="J2387" t="s">
        <v>144</v>
      </c>
      <c r="K2387" t="str">
        <f>IFERROR(IF(AND(VLOOKUP($C2387,Hes!$A:$B, 1, FALSE), $M2387&lt;&gt;" "), "Ingresada", "Falta Ingresar"), " ")</f>
        <v xml:space="preserve"> </v>
      </c>
      <c r="L2387" s="4" t="str">
        <f>IFERROR(VLOOKUP($C2387,Observaciones!$A:$B,2,FALSE)," ")</f>
        <v xml:space="preserve"> </v>
      </c>
      <c r="M2387" t="s">
        <v>681</v>
      </c>
      <c r="O2387" s="5">
        <v>30854847</v>
      </c>
      <c r="P2387" s="5">
        <v>33125</v>
      </c>
      <c r="Q2387" s="5">
        <v>6294</v>
      </c>
      <c r="R2387" s="5">
        <v>39419</v>
      </c>
    </row>
    <row r="2388" spans="1:18" x14ac:dyDescent="0.25">
      <c r="A2388" t="s">
        <v>496</v>
      </c>
      <c r="B2388" t="s">
        <v>494</v>
      </c>
      <c r="C2388">
        <v>78408440</v>
      </c>
      <c r="D2388">
        <v>0</v>
      </c>
      <c r="E2388">
        <v>4500824379</v>
      </c>
      <c r="F2388" t="s">
        <v>1301</v>
      </c>
      <c r="G2388" s="1">
        <v>45236</v>
      </c>
      <c r="H2388">
        <v>5412835</v>
      </c>
      <c r="I2388">
        <v>81</v>
      </c>
      <c r="J2388" t="s">
        <v>144</v>
      </c>
      <c r="K2388" t="str">
        <f>IFERROR(IF(AND(VLOOKUP($C2388,Hes!$A:$B, 1, FALSE), $M2388&lt;&gt;" "), "Ingresada", "Falta Ingresar"), " ")</f>
        <v xml:space="preserve"> </v>
      </c>
      <c r="L2388" s="4" t="str">
        <f>IFERROR(VLOOKUP($C2388,Observaciones!$A:$B,2,FALSE)," ")</f>
        <v xml:space="preserve"> </v>
      </c>
      <c r="M2388" t="s">
        <v>681</v>
      </c>
      <c r="O2388" s="5">
        <v>30854940</v>
      </c>
      <c r="P2388" s="5">
        <v>399000</v>
      </c>
      <c r="Q2388" s="5">
        <v>75810</v>
      </c>
      <c r="R2388" s="5">
        <v>474810</v>
      </c>
    </row>
    <row r="2389" spans="1:18" x14ac:dyDescent="0.25">
      <c r="A2389" t="s">
        <v>496</v>
      </c>
      <c r="B2389" t="s">
        <v>494</v>
      </c>
      <c r="C2389">
        <v>78408440</v>
      </c>
      <c r="D2389">
        <v>0</v>
      </c>
      <c r="E2389">
        <v>4500821222</v>
      </c>
      <c r="F2389" t="s">
        <v>1301</v>
      </c>
      <c r="G2389" s="1">
        <v>45236</v>
      </c>
      <c r="H2389">
        <v>5412898</v>
      </c>
      <c r="I2389">
        <v>81</v>
      </c>
      <c r="J2389" t="s">
        <v>144</v>
      </c>
      <c r="K2389" t="str">
        <f>IFERROR(IF(AND(VLOOKUP($C2389,Hes!$A:$B, 1, FALSE), $M2389&lt;&gt;" "), "Ingresada", "Falta Ingresar"), " ")</f>
        <v xml:space="preserve"> </v>
      </c>
      <c r="L2389" s="4" t="str">
        <f>IFERROR(VLOOKUP($C2389,Observaciones!$A:$B,2,FALSE)," ")</f>
        <v xml:space="preserve"> </v>
      </c>
      <c r="M2389" t="s">
        <v>681</v>
      </c>
      <c r="O2389" s="5">
        <v>30854972</v>
      </c>
      <c r="P2389" s="5">
        <v>471150</v>
      </c>
      <c r="Q2389" s="5">
        <v>89519</v>
      </c>
      <c r="R2389" s="5">
        <v>560669</v>
      </c>
    </row>
    <row r="2390" spans="1:18" x14ac:dyDescent="0.25">
      <c r="A2390" t="s">
        <v>496</v>
      </c>
      <c r="B2390" t="s">
        <v>494</v>
      </c>
      <c r="C2390">
        <v>78408440</v>
      </c>
      <c r="D2390">
        <v>0</v>
      </c>
      <c r="E2390">
        <v>4500826216</v>
      </c>
      <c r="F2390" t="s">
        <v>1301</v>
      </c>
      <c r="G2390" s="1">
        <v>45236</v>
      </c>
      <c r="H2390">
        <v>5412899</v>
      </c>
      <c r="I2390">
        <v>81</v>
      </c>
      <c r="J2390" t="s">
        <v>144</v>
      </c>
      <c r="K2390" t="str">
        <f>IFERROR(IF(AND(VLOOKUP($C2390,Hes!$A:$B, 1, FALSE), $M2390&lt;&gt;" "), "Ingresada", "Falta Ingresar"), " ")</f>
        <v xml:space="preserve"> </v>
      </c>
      <c r="L2390" s="4" t="str">
        <f>IFERROR(VLOOKUP($C2390,Observaciones!$A:$B,2,FALSE)," ")</f>
        <v xml:space="preserve"> </v>
      </c>
      <c r="M2390" t="s">
        <v>681</v>
      </c>
      <c r="O2390" s="5">
        <v>30854793</v>
      </c>
      <c r="P2390" s="5">
        <v>679940</v>
      </c>
      <c r="Q2390" s="5">
        <v>129189</v>
      </c>
      <c r="R2390" s="5">
        <v>809129</v>
      </c>
    </row>
    <row r="2391" spans="1:18" x14ac:dyDescent="0.25">
      <c r="A2391" t="s">
        <v>496</v>
      </c>
      <c r="B2391" t="s">
        <v>494</v>
      </c>
      <c r="C2391">
        <v>78408440</v>
      </c>
      <c r="D2391">
        <v>0</v>
      </c>
      <c r="E2391">
        <v>4500824464</v>
      </c>
      <c r="F2391" t="s">
        <v>1301</v>
      </c>
      <c r="G2391" s="1">
        <v>45236</v>
      </c>
      <c r="H2391">
        <v>5413356</v>
      </c>
      <c r="I2391">
        <v>81</v>
      </c>
      <c r="J2391" t="s">
        <v>144</v>
      </c>
      <c r="K2391" t="str">
        <f>IFERROR(IF(AND(VLOOKUP($C2391,Hes!$A:$B, 1, FALSE), $M2391&lt;&gt;" "), "Ingresada", "Falta Ingresar"), " ")</f>
        <v xml:space="preserve"> </v>
      </c>
      <c r="L2391" s="4" t="str">
        <f>IFERROR(VLOOKUP($C2391,Observaciones!$A:$B,2,FALSE)," ")</f>
        <v xml:space="preserve"> </v>
      </c>
      <c r="M2391" t="s">
        <v>681</v>
      </c>
      <c r="O2391" s="5">
        <v>30810369</v>
      </c>
      <c r="P2391" s="5">
        <v>4134</v>
      </c>
      <c r="Q2391" s="5">
        <v>785</v>
      </c>
      <c r="R2391" s="5">
        <v>4919</v>
      </c>
    </row>
    <row r="2392" spans="1:18" x14ac:dyDescent="0.25">
      <c r="A2392" t="s">
        <v>496</v>
      </c>
      <c r="B2392" t="s">
        <v>494</v>
      </c>
      <c r="C2392">
        <v>78408440</v>
      </c>
      <c r="D2392">
        <v>0</v>
      </c>
      <c r="E2392">
        <v>4500821222</v>
      </c>
      <c r="F2392" t="s">
        <v>1301</v>
      </c>
      <c r="G2392" s="1">
        <v>45238</v>
      </c>
      <c r="H2392">
        <v>5415222</v>
      </c>
      <c r="I2392">
        <v>81</v>
      </c>
      <c r="J2392" t="s">
        <v>144</v>
      </c>
      <c r="K2392" t="str">
        <f>IFERROR(IF(AND(VLOOKUP($C2392,Hes!$A:$B, 1, FALSE), $M2392&lt;&gt;" "), "Ingresada", "Falta Ingresar"), " ")</f>
        <v xml:space="preserve"> </v>
      </c>
      <c r="L2392" s="4" t="str">
        <f>IFERROR(VLOOKUP($C2392,Observaciones!$A:$B,2,FALSE)," ")</f>
        <v xml:space="preserve"> </v>
      </c>
      <c r="M2392" t="s">
        <v>681</v>
      </c>
      <c r="O2392" s="5">
        <v>30862719</v>
      </c>
      <c r="P2392" s="5">
        <v>194550</v>
      </c>
      <c r="Q2392" s="5">
        <v>36965</v>
      </c>
      <c r="R2392" s="5">
        <v>231515</v>
      </c>
    </row>
    <row r="2393" spans="1:18" x14ac:dyDescent="0.25">
      <c r="F2393" t="s">
        <v>537</v>
      </c>
      <c r="K2393" t="str">
        <f>IFERROR(IF(AND(VLOOKUP($C2393,Hes!$A:$B, 1, FALSE), $M2393&lt;&gt;" "), "Ingresada", "Falta Ingresar"), " ")</f>
        <v xml:space="preserve"> </v>
      </c>
      <c r="L2393" s="4" t="str">
        <f>IFERROR(VLOOKUP($C2393,Observaciones!$A:$B,2,FALSE)," ")</f>
        <v xml:space="preserve"> </v>
      </c>
      <c r="M2393" t="s">
        <v>681</v>
      </c>
      <c r="P2393" s="5">
        <v>1804629</v>
      </c>
      <c r="Q2393" s="5">
        <v>342881</v>
      </c>
      <c r="R2393" s="5">
        <v>2147510</v>
      </c>
    </row>
    <row r="2394" spans="1:18" x14ac:dyDescent="0.25">
      <c r="A2394" t="s">
        <v>1302</v>
      </c>
      <c r="B2394" t="s">
        <v>502</v>
      </c>
      <c r="C2394">
        <v>78423860</v>
      </c>
      <c r="D2394">
        <v>80</v>
      </c>
      <c r="E2394" t="s">
        <v>1303</v>
      </c>
      <c r="F2394" t="s">
        <v>1304</v>
      </c>
      <c r="G2394" s="1">
        <v>45232</v>
      </c>
      <c r="H2394">
        <v>5410993</v>
      </c>
      <c r="I2394">
        <v>60</v>
      </c>
      <c r="J2394" t="s">
        <v>269</v>
      </c>
      <c r="K2394" t="str">
        <f>IFERROR(IF(AND(VLOOKUP($C2394,Hes!$A:$B, 1, FALSE), $M2394&lt;&gt;" "), "Ingresada", "Falta Ingresar"), " ")</f>
        <v xml:space="preserve"> </v>
      </c>
      <c r="L2394" s="4" t="str">
        <f>IFERROR(VLOOKUP($C2394,Observaciones!$A:$B,2,FALSE)," ")</f>
        <v xml:space="preserve"> </v>
      </c>
      <c r="M2394" t="s">
        <v>681</v>
      </c>
      <c r="O2394" s="5">
        <v>30846405</v>
      </c>
      <c r="P2394" s="5">
        <v>204222</v>
      </c>
      <c r="Q2394" s="5">
        <v>38802</v>
      </c>
      <c r="R2394" s="5">
        <v>243024</v>
      </c>
    </row>
    <row r="2395" spans="1:18" x14ac:dyDescent="0.25">
      <c r="F2395" t="s">
        <v>495</v>
      </c>
      <c r="K2395" t="str">
        <f>IFERROR(IF(AND(VLOOKUP($C2395,Hes!$A:$B, 1, FALSE), $M2395&lt;&gt;" "), "Ingresada", "Falta Ingresar"), " ")</f>
        <v xml:space="preserve"> </v>
      </c>
      <c r="L2395" s="4" t="str">
        <f>IFERROR(VLOOKUP($C2395,Observaciones!$A:$B,2,FALSE)," ")</f>
        <v xml:space="preserve"> </v>
      </c>
      <c r="M2395" t="s">
        <v>681</v>
      </c>
      <c r="P2395" s="5">
        <v>204222</v>
      </c>
      <c r="Q2395" s="5">
        <v>38802</v>
      </c>
      <c r="R2395" s="5">
        <v>243024</v>
      </c>
    </row>
    <row r="2396" spans="1:18" x14ac:dyDescent="0.25">
      <c r="A2396" t="s">
        <v>513</v>
      </c>
      <c r="B2396" t="s">
        <v>494</v>
      </c>
      <c r="C2396">
        <v>78440650</v>
      </c>
      <c r="D2396">
        <v>1</v>
      </c>
      <c r="E2396">
        <v>3112023</v>
      </c>
      <c r="F2396" t="s">
        <v>1305</v>
      </c>
      <c r="G2396" s="1">
        <v>45236</v>
      </c>
      <c r="H2396">
        <v>5413561</v>
      </c>
      <c r="I2396">
        <v>394</v>
      </c>
      <c r="J2396" t="s">
        <v>224</v>
      </c>
      <c r="K2396" t="str">
        <f>IFERROR(IF(AND(VLOOKUP($C2396,Hes!$A:$B, 1, FALSE), $M2396&lt;&gt;" "), "Ingresada", "Falta Ingresar"), " ")</f>
        <v xml:space="preserve"> </v>
      </c>
      <c r="L2396" s="4" t="s">
        <v>681</v>
      </c>
      <c r="M2396" t="s">
        <v>681</v>
      </c>
      <c r="O2396" s="5">
        <v>30854146</v>
      </c>
      <c r="P2396" s="5">
        <v>53691</v>
      </c>
      <c r="Q2396" s="5">
        <v>10201</v>
      </c>
      <c r="R2396" s="5">
        <v>63892</v>
      </c>
    </row>
    <row r="2397" spans="1:18" x14ac:dyDescent="0.25">
      <c r="F2397" t="s">
        <v>495</v>
      </c>
      <c r="K2397" t="str">
        <f>IFERROR(IF(AND(VLOOKUP($C2397,Hes!$A:$B, 1, FALSE), $M2397&lt;&gt;" "), "Ingresada", "Falta Ingresar"), " ")</f>
        <v xml:space="preserve"> </v>
      </c>
      <c r="L2397" s="4" t="str">
        <f>IFERROR(VLOOKUP($C2397,Observaciones!$A:$B,2,FALSE)," ")</f>
        <v xml:space="preserve"> </v>
      </c>
      <c r="M2397" t="s">
        <v>681</v>
      </c>
      <c r="P2397" s="5">
        <v>53691</v>
      </c>
      <c r="Q2397" s="5">
        <v>10201</v>
      </c>
      <c r="R2397" s="5">
        <v>63892</v>
      </c>
    </row>
    <row r="2398" spans="1:18" x14ac:dyDescent="0.25">
      <c r="A2398" t="s">
        <v>501</v>
      </c>
      <c r="B2398" t="s">
        <v>494</v>
      </c>
      <c r="C2398">
        <v>78558400</v>
      </c>
      <c r="D2398">
        <v>31</v>
      </c>
      <c r="E2398">
        <v>30848080</v>
      </c>
      <c r="F2398" t="s">
        <v>1306</v>
      </c>
      <c r="G2398" s="1">
        <v>45232</v>
      </c>
      <c r="H2398">
        <v>5411174</v>
      </c>
      <c r="I2398">
        <v>409</v>
      </c>
      <c r="J2398" t="s">
        <v>186</v>
      </c>
      <c r="K2398" t="str">
        <f>IFERROR(IF(AND(VLOOKUP($C2398,Hes!$A:$B, 1, FALSE), $M2398&lt;&gt;" "), "Ingresada", "Falta Ingresar"), " ")</f>
        <v xml:space="preserve"> </v>
      </c>
      <c r="L2398" s="4" t="str">
        <f>IFERROR(VLOOKUP($C2398,Observaciones!$A:$B,2,FALSE)," ")</f>
        <v xml:space="preserve"> </v>
      </c>
      <c r="M2398" t="s">
        <v>681</v>
      </c>
      <c r="O2398" s="5">
        <v>30848080</v>
      </c>
      <c r="P2398" s="5">
        <v>54895</v>
      </c>
      <c r="Q2398" s="5">
        <v>10430</v>
      </c>
      <c r="R2398" s="5">
        <v>65325</v>
      </c>
    </row>
    <row r="2399" spans="1:18" x14ac:dyDescent="0.25">
      <c r="A2399" t="s">
        <v>501</v>
      </c>
      <c r="B2399" t="s">
        <v>494</v>
      </c>
      <c r="C2399">
        <v>78558400</v>
      </c>
      <c r="D2399">
        <v>76</v>
      </c>
      <c r="E2399">
        <v>30853746</v>
      </c>
      <c r="F2399" t="s">
        <v>1306</v>
      </c>
      <c r="G2399" s="1">
        <v>45236</v>
      </c>
      <c r="H2399">
        <v>5412560</v>
      </c>
      <c r="I2399">
        <v>409</v>
      </c>
      <c r="J2399" t="s">
        <v>186</v>
      </c>
      <c r="K2399" t="str">
        <f>IFERROR(IF(AND(VLOOKUP($C2399,Hes!$A:$B, 1, FALSE), $M2399&lt;&gt;" "), "Ingresada", "Falta Ingresar"), " ")</f>
        <v xml:space="preserve"> </v>
      </c>
      <c r="L2399" s="4" t="str">
        <f>IFERROR(VLOOKUP($C2399,Observaciones!$A:$B,2,FALSE)," ")</f>
        <v xml:space="preserve"> </v>
      </c>
      <c r="M2399" t="s">
        <v>681</v>
      </c>
      <c r="O2399" s="5">
        <v>30853746</v>
      </c>
      <c r="P2399" s="5">
        <v>49970</v>
      </c>
      <c r="Q2399" s="5">
        <v>9494</v>
      </c>
      <c r="R2399" s="5">
        <v>59464</v>
      </c>
    </row>
    <row r="2400" spans="1:18" x14ac:dyDescent="0.25">
      <c r="A2400" t="s">
        <v>501</v>
      </c>
      <c r="B2400" t="s">
        <v>494</v>
      </c>
      <c r="C2400">
        <v>78558400</v>
      </c>
      <c r="D2400">
        <v>55</v>
      </c>
      <c r="E2400">
        <v>30853742</v>
      </c>
      <c r="F2400" t="s">
        <v>1306</v>
      </c>
      <c r="G2400" s="1">
        <v>45236</v>
      </c>
      <c r="H2400">
        <v>5412585</v>
      </c>
      <c r="I2400">
        <v>409</v>
      </c>
      <c r="J2400" t="s">
        <v>186</v>
      </c>
      <c r="K2400" t="str">
        <f>IFERROR(IF(AND(VLOOKUP($C2400,Hes!$A:$B, 1, FALSE), $M2400&lt;&gt;" "), "Ingresada", "Falta Ingresar"), " ")</f>
        <v xml:space="preserve"> </v>
      </c>
      <c r="L2400" s="4" t="str">
        <f>IFERROR(VLOOKUP($C2400,Observaciones!$A:$B,2,FALSE)," ")</f>
        <v xml:space="preserve"> </v>
      </c>
      <c r="M2400" t="s">
        <v>681</v>
      </c>
      <c r="O2400" s="5">
        <v>30853742</v>
      </c>
      <c r="P2400" s="5">
        <v>64949</v>
      </c>
      <c r="Q2400" s="5">
        <v>12340</v>
      </c>
      <c r="R2400" s="5">
        <v>77289</v>
      </c>
    </row>
    <row r="2401" spans="1:18" x14ac:dyDescent="0.25">
      <c r="A2401" t="s">
        <v>501</v>
      </c>
      <c r="B2401" t="s">
        <v>494</v>
      </c>
      <c r="C2401">
        <v>78558400</v>
      </c>
      <c r="D2401">
        <v>15</v>
      </c>
      <c r="E2401">
        <v>30853750</v>
      </c>
      <c r="F2401" t="s">
        <v>1306</v>
      </c>
      <c r="G2401" s="1">
        <v>45236</v>
      </c>
      <c r="H2401">
        <v>5412606</v>
      </c>
      <c r="I2401">
        <v>409</v>
      </c>
      <c r="J2401" t="s">
        <v>186</v>
      </c>
      <c r="K2401" t="str">
        <f>IFERROR(IF(AND(VLOOKUP($C2401,Hes!$A:$B, 1, FALSE), $M2401&lt;&gt;" "), "Ingresada", "Falta Ingresar"), " ")</f>
        <v xml:space="preserve"> </v>
      </c>
      <c r="L2401" s="4" t="str">
        <f>IFERROR(VLOOKUP($C2401,Observaciones!$A:$B,2,FALSE)," ")</f>
        <v xml:space="preserve"> </v>
      </c>
      <c r="M2401" t="s">
        <v>681</v>
      </c>
      <c r="O2401" s="5">
        <v>30853750</v>
      </c>
      <c r="P2401" s="5">
        <v>28852</v>
      </c>
      <c r="Q2401" s="5">
        <v>5482</v>
      </c>
      <c r="R2401" s="5">
        <v>34334</v>
      </c>
    </row>
    <row r="2402" spans="1:18" x14ac:dyDescent="0.25">
      <c r="A2402" t="s">
        <v>501</v>
      </c>
      <c r="B2402" t="s">
        <v>494</v>
      </c>
      <c r="C2402">
        <v>78558400</v>
      </c>
      <c r="D2402">
        <v>50</v>
      </c>
      <c r="E2402">
        <v>30853739</v>
      </c>
      <c r="F2402" t="s">
        <v>1306</v>
      </c>
      <c r="G2402" s="1">
        <v>45236</v>
      </c>
      <c r="H2402">
        <v>5413436</v>
      </c>
      <c r="I2402">
        <v>409</v>
      </c>
      <c r="J2402" t="s">
        <v>186</v>
      </c>
      <c r="K2402" t="str">
        <f>IFERROR(IF(AND(VLOOKUP($C2402,Hes!$A:$B, 1, FALSE), $M2402&lt;&gt;" "), "Ingresada", "Falta Ingresar"), " ")</f>
        <v xml:space="preserve"> </v>
      </c>
      <c r="L2402" s="4" t="str">
        <f>IFERROR(VLOOKUP($C2402,Observaciones!$A:$B,2,FALSE)," ")</f>
        <v xml:space="preserve"> </v>
      </c>
      <c r="M2402" t="s">
        <v>681</v>
      </c>
      <c r="O2402" s="5">
        <v>30853739</v>
      </c>
      <c r="P2402" s="5">
        <v>54723</v>
      </c>
      <c r="Q2402" s="5">
        <v>10397</v>
      </c>
      <c r="R2402" s="5">
        <v>65120</v>
      </c>
    </row>
    <row r="2403" spans="1:18" x14ac:dyDescent="0.25">
      <c r="A2403" t="s">
        <v>501</v>
      </c>
      <c r="B2403" t="s">
        <v>494</v>
      </c>
      <c r="C2403">
        <v>78558400</v>
      </c>
      <c r="D2403">
        <v>3</v>
      </c>
      <c r="E2403">
        <v>30853734</v>
      </c>
      <c r="F2403" t="s">
        <v>1306</v>
      </c>
      <c r="G2403" s="1">
        <v>45236</v>
      </c>
      <c r="H2403">
        <v>5413457</v>
      </c>
      <c r="I2403">
        <v>409</v>
      </c>
      <c r="J2403" t="s">
        <v>186</v>
      </c>
      <c r="K2403" t="str">
        <f>IFERROR(IF(AND(VLOOKUP($C2403,Hes!$A:$B, 1, FALSE), $M2403&lt;&gt;" "), "Ingresada", "Falta Ingresar"), " ")</f>
        <v xml:space="preserve"> </v>
      </c>
      <c r="L2403" s="4" t="str">
        <f>IFERROR(VLOOKUP($C2403,Observaciones!$A:$B,2,FALSE)," ")</f>
        <v xml:space="preserve"> </v>
      </c>
      <c r="M2403" t="s">
        <v>681</v>
      </c>
      <c r="O2403" s="5">
        <v>30853734</v>
      </c>
      <c r="P2403" s="5">
        <v>54911</v>
      </c>
      <c r="Q2403" s="5">
        <v>10433</v>
      </c>
      <c r="R2403" s="5">
        <v>65344</v>
      </c>
    </row>
    <row r="2404" spans="1:18" x14ac:dyDescent="0.25">
      <c r="A2404" t="s">
        <v>501</v>
      </c>
      <c r="B2404" t="s">
        <v>494</v>
      </c>
      <c r="C2404">
        <v>78558400</v>
      </c>
      <c r="D2404">
        <v>51</v>
      </c>
      <c r="E2404">
        <v>30853749</v>
      </c>
      <c r="F2404" t="s">
        <v>1306</v>
      </c>
      <c r="G2404" s="1">
        <v>45236</v>
      </c>
      <c r="H2404">
        <v>5413601</v>
      </c>
      <c r="I2404">
        <v>409</v>
      </c>
      <c r="J2404" t="s">
        <v>186</v>
      </c>
      <c r="K2404" t="str">
        <f>IFERROR(IF(AND(VLOOKUP($C2404,Hes!$A:$B, 1, FALSE), $M2404&lt;&gt;" "), "Ingresada", "Falta Ingresar"), " ")</f>
        <v xml:space="preserve"> </v>
      </c>
      <c r="L2404" s="4" t="str">
        <f>IFERROR(VLOOKUP($C2404,Observaciones!$A:$B,2,FALSE)," ")</f>
        <v xml:space="preserve"> </v>
      </c>
      <c r="M2404" t="s">
        <v>681</v>
      </c>
      <c r="O2404" s="5">
        <v>30853749</v>
      </c>
      <c r="P2404" s="5">
        <v>39999</v>
      </c>
      <c r="Q2404" s="5">
        <v>7600</v>
      </c>
      <c r="R2404" s="5">
        <v>47599</v>
      </c>
    </row>
    <row r="2405" spans="1:18" x14ac:dyDescent="0.25">
      <c r="A2405" t="s">
        <v>501</v>
      </c>
      <c r="B2405" t="s">
        <v>494</v>
      </c>
      <c r="C2405">
        <v>78558400</v>
      </c>
      <c r="D2405">
        <v>60</v>
      </c>
      <c r="E2405">
        <v>30853752</v>
      </c>
      <c r="F2405" t="s">
        <v>1306</v>
      </c>
      <c r="G2405" s="1">
        <v>45236</v>
      </c>
      <c r="H2405">
        <v>5413615</v>
      </c>
      <c r="I2405">
        <v>409</v>
      </c>
      <c r="J2405" t="s">
        <v>186</v>
      </c>
      <c r="K2405" t="str">
        <f>IFERROR(IF(AND(VLOOKUP($C2405,Hes!$A:$B, 1, FALSE), $M2405&lt;&gt;" "), "Ingresada", "Falta Ingresar"), " ")</f>
        <v xml:space="preserve"> </v>
      </c>
      <c r="L2405" s="4" t="str">
        <f>IFERROR(VLOOKUP($C2405,Observaciones!$A:$B,2,FALSE)," ")</f>
        <v xml:space="preserve"> </v>
      </c>
      <c r="M2405" t="s">
        <v>681</v>
      </c>
      <c r="O2405" s="5">
        <v>30853752</v>
      </c>
      <c r="P2405" s="5">
        <v>54146</v>
      </c>
      <c r="Q2405" s="5">
        <v>10288</v>
      </c>
      <c r="R2405" s="5">
        <v>64434</v>
      </c>
    </row>
    <row r="2406" spans="1:18" x14ac:dyDescent="0.25">
      <c r="A2406" t="s">
        <v>501</v>
      </c>
      <c r="B2406" t="s">
        <v>494</v>
      </c>
      <c r="C2406">
        <v>78558400</v>
      </c>
      <c r="D2406">
        <v>48</v>
      </c>
      <c r="E2406">
        <v>30853756</v>
      </c>
      <c r="F2406" t="s">
        <v>1306</v>
      </c>
      <c r="G2406" s="1">
        <v>45236</v>
      </c>
      <c r="H2406">
        <v>5413616</v>
      </c>
      <c r="I2406">
        <v>409</v>
      </c>
      <c r="J2406" t="s">
        <v>186</v>
      </c>
      <c r="K2406" t="str">
        <f>IFERROR(IF(AND(VLOOKUP($C2406,Hes!$A:$B, 1, FALSE), $M2406&lt;&gt;" "), "Ingresada", "Falta Ingresar"), " ")</f>
        <v xml:space="preserve"> </v>
      </c>
      <c r="L2406" s="4" t="str">
        <f>IFERROR(VLOOKUP($C2406,Observaciones!$A:$B,2,FALSE)," ")</f>
        <v xml:space="preserve"> </v>
      </c>
      <c r="M2406" t="s">
        <v>681</v>
      </c>
      <c r="O2406" s="5">
        <v>30853756</v>
      </c>
      <c r="P2406" s="5">
        <v>64515</v>
      </c>
      <c r="Q2406" s="5">
        <v>12258</v>
      </c>
      <c r="R2406" s="5">
        <v>76773</v>
      </c>
    </row>
    <row r="2407" spans="1:18" x14ac:dyDescent="0.25">
      <c r="A2407" t="s">
        <v>501</v>
      </c>
      <c r="B2407" t="s">
        <v>494</v>
      </c>
      <c r="C2407">
        <v>78558400</v>
      </c>
      <c r="D2407">
        <v>93</v>
      </c>
      <c r="E2407">
        <v>30853744</v>
      </c>
      <c r="F2407" t="s">
        <v>1306</v>
      </c>
      <c r="G2407" s="1">
        <v>45236</v>
      </c>
      <c r="H2407">
        <v>5413635</v>
      </c>
      <c r="I2407">
        <v>409</v>
      </c>
      <c r="J2407" t="s">
        <v>186</v>
      </c>
      <c r="K2407" t="str">
        <f>IFERROR(IF(AND(VLOOKUP($C2407,Hes!$A:$B, 1, FALSE), $M2407&lt;&gt;" "), "Ingresada", "Falta Ingresar"), " ")</f>
        <v xml:space="preserve"> </v>
      </c>
      <c r="L2407" s="4" t="str">
        <f>IFERROR(VLOOKUP($C2407,Observaciones!$A:$B,2,FALSE)," ")</f>
        <v xml:space="preserve"> </v>
      </c>
      <c r="M2407" t="s">
        <v>681</v>
      </c>
      <c r="O2407" s="5">
        <v>30853744</v>
      </c>
      <c r="P2407" s="5">
        <v>54245</v>
      </c>
      <c r="Q2407" s="5">
        <v>10307</v>
      </c>
      <c r="R2407" s="5">
        <v>64552</v>
      </c>
    </row>
    <row r="2408" spans="1:18" x14ac:dyDescent="0.25">
      <c r="A2408" t="s">
        <v>501</v>
      </c>
      <c r="B2408" t="s">
        <v>494</v>
      </c>
      <c r="C2408">
        <v>78558400</v>
      </c>
      <c r="D2408">
        <v>12</v>
      </c>
      <c r="E2408">
        <v>30853736</v>
      </c>
      <c r="F2408" t="s">
        <v>1306</v>
      </c>
      <c r="G2408" s="1">
        <v>45236</v>
      </c>
      <c r="H2408">
        <v>5413741</v>
      </c>
      <c r="I2408">
        <v>409</v>
      </c>
      <c r="J2408" t="s">
        <v>186</v>
      </c>
      <c r="K2408" t="str">
        <f>IFERROR(IF(AND(VLOOKUP($C2408,Hes!$A:$B, 1, FALSE), $M2408&lt;&gt;" "), "Ingresada", "Falta Ingresar"), " ")</f>
        <v xml:space="preserve"> </v>
      </c>
      <c r="L2408" s="4" t="str">
        <f>IFERROR(VLOOKUP($C2408,Observaciones!$A:$B,2,FALSE)," ")</f>
        <v xml:space="preserve"> </v>
      </c>
      <c r="M2408" t="s">
        <v>681</v>
      </c>
      <c r="O2408" s="5">
        <v>30853736</v>
      </c>
      <c r="P2408" s="5">
        <v>74995</v>
      </c>
      <c r="Q2408" s="5">
        <v>14249</v>
      </c>
      <c r="R2408" s="5">
        <v>89244</v>
      </c>
    </row>
    <row r="2409" spans="1:18" x14ac:dyDescent="0.25">
      <c r="A2409" t="s">
        <v>501</v>
      </c>
      <c r="B2409" t="s">
        <v>494</v>
      </c>
      <c r="C2409">
        <v>78558400</v>
      </c>
      <c r="D2409">
        <v>25</v>
      </c>
      <c r="E2409">
        <v>30858378</v>
      </c>
      <c r="F2409" t="s">
        <v>1306</v>
      </c>
      <c r="G2409" s="1">
        <v>45237</v>
      </c>
      <c r="H2409">
        <v>5414015</v>
      </c>
      <c r="I2409">
        <v>409</v>
      </c>
      <c r="J2409" t="s">
        <v>186</v>
      </c>
      <c r="K2409" t="str">
        <f>IFERROR(IF(AND(VLOOKUP($C2409,Hes!$A:$B, 1, FALSE), $M2409&lt;&gt;" "), "Ingresada", "Falta Ingresar"), " ")</f>
        <v xml:space="preserve"> </v>
      </c>
      <c r="L2409" s="4" t="str">
        <f>IFERROR(VLOOKUP($C2409,Observaciones!$A:$B,2,FALSE)," ")</f>
        <v xml:space="preserve"> </v>
      </c>
      <c r="M2409" t="s">
        <v>681</v>
      </c>
      <c r="O2409" s="5">
        <v>30858378</v>
      </c>
      <c r="P2409" s="5">
        <v>64862</v>
      </c>
      <c r="Q2409" s="5">
        <v>12324</v>
      </c>
      <c r="R2409" s="5">
        <v>77186</v>
      </c>
    </row>
    <row r="2410" spans="1:18" x14ac:dyDescent="0.25">
      <c r="A2410" t="s">
        <v>501</v>
      </c>
      <c r="B2410" t="s">
        <v>494</v>
      </c>
      <c r="C2410">
        <v>78558400</v>
      </c>
      <c r="D2410">
        <v>92</v>
      </c>
      <c r="E2410">
        <v>30858370</v>
      </c>
      <c r="F2410" t="s">
        <v>1306</v>
      </c>
      <c r="G2410" s="1">
        <v>45237</v>
      </c>
      <c r="H2410">
        <v>5414023</v>
      </c>
      <c r="I2410">
        <v>409</v>
      </c>
      <c r="J2410" t="s">
        <v>186</v>
      </c>
      <c r="K2410" t="str">
        <f>IFERROR(IF(AND(VLOOKUP($C2410,Hes!$A:$B, 1, FALSE), $M2410&lt;&gt;" "), "Ingresada", "Falta Ingresar"), " ")</f>
        <v xml:space="preserve"> </v>
      </c>
      <c r="L2410" s="4" t="str">
        <f>IFERROR(VLOOKUP($C2410,Observaciones!$A:$B,2,FALSE)," ")</f>
        <v xml:space="preserve"> </v>
      </c>
      <c r="M2410" t="s">
        <v>681</v>
      </c>
      <c r="O2410" s="5">
        <v>30858370</v>
      </c>
      <c r="P2410" s="5">
        <v>50931</v>
      </c>
      <c r="Q2410" s="5">
        <v>9677</v>
      </c>
      <c r="R2410" s="5">
        <v>60608</v>
      </c>
    </row>
    <row r="2411" spans="1:18" x14ac:dyDescent="0.25">
      <c r="A2411" t="s">
        <v>501</v>
      </c>
      <c r="B2411" t="s">
        <v>494</v>
      </c>
      <c r="C2411">
        <v>78558400</v>
      </c>
      <c r="D2411">
        <v>57</v>
      </c>
      <c r="E2411">
        <v>30858376</v>
      </c>
      <c r="F2411" t="s">
        <v>1306</v>
      </c>
      <c r="G2411" s="1">
        <v>45237</v>
      </c>
      <c r="H2411">
        <v>5414049</v>
      </c>
      <c r="I2411">
        <v>409</v>
      </c>
      <c r="J2411" t="s">
        <v>186</v>
      </c>
      <c r="K2411" t="str">
        <f>IFERROR(IF(AND(VLOOKUP($C2411,Hes!$A:$B, 1, FALSE), $M2411&lt;&gt;" "), "Ingresada", "Falta Ingresar"), " ")</f>
        <v xml:space="preserve"> </v>
      </c>
      <c r="L2411" s="4" t="str">
        <f>IFERROR(VLOOKUP($C2411,Observaciones!$A:$B,2,FALSE)," ")</f>
        <v xml:space="preserve"> </v>
      </c>
      <c r="M2411" t="s">
        <v>681</v>
      </c>
      <c r="O2411" s="5">
        <v>30858376</v>
      </c>
      <c r="P2411" s="5">
        <v>49991</v>
      </c>
      <c r="Q2411" s="5">
        <v>9498</v>
      </c>
      <c r="R2411" s="5">
        <v>59489</v>
      </c>
    </row>
    <row r="2412" spans="1:18" x14ac:dyDescent="0.25">
      <c r="A2412" t="s">
        <v>501</v>
      </c>
      <c r="B2412" t="s">
        <v>494</v>
      </c>
      <c r="C2412">
        <v>78558400</v>
      </c>
      <c r="D2412">
        <v>52</v>
      </c>
      <c r="E2412">
        <v>30858380</v>
      </c>
      <c r="F2412" t="s">
        <v>1306</v>
      </c>
      <c r="G2412" s="1">
        <v>45237</v>
      </c>
      <c r="H2412">
        <v>5414095</v>
      </c>
      <c r="I2412">
        <v>409</v>
      </c>
      <c r="J2412" t="s">
        <v>186</v>
      </c>
      <c r="K2412" t="str">
        <f>IFERROR(IF(AND(VLOOKUP($C2412,Hes!$A:$B, 1, FALSE), $M2412&lt;&gt;" "), "Ingresada", "Falta Ingresar"), " ")</f>
        <v xml:space="preserve"> </v>
      </c>
      <c r="L2412" s="4" t="str">
        <f>IFERROR(VLOOKUP($C2412,Observaciones!$A:$B,2,FALSE)," ")</f>
        <v xml:space="preserve"> </v>
      </c>
      <c r="M2412" t="s">
        <v>681</v>
      </c>
      <c r="O2412" s="5">
        <v>30858380</v>
      </c>
      <c r="P2412" s="5">
        <v>50960</v>
      </c>
      <c r="Q2412" s="5">
        <v>9682</v>
      </c>
      <c r="R2412" s="5">
        <v>60642</v>
      </c>
    </row>
    <row r="2413" spans="1:18" x14ac:dyDescent="0.25">
      <c r="A2413" t="s">
        <v>501</v>
      </c>
      <c r="B2413" t="s">
        <v>494</v>
      </c>
      <c r="C2413">
        <v>78558400</v>
      </c>
      <c r="D2413">
        <v>4</v>
      </c>
      <c r="E2413">
        <v>30858382</v>
      </c>
      <c r="F2413" t="s">
        <v>1306</v>
      </c>
      <c r="G2413" s="1">
        <v>45237</v>
      </c>
      <c r="H2413">
        <v>5414191</v>
      </c>
      <c r="I2413">
        <v>409</v>
      </c>
      <c r="J2413" t="s">
        <v>186</v>
      </c>
      <c r="K2413" t="str">
        <f>IFERROR(IF(AND(VLOOKUP($C2413,Hes!$A:$B, 1, FALSE), $M2413&lt;&gt;" "), "Ingresada", "Falta Ingresar"), " ")</f>
        <v xml:space="preserve"> </v>
      </c>
      <c r="L2413" s="4" t="str">
        <f>IFERROR(VLOOKUP($C2413,Observaciones!$A:$B,2,FALSE)," ")</f>
        <v xml:space="preserve"> </v>
      </c>
      <c r="M2413" t="s">
        <v>681</v>
      </c>
      <c r="O2413" s="5">
        <v>30858382</v>
      </c>
      <c r="P2413" s="5">
        <v>59787</v>
      </c>
      <c r="Q2413" s="5">
        <v>11360</v>
      </c>
      <c r="R2413" s="5">
        <v>71147</v>
      </c>
    </row>
    <row r="2414" spans="1:18" x14ac:dyDescent="0.25">
      <c r="A2414" t="s">
        <v>501</v>
      </c>
      <c r="B2414" t="s">
        <v>494</v>
      </c>
      <c r="C2414">
        <v>78558400</v>
      </c>
      <c r="D2414">
        <v>47</v>
      </c>
      <c r="E2414">
        <v>30858381</v>
      </c>
      <c r="F2414" t="s">
        <v>1306</v>
      </c>
      <c r="G2414" s="1">
        <v>45237</v>
      </c>
      <c r="H2414">
        <v>5414381</v>
      </c>
      <c r="I2414">
        <v>409</v>
      </c>
      <c r="J2414" t="s">
        <v>186</v>
      </c>
      <c r="K2414" t="str">
        <f>IFERROR(IF(AND(VLOOKUP($C2414,Hes!$A:$B, 1, FALSE), $M2414&lt;&gt;" "), "Ingresada", "Falta Ingresar"), " ")</f>
        <v xml:space="preserve"> </v>
      </c>
      <c r="L2414" s="4" t="str">
        <f>IFERROR(VLOOKUP($C2414,Observaciones!$A:$B,2,FALSE)," ")</f>
        <v xml:space="preserve"> </v>
      </c>
      <c r="M2414" t="s">
        <v>681</v>
      </c>
      <c r="O2414" s="5">
        <v>30858381</v>
      </c>
      <c r="P2414" s="5">
        <v>46088</v>
      </c>
      <c r="Q2414" s="5">
        <v>8757</v>
      </c>
      <c r="R2414" s="5">
        <v>54845</v>
      </c>
    </row>
    <row r="2415" spans="1:18" x14ac:dyDescent="0.25">
      <c r="A2415" t="s">
        <v>501</v>
      </c>
      <c r="B2415" t="s">
        <v>494</v>
      </c>
      <c r="C2415">
        <v>78558400</v>
      </c>
      <c r="D2415">
        <v>63</v>
      </c>
      <c r="E2415">
        <v>30858367</v>
      </c>
      <c r="F2415" t="s">
        <v>1306</v>
      </c>
      <c r="G2415" s="1">
        <v>45238</v>
      </c>
      <c r="H2415">
        <v>5414535</v>
      </c>
      <c r="I2415">
        <v>409</v>
      </c>
      <c r="J2415" t="s">
        <v>186</v>
      </c>
      <c r="K2415" t="str">
        <f>IFERROR(IF(AND(VLOOKUP($C2415,Hes!$A:$B, 1, FALSE), $M2415&lt;&gt;" "), "Ingresada", "Falta Ingresar"), " ")</f>
        <v xml:space="preserve"> </v>
      </c>
      <c r="L2415" s="4" t="str">
        <f>IFERROR(VLOOKUP($C2415,Observaciones!$A:$B,2,FALSE)," ")</f>
        <v xml:space="preserve"> </v>
      </c>
      <c r="M2415" t="s">
        <v>681</v>
      </c>
      <c r="O2415" s="5">
        <v>30858367</v>
      </c>
      <c r="P2415" s="5">
        <v>54890</v>
      </c>
      <c r="Q2415" s="5">
        <v>10429</v>
      </c>
      <c r="R2415" s="5">
        <v>65319</v>
      </c>
    </row>
    <row r="2416" spans="1:18" x14ac:dyDescent="0.25">
      <c r="A2416" t="s">
        <v>501</v>
      </c>
      <c r="B2416" t="s">
        <v>494</v>
      </c>
      <c r="C2416">
        <v>78558400</v>
      </c>
      <c r="D2416">
        <v>37</v>
      </c>
      <c r="E2416">
        <v>30858375</v>
      </c>
      <c r="F2416" t="s">
        <v>1306</v>
      </c>
      <c r="G2416" s="1">
        <v>45238</v>
      </c>
      <c r="H2416">
        <v>5414540</v>
      </c>
      <c r="I2416">
        <v>409</v>
      </c>
      <c r="J2416" t="s">
        <v>186</v>
      </c>
      <c r="K2416" t="str">
        <f>IFERROR(IF(AND(VLOOKUP($C2416,Hes!$A:$B, 1, FALSE), $M2416&lt;&gt;" "), "Ingresada", "Falta Ingresar"), " ")</f>
        <v xml:space="preserve"> </v>
      </c>
      <c r="L2416" s="4" t="str">
        <f>IFERROR(VLOOKUP($C2416,Observaciones!$A:$B,2,FALSE)," ")</f>
        <v xml:space="preserve"> </v>
      </c>
      <c r="M2416" t="s">
        <v>681</v>
      </c>
      <c r="O2416" s="5">
        <v>30858375</v>
      </c>
      <c r="P2416" s="5">
        <v>49910</v>
      </c>
      <c r="Q2416" s="5">
        <v>9483</v>
      </c>
      <c r="R2416" s="5">
        <v>59393</v>
      </c>
    </row>
    <row r="2417" spans="1:18" x14ac:dyDescent="0.25">
      <c r="A2417" t="s">
        <v>501</v>
      </c>
      <c r="B2417" t="s">
        <v>494</v>
      </c>
      <c r="C2417">
        <v>78558400</v>
      </c>
      <c r="D2417">
        <v>9</v>
      </c>
      <c r="E2417">
        <v>30858371</v>
      </c>
      <c r="F2417" t="s">
        <v>1306</v>
      </c>
      <c r="G2417" s="1">
        <v>45238</v>
      </c>
      <c r="H2417">
        <v>5414620</v>
      </c>
      <c r="I2417">
        <v>409</v>
      </c>
      <c r="J2417" t="s">
        <v>186</v>
      </c>
      <c r="K2417" t="str">
        <f>IFERROR(IF(AND(VLOOKUP($C2417,Hes!$A:$B, 1, FALSE), $M2417&lt;&gt;" "), "Ingresada", "Falta Ingresar"), " ")</f>
        <v xml:space="preserve"> </v>
      </c>
      <c r="L2417" s="4" t="str">
        <f>IFERROR(VLOOKUP($C2417,Observaciones!$A:$B,2,FALSE)," ")</f>
        <v xml:space="preserve"> </v>
      </c>
      <c r="M2417" t="s">
        <v>681</v>
      </c>
      <c r="O2417" s="5">
        <v>30858371</v>
      </c>
      <c r="P2417" s="5">
        <v>53289</v>
      </c>
      <c r="Q2417" s="5">
        <v>10125</v>
      </c>
      <c r="R2417" s="5">
        <v>63414</v>
      </c>
    </row>
    <row r="2418" spans="1:18" x14ac:dyDescent="0.25">
      <c r="A2418" t="s">
        <v>501</v>
      </c>
      <c r="B2418" t="s">
        <v>494</v>
      </c>
      <c r="C2418">
        <v>78558400</v>
      </c>
      <c r="D2418">
        <v>13</v>
      </c>
      <c r="E2418">
        <v>30858368</v>
      </c>
      <c r="F2418" t="s">
        <v>1306</v>
      </c>
      <c r="G2418" s="1">
        <v>45238</v>
      </c>
      <c r="H2418">
        <v>5414626</v>
      </c>
      <c r="I2418">
        <v>409</v>
      </c>
      <c r="J2418" t="s">
        <v>186</v>
      </c>
      <c r="K2418" t="str">
        <f>IFERROR(IF(AND(VLOOKUP($C2418,Hes!$A:$B, 1, FALSE), $M2418&lt;&gt;" "), "Ingresada", "Falta Ingresar"), " ")</f>
        <v xml:space="preserve"> </v>
      </c>
      <c r="L2418" s="4" t="str">
        <f>IFERROR(VLOOKUP($C2418,Observaciones!$A:$B,2,FALSE)," ")</f>
        <v xml:space="preserve"> </v>
      </c>
      <c r="M2418" t="s">
        <v>681</v>
      </c>
      <c r="O2418" s="5">
        <v>30858368</v>
      </c>
      <c r="P2418" s="5">
        <v>64766</v>
      </c>
      <c r="Q2418" s="5">
        <v>12306</v>
      </c>
      <c r="R2418" s="5">
        <v>77072</v>
      </c>
    </row>
    <row r="2419" spans="1:18" x14ac:dyDescent="0.25">
      <c r="A2419" t="s">
        <v>501</v>
      </c>
      <c r="B2419" t="s">
        <v>494</v>
      </c>
      <c r="C2419">
        <v>78558400</v>
      </c>
      <c r="D2419">
        <v>68</v>
      </c>
      <c r="E2419">
        <v>30858366</v>
      </c>
      <c r="F2419" t="s">
        <v>1306</v>
      </c>
      <c r="G2419" s="1">
        <v>45238</v>
      </c>
      <c r="H2419">
        <v>5414661</v>
      </c>
      <c r="I2419">
        <v>409</v>
      </c>
      <c r="J2419" t="s">
        <v>186</v>
      </c>
      <c r="K2419" t="str">
        <f>IFERROR(IF(AND(VLOOKUP($C2419,Hes!$A:$B, 1, FALSE), $M2419&lt;&gt;" "), "Ingresada", "Falta Ingresar"), " ")</f>
        <v xml:space="preserve"> </v>
      </c>
      <c r="L2419" s="4" t="str">
        <f>IFERROR(VLOOKUP($C2419,Observaciones!$A:$B,2,FALSE)," ")</f>
        <v xml:space="preserve"> </v>
      </c>
      <c r="M2419" t="s">
        <v>681</v>
      </c>
      <c r="O2419" s="5">
        <v>30858366</v>
      </c>
      <c r="P2419" s="5">
        <v>64929</v>
      </c>
      <c r="Q2419" s="5">
        <v>12337</v>
      </c>
      <c r="R2419" s="5">
        <v>77266</v>
      </c>
    </row>
    <row r="2420" spans="1:18" x14ac:dyDescent="0.25">
      <c r="A2420" t="s">
        <v>501</v>
      </c>
      <c r="B2420" t="s">
        <v>494</v>
      </c>
      <c r="C2420">
        <v>78558400</v>
      </c>
      <c r="D2420">
        <v>66</v>
      </c>
      <c r="E2420">
        <v>30858372</v>
      </c>
      <c r="F2420" t="s">
        <v>1306</v>
      </c>
      <c r="G2420" s="1">
        <v>45237</v>
      </c>
      <c r="H2420">
        <v>5414739</v>
      </c>
      <c r="I2420">
        <v>409</v>
      </c>
      <c r="J2420" t="s">
        <v>186</v>
      </c>
      <c r="K2420" t="str">
        <f>IFERROR(IF(AND(VLOOKUP($C2420,Hes!$A:$B, 1, FALSE), $M2420&lt;&gt;" "), "Ingresada", "Falta Ingresar"), " ")</f>
        <v xml:space="preserve"> </v>
      </c>
      <c r="L2420" s="4" t="str">
        <f>IFERROR(VLOOKUP($C2420,Observaciones!$A:$B,2,FALSE)," ")</f>
        <v xml:space="preserve"> </v>
      </c>
      <c r="M2420" t="s">
        <v>681</v>
      </c>
      <c r="O2420" s="5">
        <v>30858372</v>
      </c>
      <c r="P2420" s="5">
        <v>51072</v>
      </c>
      <c r="Q2420" s="5">
        <v>9704</v>
      </c>
      <c r="R2420" s="5">
        <v>60776</v>
      </c>
    </row>
    <row r="2421" spans="1:18" x14ac:dyDescent="0.25">
      <c r="A2421" t="s">
        <v>501</v>
      </c>
      <c r="B2421" t="s">
        <v>494</v>
      </c>
      <c r="C2421">
        <v>78558400</v>
      </c>
      <c r="D2421">
        <v>73</v>
      </c>
      <c r="E2421">
        <v>30858374</v>
      </c>
      <c r="F2421" t="s">
        <v>1306</v>
      </c>
      <c r="G2421" s="1">
        <v>45238</v>
      </c>
      <c r="H2421">
        <v>5414779</v>
      </c>
      <c r="I2421">
        <v>409</v>
      </c>
      <c r="J2421" t="s">
        <v>186</v>
      </c>
      <c r="K2421" t="str">
        <f>IFERROR(IF(AND(VLOOKUP($C2421,Hes!$A:$B, 1, FALSE), $M2421&lt;&gt;" "), "Ingresada", "Falta Ingresar"), " ")</f>
        <v xml:space="preserve"> </v>
      </c>
      <c r="L2421" s="4" t="str">
        <f>IFERROR(VLOOKUP($C2421,Observaciones!$A:$B,2,FALSE)," ")</f>
        <v xml:space="preserve"> </v>
      </c>
      <c r="M2421" t="s">
        <v>681</v>
      </c>
      <c r="O2421" s="5">
        <v>30858374</v>
      </c>
      <c r="P2421" s="5">
        <v>40826</v>
      </c>
      <c r="Q2421" s="5">
        <v>7757</v>
      </c>
      <c r="R2421" s="5">
        <v>48583</v>
      </c>
    </row>
    <row r="2422" spans="1:18" x14ac:dyDescent="0.25">
      <c r="A2422" t="s">
        <v>501</v>
      </c>
      <c r="B2422" t="s">
        <v>494</v>
      </c>
      <c r="C2422">
        <v>78558400</v>
      </c>
      <c r="D2422">
        <v>38</v>
      </c>
      <c r="E2422">
        <v>30858379</v>
      </c>
      <c r="F2422" t="s">
        <v>1306</v>
      </c>
      <c r="G2422" s="1">
        <v>45237</v>
      </c>
      <c r="H2422">
        <v>5414783</v>
      </c>
      <c r="I2422">
        <v>409</v>
      </c>
      <c r="J2422" t="s">
        <v>186</v>
      </c>
      <c r="K2422" t="str">
        <f>IFERROR(IF(AND(VLOOKUP($C2422,Hes!$A:$B, 1, FALSE), $M2422&lt;&gt;" "), "Ingresada", "Falta Ingresar"), " ")</f>
        <v xml:space="preserve"> </v>
      </c>
      <c r="L2422" s="4" t="str">
        <f>IFERROR(VLOOKUP($C2422,Observaciones!$A:$B,2,FALSE)," ")</f>
        <v xml:space="preserve"> </v>
      </c>
      <c r="M2422" t="s">
        <v>681</v>
      </c>
      <c r="O2422" s="5">
        <v>30858379</v>
      </c>
      <c r="P2422" s="5">
        <v>51080</v>
      </c>
      <c r="Q2422" s="5">
        <v>9705</v>
      </c>
      <c r="R2422" s="5">
        <v>60785</v>
      </c>
    </row>
    <row r="2423" spans="1:18" x14ac:dyDescent="0.25">
      <c r="A2423" t="s">
        <v>501</v>
      </c>
      <c r="B2423" t="s">
        <v>494</v>
      </c>
      <c r="C2423">
        <v>78558400</v>
      </c>
      <c r="D2423">
        <v>45</v>
      </c>
      <c r="E2423">
        <v>30858377</v>
      </c>
      <c r="F2423" t="s">
        <v>1306</v>
      </c>
      <c r="G2423" s="1">
        <v>45238</v>
      </c>
      <c r="H2423">
        <v>5414886</v>
      </c>
      <c r="I2423">
        <v>409</v>
      </c>
      <c r="J2423" t="s">
        <v>186</v>
      </c>
      <c r="K2423" t="str">
        <f>IFERROR(IF(AND(VLOOKUP($C2423,Hes!$A:$B, 1, FALSE), $M2423&lt;&gt;" "), "Ingresada", "Falta Ingresar"), " ")</f>
        <v xml:space="preserve"> </v>
      </c>
      <c r="L2423" s="4" t="str">
        <f>IFERROR(VLOOKUP($C2423,Observaciones!$A:$B,2,FALSE)," ")</f>
        <v xml:space="preserve"> </v>
      </c>
      <c r="M2423" t="s">
        <v>681</v>
      </c>
      <c r="O2423" s="5">
        <v>30858377</v>
      </c>
      <c r="P2423" s="5">
        <v>54325</v>
      </c>
      <c r="Q2423" s="5">
        <v>10322</v>
      </c>
      <c r="R2423" s="5">
        <v>64647</v>
      </c>
    </row>
    <row r="2424" spans="1:18" x14ac:dyDescent="0.25">
      <c r="A2424" t="s">
        <v>501</v>
      </c>
      <c r="B2424" t="s">
        <v>494</v>
      </c>
      <c r="C2424">
        <v>78558400</v>
      </c>
      <c r="D2424">
        <v>29</v>
      </c>
      <c r="E2424">
        <v>30858369</v>
      </c>
      <c r="F2424" t="s">
        <v>1306</v>
      </c>
      <c r="G2424" s="1">
        <v>45238</v>
      </c>
      <c r="H2424">
        <v>5414932</v>
      </c>
      <c r="I2424">
        <v>409</v>
      </c>
      <c r="J2424" t="s">
        <v>186</v>
      </c>
      <c r="K2424" t="str">
        <f>IFERROR(IF(AND(VLOOKUP($C2424,Hes!$A:$B, 1, FALSE), $M2424&lt;&gt;" "), "Ingresada", "Falta Ingresar"), " ")</f>
        <v xml:space="preserve"> </v>
      </c>
      <c r="L2424" s="4" t="str">
        <f>IFERROR(VLOOKUP($C2424,Observaciones!$A:$B,2,FALSE)," ")</f>
        <v xml:space="preserve"> </v>
      </c>
      <c r="M2424" t="s">
        <v>681</v>
      </c>
      <c r="O2424" s="5">
        <v>30858369</v>
      </c>
      <c r="P2424" s="5">
        <v>64982</v>
      </c>
      <c r="Q2424" s="5">
        <v>12347</v>
      </c>
      <c r="R2424" s="5">
        <v>77329</v>
      </c>
    </row>
    <row r="2425" spans="1:18" x14ac:dyDescent="0.25">
      <c r="F2425" t="s">
        <v>532</v>
      </c>
      <c r="K2425" t="str">
        <f>IFERROR(IF(AND(VLOOKUP($C2425,Hes!$A:$B, 1, FALSE), $M2425&lt;&gt;" "), "Ingresada", "Falta Ingresar"), " ")</f>
        <v xml:space="preserve"> </v>
      </c>
      <c r="L2425" s="4" t="str">
        <f>IFERROR(VLOOKUP($C2425,Observaciones!$A:$B,2,FALSE)," ")</f>
        <v xml:space="preserve"> </v>
      </c>
      <c r="M2425" t="s">
        <v>681</v>
      </c>
      <c r="P2425" s="5">
        <v>1468888</v>
      </c>
      <c r="Q2425" s="5">
        <v>279091</v>
      </c>
      <c r="R2425" s="5">
        <v>1747979</v>
      </c>
    </row>
    <row r="2426" spans="1:18" x14ac:dyDescent="0.25">
      <c r="A2426" t="s">
        <v>503</v>
      </c>
      <c r="B2426" t="s">
        <v>502</v>
      </c>
      <c r="C2426">
        <v>78591210</v>
      </c>
      <c r="D2426">
        <v>11</v>
      </c>
      <c r="E2426">
        <v>30859141</v>
      </c>
      <c r="F2426" t="s">
        <v>1307</v>
      </c>
      <c r="G2426" s="1">
        <v>45237</v>
      </c>
      <c r="H2426">
        <v>5414066</v>
      </c>
      <c r="I2426">
        <v>17</v>
      </c>
      <c r="J2426" t="s">
        <v>305</v>
      </c>
      <c r="K2426" t="str">
        <f>IFERROR(IF(AND(VLOOKUP($C2426,Hes!$A:$B, 1, FALSE), $M2426&lt;&gt;" "), "Ingresada", "Falta Ingresar"), " ")</f>
        <v xml:space="preserve"> </v>
      </c>
      <c r="L2426" s="4" t="str">
        <f>IFERROR(VLOOKUP($C2426,Observaciones!$A:$B,2,FALSE)," ")</f>
        <v xml:space="preserve"> </v>
      </c>
      <c r="M2426" t="s">
        <v>681</v>
      </c>
      <c r="O2426" s="5">
        <v>30859141</v>
      </c>
      <c r="P2426" s="5">
        <v>51548</v>
      </c>
      <c r="Q2426" s="5">
        <v>9794</v>
      </c>
      <c r="R2426" s="5">
        <v>61342</v>
      </c>
    </row>
    <row r="2427" spans="1:18" x14ac:dyDescent="0.25">
      <c r="A2427" t="s">
        <v>503</v>
      </c>
      <c r="B2427" t="s">
        <v>502</v>
      </c>
      <c r="C2427">
        <v>78591210</v>
      </c>
      <c r="D2427">
        <v>9</v>
      </c>
      <c r="E2427">
        <v>30864391</v>
      </c>
      <c r="F2427" t="s">
        <v>1307</v>
      </c>
      <c r="G2427" s="1">
        <v>45238</v>
      </c>
      <c r="H2427">
        <v>5415168</v>
      </c>
      <c r="I2427">
        <v>17</v>
      </c>
      <c r="J2427" t="s">
        <v>305</v>
      </c>
      <c r="K2427" t="str">
        <f>IFERROR(IF(AND(VLOOKUP($C2427,Hes!$A:$B, 1, FALSE), $M2427&lt;&gt;" "), "Ingresada", "Falta Ingresar"), " ")</f>
        <v xml:space="preserve"> </v>
      </c>
      <c r="L2427" s="4" t="str">
        <f>IFERROR(VLOOKUP($C2427,Observaciones!$A:$B,2,FALSE)," ")</f>
        <v xml:space="preserve"> </v>
      </c>
      <c r="M2427" t="s">
        <v>681</v>
      </c>
      <c r="O2427" s="5">
        <v>30864391</v>
      </c>
      <c r="P2427" s="5">
        <v>58154</v>
      </c>
      <c r="Q2427" s="5">
        <v>11049</v>
      </c>
      <c r="R2427" s="5">
        <v>69203</v>
      </c>
    </row>
    <row r="2428" spans="1:18" x14ac:dyDescent="0.25">
      <c r="A2428" t="s">
        <v>503</v>
      </c>
      <c r="B2428" t="s">
        <v>502</v>
      </c>
      <c r="C2428">
        <v>78591210</v>
      </c>
      <c r="D2428">
        <v>3</v>
      </c>
      <c r="E2428">
        <v>30864825</v>
      </c>
      <c r="F2428" t="s">
        <v>1307</v>
      </c>
      <c r="G2428" s="1">
        <v>45238</v>
      </c>
      <c r="H2428">
        <v>5415568</v>
      </c>
      <c r="I2428">
        <v>17</v>
      </c>
      <c r="J2428" t="s">
        <v>305</v>
      </c>
      <c r="K2428" t="str">
        <f>IFERROR(IF(AND(VLOOKUP($C2428,Hes!$A:$B, 1, FALSE), $M2428&lt;&gt;" "), "Ingresada", "Falta Ingresar"), " ")</f>
        <v xml:space="preserve"> </v>
      </c>
      <c r="L2428" s="4" t="str">
        <f>IFERROR(VLOOKUP($C2428,Observaciones!$A:$B,2,FALSE)," ")</f>
        <v xml:space="preserve"> </v>
      </c>
      <c r="M2428" t="s">
        <v>681</v>
      </c>
      <c r="O2428" s="5">
        <v>30864825</v>
      </c>
      <c r="P2428" s="5">
        <v>56510</v>
      </c>
      <c r="Q2428" s="5">
        <v>10737</v>
      </c>
      <c r="R2428" s="5">
        <v>67247</v>
      </c>
    </row>
    <row r="2429" spans="1:18" x14ac:dyDescent="0.25">
      <c r="F2429" t="s">
        <v>500</v>
      </c>
      <c r="K2429" t="str">
        <f>IFERROR(IF(AND(VLOOKUP($C2429,Hes!$A:$B, 1, FALSE), $M2429&lt;&gt;" "), "Ingresada", "Falta Ingresar"), " ")</f>
        <v xml:space="preserve"> </v>
      </c>
      <c r="L2429" s="4" t="str">
        <f>IFERROR(VLOOKUP($C2429,Observaciones!$A:$B,2,FALSE)," ")</f>
        <v xml:space="preserve"> </v>
      </c>
      <c r="M2429" t="s">
        <v>681</v>
      </c>
      <c r="P2429" s="5">
        <v>166212</v>
      </c>
      <c r="Q2429" s="5">
        <v>31580</v>
      </c>
      <c r="R2429" s="5">
        <v>197792</v>
      </c>
    </row>
    <row r="2430" spans="1:18" x14ac:dyDescent="0.25">
      <c r="A2430" t="s">
        <v>503</v>
      </c>
      <c r="B2430" t="s">
        <v>494</v>
      </c>
      <c r="C2430">
        <v>78793360</v>
      </c>
      <c r="D2430">
        <v>0</v>
      </c>
      <c r="E2430" t="s">
        <v>1308</v>
      </c>
      <c r="F2430" t="s">
        <v>1309</v>
      </c>
      <c r="G2430" s="1">
        <v>45232</v>
      </c>
      <c r="H2430">
        <v>5410921</v>
      </c>
      <c r="I2430">
        <v>392</v>
      </c>
      <c r="J2430" t="s">
        <v>228</v>
      </c>
      <c r="K2430" t="str">
        <f>IFERROR(IF(AND(VLOOKUP($C2430,Hes!$A:$B, 1, FALSE), $M2430&lt;&gt;" "), "Ingresada", "Falta Ingresar"), " ")</f>
        <v xml:space="preserve"> </v>
      </c>
      <c r="L2430" s="4" t="s">
        <v>681</v>
      </c>
      <c r="M2430" t="s">
        <v>681</v>
      </c>
      <c r="O2430" s="5">
        <v>30846016</v>
      </c>
      <c r="P2430" s="5">
        <v>60920</v>
      </c>
      <c r="Q2430" s="5">
        <v>11575</v>
      </c>
      <c r="R2430" s="5">
        <v>72495</v>
      </c>
    </row>
    <row r="2431" spans="1:18" x14ac:dyDescent="0.25">
      <c r="A2431" t="s">
        <v>503</v>
      </c>
      <c r="B2431" t="s">
        <v>494</v>
      </c>
      <c r="C2431">
        <v>78793360</v>
      </c>
      <c r="D2431">
        <v>175</v>
      </c>
      <c r="E2431" t="s">
        <v>1310</v>
      </c>
      <c r="F2431" t="s">
        <v>1309</v>
      </c>
      <c r="G2431" s="1">
        <v>45232</v>
      </c>
      <c r="H2431">
        <v>5410922</v>
      </c>
      <c r="I2431">
        <v>392</v>
      </c>
      <c r="J2431" t="s">
        <v>228</v>
      </c>
      <c r="K2431" t="str">
        <f>IFERROR(IF(AND(VLOOKUP($C2431,Hes!$A:$B, 1, FALSE), $M2431&lt;&gt;" "), "Ingresada", "Falta Ingresar"), " ")</f>
        <v xml:space="preserve"> </v>
      </c>
      <c r="L2431" s="4" t="s">
        <v>681</v>
      </c>
      <c r="M2431" t="s">
        <v>681</v>
      </c>
      <c r="O2431" s="5">
        <v>30845814</v>
      </c>
      <c r="P2431" s="5">
        <v>27287</v>
      </c>
      <c r="Q2431" s="5">
        <v>5185</v>
      </c>
      <c r="R2431" s="5">
        <v>32472</v>
      </c>
    </row>
    <row r="2432" spans="1:18" x14ac:dyDescent="0.25">
      <c r="F2432" t="s">
        <v>497</v>
      </c>
      <c r="K2432" t="str">
        <f>IFERROR(IF(AND(VLOOKUP($C2432,Hes!$A:$B, 1, FALSE), $M2432&lt;&gt;" "), "Ingresada", "Falta Ingresar"), " ")</f>
        <v xml:space="preserve"> </v>
      </c>
      <c r="L2432" s="4" t="str">
        <f>IFERROR(VLOOKUP($C2432,Observaciones!$A:$B,2,FALSE)," ")</f>
        <v xml:space="preserve"> </v>
      </c>
      <c r="M2432" t="s">
        <v>681</v>
      </c>
      <c r="P2432" s="5">
        <v>88207</v>
      </c>
      <c r="Q2432" s="5">
        <v>16760</v>
      </c>
      <c r="R2432" s="5">
        <v>104967</v>
      </c>
    </row>
    <row r="2433" spans="1:18" x14ac:dyDescent="0.25">
      <c r="A2433" t="s">
        <v>513</v>
      </c>
      <c r="B2433" t="s">
        <v>494</v>
      </c>
      <c r="C2433">
        <v>78843490</v>
      </c>
      <c r="D2433">
        <v>0</v>
      </c>
      <c r="E2433">
        <v>30849615</v>
      </c>
      <c r="F2433" t="s">
        <v>1311</v>
      </c>
      <c r="G2433" s="1">
        <v>45233</v>
      </c>
      <c r="H2433">
        <v>5411500</v>
      </c>
      <c r="I2433">
        <v>37</v>
      </c>
      <c r="J2433" t="s">
        <v>156</v>
      </c>
      <c r="K2433" t="str">
        <f>IFERROR(IF(AND(VLOOKUP($C2433,Hes!$A:$B, 1, FALSE), $M2433&lt;&gt;" "), "Ingresada", "Falta Ingresar"), " ")</f>
        <v xml:space="preserve"> </v>
      </c>
      <c r="L2433" s="4" t="str">
        <f>IFERROR(VLOOKUP($C2433,Observaciones!$A:$B,2,FALSE)," ")</f>
        <v xml:space="preserve"> </v>
      </c>
      <c r="M2433" t="s">
        <v>681</v>
      </c>
      <c r="O2433" s="5">
        <v>30849615</v>
      </c>
      <c r="P2433" s="5">
        <v>242093</v>
      </c>
      <c r="Q2433" s="5">
        <v>45998</v>
      </c>
      <c r="R2433" s="5">
        <v>288091</v>
      </c>
    </row>
    <row r="2434" spans="1:18" x14ac:dyDescent="0.25">
      <c r="F2434" t="s">
        <v>495</v>
      </c>
      <c r="K2434" t="str">
        <f>IFERROR(IF(AND(VLOOKUP($C2434,Hes!$A:$B, 1, FALSE), $M2434&lt;&gt;" "), "Ingresada", "Falta Ingresar"), " ")</f>
        <v xml:space="preserve"> </v>
      </c>
      <c r="L2434" s="4" t="str">
        <f>IFERROR(VLOOKUP($C2434,Observaciones!$A:$B,2,FALSE)," ")</f>
        <v xml:space="preserve"> </v>
      </c>
      <c r="M2434" t="s">
        <v>681</v>
      </c>
      <c r="P2434" s="5">
        <v>242093</v>
      </c>
      <c r="Q2434" s="5">
        <v>45998</v>
      </c>
      <c r="R2434" s="5">
        <v>288091</v>
      </c>
    </row>
    <row r="2435" spans="1:18" x14ac:dyDescent="0.25">
      <c r="A2435" t="s">
        <v>496</v>
      </c>
      <c r="B2435" t="s">
        <v>494</v>
      </c>
      <c r="C2435">
        <v>78861790</v>
      </c>
      <c r="D2435">
        <v>2</v>
      </c>
      <c r="E2435">
        <v>4500588027</v>
      </c>
      <c r="F2435" t="s">
        <v>1312</v>
      </c>
      <c r="G2435" s="1">
        <v>45232</v>
      </c>
      <c r="H2435">
        <v>5410482</v>
      </c>
      <c r="I2435">
        <v>5</v>
      </c>
      <c r="J2435" t="s">
        <v>374</v>
      </c>
      <c r="K2435" t="str">
        <f>IFERROR(IF(AND(VLOOKUP($C2435,Hes!$A:$B, 1, FALSE), $M2435&lt;&gt;" "), "Ingresada", "Falta Ingresar"), " ")</f>
        <v xml:space="preserve"> </v>
      </c>
      <c r="L2435" s="4" t="str">
        <f>IFERROR(VLOOKUP($C2435,Observaciones!$A:$B,2,FALSE)," ")</f>
        <v xml:space="preserve"> </v>
      </c>
      <c r="M2435" t="s">
        <v>681</v>
      </c>
      <c r="O2435" s="5">
        <v>30850529</v>
      </c>
      <c r="P2435" s="5">
        <v>30926</v>
      </c>
      <c r="Q2435" s="5">
        <v>5876</v>
      </c>
      <c r="R2435" s="5">
        <v>36802</v>
      </c>
    </row>
    <row r="2436" spans="1:18" x14ac:dyDescent="0.25">
      <c r="F2436" t="s">
        <v>495</v>
      </c>
      <c r="K2436" t="str">
        <f>IFERROR(IF(AND(VLOOKUP($C2436,Hes!$A:$B, 1, FALSE), $M2436&lt;&gt;" "), "Ingresada", "Falta Ingresar"), " ")</f>
        <v xml:space="preserve"> </v>
      </c>
      <c r="L2436" s="4" t="str">
        <f>IFERROR(VLOOKUP($C2436,Observaciones!$A:$B,2,FALSE)," ")</f>
        <v xml:space="preserve"> </v>
      </c>
      <c r="M2436" t="s">
        <v>681</v>
      </c>
      <c r="P2436" s="5">
        <v>30926</v>
      </c>
      <c r="Q2436" s="5">
        <v>5876</v>
      </c>
      <c r="R2436" s="5">
        <v>36802</v>
      </c>
    </row>
    <row r="2437" spans="1:18" x14ac:dyDescent="0.25">
      <c r="A2437" t="s">
        <v>501</v>
      </c>
      <c r="B2437" t="s">
        <v>494</v>
      </c>
      <c r="C2437">
        <v>78882050</v>
      </c>
      <c r="D2437">
        <v>0</v>
      </c>
      <c r="E2437">
        <v>30849158</v>
      </c>
      <c r="F2437" t="s">
        <v>1313</v>
      </c>
      <c r="G2437" s="1">
        <v>45233</v>
      </c>
      <c r="H2437">
        <v>5411736</v>
      </c>
      <c r="I2437">
        <v>465</v>
      </c>
      <c r="J2437" t="s">
        <v>113</v>
      </c>
      <c r="K2437" t="str">
        <f>IFERROR(IF(AND(VLOOKUP($C2437,Hes!$A:$B, 1, FALSE), $M2437&lt;&gt;" "), "Ingresada", "Falta Ingresar"), " ")</f>
        <v xml:space="preserve"> </v>
      </c>
      <c r="L2437" s="4" t="str">
        <f>IFERROR(VLOOKUP($C2437,Observaciones!$A:$B,2,FALSE)," ")</f>
        <v xml:space="preserve"> </v>
      </c>
      <c r="M2437" t="s">
        <v>681</v>
      </c>
      <c r="O2437" s="5">
        <v>30849158</v>
      </c>
      <c r="P2437" s="5">
        <v>152310</v>
      </c>
      <c r="Q2437" s="5">
        <v>28939</v>
      </c>
      <c r="R2437" s="5">
        <v>181249</v>
      </c>
    </row>
    <row r="2438" spans="1:18" x14ac:dyDescent="0.25">
      <c r="F2438" t="s">
        <v>495</v>
      </c>
      <c r="K2438" t="str">
        <f>IFERROR(IF(AND(VLOOKUP($C2438,Hes!$A:$B, 1, FALSE), $M2438&lt;&gt;" "), "Ingresada", "Falta Ingresar"), " ")</f>
        <v xml:space="preserve"> </v>
      </c>
      <c r="L2438" s="4" t="str">
        <f>IFERROR(VLOOKUP($C2438,Observaciones!$A:$B,2,FALSE)," ")</f>
        <v xml:space="preserve"> </v>
      </c>
      <c r="M2438" t="s">
        <v>681</v>
      </c>
      <c r="P2438" s="5">
        <v>152310</v>
      </c>
      <c r="Q2438" s="5">
        <v>28939</v>
      </c>
      <c r="R2438" s="5">
        <v>181249</v>
      </c>
    </row>
    <row r="2439" spans="1:18" x14ac:dyDescent="0.25">
      <c r="A2439" t="s">
        <v>512</v>
      </c>
      <c r="B2439" t="s">
        <v>494</v>
      </c>
      <c r="C2439">
        <v>78885550</v>
      </c>
      <c r="D2439">
        <v>13</v>
      </c>
      <c r="E2439">
        <v>30852515</v>
      </c>
      <c r="F2439" t="s">
        <v>1314</v>
      </c>
      <c r="G2439" s="1">
        <v>45234</v>
      </c>
      <c r="H2439">
        <v>5412136</v>
      </c>
      <c r="I2439">
        <v>424</v>
      </c>
      <c r="J2439" t="s">
        <v>146</v>
      </c>
      <c r="K2439" t="str">
        <f>IFERROR(IF(AND(VLOOKUP($C2439,Hes!$A:$B, 1, FALSE), $M2439&lt;&gt;" "), "Ingresada", "Falta Ingresar"), " ")</f>
        <v xml:space="preserve"> </v>
      </c>
      <c r="L2439" s="4" t="str">
        <f>IFERROR(VLOOKUP($C2439,Observaciones!$A:$B,2,FALSE)," ")</f>
        <v xml:space="preserve"> </v>
      </c>
      <c r="M2439" t="s">
        <v>681</v>
      </c>
      <c r="O2439" s="5">
        <v>30852515</v>
      </c>
      <c r="P2439" s="5">
        <v>97049</v>
      </c>
      <c r="Q2439" s="5">
        <v>18439</v>
      </c>
      <c r="R2439" s="5">
        <v>115488</v>
      </c>
    </row>
    <row r="2440" spans="1:18" x14ac:dyDescent="0.25">
      <c r="A2440" t="s">
        <v>512</v>
      </c>
      <c r="B2440" t="s">
        <v>494</v>
      </c>
      <c r="C2440">
        <v>78885550</v>
      </c>
      <c r="D2440">
        <v>6</v>
      </c>
      <c r="E2440">
        <v>30852654</v>
      </c>
      <c r="F2440" t="s">
        <v>1314</v>
      </c>
      <c r="G2440" s="1">
        <v>45236</v>
      </c>
      <c r="H2440">
        <v>5412227</v>
      </c>
      <c r="I2440">
        <v>424</v>
      </c>
      <c r="J2440" t="s">
        <v>146</v>
      </c>
      <c r="K2440" t="str">
        <f>IFERROR(IF(AND(VLOOKUP($C2440,Hes!$A:$B, 1, FALSE), $M2440&lt;&gt;" "), "Ingresada", "Falta Ingresar"), " ")</f>
        <v xml:space="preserve"> </v>
      </c>
      <c r="L2440" s="4" t="str">
        <f>IFERROR(VLOOKUP($C2440,Observaciones!$A:$B,2,FALSE)," ")</f>
        <v xml:space="preserve"> </v>
      </c>
      <c r="M2440" t="s">
        <v>681</v>
      </c>
      <c r="O2440" s="5">
        <v>30852654</v>
      </c>
      <c r="P2440" s="5">
        <v>74238</v>
      </c>
      <c r="Q2440" s="5">
        <v>14105</v>
      </c>
      <c r="R2440" s="5">
        <v>88343</v>
      </c>
    </row>
    <row r="2441" spans="1:18" x14ac:dyDescent="0.25">
      <c r="A2441" t="s">
        <v>512</v>
      </c>
      <c r="B2441" t="s">
        <v>494</v>
      </c>
      <c r="C2441">
        <v>78885550</v>
      </c>
      <c r="D2441">
        <v>10</v>
      </c>
      <c r="E2441">
        <v>30853297</v>
      </c>
      <c r="F2441" t="s">
        <v>1314</v>
      </c>
      <c r="G2441" s="1">
        <v>45236</v>
      </c>
      <c r="H2441">
        <v>5412249</v>
      </c>
      <c r="I2441">
        <v>424</v>
      </c>
      <c r="J2441" t="s">
        <v>146</v>
      </c>
      <c r="K2441" t="str">
        <f>IFERROR(IF(AND(VLOOKUP($C2441,Hes!$A:$B, 1, FALSE), $M2441&lt;&gt;" "), "Ingresada", "Falta Ingresar"), " ")</f>
        <v xml:space="preserve"> </v>
      </c>
      <c r="L2441" s="4" t="str">
        <f>IFERROR(VLOOKUP($C2441,Observaciones!$A:$B,2,FALSE)," ")</f>
        <v xml:space="preserve"> </v>
      </c>
      <c r="M2441" t="s">
        <v>681</v>
      </c>
      <c r="O2441" s="5">
        <v>30853297</v>
      </c>
      <c r="P2441" s="5">
        <v>60035</v>
      </c>
      <c r="Q2441" s="5">
        <v>11407</v>
      </c>
      <c r="R2441" s="5">
        <v>71442</v>
      </c>
    </row>
    <row r="2442" spans="1:18" x14ac:dyDescent="0.25">
      <c r="A2442" t="s">
        <v>512</v>
      </c>
      <c r="B2442" t="s">
        <v>494</v>
      </c>
      <c r="C2442">
        <v>78885550</v>
      </c>
      <c r="D2442">
        <v>23</v>
      </c>
      <c r="E2442">
        <v>30853306</v>
      </c>
      <c r="F2442" t="s">
        <v>1314</v>
      </c>
      <c r="G2442" s="1">
        <v>45236</v>
      </c>
      <c r="H2442">
        <v>5412307</v>
      </c>
      <c r="I2442">
        <v>424</v>
      </c>
      <c r="J2442" t="s">
        <v>146</v>
      </c>
      <c r="K2442" t="str">
        <f>IFERROR(IF(AND(VLOOKUP($C2442,Hes!$A:$B, 1, FALSE), $M2442&lt;&gt;" "), "Ingresada", "Falta Ingresar"), " ")</f>
        <v xml:space="preserve"> </v>
      </c>
      <c r="L2442" s="4" t="str">
        <f>IFERROR(VLOOKUP($C2442,Observaciones!$A:$B,2,FALSE)," ")</f>
        <v xml:space="preserve"> </v>
      </c>
      <c r="M2442" t="s">
        <v>681</v>
      </c>
      <c r="O2442" s="5">
        <v>30853306</v>
      </c>
      <c r="P2442" s="5">
        <v>82845</v>
      </c>
      <c r="Q2442" s="5">
        <v>15741</v>
      </c>
      <c r="R2442" s="5">
        <v>98586</v>
      </c>
    </row>
    <row r="2443" spans="1:18" x14ac:dyDescent="0.25">
      <c r="A2443" t="s">
        <v>512</v>
      </c>
      <c r="B2443" t="s">
        <v>494</v>
      </c>
      <c r="C2443">
        <v>78885550</v>
      </c>
      <c r="D2443">
        <v>31</v>
      </c>
      <c r="E2443">
        <v>30852622</v>
      </c>
      <c r="F2443" t="s">
        <v>1314</v>
      </c>
      <c r="G2443" s="1">
        <v>45236</v>
      </c>
      <c r="H2443">
        <v>5412445</v>
      </c>
      <c r="I2443">
        <v>424</v>
      </c>
      <c r="J2443" t="s">
        <v>146</v>
      </c>
      <c r="K2443" t="str">
        <f>IFERROR(IF(AND(VLOOKUP($C2443,Hes!$A:$B, 1, FALSE), $M2443&lt;&gt;" "), "Ingresada", "Falta Ingresar"), " ")</f>
        <v xml:space="preserve"> </v>
      </c>
      <c r="L2443" s="4" t="str">
        <f>IFERROR(VLOOKUP($C2443,Observaciones!$A:$B,2,FALSE)," ")</f>
        <v xml:space="preserve"> </v>
      </c>
      <c r="M2443" t="s">
        <v>681</v>
      </c>
      <c r="O2443" s="5">
        <v>30852622</v>
      </c>
      <c r="P2443" s="5">
        <v>393904</v>
      </c>
      <c r="Q2443" s="5">
        <v>74842</v>
      </c>
      <c r="R2443" s="5">
        <v>468746</v>
      </c>
    </row>
    <row r="2444" spans="1:18" x14ac:dyDescent="0.25">
      <c r="A2444" t="s">
        <v>512</v>
      </c>
      <c r="B2444" t="s">
        <v>494</v>
      </c>
      <c r="C2444">
        <v>78885550</v>
      </c>
      <c r="D2444">
        <v>31</v>
      </c>
      <c r="E2444">
        <v>30852622</v>
      </c>
      <c r="F2444" t="s">
        <v>1314</v>
      </c>
      <c r="G2444" s="1">
        <v>45236</v>
      </c>
      <c r="H2444">
        <v>5412446</v>
      </c>
      <c r="I2444">
        <v>424</v>
      </c>
      <c r="J2444" t="s">
        <v>146</v>
      </c>
      <c r="K2444" t="str">
        <f>IFERROR(IF(AND(VLOOKUP($C2444,Hes!$A:$B, 1, FALSE), $M2444&lt;&gt;" "), "Ingresada", "Falta Ingresar"), " ")</f>
        <v xml:space="preserve"> </v>
      </c>
      <c r="L2444" s="4" t="str">
        <f>IFERROR(VLOOKUP($C2444,Observaciones!$A:$B,2,FALSE)," ")</f>
        <v xml:space="preserve"> </v>
      </c>
      <c r="M2444" t="s">
        <v>681</v>
      </c>
      <c r="O2444" s="5">
        <v>30852622</v>
      </c>
      <c r="P2444" s="5">
        <v>15099</v>
      </c>
      <c r="Q2444" s="5">
        <v>2869</v>
      </c>
      <c r="R2444" s="5">
        <v>17968</v>
      </c>
    </row>
    <row r="2445" spans="1:18" x14ac:dyDescent="0.25">
      <c r="A2445" t="s">
        <v>512</v>
      </c>
      <c r="B2445" t="s">
        <v>494</v>
      </c>
      <c r="C2445">
        <v>78885550</v>
      </c>
      <c r="D2445">
        <v>12</v>
      </c>
      <c r="E2445">
        <v>30852437</v>
      </c>
      <c r="F2445" t="s">
        <v>1314</v>
      </c>
      <c r="G2445" s="1">
        <v>45236</v>
      </c>
      <c r="H2445">
        <v>5413108</v>
      </c>
      <c r="I2445">
        <v>424</v>
      </c>
      <c r="J2445" t="s">
        <v>146</v>
      </c>
      <c r="K2445" t="str">
        <f>IFERROR(IF(AND(VLOOKUP($C2445,Hes!$A:$B, 1, FALSE), $M2445&lt;&gt;" "), "Ingresada", "Falta Ingresar"), " ")</f>
        <v xml:space="preserve"> </v>
      </c>
      <c r="L2445" s="4" t="str">
        <f>IFERROR(VLOOKUP($C2445,Observaciones!$A:$B,2,FALSE)," ")</f>
        <v xml:space="preserve"> </v>
      </c>
      <c r="M2445" t="s">
        <v>681</v>
      </c>
      <c r="O2445" s="5">
        <v>30852437</v>
      </c>
      <c r="P2445" s="5">
        <v>211478</v>
      </c>
      <c r="Q2445" s="5">
        <v>40181</v>
      </c>
      <c r="R2445" s="5">
        <v>251659</v>
      </c>
    </row>
    <row r="2446" spans="1:18" x14ac:dyDescent="0.25">
      <c r="A2446" t="s">
        <v>512</v>
      </c>
      <c r="B2446" t="s">
        <v>494</v>
      </c>
      <c r="C2446">
        <v>78885550</v>
      </c>
      <c r="D2446">
        <v>29</v>
      </c>
      <c r="E2446">
        <v>30852672</v>
      </c>
      <c r="F2446" t="s">
        <v>1314</v>
      </c>
      <c r="G2446" s="1">
        <v>45236</v>
      </c>
      <c r="H2446">
        <v>5413250</v>
      </c>
      <c r="I2446">
        <v>424</v>
      </c>
      <c r="J2446" t="s">
        <v>146</v>
      </c>
      <c r="K2446" t="str">
        <f>IFERROR(IF(AND(VLOOKUP($C2446,Hes!$A:$B, 1, FALSE), $M2446&lt;&gt;" "), "Ingresada", "Falta Ingresar"), " ")</f>
        <v xml:space="preserve"> </v>
      </c>
      <c r="L2446" s="4" t="str">
        <f>IFERROR(VLOOKUP($C2446,Observaciones!$A:$B,2,FALSE)," ")</f>
        <v xml:space="preserve"> </v>
      </c>
      <c r="M2446" t="s">
        <v>681</v>
      </c>
      <c r="O2446" s="5">
        <v>30852672</v>
      </c>
      <c r="P2446" s="5">
        <v>54733</v>
      </c>
      <c r="Q2446" s="5">
        <v>10399</v>
      </c>
      <c r="R2446" s="5">
        <v>65132</v>
      </c>
    </row>
    <row r="2447" spans="1:18" x14ac:dyDescent="0.25">
      <c r="A2447" t="s">
        <v>512</v>
      </c>
      <c r="B2447" t="s">
        <v>494</v>
      </c>
      <c r="C2447">
        <v>78885550</v>
      </c>
      <c r="D2447">
        <v>34</v>
      </c>
      <c r="E2447">
        <v>30852638</v>
      </c>
      <c r="F2447" t="s">
        <v>1314</v>
      </c>
      <c r="G2447" s="1">
        <v>45236</v>
      </c>
      <c r="H2447">
        <v>5413255</v>
      </c>
      <c r="I2447">
        <v>424</v>
      </c>
      <c r="J2447" t="s">
        <v>146</v>
      </c>
      <c r="K2447" t="str">
        <f>IFERROR(IF(AND(VLOOKUP($C2447,Hes!$A:$B, 1, FALSE), $M2447&lt;&gt;" "), "Ingresada", "Falta Ingresar"), " ")</f>
        <v xml:space="preserve"> </v>
      </c>
      <c r="L2447" s="4" t="str">
        <f>IFERROR(VLOOKUP($C2447,Observaciones!$A:$B,2,FALSE)," ")</f>
        <v xml:space="preserve"> </v>
      </c>
      <c r="M2447" t="s">
        <v>681</v>
      </c>
      <c r="O2447" s="5">
        <v>30852638</v>
      </c>
      <c r="P2447" s="5">
        <v>394840</v>
      </c>
      <c r="Q2447" s="5">
        <v>75020</v>
      </c>
      <c r="R2447" s="5">
        <v>473155</v>
      </c>
    </row>
    <row r="2448" spans="1:18" x14ac:dyDescent="0.25">
      <c r="A2448" t="s">
        <v>512</v>
      </c>
      <c r="B2448" t="s">
        <v>494</v>
      </c>
      <c r="C2448">
        <v>78885550</v>
      </c>
      <c r="D2448">
        <v>34</v>
      </c>
      <c r="E2448">
        <v>30852638</v>
      </c>
      <c r="F2448" t="s">
        <v>1314</v>
      </c>
      <c r="G2448" s="1">
        <v>45236</v>
      </c>
      <c r="H2448">
        <v>5413256</v>
      </c>
      <c r="I2448">
        <v>424</v>
      </c>
      <c r="J2448" t="s">
        <v>146</v>
      </c>
      <c r="K2448" t="str">
        <f>IFERROR(IF(AND(VLOOKUP($C2448,Hes!$A:$B, 1, FALSE), $M2448&lt;&gt;" "), "Ingresada", "Falta Ingresar"), " ")</f>
        <v xml:space="preserve"> </v>
      </c>
      <c r="L2448" s="4" t="str">
        <f>IFERROR(VLOOKUP($C2448,Observaciones!$A:$B,2,FALSE)," ")</f>
        <v xml:space="preserve"> </v>
      </c>
      <c r="M2448" t="s">
        <v>681</v>
      </c>
      <c r="O2448" s="5">
        <v>30852638</v>
      </c>
      <c r="P2448" s="5">
        <v>58665</v>
      </c>
      <c r="Q2448" s="5">
        <v>11146</v>
      </c>
      <c r="R2448" s="5">
        <v>69811</v>
      </c>
    </row>
    <row r="2449" spans="1:18" x14ac:dyDescent="0.25">
      <c r="A2449" t="s">
        <v>512</v>
      </c>
      <c r="B2449" t="s">
        <v>494</v>
      </c>
      <c r="C2449">
        <v>78885550</v>
      </c>
      <c r="D2449">
        <v>42</v>
      </c>
      <c r="E2449">
        <v>30852695</v>
      </c>
      <c r="F2449" t="s">
        <v>1314</v>
      </c>
      <c r="G2449" s="1">
        <v>45236</v>
      </c>
      <c r="H2449">
        <v>5413375</v>
      </c>
      <c r="I2449">
        <v>424</v>
      </c>
      <c r="J2449" t="s">
        <v>146</v>
      </c>
      <c r="K2449" t="str">
        <f>IFERROR(IF(AND(VLOOKUP($C2449,Hes!$A:$B, 1, FALSE), $M2449&lt;&gt;" "), "Ingresada", "Falta Ingresar"), " ")</f>
        <v xml:space="preserve"> </v>
      </c>
      <c r="L2449" s="4" t="str">
        <f>IFERROR(VLOOKUP($C2449,Observaciones!$A:$B,2,FALSE)," ")</f>
        <v xml:space="preserve"> </v>
      </c>
      <c r="M2449" t="s">
        <v>681</v>
      </c>
      <c r="O2449" s="5">
        <v>30852695</v>
      </c>
      <c r="P2449" s="5">
        <v>142081</v>
      </c>
      <c r="Q2449" s="5">
        <v>26995</v>
      </c>
      <c r="R2449" s="5">
        <v>169076</v>
      </c>
    </row>
    <row r="2450" spans="1:18" x14ac:dyDescent="0.25">
      <c r="A2450" t="s">
        <v>512</v>
      </c>
      <c r="B2450" t="s">
        <v>494</v>
      </c>
      <c r="C2450">
        <v>78885550</v>
      </c>
      <c r="D2450">
        <v>40</v>
      </c>
      <c r="E2450">
        <v>30860995</v>
      </c>
      <c r="F2450" t="s">
        <v>1314</v>
      </c>
      <c r="G2450" s="1">
        <v>45237</v>
      </c>
      <c r="H2450">
        <v>5414394</v>
      </c>
      <c r="I2450">
        <v>424</v>
      </c>
      <c r="J2450" t="s">
        <v>146</v>
      </c>
      <c r="K2450" t="str">
        <f>IFERROR(IF(AND(VLOOKUP($C2450,Hes!$A:$B, 1, FALSE), $M2450&lt;&gt;" "), "Ingresada", "Falta Ingresar"), " ")</f>
        <v xml:space="preserve"> </v>
      </c>
      <c r="L2450" s="4" t="str">
        <f>IFERROR(VLOOKUP($C2450,Observaciones!$A:$B,2,FALSE)," ")</f>
        <v xml:space="preserve"> </v>
      </c>
      <c r="M2450" t="s">
        <v>681</v>
      </c>
      <c r="O2450" s="5">
        <v>30860995</v>
      </c>
      <c r="P2450" s="5">
        <v>102635</v>
      </c>
      <c r="Q2450" s="5">
        <v>19501</v>
      </c>
      <c r="R2450" s="5">
        <v>122136</v>
      </c>
    </row>
    <row r="2451" spans="1:18" x14ac:dyDescent="0.25">
      <c r="A2451" t="s">
        <v>512</v>
      </c>
      <c r="B2451" t="s">
        <v>494</v>
      </c>
      <c r="C2451">
        <v>78885550</v>
      </c>
      <c r="D2451">
        <v>25</v>
      </c>
      <c r="E2451">
        <v>30861007</v>
      </c>
      <c r="F2451" t="s">
        <v>1314</v>
      </c>
      <c r="G2451" s="1">
        <v>45237</v>
      </c>
      <c r="H2451">
        <v>5414463</v>
      </c>
      <c r="I2451">
        <v>424</v>
      </c>
      <c r="J2451" t="s">
        <v>146</v>
      </c>
      <c r="K2451" t="str">
        <f>IFERROR(IF(AND(VLOOKUP($C2451,Hes!$A:$B, 1, FALSE), $M2451&lt;&gt;" "), "Ingresada", "Falta Ingresar"), " ")</f>
        <v xml:space="preserve"> </v>
      </c>
      <c r="L2451" s="4" t="str">
        <f>IFERROR(VLOOKUP($C2451,Observaciones!$A:$B,2,FALSE)," ")</f>
        <v xml:space="preserve"> </v>
      </c>
      <c r="M2451" t="s">
        <v>681</v>
      </c>
      <c r="O2451" s="5">
        <v>30861007</v>
      </c>
      <c r="P2451" s="5">
        <v>72768</v>
      </c>
      <c r="Q2451" s="5">
        <v>13826</v>
      </c>
      <c r="R2451" s="5">
        <v>86594</v>
      </c>
    </row>
    <row r="2452" spans="1:18" x14ac:dyDescent="0.25">
      <c r="A2452" t="s">
        <v>512</v>
      </c>
      <c r="B2452" t="s">
        <v>494</v>
      </c>
      <c r="C2452">
        <v>78885550</v>
      </c>
      <c r="D2452">
        <v>30</v>
      </c>
      <c r="E2452">
        <v>30860810</v>
      </c>
      <c r="F2452" t="s">
        <v>1314</v>
      </c>
      <c r="G2452" s="1">
        <v>45238</v>
      </c>
      <c r="H2452">
        <v>5414861</v>
      </c>
      <c r="I2452">
        <v>424</v>
      </c>
      <c r="J2452" t="s">
        <v>146</v>
      </c>
      <c r="K2452" t="str">
        <f>IFERROR(IF(AND(VLOOKUP($C2452,Hes!$A:$B, 1, FALSE), $M2452&lt;&gt;" "), "Ingresada", "Falta Ingresar"), " ")</f>
        <v xml:space="preserve"> </v>
      </c>
      <c r="L2452" s="4" t="str">
        <f>IFERROR(VLOOKUP($C2452,Observaciones!$A:$B,2,FALSE)," ")</f>
        <v xml:space="preserve"> </v>
      </c>
      <c r="M2452" t="s">
        <v>681</v>
      </c>
      <c r="O2452" s="5">
        <v>30860810</v>
      </c>
      <c r="P2452" s="5">
        <v>99026</v>
      </c>
      <c r="Q2452" s="5">
        <v>18815</v>
      </c>
      <c r="R2452" s="5">
        <v>117841</v>
      </c>
    </row>
    <row r="2453" spans="1:18" x14ac:dyDescent="0.25">
      <c r="A2453" t="s">
        <v>512</v>
      </c>
      <c r="B2453" t="s">
        <v>494</v>
      </c>
      <c r="C2453">
        <v>78885550</v>
      </c>
      <c r="D2453">
        <v>1</v>
      </c>
      <c r="E2453">
        <v>30861017</v>
      </c>
      <c r="F2453" t="s">
        <v>1314</v>
      </c>
      <c r="G2453" s="1">
        <v>45238</v>
      </c>
      <c r="H2453">
        <v>5414965</v>
      </c>
      <c r="I2453">
        <v>424</v>
      </c>
      <c r="J2453" t="s">
        <v>146</v>
      </c>
      <c r="K2453" t="str">
        <f>IFERROR(IF(AND(VLOOKUP($C2453,Hes!$A:$B, 1, FALSE), $M2453&lt;&gt;" "), "Ingresada", "Falta Ingresar"), " ")</f>
        <v xml:space="preserve"> </v>
      </c>
      <c r="L2453" s="4" t="str">
        <f>IFERROR(VLOOKUP($C2453,Observaciones!$A:$B,2,FALSE)," ")</f>
        <v xml:space="preserve"> </v>
      </c>
      <c r="M2453" t="s">
        <v>681</v>
      </c>
      <c r="O2453" s="5">
        <v>30861017</v>
      </c>
      <c r="P2453" s="5">
        <v>82818</v>
      </c>
      <c r="Q2453" s="5">
        <v>15735</v>
      </c>
      <c r="R2453" s="5">
        <v>98553</v>
      </c>
    </row>
    <row r="2454" spans="1:18" x14ac:dyDescent="0.25">
      <c r="A2454" t="s">
        <v>512</v>
      </c>
      <c r="B2454" t="s">
        <v>494</v>
      </c>
      <c r="C2454">
        <v>78885550</v>
      </c>
      <c r="D2454">
        <v>39</v>
      </c>
      <c r="E2454">
        <v>30860980</v>
      </c>
      <c r="F2454" t="s">
        <v>1314</v>
      </c>
      <c r="G2454" s="1">
        <v>45238</v>
      </c>
      <c r="H2454">
        <v>5414997</v>
      </c>
      <c r="I2454">
        <v>424</v>
      </c>
      <c r="J2454" t="s">
        <v>146</v>
      </c>
      <c r="K2454" t="str">
        <f>IFERROR(IF(AND(VLOOKUP($C2454,Hes!$A:$B, 1, FALSE), $M2454&lt;&gt;" "), "Ingresada", "Falta Ingresar"), " ")</f>
        <v xml:space="preserve"> </v>
      </c>
      <c r="L2454" s="4" t="str">
        <f>IFERROR(VLOOKUP($C2454,Observaciones!$A:$B,2,FALSE)," ")</f>
        <v xml:space="preserve"> </v>
      </c>
      <c r="M2454" t="s">
        <v>681</v>
      </c>
      <c r="O2454" s="5">
        <v>30860980</v>
      </c>
      <c r="P2454" s="5">
        <v>33331</v>
      </c>
      <c r="Q2454" s="5">
        <v>6333</v>
      </c>
      <c r="R2454" s="5">
        <v>39664</v>
      </c>
    </row>
    <row r="2455" spans="1:18" x14ac:dyDescent="0.25">
      <c r="A2455" t="s">
        <v>512</v>
      </c>
      <c r="B2455" t="s">
        <v>494</v>
      </c>
      <c r="C2455">
        <v>78885550</v>
      </c>
      <c r="D2455">
        <v>18</v>
      </c>
      <c r="E2455">
        <v>30861029</v>
      </c>
      <c r="F2455" t="s">
        <v>1314</v>
      </c>
      <c r="G2455" s="1">
        <v>45238</v>
      </c>
      <c r="H2455">
        <v>5415138</v>
      </c>
      <c r="I2455">
        <v>424</v>
      </c>
      <c r="J2455" t="s">
        <v>146</v>
      </c>
      <c r="K2455" t="str">
        <f>IFERROR(IF(AND(VLOOKUP($C2455,Hes!$A:$B, 1, FALSE), $M2455&lt;&gt;" "), "Ingresada", "Falta Ingresar"), " ")</f>
        <v xml:space="preserve"> </v>
      </c>
      <c r="L2455" s="4" t="str">
        <f>IFERROR(VLOOKUP($C2455,Observaciones!$A:$B,2,FALSE)," ")</f>
        <v xml:space="preserve"> </v>
      </c>
      <c r="M2455" t="s">
        <v>681</v>
      </c>
      <c r="O2455" s="5">
        <v>30861029</v>
      </c>
      <c r="P2455" s="5">
        <v>231568</v>
      </c>
      <c r="Q2455" s="5">
        <v>43998</v>
      </c>
      <c r="R2455" s="5">
        <v>275566</v>
      </c>
    </row>
    <row r="2456" spans="1:18" x14ac:dyDescent="0.25">
      <c r="A2456" t="s">
        <v>512</v>
      </c>
      <c r="B2456" t="s">
        <v>494</v>
      </c>
      <c r="C2456">
        <v>78885550</v>
      </c>
      <c r="D2456">
        <v>16</v>
      </c>
      <c r="E2456">
        <v>30860985</v>
      </c>
      <c r="F2456" t="s">
        <v>1314</v>
      </c>
      <c r="G2456" s="1">
        <v>45238</v>
      </c>
      <c r="H2456">
        <v>5415144</v>
      </c>
      <c r="I2456">
        <v>424</v>
      </c>
      <c r="J2456" t="s">
        <v>146</v>
      </c>
      <c r="K2456" t="str">
        <f>IFERROR(IF(AND(VLOOKUP($C2456,Hes!$A:$B, 1, FALSE), $M2456&lt;&gt;" "), "Ingresada", "Falta Ingresar"), " ")</f>
        <v xml:space="preserve"> </v>
      </c>
      <c r="L2456" s="4" t="str">
        <f>IFERROR(VLOOKUP($C2456,Observaciones!$A:$B,2,FALSE)," ")</f>
        <v xml:space="preserve"> </v>
      </c>
      <c r="M2456" t="s">
        <v>681</v>
      </c>
      <c r="O2456" s="5">
        <v>30860985</v>
      </c>
      <c r="P2456" s="5">
        <v>33884</v>
      </c>
      <c r="Q2456" s="5">
        <v>6438</v>
      </c>
      <c r="R2456" s="5">
        <v>40322</v>
      </c>
    </row>
    <row r="2457" spans="1:18" x14ac:dyDescent="0.25">
      <c r="A2457" t="s">
        <v>512</v>
      </c>
      <c r="B2457" t="s">
        <v>494</v>
      </c>
      <c r="C2457">
        <v>78885550</v>
      </c>
      <c r="D2457">
        <v>5</v>
      </c>
      <c r="E2457">
        <v>30861002</v>
      </c>
      <c r="F2457" t="s">
        <v>1314</v>
      </c>
      <c r="G2457" s="1">
        <v>45238</v>
      </c>
      <c r="H2457">
        <v>5415151</v>
      </c>
      <c r="I2457">
        <v>424</v>
      </c>
      <c r="J2457" t="s">
        <v>146</v>
      </c>
      <c r="K2457" t="str">
        <f>IFERROR(IF(AND(VLOOKUP($C2457,Hes!$A:$B, 1, FALSE), $M2457&lt;&gt;" "), "Ingresada", "Falta Ingresar"), " ")</f>
        <v xml:space="preserve"> </v>
      </c>
      <c r="L2457" s="4" t="str">
        <f>IFERROR(VLOOKUP($C2457,Observaciones!$A:$B,2,FALSE)," ")</f>
        <v xml:space="preserve"> </v>
      </c>
      <c r="M2457" t="s">
        <v>681</v>
      </c>
      <c r="O2457" s="5">
        <v>30861002</v>
      </c>
      <c r="P2457" s="5">
        <v>31785</v>
      </c>
      <c r="Q2457" s="5">
        <v>6039</v>
      </c>
      <c r="R2457" s="5">
        <v>37824</v>
      </c>
    </row>
    <row r="2458" spans="1:18" x14ac:dyDescent="0.25">
      <c r="A2458" t="s">
        <v>512</v>
      </c>
      <c r="B2458" t="s">
        <v>494</v>
      </c>
      <c r="C2458">
        <v>78885550</v>
      </c>
      <c r="D2458">
        <v>8</v>
      </c>
      <c r="E2458">
        <v>30861043</v>
      </c>
      <c r="F2458" t="s">
        <v>1314</v>
      </c>
      <c r="G2458" s="1">
        <v>45238</v>
      </c>
      <c r="H2458">
        <v>5415153</v>
      </c>
      <c r="I2458">
        <v>424</v>
      </c>
      <c r="J2458" t="s">
        <v>146</v>
      </c>
      <c r="K2458" t="str">
        <f>IFERROR(IF(AND(VLOOKUP($C2458,Hes!$A:$B, 1, FALSE), $M2458&lt;&gt;" "), "Ingresada", "Falta Ingresar"), " ")</f>
        <v xml:space="preserve"> </v>
      </c>
      <c r="L2458" s="4" t="str">
        <f>IFERROR(VLOOKUP($C2458,Observaciones!$A:$B,2,FALSE)," ")</f>
        <v xml:space="preserve"> </v>
      </c>
      <c r="M2458" t="s">
        <v>681</v>
      </c>
      <c r="O2458" s="5">
        <v>30861043</v>
      </c>
      <c r="P2458" s="5">
        <v>60581</v>
      </c>
      <c r="Q2458" s="5">
        <v>11510</v>
      </c>
      <c r="R2458" s="5">
        <v>72091</v>
      </c>
    </row>
    <row r="2459" spans="1:18" x14ac:dyDescent="0.25">
      <c r="F2459" t="s">
        <v>1086</v>
      </c>
      <c r="K2459" t="str">
        <f>IFERROR(IF(AND(VLOOKUP($C2459,Hes!$A:$B, 1, FALSE), $M2459&lt;&gt;" "), "Ingresada", "Falta Ingresar"), " ")</f>
        <v xml:space="preserve"> </v>
      </c>
      <c r="L2459" s="4" t="str">
        <f>IFERROR(VLOOKUP($C2459,Observaciones!$A:$B,2,FALSE)," ")</f>
        <v xml:space="preserve"> </v>
      </c>
      <c r="M2459" t="s">
        <v>681</v>
      </c>
      <c r="P2459" s="5">
        <v>2333363</v>
      </c>
      <c r="Q2459" s="5">
        <v>443339</v>
      </c>
      <c r="R2459" s="5">
        <v>2779997</v>
      </c>
    </row>
    <row r="2460" spans="1:18" x14ac:dyDescent="0.25">
      <c r="A2460" t="s">
        <v>503</v>
      </c>
      <c r="B2460" t="s">
        <v>502</v>
      </c>
      <c r="C2460">
        <v>78896330</v>
      </c>
      <c r="D2460">
        <v>3</v>
      </c>
      <c r="E2460">
        <v>30850749</v>
      </c>
      <c r="F2460" t="s">
        <v>1315</v>
      </c>
      <c r="G2460" s="1">
        <v>45236</v>
      </c>
      <c r="H2460">
        <v>5411994</v>
      </c>
      <c r="I2460">
        <v>17</v>
      </c>
      <c r="J2460" t="s">
        <v>305</v>
      </c>
      <c r="K2460" t="str">
        <f>IFERROR(IF(AND(VLOOKUP($C2460,Hes!$A:$B, 1, FALSE), $M2460&lt;&gt;" "), "Ingresada", "Falta Ingresar"), " ")</f>
        <v xml:space="preserve"> </v>
      </c>
      <c r="L2460" s="4" t="str">
        <f>IFERROR(VLOOKUP($C2460,Observaciones!$A:$B,2,FALSE)," ")</f>
        <v xml:space="preserve"> </v>
      </c>
      <c r="M2460" t="s">
        <v>681</v>
      </c>
      <c r="O2460" s="5">
        <v>30850749</v>
      </c>
      <c r="P2460" s="5">
        <v>55710</v>
      </c>
      <c r="Q2460" s="5">
        <v>10585</v>
      </c>
      <c r="R2460" s="5">
        <v>66295</v>
      </c>
    </row>
    <row r="2461" spans="1:18" x14ac:dyDescent="0.25">
      <c r="A2461" t="s">
        <v>503</v>
      </c>
      <c r="B2461" t="s">
        <v>502</v>
      </c>
      <c r="C2461">
        <v>78896330</v>
      </c>
      <c r="D2461">
        <v>1</v>
      </c>
      <c r="E2461">
        <v>30855992</v>
      </c>
      <c r="F2461" t="s">
        <v>1315</v>
      </c>
      <c r="G2461" s="1">
        <v>45234</v>
      </c>
      <c r="H2461">
        <v>5412910</v>
      </c>
      <c r="I2461">
        <v>17</v>
      </c>
      <c r="J2461" t="s">
        <v>305</v>
      </c>
      <c r="K2461" t="str">
        <f>IFERROR(IF(AND(VLOOKUP($C2461,Hes!$A:$B, 1, FALSE), $M2461&lt;&gt;" "), "Ingresada", "Falta Ingresar"), " ")</f>
        <v xml:space="preserve"> </v>
      </c>
      <c r="L2461" s="4" t="str">
        <f>IFERROR(VLOOKUP($C2461,Observaciones!$A:$B,2,FALSE)," ")</f>
        <v xml:space="preserve"> </v>
      </c>
      <c r="M2461" t="s">
        <v>681</v>
      </c>
      <c r="O2461" s="5">
        <v>30855992</v>
      </c>
      <c r="P2461" s="5">
        <v>57745</v>
      </c>
      <c r="Q2461" s="5">
        <v>10972</v>
      </c>
      <c r="R2461" s="5">
        <v>68717</v>
      </c>
    </row>
    <row r="2462" spans="1:18" x14ac:dyDescent="0.25">
      <c r="A2462" t="s">
        <v>503</v>
      </c>
      <c r="B2462" t="s">
        <v>502</v>
      </c>
      <c r="C2462">
        <v>78896330</v>
      </c>
      <c r="D2462">
        <v>24</v>
      </c>
      <c r="E2462">
        <v>30856242</v>
      </c>
      <c r="F2462" t="s">
        <v>1315</v>
      </c>
      <c r="G2462" s="1">
        <v>45236</v>
      </c>
      <c r="H2462">
        <v>5412917</v>
      </c>
      <c r="I2462">
        <v>17</v>
      </c>
      <c r="J2462" t="s">
        <v>305</v>
      </c>
      <c r="K2462" t="str">
        <f>IFERROR(IF(AND(VLOOKUP($C2462,Hes!$A:$B, 1, FALSE), $M2462&lt;&gt;" "), "Ingresada", "Falta Ingresar"), " ")</f>
        <v xml:space="preserve"> </v>
      </c>
      <c r="L2462" s="4" t="str">
        <f>IFERROR(VLOOKUP($C2462,Observaciones!$A:$B,2,FALSE)," ")</f>
        <v xml:space="preserve"> </v>
      </c>
      <c r="M2462" t="s">
        <v>681</v>
      </c>
      <c r="O2462" s="5">
        <v>30856242</v>
      </c>
      <c r="P2462" s="5">
        <v>21152</v>
      </c>
      <c r="Q2462" s="5">
        <v>4019</v>
      </c>
      <c r="R2462" s="5">
        <v>25171</v>
      </c>
    </row>
    <row r="2463" spans="1:18" x14ac:dyDescent="0.25">
      <c r="A2463" t="s">
        <v>503</v>
      </c>
      <c r="B2463" t="s">
        <v>502</v>
      </c>
      <c r="C2463">
        <v>78896330</v>
      </c>
      <c r="D2463">
        <v>10</v>
      </c>
      <c r="E2463">
        <v>30856154</v>
      </c>
      <c r="F2463" t="s">
        <v>1315</v>
      </c>
      <c r="G2463" s="1">
        <v>45236</v>
      </c>
      <c r="H2463">
        <v>5413056</v>
      </c>
      <c r="I2463">
        <v>17</v>
      </c>
      <c r="J2463" t="s">
        <v>305</v>
      </c>
      <c r="K2463" t="str">
        <f>IFERROR(IF(AND(VLOOKUP($C2463,Hes!$A:$B, 1, FALSE), $M2463&lt;&gt;" "), "Ingresada", "Falta Ingresar"), " ")</f>
        <v xml:space="preserve"> </v>
      </c>
      <c r="L2463" s="4" t="str">
        <f>IFERROR(VLOOKUP($C2463,Observaciones!$A:$B,2,FALSE)," ")</f>
        <v xml:space="preserve"> </v>
      </c>
      <c r="M2463" t="s">
        <v>681</v>
      </c>
      <c r="O2463" s="5">
        <v>30856154</v>
      </c>
      <c r="P2463" s="5">
        <v>54830</v>
      </c>
      <c r="Q2463" s="5">
        <v>10418</v>
      </c>
      <c r="R2463" s="5">
        <v>65248</v>
      </c>
    </row>
    <row r="2464" spans="1:18" x14ac:dyDescent="0.25">
      <c r="A2464" t="s">
        <v>503</v>
      </c>
      <c r="B2464" t="s">
        <v>502</v>
      </c>
      <c r="C2464">
        <v>78896330</v>
      </c>
      <c r="D2464">
        <v>8</v>
      </c>
      <c r="E2464">
        <v>30859597</v>
      </c>
      <c r="F2464" t="s">
        <v>1315</v>
      </c>
      <c r="G2464" s="1">
        <v>45237</v>
      </c>
      <c r="H2464">
        <v>5414254</v>
      </c>
      <c r="I2464">
        <v>17</v>
      </c>
      <c r="J2464" t="s">
        <v>305</v>
      </c>
      <c r="K2464" t="str">
        <f>IFERROR(IF(AND(VLOOKUP($C2464,Hes!$A:$B, 1, FALSE), $M2464&lt;&gt;" "), "Ingresada", "Falta Ingresar"), " ")</f>
        <v xml:space="preserve"> </v>
      </c>
      <c r="L2464" s="4" t="str">
        <f>IFERROR(VLOOKUP($C2464,Observaciones!$A:$B,2,FALSE)," ")</f>
        <v xml:space="preserve"> </v>
      </c>
      <c r="M2464" t="s">
        <v>681</v>
      </c>
      <c r="O2464" s="5">
        <v>30859597</v>
      </c>
      <c r="P2464" s="5">
        <v>46947</v>
      </c>
      <c r="Q2464" s="5">
        <v>8920</v>
      </c>
      <c r="R2464" s="5">
        <v>55867</v>
      </c>
    </row>
    <row r="2465" spans="1:18" x14ac:dyDescent="0.25">
      <c r="A2465" t="s">
        <v>503</v>
      </c>
      <c r="B2465" t="s">
        <v>502</v>
      </c>
      <c r="C2465">
        <v>78896330</v>
      </c>
      <c r="D2465">
        <v>19</v>
      </c>
      <c r="E2465">
        <v>30859504</v>
      </c>
      <c r="F2465" t="s">
        <v>1315</v>
      </c>
      <c r="G2465" s="1">
        <v>45238</v>
      </c>
      <c r="H2465">
        <v>5414598</v>
      </c>
      <c r="I2465">
        <v>17</v>
      </c>
      <c r="J2465" t="s">
        <v>305</v>
      </c>
      <c r="K2465" t="str">
        <f>IFERROR(IF(AND(VLOOKUP($C2465,Hes!$A:$B, 1, FALSE), $M2465&lt;&gt;" "), "Ingresada", "Falta Ingresar"), " ")</f>
        <v xml:space="preserve"> </v>
      </c>
      <c r="L2465" s="4" t="str">
        <f>IFERROR(VLOOKUP($C2465,Observaciones!$A:$B,2,FALSE)," ")</f>
        <v xml:space="preserve"> </v>
      </c>
      <c r="M2465" t="s">
        <v>681</v>
      </c>
      <c r="O2465" s="5">
        <v>30859504</v>
      </c>
      <c r="P2465" s="5">
        <v>47427</v>
      </c>
      <c r="Q2465" s="5">
        <v>9011</v>
      </c>
      <c r="R2465" s="5">
        <v>56438</v>
      </c>
    </row>
    <row r="2466" spans="1:18" x14ac:dyDescent="0.25">
      <c r="A2466" t="s">
        <v>503</v>
      </c>
      <c r="B2466" t="s">
        <v>502</v>
      </c>
      <c r="C2466">
        <v>78896330</v>
      </c>
      <c r="D2466">
        <v>12</v>
      </c>
      <c r="E2466">
        <v>30864658</v>
      </c>
      <c r="F2466" t="s">
        <v>1315</v>
      </c>
      <c r="G2466" s="1">
        <v>45237</v>
      </c>
      <c r="H2466">
        <v>5415287</v>
      </c>
      <c r="I2466">
        <v>17</v>
      </c>
      <c r="J2466" t="s">
        <v>305</v>
      </c>
      <c r="K2466" t="str">
        <f>IFERROR(IF(AND(VLOOKUP($C2466,Hes!$A:$B, 1, FALSE), $M2466&lt;&gt;" "), "Ingresada", "Falta Ingresar"), " ")</f>
        <v xml:space="preserve"> </v>
      </c>
      <c r="L2466" s="4" t="str">
        <f>IFERROR(VLOOKUP($C2466,Observaciones!$A:$B,2,FALSE)," ")</f>
        <v xml:space="preserve"> </v>
      </c>
      <c r="M2466" t="s">
        <v>681</v>
      </c>
      <c r="O2466" s="5">
        <v>30864658</v>
      </c>
      <c r="P2466" s="5">
        <v>27295</v>
      </c>
      <c r="Q2466" s="5">
        <v>5186</v>
      </c>
      <c r="R2466" s="5">
        <v>32481</v>
      </c>
    </row>
    <row r="2467" spans="1:18" x14ac:dyDescent="0.25">
      <c r="F2467" t="s">
        <v>537</v>
      </c>
      <c r="K2467" t="str">
        <f>IFERROR(IF(AND(VLOOKUP($C2467,Hes!$A:$B, 1, FALSE), $M2467&lt;&gt;" "), "Ingresada", "Falta Ingresar"), " ")</f>
        <v xml:space="preserve"> </v>
      </c>
      <c r="L2467" s="4" t="str">
        <f>IFERROR(VLOOKUP($C2467,Observaciones!$A:$B,2,FALSE)," ")</f>
        <v xml:space="preserve"> </v>
      </c>
      <c r="M2467" t="s">
        <v>681</v>
      </c>
      <c r="P2467" s="5">
        <v>311106</v>
      </c>
      <c r="Q2467" s="5">
        <v>59111</v>
      </c>
      <c r="R2467" s="5">
        <v>370217</v>
      </c>
    </row>
    <row r="2468" spans="1:18" x14ac:dyDescent="0.25">
      <c r="A2468" t="s">
        <v>501</v>
      </c>
      <c r="B2468" t="s">
        <v>494</v>
      </c>
      <c r="C2468">
        <v>78910380</v>
      </c>
      <c r="D2468">
        <v>0</v>
      </c>
      <c r="E2468" t="s">
        <v>1316</v>
      </c>
      <c r="F2468" t="s">
        <v>1317</v>
      </c>
      <c r="G2468" s="1">
        <v>45236</v>
      </c>
      <c r="H2468">
        <v>5413259</v>
      </c>
      <c r="I2468">
        <v>14</v>
      </c>
      <c r="J2468" t="s">
        <v>309</v>
      </c>
      <c r="K2468" t="str">
        <f>IFERROR(IF(AND(VLOOKUP($C2468,Hes!$A:$B, 1, FALSE), $M2468&lt;&gt;" "), "Ingresada", "Falta Ingresar"), " ")</f>
        <v xml:space="preserve"> </v>
      </c>
      <c r="L2468" s="4" t="str">
        <f>IFERROR(VLOOKUP($C2468,Observaciones!$A:$B,2,FALSE)," ")</f>
        <v xml:space="preserve"> </v>
      </c>
      <c r="M2468" t="s">
        <v>681</v>
      </c>
      <c r="O2468" s="5">
        <v>30850148</v>
      </c>
      <c r="P2468" s="5">
        <v>815018</v>
      </c>
      <c r="Q2468" s="5">
        <v>154853</v>
      </c>
      <c r="R2468" s="5">
        <v>969871</v>
      </c>
    </row>
    <row r="2469" spans="1:18" x14ac:dyDescent="0.25">
      <c r="F2469" t="s">
        <v>495</v>
      </c>
      <c r="K2469" t="str">
        <f>IFERROR(IF(AND(VLOOKUP($C2469,Hes!$A:$B, 1, FALSE), $M2469&lt;&gt;" "), "Ingresada", "Falta Ingresar"), " ")</f>
        <v xml:space="preserve"> </v>
      </c>
      <c r="L2469" s="4" t="str">
        <f>IFERROR(VLOOKUP($C2469,Observaciones!$A:$B,2,FALSE)," ")</f>
        <v xml:space="preserve"> </v>
      </c>
      <c r="M2469" t="s">
        <v>681</v>
      </c>
      <c r="P2469" s="5">
        <v>815018</v>
      </c>
      <c r="Q2469" s="5">
        <v>154853</v>
      </c>
      <c r="R2469" s="5">
        <v>969871</v>
      </c>
    </row>
    <row r="2470" spans="1:18" x14ac:dyDescent="0.25">
      <c r="A2470" t="s">
        <v>1216</v>
      </c>
      <c r="B2470" t="s">
        <v>494</v>
      </c>
      <c r="C2470">
        <v>78924030</v>
      </c>
      <c r="D2470">
        <v>14</v>
      </c>
      <c r="E2470">
        <v>30846154</v>
      </c>
      <c r="F2470" t="s">
        <v>1318</v>
      </c>
      <c r="G2470" s="1">
        <v>45232</v>
      </c>
      <c r="H2470">
        <v>5410769</v>
      </c>
      <c r="I2470">
        <v>150</v>
      </c>
      <c r="J2470" t="s">
        <v>121</v>
      </c>
      <c r="K2470" t="str">
        <f>IFERROR(IF(AND(VLOOKUP($C2470,Hes!$A:$B, 1, FALSE), $M2470&lt;&gt;" "), "Ingresada", "Falta Ingresar"), " ")</f>
        <v xml:space="preserve"> </v>
      </c>
      <c r="L2470" s="4" t="str">
        <f>IFERROR(VLOOKUP($C2470,Observaciones!$A:$B,2,FALSE)," ")</f>
        <v>XRUT AL CC COSTO</v>
      </c>
      <c r="M2470" t="s">
        <v>681</v>
      </c>
      <c r="O2470" s="5">
        <v>30846154</v>
      </c>
      <c r="P2470" s="5">
        <v>111085</v>
      </c>
      <c r="Q2470" s="5">
        <v>21106</v>
      </c>
      <c r="R2470" s="5">
        <v>132191</v>
      </c>
    </row>
    <row r="2471" spans="1:18" x14ac:dyDescent="0.25">
      <c r="A2471" t="s">
        <v>1216</v>
      </c>
      <c r="B2471" t="s">
        <v>494</v>
      </c>
      <c r="C2471">
        <v>78924030</v>
      </c>
      <c r="D2471">
        <v>10</v>
      </c>
      <c r="E2471">
        <v>30846686</v>
      </c>
      <c r="F2471" t="s">
        <v>1318</v>
      </c>
      <c r="G2471" s="1">
        <v>45232</v>
      </c>
      <c r="H2471">
        <v>5411128</v>
      </c>
      <c r="I2471">
        <v>150</v>
      </c>
      <c r="J2471" t="s">
        <v>121</v>
      </c>
      <c r="K2471" t="str">
        <f>IFERROR(IF(AND(VLOOKUP($C2471,Hes!$A:$B, 1, FALSE), $M2471&lt;&gt;" "), "Ingresada", "Falta Ingresar"), " ")</f>
        <v xml:space="preserve"> </v>
      </c>
      <c r="L2471" s="4" t="str">
        <f>IFERROR(VLOOKUP($C2471,Observaciones!$A:$B,2,FALSE)," ")</f>
        <v>XRUT AL CC COSTO</v>
      </c>
      <c r="M2471" t="s">
        <v>681</v>
      </c>
      <c r="O2471" s="5">
        <v>30846686</v>
      </c>
      <c r="P2471" s="5">
        <v>89132</v>
      </c>
      <c r="Q2471" s="5">
        <v>16935</v>
      </c>
      <c r="R2471" s="5">
        <v>106067</v>
      </c>
    </row>
    <row r="2472" spans="1:18" x14ac:dyDescent="0.25">
      <c r="A2472" t="s">
        <v>1216</v>
      </c>
      <c r="B2472" t="s">
        <v>494</v>
      </c>
      <c r="C2472">
        <v>78924030</v>
      </c>
      <c r="D2472">
        <v>10</v>
      </c>
      <c r="E2472">
        <v>30846686</v>
      </c>
      <c r="F2472" t="s">
        <v>1318</v>
      </c>
      <c r="G2472" s="1">
        <v>45232</v>
      </c>
      <c r="H2472">
        <v>5411129</v>
      </c>
      <c r="I2472">
        <v>150</v>
      </c>
      <c r="J2472" t="s">
        <v>121</v>
      </c>
      <c r="K2472" t="str">
        <f>IFERROR(IF(AND(VLOOKUP($C2472,Hes!$A:$B, 1, FALSE), $M2472&lt;&gt;" "), "Ingresada", "Falta Ingresar"), " ")</f>
        <v xml:space="preserve"> </v>
      </c>
      <c r="L2472" s="4" t="str">
        <f>IFERROR(VLOOKUP($C2472,Observaciones!$A:$B,2,FALSE)," ")</f>
        <v>XRUT AL CC COSTO</v>
      </c>
      <c r="M2472" t="s">
        <v>681</v>
      </c>
      <c r="O2472" s="5">
        <v>30846686</v>
      </c>
      <c r="P2472" s="5">
        <v>43131</v>
      </c>
      <c r="Q2472" s="5">
        <v>8195</v>
      </c>
      <c r="R2472" s="5">
        <v>51326</v>
      </c>
    </row>
    <row r="2473" spans="1:18" x14ac:dyDescent="0.25">
      <c r="A2473" t="s">
        <v>1216</v>
      </c>
      <c r="B2473" t="s">
        <v>494</v>
      </c>
      <c r="C2473">
        <v>78924030</v>
      </c>
      <c r="D2473">
        <v>21</v>
      </c>
      <c r="E2473">
        <v>30846023</v>
      </c>
      <c r="F2473" t="s">
        <v>1318</v>
      </c>
      <c r="G2473" s="1">
        <v>45232</v>
      </c>
      <c r="H2473">
        <v>5411140</v>
      </c>
      <c r="I2473">
        <v>150</v>
      </c>
      <c r="J2473" t="s">
        <v>121</v>
      </c>
      <c r="K2473" t="str">
        <f>IFERROR(IF(AND(VLOOKUP($C2473,Hes!$A:$B, 1, FALSE), $M2473&lt;&gt;" "), "Ingresada", "Falta Ingresar"), " ")</f>
        <v xml:space="preserve"> </v>
      </c>
      <c r="L2473" s="4" t="str">
        <f>IFERROR(VLOOKUP($C2473,Observaciones!$A:$B,2,FALSE)," ")</f>
        <v>XRUT AL CC COSTO</v>
      </c>
      <c r="M2473" t="s">
        <v>681</v>
      </c>
      <c r="O2473" s="5">
        <v>30846023</v>
      </c>
      <c r="P2473" s="5">
        <v>71547</v>
      </c>
      <c r="Q2473" s="5">
        <v>13594</v>
      </c>
      <c r="R2473" s="5">
        <v>85141</v>
      </c>
    </row>
    <row r="2474" spans="1:18" x14ac:dyDescent="0.25">
      <c r="A2474" t="s">
        <v>1216</v>
      </c>
      <c r="B2474" t="s">
        <v>494</v>
      </c>
      <c r="C2474">
        <v>78924030</v>
      </c>
      <c r="D2474">
        <v>31</v>
      </c>
      <c r="E2474">
        <v>30846247</v>
      </c>
      <c r="F2474" t="s">
        <v>1318</v>
      </c>
      <c r="G2474" s="1">
        <v>45232</v>
      </c>
      <c r="H2474">
        <v>5411141</v>
      </c>
      <c r="I2474">
        <v>150</v>
      </c>
      <c r="J2474" t="s">
        <v>121</v>
      </c>
      <c r="K2474" t="str">
        <f>IFERROR(IF(AND(VLOOKUP($C2474,Hes!$A:$B, 1, FALSE), $M2474&lt;&gt;" "), "Ingresada", "Falta Ingresar"), " ")</f>
        <v xml:space="preserve"> </v>
      </c>
      <c r="L2474" s="4" t="str">
        <f>IFERROR(VLOOKUP($C2474,Observaciones!$A:$B,2,FALSE)," ")</f>
        <v>XRUT AL CC COSTO</v>
      </c>
      <c r="M2474" t="s">
        <v>681</v>
      </c>
      <c r="O2474" s="5">
        <v>30846247</v>
      </c>
      <c r="P2474" s="5">
        <v>83902</v>
      </c>
      <c r="Q2474" s="5">
        <v>15941</v>
      </c>
      <c r="R2474" s="5">
        <v>99843</v>
      </c>
    </row>
    <row r="2475" spans="1:18" x14ac:dyDescent="0.25">
      <c r="A2475" t="s">
        <v>1216</v>
      </c>
      <c r="B2475" t="s">
        <v>494</v>
      </c>
      <c r="C2475">
        <v>78924030</v>
      </c>
      <c r="D2475">
        <v>9</v>
      </c>
      <c r="E2475">
        <v>30845957</v>
      </c>
      <c r="F2475" t="s">
        <v>1318</v>
      </c>
      <c r="G2475" s="1">
        <v>45232</v>
      </c>
      <c r="H2475">
        <v>5411142</v>
      </c>
      <c r="I2475">
        <v>150</v>
      </c>
      <c r="J2475" t="s">
        <v>121</v>
      </c>
      <c r="K2475" t="str">
        <f>IFERROR(IF(AND(VLOOKUP($C2475,Hes!$A:$B, 1, FALSE), $M2475&lt;&gt;" "), "Ingresada", "Falta Ingresar"), " ")</f>
        <v xml:space="preserve"> </v>
      </c>
      <c r="L2475" s="4" t="str">
        <f>IFERROR(VLOOKUP($C2475,Observaciones!$A:$B,2,FALSE)," ")</f>
        <v>XRUT AL CC COSTO</v>
      </c>
      <c r="M2475" t="s">
        <v>681</v>
      </c>
      <c r="O2475" s="5">
        <v>30845957</v>
      </c>
      <c r="P2475" s="5">
        <v>80463</v>
      </c>
      <c r="Q2475" s="5">
        <v>15288</v>
      </c>
      <c r="R2475" s="5">
        <v>95751</v>
      </c>
    </row>
    <row r="2476" spans="1:18" x14ac:dyDescent="0.25">
      <c r="A2476" t="s">
        <v>1216</v>
      </c>
      <c r="B2476" t="s">
        <v>494</v>
      </c>
      <c r="C2476">
        <v>78924030</v>
      </c>
      <c r="D2476">
        <v>24</v>
      </c>
      <c r="E2476">
        <v>30848820</v>
      </c>
      <c r="F2476" t="s">
        <v>1318</v>
      </c>
      <c r="G2476" s="1">
        <v>45233</v>
      </c>
      <c r="H2476">
        <v>5411298</v>
      </c>
      <c r="I2476">
        <v>150</v>
      </c>
      <c r="J2476" t="s">
        <v>121</v>
      </c>
      <c r="K2476" t="str">
        <f>IFERROR(IF(AND(VLOOKUP($C2476,Hes!$A:$B, 1, FALSE), $M2476&lt;&gt;" "), "Ingresada", "Falta Ingresar"), " ")</f>
        <v xml:space="preserve"> </v>
      </c>
      <c r="L2476" s="4" t="str">
        <f>IFERROR(VLOOKUP($C2476,Observaciones!$A:$B,2,FALSE)," ")</f>
        <v>XRUT AL CC COSTO</v>
      </c>
      <c r="M2476" t="s">
        <v>681</v>
      </c>
      <c r="O2476" s="5">
        <v>30848820</v>
      </c>
      <c r="P2476" s="5">
        <v>178886</v>
      </c>
      <c r="Q2476" s="5">
        <v>33988</v>
      </c>
      <c r="R2476" s="5">
        <v>212874</v>
      </c>
    </row>
    <row r="2477" spans="1:18" x14ac:dyDescent="0.25">
      <c r="A2477" t="s">
        <v>1216</v>
      </c>
      <c r="B2477" t="s">
        <v>494</v>
      </c>
      <c r="C2477">
        <v>78924030</v>
      </c>
      <c r="D2477">
        <v>24</v>
      </c>
      <c r="E2477">
        <v>30848820</v>
      </c>
      <c r="F2477" t="s">
        <v>1318</v>
      </c>
      <c r="G2477" s="1">
        <v>45233</v>
      </c>
      <c r="H2477">
        <v>5411299</v>
      </c>
      <c r="I2477">
        <v>150</v>
      </c>
      <c r="J2477" t="s">
        <v>121</v>
      </c>
      <c r="K2477" t="str">
        <f>IFERROR(IF(AND(VLOOKUP($C2477,Hes!$A:$B, 1, FALSE), $M2477&lt;&gt;" "), "Ingresada", "Falta Ingresar"), " ")</f>
        <v xml:space="preserve"> </v>
      </c>
      <c r="L2477" s="4" t="str">
        <f>IFERROR(VLOOKUP($C2477,Observaciones!$A:$B,2,FALSE)," ")</f>
        <v>XRUT AL CC COSTO</v>
      </c>
      <c r="M2477" t="s">
        <v>681</v>
      </c>
      <c r="O2477" s="5">
        <v>30848820</v>
      </c>
      <c r="P2477" s="5">
        <v>19620</v>
      </c>
      <c r="Q2477" s="5">
        <v>3728</v>
      </c>
      <c r="R2477" s="5">
        <v>23348</v>
      </c>
    </row>
    <row r="2478" spans="1:18" x14ac:dyDescent="0.25">
      <c r="A2478" t="s">
        <v>1216</v>
      </c>
      <c r="B2478" t="s">
        <v>494</v>
      </c>
      <c r="C2478">
        <v>78924030</v>
      </c>
      <c r="D2478">
        <v>11</v>
      </c>
      <c r="E2478">
        <v>30848845</v>
      </c>
      <c r="F2478" t="s">
        <v>1318</v>
      </c>
      <c r="G2478" s="1">
        <v>45233</v>
      </c>
      <c r="H2478">
        <v>5411302</v>
      </c>
      <c r="I2478">
        <v>150</v>
      </c>
      <c r="J2478" t="s">
        <v>121</v>
      </c>
      <c r="K2478" t="str">
        <f>IFERROR(IF(AND(VLOOKUP($C2478,Hes!$A:$B, 1, FALSE), $M2478&lt;&gt;" "), "Ingresada", "Falta Ingresar"), " ")</f>
        <v xml:space="preserve"> </v>
      </c>
      <c r="L2478" s="4" t="str">
        <f>IFERROR(VLOOKUP($C2478,Observaciones!$A:$B,2,FALSE)," ")</f>
        <v>XRUT AL CC COSTO</v>
      </c>
      <c r="M2478" t="s">
        <v>681</v>
      </c>
      <c r="O2478" s="5">
        <v>30848845</v>
      </c>
      <c r="P2478" s="5">
        <v>62869</v>
      </c>
      <c r="Q2478" s="5">
        <v>11945</v>
      </c>
      <c r="R2478" s="5">
        <v>74814</v>
      </c>
    </row>
    <row r="2479" spans="1:18" x14ac:dyDescent="0.25">
      <c r="A2479" t="s">
        <v>1216</v>
      </c>
      <c r="B2479" t="s">
        <v>494</v>
      </c>
      <c r="C2479">
        <v>78924030</v>
      </c>
      <c r="D2479">
        <v>15</v>
      </c>
      <c r="E2479">
        <v>30848833</v>
      </c>
      <c r="F2479" t="s">
        <v>1318</v>
      </c>
      <c r="G2479" s="1">
        <v>45233</v>
      </c>
      <c r="H2479">
        <v>5411311</v>
      </c>
      <c r="I2479">
        <v>150</v>
      </c>
      <c r="J2479" t="s">
        <v>121</v>
      </c>
      <c r="K2479" t="str">
        <f>IFERROR(IF(AND(VLOOKUP($C2479,Hes!$A:$B, 1, FALSE), $M2479&lt;&gt;" "), "Ingresada", "Falta Ingresar"), " ")</f>
        <v xml:space="preserve"> </v>
      </c>
      <c r="L2479" s="4" t="str">
        <f>IFERROR(VLOOKUP($C2479,Observaciones!$A:$B,2,FALSE)," ")</f>
        <v>XRUT AL CC COSTO</v>
      </c>
      <c r="M2479" t="s">
        <v>681</v>
      </c>
      <c r="O2479" s="5">
        <v>30848833</v>
      </c>
      <c r="P2479" s="5">
        <v>128477</v>
      </c>
      <c r="Q2479" s="5">
        <v>24411</v>
      </c>
      <c r="R2479" s="5">
        <v>152888</v>
      </c>
    </row>
    <row r="2480" spans="1:18" x14ac:dyDescent="0.25">
      <c r="A2480" t="s">
        <v>1216</v>
      </c>
      <c r="B2480" t="s">
        <v>494</v>
      </c>
      <c r="C2480">
        <v>78924030</v>
      </c>
      <c r="D2480">
        <v>15</v>
      </c>
      <c r="E2480">
        <v>30848833</v>
      </c>
      <c r="F2480" t="s">
        <v>1318</v>
      </c>
      <c r="G2480" s="1">
        <v>45233</v>
      </c>
      <c r="H2480">
        <v>5411312</v>
      </c>
      <c r="I2480">
        <v>150</v>
      </c>
      <c r="J2480" t="s">
        <v>121</v>
      </c>
      <c r="K2480" t="str">
        <f>IFERROR(IF(AND(VLOOKUP($C2480,Hes!$A:$B, 1, FALSE), $M2480&lt;&gt;" "), "Ingresada", "Falta Ingresar"), " ")</f>
        <v xml:space="preserve"> </v>
      </c>
      <c r="L2480" s="4" t="str">
        <f>IFERROR(VLOOKUP($C2480,Observaciones!$A:$B,2,FALSE)," ")</f>
        <v>XRUT AL CC COSTO</v>
      </c>
      <c r="M2480" t="s">
        <v>681</v>
      </c>
      <c r="O2480" s="5">
        <v>30848833</v>
      </c>
      <c r="P2480" s="5">
        <v>7809</v>
      </c>
      <c r="Q2480" s="5">
        <v>1484</v>
      </c>
      <c r="R2480" s="5">
        <v>9293</v>
      </c>
    </row>
    <row r="2481" spans="1:18" x14ac:dyDescent="0.25">
      <c r="A2481" t="s">
        <v>1216</v>
      </c>
      <c r="B2481" t="s">
        <v>494</v>
      </c>
      <c r="C2481">
        <v>78924030</v>
      </c>
      <c r="D2481">
        <v>32</v>
      </c>
      <c r="E2481">
        <v>30848838</v>
      </c>
      <c r="F2481" t="s">
        <v>1318</v>
      </c>
      <c r="G2481" s="1">
        <v>45233</v>
      </c>
      <c r="H2481">
        <v>5411321</v>
      </c>
      <c r="I2481">
        <v>150</v>
      </c>
      <c r="J2481" t="s">
        <v>121</v>
      </c>
      <c r="K2481" t="str">
        <f>IFERROR(IF(AND(VLOOKUP($C2481,Hes!$A:$B, 1, FALSE), $M2481&lt;&gt;" "), "Ingresada", "Falta Ingresar"), " ")</f>
        <v xml:space="preserve"> </v>
      </c>
      <c r="L2481" s="4" t="str">
        <f>IFERROR(VLOOKUP($C2481,Observaciones!$A:$B,2,FALSE)," ")</f>
        <v>XRUT AL CC COSTO</v>
      </c>
      <c r="M2481" t="s">
        <v>681</v>
      </c>
      <c r="O2481" s="5">
        <v>30848838</v>
      </c>
      <c r="P2481" s="5">
        <v>77835</v>
      </c>
      <c r="Q2481" s="5">
        <v>14789</v>
      </c>
      <c r="R2481" s="5">
        <v>92624</v>
      </c>
    </row>
    <row r="2482" spans="1:18" x14ac:dyDescent="0.25">
      <c r="A2482" t="s">
        <v>1216</v>
      </c>
      <c r="B2482" t="s">
        <v>494</v>
      </c>
      <c r="C2482">
        <v>78924030</v>
      </c>
      <c r="D2482">
        <v>38</v>
      </c>
      <c r="E2482">
        <v>30849170</v>
      </c>
      <c r="F2482" t="s">
        <v>1318</v>
      </c>
      <c r="G2482" s="1">
        <v>45233</v>
      </c>
      <c r="H2482">
        <v>5411491</v>
      </c>
      <c r="I2482">
        <v>150</v>
      </c>
      <c r="J2482" t="s">
        <v>121</v>
      </c>
      <c r="K2482" t="str">
        <f>IFERROR(IF(AND(VLOOKUP($C2482,Hes!$A:$B, 1, FALSE), $M2482&lt;&gt;" "), "Ingresada", "Falta Ingresar"), " ")</f>
        <v xml:space="preserve"> </v>
      </c>
      <c r="L2482" s="4" t="str">
        <f>IFERROR(VLOOKUP($C2482,Observaciones!$A:$B,2,FALSE)," ")</f>
        <v>XRUT AL CC COSTO</v>
      </c>
      <c r="M2482" t="s">
        <v>681</v>
      </c>
      <c r="O2482" s="5">
        <v>30849170</v>
      </c>
      <c r="P2482" s="5">
        <v>80573</v>
      </c>
      <c r="Q2482" s="5">
        <v>15309</v>
      </c>
      <c r="R2482" s="5">
        <v>95882</v>
      </c>
    </row>
    <row r="2483" spans="1:18" x14ac:dyDescent="0.25">
      <c r="A2483" t="s">
        <v>1216</v>
      </c>
      <c r="B2483" t="s">
        <v>494</v>
      </c>
      <c r="C2483">
        <v>78924030</v>
      </c>
      <c r="D2483">
        <v>7</v>
      </c>
      <c r="E2483">
        <v>30849038</v>
      </c>
      <c r="F2483" t="s">
        <v>1318</v>
      </c>
      <c r="G2483" s="1">
        <v>45233</v>
      </c>
      <c r="H2483">
        <v>5411550</v>
      </c>
      <c r="I2483">
        <v>150</v>
      </c>
      <c r="J2483" t="s">
        <v>121</v>
      </c>
      <c r="K2483" t="str">
        <f>IFERROR(IF(AND(VLOOKUP($C2483,Hes!$A:$B, 1, FALSE), $M2483&lt;&gt;" "), "Ingresada", "Falta Ingresar"), " ")</f>
        <v xml:space="preserve"> </v>
      </c>
      <c r="L2483" s="4" t="str">
        <f>IFERROR(VLOOKUP($C2483,Observaciones!$A:$B,2,FALSE)," ")</f>
        <v>XRUT AL CC COSTO</v>
      </c>
      <c r="M2483" t="s">
        <v>681</v>
      </c>
      <c r="O2483" s="5">
        <v>30849038</v>
      </c>
      <c r="P2483" s="5">
        <v>93762</v>
      </c>
      <c r="Q2483" s="5">
        <v>17815</v>
      </c>
      <c r="R2483" s="5">
        <v>111577</v>
      </c>
    </row>
    <row r="2484" spans="1:18" x14ac:dyDescent="0.25">
      <c r="A2484" t="s">
        <v>1216</v>
      </c>
      <c r="B2484" t="s">
        <v>494</v>
      </c>
      <c r="C2484">
        <v>78924030</v>
      </c>
      <c r="D2484">
        <v>7</v>
      </c>
      <c r="E2484">
        <v>30849038</v>
      </c>
      <c r="F2484" t="s">
        <v>1318</v>
      </c>
      <c r="G2484" s="1">
        <v>45233</v>
      </c>
      <c r="H2484">
        <v>5411551</v>
      </c>
      <c r="I2484">
        <v>150</v>
      </c>
      <c r="J2484" t="s">
        <v>121</v>
      </c>
      <c r="K2484" t="str">
        <f>IFERROR(IF(AND(VLOOKUP($C2484,Hes!$A:$B, 1, FALSE), $M2484&lt;&gt;" "), "Ingresada", "Falta Ingresar"), " ")</f>
        <v xml:space="preserve"> </v>
      </c>
      <c r="L2484" s="4" t="str">
        <f>IFERROR(VLOOKUP($C2484,Observaciones!$A:$B,2,FALSE)," ")</f>
        <v>XRUT AL CC COSTO</v>
      </c>
      <c r="M2484" t="s">
        <v>681</v>
      </c>
      <c r="O2484" s="5">
        <v>30849038</v>
      </c>
      <c r="P2484" s="5">
        <v>6063</v>
      </c>
      <c r="Q2484" s="5">
        <v>1152</v>
      </c>
      <c r="R2484" s="5">
        <v>7215</v>
      </c>
    </row>
    <row r="2485" spans="1:18" x14ac:dyDescent="0.25">
      <c r="A2485" t="s">
        <v>1216</v>
      </c>
      <c r="B2485" t="s">
        <v>494</v>
      </c>
      <c r="C2485">
        <v>78924030</v>
      </c>
      <c r="D2485">
        <v>4</v>
      </c>
      <c r="E2485">
        <v>30849018</v>
      </c>
      <c r="F2485" t="s">
        <v>1318</v>
      </c>
      <c r="G2485" s="1">
        <v>45233</v>
      </c>
      <c r="H2485">
        <v>5411596</v>
      </c>
      <c r="I2485">
        <v>150</v>
      </c>
      <c r="J2485" t="s">
        <v>121</v>
      </c>
      <c r="K2485" t="str">
        <f>IFERROR(IF(AND(VLOOKUP($C2485,Hes!$A:$B, 1, FALSE), $M2485&lt;&gt;" "), "Ingresada", "Falta Ingresar"), " ")</f>
        <v xml:space="preserve"> </v>
      </c>
      <c r="L2485" s="4" t="str">
        <f>IFERROR(VLOOKUP($C2485,Observaciones!$A:$B,2,FALSE)," ")</f>
        <v>XRUT AL CC COSTO</v>
      </c>
      <c r="M2485" t="s">
        <v>681</v>
      </c>
      <c r="O2485" s="5">
        <v>30849018</v>
      </c>
      <c r="P2485" s="5">
        <v>103963</v>
      </c>
      <c r="Q2485" s="5">
        <v>19753</v>
      </c>
      <c r="R2485" s="5">
        <v>123716</v>
      </c>
    </row>
    <row r="2486" spans="1:18" x14ac:dyDescent="0.25">
      <c r="A2486" t="s">
        <v>1216</v>
      </c>
      <c r="B2486" t="s">
        <v>494</v>
      </c>
      <c r="C2486">
        <v>78924030</v>
      </c>
      <c r="D2486">
        <v>4</v>
      </c>
      <c r="E2486">
        <v>30849018</v>
      </c>
      <c r="F2486" t="s">
        <v>1318</v>
      </c>
      <c r="G2486" s="1">
        <v>45233</v>
      </c>
      <c r="H2486">
        <v>5411597</v>
      </c>
      <c r="I2486">
        <v>150</v>
      </c>
      <c r="J2486" t="s">
        <v>121</v>
      </c>
      <c r="K2486" t="str">
        <f>IFERROR(IF(AND(VLOOKUP($C2486,Hes!$A:$B, 1, FALSE), $M2486&lt;&gt;" "), "Ingresada", "Falta Ingresar"), " ")</f>
        <v xml:space="preserve"> </v>
      </c>
      <c r="L2486" s="4" t="str">
        <f>IFERROR(VLOOKUP($C2486,Observaciones!$A:$B,2,FALSE)," ")</f>
        <v>XRUT AL CC COSTO</v>
      </c>
      <c r="M2486" t="s">
        <v>681</v>
      </c>
      <c r="O2486" s="5">
        <v>30849018</v>
      </c>
      <c r="P2486" s="5">
        <v>1399</v>
      </c>
      <c r="Q2486" s="5">
        <v>266</v>
      </c>
      <c r="R2486" s="5">
        <v>1665</v>
      </c>
    </row>
    <row r="2487" spans="1:18" x14ac:dyDescent="0.25">
      <c r="A2487" t="s">
        <v>1216</v>
      </c>
      <c r="B2487" t="s">
        <v>494</v>
      </c>
      <c r="C2487">
        <v>78924030</v>
      </c>
      <c r="D2487">
        <v>13</v>
      </c>
      <c r="E2487">
        <v>30850242</v>
      </c>
      <c r="F2487" t="s">
        <v>1318</v>
      </c>
      <c r="G2487" s="1">
        <v>45236</v>
      </c>
      <c r="H2487">
        <v>5413324</v>
      </c>
      <c r="I2487">
        <v>150</v>
      </c>
      <c r="J2487" t="s">
        <v>121</v>
      </c>
      <c r="K2487" t="str">
        <f>IFERROR(IF(AND(VLOOKUP($C2487,Hes!$A:$B, 1, FALSE), $M2487&lt;&gt;" "), "Ingresada", "Falta Ingresar"), " ")</f>
        <v xml:space="preserve"> </v>
      </c>
      <c r="L2487" s="4" t="str">
        <f>IFERROR(VLOOKUP($C2487,Observaciones!$A:$B,2,FALSE)," ")</f>
        <v>XRUT AL CC COSTO</v>
      </c>
      <c r="M2487" t="s">
        <v>681</v>
      </c>
      <c r="O2487" s="5">
        <v>30850242</v>
      </c>
      <c r="P2487" s="5">
        <v>98154</v>
      </c>
      <c r="Q2487" s="5">
        <v>18649</v>
      </c>
      <c r="R2487" s="5">
        <v>116803</v>
      </c>
    </row>
    <row r="2488" spans="1:18" x14ac:dyDescent="0.25">
      <c r="A2488" t="s">
        <v>1216</v>
      </c>
      <c r="B2488" t="s">
        <v>494</v>
      </c>
      <c r="C2488">
        <v>78924030</v>
      </c>
      <c r="D2488">
        <v>13</v>
      </c>
      <c r="E2488">
        <v>30850242</v>
      </c>
      <c r="F2488" t="s">
        <v>1318</v>
      </c>
      <c r="G2488" s="1">
        <v>45236</v>
      </c>
      <c r="H2488">
        <v>5413325</v>
      </c>
      <c r="I2488">
        <v>150</v>
      </c>
      <c r="J2488" t="s">
        <v>121</v>
      </c>
      <c r="K2488" t="str">
        <f>IFERROR(IF(AND(VLOOKUP($C2488,Hes!$A:$B, 1, FALSE), $M2488&lt;&gt;" "), "Ingresada", "Falta Ingresar"), " ")</f>
        <v xml:space="preserve"> </v>
      </c>
      <c r="L2488" s="4" t="str">
        <f>IFERROR(VLOOKUP($C2488,Observaciones!$A:$B,2,FALSE)," ")</f>
        <v>XRUT AL CC COSTO</v>
      </c>
      <c r="M2488" t="s">
        <v>681</v>
      </c>
      <c r="O2488" s="5">
        <v>30850242</v>
      </c>
      <c r="P2488" s="5">
        <v>24563</v>
      </c>
      <c r="Q2488" s="5">
        <v>4667</v>
      </c>
      <c r="R2488" s="5">
        <v>29230</v>
      </c>
    </row>
    <row r="2489" spans="1:18" x14ac:dyDescent="0.25">
      <c r="A2489" t="s">
        <v>1216</v>
      </c>
      <c r="B2489" t="s">
        <v>494</v>
      </c>
      <c r="C2489">
        <v>78924030</v>
      </c>
      <c r="D2489">
        <v>37</v>
      </c>
      <c r="E2489">
        <v>30857945</v>
      </c>
      <c r="F2489" t="s">
        <v>1318</v>
      </c>
      <c r="G2489" s="1">
        <v>45236</v>
      </c>
      <c r="H2489">
        <v>5413794</v>
      </c>
      <c r="I2489">
        <v>150</v>
      </c>
      <c r="J2489" t="s">
        <v>121</v>
      </c>
      <c r="K2489" t="str">
        <f>IFERROR(IF(AND(VLOOKUP($C2489,Hes!$A:$B, 1, FALSE), $M2489&lt;&gt;" "), "Ingresada", "Falta Ingresar"), " ")</f>
        <v xml:space="preserve"> </v>
      </c>
      <c r="L2489" s="4" t="str">
        <f>IFERROR(VLOOKUP($C2489,Observaciones!$A:$B,2,FALSE)," ")</f>
        <v>XRUT AL CC COSTO</v>
      </c>
      <c r="M2489" t="s">
        <v>681</v>
      </c>
      <c r="O2489" s="5">
        <v>30857945</v>
      </c>
      <c r="P2489" s="5">
        <v>217109</v>
      </c>
      <c r="Q2489" s="5">
        <v>41251</v>
      </c>
      <c r="R2489" s="5">
        <v>258360</v>
      </c>
    </row>
    <row r="2490" spans="1:18" x14ac:dyDescent="0.25">
      <c r="A2490" t="s">
        <v>1216</v>
      </c>
      <c r="B2490" t="s">
        <v>494</v>
      </c>
      <c r="C2490">
        <v>78924030</v>
      </c>
      <c r="D2490">
        <v>18</v>
      </c>
      <c r="E2490">
        <v>30857663</v>
      </c>
      <c r="F2490" t="s">
        <v>1318</v>
      </c>
      <c r="G2490" s="1">
        <v>45236</v>
      </c>
      <c r="H2490">
        <v>5413798</v>
      </c>
      <c r="I2490">
        <v>150</v>
      </c>
      <c r="J2490" t="s">
        <v>121</v>
      </c>
      <c r="K2490" t="str">
        <f>IFERROR(IF(AND(VLOOKUP($C2490,Hes!$A:$B, 1, FALSE), $M2490&lt;&gt;" "), "Ingresada", "Falta Ingresar"), " ")</f>
        <v xml:space="preserve"> </v>
      </c>
      <c r="L2490" s="4" t="str">
        <f>IFERROR(VLOOKUP($C2490,Observaciones!$A:$B,2,FALSE)," ")</f>
        <v>XRUT AL CC COSTO</v>
      </c>
      <c r="M2490" t="s">
        <v>681</v>
      </c>
      <c r="O2490" s="5">
        <v>30857663</v>
      </c>
      <c r="P2490" s="5">
        <v>51118</v>
      </c>
      <c r="Q2490" s="5">
        <v>9712</v>
      </c>
      <c r="R2490" s="5">
        <v>60830</v>
      </c>
    </row>
    <row r="2491" spans="1:18" x14ac:dyDescent="0.25">
      <c r="A2491" t="s">
        <v>1216</v>
      </c>
      <c r="B2491" t="s">
        <v>494</v>
      </c>
      <c r="C2491">
        <v>78924030</v>
      </c>
      <c r="D2491">
        <v>34</v>
      </c>
      <c r="E2491">
        <v>30857854</v>
      </c>
      <c r="F2491" t="s">
        <v>1318</v>
      </c>
      <c r="G2491" s="1">
        <v>45236</v>
      </c>
      <c r="H2491">
        <v>5413872</v>
      </c>
      <c r="I2491">
        <v>150</v>
      </c>
      <c r="J2491" t="s">
        <v>121</v>
      </c>
      <c r="K2491" t="str">
        <f>IFERROR(IF(AND(VLOOKUP($C2491,Hes!$A:$B, 1, FALSE), $M2491&lt;&gt;" "), "Ingresada", "Falta Ingresar"), " ")</f>
        <v xml:space="preserve"> </v>
      </c>
      <c r="L2491" s="4" t="str">
        <f>IFERROR(VLOOKUP($C2491,Observaciones!$A:$B,2,FALSE)," ")</f>
        <v>XRUT AL CC COSTO</v>
      </c>
      <c r="M2491" t="s">
        <v>681</v>
      </c>
      <c r="O2491" s="5">
        <v>30857854</v>
      </c>
      <c r="P2491" s="5">
        <v>114265</v>
      </c>
      <c r="Q2491" s="5">
        <v>21710</v>
      </c>
      <c r="R2491" s="5">
        <v>135975</v>
      </c>
    </row>
    <row r="2492" spans="1:18" x14ac:dyDescent="0.25">
      <c r="A2492" t="s">
        <v>1216</v>
      </c>
      <c r="B2492" t="s">
        <v>494</v>
      </c>
      <c r="C2492">
        <v>78924030</v>
      </c>
      <c r="D2492">
        <v>34</v>
      </c>
      <c r="E2492">
        <v>30857854</v>
      </c>
      <c r="F2492" t="s">
        <v>1318</v>
      </c>
      <c r="G2492" s="1">
        <v>45236</v>
      </c>
      <c r="H2492">
        <v>5413873</v>
      </c>
      <c r="I2492">
        <v>150</v>
      </c>
      <c r="J2492" t="s">
        <v>121</v>
      </c>
      <c r="K2492" t="str">
        <f>IFERROR(IF(AND(VLOOKUP($C2492,Hes!$A:$B, 1, FALSE), $M2492&lt;&gt;" "), "Ingresada", "Falta Ingresar"), " ")</f>
        <v xml:space="preserve"> </v>
      </c>
      <c r="L2492" s="4" t="str">
        <f>IFERROR(VLOOKUP($C2492,Observaciones!$A:$B,2,FALSE)," ")</f>
        <v>XRUT AL CC COSTO</v>
      </c>
      <c r="M2492" t="s">
        <v>681</v>
      </c>
      <c r="O2492" s="5">
        <v>30857854</v>
      </c>
      <c r="P2492" s="5">
        <v>45400</v>
      </c>
      <c r="Q2492" s="5">
        <v>8626</v>
      </c>
      <c r="R2492" s="5">
        <v>54026</v>
      </c>
    </row>
    <row r="2493" spans="1:18" x14ac:dyDescent="0.25">
      <c r="F2493" t="s">
        <v>636</v>
      </c>
      <c r="K2493" t="str">
        <f>IFERROR(IF(AND(VLOOKUP($C2493,Hes!$A:$B, 1, FALSE), $M2493&lt;&gt;" "), "Ingresada", "Falta Ingresar"), " ")</f>
        <v xml:space="preserve"> </v>
      </c>
      <c r="L2493" s="4" t="str">
        <f>IFERROR(VLOOKUP($C2493,Observaciones!$A:$B,2,FALSE)," ")</f>
        <v xml:space="preserve"> </v>
      </c>
      <c r="M2493" t="s">
        <v>681</v>
      </c>
      <c r="P2493" s="5">
        <v>1791125</v>
      </c>
      <c r="Q2493" s="5">
        <v>340314</v>
      </c>
      <c r="R2493" s="5">
        <v>2131439</v>
      </c>
    </row>
    <row r="2494" spans="1:18" x14ac:dyDescent="0.25">
      <c r="A2494" t="s">
        <v>512</v>
      </c>
      <c r="B2494" t="s">
        <v>494</v>
      </c>
      <c r="C2494">
        <v>78936330</v>
      </c>
      <c r="D2494">
        <v>0</v>
      </c>
      <c r="E2494">
        <v>826635</v>
      </c>
      <c r="F2494" t="s">
        <v>1319</v>
      </c>
      <c r="G2494" s="1">
        <v>45236</v>
      </c>
      <c r="H2494">
        <v>5412452</v>
      </c>
      <c r="I2494">
        <v>439</v>
      </c>
      <c r="J2494" t="s">
        <v>340</v>
      </c>
      <c r="K2494" t="str">
        <f>IFERROR(IF(AND(VLOOKUP($C2494,Hes!$A:$B, 1, FALSE), $M2494&lt;&gt;" "), "Ingresada", "Falta Ingresar"), " ")</f>
        <v xml:space="preserve"> </v>
      </c>
      <c r="L2494" s="4" t="str">
        <f>IFERROR(VLOOKUP($C2494,Observaciones!$A:$B,2,FALSE)," ")</f>
        <v xml:space="preserve"> </v>
      </c>
      <c r="M2494" t="s">
        <v>681</v>
      </c>
      <c r="O2494" s="5">
        <v>30852221</v>
      </c>
      <c r="P2494" s="5">
        <v>26462</v>
      </c>
      <c r="Q2494" s="5">
        <v>5028</v>
      </c>
      <c r="R2494" s="5">
        <v>31490</v>
      </c>
    </row>
    <row r="2495" spans="1:18" x14ac:dyDescent="0.25">
      <c r="A2495" t="s">
        <v>512</v>
      </c>
      <c r="B2495" t="s">
        <v>494</v>
      </c>
      <c r="C2495">
        <v>78936330</v>
      </c>
      <c r="D2495">
        <v>9</v>
      </c>
      <c r="E2495">
        <v>30850085</v>
      </c>
      <c r="F2495" t="s">
        <v>1319</v>
      </c>
      <c r="G2495" s="1">
        <v>45236</v>
      </c>
      <c r="H2495">
        <v>5412678</v>
      </c>
      <c r="I2495">
        <v>439</v>
      </c>
      <c r="J2495" t="s">
        <v>340</v>
      </c>
      <c r="K2495" t="str">
        <f>IFERROR(IF(AND(VLOOKUP($C2495,Hes!$A:$B, 1, FALSE), $M2495&lt;&gt;" "), "Ingresada", "Falta Ingresar"), " ")</f>
        <v xml:space="preserve"> </v>
      </c>
      <c r="L2495" s="4" t="str">
        <f>IFERROR(VLOOKUP($C2495,Observaciones!$A:$B,2,FALSE)," ")</f>
        <v xml:space="preserve"> </v>
      </c>
      <c r="M2495" t="s">
        <v>681</v>
      </c>
      <c r="O2495" s="5">
        <v>30850085</v>
      </c>
      <c r="P2495" s="5">
        <v>155063</v>
      </c>
      <c r="Q2495" s="5">
        <v>29462</v>
      </c>
      <c r="R2495" s="5">
        <v>184525</v>
      </c>
    </row>
    <row r="2496" spans="1:18" x14ac:dyDescent="0.25">
      <c r="A2496" t="s">
        <v>512</v>
      </c>
      <c r="B2496" t="s">
        <v>494</v>
      </c>
      <c r="C2496">
        <v>78936330</v>
      </c>
      <c r="D2496">
        <v>3</v>
      </c>
      <c r="E2496">
        <v>30855068</v>
      </c>
      <c r="F2496" t="s">
        <v>1319</v>
      </c>
      <c r="G2496" s="1">
        <v>45236</v>
      </c>
      <c r="H2496">
        <v>5413053</v>
      </c>
      <c r="I2496">
        <v>439</v>
      </c>
      <c r="J2496" t="s">
        <v>340</v>
      </c>
      <c r="K2496" t="str">
        <f>IFERROR(IF(AND(VLOOKUP($C2496,Hes!$A:$B, 1, FALSE), $M2496&lt;&gt;" "), "Ingresada", "Falta Ingresar"), " ")</f>
        <v xml:space="preserve"> </v>
      </c>
      <c r="L2496" s="4" t="str">
        <f>IFERROR(VLOOKUP($C2496,Observaciones!$A:$B,2,FALSE)," ")</f>
        <v xml:space="preserve"> </v>
      </c>
      <c r="M2496" t="s">
        <v>681</v>
      </c>
      <c r="O2496" s="5">
        <v>30855068</v>
      </c>
      <c r="P2496" s="5">
        <v>182945</v>
      </c>
      <c r="Q2496" s="5">
        <v>34760</v>
      </c>
      <c r="R2496" s="5">
        <v>217705</v>
      </c>
    </row>
    <row r="2497" spans="1:18" x14ac:dyDescent="0.25">
      <c r="A2497" t="s">
        <v>512</v>
      </c>
      <c r="B2497" t="s">
        <v>494</v>
      </c>
      <c r="C2497">
        <v>78936330</v>
      </c>
      <c r="D2497">
        <v>23</v>
      </c>
      <c r="E2497">
        <v>30856222</v>
      </c>
      <c r="F2497" t="s">
        <v>1319</v>
      </c>
      <c r="G2497" s="1">
        <v>45236</v>
      </c>
      <c r="H2497">
        <v>5413144</v>
      </c>
      <c r="I2497">
        <v>439</v>
      </c>
      <c r="J2497" t="s">
        <v>340</v>
      </c>
      <c r="K2497" t="str">
        <f>IFERROR(IF(AND(VLOOKUP($C2497,Hes!$A:$B, 1, FALSE), $M2497&lt;&gt;" "), "Ingresada", "Falta Ingresar"), " ")</f>
        <v xml:space="preserve"> </v>
      </c>
      <c r="L2497" s="4" t="str">
        <f>IFERROR(VLOOKUP($C2497,Observaciones!$A:$B,2,FALSE)," ")</f>
        <v xml:space="preserve"> </v>
      </c>
      <c r="M2497" t="s">
        <v>681</v>
      </c>
      <c r="O2497" s="5">
        <v>30856222</v>
      </c>
      <c r="P2497" s="5">
        <v>62124</v>
      </c>
      <c r="Q2497" s="5">
        <v>11804</v>
      </c>
      <c r="R2497" s="5">
        <v>73928</v>
      </c>
    </row>
    <row r="2498" spans="1:18" x14ac:dyDescent="0.25">
      <c r="A2498" t="s">
        <v>512</v>
      </c>
      <c r="B2498" t="s">
        <v>494</v>
      </c>
      <c r="C2498">
        <v>78936330</v>
      </c>
      <c r="D2498">
        <v>15</v>
      </c>
      <c r="E2498">
        <v>30854235</v>
      </c>
      <c r="F2498" t="s">
        <v>1319</v>
      </c>
      <c r="G2498" s="1">
        <v>45236</v>
      </c>
      <c r="H2498">
        <v>5413377</v>
      </c>
      <c r="I2498">
        <v>439</v>
      </c>
      <c r="J2498" t="s">
        <v>340</v>
      </c>
      <c r="K2498" t="str">
        <f>IFERROR(IF(AND(VLOOKUP($C2498,Hes!$A:$B, 1, FALSE), $M2498&lt;&gt;" "), "Ingresada", "Falta Ingresar"), " ")</f>
        <v xml:space="preserve"> </v>
      </c>
      <c r="L2498" s="4" t="str">
        <f>IFERROR(VLOOKUP($C2498,Observaciones!$A:$B,2,FALSE)," ")</f>
        <v xml:space="preserve"> </v>
      </c>
      <c r="M2498" t="s">
        <v>681</v>
      </c>
      <c r="O2498" s="5">
        <v>30854235</v>
      </c>
      <c r="P2498" s="5">
        <v>103789</v>
      </c>
      <c r="Q2498" s="5">
        <v>19720</v>
      </c>
      <c r="R2498" s="5">
        <v>123509</v>
      </c>
    </row>
    <row r="2499" spans="1:18" x14ac:dyDescent="0.25">
      <c r="A2499" t="s">
        <v>512</v>
      </c>
      <c r="B2499" t="s">
        <v>494</v>
      </c>
      <c r="C2499">
        <v>78936330</v>
      </c>
      <c r="D2499">
        <v>8</v>
      </c>
      <c r="E2499">
        <v>30855606</v>
      </c>
      <c r="F2499" t="s">
        <v>1319</v>
      </c>
      <c r="G2499" s="1">
        <v>45236</v>
      </c>
      <c r="H2499">
        <v>5413427</v>
      </c>
      <c r="I2499">
        <v>439</v>
      </c>
      <c r="J2499" t="s">
        <v>340</v>
      </c>
      <c r="K2499" t="str">
        <f>IFERROR(IF(AND(VLOOKUP($C2499,Hes!$A:$B, 1, FALSE), $M2499&lt;&gt;" "), "Ingresada", "Falta Ingresar"), " ")</f>
        <v xml:space="preserve"> </v>
      </c>
      <c r="L2499" s="4" t="str">
        <f>IFERROR(VLOOKUP($C2499,Observaciones!$A:$B,2,FALSE)," ")</f>
        <v xml:space="preserve"> </v>
      </c>
      <c r="M2499" t="s">
        <v>681</v>
      </c>
      <c r="O2499" s="5">
        <v>30855606</v>
      </c>
      <c r="P2499" s="5">
        <v>158819</v>
      </c>
      <c r="Q2499" s="5">
        <v>30176</v>
      </c>
      <c r="R2499" s="5">
        <v>188995</v>
      </c>
    </row>
    <row r="2500" spans="1:18" x14ac:dyDescent="0.25">
      <c r="A2500" t="s">
        <v>512</v>
      </c>
      <c r="B2500" t="s">
        <v>494</v>
      </c>
      <c r="C2500">
        <v>78936330</v>
      </c>
      <c r="D2500">
        <v>2</v>
      </c>
      <c r="E2500">
        <v>30854322</v>
      </c>
      <c r="F2500" t="s">
        <v>1319</v>
      </c>
      <c r="G2500" s="1">
        <v>45236</v>
      </c>
      <c r="H2500">
        <v>5413435</v>
      </c>
      <c r="I2500">
        <v>439</v>
      </c>
      <c r="J2500" t="s">
        <v>340</v>
      </c>
      <c r="K2500" t="str">
        <f>IFERROR(IF(AND(VLOOKUP($C2500,Hes!$A:$B, 1, FALSE), $M2500&lt;&gt;" "), "Ingresada", "Falta Ingresar"), " ")</f>
        <v xml:space="preserve"> </v>
      </c>
      <c r="L2500" s="4" t="str">
        <f>IFERROR(VLOOKUP($C2500,Observaciones!$A:$B,2,FALSE)," ")</f>
        <v xml:space="preserve"> </v>
      </c>
      <c r="M2500" t="s">
        <v>681</v>
      </c>
      <c r="O2500" s="5">
        <v>30854322</v>
      </c>
      <c r="P2500" s="5">
        <v>113910</v>
      </c>
      <c r="Q2500" s="5">
        <v>21643</v>
      </c>
      <c r="R2500" s="5">
        <v>135553</v>
      </c>
    </row>
    <row r="2501" spans="1:18" x14ac:dyDescent="0.25">
      <c r="A2501" t="s">
        <v>512</v>
      </c>
      <c r="B2501" t="s">
        <v>494</v>
      </c>
      <c r="C2501">
        <v>78936330</v>
      </c>
      <c r="D2501">
        <v>21</v>
      </c>
      <c r="E2501">
        <v>30855877</v>
      </c>
      <c r="F2501" t="s">
        <v>1319</v>
      </c>
      <c r="G2501" s="1">
        <v>45236</v>
      </c>
      <c r="H2501">
        <v>5413560</v>
      </c>
      <c r="I2501">
        <v>439</v>
      </c>
      <c r="J2501" t="s">
        <v>340</v>
      </c>
      <c r="K2501" t="str">
        <f>IFERROR(IF(AND(VLOOKUP($C2501,Hes!$A:$B, 1, FALSE), $M2501&lt;&gt;" "), "Ingresada", "Falta Ingresar"), " ")</f>
        <v xml:space="preserve"> </v>
      </c>
      <c r="L2501" s="4" t="str">
        <f>IFERROR(VLOOKUP($C2501,Observaciones!$A:$B,2,FALSE)," ")</f>
        <v xml:space="preserve"> </v>
      </c>
      <c r="M2501" t="s">
        <v>681</v>
      </c>
      <c r="O2501" s="5">
        <v>30855877</v>
      </c>
      <c r="P2501" s="5">
        <v>85611</v>
      </c>
      <c r="Q2501" s="5">
        <v>16266</v>
      </c>
      <c r="R2501" s="5">
        <v>101877</v>
      </c>
    </row>
    <row r="2502" spans="1:18" x14ac:dyDescent="0.25">
      <c r="A2502" t="s">
        <v>512</v>
      </c>
      <c r="B2502" t="s">
        <v>494</v>
      </c>
      <c r="C2502">
        <v>78936330</v>
      </c>
      <c r="D2502">
        <v>7</v>
      </c>
      <c r="E2502">
        <v>30856107</v>
      </c>
      <c r="F2502" t="s">
        <v>1319</v>
      </c>
      <c r="G2502" s="1">
        <v>45236</v>
      </c>
      <c r="H2502">
        <v>5413609</v>
      </c>
      <c r="I2502">
        <v>439</v>
      </c>
      <c r="J2502" t="s">
        <v>340</v>
      </c>
      <c r="K2502" t="str">
        <f>IFERROR(IF(AND(VLOOKUP($C2502,Hes!$A:$B, 1, FALSE), $M2502&lt;&gt;" "), "Ingresada", "Falta Ingresar"), " ")</f>
        <v xml:space="preserve"> </v>
      </c>
      <c r="L2502" s="4" t="str">
        <f>IFERROR(VLOOKUP($C2502,Observaciones!$A:$B,2,FALSE)," ")</f>
        <v xml:space="preserve"> </v>
      </c>
      <c r="M2502" t="s">
        <v>681</v>
      </c>
      <c r="O2502" s="5">
        <v>30856107</v>
      </c>
      <c r="P2502" s="5">
        <v>222242</v>
      </c>
      <c r="Q2502" s="5">
        <v>42226</v>
      </c>
      <c r="R2502" s="5">
        <v>264468</v>
      </c>
    </row>
    <row r="2503" spans="1:18" x14ac:dyDescent="0.25">
      <c r="A2503" t="s">
        <v>512</v>
      </c>
      <c r="B2503" t="s">
        <v>494</v>
      </c>
      <c r="C2503">
        <v>78936330</v>
      </c>
      <c r="D2503">
        <v>1</v>
      </c>
      <c r="E2503">
        <v>30856930</v>
      </c>
      <c r="F2503" t="s">
        <v>1319</v>
      </c>
      <c r="G2503" s="1">
        <v>45236</v>
      </c>
      <c r="H2503">
        <v>5413719</v>
      </c>
      <c r="I2503">
        <v>439</v>
      </c>
      <c r="J2503" t="s">
        <v>340</v>
      </c>
      <c r="K2503" t="str">
        <f>IFERROR(IF(AND(VLOOKUP($C2503,Hes!$A:$B, 1, FALSE), $M2503&lt;&gt;" "), "Ingresada", "Falta Ingresar"), " ")</f>
        <v xml:space="preserve"> </v>
      </c>
      <c r="L2503" s="4" t="str">
        <f>IFERROR(VLOOKUP($C2503,Observaciones!$A:$B,2,FALSE)," ")</f>
        <v xml:space="preserve"> </v>
      </c>
      <c r="M2503" t="s">
        <v>681</v>
      </c>
      <c r="O2503" s="5">
        <v>30856930</v>
      </c>
      <c r="P2503" s="5">
        <v>169174</v>
      </c>
      <c r="Q2503" s="5">
        <v>32143</v>
      </c>
      <c r="R2503" s="5">
        <v>201317</v>
      </c>
    </row>
    <row r="2504" spans="1:18" x14ac:dyDescent="0.25">
      <c r="A2504" t="s">
        <v>512</v>
      </c>
      <c r="B2504" t="s">
        <v>494</v>
      </c>
      <c r="C2504">
        <v>78936330</v>
      </c>
      <c r="D2504">
        <v>1</v>
      </c>
      <c r="E2504">
        <v>30856930</v>
      </c>
      <c r="F2504" t="s">
        <v>1319</v>
      </c>
      <c r="G2504" s="1">
        <v>45236</v>
      </c>
      <c r="H2504">
        <v>5413720</v>
      </c>
      <c r="I2504">
        <v>439</v>
      </c>
      <c r="J2504" t="s">
        <v>340</v>
      </c>
      <c r="K2504" t="str">
        <f>IFERROR(IF(AND(VLOOKUP($C2504,Hes!$A:$B, 1, FALSE), $M2504&lt;&gt;" "), "Ingresada", "Falta Ingresar"), " ")</f>
        <v xml:space="preserve"> </v>
      </c>
      <c r="L2504" s="4" t="str">
        <f>IFERROR(VLOOKUP($C2504,Observaciones!$A:$B,2,FALSE)," ")</f>
        <v xml:space="preserve"> </v>
      </c>
      <c r="M2504" t="s">
        <v>681</v>
      </c>
      <c r="O2504" s="5">
        <v>30856930</v>
      </c>
      <c r="P2504" s="5">
        <v>44577</v>
      </c>
      <c r="Q2504" s="5">
        <v>8470</v>
      </c>
      <c r="R2504" s="5">
        <v>53047</v>
      </c>
    </row>
    <row r="2505" spans="1:18" x14ac:dyDescent="0.25">
      <c r="A2505" t="s">
        <v>512</v>
      </c>
      <c r="B2505" t="s">
        <v>494</v>
      </c>
      <c r="C2505">
        <v>78936330</v>
      </c>
      <c r="D2505">
        <v>13</v>
      </c>
      <c r="E2505">
        <v>30859397</v>
      </c>
      <c r="F2505" t="s">
        <v>1319</v>
      </c>
      <c r="G2505" s="1">
        <v>45237</v>
      </c>
      <c r="H2505">
        <v>5414196</v>
      </c>
      <c r="I2505">
        <v>439</v>
      </c>
      <c r="J2505" t="s">
        <v>340</v>
      </c>
      <c r="K2505" t="str">
        <f>IFERROR(IF(AND(VLOOKUP($C2505,Hes!$A:$B, 1, FALSE), $M2505&lt;&gt;" "), "Ingresada", "Falta Ingresar"), " ")</f>
        <v xml:space="preserve"> </v>
      </c>
      <c r="L2505" s="4" t="str">
        <f>IFERROR(VLOOKUP($C2505,Observaciones!$A:$B,2,FALSE)," ")</f>
        <v xml:space="preserve"> </v>
      </c>
      <c r="M2505" t="s">
        <v>681</v>
      </c>
      <c r="O2505" s="5">
        <v>30859397</v>
      </c>
      <c r="P2505" s="5">
        <v>198589</v>
      </c>
      <c r="Q2505" s="5">
        <v>37732</v>
      </c>
      <c r="R2505" s="5">
        <v>236321</v>
      </c>
    </row>
    <row r="2506" spans="1:18" x14ac:dyDescent="0.25">
      <c r="A2506" t="s">
        <v>512</v>
      </c>
      <c r="B2506" t="s">
        <v>494</v>
      </c>
      <c r="C2506">
        <v>78936330</v>
      </c>
      <c r="D2506">
        <v>13</v>
      </c>
      <c r="E2506">
        <v>30859397</v>
      </c>
      <c r="F2506" t="s">
        <v>1319</v>
      </c>
      <c r="G2506" s="1">
        <v>45237</v>
      </c>
      <c r="H2506">
        <v>5414197</v>
      </c>
      <c r="I2506">
        <v>439</v>
      </c>
      <c r="J2506" t="s">
        <v>340</v>
      </c>
      <c r="K2506" t="str">
        <f>IFERROR(IF(AND(VLOOKUP($C2506,Hes!$A:$B, 1, FALSE), $M2506&lt;&gt;" "), "Ingresada", "Falta Ingresar"), " ")</f>
        <v xml:space="preserve"> </v>
      </c>
      <c r="L2506" s="4" t="str">
        <f>IFERROR(VLOOKUP($C2506,Observaciones!$A:$B,2,FALSE)," ")</f>
        <v xml:space="preserve"> </v>
      </c>
      <c r="M2506" t="s">
        <v>681</v>
      </c>
      <c r="O2506" s="5">
        <v>30859397</v>
      </c>
      <c r="P2506" s="5">
        <v>4353</v>
      </c>
      <c r="Q2506" s="5">
        <v>827</v>
      </c>
      <c r="R2506" s="5">
        <v>5180</v>
      </c>
    </row>
    <row r="2507" spans="1:18" x14ac:dyDescent="0.25">
      <c r="A2507" t="s">
        <v>512</v>
      </c>
      <c r="B2507" t="s">
        <v>494</v>
      </c>
      <c r="C2507">
        <v>78936330</v>
      </c>
      <c r="D2507">
        <v>5</v>
      </c>
      <c r="E2507">
        <v>30862731</v>
      </c>
      <c r="F2507" t="s">
        <v>1319</v>
      </c>
      <c r="G2507" s="1">
        <v>45238</v>
      </c>
      <c r="H2507">
        <v>5415418</v>
      </c>
      <c r="I2507">
        <v>439</v>
      </c>
      <c r="J2507" t="s">
        <v>340</v>
      </c>
      <c r="K2507" t="str">
        <f>IFERROR(IF(AND(VLOOKUP($C2507,Hes!$A:$B, 1, FALSE), $M2507&lt;&gt;" "), "Ingresada", "Falta Ingresar"), " ")</f>
        <v xml:space="preserve"> </v>
      </c>
      <c r="L2507" s="4" t="str">
        <f>IFERROR(VLOOKUP($C2507,Observaciones!$A:$B,2,FALSE)," ")</f>
        <v xml:space="preserve"> </v>
      </c>
      <c r="M2507" t="s">
        <v>681</v>
      </c>
      <c r="O2507" s="5">
        <v>30862731</v>
      </c>
      <c r="P2507" s="5">
        <v>135704</v>
      </c>
      <c r="Q2507" s="5">
        <v>25784</v>
      </c>
      <c r="R2507" s="5">
        <v>161488</v>
      </c>
    </row>
    <row r="2508" spans="1:18" x14ac:dyDescent="0.25">
      <c r="A2508" t="s">
        <v>512</v>
      </c>
      <c r="B2508" t="s">
        <v>494</v>
      </c>
      <c r="C2508">
        <v>78936330</v>
      </c>
      <c r="D2508">
        <v>26</v>
      </c>
      <c r="E2508">
        <v>30862934</v>
      </c>
      <c r="F2508" t="s">
        <v>1319</v>
      </c>
      <c r="G2508" s="1">
        <v>45238</v>
      </c>
      <c r="H2508">
        <v>5415637</v>
      </c>
      <c r="I2508">
        <v>439</v>
      </c>
      <c r="J2508" t="s">
        <v>340</v>
      </c>
      <c r="K2508" t="str">
        <f>IFERROR(IF(AND(VLOOKUP($C2508,Hes!$A:$B, 1, FALSE), $M2508&lt;&gt;" "), "Ingresada", "Falta Ingresar"), " ")</f>
        <v xml:space="preserve"> </v>
      </c>
      <c r="L2508" s="4" t="str">
        <f>IFERROR(VLOOKUP($C2508,Observaciones!$A:$B,2,FALSE)," ")</f>
        <v xml:space="preserve"> </v>
      </c>
      <c r="M2508" t="s">
        <v>681</v>
      </c>
      <c r="O2508" s="5">
        <v>30862934</v>
      </c>
      <c r="P2508" s="5">
        <v>236433</v>
      </c>
      <c r="Q2508" s="5">
        <v>44922</v>
      </c>
      <c r="R2508" s="5">
        <v>281355</v>
      </c>
    </row>
    <row r="2509" spans="1:18" x14ac:dyDescent="0.25">
      <c r="F2509" t="s">
        <v>518</v>
      </c>
      <c r="K2509" t="str">
        <f>IFERROR(IF(AND(VLOOKUP($C2509,Hes!$A:$B, 1, FALSE), $M2509&lt;&gt;" "), "Ingresada", "Falta Ingresar"), " ")</f>
        <v xml:space="preserve"> </v>
      </c>
      <c r="L2509" s="4" t="str">
        <f>IFERROR(VLOOKUP($C2509,Observaciones!$A:$B,2,FALSE)," ")</f>
        <v xml:space="preserve"> </v>
      </c>
      <c r="M2509" t="s">
        <v>681</v>
      </c>
      <c r="P2509" s="5">
        <v>1899795</v>
      </c>
      <c r="Q2509" s="5">
        <v>360963</v>
      </c>
      <c r="R2509" s="5">
        <v>2260758</v>
      </c>
    </row>
    <row r="2510" spans="1:18" x14ac:dyDescent="0.25">
      <c r="A2510" t="s">
        <v>501</v>
      </c>
      <c r="B2510" t="s">
        <v>494</v>
      </c>
      <c r="C2510">
        <v>78977700</v>
      </c>
      <c r="D2510">
        <v>6</v>
      </c>
      <c r="E2510">
        <v>69748</v>
      </c>
      <c r="F2510" t="s">
        <v>1320</v>
      </c>
      <c r="G2510" s="1">
        <v>45234</v>
      </c>
      <c r="H2510">
        <v>5412656</v>
      </c>
      <c r="I2510">
        <v>129</v>
      </c>
      <c r="J2510" t="s">
        <v>414</v>
      </c>
      <c r="K2510" t="str">
        <f>IFERROR(IF(AND(VLOOKUP($C2510,Hes!$A:$B, 1, FALSE), $M2510&lt;&gt;" "), "Ingresada", "Falta Ingresar"), " ")</f>
        <v xml:space="preserve"> </v>
      </c>
      <c r="L2510" s="4" t="str">
        <f>IFERROR(VLOOKUP($C2510,Observaciones!$A:$B,2,FALSE)," ")</f>
        <v>AVECES ENVIA ORDEN, PREGUNTAR</v>
      </c>
      <c r="M2510" t="s">
        <v>681</v>
      </c>
      <c r="O2510" s="5">
        <v>30852217</v>
      </c>
      <c r="P2510" s="5">
        <v>48024</v>
      </c>
      <c r="Q2510" s="5">
        <v>9125</v>
      </c>
      <c r="R2510" s="5">
        <v>57149</v>
      </c>
    </row>
    <row r="2511" spans="1:18" x14ac:dyDescent="0.25">
      <c r="A2511" t="s">
        <v>501</v>
      </c>
      <c r="B2511" t="s">
        <v>494</v>
      </c>
      <c r="C2511">
        <v>78977700</v>
      </c>
      <c r="D2511">
        <v>2321</v>
      </c>
      <c r="E2511">
        <v>30860251</v>
      </c>
      <c r="F2511" t="s">
        <v>1320</v>
      </c>
      <c r="G2511" s="1">
        <v>45237</v>
      </c>
      <c r="H2511">
        <v>5414799</v>
      </c>
      <c r="I2511">
        <v>129</v>
      </c>
      <c r="J2511" t="s">
        <v>414</v>
      </c>
      <c r="K2511" t="str">
        <f>IFERROR(IF(AND(VLOOKUP($C2511,Hes!$A:$B, 1, FALSE), $M2511&lt;&gt;" "), "Ingresada", "Falta Ingresar"), " ")</f>
        <v xml:space="preserve"> </v>
      </c>
      <c r="L2511" s="4" t="str">
        <f>IFERROR(VLOOKUP($C2511,Observaciones!$A:$B,2,FALSE)," ")</f>
        <v>AVECES ENVIA ORDEN, PREGUNTAR</v>
      </c>
      <c r="M2511" t="s">
        <v>681</v>
      </c>
      <c r="O2511" s="5">
        <v>30860251</v>
      </c>
      <c r="P2511" s="5">
        <v>79509</v>
      </c>
      <c r="Q2511" s="5">
        <v>15107</v>
      </c>
      <c r="R2511" s="5">
        <v>94616</v>
      </c>
    </row>
    <row r="2512" spans="1:18" x14ac:dyDescent="0.25">
      <c r="F2512" t="s">
        <v>497</v>
      </c>
      <c r="K2512" t="str">
        <f>IFERROR(IF(AND(VLOOKUP($C2512,Hes!$A:$B, 1, FALSE), $M2512&lt;&gt;" "), "Ingresada", "Falta Ingresar"), " ")</f>
        <v xml:space="preserve"> </v>
      </c>
      <c r="L2512" s="4" t="str">
        <f>IFERROR(VLOOKUP($C2512,Observaciones!$A:$B,2,FALSE)," ")</f>
        <v xml:space="preserve"> </v>
      </c>
      <c r="M2512" t="s">
        <v>681</v>
      </c>
      <c r="P2512" s="5">
        <v>127533</v>
      </c>
      <c r="Q2512" s="5">
        <v>24232</v>
      </c>
      <c r="R2512" s="5">
        <v>151765</v>
      </c>
    </row>
    <row r="2513" spans="1:18" x14ac:dyDescent="0.25">
      <c r="A2513" t="s">
        <v>496</v>
      </c>
      <c r="B2513" t="s">
        <v>509</v>
      </c>
      <c r="C2513">
        <v>79509640</v>
      </c>
      <c r="D2513">
        <v>26</v>
      </c>
      <c r="E2513">
        <v>4550163295</v>
      </c>
      <c r="F2513" t="s">
        <v>1321</v>
      </c>
      <c r="G2513" s="1">
        <v>45233</v>
      </c>
      <c r="H2513">
        <v>5411561</v>
      </c>
      <c r="I2513">
        <v>32</v>
      </c>
      <c r="J2513" t="s">
        <v>338</v>
      </c>
      <c r="K2513" t="str">
        <f>IFERROR(IF(AND(VLOOKUP($C2513,Hes!$A:$B, 1, FALSE), $M2513&lt;&gt;" "), "Ingresada", "Falta Ingresar"), " ")</f>
        <v xml:space="preserve"> </v>
      </c>
      <c r="L2513" s="4" t="s">
        <v>681</v>
      </c>
      <c r="M2513" t="s">
        <v>681</v>
      </c>
      <c r="O2513" s="5">
        <v>30841118</v>
      </c>
      <c r="P2513" s="5">
        <v>1010333</v>
      </c>
      <c r="Q2513" s="5">
        <v>191963</v>
      </c>
      <c r="R2513" s="5">
        <v>1202296</v>
      </c>
    </row>
    <row r="2514" spans="1:18" x14ac:dyDescent="0.25">
      <c r="A2514" t="s">
        <v>496</v>
      </c>
      <c r="B2514" t="s">
        <v>509</v>
      </c>
      <c r="C2514">
        <v>79509640</v>
      </c>
      <c r="D2514">
        <v>31</v>
      </c>
      <c r="E2514">
        <v>4550163419</v>
      </c>
      <c r="F2514" t="s">
        <v>1321</v>
      </c>
      <c r="G2514" s="1">
        <v>45236</v>
      </c>
      <c r="H2514">
        <v>5412894</v>
      </c>
      <c r="I2514">
        <v>32</v>
      </c>
      <c r="J2514" t="s">
        <v>338</v>
      </c>
      <c r="K2514" t="str">
        <f>IFERROR(IF(AND(VLOOKUP($C2514,Hes!$A:$B, 1, FALSE), $M2514&lt;&gt;" "), "Ingresada", "Falta Ingresar"), " ")</f>
        <v xml:space="preserve"> </v>
      </c>
      <c r="L2514" s="4" t="s">
        <v>681</v>
      </c>
      <c r="M2514" t="s">
        <v>681</v>
      </c>
      <c r="O2514" s="5">
        <v>30839502</v>
      </c>
      <c r="P2514" s="5">
        <v>70369</v>
      </c>
      <c r="Q2514" s="5">
        <v>13370</v>
      </c>
      <c r="R2514" s="5">
        <v>83739</v>
      </c>
    </row>
    <row r="2515" spans="1:18" x14ac:dyDescent="0.25">
      <c r="A2515" t="s">
        <v>496</v>
      </c>
      <c r="B2515" t="s">
        <v>509</v>
      </c>
      <c r="C2515">
        <v>79509640</v>
      </c>
      <c r="D2515">
        <v>26</v>
      </c>
      <c r="E2515">
        <v>4550163466</v>
      </c>
      <c r="F2515" t="s">
        <v>1321</v>
      </c>
      <c r="G2515" s="1">
        <v>45236</v>
      </c>
      <c r="H2515">
        <v>5413227</v>
      </c>
      <c r="I2515">
        <v>32</v>
      </c>
      <c r="J2515" t="s">
        <v>338</v>
      </c>
      <c r="K2515" t="str">
        <f>IFERROR(IF(AND(VLOOKUP($C2515,Hes!$A:$B, 1, FALSE), $M2515&lt;&gt;" "), "Ingresada", "Falta Ingresar"), " ")</f>
        <v xml:space="preserve"> </v>
      </c>
      <c r="L2515" s="4" t="s">
        <v>681</v>
      </c>
      <c r="M2515" t="s">
        <v>681</v>
      </c>
      <c r="O2515" s="5">
        <v>30855739</v>
      </c>
      <c r="P2515" s="5">
        <v>111580</v>
      </c>
      <c r="Q2515" s="5">
        <v>21200</v>
      </c>
      <c r="R2515" s="5">
        <v>132780</v>
      </c>
    </row>
    <row r="2516" spans="1:18" x14ac:dyDescent="0.25">
      <c r="A2516" t="s">
        <v>496</v>
      </c>
      <c r="B2516" t="s">
        <v>509</v>
      </c>
      <c r="C2516">
        <v>79509640</v>
      </c>
      <c r="D2516">
        <v>10</v>
      </c>
      <c r="E2516">
        <v>4550163509</v>
      </c>
      <c r="F2516" t="s">
        <v>1321</v>
      </c>
      <c r="G2516" s="1">
        <v>45237</v>
      </c>
      <c r="H2516">
        <v>5414041</v>
      </c>
      <c r="I2516">
        <v>32</v>
      </c>
      <c r="J2516" t="s">
        <v>338</v>
      </c>
      <c r="K2516" t="str">
        <f>IFERROR(IF(AND(VLOOKUP($C2516,Hes!$A:$B, 1, FALSE), $M2516&lt;&gt;" "), "Ingresada", "Falta Ingresar"), " ")</f>
        <v xml:space="preserve"> </v>
      </c>
      <c r="L2516" s="4" t="s">
        <v>681</v>
      </c>
      <c r="M2516" t="s">
        <v>681</v>
      </c>
      <c r="O2516" s="5">
        <v>30856455</v>
      </c>
      <c r="P2516" s="5">
        <v>378950</v>
      </c>
      <c r="Q2516" s="5">
        <v>72001</v>
      </c>
      <c r="R2516" s="5">
        <v>450951</v>
      </c>
    </row>
    <row r="2517" spans="1:18" x14ac:dyDescent="0.25">
      <c r="A2517" t="s">
        <v>496</v>
      </c>
      <c r="B2517" t="s">
        <v>509</v>
      </c>
      <c r="C2517">
        <v>79509640</v>
      </c>
      <c r="D2517">
        <v>10</v>
      </c>
      <c r="E2517">
        <v>4550163522</v>
      </c>
      <c r="F2517" t="s">
        <v>1321</v>
      </c>
      <c r="G2517" s="1">
        <v>45237</v>
      </c>
      <c r="H2517">
        <v>5414273</v>
      </c>
      <c r="I2517">
        <v>32</v>
      </c>
      <c r="J2517" t="s">
        <v>338</v>
      </c>
      <c r="K2517" t="str">
        <f>IFERROR(IF(AND(VLOOKUP($C2517,Hes!$A:$B, 1, FALSE), $M2517&lt;&gt;" "), "Ingresada", "Falta Ingresar"), " ")</f>
        <v xml:space="preserve"> </v>
      </c>
      <c r="L2517" s="4" t="s">
        <v>681</v>
      </c>
      <c r="M2517" t="s">
        <v>681</v>
      </c>
      <c r="O2517" s="5">
        <v>30851720</v>
      </c>
      <c r="P2517" s="5">
        <v>158216</v>
      </c>
      <c r="Q2517" s="5">
        <v>30061</v>
      </c>
      <c r="R2517" s="5">
        <v>188277</v>
      </c>
    </row>
    <row r="2518" spans="1:18" x14ac:dyDescent="0.25">
      <c r="A2518" t="s">
        <v>496</v>
      </c>
      <c r="B2518" t="s">
        <v>509</v>
      </c>
      <c r="C2518">
        <v>79509640</v>
      </c>
      <c r="D2518">
        <v>50</v>
      </c>
      <c r="E2518">
        <v>4550163528</v>
      </c>
      <c r="F2518" t="s">
        <v>1321</v>
      </c>
      <c r="G2518" s="1">
        <v>45237</v>
      </c>
      <c r="H2518">
        <v>5414512</v>
      </c>
      <c r="I2518">
        <v>32</v>
      </c>
      <c r="J2518" t="s">
        <v>338</v>
      </c>
      <c r="K2518" t="str">
        <f>IFERROR(IF(AND(VLOOKUP($C2518,Hes!$A:$B, 1, FALSE), $M2518&lt;&gt;" "), "Ingresada", "Falta Ingresar"), " ")</f>
        <v xml:space="preserve"> </v>
      </c>
      <c r="L2518" s="4" t="s">
        <v>681</v>
      </c>
      <c r="M2518" t="s">
        <v>681</v>
      </c>
      <c r="O2518" s="5">
        <v>30851574</v>
      </c>
      <c r="P2518" s="5">
        <v>152876</v>
      </c>
      <c r="Q2518" s="5">
        <v>29046</v>
      </c>
      <c r="R2518" s="5">
        <v>181922</v>
      </c>
    </row>
    <row r="2519" spans="1:18" x14ac:dyDescent="0.25">
      <c r="A2519" t="s">
        <v>496</v>
      </c>
      <c r="B2519" t="s">
        <v>509</v>
      </c>
      <c r="C2519">
        <v>79509640</v>
      </c>
      <c r="D2519">
        <v>46</v>
      </c>
      <c r="E2519">
        <v>4550163560</v>
      </c>
      <c r="F2519" t="s">
        <v>1321</v>
      </c>
      <c r="G2519" s="1">
        <v>45238</v>
      </c>
      <c r="H2519">
        <v>5415385</v>
      </c>
      <c r="I2519">
        <v>32</v>
      </c>
      <c r="J2519" t="s">
        <v>338</v>
      </c>
      <c r="K2519" t="str">
        <f>IFERROR(IF(AND(VLOOKUP($C2519,Hes!$A:$B, 1, FALSE), $M2519&lt;&gt;" "), "Ingresada", "Falta Ingresar"), " ")</f>
        <v xml:space="preserve"> </v>
      </c>
      <c r="L2519" s="4" t="s">
        <v>681</v>
      </c>
      <c r="M2519" t="s">
        <v>681</v>
      </c>
      <c r="O2519" s="5">
        <v>30853748</v>
      </c>
      <c r="P2519" s="5">
        <v>441118</v>
      </c>
      <c r="Q2519" s="5">
        <v>83812</v>
      </c>
      <c r="R2519" s="5">
        <v>524930</v>
      </c>
    </row>
    <row r="2520" spans="1:18" x14ac:dyDescent="0.25">
      <c r="A2520" t="s">
        <v>496</v>
      </c>
      <c r="B2520" t="s">
        <v>509</v>
      </c>
      <c r="C2520">
        <v>79509640</v>
      </c>
      <c r="D2520">
        <v>46</v>
      </c>
      <c r="E2520">
        <v>4550163560</v>
      </c>
      <c r="F2520" t="s">
        <v>1321</v>
      </c>
      <c r="G2520" s="1">
        <v>45238</v>
      </c>
      <c r="H2520">
        <v>5415386</v>
      </c>
      <c r="I2520">
        <v>32</v>
      </c>
      <c r="J2520" t="s">
        <v>338</v>
      </c>
      <c r="K2520" t="str">
        <f>IFERROR(IF(AND(VLOOKUP($C2520,Hes!$A:$B, 1, FALSE), $M2520&lt;&gt;" "), "Ingresada", "Falta Ingresar"), " ")</f>
        <v xml:space="preserve"> </v>
      </c>
      <c r="L2520" s="4" t="s">
        <v>681</v>
      </c>
      <c r="M2520" t="s">
        <v>681</v>
      </c>
      <c r="O2520" s="5">
        <v>30853748</v>
      </c>
      <c r="P2520" s="5">
        <v>78960</v>
      </c>
      <c r="Q2520" s="5">
        <v>15002</v>
      </c>
      <c r="R2520" s="5">
        <v>93962</v>
      </c>
    </row>
    <row r="2521" spans="1:18" x14ac:dyDescent="0.25">
      <c r="A2521" t="s">
        <v>496</v>
      </c>
      <c r="B2521" t="s">
        <v>509</v>
      </c>
      <c r="C2521">
        <v>79509640</v>
      </c>
      <c r="D2521">
        <v>32</v>
      </c>
      <c r="E2521">
        <v>4550163557</v>
      </c>
      <c r="F2521" t="s">
        <v>1321</v>
      </c>
      <c r="G2521" s="1">
        <v>45238</v>
      </c>
      <c r="H2521">
        <v>5415724</v>
      </c>
      <c r="I2521">
        <v>32</v>
      </c>
      <c r="J2521" t="s">
        <v>338</v>
      </c>
      <c r="K2521" t="str">
        <f>IFERROR(IF(AND(VLOOKUP($C2521,Hes!$A:$B, 1, FALSE), $M2521&lt;&gt;" "), "Ingresada", "Falta Ingresar"), " ")</f>
        <v xml:space="preserve"> </v>
      </c>
      <c r="L2521" s="4" t="s">
        <v>681</v>
      </c>
      <c r="M2521" t="s">
        <v>681</v>
      </c>
      <c r="O2521" s="5">
        <v>30853526</v>
      </c>
      <c r="P2521" s="5">
        <v>230470</v>
      </c>
      <c r="Q2521" s="5">
        <v>43789</v>
      </c>
      <c r="R2521" s="5">
        <v>274259</v>
      </c>
    </row>
    <row r="2522" spans="1:18" x14ac:dyDescent="0.25">
      <c r="F2522" t="s">
        <v>514</v>
      </c>
      <c r="K2522" t="str">
        <f>IFERROR(IF(AND(VLOOKUP($C2522,Hes!$A:$B, 1, FALSE), $M2522&lt;&gt;" "), "Ingresada", "Falta Ingresar"), " ")</f>
        <v xml:space="preserve"> </v>
      </c>
      <c r="L2522" s="4" t="str">
        <f>IFERROR(VLOOKUP($C2522,Observaciones!$A:$B,2,FALSE)," ")</f>
        <v xml:space="preserve"> </v>
      </c>
      <c r="M2522" t="s">
        <v>681</v>
      </c>
      <c r="P2522" s="5">
        <v>2632872</v>
      </c>
      <c r="Q2522" s="5">
        <v>500244</v>
      </c>
      <c r="R2522" s="5">
        <v>3133116</v>
      </c>
    </row>
    <row r="2523" spans="1:18" x14ac:dyDescent="0.25">
      <c r="A2523" t="s">
        <v>513</v>
      </c>
      <c r="B2523" t="s">
        <v>502</v>
      </c>
      <c r="C2523">
        <v>79510320</v>
      </c>
      <c r="D2523">
        <v>2</v>
      </c>
      <c r="E2523">
        <v>30860739</v>
      </c>
      <c r="F2523" t="s">
        <v>1322</v>
      </c>
      <c r="G2523" s="1">
        <v>45238</v>
      </c>
      <c r="H2523">
        <v>5414615</v>
      </c>
      <c r="I2523">
        <v>52</v>
      </c>
      <c r="J2523" t="s">
        <v>311</v>
      </c>
      <c r="K2523" t="str">
        <f>IFERROR(IF(AND(VLOOKUP($C2523,Hes!$A:$B, 1, FALSE), $M2523&lt;&gt;" "), "Ingresada", "Falta Ingresar"), " ")</f>
        <v xml:space="preserve"> </v>
      </c>
      <c r="L2523" s="4" t="s">
        <v>681</v>
      </c>
      <c r="M2523" t="s">
        <v>681</v>
      </c>
      <c r="O2523" s="5">
        <v>30860739</v>
      </c>
      <c r="P2523" s="5">
        <v>328294</v>
      </c>
      <c r="Q2523" s="5">
        <v>62376</v>
      </c>
      <c r="R2523" s="5">
        <v>390670</v>
      </c>
    </row>
    <row r="2524" spans="1:18" x14ac:dyDescent="0.25">
      <c r="A2524" t="s">
        <v>513</v>
      </c>
      <c r="B2524" t="s">
        <v>502</v>
      </c>
      <c r="C2524">
        <v>79510320</v>
      </c>
      <c r="D2524">
        <v>1</v>
      </c>
      <c r="E2524">
        <v>30860267</v>
      </c>
      <c r="F2524" t="s">
        <v>1322</v>
      </c>
      <c r="G2524" s="1">
        <v>45238</v>
      </c>
      <c r="H2524">
        <v>5414621</v>
      </c>
      <c r="I2524">
        <v>52</v>
      </c>
      <c r="J2524" t="s">
        <v>311</v>
      </c>
      <c r="K2524" t="str">
        <f>IFERROR(IF(AND(VLOOKUP($C2524,Hes!$A:$B, 1, FALSE), $M2524&lt;&gt;" "), "Ingresada", "Falta Ingresar"), " ")</f>
        <v xml:space="preserve"> </v>
      </c>
      <c r="L2524" s="4" t="s">
        <v>681</v>
      </c>
      <c r="M2524" t="s">
        <v>681</v>
      </c>
      <c r="O2524" s="5">
        <v>30860267</v>
      </c>
      <c r="P2524" s="5">
        <v>24925</v>
      </c>
      <c r="Q2524" s="5">
        <v>4736</v>
      </c>
      <c r="R2524" s="5">
        <v>29661</v>
      </c>
    </row>
    <row r="2525" spans="1:18" x14ac:dyDescent="0.25">
      <c r="A2525" t="s">
        <v>513</v>
      </c>
      <c r="B2525" t="s">
        <v>502</v>
      </c>
      <c r="C2525">
        <v>79510320</v>
      </c>
      <c r="D2525">
        <v>2</v>
      </c>
      <c r="E2525">
        <v>30860733</v>
      </c>
      <c r="F2525" t="s">
        <v>1322</v>
      </c>
      <c r="G2525" s="1">
        <v>45238</v>
      </c>
      <c r="H2525">
        <v>5414628</v>
      </c>
      <c r="I2525">
        <v>52</v>
      </c>
      <c r="J2525" t="s">
        <v>311</v>
      </c>
      <c r="K2525" t="str">
        <f>IFERROR(IF(AND(VLOOKUP($C2525,Hes!$A:$B, 1, FALSE), $M2525&lt;&gt;" "), "Ingresada", "Falta Ingresar"), " ")</f>
        <v xml:space="preserve"> </v>
      </c>
      <c r="L2525" s="4" t="s">
        <v>681</v>
      </c>
      <c r="M2525" t="s">
        <v>681</v>
      </c>
      <c r="O2525" s="5">
        <v>30860733</v>
      </c>
      <c r="P2525" s="5">
        <v>625538</v>
      </c>
      <c r="Q2525" s="5">
        <v>118852</v>
      </c>
      <c r="R2525" s="5">
        <v>744390</v>
      </c>
    </row>
    <row r="2526" spans="1:18" x14ac:dyDescent="0.25">
      <c r="A2526" t="s">
        <v>513</v>
      </c>
      <c r="B2526" t="s">
        <v>502</v>
      </c>
      <c r="C2526">
        <v>79510320</v>
      </c>
      <c r="D2526">
        <v>3</v>
      </c>
      <c r="E2526">
        <v>30860074</v>
      </c>
      <c r="F2526" t="s">
        <v>1322</v>
      </c>
      <c r="G2526" s="1">
        <v>45238</v>
      </c>
      <c r="H2526">
        <v>5414643</v>
      </c>
      <c r="I2526">
        <v>52</v>
      </c>
      <c r="J2526" t="s">
        <v>311</v>
      </c>
      <c r="K2526" t="str">
        <f>IFERROR(IF(AND(VLOOKUP($C2526,Hes!$A:$B, 1, FALSE), $M2526&lt;&gt;" "), "Ingresada", "Falta Ingresar"), " ")</f>
        <v xml:space="preserve"> </v>
      </c>
      <c r="L2526" s="4" t="s">
        <v>681</v>
      </c>
      <c r="M2526" t="s">
        <v>681</v>
      </c>
      <c r="O2526" s="5">
        <v>30860074</v>
      </c>
      <c r="P2526" s="5">
        <v>208591</v>
      </c>
      <c r="Q2526" s="5">
        <v>39632</v>
      </c>
      <c r="R2526" s="5">
        <v>248223</v>
      </c>
    </row>
    <row r="2527" spans="1:18" x14ac:dyDescent="0.25">
      <c r="A2527" t="s">
        <v>513</v>
      </c>
      <c r="B2527" t="s">
        <v>502</v>
      </c>
      <c r="C2527">
        <v>79510320</v>
      </c>
      <c r="D2527">
        <v>2</v>
      </c>
      <c r="E2527">
        <v>30860742</v>
      </c>
      <c r="F2527" t="s">
        <v>1322</v>
      </c>
      <c r="G2527" s="1">
        <v>45238</v>
      </c>
      <c r="H2527">
        <v>5414662</v>
      </c>
      <c r="I2527">
        <v>52</v>
      </c>
      <c r="J2527" t="s">
        <v>311</v>
      </c>
      <c r="K2527" t="str">
        <f>IFERROR(IF(AND(VLOOKUP($C2527,Hes!$A:$B, 1, FALSE), $M2527&lt;&gt;" "), "Ingresada", "Falta Ingresar"), " ")</f>
        <v xml:space="preserve"> </v>
      </c>
      <c r="L2527" s="4" t="s">
        <v>681</v>
      </c>
      <c r="M2527" t="s">
        <v>681</v>
      </c>
      <c r="O2527" s="5">
        <v>30860742</v>
      </c>
      <c r="P2527" s="5">
        <v>57845</v>
      </c>
      <c r="Q2527" s="5">
        <v>10991</v>
      </c>
      <c r="R2527" s="5">
        <v>68836</v>
      </c>
    </row>
    <row r="2528" spans="1:18" x14ac:dyDescent="0.25">
      <c r="A2528" t="s">
        <v>513</v>
      </c>
      <c r="B2528" t="s">
        <v>502</v>
      </c>
      <c r="C2528">
        <v>79510320</v>
      </c>
      <c r="D2528">
        <v>5</v>
      </c>
      <c r="E2528">
        <v>30860414</v>
      </c>
      <c r="F2528" t="s">
        <v>1322</v>
      </c>
      <c r="G2528" s="1">
        <v>45238</v>
      </c>
      <c r="H2528">
        <v>5414713</v>
      </c>
      <c r="I2528">
        <v>52</v>
      </c>
      <c r="J2528" t="s">
        <v>311</v>
      </c>
      <c r="K2528" t="str">
        <f>IFERROR(IF(AND(VLOOKUP($C2528,Hes!$A:$B, 1, FALSE), $M2528&lt;&gt;" "), "Ingresada", "Falta Ingresar"), " ")</f>
        <v xml:space="preserve"> </v>
      </c>
      <c r="L2528" s="4" t="s">
        <v>681</v>
      </c>
      <c r="M2528" t="s">
        <v>681</v>
      </c>
      <c r="O2528" s="5">
        <v>30860414</v>
      </c>
      <c r="P2528" s="5">
        <v>128623</v>
      </c>
      <c r="Q2528" s="5">
        <v>24438</v>
      </c>
      <c r="R2528" s="5">
        <v>153061</v>
      </c>
    </row>
    <row r="2529" spans="1:18" x14ac:dyDescent="0.25">
      <c r="A2529" t="s">
        <v>513</v>
      </c>
      <c r="B2529" t="s">
        <v>502</v>
      </c>
      <c r="C2529">
        <v>79510320</v>
      </c>
      <c r="D2529">
        <v>3</v>
      </c>
      <c r="E2529">
        <v>30860069</v>
      </c>
      <c r="F2529" t="s">
        <v>1322</v>
      </c>
      <c r="G2529" s="1">
        <v>45238</v>
      </c>
      <c r="H2529">
        <v>5414721</v>
      </c>
      <c r="I2529">
        <v>52</v>
      </c>
      <c r="J2529" t="s">
        <v>311</v>
      </c>
      <c r="K2529" t="str">
        <f>IFERROR(IF(AND(VLOOKUP($C2529,Hes!$A:$B, 1, FALSE), $M2529&lt;&gt;" "), "Ingresada", "Falta Ingresar"), " ")</f>
        <v xml:space="preserve"> </v>
      </c>
      <c r="L2529" s="4" t="s">
        <v>681</v>
      </c>
      <c r="M2529" t="s">
        <v>681</v>
      </c>
      <c r="O2529" s="5">
        <v>30860069</v>
      </c>
      <c r="P2529" s="5">
        <v>201639</v>
      </c>
      <c r="Q2529" s="5">
        <v>38311</v>
      </c>
      <c r="R2529" s="5">
        <v>239950</v>
      </c>
    </row>
    <row r="2530" spans="1:18" x14ac:dyDescent="0.25">
      <c r="A2530" t="s">
        <v>513</v>
      </c>
      <c r="B2530" t="s">
        <v>502</v>
      </c>
      <c r="C2530">
        <v>79510320</v>
      </c>
      <c r="D2530">
        <v>3</v>
      </c>
      <c r="E2530">
        <v>30860064</v>
      </c>
      <c r="F2530" t="s">
        <v>1322</v>
      </c>
      <c r="G2530" s="1">
        <v>45238</v>
      </c>
      <c r="H2530">
        <v>5414754</v>
      </c>
      <c r="I2530">
        <v>52</v>
      </c>
      <c r="J2530" t="s">
        <v>311</v>
      </c>
      <c r="K2530" t="str">
        <f>IFERROR(IF(AND(VLOOKUP($C2530,Hes!$A:$B, 1, FALSE), $M2530&lt;&gt;" "), "Ingresada", "Falta Ingresar"), " ")</f>
        <v xml:space="preserve"> </v>
      </c>
      <c r="L2530" s="4" t="s">
        <v>681</v>
      </c>
      <c r="M2530" t="s">
        <v>681</v>
      </c>
      <c r="O2530" s="5">
        <v>30860064</v>
      </c>
      <c r="P2530" s="5">
        <v>285836</v>
      </c>
      <c r="Q2530" s="5">
        <v>54309</v>
      </c>
      <c r="R2530" s="5">
        <v>340145</v>
      </c>
    </row>
    <row r="2531" spans="1:18" x14ac:dyDescent="0.25">
      <c r="A2531" t="s">
        <v>513</v>
      </c>
      <c r="B2531" t="s">
        <v>502</v>
      </c>
      <c r="C2531">
        <v>79510320</v>
      </c>
      <c r="D2531">
        <v>5</v>
      </c>
      <c r="E2531">
        <v>30860409</v>
      </c>
      <c r="F2531" t="s">
        <v>1322</v>
      </c>
      <c r="G2531" s="1">
        <v>45238</v>
      </c>
      <c r="H2531">
        <v>5415161</v>
      </c>
      <c r="I2531">
        <v>52</v>
      </c>
      <c r="J2531" t="s">
        <v>311</v>
      </c>
      <c r="K2531" t="str">
        <f>IFERROR(IF(AND(VLOOKUP($C2531,Hes!$A:$B, 1, FALSE), $M2531&lt;&gt;" "), "Ingresada", "Falta Ingresar"), " ")</f>
        <v xml:space="preserve"> </v>
      </c>
      <c r="L2531" s="4" t="s">
        <v>681</v>
      </c>
      <c r="M2531" t="s">
        <v>681</v>
      </c>
      <c r="O2531" s="5">
        <v>30860409</v>
      </c>
      <c r="P2531" s="5">
        <v>49773</v>
      </c>
      <c r="Q2531" s="5">
        <v>9457</v>
      </c>
      <c r="R2531" s="5">
        <v>59230</v>
      </c>
    </row>
    <row r="2532" spans="1:18" x14ac:dyDescent="0.25">
      <c r="F2532" t="s">
        <v>514</v>
      </c>
      <c r="K2532" t="str">
        <f>IFERROR(IF(AND(VLOOKUP($C2532,Hes!$A:$B, 1, FALSE), $M2532&lt;&gt;" "), "Ingresada", "Falta Ingresar"), " ")</f>
        <v xml:space="preserve"> </v>
      </c>
      <c r="L2532" s="4" t="str">
        <f>IFERROR(VLOOKUP($C2532,Observaciones!$A:$B,2,FALSE)," ")</f>
        <v xml:space="preserve"> </v>
      </c>
      <c r="M2532" t="s">
        <v>681</v>
      </c>
      <c r="P2532" s="5">
        <v>1911064</v>
      </c>
      <c r="Q2532" s="5">
        <v>363102</v>
      </c>
      <c r="R2532" s="5">
        <v>2274166</v>
      </c>
    </row>
    <row r="2533" spans="1:18" x14ac:dyDescent="0.25">
      <c r="A2533" t="s">
        <v>1323</v>
      </c>
      <c r="B2533" t="s">
        <v>494</v>
      </c>
      <c r="C2533">
        <v>79531550</v>
      </c>
      <c r="D2533">
        <v>165</v>
      </c>
      <c r="E2533">
        <v>30850716</v>
      </c>
      <c r="F2533" t="s">
        <v>1324</v>
      </c>
      <c r="G2533" s="1">
        <v>45233</v>
      </c>
      <c r="H2533">
        <v>5411728</v>
      </c>
      <c r="I2533">
        <v>115</v>
      </c>
      <c r="J2533" t="s">
        <v>109</v>
      </c>
      <c r="K2533" t="str">
        <f>IFERROR(IF(AND(VLOOKUP($C2533,Hes!$A:$B, 1, FALSE), $M2533&lt;&gt;" "), "Ingresada", "Falta Ingresar"), " ")</f>
        <v xml:space="preserve"> </v>
      </c>
      <c r="L2533" s="4" t="str">
        <f>IFERROR(VLOOKUP($C2533,Observaciones!$A:$B,2,FALSE)," ")</f>
        <v>XRUT</v>
      </c>
      <c r="M2533" t="s">
        <v>681</v>
      </c>
      <c r="O2533" s="5">
        <v>30850716</v>
      </c>
      <c r="P2533" s="5">
        <v>35490</v>
      </c>
      <c r="Q2533" s="5">
        <v>6743</v>
      </c>
      <c r="R2533" s="5">
        <v>42233</v>
      </c>
    </row>
    <row r="2534" spans="1:18" x14ac:dyDescent="0.25">
      <c r="A2534" t="s">
        <v>1323</v>
      </c>
      <c r="B2534" t="s">
        <v>494</v>
      </c>
      <c r="C2534">
        <v>79531550</v>
      </c>
      <c r="D2534">
        <v>348</v>
      </c>
      <c r="E2534">
        <v>30850678</v>
      </c>
      <c r="F2534" t="s">
        <v>1324</v>
      </c>
      <c r="G2534" s="1">
        <v>45233</v>
      </c>
      <c r="H2534">
        <v>5411729</v>
      </c>
      <c r="I2534">
        <v>115</v>
      </c>
      <c r="J2534" t="s">
        <v>109</v>
      </c>
      <c r="K2534" t="str">
        <f>IFERROR(IF(AND(VLOOKUP($C2534,Hes!$A:$B, 1, FALSE), $M2534&lt;&gt;" "), "Ingresada", "Falta Ingresar"), " ")</f>
        <v xml:space="preserve"> </v>
      </c>
      <c r="L2534" s="4" t="str">
        <f>IFERROR(VLOOKUP($C2534,Observaciones!$A:$B,2,FALSE)," ")</f>
        <v>XRUT</v>
      </c>
      <c r="M2534" t="s">
        <v>681</v>
      </c>
      <c r="O2534" s="5">
        <v>30850678</v>
      </c>
      <c r="P2534" s="5">
        <v>17551</v>
      </c>
      <c r="Q2534" s="5">
        <v>3335</v>
      </c>
      <c r="R2534" s="5">
        <v>20886</v>
      </c>
    </row>
    <row r="2535" spans="1:18" x14ac:dyDescent="0.25">
      <c r="A2535" t="s">
        <v>1323</v>
      </c>
      <c r="B2535" t="s">
        <v>494</v>
      </c>
      <c r="C2535">
        <v>79531550</v>
      </c>
      <c r="D2535">
        <v>348</v>
      </c>
      <c r="E2535">
        <v>30849854</v>
      </c>
      <c r="F2535" t="s">
        <v>1324</v>
      </c>
      <c r="G2535" s="1">
        <v>45236</v>
      </c>
      <c r="H2535">
        <v>5412235</v>
      </c>
      <c r="I2535">
        <v>115</v>
      </c>
      <c r="J2535" t="s">
        <v>109</v>
      </c>
      <c r="K2535" t="str">
        <f>IFERROR(IF(AND(VLOOKUP($C2535,Hes!$A:$B, 1, FALSE), $M2535&lt;&gt;" "), "Ingresada", "Falta Ingresar"), " ")</f>
        <v xml:space="preserve"> </v>
      </c>
      <c r="L2535" s="4" t="str">
        <f>IFERROR(VLOOKUP($C2535,Observaciones!$A:$B,2,FALSE)," ")</f>
        <v>XRUT</v>
      </c>
      <c r="M2535" t="s">
        <v>681</v>
      </c>
      <c r="O2535" s="5">
        <v>30849854</v>
      </c>
      <c r="P2535" s="5">
        <v>7156</v>
      </c>
      <c r="Q2535" s="5">
        <v>1360</v>
      </c>
      <c r="R2535" s="5">
        <v>8516</v>
      </c>
    </row>
    <row r="2536" spans="1:18" x14ac:dyDescent="0.25">
      <c r="A2536" t="s">
        <v>1323</v>
      </c>
      <c r="B2536" t="s">
        <v>494</v>
      </c>
      <c r="C2536">
        <v>79531550</v>
      </c>
      <c r="D2536">
        <v>229</v>
      </c>
      <c r="E2536">
        <v>30853371</v>
      </c>
      <c r="F2536" t="s">
        <v>1324</v>
      </c>
      <c r="G2536" s="1">
        <v>45236</v>
      </c>
      <c r="H2536">
        <v>5412256</v>
      </c>
      <c r="I2536">
        <v>115</v>
      </c>
      <c r="J2536" t="s">
        <v>109</v>
      </c>
      <c r="K2536" t="str">
        <f>IFERROR(IF(AND(VLOOKUP($C2536,Hes!$A:$B, 1, FALSE), $M2536&lt;&gt;" "), "Ingresada", "Falta Ingresar"), " ")</f>
        <v xml:space="preserve"> </v>
      </c>
      <c r="L2536" s="4" t="str">
        <f>IFERROR(VLOOKUP($C2536,Observaciones!$A:$B,2,FALSE)," ")</f>
        <v>XRUT</v>
      </c>
      <c r="M2536" t="s">
        <v>681</v>
      </c>
      <c r="O2536" s="5">
        <v>30853371</v>
      </c>
      <c r="P2536" s="5">
        <v>23175</v>
      </c>
      <c r="Q2536" s="5">
        <v>4403</v>
      </c>
      <c r="R2536" s="5">
        <v>27578</v>
      </c>
    </row>
    <row r="2537" spans="1:18" x14ac:dyDescent="0.25">
      <c r="A2537" t="s">
        <v>1323</v>
      </c>
      <c r="B2537" t="s">
        <v>494</v>
      </c>
      <c r="C2537">
        <v>79531550</v>
      </c>
      <c r="D2537">
        <v>36</v>
      </c>
      <c r="E2537">
        <v>30853452</v>
      </c>
      <c r="F2537" t="s">
        <v>1324</v>
      </c>
      <c r="G2537" s="1">
        <v>45235</v>
      </c>
      <c r="H2537">
        <v>5412284</v>
      </c>
      <c r="I2537">
        <v>115</v>
      </c>
      <c r="J2537" t="s">
        <v>109</v>
      </c>
      <c r="K2537" t="str">
        <f>IFERROR(IF(AND(VLOOKUP($C2537,Hes!$A:$B, 1, FALSE), $M2537&lt;&gt;" "), "Ingresada", "Falta Ingresar"), " ")</f>
        <v xml:space="preserve"> </v>
      </c>
      <c r="L2537" s="4" t="str">
        <f>IFERROR(VLOOKUP($C2537,Observaciones!$A:$B,2,FALSE)," ")</f>
        <v>XRUT</v>
      </c>
      <c r="M2537" t="s">
        <v>681</v>
      </c>
      <c r="O2537" s="5">
        <v>30853452</v>
      </c>
      <c r="P2537" s="5">
        <v>18951</v>
      </c>
      <c r="Q2537" s="5">
        <v>3601</v>
      </c>
      <c r="R2537" s="5">
        <v>22552</v>
      </c>
    </row>
    <row r="2538" spans="1:18" x14ac:dyDescent="0.25">
      <c r="A2538" t="s">
        <v>1323</v>
      </c>
      <c r="B2538" t="s">
        <v>494</v>
      </c>
      <c r="C2538">
        <v>79531550</v>
      </c>
      <c r="D2538">
        <v>193</v>
      </c>
      <c r="E2538">
        <v>30853483</v>
      </c>
      <c r="F2538" t="s">
        <v>1324</v>
      </c>
      <c r="G2538" s="1">
        <v>45236</v>
      </c>
      <c r="H2538">
        <v>5412423</v>
      </c>
      <c r="I2538">
        <v>115</v>
      </c>
      <c r="J2538" t="s">
        <v>109</v>
      </c>
      <c r="K2538" t="str">
        <f>IFERROR(IF(AND(VLOOKUP($C2538,Hes!$A:$B, 1, FALSE), $M2538&lt;&gt;" "), "Ingresada", "Falta Ingresar"), " ")</f>
        <v xml:space="preserve"> </v>
      </c>
      <c r="L2538" s="4" t="str">
        <f>IFERROR(VLOOKUP($C2538,Observaciones!$A:$B,2,FALSE)," ")</f>
        <v>XRUT</v>
      </c>
      <c r="M2538" t="s">
        <v>681</v>
      </c>
      <c r="O2538" s="5">
        <v>30853483</v>
      </c>
      <c r="P2538" s="5">
        <v>19990</v>
      </c>
      <c r="Q2538" s="5">
        <v>3798</v>
      </c>
      <c r="R2538" s="5">
        <v>23788</v>
      </c>
    </row>
    <row r="2539" spans="1:18" x14ac:dyDescent="0.25">
      <c r="A2539" t="s">
        <v>1323</v>
      </c>
      <c r="B2539" t="s">
        <v>494</v>
      </c>
      <c r="C2539">
        <v>79531550</v>
      </c>
      <c r="D2539">
        <v>8309</v>
      </c>
      <c r="E2539">
        <v>30853498</v>
      </c>
      <c r="F2539" t="s">
        <v>1324</v>
      </c>
      <c r="G2539" s="1">
        <v>45235</v>
      </c>
      <c r="H2539">
        <v>5412548</v>
      </c>
      <c r="I2539">
        <v>115</v>
      </c>
      <c r="J2539" t="s">
        <v>109</v>
      </c>
      <c r="K2539" t="str">
        <f>IFERROR(IF(AND(VLOOKUP($C2539,Hes!$A:$B, 1, FALSE), $M2539&lt;&gt;" "), "Ingresada", "Falta Ingresar"), " ")</f>
        <v xml:space="preserve"> </v>
      </c>
      <c r="L2539" s="4" t="str">
        <f>IFERROR(VLOOKUP($C2539,Observaciones!$A:$B,2,FALSE)," ")</f>
        <v>XRUT</v>
      </c>
      <c r="M2539" t="s">
        <v>681</v>
      </c>
      <c r="O2539" s="5">
        <v>30853498</v>
      </c>
      <c r="P2539" s="5">
        <v>20787</v>
      </c>
      <c r="Q2539" s="5">
        <v>3950</v>
      </c>
      <c r="R2539" s="5">
        <v>24737</v>
      </c>
    </row>
    <row r="2540" spans="1:18" x14ac:dyDescent="0.25">
      <c r="A2540" t="s">
        <v>1323</v>
      </c>
      <c r="B2540" t="s">
        <v>494</v>
      </c>
      <c r="C2540">
        <v>79531550</v>
      </c>
      <c r="D2540">
        <v>212</v>
      </c>
      <c r="E2540">
        <v>30853451</v>
      </c>
      <c r="F2540" t="s">
        <v>1324</v>
      </c>
      <c r="G2540" s="1">
        <v>45236</v>
      </c>
      <c r="H2540">
        <v>5412608</v>
      </c>
      <c r="I2540">
        <v>115</v>
      </c>
      <c r="J2540" t="s">
        <v>109</v>
      </c>
      <c r="K2540" t="str">
        <f>IFERROR(IF(AND(VLOOKUP($C2540,Hes!$A:$B, 1, FALSE), $M2540&lt;&gt;" "), "Ingresada", "Falta Ingresar"), " ")</f>
        <v xml:space="preserve"> </v>
      </c>
      <c r="L2540" s="4" t="str">
        <f>IFERROR(VLOOKUP($C2540,Observaciones!$A:$B,2,FALSE)," ")</f>
        <v>XRUT</v>
      </c>
      <c r="M2540" t="s">
        <v>681</v>
      </c>
      <c r="O2540" s="5">
        <v>30853451</v>
      </c>
      <c r="P2540" s="5">
        <v>16978</v>
      </c>
      <c r="Q2540" s="5">
        <v>3226</v>
      </c>
      <c r="R2540" s="5">
        <v>20204</v>
      </c>
    </row>
    <row r="2541" spans="1:18" x14ac:dyDescent="0.25">
      <c r="A2541" t="s">
        <v>1323</v>
      </c>
      <c r="B2541" t="s">
        <v>494</v>
      </c>
      <c r="C2541">
        <v>79531550</v>
      </c>
      <c r="D2541">
        <v>168</v>
      </c>
      <c r="E2541">
        <v>30853846</v>
      </c>
      <c r="F2541" t="s">
        <v>1324</v>
      </c>
      <c r="G2541" s="1">
        <v>45234</v>
      </c>
      <c r="H2541">
        <v>5412650</v>
      </c>
      <c r="I2541">
        <v>115</v>
      </c>
      <c r="J2541" t="s">
        <v>109</v>
      </c>
      <c r="K2541" t="str">
        <f>IFERROR(IF(AND(VLOOKUP($C2541,Hes!$A:$B, 1, FALSE), $M2541&lt;&gt;" "), "Ingresada", "Falta Ingresar"), " ")</f>
        <v xml:space="preserve"> </v>
      </c>
      <c r="L2541" s="4" t="str">
        <f>IFERROR(VLOOKUP($C2541,Observaciones!$A:$B,2,FALSE)," ")</f>
        <v>XRUT</v>
      </c>
      <c r="M2541" t="s">
        <v>681</v>
      </c>
      <c r="O2541" s="5">
        <v>30853846</v>
      </c>
      <c r="P2541" s="5">
        <v>20276</v>
      </c>
      <c r="Q2541" s="5">
        <v>3852</v>
      </c>
      <c r="R2541" s="5">
        <v>24128</v>
      </c>
    </row>
    <row r="2542" spans="1:18" x14ac:dyDescent="0.25">
      <c r="A2542" t="s">
        <v>1323</v>
      </c>
      <c r="B2542" t="s">
        <v>494</v>
      </c>
      <c r="C2542">
        <v>79531550</v>
      </c>
      <c r="D2542">
        <v>194</v>
      </c>
      <c r="E2542">
        <v>30853455</v>
      </c>
      <c r="F2542" t="s">
        <v>1324</v>
      </c>
      <c r="G2542" s="1">
        <v>45236</v>
      </c>
      <c r="H2542">
        <v>5412816</v>
      </c>
      <c r="I2542">
        <v>115</v>
      </c>
      <c r="J2542" t="s">
        <v>109</v>
      </c>
      <c r="K2542" t="str">
        <f>IFERROR(IF(AND(VLOOKUP($C2542,Hes!$A:$B, 1, FALSE), $M2542&lt;&gt;" "), "Ingresada", "Falta Ingresar"), " ")</f>
        <v xml:space="preserve"> </v>
      </c>
      <c r="L2542" s="4" t="str">
        <f>IFERROR(VLOOKUP($C2542,Observaciones!$A:$B,2,FALSE)," ")</f>
        <v>XRUT</v>
      </c>
      <c r="M2542" t="s">
        <v>681</v>
      </c>
      <c r="O2542" s="5">
        <v>30853455</v>
      </c>
      <c r="P2542" s="5">
        <v>22108</v>
      </c>
      <c r="Q2542" s="5">
        <v>4201</v>
      </c>
      <c r="R2542" s="5">
        <v>26309</v>
      </c>
    </row>
    <row r="2543" spans="1:18" x14ac:dyDescent="0.25">
      <c r="A2543" t="s">
        <v>1323</v>
      </c>
      <c r="B2543" t="s">
        <v>494</v>
      </c>
      <c r="C2543">
        <v>79531550</v>
      </c>
      <c r="D2543">
        <v>841</v>
      </c>
      <c r="E2543">
        <v>30853378</v>
      </c>
      <c r="F2543" t="s">
        <v>1324</v>
      </c>
      <c r="G2543" s="1">
        <v>45236</v>
      </c>
      <c r="H2543">
        <v>5412837</v>
      </c>
      <c r="I2543">
        <v>115</v>
      </c>
      <c r="J2543" t="s">
        <v>109</v>
      </c>
      <c r="K2543" t="str">
        <f>IFERROR(IF(AND(VLOOKUP($C2543,Hes!$A:$B, 1, FALSE), $M2543&lt;&gt;" "), "Ingresada", "Falta Ingresar"), " ")</f>
        <v xml:space="preserve"> </v>
      </c>
      <c r="L2543" s="4" t="str">
        <f>IFERROR(VLOOKUP($C2543,Observaciones!$A:$B,2,FALSE)," ")</f>
        <v>XRUT</v>
      </c>
      <c r="M2543" t="s">
        <v>681</v>
      </c>
      <c r="O2543" s="5">
        <v>30853378</v>
      </c>
      <c r="P2543" s="5">
        <v>23395</v>
      </c>
      <c r="Q2543" s="5">
        <v>4445</v>
      </c>
      <c r="R2543" s="5">
        <v>27840</v>
      </c>
    </row>
    <row r="2544" spans="1:18" x14ac:dyDescent="0.25">
      <c r="A2544" t="s">
        <v>1323</v>
      </c>
      <c r="B2544" t="s">
        <v>494</v>
      </c>
      <c r="C2544">
        <v>79531550</v>
      </c>
      <c r="D2544">
        <v>189</v>
      </c>
      <c r="E2544">
        <v>30855118</v>
      </c>
      <c r="F2544" t="s">
        <v>1324</v>
      </c>
      <c r="G2544" s="1">
        <v>45236</v>
      </c>
      <c r="H2544">
        <v>5412905</v>
      </c>
      <c r="I2544">
        <v>115</v>
      </c>
      <c r="J2544" t="s">
        <v>109</v>
      </c>
      <c r="K2544" t="str">
        <f>IFERROR(IF(AND(VLOOKUP($C2544,Hes!$A:$B, 1, FALSE), $M2544&lt;&gt;" "), "Ingresada", "Falta Ingresar"), " ")</f>
        <v xml:space="preserve"> </v>
      </c>
      <c r="L2544" s="4" t="str">
        <f>IFERROR(VLOOKUP($C2544,Observaciones!$A:$B,2,FALSE)," ")</f>
        <v>XRUT</v>
      </c>
      <c r="M2544" t="s">
        <v>681</v>
      </c>
      <c r="O2544" s="5">
        <v>30855118</v>
      </c>
      <c r="P2544" s="5">
        <v>20843</v>
      </c>
      <c r="Q2544" s="5">
        <v>3960</v>
      </c>
      <c r="R2544" s="5">
        <v>24803</v>
      </c>
    </row>
    <row r="2545" spans="1:18" x14ac:dyDescent="0.25">
      <c r="A2545" t="s">
        <v>1323</v>
      </c>
      <c r="B2545" t="s">
        <v>494</v>
      </c>
      <c r="C2545">
        <v>79531550</v>
      </c>
      <c r="D2545">
        <v>820</v>
      </c>
      <c r="E2545">
        <v>30853387</v>
      </c>
      <c r="F2545" t="s">
        <v>1324</v>
      </c>
      <c r="G2545" s="1">
        <v>45236</v>
      </c>
      <c r="H2545">
        <v>5413165</v>
      </c>
      <c r="I2545">
        <v>115</v>
      </c>
      <c r="J2545" t="s">
        <v>109</v>
      </c>
      <c r="K2545" t="str">
        <f>IFERROR(IF(AND(VLOOKUP($C2545,Hes!$A:$B, 1, FALSE), $M2545&lt;&gt;" "), "Ingresada", "Falta Ingresar"), " ")</f>
        <v xml:space="preserve"> </v>
      </c>
      <c r="L2545" s="4" t="str">
        <f>IFERROR(VLOOKUP($C2545,Observaciones!$A:$B,2,FALSE)," ")</f>
        <v>XRUT</v>
      </c>
      <c r="M2545" t="s">
        <v>681</v>
      </c>
      <c r="O2545" s="5">
        <v>30853387</v>
      </c>
      <c r="P2545" s="5">
        <v>24209</v>
      </c>
      <c r="Q2545" s="5">
        <v>4600</v>
      </c>
      <c r="R2545" s="5">
        <v>28809</v>
      </c>
    </row>
    <row r="2546" spans="1:18" x14ac:dyDescent="0.25">
      <c r="A2546" t="s">
        <v>1323</v>
      </c>
      <c r="B2546" t="s">
        <v>494</v>
      </c>
      <c r="C2546">
        <v>79531550</v>
      </c>
      <c r="D2546">
        <v>167</v>
      </c>
      <c r="E2546">
        <v>30853377</v>
      </c>
      <c r="F2546" t="s">
        <v>1324</v>
      </c>
      <c r="G2546" s="1">
        <v>45236</v>
      </c>
      <c r="H2546">
        <v>5413171</v>
      </c>
      <c r="I2546">
        <v>115</v>
      </c>
      <c r="J2546" t="s">
        <v>109</v>
      </c>
      <c r="K2546" t="str">
        <f>IFERROR(IF(AND(VLOOKUP($C2546,Hes!$A:$B, 1, FALSE), $M2546&lt;&gt;" "), "Ingresada", "Falta Ingresar"), " ")</f>
        <v xml:space="preserve"> </v>
      </c>
      <c r="L2546" s="4" t="str">
        <f>IFERROR(VLOOKUP($C2546,Observaciones!$A:$B,2,FALSE)," ")</f>
        <v>XRUT</v>
      </c>
      <c r="M2546" t="s">
        <v>681</v>
      </c>
      <c r="O2546" s="5">
        <v>30853377</v>
      </c>
      <c r="P2546" s="5">
        <v>24902</v>
      </c>
      <c r="Q2546" s="5">
        <v>4731</v>
      </c>
      <c r="R2546" s="5">
        <v>29633</v>
      </c>
    </row>
    <row r="2547" spans="1:18" x14ac:dyDescent="0.25">
      <c r="A2547" t="s">
        <v>1323</v>
      </c>
      <c r="B2547" t="s">
        <v>494</v>
      </c>
      <c r="C2547">
        <v>79531550</v>
      </c>
      <c r="D2547">
        <v>162</v>
      </c>
      <c r="E2547">
        <v>30850690</v>
      </c>
      <c r="F2547" t="s">
        <v>1324</v>
      </c>
      <c r="G2547" s="1">
        <v>45236</v>
      </c>
      <c r="H2547">
        <v>5413172</v>
      </c>
      <c r="I2547">
        <v>115</v>
      </c>
      <c r="J2547" t="s">
        <v>109</v>
      </c>
      <c r="K2547" t="str">
        <f>IFERROR(IF(AND(VLOOKUP($C2547,Hes!$A:$B, 1, FALSE), $M2547&lt;&gt;" "), "Ingresada", "Falta Ingresar"), " ")</f>
        <v xml:space="preserve"> </v>
      </c>
      <c r="L2547" s="4" t="str">
        <f>IFERROR(VLOOKUP($C2547,Observaciones!$A:$B,2,FALSE)," ")</f>
        <v>XRUT</v>
      </c>
      <c r="M2547" t="s">
        <v>681</v>
      </c>
      <c r="O2547" s="5">
        <v>30850690</v>
      </c>
      <c r="P2547" s="5">
        <v>110574</v>
      </c>
      <c r="Q2547" s="5">
        <v>21009</v>
      </c>
      <c r="R2547" s="5">
        <v>131583</v>
      </c>
    </row>
    <row r="2548" spans="1:18" x14ac:dyDescent="0.25">
      <c r="A2548" t="s">
        <v>1323</v>
      </c>
      <c r="B2548" t="s">
        <v>494</v>
      </c>
      <c r="C2548">
        <v>79531550</v>
      </c>
      <c r="D2548">
        <v>180</v>
      </c>
      <c r="E2548">
        <v>30853374</v>
      </c>
      <c r="F2548" t="s">
        <v>1324</v>
      </c>
      <c r="G2548" s="1">
        <v>45236</v>
      </c>
      <c r="H2548">
        <v>5413411</v>
      </c>
      <c r="I2548">
        <v>115</v>
      </c>
      <c r="J2548" t="s">
        <v>109</v>
      </c>
      <c r="K2548" t="str">
        <f>IFERROR(IF(AND(VLOOKUP($C2548,Hes!$A:$B, 1, FALSE), $M2548&lt;&gt;" "), "Ingresada", "Falta Ingresar"), " ")</f>
        <v xml:space="preserve"> </v>
      </c>
      <c r="L2548" s="4" t="str">
        <f>IFERROR(VLOOKUP($C2548,Observaciones!$A:$B,2,FALSE)," ")</f>
        <v>XRUT</v>
      </c>
      <c r="M2548" t="s">
        <v>681</v>
      </c>
      <c r="O2548" s="5">
        <v>30853374</v>
      </c>
      <c r="P2548" s="5">
        <v>24696</v>
      </c>
      <c r="Q2548" s="5">
        <v>4692</v>
      </c>
      <c r="R2548" s="5">
        <v>29388</v>
      </c>
    </row>
    <row r="2549" spans="1:18" x14ac:dyDescent="0.25">
      <c r="A2549" t="s">
        <v>1323</v>
      </c>
      <c r="B2549" t="s">
        <v>494</v>
      </c>
      <c r="C2549">
        <v>79531550</v>
      </c>
      <c r="D2549">
        <v>345</v>
      </c>
      <c r="E2549">
        <v>30857149</v>
      </c>
      <c r="F2549" t="s">
        <v>1324</v>
      </c>
      <c r="G2549" s="1">
        <v>45236</v>
      </c>
      <c r="H2549">
        <v>5413477</v>
      </c>
      <c r="I2549">
        <v>115</v>
      </c>
      <c r="J2549" t="s">
        <v>109</v>
      </c>
      <c r="K2549" t="str">
        <f>IFERROR(IF(AND(VLOOKUP($C2549,Hes!$A:$B, 1, FALSE), $M2549&lt;&gt;" "), "Ingresada", "Falta Ingresar"), " ")</f>
        <v xml:space="preserve"> </v>
      </c>
      <c r="L2549" s="4" t="str">
        <f>IFERROR(VLOOKUP($C2549,Observaciones!$A:$B,2,FALSE)," ")</f>
        <v>XRUT</v>
      </c>
      <c r="M2549" t="s">
        <v>681</v>
      </c>
      <c r="O2549" s="5">
        <v>30857149</v>
      </c>
      <c r="P2549" s="5">
        <v>17860</v>
      </c>
      <c r="Q2549" s="5">
        <v>3393</v>
      </c>
      <c r="R2549" s="5">
        <v>21253</v>
      </c>
    </row>
    <row r="2550" spans="1:18" x14ac:dyDescent="0.25">
      <c r="A2550" t="s">
        <v>1323</v>
      </c>
      <c r="B2550" t="s">
        <v>494</v>
      </c>
      <c r="C2550">
        <v>79531550</v>
      </c>
      <c r="D2550">
        <v>8312</v>
      </c>
      <c r="E2550">
        <v>30853844</v>
      </c>
      <c r="F2550" t="s">
        <v>1324</v>
      </c>
      <c r="G2550" s="1">
        <v>45236</v>
      </c>
      <c r="H2550">
        <v>5413607</v>
      </c>
      <c r="I2550">
        <v>115</v>
      </c>
      <c r="J2550" t="s">
        <v>109</v>
      </c>
      <c r="K2550" t="str">
        <f>IFERROR(IF(AND(VLOOKUP($C2550,Hes!$A:$B, 1, FALSE), $M2550&lt;&gt;" "), "Ingresada", "Falta Ingresar"), " ")</f>
        <v xml:space="preserve"> </v>
      </c>
      <c r="L2550" s="4" t="str">
        <f>IFERROR(VLOOKUP($C2550,Observaciones!$A:$B,2,FALSE)," ")</f>
        <v>XRUT</v>
      </c>
      <c r="M2550" t="s">
        <v>681</v>
      </c>
      <c r="O2550" s="5">
        <v>30853844</v>
      </c>
      <c r="P2550" s="5">
        <v>22822</v>
      </c>
      <c r="Q2550" s="5">
        <v>4336</v>
      </c>
      <c r="R2550" s="5">
        <v>27158</v>
      </c>
    </row>
    <row r="2551" spans="1:18" x14ac:dyDescent="0.25">
      <c r="A2551" t="s">
        <v>1323</v>
      </c>
      <c r="B2551" t="s">
        <v>494</v>
      </c>
      <c r="C2551">
        <v>79531550</v>
      </c>
      <c r="D2551">
        <v>185</v>
      </c>
      <c r="E2551">
        <v>30853859</v>
      </c>
      <c r="F2551" t="s">
        <v>1324</v>
      </c>
      <c r="G2551" s="1">
        <v>45236</v>
      </c>
      <c r="H2551">
        <v>5413743</v>
      </c>
      <c r="I2551">
        <v>115</v>
      </c>
      <c r="J2551" t="s">
        <v>109</v>
      </c>
      <c r="K2551" t="str">
        <f>IFERROR(IF(AND(VLOOKUP($C2551,Hes!$A:$B, 1, FALSE), $M2551&lt;&gt;" "), "Ingresada", "Falta Ingresar"), " ")</f>
        <v xml:space="preserve"> </v>
      </c>
      <c r="L2551" s="4" t="str">
        <f>IFERROR(VLOOKUP($C2551,Observaciones!$A:$B,2,FALSE)," ")</f>
        <v>XRUT</v>
      </c>
      <c r="M2551" t="s">
        <v>681</v>
      </c>
      <c r="O2551" s="5">
        <v>30853859</v>
      </c>
      <c r="P2551" s="5">
        <v>24764</v>
      </c>
      <c r="Q2551" s="5">
        <v>4705</v>
      </c>
      <c r="R2551" s="5">
        <v>29469</v>
      </c>
    </row>
    <row r="2552" spans="1:18" x14ac:dyDescent="0.25">
      <c r="A2552" t="s">
        <v>1323</v>
      </c>
      <c r="B2552" t="s">
        <v>494</v>
      </c>
      <c r="C2552">
        <v>79531550</v>
      </c>
      <c r="D2552">
        <v>170</v>
      </c>
      <c r="E2552">
        <v>30853854</v>
      </c>
      <c r="F2552" t="s">
        <v>1324</v>
      </c>
      <c r="G2552" s="1">
        <v>45236</v>
      </c>
      <c r="H2552">
        <v>5413744</v>
      </c>
      <c r="I2552">
        <v>115</v>
      </c>
      <c r="J2552" t="s">
        <v>109</v>
      </c>
      <c r="K2552" t="str">
        <f>IFERROR(IF(AND(VLOOKUP($C2552,Hes!$A:$B, 1, FALSE), $M2552&lt;&gt;" "), "Ingresada", "Falta Ingresar"), " ")</f>
        <v xml:space="preserve"> </v>
      </c>
      <c r="L2552" s="4" t="str">
        <f>IFERROR(VLOOKUP($C2552,Observaciones!$A:$B,2,FALSE)," ")</f>
        <v>XRUT</v>
      </c>
      <c r="M2552" t="s">
        <v>681</v>
      </c>
      <c r="O2552" s="5">
        <v>30853854</v>
      </c>
      <c r="P2552" s="5">
        <v>24805</v>
      </c>
      <c r="Q2552" s="5">
        <v>4713</v>
      </c>
      <c r="R2552" s="5">
        <v>29518</v>
      </c>
    </row>
    <row r="2553" spans="1:18" x14ac:dyDescent="0.25">
      <c r="A2553" t="s">
        <v>1323</v>
      </c>
      <c r="B2553" t="s">
        <v>494</v>
      </c>
      <c r="C2553">
        <v>79531550</v>
      </c>
      <c r="D2553">
        <v>204</v>
      </c>
      <c r="E2553">
        <v>30858098</v>
      </c>
      <c r="F2553" t="s">
        <v>1324</v>
      </c>
      <c r="G2553" s="1">
        <v>45236</v>
      </c>
      <c r="H2553">
        <v>5413797</v>
      </c>
      <c r="I2553">
        <v>115</v>
      </c>
      <c r="J2553" t="s">
        <v>109</v>
      </c>
      <c r="K2553" t="str">
        <f>IFERROR(IF(AND(VLOOKUP($C2553,Hes!$A:$B, 1, FALSE), $M2553&lt;&gt;" "), "Ingresada", "Falta Ingresar"), " ")</f>
        <v xml:space="preserve"> </v>
      </c>
      <c r="L2553" s="4" t="str">
        <f>IFERROR(VLOOKUP($C2553,Observaciones!$A:$B,2,FALSE)," ")</f>
        <v>XRUT</v>
      </c>
      <c r="M2553" t="s">
        <v>681</v>
      </c>
      <c r="O2553" s="5">
        <v>30858098</v>
      </c>
      <c r="P2553" s="5">
        <v>17428</v>
      </c>
      <c r="Q2553" s="5">
        <v>3311</v>
      </c>
      <c r="R2553" s="5">
        <v>20739</v>
      </c>
    </row>
    <row r="2554" spans="1:18" x14ac:dyDescent="0.25">
      <c r="A2554" t="s">
        <v>1323</v>
      </c>
      <c r="B2554" t="s">
        <v>494</v>
      </c>
      <c r="C2554">
        <v>79531550</v>
      </c>
      <c r="D2554">
        <v>210</v>
      </c>
      <c r="E2554">
        <v>30858097</v>
      </c>
      <c r="F2554" t="s">
        <v>1324</v>
      </c>
      <c r="G2554" s="1">
        <v>45236</v>
      </c>
      <c r="H2554">
        <v>5413851</v>
      </c>
      <c r="I2554">
        <v>115</v>
      </c>
      <c r="J2554" t="s">
        <v>109</v>
      </c>
      <c r="K2554" t="str">
        <f>IFERROR(IF(AND(VLOOKUP($C2554,Hes!$A:$B, 1, FALSE), $M2554&lt;&gt;" "), "Ingresada", "Falta Ingresar"), " ")</f>
        <v xml:space="preserve"> </v>
      </c>
      <c r="L2554" s="4" t="str">
        <f>IFERROR(VLOOKUP($C2554,Observaciones!$A:$B,2,FALSE)," ")</f>
        <v>XRUT</v>
      </c>
      <c r="M2554" t="s">
        <v>681</v>
      </c>
      <c r="O2554" s="5">
        <v>30858097</v>
      </c>
      <c r="P2554" s="5">
        <v>20859</v>
      </c>
      <c r="Q2554" s="5">
        <v>3963</v>
      </c>
      <c r="R2554" s="5">
        <v>24822</v>
      </c>
    </row>
    <row r="2555" spans="1:18" x14ac:dyDescent="0.25">
      <c r="A2555" t="s">
        <v>1323</v>
      </c>
      <c r="B2555" t="s">
        <v>494</v>
      </c>
      <c r="C2555">
        <v>79531550</v>
      </c>
      <c r="D2555">
        <v>179</v>
      </c>
      <c r="E2555">
        <v>30857351</v>
      </c>
      <c r="F2555" t="s">
        <v>1324</v>
      </c>
      <c r="G2555" s="1">
        <v>45236</v>
      </c>
      <c r="H2555">
        <v>5413871</v>
      </c>
      <c r="I2555">
        <v>115</v>
      </c>
      <c r="J2555" t="s">
        <v>109</v>
      </c>
      <c r="K2555" t="str">
        <f>IFERROR(IF(AND(VLOOKUP($C2555,Hes!$A:$B, 1, FALSE), $M2555&lt;&gt;" "), "Ingresada", "Falta Ingresar"), " ")</f>
        <v xml:space="preserve"> </v>
      </c>
      <c r="L2555" s="4" t="str">
        <f>IFERROR(VLOOKUP($C2555,Observaciones!$A:$B,2,FALSE)," ")</f>
        <v>XRUT</v>
      </c>
      <c r="M2555" t="s">
        <v>681</v>
      </c>
      <c r="O2555" s="5">
        <v>30857351</v>
      </c>
      <c r="P2555" s="5">
        <v>24809</v>
      </c>
      <c r="Q2555" s="5">
        <v>4714</v>
      </c>
      <c r="R2555" s="5">
        <v>29523</v>
      </c>
    </row>
    <row r="2556" spans="1:18" x14ac:dyDescent="0.25">
      <c r="A2556" t="s">
        <v>1323</v>
      </c>
      <c r="B2556" t="s">
        <v>494</v>
      </c>
      <c r="C2556">
        <v>79531550</v>
      </c>
      <c r="D2556">
        <v>211</v>
      </c>
      <c r="E2556">
        <v>30858100</v>
      </c>
      <c r="F2556" t="s">
        <v>1324</v>
      </c>
      <c r="G2556" s="1">
        <v>45237</v>
      </c>
      <c r="H2556">
        <v>5413990</v>
      </c>
      <c r="I2556">
        <v>115</v>
      </c>
      <c r="J2556" t="s">
        <v>109</v>
      </c>
      <c r="K2556" t="str">
        <f>IFERROR(IF(AND(VLOOKUP($C2556,Hes!$A:$B, 1, FALSE), $M2556&lt;&gt;" "), "Ingresada", "Falta Ingresar"), " ")</f>
        <v xml:space="preserve"> </v>
      </c>
      <c r="L2556" s="4" t="str">
        <f>IFERROR(VLOOKUP($C2556,Observaciones!$A:$B,2,FALSE)," ")</f>
        <v>XRUT</v>
      </c>
      <c r="M2556" t="s">
        <v>681</v>
      </c>
      <c r="O2556" s="5">
        <v>30858100</v>
      </c>
      <c r="P2556" s="5">
        <v>24433</v>
      </c>
      <c r="Q2556" s="5">
        <v>4642</v>
      </c>
      <c r="R2556" s="5">
        <v>29075</v>
      </c>
    </row>
    <row r="2557" spans="1:18" x14ac:dyDescent="0.25">
      <c r="A2557" t="s">
        <v>1323</v>
      </c>
      <c r="B2557" t="s">
        <v>494</v>
      </c>
      <c r="C2557">
        <v>79531550</v>
      </c>
      <c r="D2557">
        <v>8293</v>
      </c>
      <c r="E2557">
        <v>30858313</v>
      </c>
      <c r="F2557" t="s">
        <v>1324</v>
      </c>
      <c r="G2557" s="1">
        <v>45237</v>
      </c>
      <c r="H2557">
        <v>5414027</v>
      </c>
      <c r="I2557">
        <v>115</v>
      </c>
      <c r="J2557" t="s">
        <v>109</v>
      </c>
      <c r="K2557" t="str">
        <f>IFERROR(IF(AND(VLOOKUP($C2557,Hes!$A:$B, 1, FALSE), $M2557&lt;&gt;" "), "Ingresada", "Falta Ingresar"), " ")</f>
        <v xml:space="preserve"> </v>
      </c>
      <c r="L2557" s="4" t="str">
        <f>IFERROR(VLOOKUP($C2557,Observaciones!$A:$B,2,FALSE)," ")</f>
        <v>XRUT</v>
      </c>
      <c r="M2557" t="s">
        <v>681</v>
      </c>
      <c r="O2557" s="5">
        <v>30858313</v>
      </c>
      <c r="P2557" s="5">
        <v>24514</v>
      </c>
      <c r="Q2557" s="5">
        <v>4658</v>
      </c>
      <c r="R2557" s="5">
        <v>29172</v>
      </c>
    </row>
    <row r="2558" spans="1:18" x14ac:dyDescent="0.25">
      <c r="A2558" t="s">
        <v>1323</v>
      </c>
      <c r="B2558" t="s">
        <v>494</v>
      </c>
      <c r="C2558">
        <v>79531550</v>
      </c>
      <c r="D2558">
        <v>333</v>
      </c>
      <c r="E2558">
        <v>30858274</v>
      </c>
      <c r="F2558" t="s">
        <v>1324</v>
      </c>
      <c r="G2558" s="1">
        <v>45237</v>
      </c>
      <c r="H2558">
        <v>5414031</v>
      </c>
      <c r="I2558">
        <v>115</v>
      </c>
      <c r="J2558" t="s">
        <v>109</v>
      </c>
      <c r="K2558" t="str">
        <f>IFERROR(IF(AND(VLOOKUP($C2558,Hes!$A:$B, 1, FALSE), $M2558&lt;&gt;" "), "Ingresada", "Falta Ingresar"), " ")</f>
        <v xml:space="preserve"> </v>
      </c>
      <c r="L2558" s="4" t="str">
        <f>IFERROR(VLOOKUP($C2558,Observaciones!$A:$B,2,FALSE)," ")</f>
        <v>XRUT</v>
      </c>
      <c r="M2558" t="s">
        <v>681</v>
      </c>
      <c r="O2558" s="5">
        <v>30858274</v>
      </c>
      <c r="P2558" s="5">
        <v>23625</v>
      </c>
      <c r="Q2558" s="5">
        <v>4489</v>
      </c>
      <c r="R2558" s="5">
        <v>28114</v>
      </c>
    </row>
    <row r="2559" spans="1:18" x14ac:dyDescent="0.25">
      <c r="A2559" t="s">
        <v>1323</v>
      </c>
      <c r="B2559" t="s">
        <v>494</v>
      </c>
      <c r="C2559">
        <v>79531550</v>
      </c>
      <c r="D2559">
        <v>8311</v>
      </c>
      <c r="E2559">
        <v>30858246</v>
      </c>
      <c r="F2559" t="s">
        <v>1324</v>
      </c>
      <c r="G2559" s="1">
        <v>45237</v>
      </c>
      <c r="H2559">
        <v>5414121</v>
      </c>
      <c r="I2559">
        <v>115</v>
      </c>
      <c r="J2559" t="s">
        <v>109</v>
      </c>
      <c r="K2559" t="str">
        <f>IFERROR(IF(AND(VLOOKUP($C2559,Hes!$A:$B, 1, FALSE), $M2559&lt;&gt;" "), "Ingresada", "Falta Ingresar"), " ")</f>
        <v xml:space="preserve"> </v>
      </c>
      <c r="L2559" s="4" t="str">
        <f>IFERROR(VLOOKUP($C2559,Observaciones!$A:$B,2,FALSE)," ")</f>
        <v>XRUT</v>
      </c>
      <c r="M2559" t="s">
        <v>681</v>
      </c>
      <c r="O2559" s="5">
        <v>30858246</v>
      </c>
      <c r="P2559" s="5">
        <v>20628</v>
      </c>
      <c r="Q2559" s="5">
        <v>3919</v>
      </c>
      <c r="R2559" s="5">
        <v>24547</v>
      </c>
    </row>
    <row r="2560" spans="1:18" x14ac:dyDescent="0.25">
      <c r="A2560" t="s">
        <v>1323</v>
      </c>
      <c r="B2560" t="s">
        <v>494</v>
      </c>
      <c r="C2560">
        <v>79531550</v>
      </c>
      <c r="D2560">
        <v>181</v>
      </c>
      <c r="E2560">
        <v>30859257</v>
      </c>
      <c r="F2560" t="s">
        <v>1324</v>
      </c>
      <c r="G2560" s="1">
        <v>45237</v>
      </c>
      <c r="H2560">
        <v>5414448</v>
      </c>
      <c r="I2560">
        <v>115</v>
      </c>
      <c r="J2560" t="s">
        <v>109</v>
      </c>
      <c r="K2560" t="str">
        <f>IFERROR(IF(AND(VLOOKUP($C2560,Hes!$A:$B, 1, FALSE), $M2560&lt;&gt;" "), "Ingresada", "Falta Ingresar"), " ")</f>
        <v xml:space="preserve"> </v>
      </c>
      <c r="L2560" s="4" t="str">
        <f>IFERROR(VLOOKUP($C2560,Observaciones!$A:$B,2,FALSE)," ")</f>
        <v>XRUT</v>
      </c>
      <c r="M2560" t="s">
        <v>681</v>
      </c>
      <c r="O2560" s="5">
        <v>30859257</v>
      </c>
      <c r="P2560" s="5">
        <v>24642</v>
      </c>
      <c r="Q2560" s="5">
        <v>4682</v>
      </c>
      <c r="R2560" s="5">
        <v>29324</v>
      </c>
    </row>
    <row r="2561" spans="1:18" x14ac:dyDescent="0.25">
      <c r="A2561" t="s">
        <v>1323</v>
      </c>
      <c r="B2561" t="s">
        <v>494</v>
      </c>
      <c r="C2561">
        <v>79531550</v>
      </c>
      <c r="D2561">
        <v>207</v>
      </c>
      <c r="E2561">
        <v>30858320</v>
      </c>
      <c r="F2561" t="s">
        <v>1324</v>
      </c>
      <c r="G2561" s="1">
        <v>45238</v>
      </c>
      <c r="H2561">
        <v>5414552</v>
      </c>
      <c r="I2561">
        <v>115</v>
      </c>
      <c r="J2561" t="s">
        <v>109</v>
      </c>
      <c r="K2561" t="str">
        <f>IFERROR(IF(AND(VLOOKUP($C2561,Hes!$A:$B, 1, FALSE), $M2561&lt;&gt;" "), "Ingresada", "Falta Ingresar"), " ")</f>
        <v xml:space="preserve"> </v>
      </c>
      <c r="L2561" s="4" t="str">
        <f>IFERROR(VLOOKUP($C2561,Observaciones!$A:$B,2,FALSE)," ")</f>
        <v>XRUT</v>
      </c>
      <c r="M2561" t="s">
        <v>681</v>
      </c>
      <c r="O2561" s="5">
        <v>30858320</v>
      </c>
      <c r="P2561" s="5">
        <v>24970</v>
      </c>
      <c r="Q2561" s="5">
        <v>4744</v>
      </c>
      <c r="R2561" s="5">
        <v>29714</v>
      </c>
    </row>
    <row r="2562" spans="1:18" x14ac:dyDescent="0.25">
      <c r="A2562" t="s">
        <v>1323</v>
      </c>
      <c r="B2562" t="s">
        <v>494</v>
      </c>
      <c r="C2562">
        <v>79531550</v>
      </c>
      <c r="D2562">
        <v>310</v>
      </c>
      <c r="E2562">
        <v>30861488</v>
      </c>
      <c r="F2562" t="s">
        <v>1324</v>
      </c>
      <c r="G2562" s="1">
        <v>45238</v>
      </c>
      <c r="H2562">
        <v>5414819</v>
      </c>
      <c r="I2562">
        <v>115</v>
      </c>
      <c r="J2562" t="s">
        <v>109</v>
      </c>
      <c r="K2562" t="str">
        <f>IFERROR(IF(AND(VLOOKUP($C2562,Hes!$A:$B, 1, FALSE), $M2562&lt;&gt;" "), "Ingresada", "Falta Ingresar"), " ")</f>
        <v xml:space="preserve"> </v>
      </c>
      <c r="L2562" s="4" t="str">
        <f>IFERROR(VLOOKUP($C2562,Observaciones!$A:$B,2,FALSE)," ")</f>
        <v>XRUT</v>
      </c>
      <c r="M2562" t="s">
        <v>681</v>
      </c>
      <c r="O2562" s="5">
        <v>30861488</v>
      </c>
      <c r="P2562" s="5">
        <v>88103</v>
      </c>
      <c r="Q2562" s="5">
        <v>16740</v>
      </c>
      <c r="R2562" s="5">
        <v>104843</v>
      </c>
    </row>
    <row r="2563" spans="1:18" x14ac:dyDescent="0.25">
      <c r="A2563" t="s">
        <v>1323</v>
      </c>
      <c r="B2563" t="s">
        <v>494</v>
      </c>
      <c r="C2563">
        <v>79531550</v>
      </c>
      <c r="D2563">
        <v>198</v>
      </c>
      <c r="E2563">
        <v>30864553</v>
      </c>
      <c r="F2563" t="s">
        <v>1324</v>
      </c>
      <c r="G2563" s="1">
        <v>45237</v>
      </c>
      <c r="H2563">
        <v>5415257</v>
      </c>
      <c r="I2563">
        <v>115</v>
      </c>
      <c r="J2563" t="s">
        <v>109</v>
      </c>
      <c r="K2563" t="str">
        <f>IFERROR(IF(AND(VLOOKUP($C2563,Hes!$A:$B, 1, FALSE), $M2563&lt;&gt;" "), "Ingresada", "Falta Ingresar"), " ")</f>
        <v xml:space="preserve"> </v>
      </c>
      <c r="L2563" s="4" t="str">
        <f>IFERROR(VLOOKUP($C2563,Observaciones!$A:$B,2,FALSE)," ")</f>
        <v>XRUT</v>
      </c>
      <c r="M2563" t="s">
        <v>681</v>
      </c>
      <c r="O2563" s="5">
        <v>30864553</v>
      </c>
      <c r="P2563" s="5">
        <v>24527</v>
      </c>
      <c r="Q2563" s="5">
        <v>4660</v>
      </c>
      <c r="R2563" s="5">
        <v>29187</v>
      </c>
    </row>
    <row r="2564" spans="1:18" x14ac:dyDescent="0.25">
      <c r="A2564" t="s">
        <v>1323</v>
      </c>
      <c r="B2564" t="s">
        <v>494</v>
      </c>
      <c r="C2564">
        <v>79531550</v>
      </c>
      <c r="D2564">
        <v>166</v>
      </c>
      <c r="E2564">
        <v>30864599</v>
      </c>
      <c r="F2564" t="s">
        <v>1324</v>
      </c>
      <c r="G2564" s="1">
        <v>45238</v>
      </c>
      <c r="H2564">
        <v>5415311</v>
      </c>
      <c r="I2564">
        <v>115</v>
      </c>
      <c r="J2564" t="s">
        <v>109</v>
      </c>
      <c r="K2564" t="str">
        <f>IFERROR(IF(AND(VLOOKUP($C2564,Hes!$A:$B, 1, FALSE), $M2564&lt;&gt;" "), "Ingresada", "Falta Ingresar"), " ")</f>
        <v xml:space="preserve"> </v>
      </c>
      <c r="L2564" s="4" t="str">
        <f>IFERROR(VLOOKUP($C2564,Observaciones!$A:$B,2,FALSE)," ")</f>
        <v>XRUT</v>
      </c>
      <c r="M2564" t="s">
        <v>681</v>
      </c>
      <c r="O2564" s="5">
        <v>30864599</v>
      </c>
      <c r="P2564" s="5">
        <v>72416</v>
      </c>
      <c r="Q2564" s="5">
        <v>13759</v>
      </c>
      <c r="R2564" s="5">
        <v>86175</v>
      </c>
    </row>
    <row r="2565" spans="1:18" x14ac:dyDescent="0.25">
      <c r="A2565" t="s">
        <v>1323</v>
      </c>
      <c r="B2565" t="s">
        <v>494</v>
      </c>
      <c r="C2565">
        <v>79531550</v>
      </c>
      <c r="D2565">
        <v>8304</v>
      </c>
      <c r="E2565">
        <v>30864474</v>
      </c>
      <c r="F2565" t="s">
        <v>1324</v>
      </c>
      <c r="G2565" s="1">
        <v>45238</v>
      </c>
      <c r="H2565">
        <v>5415313</v>
      </c>
      <c r="I2565">
        <v>115</v>
      </c>
      <c r="J2565" t="s">
        <v>109</v>
      </c>
      <c r="K2565" t="str">
        <f>IFERROR(IF(AND(VLOOKUP($C2565,Hes!$A:$B, 1, FALSE), $M2565&lt;&gt;" "), "Ingresada", "Falta Ingresar"), " ")</f>
        <v xml:space="preserve"> </v>
      </c>
      <c r="L2565" s="4" t="str">
        <f>IFERROR(VLOOKUP($C2565,Observaciones!$A:$B,2,FALSE)," ")</f>
        <v>XRUT</v>
      </c>
      <c r="M2565" t="s">
        <v>681</v>
      </c>
      <c r="O2565" s="5">
        <v>30864474</v>
      </c>
      <c r="P2565" s="5">
        <v>16990</v>
      </c>
      <c r="Q2565" s="5">
        <v>3228</v>
      </c>
      <c r="R2565" s="5">
        <v>20218</v>
      </c>
    </row>
    <row r="2566" spans="1:18" x14ac:dyDescent="0.25">
      <c r="A2566" t="s">
        <v>1323</v>
      </c>
      <c r="B2566" t="s">
        <v>494</v>
      </c>
      <c r="C2566">
        <v>79531550</v>
      </c>
      <c r="D2566">
        <v>171</v>
      </c>
      <c r="E2566">
        <v>30864501</v>
      </c>
      <c r="F2566" t="s">
        <v>1324</v>
      </c>
      <c r="G2566" s="1">
        <v>45238</v>
      </c>
      <c r="H2566">
        <v>5415314</v>
      </c>
      <c r="I2566">
        <v>115</v>
      </c>
      <c r="J2566" t="s">
        <v>109</v>
      </c>
      <c r="K2566" t="str">
        <f>IFERROR(IF(AND(VLOOKUP($C2566,Hes!$A:$B, 1, FALSE), $M2566&lt;&gt;" "), "Ingresada", "Falta Ingresar"), " ")</f>
        <v xml:space="preserve"> </v>
      </c>
      <c r="L2566" s="4" t="str">
        <f>IFERROR(VLOOKUP($C2566,Observaciones!$A:$B,2,FALSE)," ")</f>
        <v>XRUT</v>
      </c>
      <c r="M2566" t="s">
        <v>681</v>
      </c>
      <c r="O2566" s="5">
        <v>30864501</v>
      </c>
      <c r="P2566" s="5">
        <v>24941</v>
      </c>
      <c r="Q2566" s="5">
        <v>4739</v>
      </c>
      <c r="R2566" s="5">
        <v>29680</v>
      </c>
    </row>
    <row r="2567" spans="1:18" x14ac:dyDescent="0.25">
      <c r="A2567" t="s">
        <v>1323</v>
      </c>
      <c r="B2567" t="s">
        <v>494</v>
      </c>
      <c r="C2567">
        <v>79531550</v>
      </c>
      <c r="D2567">
        <v>201</v>
      </c>
      <c r="E2567">
        <v>30864531</v>
      </c>
      <c r="F2567" t="s">
        <v>1324</v>
      </c>
      <c r="G2567" s="1">
        <v>45238</v>
      </c>
      <c r="H2567">
        <v>5415349</v>
      </c>
      <c r="I2567">
        <v>115</v>
      </c>
      <c r="J2567" t="s">
        <v>109</v>
      </c>
      <c r="K2567" t="str">
        <f>IFERROR(IF(AND(VLOOKUP($C2567,Hes!$A:$B, 1, FALSE), $M2567&lt;&gt;" "), "Ingresada", "Falta Ingresar"), " ")</f>
        <v xml:space="preserve"> </v>
      </c>
      <c r="L2567" s="4" t="str">
        <f>IFERROR(VLOOKUP($C2567,Observaciones!$A:$B,2,FALSE)," ")</f>
        <v>XRUT</v>
      </c>
      <c r="M2567" t="s">
        <v>681</v>
      </c>
      <c r="O2567" s="5">
        <v>30864531</v>
      </c>
      <c r="P2567" s="5">
        <v>20292</v>
      </c>
      <c r="Q2567" s="5">
        <v>3855</v>
      </c>
      <c r="R2567" s="5">
        <v>24147</v>
      </c>
    </row>
    <row r="2568" spans="1:18" x14ac:dyDescent="0.25">
      <c r="A2568" t="s">
        <v>1323</v>
      </c>
      <c r="B2568" t="s">
        <v>494</v>
      </c>
      <c r="C2568">
        <v>79531550</v>
      </c>
      <c r="D2568">
        <v>26</v>
      </c>
      <c r="E2568">
        <v>30864600</v>
      </c>
      <c r="F2568" t="s">
        <v>1324</v>
      </c>
      <c r="G2568" s="1">
        <v>45238</v>
      </c>
      <c r="H2568">
        <v>5415382</v>
      </c>
      <c r="I2568">
        <v>115</v>
      </c>
      <c r="J2568" t="s">
        <v>109</v>
      </c>
      <c r="K2568" t="str">
        <f>IFERROR(IF(AND(VLOOKUP($C2568,Hes!$A:$B, 1, FALSE), $M2568&lt;&gt;" "), "Ingresada", "Falta Ingresar"), " ")</f>
        <v xml:space="preserve"> </v>
      </c>
      <c r="L2568" s="4" t="str">
        <f>IFERROR(VLOOKUP($C2568,Observaciones!$A:$B,2,FALSE)," ")</f>
        <v>XRUT</v>
      </c>
      <c r="M2568" t="s">
        <v>681</v>
      </c>
      <c r="O2568" s="5">
        <v>30864600</v>
      </c>
      <c r="P2568" s="5">
        <v>40233</v>
      </c>
      <c r="Q2568" s="5">
        <v>7644</v>
      </c>
      <c r="R2568" s="5">
        <v>47877</v>
      </c>
    </row>
    <row r="2569" spans="1:18" x14ac:dyDescent="0.25">
      <c r="A2569" t="s">
        <v>1323</v>
      </c>
      <c r="B2569" t="s">
        <v>494</v>
      </c>
      <c r="C2569">
        <v>79531550</v>
      </c>
      <c r="D2569">
        <v>349</v>
      </c>
      <c r="E2569">
        <v>30864596</v>
      </c>
      <c r="F2569" t="s">
        <v>1324</v>
      </c>
      <c r="G2569" s="1">
        <v>45238</v>
      </c>
      <c r="H2569">
        <v>5415564</v>
      </c>
      <c r="I2569">
        <v>115</v>
      </c>
      <c r="J2569" t="s">
        <v>109</v>
      </c>
      <c r="K2569" t="str">
        <f>IFERROR(IF(AND(VLOOKUP($C2569,Hes!$A:$B, 1, FALSE), $M2569&lt;&gt;" "), "Ingresada", "Falta Ingresar"), " ")</f>
        <v xml:space="preserve"> </v>
      </c>
      <c r="L2569" s="4" t="str">
        <f>IFERROR(VLOOKUP($C2569,Observaciones!$A:$B,2,FALSE)," ")</f>
        <v>XRUT</v>
      </c>
      <c r="M2569" t="s">
        <v>681</v>
      </c>
      <c r="O2569" s="5">
        <v>30864596</v>
      </c>
      <c r="P2569" s="5">
        <v>12938</v>
      </c>
      <c r="Q2569" s="5">
        <v>2458</v>
      </c>
      <c r="R2569" s="5">
        <v>15396</v>
      </c>
    </row>
    <row r="2570" spans="1:18" x14ac:dyDescent="0.25">
      <c r="A2570" t="s">
        <v>1323</v>
      </c>
      <c r="B2570" t="s">
        <v>494</v>
      </c>
      <c r="C2570">
        <v>79531550</v>
      </c>
      <c r="D2570">
        <v>331</v>
      </c>
      <c r="E2570">
        <v>30864661</v>
      </c>
      <c r="F2570" t="s">
        <v>1324</v>
      </c>
      <c r="G2570" s="1">
        <v>45238</v>
      </c>
      <c r="H2570">
        <v>5415729</v>
      </c>
      <c r="I2570">
        <v>115</v>
      </c>
      <c r="J2570" t="s">
        <v>109</v>
      </c>
      <c r="K2570" t="str">
        <f>IFERROR(IF(AND(VLOOKUP($C2570,Hes!$A:$B, 1, FALSE), $M2570&lt;&gt;" "), "Ingresada", "Falta Ingresar"), " ")</f>
        <v xml:space="preserve"> </v>
      </c>
      <c r="L2570" s="4" t="str">
        <f>IFERROR(VLOOKUP($C2570,Observaciones!$A:$B,2,FALSE)," ")</f>
        <v>XRUT</v>
      </c>
      <c r="M2570" t="s">
        <v>681</v>
      </c>
      <c r="O2570" s="5">
        <v>30864661</v>
      </c>
      <c r="P2570" s="5">
        <v>22174</v>
      </c>
      <c r="Q2570" s="5">
        <v>4213</v>
      </c>
      <c r="R2570" s="5">
        <v>26387</v>
      </c>
    </row>
    <row r="2571" spans="1:18" x14ac:dyDescent="0.25">
      <c r="F2571" t="s">
        <v>805</v>
      </c>
      <c r="K2571" t="str">
        <f>IFERROR(IF(AND(VLOOKUP($C2571,Hes!$A:$B, 1, FALSE), $M2571&lt;&gt;" "), "Ingresada", "Falta Ingresar"), " ")</f>
        <v xml:space="preserve"> </v>
      </c>
      <c r="L2571" s="4" t="str">
        <f>IFERROR(VLOOKUP($C2571,Observaciones!$A:$B,2,FALSE)," ")</f>
        <v xml:space="preserve"> </v>
      </c>
      <c r="M2571" t="s">
        <v>681</v>
      </c>
      <c r="P2571" s="5">
        <v>1049854</v>
      </c>
      <c r="Q2571" s="5">
        <v>199471</v>
      </c>
      <c r="R2571" s="5">
        <v>1249325</v>
      </c>
    </row>
    <row r="2572" spans="1:18" x14ac:dyDescent="0.25">
      <c r="A2572" t="s">
        <v>512</v>
      </c>
      <c r="B2572" t="s">
        <v>494</v>
      </c>
      <c r="C2572">
        <v>79567420</v>
      </c>
      <c r="D2572">
        <v>1705</v>
      </c>
      <c r="E2572">
        <v>30849692</v>
      </c>
      <c r="F2572" t="s">
        <v>1325</v>
      </c>
      <c r="G2572" s="1">
        <v>45233</v>
      </c>
      <c r="H2572">
        <v>5411404</v>
      </c>
      <c r="I2572">
        <v>315</v>
      </c>
      <c r="J2572" t="s">
        <v>380</v>
      </c>
      <c r="K2572" t="str">
        <f>IFERROR(IF(AND(VLOOKUP($C2572,Hes!$A:$B, 1, FALSE), $M2572&lt;&gt;" "), "Ingresada", "Falta Ingresar"), " ")</f>
        <v xml:space="preserve"> </v>
      </c>
      <c r="L2572" s="4" t="str">
        <f>IFERROR(VLOOKUP($C2572,Observaciones!$A:$B,2,FALSE)," ")</f>
        <v>VENDEDOR ENVIA POR CORREO OC</v>
      </c>
      <c r="M2572" t="s">
        <v>681</v>
      </c>
      <c r="O2572" s="5">
        <v>30849692</v>
      </c>
      <c r="P2572" s="5">
        <v>59784</v>
      </c>
      <c r="Q2572" s="5">
        <v>11359</v>
      </c>
      <c r="R2572" s="5">
        <v>71143</v>
      </c>
    </row>
    <row r="2573" spans="1:18" x14ac:dyDescent="0.25">
      <c r="A2573" t="s">
        <v>512</v>
      </c>
      <c r="B2573" t="s">
        <v>494</v>
      </c>
      <c r="C2573">
        <v>79567420</v>
      </c>
      <c r="D2573">
        <v>166</v>
      </c>
      <c r="E2573">
        <v>30851562</v>
      </c>
      <c r="F2573" t="s">
        <v>1325</v>
      </c>
      <c r="G2573" s="1">
        <v>45236</v>
      </c>
      <c r="H2573">
        <v>5412376</v>
      </c>
      <c r="I2573">
        <v>315</v>
      </c>
      <c r="J2573" t="s">
        <v>380</v>
      </c>
      <c r="K2573" t="str">
        <f>IFERROR(IF(AND(VLOOKUP($C2573,Hes!$A:$B, 1, FALSE), $M2573&lt;&gt;" "), "Ingresada", "Falta Ingresar"), " ")</f>
        <v xml:space="preserve"> </v>
      </c>
      <c r="L2573" s="4" t="str">
        <f>IFERROR(VLOOKUP($C2573,Observaciones!$A:$B,2,FALSE)," ")</f>
        <v>VENDEDOR ENVIA POR CORREO OC</v>
      </c>
      <c r="M2573" t="s">
        <v>681</v>
      </c>
      <c r="O2573" s="5">
        <v>30851562</v>
      </c>
      <c r="P2573" s="5">
        <v>47521</v>
      </c>
      <c r="Q2573" s="5">
        <v>9029</v>
      </c>
      <c r="R2573" s="5">
        <v>56550</v>
      </c>
    </row>
    <row r="2574" spans="1:18" x14ac:dyDescent="0.25">
      <c r="A2574" t="s">
        <v>512</v>
      </c>
      <c r="B2574" t="s">
        <v>494</v>
      </c>
      <c r="C2574">
        <v>79567420</v>
      </c>
      <c r="D2574">
        <v>46</v>
      </c>
      <c r="E2574">
        <v>30850836</v>
      </c>
      <c r="F2574" t="s">
        <v>1325</v>
      </c>
      <c r="G2574" s="1">
        <v>45236</v>
      </c>
      <c r="H2574">
        <v>5412694</v>
      </c>
      <c r="I2574">
        <v>315</v>
      </c>
      <c r="J2574" t="s">
        <v>380</v>
      </c>
      <c r="K2574" t="str">
        <f>IFERROR(IF(AND(VLOOKUP($C2574,Hes!$A:$B, 1, FALSE), $M2574&lt;&gt;" "), "Ingresada", "Falta Ingresar"), " ")</f>
        <v xml:space="preserve"> </v>
      </c>
      <c r="L2574" s="4" t="str">
        <f>IFERROR(VLOOKUP($C2574,Observaciones!$A:$B,2,FALSE)," ")</f>
        <v>VENDEDOR ENVIA POR CORREO OC</v>
      </c>
      <c r="M2574" t="s">
        <v>681</v>
      </c>
      <c r="O2574" s="5">
        <v>30850836</v>
      </c>
      <c r="P2574" s="5">
        <v>149631</v>
      </c>
      <c r="Q2574" s="5">
        <v>28430</v>
      </c>
      <c r="R2574" s="5">
        <v>178061</v>
      </c>
    </row>
    <row r="2575" spans="1:18" x14ac:dyDescent="0.25">
      <c r="A2575" t="s">
        <v>512</v>
      </c>
      <c r="B2575" t="s">
        <v>494</v>
      </c>
      <c r="C2575">
        <v>79567420</v>
      </c>
      <c r="D2575">
        <v>2</v>
      </c>
      <c r="E2575">
        <v>30851649</v>
      </c>
      <c r="F2575" t="s">
        <v>1325</v>
      </c>
      <c r="G2575" s="1">
        <v>45236</v>
      </c>
      <c r="H2575">
        <v>5412699</v>
      </c>
      <c r="I2575">
        <v>315</v>
      </c>
      <c r="J2575" t="s">
        <v>380</v>
      </c>
      <c r="K2575" t="str">
        <f>IFERROR(IF(AND(VLOOKUP($C2575,Hes!$A:$B, 1, FALSE), $M2575&lt;&gt;" "), "Ingresada", "Falta Ingresar"), " ")</f>
        <v xml:space="preserve"> </v>
      </c>
      <c r="L2575" s="4" t="str">
        <f>IFERROR(VLOOKUP($C2575,Observaciones!$A:$B,2,FALSE)," ")</f>
        <v>VENDEDOR ENVIA POR CORREO OC</v>
      </c>
      <c r="M2575" t="s">
        <v>681</v>
      </c>
      <c r="O2575" s="5">
        <v>30851649</v>
      </c>
      <c r="P2575" s="5">
        <v>149888</v>
      </c>
      <c r="Q2575" s="5">
        <v>28479</v>
      </c>
      <c r="R2575" s="5">
        <v>178367</v>
      </c>
    </row>
    <row r="2576" spans="1:18" x14ac:dyDescent="0.25">
      <c r="A2576" t="s">
        <v>512</v>
      </c>
      <c r="B2576" t="s">
        <v>494</v>
      </c>
      <c r="C2576">
        <v>79567420</v>
      </c>
      <c r="D2576">
        <v>32</v>
      </c>
      <c r="E2576">
        <v>30852258</v>
      </c>
      <c r="F2576" t="s">
        <v>1325</v>
      </c>
      <c r="G2576" s="1">
        <v>45236</v>
      </c>
      <c r="H2576">
        <v>5413134</v>
      </c>
      <c r="I2576">
        <v>315</v>
      </c>
      <c r="J2576" t="s">
        <v>380</v>
      </c>
      <c r="K2576" t="str">
        <f>IFERROR(IF(AND(VLOOKUP($C2576,Hes!$A:$B, 1, FALSE), $M2576&lt;&gt;" "), "Ingresada", "Falta Ingresar"), " ")</f>
        <v xml:space="preserve"> </v>
      </c>
      <c r="L2576" s="4" t="str">
        <f>IFERROR(VLOOKUP($C2576,Observaciones!$A:$B,2,FALSE)," ")</f>
        <v>VENDEDOR ENVIA POR CORREO OC</v>
      </c>
      <c r="M2576" t="s">
        <v>681</v>
      </c>
      <c r="O2576" s="5">
        <v>30852258</v>
      </c>
      <c r="P2576" s="5">
        <v>431570</v>
      </c>
      <c r="Q2576" s="5">
        <v>81998</v>
      </c>
      <c r="R2576" s="5">
        <v>513568</v>
      </c>
    </row>
    <row r="2577" spans="1:18" x14ac:dyDescent="0.25">
      <c r="A2577" t="s">
        <v>512</v>
      </c>
      <c r="B2577" t="s">
        <v>494</v>
      </c>
      <c r="C2577">
        <v>79567420</v>
      </c>
      <c r="D2577">
        <v>157</v>
      </c>
      <c r="E2577">
        <v>30855545</v>
      </c>
      <c r="F2577" t="s">
        <v>1325</v>
      </c>
      <c r="G2577" s="1">
        <v>45236</v>
      </c>
      <c r="H2577">
        <v>5413632</v>
      </c>
      <c r="I2577">
        <v>315</v>
      </c>
      <c r="J2577" t="s">
        <v>380</v>
      </c>
      <c r="K2577" t="str">
        <f>IFERROR(IF(AND(VLOOKUP($C2577,Hes!$A:$B, 1, FALSE), $M2577&lt;&gt;" "), "Ingresada", "Falta Ingresar"), " ")</f>
        <v xml:space="preserve"> </v>
      </c>
      <c r="L2577" s="4" t="str">
        <f>IFERROR(VLOOKUP($C2577,Observaciones!$A:$B,2,FALSE)," ")</f>
        <v>VENDEDOR ENVIA POR CORREO OC</v>
      </c>
      <c r="M2577" t="s">
        <v>681</v>
      </c>
      <c r="O2577" s="5">
        <v>30855545</v>
      </c>
      <c r="P2577" s="5">
        <v>232534</v>
      </c>
      <c r="Q2577" s="5">
        <v>44181</v>
      </c>
      <c r="R2577" s="5">
        <v>287055</v>
      </c>
    </row>
    <row r="2578" spans="1:18" x14ac:dyDescent="0.25">
      <c r="A2578" t="s">
        <v>512</v>
      </c>
      <c r="B2578" t="s">
        <v>494</v>
      </c>
      <c r="C2578">
        <v>79567420</v>
      </c>
      <c r="D2578">
        <v>157</v>
      </c>
      <c r="E2578">
        <v>30855545</v>
      </c>
      <c r="F2578" t="s">
        <v>1325</v>
      </c>
      <c r="G2578" s="1">
        <v>45236</v>
      </c>
      <c r="H2578">
        <v>5413633</v>
      </c>
      <c r="I2578">
        <v>315</v>
      </c>
      <c r="J2578" t="s">
        <v>380</v>
      </c>
      <c r="K2578" t="str">
        <f>IFERROR(IF(AND(VLOOKUP($C2578,Hes!$A:$B, 1, FALSE), $M2578&lt;&gt;" "), "Ingresada", "Falta Ingresar"), " ")</f>
        <v xml:space="preserve"> </v>
      </c>
      <c r="L2578" s="4" t="str">
        <f>IFERROR(VLOOKUP($C2578,Observaciones!$A:$B,2,FALSE)," ")</f>
        <v>VENDEDOR ENVIA POR CORREO OC</v>
      </c>
      <c r="M2578" t="s">
        <v>681</v>
      </c>
      <c r="O2578" s="5">
        <v>30855545</v>
      </c>
      <c r="P2578" s="5">
        <v>99964</v>
      </c>
      <c r="Q2578" s="5">
        <v>18993</v>
      </c>
      <c r="R2578" s="5">
        <v>118957</v>
      </c>
    </row>
    <row r="2579" spans="1:18" x14ac:dyDescent="0.25">
      <c r="A2579" t="s">
        <v>512</v>
      </c>
      <c r="B2579" t="s">
        <v>494</v>
      </c>
      <c r="C2579">
        <v>79567420</v>
      </c>
      <c r="D2579">
        <v>157</v>
      </c>
      <c r="E2579">
        <v>30855545</v>
      </c>
      <c r="F2579" t="s">
        <v>1325</v>
      </c>
      <c r="G2579" s="1">
        <v>45236</v>
      </c>
      <c r="H2579">
        <v>5413634</v>
      </c>
      <c r="I2579">
        <v>315</v>
      </c>
      <c r="J2579" t="s">
        <v>380</v>
      </c>
      <c r="K2579" t="str">
        <f>IFERROR(IF(AND(VLOOKUP($C2579,Hes!$A:$B, 1, FALSE), $M2579&lt;&gt;" "), "Ingresada", "Falta Ingresar"), " ")</f>
        <v xml:space="preserve"> </v>
      </c>
      <c r="L2579" s="4" t="str">
        <f>IFERROR(VLOOKUP($C2579,Observaciones!$A:$B,2,FALSE)," ")</f>
        <v>VENDEDOR ENVIA POR CORREO OC</v>
      </c>
      <c r="M2579" t="s">
        <v>681</v>
      </c>
      <c r="O2579" s="5">
        <v>30855545</v>
      </c>
      <c r="P2579" s="5">
        <v>46078</v>
      </c>
      <c r="Q2579" s="5">
        <v>8755</v>
      </c>
      <c r="R2579" s="5">
        <v>54833</v>
      </c>
    </row>
    <row r="2580" spans="1:18" x14ac:dyDescent="0.25">
      <c r="A2580" t="s">
        <v>512</v>
      </c>
      <c r="B2580" t="s">
        <v>494</v>
      </c>
      <c r="C2580">
        <v>79567420</v>
      </c>
      <c r="D2580">
        <v>61</v>
      </c>
      <c r="E2580">
        <v>30856993</v>
      </c>
      <c r="F2580" t="s">
        <v>1325</v>
      </c>
      <c r="G2580" s="1">
        <v>45236</v>
      </c>
      <c r="H2580">
        <v>5413739</v>
      </c>
      <c r="I2580">
        <v>315</v>
      </c>
      <c r="J2580" t="s">
        <v>380</v>
      </c>
      <c r="K2580" t="str">
        <f>IFERROR(IF(AND(VLOOKUP($C2580,Hes!$A:$B, 1, FALSE), $M2580&lt;&gt;" "), "Ingresada", "Falta Ingresar"), " ")</f>
        <v xml:space="preserve"> </v>
      </c>
      <c r="L2580" s="4" t="str">
        <f>IFERROR(VLOOKUP($C2580,Observaciones!$A:$B,2,FALSE)," ")</f>
        <v>VENDEDOR ENVIA POR CORREO OC</v>
      </c>
      <c r="M2580" t="s">
        <v>681</v>
      </c>
      <c r="O2580" s="5">
        <v>30856993</v>
      </c>
      <c r="P2580" s="5">
        <v>264073</v>
      </c>
      <c r="Q2580" s="5">
        <v>50174</v>
      </c>
      <c r="R2580" s="5">
        <v>314247</v>
      </c>
    </row>
    <row r="2581" spans="1:18" x14ac:dyDescent="0.25">
      <c r="A2581" t="s">
        <v>512</v>
      </c>
      <c r="B2581" t="s">
        <v>494</v>
      </c>
      <c r="C2581">
        <v>79567420</v>
      </c>
      <c r="D2581">
        <v>11</v>
      </c>
      <c r="E2581">
        <v>30858289</v>
      </c>
      <c r="F2581" t="s">
        <v>1325</v>
      </c>
      <c r="G2581" s="1">
        <v>45237</v>
      </c>
      <c r="H2581">
        <v>5413945</v>
      </c>
      <c r="I2581">
        <v>315</v>
      </c>
      <c r="J2581" t="s">
        <v>380</v>
      </c>
      <c r="K2581" t="str">
        <f>IFERROR(IF(AND(VLOOKUP($C2581,Hes!$A:$B, 1, FALSE), $M2581&lt;&gt;" "), "Ingresada", "Falta Ingresar"), " ")</f>
        <v xml:space="preserve"> </v>
      </c>
      <c r="L2581" s="4" t="str">
        <f>IFERROR(VLOOKUP($C2581,Observaciones!$A:$B,2,FALSE)," ")</f>
        <v>VENDEDOR ENVIA POR CORREO OC</v>
      </c>
      <c r="M2581" t="s">
        <v>681</v>
      </c>
      <c r="O2581" s="5">
        <v>30858289</v>
      </c>
      <c r="P2581" s="5">
        <v>110950</v>
      </c>
      <c r="Q2581" s="5">
        <v>21081</v>
      </c>
      <c r="R2581" s="5">
        <v>132031</v>
      </c>
    </row>
    <row r="2582" spans="1:18" x14ac:dyDescent="0.25">
      <c r="A2582" t="s">
        <v>512</v>
      </c>
      <c r="B2582" t="s">
        <v>494</v>
      </c>
      <c r="C2582">
        <v>79567420</v>
      </c>
      <c r="D2582">
        <v>18</v>
      </c>
      <c r="E2582">
        <v>30858292</v>
      </c>
      <c r="F2582" t="s">
        <v>1325</v>
      </c>
      <c r="G2582" s="1">
        <v>45237</v>
      </c>
      <c r="H2582">
        <v>5414171</v>
      </c>
      <c r="I2582">
        <v>315</v>
      </c>
      <c r="J2582" t="s">
        <v>380</v>
      </c>
      <c r="K2582" t="str">
        <f>IFERROR(IF(AND(VLOOKUP($C2582,Hes!$A:$B, 1, FALSE), $M2582&lt;&gt;" "), "Ingresada", "Falta Ingresar"), " ")</f>
        <v xml:space="preserve"> </v>
      </c>
      <c r="L2582" s="4" t="str">
        <f>IFERROR(VLOOKUP($C2582,Observaciones!$A:$B,2,FALSE)," ")</f>
        <v>VENDEDOR ENVIA POR CORREO OC</v>
      </c>
      <c r="M2582" t="s">
        <v>681</v>
      </c>
      <c r="O2582" s="5">
        <v>30858292</v>
      </c>
      <c r="P2582" s="5">
        <v>192267</v>
      </c>
      <c r="Q2582" s="5">
        <v>36531</v>
      </c>
      <c r="R2582" s="5">
        <v>228798</v>
      </c>
    </row>
    <row r="2583" spans="1:18" x14ac:dyDescent="0.25">
      <c r="A2583" t="s">
        <v>512</v>
      </c>
      <c r="B2583" t="s">
        <v>494</v>
      </c>
      <c r="C2583">
        <v>79567420</v>
      </c>
      <c r="D2583">
        <v>39</v>
      </c>
      <c r="E2583">
        <v>30863120</v>
      </c>
      <c r="F2583" t="s">
        <v>1325</v>
      </c>
      <c r="G2583" s="1">
        <v>45238</v>
      </c>
      <c r="H2583">
        <v>5415113</v>
      </c>
      <c r="I2583">
        <v>315</v>
      </c>
      <c r="J2583" t="s">
        <v>380</v>
      </c>
      <c r="K2583" t="str">
        <f>IFERROR(IF(AND(VLOOKUP($C2583,Hes!$A:$B, 1, FALSE), $M2583&lt;&gt;" "), "Ingresada", "Falta Ingresar"), " ")</f>
        <v xml:space="preserve"> </v>
      </c>
      <c r="L2583" s="4" t="str">
        <f>IFERROR(VLOOKUP($C2583,Observaciones!$A:$B,2,FALSE)," ")</f>
        <v>VENDEDOR ENVIA POR CORREO OC</v>
      </c>
      <c r="M2583" t="s">
        <v>681</v>
      </c>
      <c r="O2583" s="5">
        <v>30863120</v>
      </c>
      <c r="P2583" s="5">
        <v>769463</v>
      </c>
      <c r="Q2583" s="5">
        <v>146198</v>
      </c>
      <c r="R2583" s="5">
        <v>915661</v>
      </c>
    </row>
    <row r="2584" spans="1:18" x14ac:dyDescent="0.25">
      <c r="F2584" t="s">
        <v>971</v>
      </c>
      <c r="K2584" t="str">
        <f>IFERROR(IF(AND(VLOOKUP($C2584,Hes!$A:$B, 1, FALSE), $M2584&lt;&gt;" "), "Ingresada", "Falta Ingresar"), " ")</f>
        <v xml:space="preserve"> </v>
      </c>
      <c r="L2584" s="4" t="str">
        <f>IFERROR(VLOOKUP($C2584,Observaciones!$A:$B,2,FALSE)," ")</f>
        <v xml:space="preserve"> </v>
      </c>
      <c r="M2584" t="s">
        <v>681</v>
      </c>
      <c r="P2584" s="5">
        <v>2553723</v>
      </c>
      <c r="Q2584" s="5">
        <v>485208</v>
      </c>
      <c r="R2584" s="5">
        <v>3049271</v>
      </c>
    </row>
    <row r="2585" spans="1:18" x14ac:dyDescent="0.25">
      <c r="A2585" t="s">
        <v>512</v>
      </c>
      <c r="B2585" t="s">
        <v>494</v>
      </c>
      <c r="C2585">
        <v>79588870</v>
      </c>
      <c r="D2585">
        <v>40</v>
      </c>
      <c r="E2585">
        <v>30852477</v>
      </c>
      <c r="F2585" t="s">
        <v>583</v>
      </c>
      <c r="G2585" s="1">
        <v>45233</v>
      </c>
      <c r="H2585">
        <v>5411749</v>
      </c>
      <c r="I2585">
        <v>321</v>
      </c>
      <c r="J2585" t="s">
        <v>202</v>
      </c>
      <c r="K2585" s="8" t="str">
        <f>IFERROR(IF(AND(VLOOKUP($C2585,Hes!$A:$B, 1, FALSE), $M2585&lt;&gt;" "), "Ingresada", "Falta Ingresar"), " ")</f>
        <v>Falta Ingresar</v>
      </c>
      <c r="L2585" s="4" t="str">
        <f>IFERROR(VLOOKUP($C2585,Observaciones!$A:$B,2,FALSE)," ")</f>
        <v xml:space="preserve"> </v>
      </c>
      <c r="M2585" t="s">
        <v>681</v>
      </c>
      <c r="N2585" s="5" t="s">
        <v>841</v>
      </c>
      <c r="O2585" s="5">
        <v>30852477</v>
      </c>
      <c r="P2585" s="5">
        <v>41530</v>
      </c>
      <c r="Q2585" s="5">
        <v>7891</v>
      </c>
      <c r="R2585" s="5">
        <v>49421</v>
      </c>
    </row>
    <row r="2586" spans="1:18" x14ac:dyDescent="0.25">
      <c r="A2586" t="s">
        <v>512</v>
      </c>
      <c r="B2586" t="s">
        <v>494</v>
      </c>
      <c r="C2586">
        <v>79588870</v>
      </c>
      <c r="D2586">
        <v>106</v>
      </c>
      <c r="E2586">
        <v>30850505</v>
      </c>
      <c r="F2586" t="s">
        <v>583</v>
      </c>
      <c r="G2586" s="1">
        <v>45236</v>
      </c>
      <c r="H2586">
        <v>5412428</v>
      </c>
      <c r="I2586">
        <v>321</v>
      </c>
      <c r="J2586" t="s">
        <v>202</v>
      </c>
      <c r="K2586" s="8" t="str">
        <f>IFERROR(IF(AND(VLOOKUP($C2586,Hes!$A:$B, 1, FALSE), $M2586&lt;&gt;" "), "Ingresada", "Falta Ingresar"), " ")</f>
        <v>Falta Ingresar</v>
      </c>
      <c r="L2586" s="4" t="str">
        <f>IFERROR(VLOOKUP($C2586,Observaciones!$A:$B,2,FALSE)," ")</f>
        <v xml:space="preserve"> </v>
      </c>
      <c r="M2586" t="s">
        <v>681</v>
      </c>
      <c r="N2586" s="5" t="s">
        <v>841</v>
      </c>
      <c r="O2586" s="5">
        <v>30850505</v>
      </c>
      <c r="P2586" s="5">
        <v>243670</v>
      </c>
      <c r="Q2586" s="5">
        <v>46297</v>
      </c>
      <c r="R2586" s="5">
        <v>289967</v>
      </c>
    </row>
    <row r="2587" spans="1:18" x14ac:dyDescent="0.25">
      <c r="A2587" t="s">
        <v>512</v>
      </c>
      <c r="B2587" t="s">
        <v>494</v>
      </c>
      <c r="C2587">
        <v>79588870</v>
      </c>
      <c r="D2587">
        <v>3</v>
      </c>
      <c r="E2587">
        <v>30852507</v>
      </c>
      <c r="F2587" t="s">
        <v>583</v>
      </c>
      <c r="G2587" s="1">
        <v>45236</v>
      </c>
      <c r="H2587">
        <v>5413070</v>
      </c>
      <c r="I2587">
        <v>321</v>
      </c>
      <c r="J2587" t="s">
        <v>202</v>
      </c>
      <c r="K2587" s="8" t="str">
        <f>IFERROR(IF(AND(VLOOKUP($C2587,Hes!$A:$B, 1, FALSE), $M2587&lt;&gt;" "), "Ingresada", "Falta Ingresar"), " ")</f>
        <v>Falta Ingresar</v>
      </c>
      <c r="L2587" s="4" t="str">
        <f>IFERROR(VLOOKUP($C2587,Observaciones!$A:$B,2,FALSE)," ")</f>
        <v xml:space="preserve"> </v>
      </c>
      <c r="M2587" t="s">
        <v>681</v>
      </c>
      <c r="N2587" s="5" t="s">
        <v>841</v>
      </c>
      <c r="O2587" s="5">
        <v>30852507</v>
      </c>
      <c r="P2587" s="5">
        <v>95849</v>
      </c>
      <c r="Q2587" s="5">
        <v>18211</v>
      </c>
      <c r="R2587" s="5">
        <v>114060</v>
      </c>
    </row>
    <row r="2588" spans="1:18" x14ac:dyDescent="0.25">
      <c r="A2588" t="s">
        <v>512</v>
      </c>
      <c r="B2588" t="s">
        <v>494</v>
      </c>
      <c r="C2588">
        <v>79588870</v>
      </c>
      <c r="D2588">
        <v>21</v>
      </c>
      <c r="E2588">
        <v>30854078</v>
      </c>
      <c r="F2588" t="s">
        <v>583</v>
      </c>
      <c r="G2588" s="1">
        <v>45236</v>
      </c>
      <c r="H2588">
        <v>5413606</v>
      </c>
      <c r="I2588">
        <v>321</v>
      </c>
      <c r="J2588" t="s">
        <v>202</v>
      </c>
      <c r="K2588" s="8" t="str">
        <f>IFERROR(IF(AND(VLOOKUP($C2588,Hes!$A:$B, 1, FALSE), $M2588&lt;&gt;" "), "Ingresada", "Falta Ingresar"), " ")</f>
        <v>Falta Ingresar</v>
      </c>
      <c r="L2588" s="4" t="str">
        <f>IFERROR(VLOOKUP($C2588,Observaciones!$A:$B,2,FALSE)," ")</f>
        <v xml:space="preserve"> </v>
      </c>
      <c r="M2588" t="s">
        <v>681</v>
      </c>
      <c r="N2588" s="5" t="s">
        <v>841</v>
      </c>
      <c r="O2588" s="5">
        <v>30854078</v>
      </c>
      <c r="P2588" s="5">
        <v>1641428</v>
      </c>
      <c r="Q2588" s="5">
        <v>311871</v>
      </c>
      <c r="R2588" s="5">
        <v>1986289</v>
      </c>
    </row>
    <row r="2589" spans="1:18" x14ac:dyDescent="0.25">
      <c r="A2589" t="s">
        <v>512</v>
      </c>
      <c r="B2589" t="s">
        <v>494</v>
      </c>
      <c r="C2589">
        <v>79588870</v>
      </c>
      <c r="D2589">
        <v>3</v>
      </c>
      <c r="E2589">
        <v>30856240</v>
      </c>
      <c r="F2589" t="s">
        <v>583</v>
      </c>
      <c r="G2589" s="1">
        <v>45236</v>
      </c>
      <c r="H2589">
        <v>5413608</v>
      </c>
      <c r="I2589">
        <v>321</v>
      </c>
      <c r="J2589" t="s">
        <v>202</v>
      </c>
      <c r="K2589" s="8" t="str">
        <f>IFERROR(IF(AND(VLOOKUP($C2589,Hes!$A:$B, 1, FALSE), $M2589&lt;&gt;" "), "Ingresada", "Falta Ingresar"), " ")</f>
        <v>Falta Ingresar</v>
      </c>
      <c r="L2589" s="4" t="str">
        <f>IFERROR(VLOOKUP($C2589,Observaciones!$A:$B,2,FALSE)," ")</f>
        <v xml:space="preserve"> </v>
      </c>
      <c r="M2589" t="s">
        <v>681</v>
      </c>
      <c r="N2589" s="5" t="s">
        <v>841</v>
      </c>
      <c r="O2589" s="5">
        <v>30856240</v>
      </c>
      <c r="P2589" s="5">
        <v>633054</v>
      </c>
      <c r="Q2589" s="5">
        <v>120280</v>
      </c>
      <c r="R2589" s="5">
        <v>753334</v>
      </c>
    </row>
    <row r="2590" spans="1:18" x14ac:dyDescent="0.25">
      <c r="A2590" t="s">
        <v>512</v>
      </c>
      <c r="B2590" t="s">
        <v>494</v>
      </c>
      <c r="C2590">
        <v>79588870</v>
      </c>
      <c r="D2590">
        <v>109</v>
      </c>
      <c r="E2590">
        <v>30856231</v>
      </c>
      <c r="F2590" t="s">
        <v>583</v>
      </c>
      <c r="G2590" s="1">
        <v>45236</v>
      </c>
      <c r="H2590">
        <v>5413817</v>
      </c>
      <c r="I2590">
        <v>321</v>
      </c>
      <c r="J2590" t="s">
        <v>202</v>
      </c>
      <c r="K2590" s="8" t="str">
        <f>IFERROR(IF(AND(VLOOKUP($C2590,Hes!$A:$B, 1, FALSE), $M2590&lt;&gt;" "), "Ingresada", "Falta Ingresar"), " ")</f>
        <v>Falta Ingresar</v>
      </c>
      <c r="L2590" s="4" t="str">
        <f>IFERROR(VLOOKUP($C2590,Observaciones!$A:$B,2,FALSE)," ")</f>
        <v xml:space="preserve"> </v>
      </c>
      <c r="M2590" t="s">
        <v>681</v>
      </c>
      <c r="N2590" s="5" t="s">
        <v>841</v>
      </c>
      <c r="O2590" s="5">
        <v>30856231</v>
      </c>
      <c r="P2590" s="5">
        <v>435347</v>
      </c>
      <c r="Q2590" s="5">
        <v>82716</v>
      </c>
      <c r="R2590" s="5">
        <v>518063</v>
      </c>
    </row>
    <row r="2591" spans="1:18" x14ac:dyDescent="0.25">
      <c r="A2591" t="s">
        <v>512</v>
      </c>
      <c r="B2591" t="s">
        <v>494</v>
      </c>
      <c r="C2591">
        <v>79588870</v>
      </c>
      <c r="D2591">
        <v>10</v>
      </c>
      <c r="E2591">
        <v>30858623</v>
      </c>
      <c r="F2591" t="s">
        <v>583</v>
      </c>
      <c r="G2591" s="1">
        <v>45237</v>
      </c>
      <c r="H2591">
        <v>5414100</v>
      </c>
      <c r="I2591">
        <v>321</v>
      </c>
      <c r="J2591" t="s">
        <v>202</v>
      </c>
      <c r="K2591" s="8" t="str">
        <f>IFERROR(IF(AND(VLOOKUP($C2591,Hes!$A:$B, 1, FALSE), $M2591&lt;&gt;" "), "Ingresada", "Falta Ingresar"), " ")</f>
        <v>Falta Ingresar</v>
      </c>
      <c r="L2591" s="4" t="str">
        <f>IFERROR(VLOOKUP($C2591,Observaciones!$A:$B,2,FALSE)," ")</f>
        <v xml:space="preserve"> </v>
      </c>
      <c r="M2591" t="s">
        <v>681</v>
      </c>
      <c r="N2591" s="5" t="s">
        <v>841</v>
      </c>
      <c r="O2591" s="5">
        <v>30858623</v>
      </c>
      <c r="P2591" s="5">
        <v>250618</v>
      </c>
      <c r="Q2591" s="5">
        <v>47617</v>
      </c>
      <c r="R2591" s="5">
        <v>298235</v>
      </c>
    </row>
    <row r="2592" spans="1:18" x14ac:dyDescent="0.25">
      <c r="A2592" t="s">
        <v>512</v>
      </c>
      <c r="B2592" t="s">
        <v>494</v>
      </c>
      <c r="C2592">
        <v>79588870</v>
      </c>
      <c r="D2592">
        <v>7</v>
      </c>
      <c r="E2592">
        <v>30858627</v>
      </c>
      <c r="F2592" t="s">
        <v>583</v>
      </c>
      <c r="G2592" s="1">
        <v>45237</v>
      </c>
      <c r="H2592">
        <v>5414103</v>
      </c>
      <c r="I2592">
        <v>321</v>
      </c>
      <c r="J2592" t="s">
        <v>202</v>
      </c>
      <c r="K2592" s="8" t="str">
        <f>IFERROR(IF(AND(VLOOKUP($C2592,Hes!$A:$B, 1, FALSE), $M2592&lt;&gt;" "), "Ingresada", "Falta Ingresar"), " ")</f>
        <v>Falta Ingresar</v>
      </c>
      <c r="L2592" s="4" t="str">
        <f>IFERROR(VLOOKUP($C2592,Observaciones!$A:$B,2,FALSE)," ")</f>
        <v xml:space="preserve"> </v>
      </c>
      <c r="M2592" t="s">
        <v>681</v>
      </c>
      <c r="N2592" s="5" t="s">
        <v>841</v>
      </c>
      <c r="O2592" s="5">
        <v>30858627</v>
      </c>
      <c r="P2592" s="5">
        <v>433892</v>
      </c>
      <c r="Q2592" s="5">
        <v>82439</v>
      </c>
      <c r="R2592" s="5">
        <v>516331</v>
      </c>
    </row>
    <row r="2593" spans="1:18" x14ac:dyDescent="0.25">
      <c r="F2593" t="s">
        <v>511</v>
      </c>
      <c r="K2593" t="str">
        <f>IFERROR(IF(AND(VLOOKUP($C2593,Hes!$A:$B, 1, FALSE), $M2593&lt;&gt;" "), "Ingresada", "Falta Ingresar"), " ")</f>
        <v xml:space="preserve"> </v>
      </c>
      <c r="L2593" s="4" t="str">
        <f>IFERROR(VLOOKUP($C2593,Observaciones!$A:$B,2,FALSE)," ")</f>
        <v xml:space="preserve"> </v>
      </c>
      <c r="M2593" t="s">
        <v>681</v>
      </c>
      <c r="P2593" s="5">
        <v>3775388</v>
      </c>
      <c r="Q2593" s="5">
        <v>717322</v>
      </c>
      <c r="R2593" s="5">
        <v>4525700</v>
      </c>
    </row>
    <row r="2594" spans="1:18" x14ac:dyDescent="0.25">
      <c r="A2594" t="s">
        <v>1326</v>
      </c>
      <c r="B2594" t="s">
        <v>494</v>
      </c>
      <c r="C2594">
        <v>79626800</v>
      </c>
      <c r="D2594">
        <v>233</v>
      </c>
      <c r="E2594">
        <v>30845616</v>
      </c>
      <c r="F2594" t="s">
        <v>1327</v>
      </c>
      <c r="G2594" s="1">
        <v>45231</v>
      </c>
      <c r="H2594">
        <v>5410872</v>
      </c>
      <c r="I2594">
        <v>81</v>
      </c>
      <c r="J2594" t="s">
        <v>144</v>
      </c>
      <c r="K2594" t="str">
        <f>IFERROR(IF(AND(VLOOKUP($C2594,Hes!$A:$B, 1, FALSE), $M2594&lt;&gt;" "), "Ingresada", "Falta Ingresar"), " ")</f>
        <v xml:space="preserve"> </v>
      </c>
      <c r="L2594" s="4" t="str">
        <f>IFERROR(VLOOKUP($C2594,Observaciones!$A:$B,2,FALSE)," ")</f>
        <v>SEGUN INFORME VENDEDOR, SI NO ENVIA XRUT</v>
      </c>
      <c r="M2594" t="s">
        <v>681</v>
      </c>
      <c r="O2594" s="5">
        <v>30845616</v>
      </c>
      <c r="P2594" s="5">
        <v>291804</v>
      </c>
      <c r="Q2594" s="5">
        <v>55443</v>
      </c>
      <c r="R2594" s="5">
        <v>347247</v>
      </c>
    </row>
    <row r="2595" spans="1:18" x14ac:dyDescent="0.25">
      <c r="A2595" t="s">
        <v>1326</v>
      </c>
      <c r="B2595" t="s">
        <v>494</v>
      </c>
      <c r="C2595">
        <v>79626800</v>
      </c>
      <c r="D2595">
        <v>515</v>
      </c>
      <c r="E2595">
        <v>30845576</v>
      </c>
      <c r="F2595" t="s">
        <v>1327</v>
      </c>
      <c r="G2595" s="1">
        <v>45231</v>
      </c>
      <c r="H2595">
        <v>5410874</v>
      </c>
      <c r="I2595">
        <v>81</v>
      </c>
      <c r="J2595" t="s">
        <v>144</v>
      </c>
      <c r="K2595" t="str">
        <f>IFERROR(IF(AND(VLOOKUP($C2595,Hes!$A:$B, 1, FALSE), $M2595&lt;&gt;" "), "Ingresada", "Falta Ingresar"), " ")</f>
        <v xml:space="preserve"> </v>
      </c>
      <c r="L2595" s="4" t="str">
        <f>IFERROR(VLOOKUP($C2595,Observaciones!$A:$B,2,FALSE)," ")</f>
        <v>SEGUN INFORME VENDEDOR, SI NO ENVIA XRUT</v>
      </c>
      <c r="M2595" t="s">
        <v>681</v>
      </c>
      <c r="O2595" s="5">
        <v>30845576</v>
      </c>
      <c r="P2595" s="5">
        <v>57667</v>
      </c>
      <c r="Q2595" s="5">
        <v>10957</v>
      </c>
      <c r="R2595" s="5">
        <v>68624</v>
      </c>
    </row>
    <row r="2596" spans="1:18" x14ac:dyDescent="0.25">
      <c r="A2596" t="s">
        <v>1326</v>
      </c>
      <c r="B2596" t="s">
        <v>494</v>
      </c>
      <c r="C2596">
        <v>79626800</v>
      </c>
      <c r="D2596">
        <v>205</v>
      </c>
      <c r="E2596">
        <v>30845622</v>
      </c>
      <c r="F2596" t="s">
        <v>1327</v>
      </c>
      <c r="G2596" s="1">
        <v>45231</v>
      </c>
      <c r="H2596">
        <v>5410875</v>
      </c>
      <c r="I2596">
        <v>81</v>
      </c>
      <c r="J2596" t="s">
        <v>144</v>
      </c>
      <c r="K2596" t="str">
        <f>IFERROR(IF(AND(VLOOKUP($C2596,Hes!$A:$B, 1, FALSE), $M2596&lt;&gt;" "), "Ingresada", "Falta Ingresar"), " ")</f>
        <v xml:space="preserve"> </v>
      </c>
      <c r="L2596" s="4" t="str">
        <f>IFERROR(VLOOKUP($C2596,Observaciones!$A:$B,2,FALSE)," ")</f>
        <v>SEGUN INFORME VENDEDOR, SI NO ENVIA XRUT</v>
      </c>
      <c r="M2596" t="s">
        <v>681</v>
      </c>
      <c r="O2596" s="5">
        <v>30845622</v>
      </c>
      <c r="P2596" s="5">
        <v>303570</v>
      </c>
      <c r="Q2596" s="5">
        <v>57678</v>
      </c>
      <c r="R2596" s="5">
        <v>362935</v>
      </c>
    </row>
    <row r="2597" spans="1:18" x14ac:dyDescent="0.25">
      <c r="A2597" t="s">
        <v>1326</v>
      </c>
      <c r="B2597" t="s">
        <v>494</v>
      </c>
      <c r="C2597">
        <v>79626800</v>
      </c>
      <c r="D2597">
        <v>275</v>
      </c>
      <c r="E2597">
        <v>30846946</v>
      </c>
      <c r="F2597" t="s">
        <v>1327</v>
      </c>
      <c r="G2597" s="1">
        <v>45231</v>
      </c>
      <c r="H2597">
        <v>5410889</v>
      </c>
      <c r="I2597">
        <v>81</v>
      </c>
      <c r="J2597" t="s">
        <v>144</v>
      </c>
      <c r="K2597" t="str">
        <f>IFERROR(IF(AND(VLOOKUP($C2597,Hes!$A:$B, 1, FALSE), $M2597&lt;&gt;" "), "Ingresada", "Falta Ingresar"), " ")</f>
        <v xml:space="preserve"> </v>
      </c>
      <c r="L2597" s="4" t="str">
        <f>IFERROR(VLOOKUP($C2597,Observaciones!$A:$B,2,FALSE)," ")</f>
        <v>SEGUN INFORME VENDEDOR, SI NO ENVIA XRUT</v>
      </c>
      <c r="M2597" t="s">
        <v>681</v>
      </c>
      <c r="O2597" s="5">
        <v>30846946</v>
      </c>
      <c r="P2597" s="5">
        <v>816297</v>
      </c>
      <c r="Q2597" s="5">
        <v>155096</v>
      </c>
      <c r="R2597" s="5">
        <v>971393</v>
      </c>
    </row>
    <row r="2598" spans="1:18" x14ac:dyDescent="0.25">
      <c r="A2598" t="s">
        <v>1326</v>
      </c>
      <c r="B2598" t="s">
        <v>494</v>
      </c>
      <c r="C2598">
        <v>79626800</v>
      </c>
      <c r="D2598">
        <v>275</v>
      </c>
      <c r="E2598">
        <v>30846946</v>
      </c>
      <c r="F2598" t="s">
        <v>1327</v>
      </c>
      <c r="G2598" s="1">
        <v>45231</v>
      </c>
      <c r="H2598">
        <v>5410890</v>
      </c>
      <c r="I2598">
        <v>81</v>
      </c>
      <c r="J2598" t="s">
        <v>144</v>
      </c>
      <c r="K2598" t="str">
        <f>IFERROR(IF(AND(VLOOKUP($C2598,Hes!$A:$B, 1, FALSE), $M2598&lt;&gt;" "), "Ingresada", "Falta Ingresar"), " ")</f>
        <v xml:space="preserve"> </v>
      </c>
      <c r="L2598" s="4" t="str">
        <f>IFERROR(VLOOKUP($C2598,Observaciones!$A:$B,2,FALSE)," ")</f>
        <v>SEGUN INFORME VENDEDOR, SI NO ENVIA XRUT</v>
      </c>
      <c r="M2598" t="s">
        <v>681</v>
      </c>
      <c r="O2598" s="5">
        <v>30846946</v>
      </c>
      <c r="P2598" s="5">
        <v>74800</v>
      </c>
      <c r="Q2598" s="5">
        <v>14212</v>
      </c>
      <c r="R2598" s="5">
        <v>89012</v>
      </c>
    </row>
    <row r="2599" spans="1:18" x14ac:dyDescent="0.25">
      <c r="A2599" t="s">
        <v>1326</v>
      </c>
      <c r="B2599" t="s">
        <v>494</v>
      </c>
      <c r="C2599">
        <v>79626800</v>
      </c>
      <c r="D2599">
        <v>237</v>
      </c>
      <c r="E2599">
        <v>30845591</v>
      </c>
      <c r="F2599" t="s">
        <v>1327</v>
      </c>
      <c r="G2599" s="1">
        <v>45231</v>
      </c>
      <c r="H2599">
        <v>5410891</v>
      </c>
      <c r="I2599">
        <v>81</v>
      </c>
      <c r="J2599" t="s">
        <v>144</v>
      </c>
      <c r="K2599" t="str">
        <f>IFERROR(IF(AND(VLOOKUP($C2599,Hes!$A:$B, 1, FALSE), $M2599&lt;&gt;" "), "Ingresada", "Falta Ingresar"), " ")</f>
        <v xml:space="preserve"> </v>
      </c>
      <c r="L2599" s="4" t="str">
        <f>IFERROR(VLOOKUP($C2599,Observaciones!$A:$B,2,FALSE)," ")</f>
        <v>SEGUN INFORME VENDEDOR, SI NO ENVIA XRUT</v>
      </c>
      <c r="M2599" t="s">
        <v>681</v>
      </c>
      <c r="O2599" s="5">
        <v>30845591</v>
      </c>
      <c r="P2599" s="5">
        <v>573752</v>
      </c>
      <c r="Q2599" s="5">
        <v>109013</v>
      </c>
      <c r="R2599" s="5">
        <v>682765</v>
      </c>
    </row>
    <row r="2600" spans="1:18" x14ac:dyDescent="0.25">
      <c r="A2600" t="s">
        <v>1326</v>
      </c>
      <c r="B2600" t="s">
        <v>494</v>
      </c>
      <c r="C2600">
        <v>79626800</v>
      </c>
      <c r="D2600">
        <v>240</v>
      </c>
      <c r="E2600">
        <v>30844617</v>
      </c>
      <c r="F2600" t="s">
        <v>1327</v>
      </c>
      <c r="G2600" s="1">
        <v>45231</v>
      </c>
      <c r="H2600">
        <v>5410892</v>
      </c>
      <c r="I2600">
        <v>81</v>
      </c>
      <c r="J2600" t="s">
        <v>144</v>
      </c>
      <c r="K2600" t="str">
        <f>IFERROR(IF(AND(VLOOKUP($C2600,Hes!$A:$B, 1, FALSE), $M2600&lt;&gt;" "), "Ingresada", "Falta Ingresar"), " ")</f>
        <v xml:space="preserve"> </v>
      </c>
      <c r="L2600" s="4" t="str">
        <f>IFERROR(VLOOKUP($C2600,Observaciones!$A:$B,2,FALSE)," ")</f>
        <v>SEGUN INFORME VENDEDOR, SI NO ENVIA XRUT</v>
      </c>
      <c r="M2600" t="s">
        <v>681</v>
      </c>
      <c r="O2600" s="5">
        <v>30844617</v>
      </c>
      <c r="P2600" s="5">
        <v>596010</v>
      </c>
      <c r="Q2600" s="5">
        <v>113242</v>
      </c>
      <c r="R2600" s="5">
        <v>709252</v>
      </c>
    </row>
    <row r="2601" spans="1:18" x14ac:dyDescent="0.25">
      <c r="A2601" t="s">
        <v>1326</v>
      </c>
      <c r="B2601" t="s">
        <v>494</v>
      </c>
      <c r="C2601">
        <v>79626800</v>
      </c>
      <c r="D2601">
        <v>58</v>
      </c>
      <c r="E2601">
        <v>30849633</v>
      </c>
      <c r="F2601" t="s">
        <v>1327</v>
      </c>
      <c r="G2601" s="1">
        <v>45234</v>
      </c>
      <c r="H2601">
        <v>5411768</v>
      </c>
      <c r="I2601">
        <v>81</v>
      </c>
      <c r="J2601" t="s">
        <v>144</v>
      </c>
      <c r="K2601" t="str">
        <f>IFERROR(IF(AND(VLOOKUP($C2601,Hes!$A:$B, 1, FALSE), $M2601&lt;&gt;" "), "Ingresada", "Falta Ingresar"), " ")</f>
        <v xml:space="preserve"> </v>
      </c>
      <c r="L2601" s="4" t="str">
        <f>IFERROR(VLOOKUP($C2601,Observaciones!$A:$B,2,FALSE)," ")</f>
        <v>SEGUN INFORME VENDEDOR, SI NO ENVIA XRUT</v>
      </c>
      <c r="M2601" t="s">
        <v>681</v>
      </c>
      <c r="O2601" s="5">
        <v>30849633</v>
      </c>
      <c r="P2601" s="5">
        <v>550356</v>
      </c>
      <c r="Q2601" s="5">
        <v>104568</v>
      </c>
      <c r="R2601" s="5">
        <v>654924</v>
      </c>
    </row>
    <row r="2602" spans="1:18" x14ac:dyDescent="0.25">
      <c r="A2602" t="s">
        <v>1326</v>
      </c>
      <c r="B2602" t="s">
        <v>494</v>
      </c>
      <c r="C2602">
        <v>79626800</v>
      </c>
      <c r="D2602">
        <v>66</v>
      </c>
      <c r="E2602">
        <v>30849011</v>
      </c>
      <c r="F2602" t="s">
        <v>1327</v>
      </c>
      <c r="G2602" s="1">
        <v>45234</v>
      </c>
      <c r="H2602">
        <v>5411847</v>
      </c>
      <c r="I2602">
        <v>81</v>
      </c>
      <c r="J2602" t="s">
        <v>144</v>
      </c>
      <c r="K2602" t="str">
        <f>IFERROR(IF(AND(VLOOKUP($C2602,Hes!$A:$B, 1, FALSE), $M2602&lt;&gt;" "), "Ingresada", "Falta Ingresar"), " ")</f>
        <v xml:space="preserve"> </v>
      </c>
      <c r="L2602" s="4" t="str">
        <f>IFERROR(VLOOKUP($C2602,Observaciones!$A:$B,2,FALSE)," ")</f>
        <v>SEGUN INFORME VENDEDOR, SI NO ENVIA XRUT</v>
      </c>
      <c r="M2602" t="s">
        <v>681</v>
      </c>
      <c r="O2602" s="5">
        <v>30849011</v>
      </c>
      <c r="P2602" s="5">
        <v>347640</v>
      </c>
      <c r="Q2602" s="5">
        <v>66052</v>
      </c>
      <c r="R2602" s="5">
        <v>416477</v>
      </c>
    </row>
    <row r="2603" spans="1:18" x14ac:dyDescent="0.25">
      <c r="A2603" t="s">
        <v>1326</v>
      </c>
      <c r="B2603" t="s">
        <v>494</v>
      </c>
      <c r="C2603">
        <v>79626800</v>
      </c>
      <c r="D2603">
        <v>66</v>
      </c>
      <c r="E2603">
        <v>30849011</v>
      </c>
      <c r="F2603" t="s">
        <v>1327</v>
      </c>
      <c r="G2603" s="1">
        <v>45234</v>
      </c>
      <c r="H2603">
        <v>5411848</v>
      </c>
      <c r="I2603">
        <v>81</v>
      </c>
      <c r="J2603" t="s">
        <v>144</v>
      </c>
      <c r="K2603" t="str">
        <f>IFERROR(IF(AND(VLOOKUP($C2603,Hes!$A:$B, 1, FALSE), $M2603&lt;&gt;" "), "Ingresada", "Falta Ingresar"), " ")</f>
        <v xml:space="preserve"> </v>
      </c>
      <c r="L2603" s="4" t="str">
        <f>IFERROR(VLOOKUP($C2603,Observaciones!$A:$B,2,FALSE)," ")</f>
        <v>SEGUN INFORME VENDEDOR, SI NO ENVIA XRUT</v>
      </c>
      <c r="M2603" t="s">
        <v>681</v>
      </c>
      <c r="O2603" s="5">
        <v>30849011</v>
      </c>
      <c r="P2603" s="5">
        <v>403791</v>
      </c>
      <c r="Q2603" s="5">
        <v>76720</v>
      </c>
      <c r="R2603" s="5">
        <v>480511</v>
      </c>
    </row>
    <row r="2604" spans="1:18" x14ac:dyDescent="0.25">
      <c r="A2604" t="s">
        <v>1326</v>
      </c>
      <c r="B2604" t="s">
        <v>494</v>
      </c>
      <c r="C2604">
        <v>79626800</v>
      </c>
      <c r="D2604">
        <v>50</v>
      </c>
      <c r="E2604">
        <v>30849006</v>
      </c>
      <c r="F2604" t="s">
        <v>1327</v>
      </c>
      <c r="G2604" s="1">
        <v>45234</v>
      </c>
      <c r="H2604">
        <v>5411862</v>
      </c>
      <c r="I2604">
        <v>81</v>
      </c>
      <c r="J2604" t="s">
        <v>144</v>
      </c>
      <c r="K2604" t="str">
        <f>IFERROR(IF(AND(VLOOKUP($C2604,Hes!$A:$B, 1, FALSE), $M2604&lt;&gt;" "), "Ingresada", "Falta Ingresar"), " ")</f>
        <v xml:space="preserve"> </v>
      </c>
      <c r="L2604" s="4" t="str">
        <f>IFERROR(VLOOKUP($C2604,Observaciones!$A:$B,2,FALSE)," ")</f>
        <v>SEGUN INFORME VENDEDOR, SI NO ENVIA XRUT</v>
      </c>
      <c r="M2604" t="s">
        <v>681</v>
      </c>
      <c r="O2604" s="5">
        <v>30849006</v>
      </c>
      <c r="P2604" s="5">
        <v>1238890</v>
      </c>
      <c r="Q2604" s="5">
        <v>235389</v>
      </c>
      <c r="R2604" s="5">
        <v>1474279</v>
      </c>
    </row>
    <row r="2605" spans="1:18" x14ac:dyDescent="0.25">
      <c r="A2605" t="s">
        <v>1326</v>
      </c>
      <c r="B2605" t="s">
        <v>494</v>
      </c>
      <c r="C2605">
        <v>79626800</v>
      </c>
      <c r="D2605">
        <v>68</v>
      </c>
      <c r="E2605">
        <v>30849003</v>
      </c>
      <c r="F2605" t="s">
        <v>1327</v>
      </c>
      <c r="G2605" s="1">
        <v>45234</v>
      </c>
      <c r="H2605">
        <v>5411863</v>
      </c>
      <c r="I2605">
        <v>81</v>
      </c>
      <c r="J2605" t="s">
        <v>144</v>
      </c>
      <c r="K2605" t="str">
        <f>IFERROR(IF(AND(VLOOKUP($C2605,Hes!$A:$B, 1, FALSE), $M2605&lt;&gt;" "), "Ingresada", "Falta Ingresar"), " ")</f>
        <v xml:space="preserve"> </v>
      </c>
      <c r="L2605" s="4" t="str">
        <f>IFERROR(VLOOKUP($C2605,Observaciones!$A:$B,2,FALSE)," ")</f>
        <v>SEGUN INFORME VENDEDOR, SI NO ENVIA XRUT</v>
      </c>
      <c r="M2605" t="s">
        <v>681</v>
      </c>
      <c r="O2605" s="5">
        <v>30849003</v>
      </c>
      <c r="P2605" s="5">
        <v>139333</v>
      </c>
      <c r="Q2605" s="5">
        <v>26473</v>
      </c>
      <c r="R2605" s="5">
        <v>165806</v>
      </c>
    </row>
    <row r="2606" spans="1:18" x14ac:dyDescent="0.25">
      <c r="A2606" t="s">
        <v>1326</v>
      </c>
      <c r="B2606" t="s">
        <v>494</v>
      </c>
      <c r="C2606">
        <v>79626800</v>
      </c>
      <c r="D2606">
        <v>61</v>
      </c>
      <c r="E2606">
        <v>30845660</v>
      </c>
      <c r="F2606" t="s">
        <v>1327</v>
      </c>
      <c r="G2606" s="1">
        <v>45234</v>
      </c>
      <c r="H2606">
        <v>5411867</v>
      </c>
      <c r="I2606">
        <v>81</v>
      </c>
      <c r="J2606" t="s">
        <v>144</v>
      </c>
      <c r="K2606" t="str">
        <f>IFERROR(IF(AND(VLOOKUP($C2606,Hes!$A:$B, 1, FALSE), $M2606&lt;&gt;" "), "Ingresada", "Falta Ingresar"), " ")</f>
        <v xml:space="preserve"> </v>
      </c>
      <c r="L2606" s="4" t="str">
        <f>IFERROR(VLOOKUP($C2606,Observaciones!$A:$B,2,FALSE)," ")</f>
        <v>SEGUN INFORME VENDEDOR, SI NO ENVIA XRUT</v>
      </c>
      <c r="M2606" t="s">
        <v>681</v>
      </c>
      <c r="O2606" s="5">
        <v>30845660</v>
      </c>
      <c r="P2606" s="5">
        <v>423068</v>
      </c>
      <c r="Q2606" s="5">
        <v>80383</v>
      </c>
      <c r="R2606" s="5">
        <v>512706</v>
      </c>
    </row>
    <row r="2607" spans="1:18" x14ac:dyDescent="0.25">
      <c r="A2607" t="s">
        <v>1326</v>
      </c>
      <c r="B2607" t="s">
        <v>494</v>
      </c>
      <c r="C2607">
        <v>79626800</v>
      </c>
      <c r="D2607">
        <v>61</v>
      </c>
      <c r="E2607">
        <v>30845660</v>
      </c>
      <c r="F2607" t="s">
        <v>1327</v>
      </c>
      <c r="G2607" s="1">
        <v>45234</v>
      </c>
      <c r="H2607">
        <v>5411868</v>
      </c>
      <c r="I2607">
        <v>81</v>
      </c>
      <c r="J2607" t="s">
        <v>144</v>
      </c>
      <c r="K2607" t="str">
        <f>IFERROR(IF(AND(VLOOKUP($C2607,Hes!$A:$B, 1, FALSE), $M2607&lt;&gt;" "), "Ingresada", "Falta Ingresar"), " ")</f>
        <v xml:space="preserve"> </v>
      </c>
      <c r="L2607" s="4" t="str">
        <f>IFERROR(VLOOKUP($C2607,Observaciones!$A:$B,2,FALSE)," ")</f>
        <v>SEGUN INFORME VENDEDOR, SI NO ENVIA XRUT</v>
      </c>
      <c r="M2607" t="s">
        <v>681</v>
      </c>
      <c r="O2607" s="5">
        <v>30845660</v>
      </c>
      <c r="P2607" s="5">
        <v>238514</v>
      </c>
      <c r="Q2607" s="5">
        <v>45318</v>
      </c>
      <c r="R2607" s="5">
        <v>283832</v>
      </c>
    </row>
    <row r="2608" spans="1:18" x14ac:dyDescent="0.25">
      <c r="A2608" t="s">
        <v>1326</v>
      </c>
      <c r="B2608" t="s">
        <v>494</v>
      </c>
      <c r="C2608">
        <v>79626800</v>
      </c>
      <c r="D2608">
        <v>68</v>
      </c>
      <c r="E2608">
        <v>30846395</v>
      </c>
      <c r="F2608" t="s">
        <v>1327</v>
      </c>
      <c r="G2608" s="1">
        <v>45234</v>
      </c>
      <c r="H2608">
        <v>5411869</v>
      </c>
      <c r="I2608">
        <v>81</v>
      </c>
      <c r="J2608" t="s">
        <v>144</v>
      </c>
      <c r="K2608" t="str">
        <f>IFERROR(IF(AND(VLOOKUP($C2608,Hes!$A:$B, 1, FALSE), $M2608&lt;&gt;" "), "Ingresada", "Falta Ingresar"), " ")</f>
        <v xml:space="preserve"> </v>
      </c>
      <c r="L2608" s="4" t="str">
        <f>IFERROR(VLOOKUP($C2608,Observaciones!$A:$B,2,FALSE)," ")</f>
        <v>SEGUN INFORME VENDEDOR, SI NO ENVIA XRUT</v>
      </c>
      <c r="M2608" t="s">
        <v>681</v>
      </c>
      <c r="O2608" s="5">
        <v>30846395</v>
      </c>
      <c r="P2608" s="5">
        <v>868648</v>
      </c>
      <c r="Q2608" s="5">
        <v>165043</v>
      </c>
      <c r="R2608" s="5">
        <v>1036636</v>
      </c>
    </row>
    <row r="2609" spans="1:18" x14ac:dyDescent="0.25">
      <c r="A2609" t="s">
        <v>1326</v>
      </c>
      <c r="B2609" t="s">
        <v>494</v>
      </c>
      <c r="C2609">
        <v>79626800</v>
      </c>
      <c r="D2609">
        <v>68</v>
      </c>
      <c r="E2609">
        <v>30846395</v>
      </c>
      <c r="F2609" t="s">
        <v>1327</v>
      </c>
      <c r="G2609" s="1">
        <v>45234</v>
      </c>
      <c r="H2609">
        <v>5411870</v>
      </c>
      <c r="I2609">
        <v>81</v>
      </c>
      <c r="J2609" t="s">
        <v>144</v>
      </c>
      <c r="K2609" t="str">
        <f>IFERROR(IF(AND(VLOOKUP($C2609,Hes!$A:$B, 1, FALSE), $M2609&lt;&gt;" "), "Ingresada", "Falta Ingresar"), " ")</f>
        <v xml:space="preserve"> </v>
      </c>
      <c r="L2609" s="4" t="str">
        <f>IFERROR(VLOOKUP($C2609,Observaciones!$A:$B,2,FALSE)," ")</f>
        <v>SEGUN INFORME VENDEDOR, SI NO ENVIA XRUT</v>
      </c>
      <c r="M2609" t="s">
        <v>681</v>
      </c>
      <c r="O2609" s="5">
        <v>30846395</v>
      </c>
      <c r="P2609" s="5">
        <v>114803</v>
      </c>
      <c r="Q2609" s="5">
        <v>21813</v>
      </c>
      <c r="R2609" s="5">
        <v>136616</v>
      </c>
    </row>
    <row r="2610" spans="1:18" x14ac:dyDescent="0.25">
      <c r="A2610" t="s">
        <v>1326</v>
      </c>
      <c r="B2610" t="s">
        <v>494</v>
      </c>
      <c r="C2610">
        <v>79626800</v>
      </c>
      <c r="D2610">
        <v>46</v>
      </c>
      <c r="E2610">
        <v>30845633</v>
      </c>
      <c r="F2610" t="s">
        <v>1327</v>
      </c>
      <c r="G2610" s="1">
        <v>45234</v>
      </c>
      <c r="H2610">
        <v>5411871</v>
      </c>
      <c r="I2610">
        <v>81</v>
      </c>
      <c r="J2610" t="s">
        <v>144</v>
      </c>
      <c r="K2610" t="str">
        <f>IFERROR(IF(AND(VLOOKUP($C2610,Hes!$A:$B, 1, FALSE), $M2610&lt;&gt;" "), "Ingresada", "Falta Ingresar"), " ")</f>
        <v xml:space="preserve"> </v>
      </c>
      <c r="L2610" s="4" t="str">
        <f>IFERROR(VLOOKUP($C2610,Observaciones!$A:$B,2,FALSE)," ")</f>
        <v>SEGUN INFORME VENDEDOR, SI NO ENVIA XRUT</v>
      </c>
      <c r="M2610" t="s">
        <v>681</v>
      </c>
      <c r="O2610" s="5">
        <v>30845633</v>
      </c>
      <c r="P2610" s="5">
        <v>432164</v>
      </c>
      <c r="Q2610" s="5">
        <v>82111</v>
      </c>
      <c r="R2610" s="5">
        <v>525736</v>
      </c>
    </row>
    <row r="2611" spans="1:18" x14ac:dyDescent="0.25">
      <c r="A2611" t="s">
        <v>1326</v>
      </c>
      <c r="B2611" t="s">
        <v>494</v>
      </c>
      <c r="C2611">
        <v>79626800</v>
      </c>
      <c r="D2611">
        <v>46</v>
      </c>
      <c r="E2611">
        <v>30845633</v>
      </c>
      <c r="F2611" t="s">
        <v>1327</v>
      </c>
      <c r="G2611" s="1">
        <v>45234</v>
      </c>
      <c r="H2611">
        <v>5411872</v>
      </c>
      <c r="I2611">
        <v>81</v>
      </c>
      <c r="J2611" t="s">
        <v>144</v>
      </c>
      <c r="K2611" t="str">
        <f>IFERROR(IF(AND(VLOOKUP($C2611,Hes!$A:$B, 1, FALSE), $M2611&lt;&gt;" "), "Ingresada", "Falta Ingresar"), " ")</f>
        <v xml:space="preserve"> </v>
      </c>
      <c r="L2611" s="4" t="str">
        <f>IFERROR(VLOOKUP($C2611,Observaciones!$A:$B,2,FALSE)," ")</f>
        <v>SEGUN INFORME VENDEDOR, SI NO ENVIA XRUT</v>
      </c>
      <c r="M2611" t="s">
        <v>681</v>
      </c>
      <c r="O2611" s="5">
        <v>30845633</v>
      </c>
      <c r="P2611" s="5">
        <v>166123</v>
      </c>
      <c r="Q2611" s="5">
        <v>31563</v>
      </c>
      <c r="R2611" s="5">
        <v>197686</v>
      </c>
    </row>
    <row r="2612" spans="1:18" x14ac:dyDescent="0.25">
      <c r="A2612" t="s">
        <v>1326</v>
      </c>
      <c r="B2612" t="s">
        <v>494</v>
      </c>
      <c r="C2612">
        <v>79626800</v>
      </c>
      <c r="D2612">
        <v>15</v>
      </c>
      <c r="E2612">
        <v>30842996</v>
      </c>
      <c r="F2612" t="s">
        <v>1327</v>
      </c>
      <c r="G2612" s="1">
        <v>45234</v>
      </c>
      <c r="H2612">
        <v>5411873</v>
      </c>
      <c r="I2612">
        <v>81</v>
      </c>
      <c r="J2612" t="s">
        <v>144</v>
      </c>
      <c r="K2612" t="str">
        <f>IFERROR(IF(AND(VLOOKUP($C2612,Hes!$A:$B, 1, FALSE), $M2612&lt;&gt;" "), "Ingresada", "Falta Ingresar"), " ")</f>
        <v xml:space="preserve"> </v>
      </c>
      <c r="L2612" s="4" t="str">
        <f>IFERROR(VLOOKUP($C2612,Observaciones!$A:$B,2,FALSE)," ")</f>
        <v>SEGUN INFORME VENDEDOR, SI NO ENVIA XRUT</v>
      </c>
      <c r="M2612" t="s">
        <v>681</v>
      </c>
      <c r="O2612" s="5">
        <v>30842996</v>
      </c>
      <c r="P2612" s="5">
        <v>476855</v>
      </c>
      <c r="Q2612" s="5">
        <v>90602</v>
      </c>
      <c r="R2612" s="5">
        <v>567457</v>
      </c>
    </row>
    <row r="2613" spans="1:18" x14ac:dyDescent="0.25">
      <c r="A2613" t="s">
        <v>1326</v>
      </c>
      <c r="B2613" t="s">
        <v>494</v>
      </c>
      <c r="C2613">
        <v>79626800</v>
      </c>
      <c r="D2613">
        <v>15</v>
      </c>
      <c r="E2613">
        <v>30842996</v>
      </c>
      <c r="F2613" t="s">
        <v>1327</v>
      </c>
      <c r="G2613" s="1">
        <v>45234</v>
      </c>
      <c r="H2613">
        <v>5411874</v>
      </c>
      <c r="I2613">
        <v>81</v>
      </c>
      <c r="J2613" t="s">
        <v>144</v>
      </c>
      <c r="K2613" t="str">
        <f>IFERROR(IF(AND(VLOOKUP($C2613,Hes!$A:$B, 1, FALSE), $M2613&lt;&gt;" "), "Ingresada", "Falta Ingresar"), " ")</f>
        <v xml:space="preserve"> </v>
      </c>
      <c r="L2613" s="4" t="str">
        <f>IFERROR(VLOOKUP($C2613,Observaciones!$A:$B,2,FALSE)," ")</f>
        <v>SEGUN INFORME VENDEDOR, SI NO ENVIA XRUT</v>
      </c>
      <c r="M2613" t="s">
        <v>681</v>
      </c>
      <c r="O2613" s="5">
        <v>30842996</v>
      </c>
      <c r="P2613" s="5">
        <v>94988</v>
      </c>
      <c r="Q2613" s="5">
        <v>18048</v>
      </c>
      <c r="R2613" s="5">
        <v>113036</v>
      </c>
    </row>
    <row r="2614" spans="1:18" x14ac:dyDescent="0.25">
      <c r="A2614" t="s">
        <v>1326</v>
      </c>
      <c r="B2614" t="s">
        <v>494</v>
      </c>
      <c r="C2614">
        <v>79626800</v>
      </c>
      <c r="D2614">
        <v>40</v>
      </c>
      <c r="E2614">
        <v>30841463</v>
      </c>
      <c r="F2614" t="s">
        <v>1327</v>
      </c>
      <c r="G2614" s="1">
        <v>45234</v>
      </c>
      <c r="H2614">
        <v>5411879</v>
      </c>
      <c r="I2614">
        <v>81</v>
      </c>
      <c r="J2614" t="s">
        <v>144</v>
      </c>
      <c r="K2614" t="str">
        <f>IFERROR(IF(AND(VLOOKUP($C2614,Hes!$A:$B, 1, FALSE), $M2614&lt;&gt;" "), "Ingresada", "Falta Ingresar"), " ")</f>
        <v xml:space="preserve"> </v>
      </c>
      <c r="L2614" s="4" t="str">
        <f>IFERROR(VLOOKUP($C2614,Observaciones!$A:$B,2,FALSE)," ")</f>
        <v>SEGUN INFORME VENDEDOR, SI NO ENVIA XRUT</v>
      </c>
      <c r="M2614" t="s">
        <v>681</v>
      </c>
      <c r="O2614" s="5">
        <v>30841463</v>
      </c>
      <c r="P2614" s="5">
        <v>355566</v>
      </c>
      <c r="Q2614" s="5">
        <v>67558</v>
      </c>
      <c r="R2614" s="5">
        <v>423124</v>
      </c>
    </row>
    <row r="2615" spans="1:18" x14ac:dyDescent="0.25">
      <c r="A2615" t="s">
        <v>1326</v>
      </c>
      <c r="B2615" t="s">
        <v>494</v>
      </c>
      <c r="C2615">
        <v>79626800</v>
      </c>
      <c r="D2615">
        <v>40</v>
      </c>
      <c r="E2615">
        <v>30841463</v>
      </c>
      <c r="F2615" t="s">
        <v>1327</v>
      </c>
      <c r="G2615" s="1">
        <v>45234</v>
      </c>
      <c r="H2615">
        <v>5411880</v>
      </c>
      <c r="I2615">
        <v>81</v>
      </c>
      <c r="J2615" t="s">
        <v>144</v>
      </c>
      <c r="K2615" t="str">
        <f>IFERROR(IF(AND(VLOOKUP($C2615,Hes!$A:$B, 1, FALSE), $M2615&lt;&gt;" "), "Ingresada", "Falta Ingresar"), " ")</f>
        <v xml:space="preserve"> </v>
      </c>
      <c r="L2615" s="4" t="str">
        <f>IFERROR(VLOOKUP($C2615,Observaciones!$A:$B,2,FALSE)," ")</f>
        <v>SEGUN INFORME VENDEDOR, SI NO ENVIA XRUT</v>
      </c>
      <c r="M2615" t="s">
        <v>681</v>
      </c>
      <c r="O2615" s="5">
        <v>30841463</v>
      </c>
      <c r="P2615" s="5">
        <v>141964</v>
      </c>
      <c r="Q2615" s="5">
        <v>26973</v>
      </c>
      <c r="R2615" s="5">
        <v>168937</v>
      </c>
    </row>
    <row r="2616" spans="1:18" x14ac:dyDescent="0.25">
      <c r="A2616" t="s">
        <v>1326</v>
      </c>
      <c r="B2616" t="s">
        <v>494</v>
      </c>
      <c r="C2616">
        <v>79626800</v>
      </c>
      <c r="D2616">
        <v>3</v>
      </c>
      <c r="E2616">
        <v>30847693</v>
      </c>
      <c r="F2616" t="s">
        <v>1327</v>
      </c>
      <c r="G2616" s="1">
        <v>45234</v>
      </c>
      <c r="H2616">
        <v>5411884</v>
      </c>
      <c r="I2616">
        <v>81</v>
      </c>
      <c r="J2616" t="s">
        <v>144</v>
      </c>
      <c r="K2616" t="str">
        <f>IFERROR(IF(AND(VLOOKUP($C2616,Hes!$A:$B, 1, FALSE), $M2616&lt;&gt;" "), "Ingresada", "Falta Ingresar"), " ")</f>
        <v xml:space="preserve"> </v>
      </c>
      <c r="L2616" s="4" t="str">
        <f>IFERROR(VLOOKUP($C2616,Observaciones!$A:$B,2,FALSE)," ")</f>
        <v>SEGUN INFORME VENDEDOR, SI NO ENVIA XRUT</v>
      </c>
      <c r="M2616" t="s">
        <v>681</v>
      </c>
      <c r="O2616" s="5">
        <v>30847693</v>
      </c>
      <c r="P2616" s="5">
        <v>283677</v>
      </c>
      <c r="Q2616" s="5">
        <v>53899</v>
      </c>
      <c r="R2616" s="5">
        <v>339758</v>
      </c>
    </row>
    <row r="2617" spans="1:18" x14ac:dyDescent="0.25">
      <c r="A2617" t="s">
        <v>1326</v>
      </c>
      <c r="B2617" t="s">
        <v>494</v>
      </c>
      <c r="C2617">
        <v>79626800</v>
      </c>
      <c r="D2617">
        <v>58</v>
      </c>
      <c r="E2617">
        <v>30849626</v>
      </c>
      <c r="F2617" t="s">
        <v>1327</v>
      </c>
      <c r="G2617" s="1">
        <v>45234</v>
      </c>
      <c r="H2617">
        <v>5411885</v>
      </c>
      <c r="I2617">
        <v>81</v>
      </c>
      <c r="J2617" t="s">
        <v>144</v>
      </c>
      <c r="K2617" t="str">
        <f>IFERROR(IF(AND(VLOOKUP($C2617,Hes!$A:$B, 1, FALSE), $M2617&lt;&gt;" "), "Ingresada", "Falta Ingresar"), " ")</f>
        <v xml:space="preserve"> </v>
      </c>
      <c r="L2617" s="4" t="str">
        <f>IFERROR(VLOOKUP($C2617,Observaciones!$A:$B,2,FALSE)," ")</f>
        <v>SEGUN INFORME VENDEDOR, SI NO ENVIA XRUT</v>
      </c>
      <c r="M2617" t="s">
        <v>681</v>
      </c>
      <c r="O2617" s="5">
        <v>30849626</v>
      </c>
      <c r="P2617" s="5">
        <v>77422</v>
      </c>
      <c r="Q2617" s="5">
        <v>14710</v>
      </c>
      <c r="R2617" s="5">
        <v>92132</v>
      </c>
    </row>
    <row r="2618" spans="1:18" x14ac:dyDescent="0.25">
      <c r="A2618" t="s">
        <v>1326</v>
      </c>
      <c r="B2618" t="s">
        <v>494</v>
      </c>
      <c r="C2618">
        <v>79626800</v>
      </c>
      <c r="D2618">
        <v>52</v>
      </c>
      <c r="E2618">
        <v>30843988</v>
      </c>
      <c r="F2618" t="s">
        <v>1327</v>
      </c>
      <c r="G2618" s="1">
        <v>45234</v>
      </c>
      <c r="H2618">
        <v>5411895</v>
      </c>
      <c r="I2618">
        <v>81</v>
      </c>
      <c r="J2618" t="s">
        <v>144</v>
      </c>
      <c r="K2618" t="str">
        <f>IFERROR(IF(AND(VLOOKUP($C2618,Hes!$A:$B, 1, FALSE), $M2618&lt;&gt;" "), "Ingresada", "Falta Ingresar"), " ")</f>
        <v xml:space="preserve"> </v>
      </c>
      <c r="L2618" s="4" t="str">
        <f>IFERROR(VLOOKUP($C2618,Observaciones!$A:$B,2,FALSE)," ")</f>
        <v>SEGUN INFORME VENDEDOR, SI NO ENVIA XRUT</v>
      </c>
      <c r="M2618" t="s">
        <v>681</v>
      </c>
      <c r="O2618" s="5">
        <v>30843988</v>
      </c>
      <c r="P2618" s="5">
        <v>263744</v>
      </c>
      <c r="Q2618" s="5">
        <v>50111</v>
      </c>
      <c r="R2618" s="5">
        <v>316198</v>
      </c>
    </row>
    <row r="2619" spans="1:18" x14ac:dyDescent="0.25">
      <c r="A2619" t="s">
        <v>1326</v>
      </c>
      <c r="B2619" t="s">
        <v>494</v>
      </c>
      <c r="C2619">
        <v>79626800</v>
      </c>
      <c r="D2619">
        <v>46</v>
      </c>
      <c r="E2619">
        <v>30845651</v>
      </c>
      <c r="F2619" t="s">
        <v>1327</v>
      </c>
      <c r="G2619" s="1">
        <v>45234</v>
      </c>
      <c r="H2619">
        <v>5411896</v>
      </c>
      <c r="I2619">
        <v>81</v>
      </c>
      <c r="J2619" t="s">
        <v>144</v>
      </c>
      <c r="K2619" t="str">
        <f>IFERROR(IF(AND(VLOOKUP($C2619,Hes!$A:$B, 1, FALSE), $M2619&lt;&gt;" "), "Ingresada", "Falta Ingresar"), " ")</f>
        <v xml:space="preserve"> </v>
      </c>
      <c r="L2619" s="4" t="str">
        <f>IFERROR(VLOOKUP($C2619,Observaciones!$A:$B,2,FALSE)," ")</f>
        <v>SEGUN INFORME VENDEDOR, SI NO ENVIA XRUT</v>
      </c>
      <c r="M2619" t="s">
        <v>681</v>
      </c>
      <c r="O2619" s="5">
        <v>30845651</v>
      </c>
      <c r="P2619" s="5">
        <v>364810</v>
      </c>
      <c r="Q2619" s="5">
        <v>69314</v>
      </c>
      <c r="R2619" s="5">
        <v>439445</v>
      </c>
    </row>
    <row r="2620" spans="1:18" x14ac:dyDescent="0.25">
      <c r="A2620" t="s">
        <v>1326</v>
      </c>
      <c r="B2620" t="s">
        <v>494</v>
      </c>
      <c r="C2620">
        <v>79626800</v>
      </c>
      <c r="D2620">
        <v>31</v>
      </c>
      <c r="E2620">
        <v>30845921</v>
      </c>
      <c r="F2620" t="s">
        <v>1327</v>
      </c>
      <c r="G2620" s="1">
        <v>45234</v>
      </c>
      <c r="H2620">
        <v>5411897</v>
      </c>
      <c r="I2620">
        <v>81</v>
      </c>
      <c r="J2620" t="s">
        <v>144</v>
      </c>
      <c r="K2620" t="str">
        <f>IFERROR(IF(AND(VLOOKUP($C2620,Hes!$A:$B, 1, FALSE), $M2620&lt;&gt;" "), "Ingresada", "Falta Ingresar"), " ")</f>
        <v xml:space="preserve"> </v>
      </c>
      <c r="L2620" s="4" t="str">
        <f>IFERROR(VLOOKUP($C2620,Observaciones!$A:$B,2,FALSE)," ")</f>
        <v>SEGUN INFORME VENDEDOR, SI NO ENVIA XRUT</v>
      </c>
      <c r="M2620" t="s">
        <v>681</v>
      </c>
      <c r="O2620" s="5">
        <v>30845921</v>
      </c>
      <c r="P2620" s="5">
        <v>492289</v>
      </c>
      <c r="Q2620" s="5">
        <v>93535</v>
      </c>
      <c r="R2620" s="5">
        <v>587581</v>
      </c>
    </row>
    <row r="2621" spans="1:18" x14ac:dyDescent="0.25">
      <c r="A2621" t="s">
        <v>1326</v>
      </c>
      <c r="B2621" t="s">
        <v>494</v>
      </c>
      <c r="C2621">
        <v>79626800</v>
      </c>
      <c r="D2621">
        <v>88</v>
      </c>
      <c r="E2621">
        <v>30845575</v>
      </c>
      <c r="F2621" t="s">
        <v>1327</v>
      </c>
      <c r="G2621" s="1">
        <v>45234</v>
      </c>
      <c r="H2621">
        <v>5411898</v>
      </c>
      <c r="I2621">
        <v>81</v>
      </c>
      <c r="J2621" t="s">
        <v>144</v>
      </c>
      <c r="K2621" t="str">
        <f>IFERROR(IF(AND(VLOOKUP($C2621,Hes!$A:$B, 1, FALSE), $M2621&lt;&gt;" "), "Ingresada", "Falta Ingresar"), " ")</f>
        <v xml:space="preserve"> </v>
      </c>
      <c r="L2621" s="4" t="str">
        <f>IFERROR(VLOOKUP($C2621,Observaciones!$A:$B,2,FALSE)," ")</f>
        <v>SEGUN INFORME VENDEDOR, SI NO ENVIA XRUT</v>
      </c>
      <c r="M2621" t="s">
        <v>681</v>
      </c>
      <c r="O2621" s="5">
        <v>30845575</v>
      </c>
      <c r="P2621" s="5">
        <v>401827</v>
      </c>
      <c r="Q2621" s="5">
        <v>76347</v>
      </c>
      <c r="R2621" s="5">
        <v>480356</v>
      </c>
    </row>
    <row r="2622" spans="1:18" x14ac:dyDescent="0.25">
      <c r="A2622" t="s">
        <v>1326</v>
      </c>
      <c r="B2622" t="s">
        <v>494</v>
      </c>
      <c r="C2622">
        <v>79626800</v>
      </c>
      <c r="D2622">
        <v>88</v>
      </c>
      <c r="E2622">
        <v>30845575</v>
      </c>
      <c r="F2622" t="s">
        <v>1327</v>
      </c>
      <c r="G2622" s="1">
        <v>45234</v>
      </c>
      <c r="H2622">
        <v>5411899</v>
      </c>
      <c r="I2622">
        <v>81</v>
      </c>
      <c r="J2622" t="s">
        <v>144</v>
      </c>
      <c r="K2622" t="str">
        <f>IFERROR(IF(AND(VLOOKUP($C2622,Hes!$A:$B, 1, FALSE), $M2622&lt;&gt;" "), "Ingresada", "Falta Ingresar"), " ")</f>
        <v xml:space="preserve"> </v>
      </c>
      <c r="L2622" s="4" t="str">
        <f>IFERROR(VLOOKUP($C2622,Observaciones!$A:$B,2,FALSE)," ")</f>
        <v>SEGUN INFORME VENDEDOR, SI NO ENVIA XRUT</v>
      </c>
      <c r="M2622" t="s">
        <v>681</v>
      </c>
      <c r="O2622" s="5">
        <v>30845575</v>
      </c>
      <c r="P2622" s="5">
        <v>99820</v>
      </c>
      <c r="Q2622" s="5">
        <v>18966</v>
      </c>
      <c r="R2622" s="5">
        <v>118786</v>
      </c>
    </row>
    <row r="2623" spans="1:18" x14ac:dyDescent="0.25">
      <c r="A2623" t="s">
        <v>1326</v>
      </c>
      <c r="B2623" t="s">
        <v>494</v>
      </c>
      <c r="C2623">
        <v>79626800</v>
      </c>
      <c r="D2623">
        <v>46</v>
      </c>
      <c r="E2623">
        <v>30845642</v>
      </c>
      <c r="F2623" t="s">
        <v>1327</v>
      </c>
      <c r="G2623" s="1">
        <v>45234</v>
      </c>
      <c r="H2623">
        <v>5411900</v>
      </c>
      <c r="I2623">
        <v>81</v>
      </c>
      <c r="J2623" t="s">
        <v>144</v>
      </c>
      <c r="K2623" t="str">
        <f>IFERROR(IF(AND(VLOOKUP($C2623,Hes!$A:$B, 1, FALSE), $M2623&lt;&gt;" "), "Ingresada", "Falta Ingresar"), " ")</f>
        <v xml:space="preserve"> </v>
      </c>
      <c r="L2623" s="4" t="str">
        <f>IFERROR(VLOOKUP($C2623,Observaciones!$A:$B,2,FALSE)," ")</f>
        <v>SEGUN INFORME VENDEDOR, SI NO ENVIA XRUT</v>
      </c>
      <c r="M2623" t="s">
        <v>681</v>
      </c>
      <c r="O2623" s="5">
        <v>30845642</v>
      </c>
      <c r="P2623" s="5">
        <v>364810</v>
      </c>
      <c r="Q2623" s="5">
        <v>69314</v>
      </c>
      <c r="R2623" s="5">
        <v>439445</v>
      </c>
    </row>
    <row r="2624" spans="1:18" x14ac:dyDescent="0.25">
      <c r="A2624" t="s">
        <v>1326</v>
      </c>
      <c r="B2624" t="s">
        <v>494</v>
      </c>
      <c r="C2624">
        <v>79626800</v>
      </c>
      <c r="D2624">
        <v>264</v>
      </c>
      <c r="E2624">
        <v>30849013</v>
      </c>
      <c r="F2624" t="s">
        <v>1327</v>
      </c>
      <c r="G2624" s="1">
        <v>45234</v>
      </c>
      <c r="H2624">
        <v>5411908</v>
      </c>
      <c r="I2624">
        <v>81</v>
      </c>
      <c r="J2624" t="s">
        <v>144</v>
      </c>
      <c r="K2624" t="str">
        <f>IFERROR(IF(AND(VLOOKUP($C2624,Hes!$A:$B, 1, FALSE), $M2624&lt;&gt;" "), "Ingresada", "Falta Ingresar"), " ")</f>
        <v xml:space="preserve"> </v>
      </c>
      <c r="L2624" s="4" t="str">
        <f>IFERROR(VLOOKUP($C2624,Observaciones!$A:$B,2,FALSE)," ")</f>
        <v>SEGUN INFORME VENDEDOR, SI NO ENVIA XRUT</v>
      </c>
      <c r="M2624" t="s">
        <v>681</v>
      </c>
      <c r="O2624" s="5">
        <v>30849013</v>
      </c>
      <c r="P2624" s="5">
        <v>1300689</v>
      </c>
      <c r="Q2624" s="5">
        <v>247131</v>
      </c>
      <c r="R2624" s="5">
        <v>1547820</v>
      </c>
    </row>
    <row r="2625" spans="1:18" x14ac:dyDescent="0.25">
      <c r="A2625" t="s">
        <v>1326</v>
      </c>
      <c r="B2625" t="s">
        <v>494</v>
      </c>
      <c r="C2625">
        <v>79626800</v>
      </c>
      <c r="D2625">
        <v>264</v>
      </c>
      <c r="E2625">
        <v>30849013</v>
      </c>
      <c r="F2625" t="s">
        <v>1327</v>
      </c>
      <c r="G2625" s="1">
        <v>45234</v>
      </c>
      <c r="H2625">
        <v>5411909</v>
      </c>
      <c r="I2625">
        <v>81</v>
      </c>
      <c r="J2625" t="s">
        <v>144</v>
      </c>
      <c r="K2625" t="str">
        <f>IFERROR(IF(AND(VLOOKUP($C2625,Hes!$A:$B, 1, FALSE), $M2625&lt;&gt;" "), "Ingresada", "Falta Ingresar"), " ")</f>
        <v xml:space="preserve"> </v>
      </c>
      <c r="L2625" s="4" t="str">
        <f>IFERROR(VLOOKUP($C2625,Observaciones!$A:$B,2,FALSE)," ")</f>
        <v>SEGUN INFORME VENDEDOR, SI NO ENVIA XRUT</v>
      </c>
      <c r="M2625" t="s">
        <v>681</v>
      </c>
      <c r="O2625" s="5">
        <v>30849013</v>
      </c>
      <c r="P2625" s="5">
        <v>115360</v>
      </c>
      <c r="Q2625" s="5">
        <v>21918</v>
      </c>
      <c r="R2625" s="5">
        <v>137278</v>
      </c>
    </row>
    <row r="2626" spans="1:18" x14ac:dyDescent="0.25">
      <c r="A2626" t="s">
        <v>1326</v>
      </c>
      <c r="B2626" t="s">
        <v>494</v>
      </c>
      <c r="C2626">
        <v>79626800</v>
      </c>
      <c r="D2626">
        <v>58</v>
      </c>
      <c r="E2626">
        <v>30849954</v>
      </c>
      <c r="F2626" t="s">
        <v>1327</v>
      </c>
      <c r="G2626" s="1">
        <v>45234</v>
      </c>
      <c r="H2626">
        <v>5412165</v>
      </c>
      <c r="I2626">
        <v>81</v>
      </c>
      <c r="J2626" t="s">
        <v>144</v>
      </c>
      <c r="K2626" t="str">
        <f>IFERROR(IF(AND(VLOOKUP($C2626,Hes!$A:$B, 1, FALSE), $M2626&lt;&gt;" "), "Ingresada", "Falta Ingresar"), " ")</f>
        <v xml:space="preserve"> </v>
      </c>
      <c r="L2626" s="4" t="str">
        <f>IFERROR(VLOOKUP($C2626,Observaciones!$A:$B,2,FALSE)," ")</f>
        <v>SEGUN INFORME VENDEDOR, SI NO ENVIA XRUT</v>
      </c>
      <c r="M2626" t="s">
        <v>681</v>
      </c>
      <c r="O2626" s="5">
        <v>30849954</v>
      </c>
      <c r="P2626" s="5">
        <v>84107</v>
      </c>
      <c r="Q2626" s="5">
        <v>15980</v>
      </c>
      <c r="R2626" s="5">
        <v>100087</v>
      </c>
    </row>
    <row r="2627" spans="1:18" x14ac:dyDescent="0.25">
      <c r="A2627" t="s">
        <v>1326</v>
      </c>
      <c r="B2627" t="s">
        <v>494</v>
      </c>
      <c r="C2627">
        <v>79626800</v>
      </c>
      <c r="D2627">
        <v>18</v>
      </c>
      <c r="E2627">
        <v>30850315</v>
      </c>
      <c r="F2627" t="s">
        <v>1327</v>
      </c>
      <c r="G2627" s="1">
        <v>45234</v>
      </c>
      <c r="H2627">
        <v>5412166</v>
      </c>
      <c r="I2627">
        <v>81</v>
      </c>
      <c r="J2627" t="s">
        <v>144</v>
      </c>
      <c r="K2627" t="str">
        <f>IFERROR(IF(AND(VLOOKUP($C2627,Hes!$A:$B, 1, FALSE), $M2627&lt;&gt;" "), "Ingresada", "Falta Ingresar"), " ")</f>
        <v xml:space="preserve"> </v>
      </c>
      <c r="L2627" s="4" t="str">
        <f>IFERROR(VLOOKUP($C2627,Observaciones!$A:$B,2,FALSE)," ")</f>
        <v>SEGUN INFORME VENDEDOR, SI NO ENVIA XRUT</v>
      </c>
      <c r="M2627" t="s">
        <v>681</v>
      </c>
      <c r="O2627" s="5">
        <v>30850315</v>
      </c>
      <c r="P2627" s="5">
        <v>312406</v>
      </c>
      <c r="Q2627" s="5">
        <v>59357</v>
      </c>
      <c r="R2627" s="5">
        <v>371763</v>
      </c>
    </row>
    <row r="2628" spans="1:18" x14ac:dyDescent="0.25">
      <c r="A2628" t="s">
        <v>1326</v>
      </c>
      <c r="B2628" t="s">
        <v>494</v>
      </c>
      <c r="C2628">
        <v>79626800</v>
      </c>
      <c r="D2628">
        <v>88</v>
      </c>
      <c r="E2628">
        <v>30849010</v>
      </c>
      <c r="F2628" t="s">
        <v>1327</v>
      </c>
      <c r="G2628" s="1">
        <v>45234</v>
      </c>
      <c r="H2628">
        <v>5412397</v>
      </c>
      <c r="I2628">
        <v>81</v>
      </c>
      <c r="J2628" t="s">
        <v>144</v>
      </c>
      <c r="K2628" t="str">
        <f>IFERROR(IF(AND(VLOOKUP($C2628,Hes!$A:$B, 1, FALSE), $M2628&lt;&gt;" "), "Ingresada", "Falta Ingresar"), " ")</f>
        <v xml:space="preserve"> </v>
      </c>
      <c r="L2628" s="4" t="str">
        <f>IFERROR(VLOOKUP($C2628,Observaciones!$A:$B,2,FALSE)," ")</f>
        <v>SEGUN INFORME VENDEDOR, SI NO ENVIA XRUT</v>
      </c>
      <c r="M2628" t="s">
        <v>681</v>
      </c>
      <c r="O2628" s="5">
        <v>30849010</v>
      </c>
      <c r="P2628" s="5">
        <v>609974</v>
      </c>
      <c r="Q2628" s="5">
        <v>115895</v>
      </c>
      <c r="R2628" s="5">
        <v>732205</v>
      </c>
    </row>
    <row r="2629" spans="1:18" x14ac:dyDescent="0.25">
      <c r="A2629" t="s">
        <v>1326</v>
      </c>
      <c r="B2629" t="s">
        <v>494</v>
      </c>
      <c r="C2629">
        <v>79626800</v>
      </c>
      <c r="D2629">
        <v>88</v>
      </c>
      <c r="E2629">
        <v>30849010</v>
      </c>
      <c r="F2629" t="s">
        <v>1327</v>
      </c>
      <c r="G2629" s="1">
        <v>45234</v>
      </c>
      <c r="H2629">
        <v>5412398</v>
      </c>
      <c r="I2629">
        <v>81</v>
      </c>
      <c r="J2629" t="s">
        <v>144</v>
      </c>
      <c r="K2629" t="str">
        <f>IFERROR(IF(AND(VLOOKUP($C2629,Hes!$A:$B, 1, FALSE), $M2629&lt;&gt;" "), "Ingresada", "Falta Ingresar"), " ")</f>
        <v xml:space="preserve"> </v>
      </c>
      <c r="L2629" s="4" t="str">
        <f>IFERROR(VLOOKUP($C2629,Observaciones!$A:$B,2,FALSE)," ")</f>
        <v>SEGUN INFORME VENDEDOR, SI NO ENVIA XRUT</v>
      </c>
      <c r="M2629" t="s">
        <v>681</v>
      </c>
      <c r="O2629" s="5">
        <v>30849010</v>
      </c>
      <c r="P2629" s="5">
        <v>203696</v>
      </c>
      <c r="Q2629" s="5">
        <v>38702</v>
      </c>
      <c r="R2629" s="5">
        <v>242398</v>
      </c>
    </row>
    <row r="2630" spans="1:18" x14ac:dyDescent="0.25">
      <c r="A2630" t="s">
        <v>1326</v>
      </c>
      <c r="B2630" t="s">
        <v>494</v>
      </c>
      <c r="C2630">
        <v>79626800</v>
      </c>
      <c r="D2630">
        <v>37</v>
      </c>
      <c r="E2630">
        <v>30851793</v>
      </c>
      <c r="F2630" t="s">
        <v>1327</v>
      </c>
      <c r="G2630" s="1">
        <v>45234</v>
      </c>
      <c r="H2630">
        <v>5412408</v>
      </c>
      <c r="I2630">
        <v>81</v>
      </c>
      <c r="J2630" t="s">
        <v>144</v>
      </c>
      <c r="K2630" t="str">
        <f>IFERROR(IF(AND(VLOOKUP($C2630,Hes!$A:$B, 1, FALSE), $M2630&lt;&gt;" "), "Ingresada", "Falta Ingresar"), " ")</f>
        <v xml:space="preserve"> </v>
      </c>
      <c r="L2630" s="4" t="str">
        <f>IFERROR(VLOOKUP($C2630,Observaciones!$A:$B,2,FALSE)," ")</f>
        <v>SEGUN INFORME VENDEDOR, SI NO ENVIA XRUT</v>
      </c>
      <c r="M2630" t="s">
        <v>681</v>
      </c>
      <c r="O2630" s="5">
        <v>30851793</v>
      </c>
      <c r="P2630" s="5">
        <v>625354</v>
      </c>
      <c r="Q2630" s="5">
        <v>118817</v>
      </c>
      <c r="R2630" s="5">
        <v>744171</v>
      </c>
    </row>
    <row r="2631" spans="1:18" x14ac:dyDescent="0.25">
      <c r="A2631" t="s">
        <v>1326</v>
      </c>
      <c r="B2631" t="s">
        <v>494</v>
      </c>
      <c r="C2631">
        <v>79626800</v>
      </c>
      <c r="D2631">
        <v>45</v>
      </c>
      <c r="E2631">
        <v>30849005</v>
      </c>
      <c r="F2631" t="s">
        <v>1327</v>
      </c>
      <c r="G2631" s="1">
        <v>45234</v>
      </c>
      <c r="H2631">
        <v>5412409</v>
      </c>
      <c r="I2631">
        <v>81</v>
      </c>
      <c r="J2631" t="s">
        <v>144</v>
      </c>
      <c r="K2631" t="str">
        <f>IFERROR(IF(AND(VLOOKUP($C2631,Hes!$A:$B, 1, FALSE), $M2631&lt;&gt;" "), "Ingresada", "Falta Ingresar"), " ")</f>
        <v xml:space="preserve"> </v>
      </c>
      <c r="L2631" s="4" t="str">
        <f>IFERROR(VLOOKUP($C2631,Observaciones!$A:$B,2,FALSE)," ")</f>
        <v>SEGUN INFORME VENDEDOR, SI NO ENVIA XRUT</v>
      </c>
      <c r="M2631" t="s">
        <v>681</v>
      </c>
      <c r="O2631" s="5">
        <v>30849005</v>
      </c>
      <c r="P2631" s="5">
        <v>349322</v>
      </c>
      <c r="Q2631" s="5">
        <v>66371</v>
      </c>
      <c r="R2631" s="5">
        <v>415693</v>
      </c>
    </row>
    <row r="2632" spans="1:18" x14ac:dyDescent="0.25">
      <c r="A2632" t="s">
        <v>1326</v>
      </c>
      <c r="B2632" t="s">
        <v>494</v>
      </c>
      <c r="C2632">
        <v>79626800</v>
      </c>
      <c r="D2632">
        <v>3</v>
      </c>
      <c r="E2632">
        <v>30849009</v>
      </c>
      <c r="F2632" t="s">
        <v>1327</v>
      </c>
      <c r="G2632" s="1">
        <v>45234</v>
      </c>
      <c r="H2632">
        <v>5412800</v>
      </c>
      <c r="I2632">
        <v>81</v>
      </c>
      <c r="J2632" t="s">
        <v>144</v>
      </c>
      <c r="K2632" t="str">
        <f>IFERROR(IF(AND(VLOOKUP($C2632,Hes!$A:$B, 1, FALSE), $M2632&lt;&gt;" "), "Ingresada", "Falta Ingresar"), " ")</f>
        <v xml:space="preserve"> </v>
      </c>
      <c r="L2632" s="4" t="str">
        <f>IFERROR(VLOOKUP($C2632,Observaciones!$A:$B,2,FALSE)," ")</f>
        <v>SEGUN INFORME VENDEDOR, SI NO ENVIA XRUT</v>
      </c>
      <c r="M2632" t="s">
        <v>681</v>
      </c>
      <c r="O2632" s="5">
        <v>30849009</v>
      </c>
      <c r="P2632" s="5">
        <v>935278</v>
      </c>
      <c r="Q2632" s="5">
        <v>177703</v>
      </c>
      <c r="R2632" s="5">
        <v>1112981</v>
      </c>
    </row>
    <row r="2633" spans="1:18" x14ac:dyDescent="0.25">
      <c r="A2633" t="s">
        <v>1326</v>
      </c>
      <c r="B2633" t="s">
        <v>494</v>
      </c>
      <c r="C2633">
        <v>79626800</v>
      </c>
      <c r="D2633">
        <v>511</v>
      </c>
      <c r="E2633">
        <v>30850878</v>
      </c>
      <c r="F2633" t="s">
        <v>1327</v>
      </c>
      <c r="G2633" s="1">
        <v>45234</v>
      </c>
      <c r="H2633">
        <v>5413030</v>
      </c>
      <c r="I2633">
        <v>81</v>
      </c>
      <c r="J2633" t="s">
        <v>144</v>
      </c>
      <c r="K2633" t="str">
        <f>IFERROR(IF(AND(VLOOKUP($C2633,Hes!$A:$B, 1, FALSE), $M2633&lt;&gt;" "), "Ingresada", "Falta Ingresar"), " ")</f>
        <v xml:space="preserve"> </v>
      </c>
      <c r="L2633" s="4" t="str">
        <f>IFERROR(VLOOKUP($C2633,Observaciones!$A:$B,2,FALSE)," ")</f>
        <v>SEGUN INFORME VENDEDOR, SI NO ENVIA XRUT</v>
      </c>
      <c r="M2633" t="s">
        <v>681</v>
      </c>
      <c r="O2633" s="5">
        <v>30850878</v>
      </c>
      <c r="P2633" s="5">
        <v>595763</v>
      </c>
      <c r="Q2633" s="5">
        <v>113195</v>
      </c>
      <c r="R2633" s="5">
        <v>708958</v>
      </c>
    </row>
    <row r="2634" spans="1:18" x14ac:dyDescent="0.25">
      <c r="A2634" t="s">
        <v>1326</v>
      </c>
      <c r="B2634" t="s">
        <v>494</v>
      </c>
      <c r="C2634">
        <v>79626800</v>
      </c>
      <c r="D2634">
        <v>511</v>
      </c>
      <c r="E2634">
        <v>30850878</v>
      </c>
      <c r="F2634" t="s">
        <v>1327</v>
      </c>
      <c r="G2634" s="1">
        <v>45234</v>
      </c>
      <c r="H2634">
        <v>5413031</v>
      </c>
      <c r="I2634">
        <v>81</v>
      </c>
      <c r="J2634" t="s">
        <v>144</v>
      </c>
      <c r="K2634" t="str">
        <f>IFERROR(IF(AND(VLOOKUP($C2634,Hes!$A:$B, 1, FALSE), $M2634&lt;&gt;" "), "Ingresada", "Falta Ingresar"), " ")</f>
        <v xml:space="preserve"> </v>
      </c>
      <c r="L2634" s="4" t="str">
        <f>IFERROR(VLOOKUP($C2634,Observaciones!$A:$B,2,FALSE)," ")</f>
        <v>SEGUN INFORME VENDEDOR, SI NO ENVIA XRUT</v>
      </c>
      <c r="M2634" t="s">
        <v>681</v>
      </c>
      <c r="O2634" s="5">
        <v>30850878</v>
      </c>
      <c r="P2634" s="5">
        <v>121494</v>
      </c>
      <c r="Q2634" s="5">
        <v>23084</v>
      </c>
      <c r="R2634" s="5">
        <v>144578</v>
      </c>
    </row>
    <row r="2635" spans="1:18" x14ac:dyDescent="0.25">
      <c r="A2635" t="s">
        <v>1326</v>
      </c>
      <c r="B2635" t="s">
        <v>494</v>
      </c>
      <c r="C2635">
        <v>79626800</v>
      </c>
      <c r="D2635">
        <v>515</v>
      </c>
      <c r="E2635">
        <v>30858863</v>
      </c>
      <c r="F2635" t="s">
        <v>1327</v>
      </c>
      <c r="G2635" s="1">
        <v>45237</v>
      </c>
      <c r="H2635">
        <v>5414037</v>
      </c>
      <c r="I2635">
        <v>81</v>
      </c>
      <c r="J2635" t="s">
        <v>144</v>
      </c>
      <c r="K2635" t="str">
        <f>IFERROR(IF(AND(VLOOKUP($C2635,Hes!$A:$B, 1, FALSE), $M2635&lt;&gt;" "), "Ingresada", "Falta Ingresar"), " ")</f>
        <v xml:space="preserve"> </v>
      </c>
      <c r="L2635" s="4" t="str">
        <f>IFERROR(VLOOKUP($C2635,Observaciones!$A:$B,2,FALSE)," ")</f>
        <v>SEGUN INFORME VENDEDOR, SI NO ENVIA XRUT</v>
      </c>
      <c r="M2635" t="s">
        <v>681</v>
      </c>
      <c r="O2635" s="5">
        <v>30858863</v>
      </c>
      <c r="P2635" s="5">
        <v>27710</v>
      </c>
      <c r="Q2635" s="5">
        <v>5265</v>
      </c>
      <c r="R2635" s="5">
        <v>32975</v>
      </c>
    </row>
    <row r="2636" spans="1:18" x14ac:dyDescent="0.25">
      <c r="A2636" t="s">
        <v>1326</v>
      </c>
      <c r="B2636" t="s">
        <v>494</v>
      </c>
      <c r="C2636">
        <v>79626800</v>
      </c>
      <c r="D2636">
        <v>239</v>
      </c>
      <c r="E2636">
        <v>30858673</v>
      </c>
      <c r="F2636" t="s">
        <v>1327</v>
      </c>
      <c r="G2636" s="1">
        <v>45237</v>
      </c>
      <c r="H2636">
        <v>5414499</v>
      </c>
      <c r="I2636">
        <v>81</v>
      </c>
      <c r="J2636" t="s">
        <v>144</v>
      </c>
      <c r="K2636" t="str">
        <f>IFERROR(IF(AND(VLOOKUP($C2636,Hes!$A:$B, 1, FALSE), $M2636&lt;&gt;" "), "Ingresada", "Falta Ingresar"), " ")</f>
        <v xml:space="preserve"> </v>
      </c>
      <c r="L2636" s="4" t="str">
        <f>IFERROR(VLOOKUP($C2636,Observaciones!$A:$B,2,FALSE)," ")</f>
        <v>SEGUN INFORME VENDEDOR, SI NO ENVIA XRUT</v>
      </c>
      <c r="M2636" t="s">
        <v>681</v>
      </c>
      <c r="O2636" s="5">
        <v>30858673</v>
      </c>
      <c r="P2636" s="5">
        <v>1388734</v>
      </c>
      <c r="Q2636" s="5">
        <v>263859</v>
      </c>
      <c r="R2636" s="5">
        <v>1652593</v>
      </c>
    </row>
    <row r="2637" spans="1:18" x14ac:dyDescent="0.25">
      <c r="A2637" t="s">
        <v>1326</v>
      </c>
      <c r="B2637" t="s">
        <v>494</v>
      </c>
      <c r="C2637">
        <v>79626800</v>
      </c>
      <c r="D2637">
        <v>237</v>
      </c>
      <c r="E2637">
        <v>30858683</v>
      </c>
      <c r="F2637" t="s">
        <v>1327</v>
      </c>
      <c r="G2637" s="1">
        <v>45237</v>
      </c>
      <c r="H2637">
        <v>5414501</v>
      </c>
      <c r="I2637">
        <v>81</v>
      </c>
      <c r="J2637" t="s">
        <v>144</v>
      </c>
      <c r="K2637" t="str">
        <f>IFERROR(IF(AND(VLOOKUP($C2637,Hes!$A:$B, 1, FALSE), $M2637&lt;&gt;" "), "Ingresada", "Falta Ingresar"), " ")</f>
        <v xml:space="preserve"> </v>
      </c>
      <c r="L2637" s="4" t="str">
        <f>IFERROR(VLOOKUP($C2637,Observaciones!$A:$B,2,FALSE)," ")</f>
        <v>SEGUN INFORME VENDEDOR, SI NO ENVIA XRUT</v>
      </c>
      <c r="M2637" t="s">
        <v>681</v>
      </c>
      <c r="O2637" s="5">
        <v>30858683</v>
      </c>
      <c r="P2637" s="5">
        <v>235120</v>
      </c>
      <c r="Q2637" s="5">
        <v>44673</v>
      </c>
      <c r="R2637" s="5">
        <v>279793</v>
      </c>
    </row>
    <row r="2638" spans="1:18" x14ac:dyDescent="0.25">
      <c r="A2638" t="s">
        <v>1326</v>
      </c>
      <c r="B2638" t="s">
        <v>494</v>
      </c>
      <c r="C2638">
        <v>79626800</v>
      </c>
      <c r="D2638">
        <v>30</v>
      </c>
      <c r="E2638">
        <v>30862989</v>
      </c>
      <c r="F2638" t="s">
        <v>1327</v>
      </c>
      <c r="G2638" s="1">
        <v>45237</v>
      </c>
      <c r="H2638">
        <v>5414847</v>
      </c>
      <c r="I2638">
        <v>81</v>
      </c>
      <c r="J2638" t="s">
        <v>144</v>
      </c>
      <c r="K2638" t="str">
        <f>IFERROR(IF(AND(VLOOKUP($C2638,Hes!$A:$B, 1, FALSE), $M2638&lt;&gt;" "), "Ingresada", "Falta Ingresar"), " ")</f>
        <v xml:space="preserve"> </v>
      </c>
      <c r="L2638" s="4" t="str">
        <f>IFERROR(VLOOKUP($C2638,Observaciones!$A:$B,2,FALSE)," ")</f>
        <v>SEGUN INFORME VENDEDOR, SI NO ENVIA XRUT</v>
      </c>
      <c r="M2638" t="s">
        <v>681</v>
      </c>
      <c r="O2638" s="5">
        <v>30862989</v>
      </c>
      <c r="P2638" s="5">
        <v>496907</v>
      </c>
      <c r="Q2638" s="5">
        <v>94412</v>
      </c>
      <c r="R2638" s="5">
        <v>591319</v>
      </c>
    </row>
    <row r="2639" spans="1:18" x14ac:dyDescent="0.25">
      <c r="A2639" t="s">
        <v>1326</v>
      </c>
      <c r="B2639" t="s">
        <v>494</v>
      </c>
      <c r="C2639">
        <v>79626800</v>
      </c>
      <c r="D2639">
        <v>515</v>
      </c>
      <c r="E2639">
        <v>30858707</v>
      </c>
      <c r="F2639" t="s">
        <v>1327</v>
      </c>
      <c r="G2639" s="1">
        <v>45237</v>
      </c>
      <c r="H2639">
        <v>5414853</v>
      </c>
      <c r="I2639">
        <v>81</v>
      </c>
      <c r="J2639" t="s">
        <v>144</v>
      </c>
      <c r="K2639" t="str">
        <f>IFERROR(IF(AND(VLOOKUP($C2639,Hes!$A:$B, 1, FALSE), $M2639&lt;&gt;" "), "Ingresada", "Falta Ingresar"), " ")</f>
        <v xml:space="preserve"> </v>
      </c>
      <c r="L2639" s="4" t="str">
        <f>IFERROR(VLOOKUP($C2639,Observaciones!$A:$B,2,FALSE)," ")</f>
        <v>SEGUN INFORME VENDEDOR, SI NO ENVIA XRUT</v>
      </c>
      <c r="M2639" t="s">
        <v>681</v>
      </c>
      <c r="O2639" s="5">
        <v>30858707</v>
      </c>
      <c r="P2639" s="5">
        <v>148580</v>
      </c>
      <c r="Q2639" s="5">
        <v>28230</v>
      </c>
      <c r="R2639" s="5">
        <v>176810</v>
      </c>
    </row>
    <row r="2640" spans="1:18" x14ac:dyDescent="0.25">
      <c r="A2640" t="s">
        <v>1326</v>
      </c>
      <c r="B2640" t="s">
        <v>494</v>
      </c>
      <c r="C2640">
        <v>79626800</v>
      </c>
      <c r="D2640">
        <v>504</v>
      </c>
      <c r="E2640">
        <v>30858714</v>
      </c>
      <c r="F2640" t="s">
        <v>1327</v>
      </c>
      <c r="G2640" s="1">
        <v>45238</v>
      </c>
      <c r="H2640">
        <v>5415141</v>
      </c>
      <c r="I2640">
        <v>81</v>
      </c>
      <c r="J2640" t="s">
        <v>144</v>
      </c>
      <c r="K2640" t="str">
        <f>IFERROR(IF(AND(VLOOKUP($C2640,Hes!$A:$B, 1, FALSE), $M2640&lt;&gt;" "), "Ingresada", "Falta Ingresar"), " ")</f>
        <v xml:space="preserve"> </v>
      </c>
      <c r="L2640" s="4" t="str">
        <f>IFERROR(VLOOKUP($C2640,Observaciones!$A:$B,2,FALSE)," ")</f>
        <v>SEGUN INFORME VENDEDOR, SI NO ENVIA XRUT</v>
      </c>
      <c r="M2640" t="s">
        <v>681</v>
      </c>
      <c r="O2640" s="5">
        <v>30858714</v>
      </c>
      <c r="P2640" s="5">
        <v>1060848</v>
      </c>
      <c r="Q2640" s="5">
        <v>201561</v>
      </c>
      <c r="R2640" s="5">
        <v>1262409</v>
      </c>
    </row>
    <row r="2641" spans="1:18" x14ac:dyDescent="0.25">
      <c r="A2641" t="s">
        <v>1326</v>
      </c>
      <c r="B2641" t="s">
        <v>494</v>
      </c>
      <c r="C2641">
        <v>79626800</v>
      </c>
      <c r="D2641">
        <v>515</v>
      </c>
      <c r="E2641">
        <v>30858718</v>
      </c>
      <c r="F2641" t="s">
        <v>1327</v>
      </c>
      <c r="G2641" s="1">
        <v>45238</v>
      </c>
      <c r="H2641">
        <v>5415546</v>
      </c>
      <c r="I2641">
        <v>81</v>
      </c>
      <c r="J2641" t="s">
        <v>144</v>
      </c>
      <c r="K2641" t="str">
        <f>IFERROR(IF(AND(VLOOKUP($C2641,Hes!$A:$B, 1, FALSE), $M2641&lt;&gt;" "), "Ingresada", "Falta Ingresar"), " ")</f>
        <v xml:space="preserve"> </v>
      </c>
      <c r="L2641" s="4" t="str">
        <f>IFERROR(VLOOKUP($C2641,Observaciones!$A:$B,2,FALSE)," ")</f>
        <v>SEGUN INFORME VENDEDOR, SI NO ENVIA XRUT</v>
      </c>
      <c r="M2641" t="s">
        <v>681</v>
      </c>
      <c r="O2641" s="5">
        <v>30858718</v>
      </c>
      <c r="P2641" s="5">
        <v>37180</v>
      </c>
      <c r="Q2641" s="5">
        <v>7064</v>
      </c>
      <c r="R2641" s="5">
        <v>44244</v>
      </c>
    </row>
    <row r="2642" spans="1:18" x14ac:dyDescent="0.25">
      <c r="F2642" t="s">
        <v>1328</v>
      </c>
      <c r="K2642" t="str">
        <f>IFERROR(IF(AND(VLOOKUP($C2642,Hes!$A:$B, 1, FALSE), $M2642&lt;&gt;" "), "Ingresada", "Falta Ingresar"), " ")</f>
        <v xml:space="preserve"> </v>
      </c>
      <c r="L2642" s="4" t="str">
        <f>IFERROR(VLOOKUP($C2642,Observaciones!$A:$B,2,FALSE)," ")</f>
        <v xml:space="preserve"> </v>
      </c>
      <c r="M2642" t="s">
        <v>681</v>
      </c>
      <c r="P2642" s="5">
        <v>19703524</v>
      </c>
      <c r="Q2642" s="5">
        <v>3743668</v>
      </c>
      <c r="R2642" s="5">
        <v>23500767</v>
      </c>
    </row>
    <row r="2643" spans="1:18" x14ac:dyDescent="0.25">
      <c r="A2643" t="s">
        <v>1329</v>
      </c>
      <c r="B2643" t="s">
        <v>494</v>
      </c>
      <c r="C2643">
        <v>79627190</v>
      </c>
      <c r="D2643">
        <v>15</v>
      </c>
      <c r="E2643" t="s">
        <v>1330</v>
      </c>
      <c r="F2643" t="s">
        <v>1331</v>
      </c>
      <c r="G2643" s="1">
        <v>45236</v>
      </c>
      <c r="H2643">
        <v>5412375</v>
      </c>
      <c r="I2643">
        <v>176</v>
      </c>
      <c r="J2643" t="s">
        <v>158</v>
      </c>
      <c r="K2643" t="str">
        <f>IFERROR(IF(AND(VLOOKUP($C2643,Hes!$A:$B, 1, FALSE), $M2643&lt;&gt;" "), "Ingresada", "Falta Ingresar"), " ")</f>
        <v xml:space="preserve"> </v>
      </c>
      <c r="L2643" s="4" t="str">
        <f>IFERROR(VLOOKUP($C2643,Observaciones!$A:$B,2,FALSE)," ")</f>
        <v xml:space="preserve"> </v>
      </c>
      <c r="M2643" t="s">
        <v>681</v>
      </c>
      <c r="O2643" s="5">
        <v>30850730</v>
      </c>
      <c r="P2643" s="5">
        <v>290346</v>
      </c>
      <c r="Q2643" s="5">
        <v>55166</v>
      </c>
      <c r="R2643" s="5">
        <v>345512</v>
      </c>
    </row>
    <row r="2644" spans="1:18" x14ac:dyDescent="0.25">
      <c r="A2644" t="s">
        <v>1329</v>
      </c>
      <c r="B2644" t="s">
        <v>494</v>
      </c>
      <c r="C2644">
        <v>79627190</v>
      </c>
      <c r="D2644">
        <v>15</v>
      </c>
      <c r="E2644" t="s">
        <v>1330</v>
      </c>
      <c r="F2644" t="s">
        <v>1331</v>
      </c>
      <c r="G2644" s="1">
        <v>45236</v>
      </c>
      <c r="H2644">
        <v>5412470</v>
      </c>
      <c r="I2644">
        <v>176</v>
      </c>
      <c r="J2644" t="s">
        <v>158</v>
      </c>
      <c r="K2644" t="str">
        <f>IFERROR(IF(AND(VLOOKUP($C2644,Hes!$A:$B, 1, FALSE), $M2644&lt;&gt;" "), "Ingresada", "Falta Ingresar"), " ")</f>
        <v xml:space="preserve"> </v>
      </c>
      <c r="L2644" s="4" t="str">
        <f>IFERROR(VLOOKUP($C2644,Observaciones!$A:$B,2,FALSE)," ")</f>
        <v xml:space="preserve"> </v>
      </c>
      <c r="M2644" t="s">
        <v>681</v>
      </c>
      <c r="O2644" s="5">
        <v>30851103</v>
      </c>
      <c r="P2644" s="5">
        <v>45216</v>
      </c>
      <c r="Q2644" s="5">
        <v>8591</v>
      </c>
      <c r="R2644" s="5">
        <v>53807</v>
      </c>
    </row>
    <row r="2645" spans="1:18" x14ac:dyDescent="0.25">
      <c r="A2645" t="s">
        <v>1329</v>
      </c>
      <c r="B2645" t="s">
        <v>494</v>
      </c>
      <c r="C2645">
        <v>79627190</v>
      </c>
      <c r="D2645">
        <v>15</v>
      </c>
      <c r="E2645" t="s">
        <v>1332</v>
      </c>
      <c r="F2645" t="s">
        <v>1331</v>
      </c>
      <c r="G2645" s="1">
        <v>45236</v>
      </c>
      <c r="H2645">
        <v>5412637</v>
      </c>
      <c r="I2645">
        <v>176</v>
      </c>
      <c r="J2645" t="s">
        <v>158</v>
      </c>
      <c r="K2645" t="str">
        <f>IFERROR(IF(AND(VLOOKUP($C2645,Hes!$A:$B, 1, FALSE), $M2645&lt;&gt;" "), "Ingresada", "Falta Ingresar"), " ")</f>
        <v xml:space="preserve"> </v>
      </c>
      <c r="L2645" s="4" t="str">
        <f>IFERROR(VLOOKUP($C2645,Observaciones!$A:$B,2,FALSE)," ")</f>
        <v xml:space="preserve"> </v>
      </c>
      <c r="M2645" t="s">
        <v>681</v>
      </c>
      <c r="O2645" s="5">
        <v>30850847</v>
      </c>
      <c r="P2645" s="5">
        <v>176561</v>
      </c>
      <c r="Q2645" s="5">
        <v>33547</v>
      </c>
      <c r="R2645" s="5">
        <v>210108</v>
      </c>
    </row>
    <row r="2646" spans="1:18" x14ac:dyDescent="0.25">
      <c r="A2646" t="s">
        <v>1329</v>
      </c>
      <c r="B2646" t="s">
        <v>494</v>
      </c>
      <c r="C2646">
        <v>79627190</v>
      </c>
      <c r="D2646">
        <v>10</v>
      </c>
      <c r="E2646" t="s">
        <v>1332</v>
      </c>
      <c r="F2646" t="s">
        <v>1331</v>
      </c>
      <c r="G2646" s="1">
        <v>45236</v>
      </c>
      <c r="H2646">
        <v>5412794</v>
      </c>
      <c r="I2646">
        <v>176</v>
      </c>
      <c r="J2646" t="s">
        <v>158</v>
      </c>
      <c r="K2646" t="str">
        <f>IFERROR(IF(AND(VLOOKUP($C2646,Hes!$A:$B, 1, FALSE), $M2646&lt;&gt;" "), "Ingresada", "Falta Ingresar"), " ")</f>
        <v xml:space="preserve"> </v>
      </c>
      <c r="L2646" s="4" t="str">
        <f>IFERROR(VLOOKUP($C2646,Observaciones!$A:$B,2,FALSE)," ")</f>
        <v xml:space="preserve"> </v>
      </c>
      <c r="M2646" t="s">
        <v>681</v>
      </c>
      <c r="O2646" s="5">
        <v>30850939</v>
      </c>
      <c r="P2646" s="5">
        <v>15840</v>
      </c>
      <c r="Q2646" s="5">
        <v>3010</v>
      </c>
      <c r="R2646" s="5">
        <v>18850</v>
      </c>
    </row>
    <row r="2647" spans="1:18" x14ac:dyDescent="0.25">
      <c r="A2647" t="s">
        <v>1329</v>
      </c>
      <c r="B2647" t="s">
        <v>494</v>
      </c>
      <c r="C2647">
        <v>79627190</v>
      </c>
      <c r="D2647">
        <v>73</v>
      </c>
      <c r="E2647" t="s">
        <v>1332</v>
      </c>
      <c r="F2647" t="s">
        <v>1331</v>
      </c>
      <c r="G2647" s="1">
        <v>45236</v>
      </c>
      <c r="H2647">
        <v>5413023</v>
      </c>
      <c r="I2647">
        <v>176</v>
      </c>
      <c r="J2647" t="s">
        <v>158</v>
      </c>
      <c r="K2647" t="str">
        <f>IFERROR(IF(AND(VLOOKUP($C2647,Hes!$A:$B, 1, FALSE), $M2647&lt;&gt;" "), "Ingresada", "Falta Ingresar"), " ")</f>
        <v xml:space="preserve"> </v>
      </c>
      <c r="L2647" s="4" t="str">
        <f>IFERROR(VLOOKUP($C2647,Observaciones!$A:$B,2,FALSE)," ")</f>
        <v xml:space="preserve"> </v>
      </c>
      <c r="M2647" t="s">
        <v>681</v>
      </c>
      <c r="O2647" s="5">
        <v>30852581</v>
      </c>
      <c r="P2647" s="5">
        <v>78720</v>
      </c>
      <c r="Q2647" s="5">
        <v>14957</v>
      </c>
      <c r="R2647" s="5">
        <v>93677</v>
      </c>
    </row>
    <row r="2648" spans="1:18" x14ac:dyDescent="0.25">
      <c r="A2648" t="s">
        <v>1329</v>
      </c>
      <c r="B2648" t="s">
        <v>494</v>
      </c>
      <c r="C2648">
        <v>79627190</v>
      </c>
      <c r="D2648">
        <v>75</v>
      </c>
      <c r="E2648" t="s">
        <v>1330</v>
      </c>
      <c r="F2648" t="s">
        <v>1331</v>
      </c>
      <c r="G2648" s="1">
        <v>45238</v>
      </c>
      <c r="H2648">
        <v>5415438</v>
      </c>
      <c r="I2648">
        <v>176</v>
      </c>
      <c r="J2648" t="s">
        <v>158</v>
      </c>
      <c r="K2648" t="str">
        <f>IFERROR(IF(AND(VLOOKUP($C2648,Hes!$A:$B, 1, FALSE), $M2648&lt;&gt;" "), "Ingresada", "Falta Ingresar"), " ")</f>
        <v xml:space="preserve"> </v>
      </c>
      <c r="L2648" s="4" t="str">
        <f>IFERROR(VLOOKUP($C2648,Observaciones!$A:$B,2,FALSE)," ")</f>
        <v xml:space="preserve"> </v>
      </c>
      <c r="M2648" t="s">
        <v>681</v>
      </c>
      <c r="O2648" s="5">
        <v>30862489</v>
      </c>
      <c r="P2648" s="5">
        <v>31590</v>
      </c>
      <c r="Q2648" s="5">
        <v>6002</v>
      </c>
      <c r="R2648" s="5">
        <v>37592</v>
      </c>
    </row>
    <row r="2649" spans="1:18" x14ac:dyDescent="0.25">
      <c r="F2649" t="s">
        <v>523</v>
      </c>
      <c r="K2649" t="str">
        <f>IFERROR(IF(AND(VLOOKUP($C2649,Hes!$A:$B, 1, FALSE), $M2649&lt;&gt;" "), "Ingresada", "Falta Ingresar"), " ")</f>
        <v xml:space="preserve"> </v>
      </c>
      <c r="L2649" s="4" t="str">
        <f>IFERROR(VLOOKUP($C2649,Observaciones!$A:$B,2,FALSE)," ")</f>
        <v xml:space="preserve"> </v>
      </c>
      <c r="M2649" t="s">
        <v>681</v>
      </c>
      <c r="P2649" s="5">
        <v>638273</v>
      </c>
      <c r="Q2649" s="5">
        <v>121273</v>
      </c>
      <c r="R2649" s="5">
        <v>759546</v>
      </c>
    </row>
    <row r="2650" spans="1:18" x14ac:dyDescent="0.25">
      <c r="A2650" t="s">
        <v>513</v>
      </c>
      <c r="B2650" t="s">
        <v>494</v>
      </c>
      <c r="C2650">
        <v>79645920</v>
      </c>
      <c r="D2650">
        <v>3</v>
      </c>
      <c r="E2650">
        <v>30846487</v>
      </c>
      <c r="F2650" t="s">
        <v>1333</v>
      </c>
      <c r="G2650" s="1">
        <v>45233</v>
      </c>
      <c r="H2650">
        <v>5411401</v>
      </c>
      <c r="I2650">
        <v>44</v>
      </c>
      <c r="J2650" t="s">
        <v>148</v>
      </c>
      <c r="K2650" t="str">
        <f>IFERROR(IF(AND(VLOOKUP($C2650,Hes!$A:$B, 1, FALSE), $M2650&lt;&gt;" "), "Ingresada", "Falta Ingresar"), " ")</f>
        <v xml:space="preserve"> </v>
      </c>
      <c r="L2650" s="4" t="s">
        <v>681</v>
      </c>
      <c r="M2650" t="s">
        <v>681</v>
      </c>
      <c r="O2650" s="5">
        <v>30846487</v>
      </c>
      <c r="P2650" s="5">
        <v>39870</v>
      </c>
      <c r="Q2650" s="5">
        <v>7575</v>
      </c>
      <c r="R2650" s="5">
        <v>47445</v>
      </c>
    </row>
    <row r="2651" spans="1:18" x14ac:dyDescent="0.25">
      <c r="A2651" t="s">
        <v>513</v>
      </c>
      <c r="B2651" t="s">
        <v>494</v>
      </c>
      <c r="C2651">
        <v>79645920</v>
      </c>
      <c r="D2651">
        <v>3</v>
      </c>
      <c r="E2651">
        <v>30858383</v>
      </c>
      <c r="F2651" t="s">
        <v>1333</v>
      </c>
      <c r="G2651" s="1">
        <v>45237</v>
      </c>
      <c r="H2651">
        <v>5414351</v>
      </c>
      <c r="I2651">
        <v>44</v>
      </c>
      <c r="J2651" t="s">
        <v>148</v>
      </c>
      <c r="K2651" t="str">
        <f>IFERROR(IF(AND(VLOOKUP($C2651,Hes!$A:$B, 1, FALSE), $M2651&lt;&gt;" "), "Ingresada", "Falta Ingresar"), " ")</f>
        <v xml:space="preserve"> </v>
      </c>
      <c r="L2651" s="4" t="s">
        <v>681</v>
      </c>
      <c r="M2651" t="s">
        <v>681</v>
      </c>
      <c r="O2651" s="5">
        <v>30858383</v>
      </c>
      <c r="P2651" s="5">
        <v>22808</v>
      </c>
      <c r="Q2651" s="5">
        <v>4334</v>
      </c>
      <c r="R2651" s="5">
        <v>27142</v>
      </c>
    </row>
    <row r="2652" spans="1:18" x14ac:dyDescent="0.25">
      <c r="F2652" t="s">
        <v>497</v>
      </c>
      <c r="K2652" t="str">
        <f>IFERROR(IF(AND(VLOOKUP($C2652,Hes!$A:$B, 1, FALSE), $M2652&lt;&gt;" "), "Ingresada", "Falta Ingresar"), " ")</f>
        <v xml:space="preserve"> </v>
      </c>
      <c r="L2652" s="4" t="str">
        <f>IFERROR(VLOOKUP($C2652,Observaciones!$A:$B,2,FALSE)," ")</f>
        <v xml:space="preserve"> </v>
      </c>
      <c r="M2652" t="s">
        <v>681</v>
      </c>
      <c r="P2652" s="5">
        <v>62678</v>
      </c>
      <c r="Q2652" s="5">
        <v>11909</v>
      </c>
      <c r="R2652" s="5">
        <v>74587</v>
      </c>
    </row>
    <row r="2653" spans="1:18" x14ac:dyDescent="0.25">
      <c r="A2653" t="s">
        <v>501</v>
      </c>
      <c r="B2653" t="s">
        <v>494</v>
      </c>
      <c r="C2653">
        <v>79646620</v>
      </c>
      <c r="D2653">
        <v>1</v>
      </c>
      <c r="E2653">
        <v>30864701</v>
      </c>
      <c r="F2653" t="s">
        <v>1334</v>
      </c>
      <c r="G2653" s="1">
        <v>45238</v>
      </c>
      <c r="H2653">
        <v>5415480</v>
      </c>
      <c r="I2653">
        <v>196</v>
      </c>
      <c r="J2653" t="s">
        <v>382</v>
      </c>
      <c r="K2653" s="8" t="str">
        <f>IFERROR(IF(AND(VLOOKUP($C2653,Hes!$A:$B, 1, FALSE), $M2653&lt;&gt;" "), "Ingresada", "Falta Ingresar"), " ")</f>
        <v>Falta Ingresar</v>
      </c>
      <c r="L2653" s="4" t="str">
        <f>IFERROR(VLOOKUP($C2653,Observaciones!$A:$B,2,FALSE)," ")</f>
        <v xml:space="preserve"> </v>
      </c>
      <c r="M2653" t="s">
        <v>681</v>
      </c>
      <c r="N2653" s="5" t="s">
        <v>841</v>
      </c>
      <c r="O2653" s="5">
        <v>30864701</v>
      </c>
      <c r="P2653" s="5">
        <v>55376</v>
      </c>
      <c r="Q2653" s="5">
        <v>10521</v>
      </c>
      <c r="R2653" s="5">
        <v>65897</v>
      </c>
    </row>
    <row r="2654" spans="1:18" x14ac:dyDescent="0.25">
      <c r="F2654" t="s">
        <v>495</v>
      </c>
      <c r="K2654" t="str">
        <f>IFERROR(IF(AND(VLOOKUP($C2654,Hes!$A:$B, 1, FALSE), $M2654&lt;&gt;" "), "Ingresada", "Falta Ingresar"), " ")</f>
        <v xml:space="preserve"> </v>
      </c>
      <c r="L2654" s="4" t="str">
        <f>IFERROR(VLOOKUP($C2654,Observaciones!$A:$B,2,FALSE)," ")</f>
        <v xml:space="preserve"> </v>
      </c>
      <c r="M2654" t="s">
        <v>681</v>
      </c>
      <c r="P2654" s="5">
        <v>55376</v>
      </c>
      <c r="Q2654" s="5">
        <v>10521</v>
      </c>
      <c r="R2654" s="5">
        <v>65897</v>
      </c>
    </row>
    <row r="2655" spans="1:18" x14ac:dyDescent="0.25">
      <c r="A2655" t="s">
        <v>3</v>
      </c>
      <c r="B2655" t="s">
        <v>494</v>
      </c>
      <c r="C2655">
        <v>79649970</v>
      </c>
      <c r="D2655">
        <v>4</v>
      </c>
      <c r="E2655">
        <v>30850298</v>
      </c>
      <c r="F2655" t="s">
        <v>1335</v>
      </c>
      <c r="G2655" s="1">
        <v>45234</v>
      </c>
      <c r="H2655">
        <v>5412742</v>
      </c>
      <c r="I2655">
        <v>64</v>
      </c>
      <c r="J2655" t="s">
        <v>138</v>
      </c>
      <c r="K2655" t="str">
        <f>IFERROR(IF(AND(VLOOKUP($C2655,Hes!$A:$B, 1, FALSE), $M2655&lt;&gt;" "), "Ingresada", "Falta Ingresar"), " ")</f>
        <v xml:space="preserve"> </v>
      </c>
      <c r="L2655" s="4" t="str">
        <f>IFERROR(VLOOKUP($C2655,Observaciones!$A:$B,2,FALSE)," ")</f>
        <v xml:space="preserve"> </v>
      </c>
      <c r="M2655" t="s">
        <v>681</v>
      </c>
      <c r="O2655" s="5">
        <v>30850298</v>
      </c>
      <c r="P2655" s="5">
        <v>59988</v>
      </c>
      <c r="Q2655" s="5">
        <v>11398</v>
      </c>
      <c r="R2655" s="5">
        <v>71386</v>
      </c>
    </row>
    <row r="2656" spans="1:18" x14ac:dyDescent="0.25">
      <c r="A2656" t="s">
        <v>3</v>
      </c>
      <c r="B2656" t="s">
        <v>494</v>
      </c>
      <c r="C2656">
        <v>79649970</v>
      </c>
      <c r="D2656">
        <v>20</v>
      </c>
      <c r="E2656">
        <v>30854877</v>
      </c>
      <c r="F2656" t="s">
        <v>1335</v>
      </c>
      <c r="G2656" s="1">
        <v>45234</v>
      </c>
      <c r="H2656">
        <v>5412799</v>
      </c>
      <c r="I2656">
        <v>64</v>
      </c>
      <c r="J2656" t="s">
        <v>138</v>
      </c>
      <c r="K2656" t="str">
        <f>IFERROR(IF(AND(VLOOKUP($C2656,Hes!$A:$B, 1, FALSE), $M2656&lt;&gt;" "), "Ingresada", "Falta Ingresar"), " ")</f>
        <v xml:space="preserve"> </v>
      </c>
      <c r="L2656" s="4" t="str">
        <f>IFERROR(VLOOKUP($C2656,Observaciones!$A:$B,2,FALSE)," ")</f>
        <v xml:space="preserve"> </v>
      </c>
      <c r="M2656" t="s">
        <v>681</v>
      </c>
      <c r="O2656" s="5">
        <v>30854877</v>
      </c>
      <c r="P2656" s="5">
        <v>49549</v>
      </c>
      <c r="Q2656" s="5">
        <v>9414</v>
      </c>
      <c r="R2656" s="5">
        <v>58963</v>
      </c>
    </row>
    <row r="2657" spans="1:18" x14ac:dyDescent="0.25">
      <c r="A2657" t="s">
        <v>3</v>
      </c>
      <c r="B2657" t="s">
        <v>494</v>
      </c>
      <c r="C2657">
        <v>79649970</v>
      </c>
      <c r="D2657">
        <v>3</v>
      </c>
      <c r="E2657">
        <v>30856303</v>
      </c>
      <c r="F2657" t="s">
        <v>1335</v>
      </c>
      <c r="G2657" s="1">
        <v>45234</v>
      </c>
      <c r="H2657">
        <v>5413101</v>
      </c>
      <c r="I2657">
        <v>64</v>
      </c>
      <c r="J2657" t="s">
        <v>138</v>
      </c>
      <c r="K2657" t="str">
        <f>IFERROR(IF(AND(VLOOKUP($C2657,Hes!$A:$B, 1, FALSE), $M2657&lt;&gt;" "), "Ingresada", "Falta Ingresar"), " ")</f>
        <v xml:space="preserve"> </v>
      </c>
      <c r="L2657" s="4" t="str">
        <f>IFERROR(VLOOKUP($C2657,Observaciones!$A:$B,2,FALSE)," ")</f>
        <v xml:space="preserve"> </v>
      </c>
      <c r="M2657" t="s">
        <v>681</v>
      </c>
      <c r="O2657" s="5">
        <v>30856303</v>
      </c>
      <c r="P2657" s="5">
        <v>93548</v>
      </c>
      <c r="Q2657" s="5">
        <v>17774</v>
      </c>
      <c r="R2657" s="5">
        <v>111322</v>
      </c>
    </row>
    <row r="2658" spans="1:18" x14ac:dyDescent="0.25">
      <c r="A2658" t="s">
        <v>3</v>
      </c>
      <c r="B2658" t="s">
        <v>494</v>
      </c>
      <c r="C2658">
        <v>79649970</v>
      </c>
      <c r="D2658">
        <v>7</v>
      </c>
      <c r="E2658">
        <v>30856322</v>
      </c>
      <c r="F2658" t="s">
        <v>1335</v>
      </c>
      <c r="G2658" s="1">
        <v>45237</v>
      </c>
      <c r="H2658">
        <v>5413916</v>
      </c>
      <c r="I2658">
        <v>64</v>
      </c>
      <c r="J2658" t="s">
        <v>138</v>
      </c>
      <c r="K2658" t="str">
        <f>IFERROR(IF(AND(VLOOKUP($C2658,Hes!$A:$B, 1, FALSE), $M2658&lt;&gt;" "), "Ingresada", "Falta Ingresar"), " ")</f>
        <v xml:space="preserve"> </v>
      </c>
      <c r="L2658" s="4" t="str">
        <f>IFERROR(VLOOKUP($C2658,Observaciones!$A:$B,2,FALSE)," ")</f>
        <v xml:space="preserve"> </v>
      </c>
      <c r="M2658" t="s">
        <v>681</v>
      </c>
      <c r="O2658" s="5">
        <v>30856322</v>
      </c>
      <c r="P2658" s="5">
        <v>175657</v>
      </c>
      <c r="Q2658" s="5">
        <v>33375</v>
      </c>
      <c r="R2658" s="5">
        <v>209032</v>
      </c>
    </row>
    <row r="2659" spans="1:18" x14ac:dyDescent="0.25">
      <c r="A2659" t="s">
        <v>3</v>
      </c>
      <c r="B2659" t="s">
        <v>494</v>
      </c>
      <c r="C2659">
        <v>79649970</v>
      </c>
      <c r="D2659">
        <v>29</v>
      </c>
      <c r="E2659">
        <v>30856337</v>
      </c>
      <c r="F2659" t="s">
        <v>1335</v>
      </c>
      <c r="G2659" s="1">
        <v>45237</v>
      </c>
      <c r="H2659">
        <v>5413925</v>
      </c>
      <c r="I2659">
        <v>64</v>
      </c>
      <c r="J2659" t="s">
        <v>138</v>
      </c>
      <c r="K2659" t="str">
        <f>IFERROR(IF(AND(VLOOKUP($C2659,Hes!$A:$B, 1, FALSE), $M2659&lt;&gt;" "), "Ingresada", "Falta Ingresar"), " ")</f>
        <v xml:space="preserve"> </v>
      </c>
      <c r="L2659" s="4" t="str">
        <f>IFERROR(VLOOKUP($C2659,Observaciones!$A:$B,2,FALSE)," ")</f>
        <v xml:space="preserve"> </v>
      </c>
      <c r="M2659" t="s">
        <v>681</v>
      </c>
      <c r="O2659" s="5">
        <v>30856337</v>
      </c>
      <c r="P2659" s="5">
        <v>94353</v>
      </c>
      <c r="Q2659" s="5">
        <v>17927</v>
      </c>
      <c r="R2659" s="5">
        <v>112280</v>
      </c>
    </row>
    <row r="2660" spans="1:18" x14ac:dyDescent="0.25">
      <c r="A2660" t="s">
        <v>3</v>
      </c>
      <c r="B2660" t="s">
        <v>494</v>
      </c>
      <c r="C2660">
        <v>79649970</v>
      </c>
      <c r="D2660">
        <v>1</v>
      </c>
      <c r="E2660">
        <v>30862420</v>
      </c>
      <c r="F2660" t="s">
        <v>1335</v>
      </c>
      <c r="G2660" s="1">
        <v>45238</v>
      </c>
      <c r="H2660">
        <v>5415032</v>
      </c>
      <c r="I2660">
        <v>64</v>
      </c>
      <c r="J2660" t="s">
        <v>138</v>
      </c>
      <c r="K2660" t="str">
        <f>IFERROR(IF(AND(VLOOKUP($C2660,Hes!$A:$B, 1, FALSE), $M2660&lt;&gt;" "), "Ingresada", "Falta Ingresar"), " ")</f>
        <v xml:space="preserve"> </v>
      </c>
      <c r="L2660" s="4" t="str">
        <f>IFERROR(VLOOKUP($C2660,Observaciones!$A:$B,2,FALSE)," ")</f>
        <v xml:space="preserve"> </v>
      </c>
      <c r="M2660" t="s">
        <v>681</v>
      </c>
      <c r="O2660" s="5">
        <v>30862420</v>
      </c>
      <c r="P2660" s="5">
        <v>144513</v>
      </c>
      <c r="Q2660" s="5">
        <v>27457</v>
      </c>
      <c r="R2660" s="5">
        <v>171970</v>
      </c>
    </row>
    <row r="2661" spans="1:18" x14ac:dyDescent="0.25">
      <c r="A2661" t="s">
        <v>3</v>
      </c>
      <c r="B2661" t="s">
        <v>494</v>
      </c>
      <c r="C2661">
        <v>79649970</v>
      </c>
      <c r="D2661">
        <v>5</v>
      </c>
      <c r="E2661">
        <v>30866081</v>
      </c>
      <c r="F2661" t="s">
        <v>1335</v>
      </c>
      <c r="G2661" s="1">
        <v>45238</v>
      </c>
      <c r="H2661">
        <v>5415545</v>
      </c>
      <c r="I2661">
        <v>64</v>
      </c>
      <c r="J2661" t="s">
        <v>138</v>
      </c>
      <c r="K2661" t="str">
        <f>IFERROR(IF(AND(VLOOKUP($C2661,Hes!$A:$B, 1, FALSE), $M2661&lt;&gt;" "), "Ingresada", "Falta Ingresar"), " ")</f>
        <v xml:space="preserve"> </v>
      </c>
      <c r="L2661" s="4" t="str">
        <f>IFERROR(VLOOKUP($C2661,Observaciones!$A:$B,2,FALSE)," ")</f>
        <v xml:space="preserve"> </v>
      </c>
      <c r="M2661" t="s">
        <v>681</v>
      </c>
      <c r="O2661" s="5">
        <v>30866081</v>
      </c>
      <c r="P2661" s="5">
        <v>32977</v>
      </c>
      <c r="Q2661" s="5">
        <v>6266</v>
      </c>
      <c r="R2661" s="5">
        <v>39243</v>
      </c>
    </row>
    <row r="2662" spans="1:18" x14ac:dyDescent="0.25">
      <c r="A2662" t="s">
        <v>3</v>
      </c>
      <c r="B2662" t="s">
        <v>494</v>
      </c>
      <c r="C2662">
        <v>79649970</v>
      </c>
      <c r="D2662">
        <v>25</v>
      </c>
      <c r="E2662">
        <v>30866056</v>
      </c>
      <c r="F2662" t="s">
        <v>1335</v>
      </c>
      <c r="G2662" s="1">
        <v>45238</v>
      </c>
      <c r="H2662">
        <v>5415580</v>
      </c>
      <c r="I2662">
        <v>64</v>
      </c>
      <c r="J2662" t="s">
        <v>138</v>
      </c>
      <c r="K2662" t="str">
        <f>IFERROR(IF(AND(VLOOKUP($C2662,Hes!$A:$B, 1, FALSE), $M2662&lt;&gt;" "), "Ingresada", "Falta Ingresar"), " ")</f>
        <v xml:space="preserve"> </v>
      </c>
      <c r="L2662" s="4" t="str">
        <f>IFERROR(VLOOKUP($C2662,Observaciones!$A:$B,2,FALSE)," ")</f>
        <v xml:space="preserve"> </v>
      </c>
      <c r="M2662" t="s">
        <v>681</v>
      </c>
      <c r="O2662" s="5">
        <v>30866056</v>
      </c>
      <c r="P2662" s="5">
        <v>19784</v>
      </c>
      <c r="Q2662" s="5">
        <v>3759</v>
      </c>
      <c r="R2662" s="5">
        <v>23543</v>
      </c>
    </row>
    <row r="2663" spans="1:18" x14ac:dyDescent="0.25">
      <c r="F2663" t="s">
        <v>511</v>
      </c>
      <c r="K2663" t="str">
        <f>IFERROR(IF(AND(VLOOKUP($C2663,Hes!$A:$B, 1, FALSE), $M2663&lt;&gt;" "), "Ingresada", "Falta Ingresar"), " ")</f>
        <v xml:space="preserve"> </v>
      </c>
      <c r="L2663" s="4" t="str">
        <f>IFERROR(VLOOKUP($C2663,Observaciones!$A:$B,2,FALSE)," ")</f>
        <v xml:space="preserve"> </v>
      </c>
      <c r="M2663" t="s">
        <v>681</v>
      </c>
      <c r="P2663" s="5">
        <v>670369</v>
      </c>
      <c r="Q2663" s="5">
        <v>127370</v>
      </c>
      <c r="R2663" s="5">
        <v>797739</v>
      </c>
    </row>
    <row r="2664" spans="1:18" x14ac:dyDescent="0.25">
      <c r="A2664" t="s">
        <v>503</v>
      </c>
      <c r="B2664" t="s">
        <v>494</v>
      </c>
      <c r="C2664">
        <v>79664330</v>
      </c>
      <c r="D2664">
        <v>0</v>
      </c>
      <c r="E2664">
        <v>50778</v>
      </c>
      <c r="F2664" t="s">
        <v>1336</v>
      </c>
      <c r="G2664" s="1">
        <v>45236</v>
      </c>
      <c r="H2664">
        <v>5412115</v>
      </c>
      <c r="I2664">
        <v>96</v>
      </c>
      <c r="J2664" t="s">
        <v>140</v>
      </c>
      <c r="K2664" t="str">
        <f>IFERROR(IF(AND(VLOOKUP($C2664,Hes!$A:$B, 1, FALSE), $M2664&lt;&gt;" "), "Ingresada", "Falta Ingresar"), " ")</f>
        <v xml:space="preserve"> </v>
      </c>
      <c r="L2664" s="4" t="s">
        <v>681</v>
      </c>
      <c r="M2664" t="s">
        <v>681</v>
      </c>
      <c r="O2664" s="5">
        <v>30832675</v>
      </c>
      <c r="P2664" s="5">
        <v>50840</v>
      </c>
      <c r="Q2664" s="5">
        <v>9660</v>
      </c>
      <c r="R2664" s="5">
        <v>60500</v>
      </c>
    </row>
    <row r="2665" spans="1:18" x14ac:dyDescent="0.25">
      <c r="F2665" t="s">
        <v>495</v>
      </c>
      <c r="K2665" t="str">
        <f>IFERROR(IF(AND(VLOOKUP($C2665,Hes!$A:$B, 1, FALSE), $M2665&lt;&gt;" "), "Ingresada", "Falta Ingresar"), " ")</f>
        <v xml:space="preserve"> </v>
      </c>
      <c r="L2665" s="4" t="str">
        <f>IFERROR(VLOOKUP($C2665,Observaciones!$A:$B,2,FALSE)," ")</f>
        <v xml:space="preserve"> </v>
      </c>
      <c r="M2665" t="s">
        <v>681</v>
      </c>
      <c r="P2665" s="5">
        <v>50840</v>
      </c>
      <c r="Q2665" s="5">
        <v>9660</v>
      </c>
      <c r="R2665" s="5">
        <v>60500</v>
      </c>
    </row>
    <row r="2666" spans="1:18" x14ac:dyDescent="0.25">
      <c r="A2666" t="s">
        <v>551</v>
      </c>
      <c r="B2666" t="s">
        <v>494</v>
      </c>
      <c r="C2666">
        <v>79670620</v>
      </c>
      <c r="D2666">
        <v>2</v>
      </c>
      <c r="E2666">
        <v>30860999</v>
      </c>
      <c r="F2666" t="s">
        <v>1337</v>
      </c>
      <c r="G2666" s="1">
        <v>45237</v>
      </c>
      <c r="H2666">
        <v>5414396</v>
      </c>
      <c r="I2666">
        <v>463</v>
      </c>
      <c r="J2666" t="s">
        <v>446</v>
      </c>
      <c r="K2666" t="str">
        <f>IFERROR(IF(AND(VLOOKUP($C2666,Hes!$A:$B, 1, FALSE), $M2666&lt;&gt;" "), "Ingresada", "Falta Ingresar"), " ")</f>
        <v xml:space="preserve"> </v>
      </c>
      <c r="L2666" s="4" t="str">
        <f>IFERROR(VLOOKUP($C2666,Observaciones!$A:$B,2,FALSE)," ")</f>
        <v xml:space="preserve"> </v>
      </c>
      <c r="M2666" t="s">
        <v>681</v>
      </c>
      <c r="O2666" s="5">
        <v>30860999</v>
      </c>
      <c r="P2666" s="5">
        <v>45974</v>
      </c>
      <c r="Q2666" s="5">
        <v>8735</v>
      </c>
      <c r="R2666" s="5">
        <v>54709</v>
      </c>
    </row>
    <row r="2667" spans="1:18" x14ac:dyDescent="0.25">
      <c r="A2667" t="s">
        <v>551</v>
      </c>
      <c r="B2667" t="s">
        <v>494</v>
      </c>
      <c r="C2667">
        <v>79670620</v>
      </c>
      <c r="D2667">
        <v>3</v>
      </c>
      <c r="E2667">
        <v>30861261</v>
      </c>
      <c r="F2667" t="s">
        <v>1337</v>
      </c>
      <c r="G2667" s="1">
        <v>45237</v>
      </c>
      <c r="H2667">
        <v>5414403</v>
      </c>
      <c r="I2667">
        <v>463</v>
      </c>
      <c r="J2667" t="s">
        <v>446</v>
      </c>
      <c r="K2667" t="str">
        <f>IFERROR(IF(AND(VLOOKUP($C2667,Hes!$A:$B, 1, FALSE), $M2667&lt;&gt;" "), "Ingresada", "Falta Ingresar"), " ")</f>
        <v xml:space="preserve"> </v>
      </c>
      <c r="L2667" s="4" t="str">
        <f>IFERROR(VLOOKUP($C2667,Observaciones!$A:$B,2,FALSE)," ")</f>
        <v xml:space="preserve"> </v>
      </c>
      <c r="M2667" t="s">
        <v>681</v>
      </c>
      <c r="O2667" s="5">
        <v>30861261</v>
      </c>
      <c r="P2667" s="5">
        <v>27792</v>
      </c>
      <c r="Q2667" s="5">
        <v>5280</v>
      </c>
      <c r="R2667" s="5">
        <v>33072</v>
      </c>
    </row>
    <row r="2668" spans="1:18" x14ac:dyDescent="0.25">
      <c r="A2668" t="s">
        <v>551</v>
      </c>
      <c r="B2668" t="s">
        <v>494</v>
      </c>
      <c r="C2668">
        <v>79670620</v>
      </c>
      <c r="D2668">
        <v>0</v>
      </c>
      <c r="E2668">
        <v>30860992</v>
      </c>
      <c r="F2668" t="s">
        <v>1337</v>
      </c>
      <c r="G2668" s="1">
        <v>45237</v>
      </c>
      <c r="H2668">
        <v>5414438</v>
      </c>
      <c r="I2668">
        <v>463</v>
      </c>
      <c r="J2668" t="s">
        <v>446</v>
      </c>
      <c r="K2668" t="str">
        <f>IFERROR(IF(AND(VLOOKUP($C2668,Hes!$A:$B, 1, FALSE), $M2668&lt;&gt;" "), "Ingresada", "Falta Ingresar"), " ")</f>
        <v xml:space="preserve"> </v>
      </c>
      <c r="L2668" s="4" t="str">
        <f>IFERROR(VLOOKUP($C2668,Observaciones!$A:$B,2,FALSE)," ")</f>
        <v xml:space="preserve"> </v>
      </c>
      <c r="M2668" t="s">
        <v>681</v>
      </c>
      <c r="O2668" s="5">
        <v>30860992</v>
      </c>
      <c r="P2668" s="5">
        <v>22494</v>
      </c>
      <c r="Q2668" s="5">
        <v>4274</v>
      </c>
      <c r="R2668" s="5">
        <v>26768</v>
      </c>
    </row>
    <row r="2669" spans="1:18" x14ac:dyDescent="0.25">
      <c r="A2669" t="s">
        <v>551</v>
      </c>
      <c r="B2669" t="s">
        <v>494</v>
      </c>
      <c r="C2669">
        <v>79670620</v>
      </c>
      <c r="D2669">
        <v>7</v>
      </c>
      <c r="E2669">
        <v>30861233</v>
      </c>
      <c r="F2669" t="s">
        <v>1337</v>
      </c>
      <c r="G2669" s="1">
        <v>45237</v>
      </c>
      <c r="H2669">
        <v>5414468</v>
      </c>
      <c r="I2669">
        <v>463</v>
      </c>
      <c r="J2669" t="s">
        <v>446</v>
      </c>
      <c r="K2669" t="str">
        <f>IFERROR(IF(AND(VLOOKUP($C2669,Hes!$A:$B, 1, FALSE), $M2669&lt;&gt;" "), "Ingresada", "Falta Ingresar"), " ")</f>
        <v xml:space="preserve"> </v>
      </c>
      <c r="L2669" s="4" t="str">
        <f>IFERROR(VLOOKUP($C2669,Observaciones!$A:$B,2,FALSE)," ")</f>
        <v xml:space="preserve"> </v>
      </c>
      <c r="M2669" t="s">
        <v>681</v>
      </c>
      <c r="O2669" s="5">
        <v>30861233</v>
      </c>
      <c r="P2669" s="5">
        <v>129830</v>
      </c>
      <c r="Q2669" s="5">
        <v>24668</v>
      </c>
      <c r="R2669" s="5">
        <v>154498</v>
      </c>
    </row>
    <row r="2670" spans="1:18" x14ac:dyDescent="0.25">
      <c r="A2670" t="s">
        <v>551</v>
      </c>
      <c r="B2670" t="s">
        <v>494</v>
      </c>
      <c r="C2670">
        <v>79670620</v>
      </c>
      <c r="D2670">
        <v>9</v>
      </c>
      <c r="E2670">
        <v>30861256</v>
      </c>
      <c r="F2670" t="s">
        <v>1337</v>
      </c>
      <c r="G2670" s="1">
        <v>45237</v>
      </c>
      <c r="H2670">
        <v>5414477</v>
      </c>
      <c r="I2670">
        <v>463</v>
      </c>
      <c r="J2670" t="s">
        <v>446</v>
      </c>
      <c r="K2670" t="str">
        <f>IFERROR(IF(AND(VLOOKUP($C2670,Hes!$A:$B, 1, FALSE), $M2670&lt;&gt;" "), "Ingresada", "Falta Ingresar"), " ")</f>
        <v xml:space="preserve"> </v>
      </c>
      <c r="L2670" s="4" t="str">
        <f>IFERROR(VLOOKUP($C2670,Observaciones!$A:$B,2,FALSE)," ")</f>
        <v xml:space="preserve"> </v>
      </c>
      <c r="M2670" t="s">
        <v>681</v>
      </c>
      <c r="O2670" s="5">
        <v>30861256</v>
      </c>
      <c r="P2670" s="5">
        <v>22318</v>
      </c>
      <c r="Q2670" s="5">
        <v>4240</v>
      </c>
      <c r="R2670" s="5">
        <v>26558</v>
      </c>
    </row>
    <row r="2671" spans="1:18" x14ac:dyDescent="0.25">
      <c r="A2671" t="s">
        <v>551</v>
      </c>
      <c r="B2671" t="s">
        <v>494</v>
      </c>
      <c r="C2671">
        <v>79670620</v>
      </c>
      <c r="D2671">
        <v>10</v>
      </c>
      <c r="E2671">
        <v>30861248</v>
      </c>
      <c r="F2671" t="s">
        <v>1337</v>
      </c>
      <c r="G2671" s="1">
        <v>45238</v>
      </c>
      <c r="H2671">
        <v>5414951</v>
      </c>
      <c r="I2671">
        <v>463</v>
      </c>
      <c r="J2671" t="s">
        <v>446</v>
      </c>
      <c r="K2671" t="str">
        <f>IFERROR(IF(AND(VLOOKUP($C2671,Hes!$A:$B, 1, FALSE), $M2671&lt;&gt;" "), "Ingresada", "Falta Ingresar"), " ")</f>
        <v xml:space="preserve"> </v>
      </c>
      <c r="L2671" s="4" t="str">
        <f>IFERROR(VLOOKUP($C2671,Observaciones!$A:$B,2,FALSE)," ")</f>
        <v xml:space="preserve"> </v>
      </c>
      <c r="M2671" t="s">
        <v>681</v>
      </c>
      <c r="O2671" s="5">
        <v>30861248</v>
      </c>
      <c r="P2671" s="5">
        <v>61405</v>
      </c>
      <c r="Q2671" s="5">
        <v>11667</v>
      </c>
      <c r="R2671" s="5">
        <v>73072</v>
      </c>
    </row>
    <row r="2672" spans="1:18" x14ac:dyDescent="0.25">
      <c r="A2672" t="s">
        <v>551</v>
      </c>
      <c r="B2672" t="s">
        <v>494</v>
      </c>
      <c r="C2672">
        <v>79670620</v>
      </c>
      <c r="D2672">
        <v>11</v>
      </c>
      <c r="E2672">
        <v>30861317</v>
      </c>
      <c r="F2672" t="s">
        <v>1337</v>
      </c>
      <c r="G2672" s="1">
        <v>45238</v>
      </c>
      <c r="H2672">
        <v>5414952</v>
      </c>
      <c r="I2672">
        <v>463</v>
      </c>
      <c r="J2672" t="s">
        <v>446</v>
      </c>
      <c r="K2672" t="str">
        <f>IFERROR(IF(AND(VLOOKUP($C2672,Hes!$A:$B, 1, FALSE), $M2672&lt;&gt;" "), "Ingresada", "Falta Ingresar"), " ")</f>
        <v xml:space="preserve"> </v>
      </c>
      <c r="L2672" s="4" t="str">
        <f>IFERROR(VLOOKUP($C2672,Observaciones!$A:$B,2,FALSE)," ")</f>
        <v xml:space="preserve"> </v>
      </c>
      <c r="M2672" t="s">
        <v>681</v>
      </c>
      <c r="O2672" s="5">
        <v>30861317</v>
      </c>
      <c r="P2672" s="5">
        <v>41929</v>
      </c>
      <c r="Q2672" s="5">
        <v>7967</v>
      </c>
      <c r="R2672" s="5">
        <v>49896</v>
      </c>
    </row>
    <row r="2673" spans="1:18" x14ac:dyDescent="0.25">
      <c r="F2673" t="s">
        <v>537</v>
      </c>
      <c r="K2673" t="str">
        <f>IFERROR(IF(AND(VLOOKUP($C2673,Hes!$A:$B, 1, FALSE), $M2673&lt;&gt;" "), "Ingresada", "Falta Ingresar"), " ")</f>
        <v xml:space="preserve"> </v>
      </c>
      <c r="L2673" s="4" t="str">
        <f>IFERROR(VLOOKUP($C2673,Observaciones!$A:$B,2,FALSE)," ")</f>
        <v xml:space="preserve"> </v>
      </c>
      <c r="M2673" t="s">
        <v>681</v>
      </c>
      <c r="P2673" s="5">
        <v>351742</v>
      </c>
      <c r="Q2673" s="5">
        <v>66831</v>
      </c>
      <c r="R2673" s="5">
        <v>418573</v>
      </c>
    </row>
    <row r="2674" spans="1:18" x14ac:dyDescent="0.25">
      <c r="A2674" t="s">
        <v>551</v>
      </c>
      <c r="B2674" t="s">
        <v>494</v>
      </c>
      <c r="C2674">
        <v>79674810</v>
      </c>
      <c r="D2674">
        <v>2</v>
      </c>
      <c r="E2674">
        <v>30861275</v>
      </c>
      <c r="F2674" t="s">
        <v>1338</v>
      </c>
      <c r="G2674" s="1">
        <v>45238</v>
      </c>
      <c r="H2674">
        <v>5415320</v>
      </c>
      <c r="I2674">
        <v>463</v>
      </c>
      <c r="J2674" t="s">
        <v>446</v>
      </c>
      <c r="K2674" t="str">
        <f>IFERROR(IF(AND(VLOOKUP($C2674,Hes!$A:$B, 1, FALSE), $M2674&lt;&gt;" "), "Ingresada", "Falta Ingresar"), " ")</f>
        <v xml:space="preserve"> </v>
      </c>
      <c r="L2674" s="4" t="str">
        <f>IFERROR(VLOOKUP($C2674,Observaciones!$A:$B,2,FALSE)," ")</f>
        <v xml:space="preserve"> </v>
      </c>
      <c r="M2674" t="s">
        <v>681</v>
      </c>
      <c r="O2674" s="5">
        <v>30861275</v>
      </c>
      <c r="P2674" s="5">
        <v>157576</v>
      </c>
      <c r="Q2674" s="5">
        <v>29939</v>
      </c>
      <c r="R2674" s="5">
        <v>187515</v>
      </c>
    </row>
    <row r="2675" spans="1:18" x14ac:dyDescent="0.25">
      <c r="F2675" t="s">
        <v>495</v>
      </c>
      <c r="K2675" t="str">
        <f>IFERROR(IF(AND(VLOOKUP($C2675,Hes!$A:$B, 1, FALSE), $M2675&lt;&gt;" "), "Ingresada", "Falta Ingresar"), " ")</f>
        <v xml:space="preserve"> </v>
      </c>
      <c r="L2675" s="4" t="str">
        <f>IFERROR(VLOOKUP($C2675,Observaciones!$A:$B,2,FALSE)," ")</f>
        <v xml:space="preserve"> </v>
      </c>
      <c r="M2675" t="s">
        <v>681</v>
      </c>
      <c r="P2675" s="5">
        <v>157576</v>
      </c>
      <c r="Q2675" s="5">
        <v>29939</v>
      </c>
      <c r="R2675" s="5">
        <v>187515</v>
      </c>
    </row>
    <row r="2676" spans="1:18" x14ac:dyDescent="0.25">
      <c r="A2676" t="s">
        <v>496</v>
      </c>
      <c r="B2676" t="s">
        <v>494</v>
      </c>
      <c r="C2676">
        <v>79693930</v>
      </c>
      <c r="D2676">
        <v>487</v>
      </c>
      <c r="E2676">
        <v>4030507773</v>
      </c>
      <c r="F2676" t="s">
        <v>1339</v>
      </c>
      <c r="G2676" s="1">
        <v>45231</v>
      </c>
      <c r="H2676">
        <v>5410576</v>
      </c>
      <c r="I2676">
        <v>179</v>
      </c>
      <c r="J2676" t="s">
        <v>410</v>
      </c>
      <c r="K2676" t="str">
        <f>IFERROR(IF(AND(VLOOKUP($C2676,Hes!$A:$B, 1, FALSE), $M2676&lt;&gt;" "), "Ingresada", "Falta Ingresar"), " ")</f>
        <v xml:space="preserve"> </v>
      </c>
      <c r="L2676" s="4" t="str">
        <f>IFERROR(VLOOKUP($C2676,Observaciones!$A:$B,2,FALSE)," ")</f>
        <v>ESPERAR AL VENDEDOR X OC CC 0</v>
      </c>
      <c r="M2676" t="s">
        <v>681</v>
      </c>
      <c r="O2676" s="5">
        <v>30842948</v>
      </c>
      <c r="P2676" s="5">
        <v>67573</v>
      </c>
      <c r="Q2676" s="5">
        <v>12839</v>
      </c>
      <c r="R2676" s="5">
        <v>80412</v>
      </c>
    </row>
    <row r="2677" spans="1:18" x14ac:dyDescent="0.25">
      <c r="A2677" t="s">
        <v>496</v>
      </c>
      <c r="B2677" t="s">
        <v>494</v>
      </c>
      <c r="C2677">
        <v>79693930</v>
      </c>
      <c r="D2677">
        <v>298</v>
      </c>
      <c r="E2677">
        <v>4030507773</v>
      </c>
      <c r="F2677" t="s">
        <v>1339</v>
      </c>
      <c r="G2677" s="1">
        <v>45231</v>
      </c>
      <c r="H2677">
        <v>5410577</v>
      </c>
      <c r="I2677">
        <v>179</v>
      </c>
      <c r="J2677" t="s">
        <v>410</v>
      </c>
      <c r="K2677" t="str">
        <f>IFERROR(IF(AND(VLOOKUP($C2677,Hes!$A:$B, 1, FALSE), $M2677&lt;&gt;" "), "Ingresada", "Falta Ingresar"), " ")</f>
        <v xml:space="preserve"> </v>
      </c>
      <c r="L2677" s="4" t="str">
        <f>IFERROR(VLOOKUP($C2677,Observaciones!$A:$B,2,FALSE)," ")</f>
        <v>ESPERAR AL VENDEDOR X OC CC 0</v>
      </c>
      <c r="M2677" t="s">
        <v>681</v>
      </c>
      <c r="O2677" s="5">
        <v>30827201</v>
      </c>
      <c r="P2677" s="5">
        <v>49557</v>
      </c>
      <c r="Q2677" s="5">
        <v>9416</v>
      </c>
      <c r="R2677" s="5">
        <v>58973</v>
      </c>
    </row>
    <row r="2678" spans="1:18" x14ac:dyDescent="0.25">
      <c r="A2678" t="s">
        <v>496</v>
      </c>
      <c r="B2678" t="s">
        <v>494</v>
      </c>
      <c r="C2678">
        <v>79693930</v>
      </c>
      <c r="D2678">
        <v>209</v>
      </c>
      <c r="E2678">
        <v>4030507773</v>
      </c>
      <c r="F2678" t="s">
        <v>1339</v>
      </c>
      <c r="G2678" s="1">
        <v>45231</v>
      </c>
      <c r="H2678">
        <v>5410652</v>
      </c>
      <c r="I2678">
        <v>179</v>
      </c>
      <c r="J2678" t="s">
        <v>410</v>
      </c>
      <c r="K2678" t="str">
        <f>IFERROR(IF(AND(VLOOKUP($C2678,Hes!$A:$B, 1, FALSE), $M2678&lt;&gt;" "), "Ingresada", "Falta Ingresar"), " ")</f>
        <v xml:space="preserve"> </v>
      </c>
      <c r="L2678" s="4" t="str">
        <f>IFERROR(VLOOKUP($C2678,Observaciones!$A:$B,2,FALSE)," ")</f>
        <v>ESPERAR AL VENDEDOR X OC CC 0</v>
      </c>
      <c r="M2678" t="s">
        <v>681</v>
      </c>
      <c r="O2678" s="5">
        <v>30827215</v>
      </c>
      <c r="P2678" s="5">
        <v>49557</v>
      </c>
      <c r="Q2678" s="5">
        <v>9416</v>
      </c>
      <c r="R2678" s="5">
        <v>58973</v>
      </c>
    </row>
    <row r="2679" spans="1:18" x14ac:dyDescent="0.25">
      <c r="A2679" t="s">
        <v>496</v>
      </c>
      <c r="B2679" t="s">
        <v>494</v>
      </c>
      <c r="C2679">
        <v>79693930</v>
      </c>
      <c r="D2679">
        <v>309</v>
      </c>
      <c r="E2679">
        <v>4030507773</v>
      </c>
      <c r="F2679" t="s">
        <v>1339</v>
      </c>
      <c r="G2679" s="1">
        <v>45231</v>
      </c>
      <c r="H2679">
        <v>5410653</v>
      </c>
      <c r="I2679">
        <v>179</v>
      </c>
      <c r="J2679" t="s">
        <v>410</v>
      </c>
      <c r="K2679" t="str">
        <f>IFERROR(IF(AND(VLOOKUP($C2679,Hes!$A:$B, 1, FALSE), $M2679&lt;&gt;" "), "Ingresada", "Falta Ingresar"), " ")</f>
        <v xml:space="preserve"> </v>
      </c>
      <c r="L2679" s="4" t="str">
        <f>IFERROR(VLOOKUP($C2679,Observaciones!$A:$B,2,FALSE)," ")</f>
        <v>ESPERAR AL VENDEDOR X OC CC 0</v>
      </c>
      <c r="M2679" t="s">
        <v>681</v>
      </c>
      <c r="O2679" s="5">
        <v>30827211</v>
      </c>
      <c r="P2679" s="5">
        <v>49557</v>
      </c>
      <c r="Q2679" s="5">
        <v>9416</v>
      </c>
      <c r="R2679" s="5">
        <v>58973</v>
      </c>
    </row>
    <row r="2680" spans="1:18" x14ac:dyDescent="0.25">
      <c r="A2680" t="s">
        <v>496</v>
      </c>
      <c r="B2680" t="s">
        <v>494</v>
      </c>
      <c r="C2680">
        <v>79693930</v>
      </c>
      <c r="D2680">
        <v>30</v>
      </c>
      <c r="E2680">
        <v>4030517869</v>
      </c>
      <c r="F2680" t="s">
        <v>1339</v>
      </c>
      <c r="G2680" s="1">
        <v>45232</v>
      </c>
      <c r="H2680">
        <v>5410711</v>
      </c>
      <c r="I2680">
        <v>179</v>
      </c>
      <c r="J2680" t="s">
        <v>410</v>
      </c>
      <c r="K2680" t="str">
        <f>IFERROR(IF(AND(VLOOKUP($C2680,Hes!$A:$B, 1, FALSE), $M2680&lt;&gt;" "), "Ingresada", "Falta Ingresar"), " ")</f>
        <v xml:space="preserve"> </v>
      </c>
      <c r="L2680" s="4" t="str">
        <f>IFERROR(VLOOKUP($C2680,Observaciones!$A:$B,2,FALSE)," ")</f>
        <v>ESPERAR AL VENDEDOR X OC CC 0</v>
      </c>
      <c r="M2680" t="s">
        <v>681</v>
      </c>
      <c r="O2680" s="5">
        <v>30844724</v>
      </c>
      <c r="P2680" s="5">
        <v>27165</v>
      </c>
      <c r="Q2680" s="5">
        <v>5161</v>
      </c>
      <c r="R2680" s="5">
        <v>32326</v>
      </c>
    </row>
    <row r="2681" spans="1:18" x14ac:dyDescent="0.25">
      <c r="A2681" t="s">
        <v>496</v>
      </c>
      <c r="B2681" t="s">
        <v>494</v>
      </c>
      <c r="C2681">
        <v>79693930</v>
      </c>
      <c r="D2681">
        <v>207</v>
      </c>
      <c r="E2681">
        <v>4030507773</v>
      </c>
      <c r="F2681" t="s">
        <v>1339</v>
      </c>
      <c r="G2681" s="1">
        <v>45232</v>
      </c>
      <c r="H2681">
        <v>5410765</v>
      </c>
      <c r="I2681">
        <v>179</v>
      </c>
      <c r="J2681" t="s">
        <v>410</v>
      </c>
      <c r="K2681" t="str">
        <f>IFERROR(IF(AND(VLOOKUP($C2681,Hes!$A:$B, 1, FALSE), $M2681&lt;&gt;" "), "Ingresada", "Falta Ingresar"), " ")</f>
        <v xml:space="preserve"> </v>
      </c>
      <c r="L2681" s="4" t="str">
        <f>IFERROR(VLOOKUP($C2681,Observaciones!$A:$B,2,FALSE)," ")</f>
        <v>ESPERAR AL VENDEDOR X OC CC 0</v>
      </c>
      <c r="M2681" t="s">
        <v>681</v>
      </c>
      <c r="O2681" s="5">
        <v>30846048</v>
      </c>
      <c r="P2681" s="5">
        <v>49557</v>
      </c>
      <c r="Q2681" s="5">
        <v>9416</v>
      </c>
      <c r="R2681" s="5">
        <v>58973</v>
      </c>
    </row>
    <row r="2682" spans="1:18" x14ac:dyDescent="0.25">
      <c r="A2682" t="s">
        <v>496</v>
      </c>
      <c r="B2682" t="s">
        <v>494</v>
      </c>
      <c r="C2682">
        <v>79693930</v>
      </c>
      <c r="D2682">
        <v>205</v>
      </c>
      <c r="E2682">
        <v>4030507773</v>
      </c>
      <c r="F2682" t="s">
        <v>1339</v>
      </c>
      <c r="G2682" s="1">
        <v>45232</v>
      </c>
      <c r="H2682">
        <v>5410783</v>
      </c>
      <c r="I2682">
        <v>179</v>
      </c>
      <c r="J2682" t="s">
        <v>410</v>
      </c>
      <c r="K2682" t="str">
        <f>IFERROR(IF(AND(VLOOKUP($C2682,Hes!$A:$B, 1, FALSE), $M2682&lt;&gt;" "), "Ingresada", "Falta Ingresar"), " ")</f>
        <v xml:space="preserve"> </v>
      </c>
      <c r="L2682" s="4" t="str">
        <f>IFERROR(VLOOKUP($C2682,Observaciones!$A:$B,2,FALSE)," ")</f>
        <v>ESPERAR AL VENDEDOR X OC CC 0</v>
      </c>
      <c r="M2682" t="s">
        <v>681</v>
      </c>
      <c r="O2682" s="5">
        <v>30827192</v>
      </c>
      <c r="P2682" s="5">
        <v>47857</v>
      </c>
      <c r="Q2682" s="5">
        <v>9093</v>
      </c>
      <c r="R2682" s="5">
        <v>56950</v>
      </c>
    </row>
    <row r="2683" spans="1:18" x14ac:dyDescent="0.25">
      <c r="A2683" t="s">
        <v>496</v>
      </c>
      <c r="B2683" t="s">
        <v>494</v>
      </c>
      <c r="C2683">
        <v>79693930</v>
      </c>
      <c r="D2683">
        <v>310</v>
      </c>
      <c r="E2683">
        <v>4030507773</v>
      </c>
      <c r="F2683" t="s">
        <v>1339</v>
      </c>
      <c r="G2683" s="1">
        <v>45232</v>
      </c>
      <c r="H2683">
        <v>5410784</v>
      </c>
      <c r="I2683">
        <v>179</v>
      </c>
      <c r="J2683" t="s">
        <v>410</v>
      </c>
      <c r="K2683" t="str">
        <f>IFERROR(IF(AND(VLOOKUP($C2683,Hes!$A:$B, 1, FALSE), $M2683&lt;&gt;" "), "Ingresada", "Falta Ingresar"), " ")</f>
        <v xml:space="preserve"> </v>
      </c>
      <c r="L2683" s="4" t="str">
        <f>IFERROR(VLOOKUP($C2683,Observaciones!$A:$B,2,FALSE)," ")</f>
        <v>ESPERAR AL VENDEDOR X OC CC 0</v>
      </c>
      <c r="M2683" t="s">
        <v>681</v>
      </c>
      <c r="O2683" s="5">
        <v>30827196</v>
      </c>
      <c r="P2683" s="5">
        <v>49557</v>
      </c>
      <c r="Q2683" s="5">
        <v>9416</v>
      </c>
      <c r="R2683" s="5">
        <v>58973</v>
      </c>
    </row>
    <row r="2684" spans="1:18" x14ac:dyDescent="0.25">
      <c r="A2684" t="s">
        <v>496</v>
      </c>
      <c r="B2684" t="s">
        <v>494</v>
      </c>
      <c r="C2684">
        <v>79693930</v>
      </c>
      <c r="D2684">
        <v>200</v>
      </c>
      <c r="E2684">
        <v>4030507773</v>
      </c>
      <c r="F2684" t="s">
        <v>1339</v>
      </c>
      <c r="G2684" s="1">
        <v>45232</v>
      </c>
      <c r="H2684">
        <v>5410788</v>
      </c>
      <c r="I2684">
        <v>179</v>
      </c>
      <c r="J2684" t="s">
        <v>410</v>
      </c>
      <c r="K2684" t="str">
        <f>IFERROR(IF(AND(VLOOKUP($C2684,Hes!$A:$B, 1, FALSE), $M2684&lt;&gt;" "), "Ingresada", "Falta Ingresar"), " ")</f>
        <v xml:space="preserve"> </v>
      </c>
      <c r="L2684" s="4" t="str">
        <f>IFERROR(VLOOKUP($C2684,Observaciones!$A:$B,2,FALSE)," ")</f>
        <v>ESPERAR AL VENDEDOR X OC CC 0</v>
      </c>
      <c r="M2684" t="s">
        <v>681</v>
      </c>
      <c r="O2684" s="5">
        <v>30827190</v>
      </c>
      <c r="P2684" s="5">
        <v>49557</v>
      </c>
      <c r="Q2684" s="5">
        <v>9416</v>
      </c>
      <c r="R2684" s="5">
        <v>58973</v>
      </c>
    </row>
    <row r="2685" spans="1:18" x14ac:dyDescent="0.25">
      <c r="A2685" t="s">
        <v>496</v>
      </c>
      <c r="B2685" t="s">
        <v>494</v>
      </c>
      <c r="C2685">
        <v>79693930</v>
      </c>
      <c r="D2685">
        <v>194</v>
      </c>
      <c r="E2685">
        <v>403050773</v>
      </c>
      <c r="F2685" t="s">
        <v>1339</v>
      </c>
      <c r="G2685" s="1">
        <v>45232</v>
      </c>
      <c r="H2685">
        <v>5410796</v>
      </c>
      <c r="I2685">
        <v>179</v>
      </c>
      <c r="J2685" t="s">
        <v>410</v>
      </c>
      <c r="K2685" t="str">
        <f>IFERROR(IF(AND(VLOOKUP($C2685,Hes!$A:$B, 1, FALSE), $M2685&lt;&gt;" "), "Ingresada", "Falta Ingresar"), " ")</f>
        <v xml:space="preserve"> </v>
      </c>
      <c r="L2685" s="4" t="str">
        <f>IFERROR(VLOOKUP($C2685,Observaciones!$A:$B,2,FALSE)," ")</f>
        <v>ESPERAR AL VENDEDOR X OC CC 0</v>
      </c>
      <c r="M2685" t="s">
        <v>681</v>
      </c>
      <c r="O2685" s="5">
        <v>30827173</v>
      </c>
      <c r="P2685" s="5">
        <v>66773</v>
      </c>
      <c r="Q2685" s="5">
        <v>12687</v>
      </c>
      <c r="R2685" s="5">
        <v>79460</v>
      </c>
    </row>
    <row r="2686" spans="1:18" x14ac:dyDescent="0.25">
      <c r="A2686" t="s">
        <v>496</v>
      </c>
      <c r="B2686" t="s">
        <v>494</v>
      </c>
      <c r="C2686">
        <v>79693930</v>
      </c>
      <c r="D2686">
        <v>193</v>
      </c>
      <c r="E2686">
        <v>403050773</v>
      </c>
      <c r="F2686" t="s">
        <v>1339</v>
      </c>
      <c r="G2686" s="1">
        <v>45232</v>
      </c>
      <c r="H2686">
        <v>5410797</v>
      </c>
      <c r="I2686">
        <v>179</v>
      </c>
      <c r="J2686" t="s">
        <v>410</v>
      </c>
      <c r="K2686" t="str">
        <f>IFERROR(IF(AND(VLOOKUP($C2686,Hes!$A:$B, 1, FALSE), $M2686&lt;&gt;" "), "Ingresada", "Falta Ingresar"), " ")</f>
        <v xml:space="preserve"> </v>
      </c>
      <c r="L2686" s="4" t="str">
        <f>IFERROR(VLOOKUP($C2686,Observaciones!$A:$B,2,FALSE)," ")</f>
        <v>ESPERAR AL VENDEDOR X OC CC 0</v>
      </c>
      <c r="M2686" t="s">
        <v>681</v>
      </c>
      <c r="O2686" s="5">
        <v>30827175</v>
      </c>
      <c r="P2686" s="5">
        <v>66773</v>
      </c>
      <c r="Q2686" s="5">
        <v>12687</v>
      </c>
      <c r="R2686" s="5">
        <v>79460</v>
      </c>
    </row>
    <row r="2687" spans="1:18" x14ac:dyDescent="0.25">
      <c r="A2687" t="s">
        <v>496</v>
      </c>
      <c r="B2687" t="s">
        <v>494</v>
      </c>
      <c r="C2687">
        <v>79693930</v>
      </c>
      <c r="D2687">
        <v>198</v>
      </c>
      <c r="E2687">
        <v>4030507773</v>
      </c>
      <c r="F2687" t="s">
        <v>1339</v>
      </c>
      <c r="G2687" s="1">
        <v>45232</v>
      </c>
      <c r="H2687">
        <v>5410803</v>
      </c>
      <c r="I2687">
        <v>179</v>
      </c>
      <c r="J2687" t="s">
        <v>410</v>
      </c>
      <c r="K2687" t="str">
        <f>IFERROR(IF(AND(VLOOKUP($C2687,Hes!$A:$B, 1, FALSE), $M2687&lt;&gt;" "), "Ingresada", "Falta Ingresar"), " ")</f>
        <v xml:space="preserve"> </v>
      </c>
      <c r="L2687" s="4" t="str">
        <f>IFERROR(VLOOKUP($C2687,Observaciones!$A:$B,2,FALSE)," ")</f>
        <v>ESPERAR AL VENDEDOR X OC CC 0</v>
      </c>
      <c r="M2687" t="s">
        <v>681</v>
      </c>
      <c r="O2687" s="5">
        <v>30827188</v>
      </c>
      <c r="P2687" s="5">
        <v>67573</v>
      </c>
      <c r="Q2687" s="5">
        <v>12839</v>
      </c>
      <c r="R2687" s="5">
        <v>80412</v>
      </c>
    </row>
    <row r="2688" spans="1:18" x14ac:dyDescent="0.25">
      <c r="A2688" t="s">
        <v>496</v>
      </c>
      <c r="B2688" t="s">
        <v>494</v>
      </c>
      <c r="C2688">
        <v>79693930</v>
      </c>
      <c r="D2688">
        <v>196</v>
      </c>
      <c r="E2688">
        <v>403050773</v>
      </c>
      <c r="F2688" t="s">
        <v>1339</v>
      </c>
      <c r="G2688" s="1">
        <v>45232</v>
      </c>
      <c r="H2688">
        <v>5410807</v>
      </c>
      <c r="I2688">
        <v>179</v>
      </c>
      <c r="J2688" t="s">
        <v>410</v>
      </c>
      <c r="K2688" t="str">
        <f>IFERROR(IF(AND(VLOOKUP($C2688,Hes!$A:$B, 1, FALSE), $M2688&lt;&gt;" "), "Ingresada", "Falta Ingresar"), " ")</f>
        <v xml:space="preserve"> </v>
      </c>
      <c r="L2688" s="4" t="str">
        <f>IFERROR(VLOOKUP($C2688,Observaciones!$A:$B,2,FALSE)," ")</f>
        <v>ESPERAR AL VENDEDOR X OC CC 0</v>
      </c>
      <c r="M2688" t="s">
        <v>681</v>
      </c>
      <c r="O2688" s="5">
        <v>30827176</v>
      </c>
      <c r="P2688" s="5">
        <v>48957</v>
      </c>
      <c r="Q2688" s="5">
        <v>9302</v>
      </c>
      <c r="R2688" s="5">
        <v>58259</v>
      </c>
    </row>
    <row r="2689" spans="1:18" x14ac:dyDescent="0.25">
      <c r="A2689" t="s">
        <v>496</v>
      </c>
      <c r="B2689" t="s">
        <v>494</v>
      </c>
      <c r="C2689">
        <v>79693930</v>
      </c>
      <c r="D2689">
        <v>201</v>
      </c>
      <c r="E2689">
        <v>403050773</v>
      </c>
      <c r="F2689" t="s">
        <v>1339</v>
      </c>
      <c r="G2689" s="1">
        <v>45232</v>
      </c>
      <c r="H2689">
        <v>5410811</v>
      </c>
      <c r="I2689">
        <v>179</v>
      </c>
      <c r="J2689" t="s">
        <v>410</v>
      </c>
      <c r="K2689" t="str">
        <f>IFERROR(IF(AND(VLOOKUP($C2689,Hes!$A:$B, 1, FALSE), $M2689&lt;&gt;" "), "Ingresada", "Falta Ingresar"), " ")</f>
        <v xml:space="preserve"> </v>
      </c>
      <c r="L2689" s="4" t="str">
        <f>IFERROR(VLOOKUP($C2689,Observaciones!$A:$B,2,FALSE)," ")</f>
        <v>ESPERAR AL VENDEDOR X OC CC 0</v>
      </c>
      <c r="M2689" t="s">
        <v>681</v>
      </c>
      <c r="O2689" s="5">
        <v>30827179</v>
      </c>
      <c r="P2689" s="5">
        <v>66296</v>
      </c>
      <c r="Q2689" s="5">
        <v>12596</v>
      </c>
      <c r="R2689" s="5">
        <v>78892</v>
      </c>
    </row>
    <row r="2690" spans="1:18" x14ac:dyDescent="0.25">
      <c r="A2690" t="s">
        <v>496</v>
      </c>
      <c r="B2690" t="s">
        <v>494</v>
      </c>
      <c r="C2690">
        <v>79693930</v>
      </c>
      <c r="D2690">
        <v>343</v>
      </c>
      <c r="E2690">
        <v>4030507773</v>
      </c>
      <c r="F2690" t="s">
        <v>1339</v>
      </c>
      <c r="G2690" s="1">
        <v>45232</v>
      </c>
      <c r="H2690">
        <v>5410812</v>
      </c>
      <c r="I2690">
        <v>179</v>
      </c>
      <c r="J2690" t="s">
        <v>410</v>
      </c>
      <c r="K2690" t="str">
        <f>IFERROR(IF(AND(VLOOKUP($C2690,Hes!$A:$B, 1, FALSE), $M2690&lt;&gt;" "), "Ingresada", "Falta Ingresar"), " ")</f>
        <v xml:space="preserve"> </v>
      </c>
      <c r="L2690" s="4" t="str">
        <f>IFERROR(VLOOKUP($C2690,Observaciones!$A:$B,2,FALSE)," ")</f>
        <v>ESPERAR AL VENDEDOR X OC CC 0</v>
      </c>
      <c r="M2690" t="s">
        <v>681</v>
      </c>
      <c r="O2690" s="5">
        <v>30827187</v>
      </c>
      <c r="P2690" s="5">
        <v>29803</v>
      </c>
      <c r="Q2690" s="5">
        <v>5663</v>
      </c>
      <c r="R2690" s="5">
        <v>35466</v>
      </c>
    </row>
    <row r="2691" spans="1:18" x14ac:dyDescent="0.25">
      <c r="A2691" t="s">
        <v>496</v>
      </c>
      <c r="B2691" t="s">
        <v>494</v>
      </c>
      <c r="C2691">
        <v>79693930</v>
      </c>
      <c r="D2691">
        <v>204</v>
      </c>
      <c r="E2691">
        <v>403050773</v>
      </c>
      <c r="F2691" t="s">
        <v>1339</v>
      </c>
      <c r="G2691" s="1">
        <v>45232</v>
      </c>
      <c r="H2691">
        <v>5410813</v>
      </c>
      <c r="I2691">
        <v>179</v>
      </c>
      <c r="J2691" t="s">
        <v>410</v>
      </c>
      <c r="K2691" t="str">
        <f>IFERROR(IF(AND(VLOOKUP($C2691,Hes!$A:$B, 1, FALSE), $M2691&lt;&gt;" "), "Ingresada", "Falta Ingresar"), " ")</f>
        <v xml:space="preserve"> </v>
      </c>
      <c r="L2691" s="4" t="str">
        <f>IFERROR(VLOOKUP($C2691,Observaciones!$A:$B,2,FALSE)," ")</f>
        <v>ESPERAR AL VENDEDOR X OC CC 0</v>
      </c>
      <c r="M2691" t="s">
        <v>681</v>
      </c>
      <c r="O2691" s="5">
        <v>30827183</v>
      </c>
      <c r="P2691" s="5">
        <v>49557</v>
      </c>
      <c r="Q2691" s="5">
        <v>9416</v>
      </c>
      <c r="R2691" s="5">
        <v>58973</v>
      </c>
    </row>
    <row r="2692" spans="1:18" x14ac:dyDescent="0.25">
      <c r="A2692" t="s">
        <v>496</v>
      </c>
      <c r="B2692" t="s">
        <v>494</v>
      </c>
      <c r="C2692">
        <v>79693930</v>
      </c>
      <c r="D2692">
        <v>202</v>
      </c>
      <c r="E2692">
        <v>403050773</v>
      </c>
      <c r="F2692" t="s">
        <v>1339</v>
      </c>
      <c r="G2692" s="1">
        <v>45232</v>
      </c>
      <c r="H2692">
        <v>5410814</v>
      </c>
      <c r="I2692">
        <v>179</v>
      </c>
      <c r="J2692" t="s">
        <v>410</v>
      </c>
      <c r="K2692" t="str">
        <f>IFERROR(IF(AND(VLOOKUP($C2692,Hes!$A:$B, 1, FALSE), $M2692&lt;&gt;" "), "Ingresada", "Falta Ingresar"), " ")</f>
        <v xml:space="preserve"> </v>
      </c>
      <c r="L2692" s="4" t="str">
        <f>IFERROR(VLOOKUP($C2692,Observaciones!$A:$B,2,FALSE)," ")</f>
        <v>ESPERAR AL VENDEDOR X OC CC 0</v>
      </c>
      <c r="M2692" t="s">
        <v>681</v>
      </c>
      <c r="O2692" s="5">
        <v>30827185</v>
      </c>
      <c r="P2692" s="5">
        <v>29803</v>
      </c>
      <c r="Q2692" s="5">
        <v>5663</v>
      </c>
      <c r="R2692" s="5">
        <v>35466</v>
      </c>
    </row>
    <row r="2693" spans="1:18" x14ac:dyDescent="0.25">
      <c r="A2693" t="s">
        <v>496</v>
      </c>
      <c r="B2693" t="s">
        <v>494</v>
      </c>
      <c r="C2693">
        <v>79693930</v>
      </c>
      <c r="D2693">
        <v>311</v>
      </c>
      <c r="E2693">
        <v>4030507773</v>
      </c>
      <c r="F2693" t="s">
        <v>1339</v>
      </c>
      <c r="G2693" s="1">
        <v>45231</v>
      </c>
      <c r="H2693">
        <v>5410861</v>
      </c>
      <c r="I2693">
        <v>179</v>
      </c>
      <c r="J2693" t="s">
        <v>410</v>
      </c>
      <c r="K2693" t="str">
        <f>IFERROR(IF(AND(VLOOKUP($C2693,Hes!$A:$B, 1, FALSE), $M2693&lt;&gt;" "), "Ingresada", "Falta Ingresar"), " ")</f>
        <v xml:space="preserve"> </v>
      </c>
      <c r="L2693" s="4" t="str">
        <f>IFERROR(VLOOKUP($C2693,Observaciones!$A:$B,2,FALSE)," ")</f>
        <v>ESPERAR AL VENDEDOR X OC CC 0</v>
      </c>
      <c r="M2693" t="s">
        <v>681</v>
      </c>
      <c r="O2693" s="5">
        <v>30827204</v>
      </c>
      <c r="P2693" s="5">
        <v>49557</v>
      </c>
      <c r="Q2693" s="5">
        <v>9416</v>
      </c>
      <c r="R2693" s="5">
        <v>58973</v>
      </c>
    </row>
    <row r="2694" spans="1:18" x14ac:dyDescent="0.25">
      <c r="A2694" t="s">
        <v>496</v>
      </c>
      <c r="B2694" t="s">
        <v>494</v>
      </c>
      <c r="C2694">
        <v>79693930</v>
      </c>
      <c r="D2694">
        <v>137</v>
      </c>
      <c r="E2694">
        <v>4030507773</v>
      </c>
      <c r="F2694" t="s">
        <v>1339</v>
      </c>
      <c r="G2694" s="1">
        <v>45232</v>
      </c>
      <c r="H2694">
        <v>5410911</v>
      </c>
      <c r="I2694">
        <v>179</v>
      </c>
      <c r="J2694" t="s">
        <v>410</v>
      </c>
      <c r="K2694" t="str">
        <f>IFERROR(IF(AND(VLOOKUP($C2694,Hes!$A:$B, 1, FALSE), $M2694&lt;&gt;" "), "Ingresada", "Falta Ingresar"), " ")</f>
        <v xml:space="preserve"> </v>
      </c>
      <c r="L2694" s="4" t="str">
        <f>IFERROR(VLOOKUP($C2694,Observaciones!$A:$B,2,FALSE)," ")</f>
        <v>ESPERAR AL VENDEDOR X OC CC 0</v>
      </c>
      <c r="M2694" t="s">
        <v>681</v>
      </c>
      <c r="O2694" s="5">
        <v>30827199</v>
      </c>
      <c r="P2694" s="5">
        <v>49557</v>
      </c>
      <c r="Q2694" s="5">
        <v>9416</v>
      </c>
      <c r="R2694" s="5">
        <v>58973</v>
      </c>
    </row>
    <row r="2695" spans="1:18" x14ac:dyDescent="0.25">
      <c r="A2695" t="s">
        <v>496</v>
      </c>
      <c r="B2695" t="s">
        <v>494</v>
      </c>
      <c r="C2695">
        <v>79693930</v>
      </c>
      <c r="D2695">
        <v>136</v>
      </c>
      <c r="E2695">
        <v>4030507773</v>
      </c>
      <c r="F2695" t="s">
        <v>1339</v>
      </c>
      <c r="G2695" s="1">
        <v>45232</v>
      </c>
      <c r="H2695">
        <v>5410912</v>
      </c>
      <c r="I2695">
        <v>179</v>
      </c>
      <c r="J2695" t="s">
        <v>410</v>
      </c>
      <c r="K2695" t="str">
        <f>IFERROR(IF(AND(VLOOKUP($C2695,Hes!$A:$B, 1, FALSE), $M2695&lt;&gt;" "), "Ingresada", "Falta Ingresar"), " ")</f>
        <v xml:space="preserve"> </v>
      </c>
      <c r="L2695" s="4" t="str">
        <f>IFERROR(VLOOKUP($C2695,Observaciones!$A:$B,2,FALSE)," ")</f>
        <v>ESPERAR AL VENDEDOR X OC CC 0</v>
      </c>
      <c r="M2695" t="s">
        <v>681</v>
      </c>
      <c r="O2695" s="5">
        <v>30827197</v>
      </c>
      <c r="P2695" s="5">
        <v>67573</v>
      </c>
      <c r="Q2695" s="5">
        <v>12839</v>
      </c>
      <c r="R2695" s="5">
        <v>80412</v>
      </c>
    </row>
    <row r="2696" spans="1:18" x14ac:dyDescent="0.25">
      <c r="A2696" t="s">
        <v>496</v>
      </c>
      <c r="B2696" t="s">
        <v>494</v>
      </c>
      <c r="C2696">
        <v>79693930</v>
      </c>
      <c r="D2696">
        <v>229</v>
      </c>
      <c r="E2696">
        <v>4030460009</v>
      </c>
      <c r="F2696" t="s">
        <v>1339</v>
      </c>
      <c r="G2696" s="1">
        <v>45232</v>
      </c>
      <c r="H2696">
        <v>5410943</v>
      </c>
      <c r="I2696">
        <v>179</v>
      </c>
      <c r="J2696" t="s">
        <v>410</v>
      </c>
      <c r="K2696" t="str">
        <f>IFERROR(IF(AND(VLOOKUP($C2696,Hes!$A:$B, 1, FALSE), $M2696&lt;&gt;" "), "Ingresada", "Falta Ingresar"), " ")</f>
        <v xml:space="preserve"> </v>
      </c>
      <c r="L2696" s="4" t="str">
        <f>IFERROR(VLOOKUP($C2696,Observaciones!$A:$B,2,FALSE)," ")</f>
        <v>ESPERAR AL VENDEDOR X OC CC 0</v>
      </c>
      <c r="M2696" t="s">
        <v>681</v>
      </c>
      <c r="O2696" s="5">
        <v>30847139</v>
      </c>
      <c r="P2696" s="5">
        <v>22094</v>
      </c>
      <c r="Q2696" s="5">
        <v>4198</v>
      </c>
      <c r="R2696" s="5">
        <v>26292</v>
      </c>
    </row>
    <row r="2697" spans="1:18" x14ac:dyDescent="0.25">
      <c r="A2697" t="s">
        <v>496</v>
      </c>
      <c r="B2697" t="s">
        <v>494</v>
      </c>
      <c r="C2697">
        <v>79693930</v>
      </c>
      <c r="D2697">
        <v>228</v>
      </c>
      <c r="E2697">
        <v>4030460009</v>
      </c>
      <c r="F2697" t="s">
        <v>1339</v>
      </c>
      <c r="G2697" s="1">
        <v>45232</v>
      </c>
      <c r="H2697">
        <v>5410951</v>
      </c>
      <c r="I2697">
        <v>179</v>
      </c>
      <c r="J2697" t="s">
        <v>410</v>
      </c>
      <c r="K2697" t="str">
        <f>IFERROR(IF(AND(VLOOKUP($C2697,Hes!$A:$B, 1, FALSE), $M2697&lt;&gt;" "), "Ingresada", "Falta Ingresar"), " ")</f>
        <v xml:space="preserve"> </v>
      </c>
      <c r="L2697" s="4" t="str">
        <f>IFERROR(VLOOKUP($C2697,Observaciones!$A:$B,2,FALSE)," ")</f>
        <v>ESPERAR AL VENDEDOR X OC CC 0</v>
      </c>
      <c r="M2697" t="s">
        <v>681</v>
      </c>
      <c r="O2697" s="5">
        <v>30847133</v>
      </c>
      <c r="P2697" s="5">
        <v>37870</v>
      </c>
      <c r="Q2697" s="5">
        <v>7195</v>
      </c>
      <c r="R2697" s="5">
        <v>45065</v>
      </c>
    </row>
    <row r="2698" spans="1:18" x14ac:dyDescent="0.25">
      <c r="A2698" t="s">
        <v>496</v>
      </c>
      <c r="B2698" t="s">
        <v>494</v>
      </c>
      <c r="C2698">
        <v>79693930</v>
      </c>
      <c r="D2698">
        <v>230</v>
      </c>
      <c r="E2698">
        <v>4030460009</v>
      </c>
      <c r="F2698" t="s">
        <v>1339</v>
      </c>
      <c r="G2698" s="1">
        <v>45232</v>
      </c>
      <c r="H2698">
        <v>5410954</v>
      </c>
      <c r="I2698">
        <v>179</v>
      </c>
      <c r="J2698" t="s">
        <v>410</v>
      </c>
      <c r="K2698" t="str">
        <f>IFERROR(IF(AND(VLOOKUP($C2698,Hes!$A:$B, 1, FALSE), $M2698&lt;&gt;" "), "Ingresada", "Falta Ingresar"), " ")</f>
        <v xml:space="preserve"> </v>
      </c>
      <c r="L2698" s="4" t="str">
        <f>IFERROR(VLOOKUP($C2698,Observaciones!$A:$B,2,FALSE)," ")</f>
        <v>ESPERAR AL VENDEDOR X OC CC 0</v>
      </c>
      <c r="M2698" t="s">
        <v>681</v>
      </c>
      <c r="O2698" s="5">
        <v>30847159</v>
      </c>
      <c r="P2698" s="5">
        <v>19582</v>
      </c>
      <c r="Q2698" s="5">
        <v>3721</v>
      </c>
      <c r="R2698" s="5">
        <v>23303</v>
      </c>
    </row>
    <row r="2699" spans="1:18" x14ac:dyDescent="0.25">
      <c r="A2699" t="s">
        <v>496</v>
      </c>
      <c r="B2699" t="s">
        <v>494</v>
      </c>
      <c r="C2699">
        <v>79693930</v>
      </c>
      <c r="D2699">
        <v>392</v>
      </c>
      <c r="E2699">
        <v>4030460009</v>
      </c>
      <c r="F2699" t="s">
        <v>1339</v>
      </c>
      <c r="G2699" s="1">
        <v>45232</v>
      </c>
      <c r="H2699">
        <v>5410963</v>
      </c>
      <c r="I2699">
        <v>179</v>
      </c>
      <c r="J2699" t="s">
        <v>410</v>
      </c>
      <c r="K2699" t="str">
        <f>IFERROR(IF(AND(VLOOKUP($C2699,Hes!$A:$B, 1, FALSE), $M2699&lt;&gt;" "), "Ingresada", "Falta Ingresar"), " ")</f>
        <v xml:space="preserve"> </v>
      </c>
      <c r="L2699" s="4" t="str">
        <f>IFERROR(VLOOKUP($C2699,Observaciones!$A:$B,2,FALSE)," ")</f>
        <v>ESPERAR AL VENDEDOR X OC CC 0</v>
      </c>
      <c r="M2699" t="s">
        <v>681</v>
      </c>
      <c r="O2699" s="5">
        <v>30846993</v>
      </c>
      <c r="P2699" s="5">
        <v>34914</v>
      </c>
      <c r="Q2699" s="5">
        <v>6634</v>
      </c>
      <c r="R2699" s="5">
        <v>41548</v>
      </c>
    </row>
    <row r="2700" spans="1:18" x14ac:dyDescent="0.25">
      <c r="A2700" t="s">
        <v>496</v>
      </c>
      <c r="B2700" t="s">
        <v>494</v>
      </c>
      <c r="C2700">
        <v>79693930</v>
      </c>
      <c r="D2700">
        <v>221</v>
      </c>
      <c r="E2700">
        <v>4030460009</v>
      </c>
      <c r="F2700" t="s">
        <v>1339</v>
      </c>
      <c r="G2700" s="1">
        <v>45232</v>
      </c>
      <c r="H2700">
        <v>5410964</v>
      </c>
      <c r="I2700">
        <v>179</v>
      </c>
      <c r="J2700" t="s">
        <v>410</v>
      </c>
      <c r="K2700" t="str">
        <f>IFERROR(IF(AND(VLOOKUP($C2700,Hes!$A:$B, 1, FALSE), $M2700&lt;&gt;" "), "Ingresada", "Falta Ingresar"), " ")</f>
        <v xml:space="preserve"> </v>
      </c>
      <c r="L2700" s="4" t="str">
        <f>IFERROR(VLOOKUP($C2700,Observaciones!$A:$B,2,FALSE)," ")</f>
        <v>ESPERAR AL VENDEDOR X OC CC 0</v>
      </c>
      <c r="M2700" t="s">
        <v>681</v>
      </c>
      <c r="O2700" s="5">
        <v>30847036</v>
      </c>
      <c r="P2700" s="5">
        <v>37426</v>
      </c>
      <c r="Q2700" s="5">
        <v>7111</v>
      </c>
      <c r="R2700" s="5">
        <v>44537</v>
      </c>
    </row>
    <row r="2701" spans="1:18" x14ac:dyDescent="0.25">
      <c r="A2701" t="s">
        <v>496</v>
      </c>
      <c r="B2701" t="s">
        <v>494</v>
      </c>
      <c r="C2701">
        <v>79693930</v>
      </c>
      <c r="D2701">
        <v>220</v>
      </c>
      <c r="E2701">
        <v>4030460009</v>
      </c>
      <c r="F2701" t="s">
        <v>1339</v>
      </c>
      <c r="G2701" s="1">
        <v>45232</v>
      </c>
      <c r="H2701">
        <v>5410965</v>
      </c>
      <c r="I2701">
        <v>179</v>
      </c>
      <c r="J2701" t="s">
        <v>410</v>
      </c>
      <c r="K2701" t="str">
        <f>IFERROR(IF(AND(VLOOKUP($C2701,Hes!$A:$B, 1, FALSE), $M2701&lt;&gt;" "), "Ingresada", "Falta Ingresar"), " ")</f>
        <v xml:space="preserve"> </v>
      </c>
      <c r="L2701" s="4" t="str">
        <f>IFERROR(VLOOKUP($C2701,Observaciones!$A:$B,2,FALSE)," ")</f>
        <v>ESPERAR AL VENDEDOR X OC CC 0</v>
      </c>
      <c r="M2701" t="s">
        <v>681</v>
      </c>
      <c r="O2701" s="5">
        <v>30847021</v>
      </c>
      <c r="P2701" s="5">
        <v>39938</v>
      </c>
      <c r="Q2701" s="5">
        <v>7588</v>
      </c>
      <c r="R2701" s="5">
        <v>47526</v>
      </c>
    </row>
    <row r="2702" spans="1:18" x14ac:dyDescent="0.25">
      <c r="A2702" t="s">
        <v>496</v>
      </c>
      <c r="B2702" t="s">
        <v>494</v>
      </c>
      <c r="C2702">
        <v>79693930</v>
      </c>
      <c r="D2702">
        <v>393</v>
      </c>
      <c r="E2702">
        <v>4030460009</v>
      </c>
      <c r="F2702" t="s">
        <v>1339</v>
      </c>
      <c r="G2702" s="1">
        <v>45232</v>
      </c>
      <c r="H2702">
        <v>5410994</v>
      </c>
      <c r="I2702">
        <v>179</v>
      </c>
      <c r="J2702" t="s">
        <v>410</v>
      </c>
      <c r="K2702" t="str">
        <f>IFERROR(IF(AND(VLOOKUP($C2702,Hes!$A:$B, 1, FALSE), $M2702&lt;&gt;" "), "Ingresada", "Falta Ingresar"), " ")</f>
        <v xml:space="preserve"> </v>
      </c>
      <c r="L2702" s="4" t="str">
        <f>IFERROR(VLOOKUP($C2702,Observaciones!$A:$B,2,FALSE)," ")</f>
        <v>ESPERAR AL VENDEDOR X OC CC 0</v>
      </c>
      <c r="M2702" t="s">
        <v>681</v>
      </c>
      <c r="O2702" s="5">
        <v>30847006</v>
      </c>
      <c r="P2702" s="5">
        <v>22094</v>
      </c>
      <c r="Q2702" s="5">
        <v>4198</v>
      </c>
      <c r="R2702" s="5">
        <v>26292</v>
      </c>
    </row>
    <row r="2703" spans="1:18" x14ac:dyDescent="0.25">
      <c r="A2703" t="s">
        <v>496</v>
      </c>
      <c r="B2703" t="s">
        <v>494</v>
      </c>
      <c r="C2703">
        <v>79693930</v>
      </c>
      <c r="D2703">
        <v>206</v>
      </c>
      <c r="E2703">
        <v>4030507773</v>
      </c>
      <c r="F2703" t="s">
        <v>1339</v>
      </c>
      <c r="G2703" s="1">
        <v>45232</v>
      </c>
      <c r="H2703">
        <v>5411024</v>
      </c>
      <c r="I2703">
        <v>179</v>
      </c>
      <c r="J2703" t="s">
        <v>410</v>
      </c>
      <c r="K2703" t="str">
        <f>IFERROR(IF(AND(VLOOKUP($C2703,Hes!$A:$B, 1, FALSE), $M2703&lt;&gt;" "), "Ingresada", "Falta Ingresar"), " ")</f>
        <v xml:space="preserve"> </v>
      </c>
      <c r="L2703" s="4" t="str">
        <f>IFERROR(VLOOKUP($C2703,Observaciones!$A:$B,2,FALSE)," ")</f>
        <v>ESPERAR AL VENDEDOR X OC CC 0</v>
      </c>
      <c r="M2703" t="s">
        <v>681</v>
      </c>
      <c r="O2703" s="5">
        <v>30827193</v>
      </c>
      <c r="P2703" s="5">
        <v>29803</v>
      </c>
      <c r="Q2703" s="5">
        <v>5663</v>
      </c>
      <c r="R2703" s="5">
        <v>35466</v>
      </c>
    </row>
    <row r="2704" spans="1:18" x14ac:dyDescent="0.25">
      <c r="A2704" t="s">
        <v>496</v>
      </c>
      <c r="B2704" t="s">
        <v>494</v>
      </c>
      <c r="C2704">
        <v>79693930</v>
      </c>
      <c r="D2704">
        <v>214</v>
      </c>
      <c r="E2704">
        <v>4030460009</v>
      </c>
      <c r="F2704" t="s">
        <v>1339</v>
      </c>
      <c r="G2704" s="1">
        <v>45232</v>
      </c>
      <c r="H2704">
        <v>5411083</v>
      </c>
      <c r="I2704">
        <v>179</v>
      </c>
      <c r="J2704" t="s">
        <v>410</v>
      </c>
      <c r="K2704" t="str">
        <f>IFERROR(IF(AND(VLOOKUP($C2704,Hes!$A:$B, 1, FALSE), $M2704&lt;&gt;" "), "Ingresada", "Falta Ingresar"), " ")</f>
        <v xml:space="preserve"> </v>
      </c>
      <c r="L2704" s="4" t="str">
        <f>IFERROR(VLOOKUP($C2704,Observaciones!$A:$B,2,FALSE)," ")</f>
        <v>ESPERAR AL VENDEDOR X OC CC 0</v>
      </c>
      <c r="M2704" t="s">
        <v>681</v>
      </c>
      <c r="O2704" s="5">
        <v>30846898</v>
      </c>
      <c r="P2704" s="5">
        <v>74088</v>
      </c>
      <c r="Q2704" s="5">
        <v>14077</v>
      </c>
      <c r="R2704" s="5">
        <v>88165</v>
      </c>
    </row>
    <row r="2705" spans="1:18" x14ac:dyDescent="0.25">
      <c r="A2705" t="s">
        <v>496</v>
      </c>
      <c r="B2705" t="s">
        <v>494</v>
      </c>
      <c r="C2705">
        <v>79693930</v>
      </c>
      <c r="D2705">
        <v>234</v>
      </c>
      <c r="E2705">
        <v>4030460009</v>
      </c>
      <c r="F2705" t="s">
        <v>1339</v>
      </c>
      <c r="G2705" s="1">
        <v>45232</v>
      </c>
      <c r="H2705">
        <v>5411084</v>
      </c>
      <c r="I2705">
        <v>179</v>
      </c>
      <c r="J2705" t="s">
        <v>410</v>
      </c>
      <c r="K2705" t="str">
        <f>IFERROR(IF(AND(VLOOKUP($C2705,Hes!$A:$B, 1, FALSE), $M2705&lt;&gt;" "), "Ingresada", "Falta Ingresar"), " ")</f>
        <v xml:space="preserve"> </v>
      </c>
      <c r="L2705" s="4" t="str">
        <f>IFERROR(VLOOKUP($C2705,Observaciones!$A:$B,2,FALSE)," ")</f>
        <v>ESPERAR AL VENDEDOR X OC CC 0</v>
      </c>
      <c r="M2705" t="s">
        <v>681</v>
      </c>
      <c r="O2705" s="5">
        <v>30847315</v>
      </c>
      <c r="P2705" s="5">
        <v>34914</v>
      </c>
      <c r="Q2705" s="5">
        <v>6634</v>
      </c>
      <c r="R2705" s="5">
        <v>41548</v>
      </c>
    </row>
    <row r="2706" spans="1:18" x14ac:dyDescent="0.25">
      <c r="A2706" t="s">
        <v>496</v>
      </c>
      <c r="B2706" t="s">
        <v>494</v>
      </c>
      <c r="C2706">
        <v>79693930</v>
      </c>
      <c r="D2706">
        <v>213</v>
      </c>
      <c r="E2706">
        <v>4030460009</v>
      </c>
      <c r="F2706" t="s">
        <v>1339</v>
      </c>
      <c r="G2706" s="1">
        <v>45232</v>
      </c>
      <c r="H2706">
        <v>5411085</v>
      </c>
      <c r="I2706">
        <v>179</v>
      </c>
      <c r="J2706" t="s">
        <v>410</v>
      </c>
      <c r="K2706" t="str">
        <f>IFERROR(IF(AND(VLOOKUP($C2706,Hes!$A:$B, 1, FALSE), $M2706&lt;&gt;" "), "Ingresada", "Falta Ingresar"), " ")</f>
        <v xml:space="preserve"> </v>
      </c>
      <c r="L2706" s="4" t="str">
        <f>IFERROR(VLOOKUP($C2706,Observaciones!$A:$B,2,FALSE)," ")</f>
        <v>ESPERAR AL VENDEDOR X OC CC 0</v>
      </c>
      <c r="M2706" t="s">
        <v>681</v>
      </c>
      <c r="O2706" s="5">
        <v>30846876</v>
      </c>
      <c r="P2706" s="5">
        <v>63948</v>
      </c>
      <c r="Q2706" s="5">
        <v>12150</v>
      </c>
      <c r="R2706" s="5">
        <v>76098</v>
      </c>
    </row>
    <row r="2707" spans="1:18" x14ac:dyDescent="0.25">
      <c r="A2707" t="s">
        <v>496</v>
      </c>
      <c r="B2707" t="s">
        <v>494</v>
      </c>
      <c r="C2707">
        <v>79693930</v>
      </c>
      <c r="D2707">
        <v>215</v>
      </c>
      <c r="E2707">
        <v>4030460009</v>
      </c>
      <c r="F2707" t="s">
        <v>1339</v>
      </c>
      <c r="G2707" s="1">
        <v>45232</v>
      </c>
      <c r="H2707">
        <v>5411086</v>
      </c>
      <c r="I2707">
        <v>179</v>
      </c>
      <c r="J2707" t="s">
        <v>410</v>
      </c>
      <c r="K2707" t="str">
        <f>IFERROR(IF(AND(VLOOKUP($C2707,Hes!$A:$B, 1, FALSE), $M2707&lt;&gt;" "), "Ingresada", "Falta Ingresar"), " ")</f>
        <v xml:space="preserve"> </v>
      </c>
      <c r="L2707" s="4" t="str">
        <f>IFERROR(VLOOKUP($C2707,Observaciones!$A:$B,2,FALSE)," ")</f>
        <v>ESPERAR AL VENDEDOR X OC CC 0</v>
      </c>
      <c r="M2707" t="s">
        <v>681</v>
      </c>
      <c r="O2707" s="5">
        <v>30846912</v>
      </c>
      <c r="P2707" s="5">
        <v>50912</v>
      </c>
      <c r="Q2707" s="5">
        <v>9673</v>
      </c>
      <c r="R2707" s="5">
        <v>60585</v>
      </c>
    </row>
    <row r="2708" spans="1:18" x14ac:dyDescent="0.25">
      <c r="A2708" t="s">
        <v>496</v>
      </c>
      <c r="B2708" t="s">
        <v>494</v>
      </c>
      <c r="C2708">
        <v>79693930</v>
      </c>
      <c r="D2708">
        <v>225</v>
      </c>
      <c r="E2708">
        <v>4030460009</v>
      </c>
      <c r="F2708" t="s">
        <v>1339</v>
      </c>
      <c r="G2708" s="1">
        <v>45232</v>
      </c>
      <c r="H2708">
        <v>5411088</v>
      </c>
      <c r="I2708">
        <v>179</v>
      </c>
      <c r="J2708" t="s">
        <v>410</v>
      </c>
      <c r="K2708" t="str">
        <f>IFERROR(IF(AND(VLOOKUP($C2708,Hes!$A:$B, 1, FALSE), $M2708&lt;&gt;" "), "Ingresada", "Falta Ingresar"), " ")</f>
        <v xml:space="preserve"> </v>
      </c>
      <c r="L2708" s="4" t="str">
        <f>IFERROR(VLOOKUP($C2708,Observaciones!$A:$B,2,FALSE)," ")</f>
        <v>ESPERAR AL VENDEDOR X OC CC 0</v>
      </c>
      <c r="M2708" t="s">
        <v>681</v>
      </c>
      <c r="O2708" s="5">
        <v>30847109</v>
      </c>
      <c r="P2708" s="5">
        <v>41638</v>
      </c>
      <c r="Q2708" s="5">
        <v>7911</v>
      </c>
      <c r="R2708" s="5">
        <v>49549</v>
      </c>
    </row>
    <row r="2709" spans="1:18" x14ac:dyDescent="0.25">
      <c r="A2709" t="s">
        <v>496</v>
      </c>
      <c r="B2709" t="s">
        <v>494</v>
      </c>
      <c r="C2709">
        <v>79693930</v>
      </c>
      <c r="D2709">
        <v>138</v>
      </c>
      <c r="E2709">
        <v>4030507773</v>
      </c>
      <c r="F2709" t="s">
        <v>1339</v>
      </c>
      <c r="G2709" s="1">
        <v>45232</v>
      </c>
      <c r="H2709">
        <v>5411090</v>
      </c>
      <c r="I2709">
        <v>179</v>
      </c>
      <c r="J2709" t="s">
        <v>410</v>
      </c>
      <c r="K2709" t="str">
        <f>IFERROR(IF(AND(VLOOKUP($C2709,Hes!$A:$B, 1, FALSE), $M2709&lt;&gt;" "), "Ingresada", "Falta Ingresar"), " ")</f>
        <v xml:space="preserve"> </v>
      </c>
      <c r="L2709" s="4" t="str">
        <f>IFERROR(VLOOKUP($C2709,Observaciones!$A:$B,2,FALSE)," ")</f>
        <v>ESPERAR AL VENDEDOR X OC CC 0</v>
      </c>
      <c r="M2709" t="s">
        <v>681</v>
      </c>
      <c r="O2709" s="5">
        <v>30827205</v>
      </c>
      <c r="P2709" s="5">
        <v>49557</v>
      </c>
      <c r="Q2709" s="5">
        <v>9416</v>
      </c>
      <c r="R2709" s="5">
        <v>58973</v>
      </c>
    </row>
    <row r="2710" spans="1:18" x14ac:dyDescent="0.25">
      <c r="A2710" t="s">
        <v>496</v>
      </c>
      <c r="B2710" t="s">
        <v>494</v>
      </c>
      <c r="C2710">
        <v>79693930</v>
      </c>
      <c r="D2710">
        <v>247</v>
      </c>
      <c r="E2710">
        <v>4030460009</v>
      </c>
      <c r="F2710" t="s">
        <v>1339</v>
      </c>
      <c r="G2710" s="1">
        <v>45232</v>
      </c>
      <c r="H2710">
        <v>5411091</v>
      </c>
      <c r="I2710">
        <v>179</v>
      </c>
      <c r="J2710" t="s">
        <v>410</v>
      </c>
      <c r="K2710" t="str">
        <f>IFERROR(IF(AND(VLOOKUP($C2710,Hes!$A:$B, 1, FALSE), $M2710&lt;&gt;" "), "Ingresada", "Falta Ingresar"), " ")</f>
        <v xml:space="preserve"> </v>
      </c>
      <c r="L2710" s="4" t="str">
        <f>IFERROR(VLOOKUP($C2710,Observaciones!$A:$B,2,FALSE)," ")</f>
        <v>ESPERAR AL VENDEDOR X OC CC 0</v>
      </c>
      <c r="M2710" t="s">
        <v>681</v>
      </c>
      <c r="O2710" s="5">
        <v>30847582</v>
      </c>
      <c r="P2710" s="5">
        <v>39088</v>
      </c>
      <c r="Q2710" s="5">
        <v>7427</v>
      </c>
      <c r="R2710" s="5">
        <v>46515</v>
      </c>
    </row>
    <row r="2711" spans="1:18" x14ac:dyDescent="0.25">
      <c r="A2711" t="s">
        <v>496</v>
      </c>
      <c r="B2711" t="s">
        <v>494</v>
      </c>
      <c r="C2711">
        <v>79693930</v>
      </c>
      <c r="D2711">
        <v>243</v>
      </c>
      <c r="E2711">
        <v>4030460009</v>
      </c>
      <c r="F2711" t="s">
        <v>1339</v>
      </c>
      <c r="G2711" s="1">
        <v>45232</v>
      </c>
      <c r="H2711">
        <v>5411092</v>
      </c>
      <c r="I2711">
        <v>179</v>
      </c>
      <c r="J2711" t="s">
        <v>410</v>
      </c>
      <c r="K2711" t="str">
        <f>IFERROR(IF(AND(VLOOKUP($C2711,Hes!$A:$B, 1, FALSE), $M2711&lt;&gt;" "), "Ingresada", "Falta Ingresar"), " ")</f>
        <v xml:space="preserve"> </v>
      </c>
      <c r="L2711" s="4" t="str">
        <f>IFERROR(VLOOKUP($C2711,Observaciones!$A:$B,2,FALSE)," ")</f>
        <v>ESPERAR AL VENDEDOR X OC CC 0</v>
      </c>
      <c r="M2711" t="s">
        <v>681</v>
      </c>
      <c r="O2711" s="5">
        <v>30847533</v>
      </c>
      <c r="P2711" s="5">
        <v>23350</v>
      </c>
      <c r="Q2711" s="5">
        <v>4437</v>
      </c>
      <c r="R2711" s="5">
        <v>27787</v>
      </c>
    </row>
    <row r="2712" spans="1:18" x14ac:dyDescent="0.25">
      <c r="A2712" t="s">
        <v>496</v>
      </c>
      <c r="B2712" t="s">
        <v>494</v>
      </c>
      <c r="C2712">
        <v>79693930</v>
      </c>
      <c r="D2712">
        <v>239</v>
      </c>
      <c r="E2712">
        <v>4030460009</v>
      </c>
      <c r="F2712" t="s">
        <v>1339</v>
      </c>
      <c r="G2712" s="1">
        <v>45232</v>
      </c>
      <c r="H2712">
        <v>5411100</v>
      </c>
      <c r="I2712">
        <v>179</v>
      </c>
      <c r="J2712" t="s">
        <v>410</v>
      </c>
      <c r="K2712" t="str">
        <f>IFERROR(IF(AND(VLOOKUP($C2712,Hes!$A:$B, 1, FALSE), $M2712&lt;&gt;" "), "Ingresada", "Falta Ingresar"), " ")</f>
        <v xml:space="preserve"> </v>
      </c>
      <c r="L2712" s="4" t="str">
        <f>IFERROR(VLOOKUP($C2712,Observaciones!$A:$B,2,FALSE)," ")</f>
        <v>ESPERAR AL VENDEDOR X OC CC 0</v>
      </c>
      <c r="M2712" t="s">
        <v>681</v>
      </c>
      <c r="O2712" s="5">
        <v>30847486</v>
      </c>
      <c r="P2712" s="5">
        <v>34914</v>
      </c>
      <c r="Q2712" s="5">
        <v>6634</v>
      </c>
      <c r="R2712" s="5">
        <v>41548</v>
      </c>
    </row>
    <row r="2713" spans="1:18" x14ac:dyDescent="0.25">
      <c r="A2713" t="s">
        <v>496</v>
      </c>
      <c r="B2713" t="s">
        <v>494</v>
      </c>
      <c r="C2713">
        <v>79693930</v>
      </c>
      <c r="D2713">
        <v>238</v>
      </c>
      <c r="E2713">
        <v>4030460009</v>
      </c>
      <c r="F2713" t="s">
        <v>1339</v>
      </c>
      <c r="G2713" s="1">
        <v>45232</v>
      </c>
      <c r="H2713">
        <v>5411101</v>
      </c>
      <c r="I2713">
        <v>179</v>
      </c>
      <c r="J2713" t="s">
        <v>410</v>
      </c>
      <c r="K2713" t="str">
        <f>IFERROR(IF(AND(VLOOKUP($C2713,Hes!$A:$B, 1, FALSE), $M2713&lt;&gt;" "), "Ingresada", "Falta Ingresar"), " ")</f>
        <v xml:space="preserve"> </v>
      </c>
      <c r="L2713" s="4" t="str">
        <f>IFERROR(VLOOKUP($C2713,Observaciones!$A:$B,2,FALSE)," ")</f>
        <v>ESPERAR AL VENDEDOR X OC CC 0</v>
      </c>
      <c r="M2713" t="s">
        <v>681</v>
      </c>
      <c r="O2713" s="5">
        <v>30847461</v>
      </c>
      <c r="P2713" s="5">
        <v>42488</v>
      </c>
      <c r="Q2713" s="5">
        <v>8073</v>
      </c>
      <c r="R2713" s="5">
        <v>50561</v>
      </c>
    </row>
    <row r="2714" spans="1:18" x14ac:dyDescent="0.25">
      <c r="A2714" t="s">
        <v>496</v>
      </c>
      <c r="B2714" t="s">
        <v>494</v>
      </c>
      <c r="C2714">
        <v>79693930</v>
      </c>
      <c r="D2714">
        <v>237</v>
      </c>
      <c r="E2714">
        <v>4030460009</v>
      </c>
      <c r="F2714" t="s">
        <v>1339</v>
      </c>
      <c r="G2714" s="1">
        <v>45232</v>
      </c>
      <c r="H2714">
        <v>5411102</v>
      </c>
      <c r="I2714">
        <v>179</v>
      </c>
      <c r="J2714" t="s">
        <v>410</v>
      </c>
      <c r="K2714" t="str">
        <f>IFERROR(IF(AND(VLOOKUP($C2714,Hes!$A:$B, 1, FALSE), $M2714&lt;&gt;" "), "Ingresada", "Falta Ingresar"), " ")</f>
        <v xml:space="preserve"> </v>
      </c>
      <c r="L2714" s="4" t="str">
        <f>IFERROR(VLOOKUP($C2714,Observaciones!$A:$B,2,FALSE)," ")</f>
        <v>ESPERAR AL VENDEDOR X OC CC 0</v>
      </c>
      <c r="M2714" t="s">
        <v>681</v>
      </c>
      <c r="O2714" s="5">
        <v>30847457</v>
      </c>
      <c r="P2714" s="5">
        <v>47174</v>
      </c>
      <c r="Q2714" s="5">
        <v>8963</v>
      </c>
      <c r="R2714" s="5">
        <v>56137</v>
      </c>
    </row>
    <row r="2715" spans="1:18" x14ac:dyDescent="0.25">
      <c r="A2715" t="s">
        <v>496</v>
      </c>
      <c r="B2715" t="s">
        <v>494</v>
      </c>
      <c r="C2715">
        <v>79693930</v>
      </c>
      <c r="D2715">
        <v>244</v>
      </c>
      <c r="E2715">
        <v>4030460009</v>
      </c>
      <c r="F2715" t="s">
        <v>1339</v>
      </c>
      <c r="G2715" s="1">
        <v>45233</v>
      </c>
      <c r="H2715">
        <v>5411106</v>
      </c>
      <c r="I2715">
        <v>179</v>
      </c>
      <c r="J2715" t="s">
        <v>410</v>
      </c>
      <c r="K2715" t="str">
        <f>IFERROR(IF(AND(VLOOKUP($C2715,Hes!$A:$B, 1, FALSE), $M2715&lt;&gt;" "), "Ingresada", "Falta Ingresar"), " ")</f>
        <v xml:space="preserve"> </v>
      </c>
      <c r="L2715" s="4" t="str">
        <f>IFERROR(VLOOKUP($C2715,Observaciones!$A:$B,2,FALSE)," ")</f>
        <v>ESPERAR AL VENDEDOR X OC CC 0</v>
      </c>
      <c r="M2715" t="s">
        <v>681</v>
      </c>
      <c r="O2715" s="5">
        <v>30847561</v>
      </c>
      <c r="P2715" s="5">
        <v>25080</v>
      </c>
      <c r="Q2715" s="5">
        <v>4765</v>
      </c>
      <c r="R2715" s="5">
        <v>29845</v>
      </c>
    </row>
    <row r="2716" spans="1:18" x14ac:dyDescent="0.25">
      <c r="A2716" t="s">
        <v>496</v>
      </c>
      <c r="B2716" t="s">
        <v>494</v>
      </c>
      <c r="C2716">
        <v>79693930</v>
      </c>
      <c r="D2716">
        <v>231</v>
      </c>
      <c r="E2716">
        <v>4030460009</v>
      </c>
      <c r="F2716" t="s">
        <v>1339</v>
      </c>
      <c r="G2716" s="1">
        <v>45232</v>
      </c>
      <c r="H2716">
        <v>5411122</v>
      </c>
      <c r="I2716">
        <v>179</v>
      </c>
      <c r="J2716" t="s">
        <v>410</v>
      </c>
      <c r="K2716" t="str">
        <f>IFERROR(IF(AND(VLOOKUP($C2716,Hes!$A:$B, 1, FALSE), $M2716&lt;&gt;" "), "Ingresada", "Falta Ingresar"), " ")</f>
        <v xml:space="preserve"> </v>
      </c>
      <c r="L2716" s="4" t="str">
        <f>IFERROR(VLOOKUP($C2716,Observaciones!$A:$B,2,FALSE)," ")</f>
        <v>ESPERAR AL VENDEDOR X OC CC 0</v>
      </c>
      <c r="M2716" t="s">
        <v>681</v>
      </c>
      <c r="O2716" s="5">
        <v>30847268</v>
      </c>
      <c r="P2716" s="5">
        <v>19582</v>
      </c>
      <c r="Q2716" s="5">
        <v>3721</v>
      </c>
      <c r="R2716" s="5">
        <v>23303</v>
      </c>
    </row>
    <row r="2717" spans="1:18" x14ac:dyDescent="0.25">
      <c r="A2717" t="s">
        <v>496</v>
      </c>
      <c r="B2717" t="s">
        <v>494</v>
      </c>
      <c r="C2717">
        <v>79693930</v>
      </c>
      <c r="D2717">
        <v>241</v>
      </c>
      <c r="E2717">
        <v>4030460009</v>
      </c>
      <c r="F2717" t="s">
        <v>1339</v>
      </c>
      <c r="G2717" s="1">
        <v>45232</v>
      </c>
      <c r="H2717">
        <v>5411155</v>
      </c>
      <c r="I2717">
        <v>179</v>
      </c>
      <c r="J2717" t="s">
        <v>410</v>
      </c>
      <c r="K2717" t="str">
        <f>IFERROR(IF(AND(VLOOKUP($C2717,Hes!$A:$B, 1, FALSE), $M2717&lt;&gt;" "), "Ingresada", "Falta Ingresar"), " ")</f>
        <v xml:space="preserve"> </v>
      </c>
      <c r="L2717" s="4" t="str">
        <f>IFERROR(VLOOKUP($C2717,Observaciones!$A:$B,2,FALSE)," ")</f>
        <v>ESPERAR AL VENDEDOR X OC CC 0</v>
      </c>
      <c r="M2717" t="s">
        <v>681</v>
      </c>
      <c r="O2717" s="5">
        <v>30847506</v>
      </c>
      <c r="P2717" s="5">
        <v>20838</v>
      </c>
      <c r="Q2717" s="5">
        <v>3959</v>
      </c>
      <c r="R2717" s="5">
        <v>24797</v>
      </c>
    </row>
    <row r="2718" spans="1:18" x14ac:dyDescent="0.25">
      <c r="A2718" t="s">
        <v>496</v>
      </c>
      <c r="B2718" t="s">
        <v>494</v>
      </c>
      <c r="C2718">
        <v>79693930</v>
      </c>
      <c r="D2718">
        <v>242</v>
      </c>
      <c r="E2718">
        <v>4030460009</v>
      </c>
      <c r="F2718" t="s">
        <v>1339</v>
      </c>
      <c r="G2718" s="1">
        <v>45232</v>
      </c>
      <c r="H2718">
        <v>5411156</v>
      </c>
      <c r="I2718">
        <v>179</v>
      </c>
      <c r="J2718" t="s">
        <v>410</v>
      </c>
      <c r="K2718" t="str">
        <f>IFERROR(IF(AND(VLOOKUP($C2718,Hes!$A:$B, 1, FALSE), $M2718&lt;&gt;" "), "Ingresada", "Falta Ingresar"), " ")</f>
        <v xml:space="preserve"> </v>
      </c>
      <c r="L2718" s="4" t="str">
        <f>IFERROR(VLOOKUP($C2718,Observaciones!$A:$B,2,FALSE)," ")</f>
        <v>ESPERAR AL VENDEDOR X OC CC 0</v>
      </c>
      <c r="M2718" t="s">
        <v>681</v>
      </c>
      <c r="O2718" s="5">
        <v>30847519</v>
      </c>
      <c r="P2718" s="5">
        <v>19582</v>
      </c>
      <c r="Q2718" s="5">
        <v>3721</v>
      </c>
      <c r="R2718" s="5">
        <v>23303</v>
      </c>
    </row>
    <row r="2719" spans="1:18" x14ac:dyDescent="0.25">
      <c r="A2719" t="s">
        <v>496</v>
      </c>
      <c r="B2719" t="s">
        <v>494</v>
      </c>
      <c r="C2719">
        <v>79693930</v>
      </c>
      <c r="D2719">
        <v>218</v>
      </c>
      <c r="E2719">
        <v>4030460009</v>
      </c>
      <c r="F2719" t="s">
        <v>1339</v>
      </c>
      <c r="G2719" s="1">
        <v>45232</v>
      </c>
      <c r="H2719">
        <v>5411177</v>
      </c>
      <c r="I2719">
        <v>179</v>
      </c>
      <c r="J2719" t="s">
        <v>410</v>
      </c>
      <c r="K2719" t="str">
        <f>IFERROR(IF(AND(VLOOKUP($C2719,Hes!$A:$B, 1, FALSE), $M2719&lt;&gt;" "), "Ingresada", "Falta Ingresar"), " ")</f>
        <v xml:space="preserve"> </v>
      </c>
      <c r="L2719" s="4" t="str">
        <f>IFERROR(VLOOKUP($C2719,Observaciones!$A:$B,2,FALSE)," ")</f>
        <v>ESPERAR AL VENDEDOR X OC CC 0</v>
      </c>
      <c r="M2719" t="s">
        <v>681</v>
      </c>
      <c r="O2719" s="5">
        <v>30846959</v>
      </c>
      <c r="P2719" s="5">
        <v>27118</v>
      </c>
      <c r="Q2719" s="5">
        <v>5152</v>
      </c>
      <c r="R2719" s="5">
        <v>32270</v>
      </c>
    </row>
    <row r="2720" spans="1:18" x14ac:dyDescent="0.25">
      <c r="A2720" t="s">
        <v>496</v>
      </c>
      <c r="B2720" t="s">
        <v>494</v>
      </c>
      <c r="C2720">
        <v>79693930</v>
      </c>
      <c r="D2720">
        <v>216</v>
      </c>
      <c r="E2720">
        <v>4030460009</v>
      </c>
      <c r="F2720" t="s">
        <v>1339</v>
      </c>
      <c r="G2720" s="1">
        <v>45232</v>
      </c>
      <c r="H2720">
        <v>5411179</v>
      </c>
      <c r="I2720">
        <v>179</v>
      </c>
      <c r="J2720" t="s">
        <v>410</v>
      </c>
      <c r="K2720" t="str">
        <f>IFERROR(IF(AND(VLOOKUP($C2720,Hes!$A:$B, 1, FALSE), $M2720&lt;&gt;" "), "Ingresada", "Falta Ingresar"), " ")</f>
        <v xml:space="preserve"> </v>
      </c>
      <c r="L2720" s="4" t="str">
        <f>IFERROR(VLOOKUP($C2720,Observaciones!$A:$B,2,FALSE)," ")</f>
        <v>ESPERAR AL VENDEDOR X OC CC 0</v>
      </c>
      <c r="M2720" t="s">
        <v>681</v>
      </c>
      <c r="O2720" s="5">
        <v>30846929</v>
      </c>
      <c r="P2720" s="5">
        <v>50912</v>
      </c>
      <c r="Q2720" s="5">
        <v>9673</v>
      </c>
      <c r="R2720" s="5">
        <v>60585</v>
      </c>
    </row>
    <row r="2721" spans="1:18" x14ac:dyDescent="0.25">
      <c r="A2721" t="s">
        <v>496</v>
      </c>
      <c r="B2721" t="s">
        <v>494</v>
      </c>
      <c r="C2721">
        <v>79693930</v>
      </c>
      <c r="D2721">
        <v>217</v>
      </c>
      <c r="E2721">
        <v>4030460009</v>
      </c>
      <c r="F2721" t="s">
        <v>1339</v>
      </c>
      <c r="G2721" s="1">
        <v>45232</v>
      </c>
      <c r="H2721">
        <v>5411180</v>
      </c>
      <c r="I2721">
        <v>179</v>
      </c>
      <c r="J2721" t="s">
        <v>410</v>
      </c>
      <c r="K2721" t="str">
        <f>IFERROR(IF(AND(VLOOKUP($C2721,Hes!$A:$B, 1, FALSE), $M2721&lt;&gt;" "), "Ingresada", "Falta Ingresar"), " ")</f>
        <v xml:space="preserve"> </v>
      </c>
      <c r="L2721" s="4" t="str">
        <f>IFERROR(VLOOKUP($C2721,Observaciones!$A:$B,2,FALSE)," ")</f>
        <v>ESPERAR AL VENDEDOR X OC CC 0</v>
      </c>
      <c r="M2721" t="s">
        <v>681</v>
      </c>
      <c r="O2721" s="5">
        <v>30846944</v>
      </c>
      <c r="P2721" s="5">
        <v>46860</v>
      </c>
      <c r="Q2721" s="5">
        <v>8903</v>
      </c>
      <c r="R2721" s="5">
        <v>55763</v>
      </c>
    </row>
    <row r="2722" spans="1:18" x14ac:dyDescent="0.25">
      <c r="A2722" t="s">
        <v>496</v>
      </c>
      <c r="B2722" t="s">
        <v>494</v>
      </c>
      <c r="C2722">
        <v>79693930</v>
      </c>
      <c r="D2722">
        <v>332</v>
      </c>
      <c r="E2722">
        <v>4030460009</v>
      </c>
      <c r="F2722" t="s">
        <v>1339</v>
      </c>
      <c r="G2722" s="1">
        <v>45232</v>
      </c>
      <c r="H2722">
        <v>5411199</v>
      </c>
      <c r="I2722">
        <v>179</v>
      </c>
      <c r="J2722" t="s">
        <v>410</v>
      </c>
      <c r="K2722" t="str">
        <f>IFERROR(IF(AND(VLOOKUP($C2722,Hes!$A:$B, 1, FALSE), $M2722&lt;&gt;" "), "Ingresada", "Falta Ingresar"), " ")</f>
        <v xml:space="preserve"> </v>
      </c>
      <c r="L2722" s="4" t="str">
        <f>IFERROR(VLOOKUP($C2722,Observaciones!$A:$B,2,FALSE)," ")</f>
        <v>ESPERAR AL VENDEDOR X OC CC 0</v>
      </c>
      <c r="M2722" t="s">
        <v>681</v>
      </c>
      <c r="O2722" s="5">
        <v>30846969</v>
      </c>
      <c r="P2722" s="5">
        <v>20838</v>
      </c>
      <c r="Q2722" s="5">
        <v>3959</v>
      </c>
      <c r="R2722" s="5">
        <v>24797</v>
      </c>
    </row>
    <row r="2723" spans="1:18" x14ac:dyDescent="0.25">
      <c r="A2723" t="s">
        <v>496</v>
      </c>
      <c r="B2723" t="s">
        <v>494</v>
      </c>
      <c r="C2723">
        <v>79693930</v>
      </c>
      <c r="D2723">
        <v>219</v>
      </c>
      <c r="E2723">
        <v>4030460009</v>
      </c>
      <c r="F2723" t="s">
        <v>1339</v>
      </c>
      <c r="G2723" s="1">
        <v>45232</v>
      </c>
      <c r="H2723">
        <v>5411202</v>
      </c>
      <c r="I2723">
        <v>179</v>
      </c>
      <c r="J2723" t="s">
        <v>410</v>
      </c>
      <c r="K2723" t="str">
        <f>IFERROR(IF(AND(VLOOKUP($C2723,Hes!$A:$B, 1, FALSE), $M2723&lt;&gt;" "), "Ingresada", "Falta Ingresar"), " ")</f>
        <v xml:space="preserve"> </v>
      </c>
      <c r="L2723" s="4" t="str">
        <f>IFERROR(VLOOKUP($C2723,Observaciones!$A:$B,2,FALSE)," ")</f>
        <v>ESPERAR AL VENDEDOR X OC CC 0</v>
      </c>
      <c r="M2723" t="s">
        <v>681</v>
      </c>
      <c r="O2723" s="5">
        <v>30846977</v>
      </c>
      <c r="P2723" s="5">
        <v>20838</v>
      </c>
      <c r="Q2723" s="5">
        <v>3959</v>
      </c>
      <c r="R2723" s="5">
        <v>24797</v>
      </c>
    </row>
    <row r="2724" spans="1:18" x14ac:dyDescent="0.25">
      <c r="A2724" t="s">
        <v>496</v>
      </c>
      <c r="B2724" t="s">
        <v>494</v>
      </c>
      <c r="C2724">
        <v>79693930</v>
      </c>
      <c r="D2724">
        <v>232</v>
      </c>
      <c r="E2724">
        <v>4030460009</v>
      </c>
      <c r="F2724" t="s">
        <v>1339</v>
      </c>
      <c r="G2724" s="1">
        <v>45232</v>
      </c>
      <c r="H2724">
        <v>5411215</v>
      </c>
      <c r="I2724">
        <v>179</v>
      </c>
      <c r="J2724" t="s">
        <v>410</v>
      </c>
      <c r="K2724" t="str">
        <f>IFERROR(IF(AND(VLOOKUP($C2724,Hes!$A:$B, 1, FALSE), $M2724&lt;&gt;" "), "Ingresada", "Falta Ingresar"), " ")</f>
        <v xml:space="preserve"> </v>
      </c>
      <c r="L2724" s="4" t="str">
        <f>IFERROR(VLOOKUP($C2724,Observaciones!$A:$B,2,FALSE)," ")</f>
        <v>ESPERAR AL VENDEDOR X OC CC 0</v>
      </c>
      <c r="M2724" t="s">
        <v>681</v>
      </c>
      <c r="O2724" s="5">
        <v>30847286</v>
      </c>
      <c r="P2724" s="5">
        <v>37870</v>
      </c>
      <c r="Q2724" s="5">
        <v>7195</v>
      </c>
      <c r="R2724" s="5">
        <v>45065</v>
      </c>
    </row>
    <row r="2725" spans="1:18" x14ac:dyDescent="0.25">
      <c r="A2725" t="s">
        <v>496</v>
      </c>
      <c r="B2725" t="s">
        <v>494</v>
      </c>
      <c r="C2725">
        <v>79693930</v>
      </c>
      <c r="D2725">
        <v>233</v>
      </c>
      <c r="E2725">
        <v>4030460009</v>
      </c>
      <c r="F2725" t="s">
        <v>1339</v>
      </c>
      <c r="G2725" s="1">
        <v>45232</v>
      </c>
      <c r="H2725">
        <v>5411216</v>
      </c>
      <c r="I2725">
        <v>179</v>
      </c>
      <c r="J2725" t="s">
        <v>410</v>
      </c>
      <c r="K2725" t="str">
        <f>IFERROR(IF(AND(VLOOKUP($C2725,Hes!$A:$B, 1, FALSE), $M2725&lt;&gt;" "), "Ingresada", "Falta Ingresar"), " ")</f>
        <v xml:space="preserve"> </v>
      </c>
      <c r="L2725" s="4" t="str">
        <f>IFERROR(VLOOKUP($C2725,Observaciones!$A:$B,2,FALSE)," ")</f>
        <v>ESPERAR AL VENDEDOR X OC CC 0</v>
      </c>
      <c r="M2725" t="s">
        <v>681</v>
      </c>
      <c r="O2725" s="5">
        <v>30847297</v>
      </c>
      <c r="P2725" s="5">
        <v>22094</v>
      </c>
      <c r="Q2725" s="5">
        <v>4198</v>
      </c>
      <c r="R2725" s="5">
        <v>26292</v>
      </c>
    </row>
    <row r="2726" spans="1:18" x14ac:dyDescent="0.25">
      <c r="A2726" t="s">
        <v>496</v>
      </c>
      <c r="B2726" t="s">
        <v>494</v>
      </c>
      <c r="C2726">
        <v>79693930</v>
      </c>
      <c r="D2726">
        <v>235</v>
      </c>
      <c r="E2726">
        <v>4030460009</v>
      </c>
      <c r="F2726" t="s">
        <v>1339</v>
      </c>
      <c r="G2726" s="1">
        <v>45232</v>
      </c>
      <c r="H2726">
        <v>5411217</v>
      </c>
      <c r="I2726">
        <v>179</v>
      </c>
      <c r="J2726" t="s">
        <v>410</v>
      </c>
      <c r="K2726" t="str">
        <f>IFERROR(IF(AND(VLOOKUP($C2726,Hes!$A:$B, 1, FALSE), $M2726&lt;&gt;" "), "Ingresada", "Falta Ingresar"), " ")</f>
        <v xml:space="preserve"> </v>
      </c>
      <c r="L2726" s="4" t="str">
        <f>IFERROR(VLOOKUP($C2726,Observaciones!$A:$B,2,FALSE)," ")</f>
        <v>ESPERAR AL VENDEDOR X OC CC 0</v>
      </c>
      <c r="M2726" t="s">
        <v>681</v>
      </c>
      <c r="O2726" s="5">
        <v>30847408</v>
      </c>
      <c r="P2726" s="5">
        <v>19988</v>
      </c>
      <c r="Q2726" s="5">
        <v>3798</v>
      </c>
      <c r="R2726" s="5">
        <v>23786</v>
      </c>
    </row>
    <row r="2727" spans="1:18" x14ac:dyDescent="0.25">
      <c r="A2727" t="s">
        <v>496</v>
      </c>
      <c r="B2727" t="s">
        <v>494</v>
      </c>
      <c r="C2727">
        <v>79693930</v>
      </c>
      <c r="D2727">
        <v>253</v>
      </c>
      <c r="E2727">
        <v>4030460009</v>
      </c>
      <c r="F2727" t="s">
        <v>1339</v>
      </c>
      <c r="G2727" s="1">
        <v>45233</v>
      </c>
      <c r="H2727">
        <v>5411239</v>
      </c>
      <c r="I2727">
        <v>179</v>
      </c>
      <c r="J2727" t="s">
        <v>410</v>
      </c>
      <c r="K2727" t="str">
        <f>IFERROR(IF(AND(VLOOKUP($C2727,Hes!$A:$B, 1, FALSE), $M2727&lt;&gt;" "), "Ingresada", "Falta Ingresar"), " ")</f>
        <v xml:space="preserve"> </v>
      </c>
      <c r="L2727" s="4" t="str">
        <f>IFERROR(VLOOKUP($C2727,Observaciones!$A:$B,2,FALSE)," ")</f>
        <v>ESPERAR AL VENDEDOR X OC CC 0</v>
      </c>
      <c r="M2727" t="s">
        <v>681</v>
      </c>
      <c r="O2727" s="5">
        <v>30847752</v>
      </c>
      <c r="P2727" s="5">
        <v>25930</v>
      </c>
      <c r="Q2727" s="5">
        <v>4927</v>
      </c>
      <c r="R2727" s="5">
        <v>30857</v>
      </c>
    </row>
    <row r="2728" spans="1:18" x14ac:dyDescent="0.25">
      <c r="A2728" t="s">
        <v>496</v>
      </c>
      <c r="B2728" t="s">
        <v>494</v>
      </c>
      <c r="C2728">
        <v>79693930</v>
      </c>
      <c r="D2728">
        <v>250</v>
      </c>
      <c r="E2728">
        <v>4030460009</v>
      </c>
      <c r="F2728" t="s">
        <v>1339</v>
      </c>
      <c r="G2728" s="1">
        <v>45233</v>
      </c>
      <c r="H2728">
        <v>5411240</v>
      </c>
      <c r="I2728">
        <v>179</v>
      </c>
      <c r="J2728" t="s">
        <v>410</v>
      </c>
      <c r="K2728" t="str">
        <f>IFERROR(IF(AND(VLOOKUP($C2728,Hes!$A:$B, 1, FALSE), $M2728&lt;&gt;" "), "Ingresada", "Falta Ingresar"), " ")</f>
        <v xml:space="preserve"> </v>
      </c>
      <c r="L2728" s="4" t="str">
        <f>IFERROR(VLOOKUP($C2728,Observaciones!$A:$B,2,FALSE)," ")</f>
        <v>ESPERAR AL VENDEDOR X OC CC 0</v>
      </c>
      <c r="M2728" t="s">
        <v>681</v>
      </c>
      <c r="O2728" s="5">
        <v>30847642</v>
      </c>
      <c r="P2728" s="5">
        <v>25930</v>
      </c>
      <c r="Q2728" s="5">
        <v>4927</v>
      </c>
      <c r="R2728" s="5">
        <v>30857</v>
      </c>
    </row>
    <row r="2729" spans="1:18" x14ac:dyDescent="0.25">
      <c r="A2729" t="s">
        <v>496</v>
      </c>
      <c r="B2729" t="s">
        <v>494</v>
      </c>
      <c r="C2729">
        <v>79693930</v>
      </c>
      <c r="D2729">
        <v>252</v>
      </c>
      <c r="E2729">
        <v>4030460009</v>
      </c>
      <c r="F2729" t="s">
        <v>1339</v>
      </c>
      <c r="G2729" s="1">
        <v>45233</v>
      </c>
      <c r="H2729">
        <v>5411241</v>
      </c>
      <c r="I2729">
        <v>179</v>
      </c>
      <c r="J2729" t="s">
        <v>410</v>
      </c>
      <c r="K2729" t="str">
        <f>IFERROR(IF(AND(VLOOKUP($C2729,Hes!$A:$B, 1, FALSE), $M2729&lt;&gt;" "), "Ingresada", "Falta Ingresar"), " ")</f>
        <v xml:space="preserve"> </v>
      </c>
      <c r="L2729" s="4" t="str">
        <f>IFERROR(VLOOKUP($C2729,Observaciones!$A:$B,2,FALSE)," ")</f>
        <v>ESPERAR AL VENDEDOR X OC CC 0</v>
      </c>
      <c r="M2729" t="s">
        <v>681</v>
      </c>
      <c r="O2729" s="5">
        <v>30847743</v>
      </c>
      <c r="P2729" s="5">
        <v>29292</v>
      </c>
      <c r="Q2729" s="5">
        <v>5565</v>
      </c>
      <c r="R2729" s="5">
        <v>34857</v>
      </c>
    </row>
    <row r="2730" spans="1:18" x14ac:dyDescent="0.25">
      <c r="A2730" t="s">
        <v>496</v>
      </c>
      <c r="B2730" t="s">
        <v>494</v>
      </c>
      <c r="C2730">
        <v>79693930</v>
      </c>
      <c r="D2730">
        <v>251</v>
      </c>
      <c r="E2730">
        <v>4030460009</v>
      </c>
      <c r="F2730" t="s">
        <v>1339</v>
      </c>
      <c r="G2730" s="1">
        <v>45233</v>
      </c>
      <c r="H2730">
        <v>5411242</v>
      </c>
      <c r="I2730">
        <v>179</v>
      </c>
      <c r="J2730" t="s">
        <v>410</v>
      </c>
      <c r="K2730" t="str">
        <f>IFERROR(IF(AND(VLOOKUP($C2730,Hes!$A:$B, 1, FALSE), $M2730&lt;&gt;" "), "Ingresada", "Falta Ingresar"), " ")</f>
        <v xml:space="preserve"> </v>
      </c>
      <c r="L2730" s="4" t="str">
        <f>IFERROR(VLOOKUP($C2730,Observaciones!$A:$B,2,FALSE)," ")</f>
        <v>ESPERAR AL VENDEDOR X OC CC 0</v>
      </c>
      <c r="M2730" t="s">
        <v>681</v>
      </c>
      <c r="O2730" s="5">
        <v>30847726</v>
      </c>
      <c r="P2730" s="5">
        <v>29292</v>
      </c>
      <c r="Q2730" s="5">
        <v>5565</v>
      </c>
      <c r="R2730" s="5">
        <v>34857</v>
      </c>
    </row>
    <row r="2731" spans="1:18" x14ac:dyDescent="0.25">
      <c r="A2731" t="s">
        <v>496</v>
      </c>
      <c r="B2731" t="s">
        <v>494</v>
      </c>
      <c r="C2731">
        <v>79693930</v>
      </c>
      <c r="D2731">
        <v>240</v>
      </c>
      <c r="E2731">
        <v>4030460009</v>
      </c>
      <c r="F2731" t="s">
        <v>1339</v>
      </c>
      <c r="G2731" s="1">
        <v>45233</v>
      </c>
      <c r="H2731">
        <v>5411263</v>
      </c>
      <c r="I2731">
        <v>179</v>
      </c>
      <c r="J2731" t="s">
        <v>410</v>
      </c>
      <c r="K2731" t="str">
        <f>IFERROR(IF(AND(VLOOKUP($C2731,Hes!$A:$B, 1, FALSE), $M2731&lt;&gt;" "), "Ingresada", "Falta Ingresar"), " ")</f>
        <v xml:space="preserve"> </v>
      </c>
      <c r="L2731" s="4" t="str">
        <f>IFERROR(VLOOKUP($C2731,Observaciones!$A:$B,2,FALSE)," ")</f>
        <v>ESPERAR AL VENDEDOR X OC CC 0</v>
      </c>
      <c r="M2731" t="s">
        <v>681</v>
      </c>
      <c r="O2731" s="5">
        <v>30847496</v>
      </c>
      <c r="P2731" s="5">
        <v>39938</v>
      </c>
      <c r="Q2731" s="5">
        <v>7588</v>
      </c>
      <c r="R2731" s="5">
        <v>47526</v>
      </c>
    </row>
    <row r="2732" spans="1:18" x14ac:dyDescent="0.25">
      <c r="A2732" t="s">
        <v>496</v>
      </c>
      <c r="B2732" t="s">
        <v>494</v>
      </c>
      <c r="C2732">
        <v>79693930</v>
      </c>
      <c r="D2732">
        <v>222</v>
      </c>
      <c r="E2732">
        <v>4030460009</v>
      </c>
      <c r="F2732" t="s">
        <v>1339</v>
      </c>
      <c r="G2732" s="1">
        <v>45233</v>
      </c>
      <c r="H2732">
        <v>5411264</v>
      </c>
      <c r="I2732">
        <v>179</v>
      </c>
      <c r="J2732" t="s">
        <v>410</v>
      </c>
      <c r="K2732" t="str">
        <f>IFERROR(IF(AND(VLOOKUP($C2732,Hes!$A:$B, 1, FALSE), $M2732&lt;&gt;" "), "Ingresada", "Falta Ingresar"), " ")</f>
        <v xml:space="preserve"> </v>
      </c>
      <c r="L2732" s="4" t="str">
        <f>IFERROR(VLOOKUP($C2732,Observaciones!$A:$B,2,FALSE)," ")</f>
        <v>ESPERAR AL VENDEDOR X OC CC 0</v>
      </c>
      <c r="M2732" t="s">
        <v>681</v>
      </c>
      <c r="O2732" s="5">
        <v>30847059</v>
      </c>
      <c r="P2732" s="5">
        <v>34914</v>
      </c>
      <c r="Q2732" s="5">
        <v>6634</v>
      </c>
      <c r="R2732" s="5">
        <v>41548</v>
      </c>
    </row>
    <row r="2733" spans="1:18" x14ac:dyDescent="0.25">
      <c r="A2733" t="s">
        <v>496</v>
      </c>
      <c r="B2733" t="s">
        <v>494</v>
      </c>
      <c r="C2733">
        <v>79693930</v>
      </c>
      <c r="D2733">
        <v>224</v>
      </c>
      <c r="E2733">
        <v>4030460009</v>
      </c>
      <c r="F2733" t="s">
        <v>1339</v>
      </c>
      <c r="G2733" s="1">
        <v>45233</v>
      </c>
      <c r="H2733">
        <v>5411266</v>
      </c>
      <c r="I2733">
        <v>179</v>
      </c>
      <c r="J2733" t="s">
        <v>410</v>
      </c>
      <c r="K2733" t="str">
        <f>IFERROR(IF(AND(VLOOKUP($C2733,Hes!$A:$B, 1, FALSE), $M2733&lt;&gt;" "), "Ingresada", "Falta Ingresar"), " ")</f>
        <v xml:space="preserve"> </v>
      </c>
      <c r="L2733" s="4" t="str">
        <f>IFERROR(VLOOKUP($C2733,Observaciones!$A:$B,2,FALSE)," ")</f>
        <v>ESPERAR AL VENDEDOR X OC CC 0</v>
      </c>
      <c r="M2733" t="s">
        <v>681</v>
      </c>
      <c r="O2733" s="5">
        <v>30847096</v>
      </c>
      <c r="P2733" s="5">
        <v>34064</v>
      </c>
      <c r="Q2733" s="5">
        <v>6472</v>
      </c>
      <c r="R2733" s="5">
        <v>40536</v>
      </c>
    </row>
    <row r="2734" spans="1:18" x14ac:dyDescent="0.25">
      <c r="A2734" t="s">
        <v>496</v>
      </c>
      <c r="B2734" t="s">
        <v>494</v>
      </c>
      <c r="C2734">
        <v>79693930</v>
      </c>
      <c r="D2734">
        <v>211</v>
      </c>
      <c r="E2734">
        <v>4030460009</v>
      </c>
      <c r="F2734" t="s">
        <v>1339</v>
      </c>
      <c r="G2734" s="1">
        <v>45233</v>
      </c>
      <c r="H2734">
        <v>5411440</v>
      </c>
      <c r="I2734">
        <v>179</v>
      </c>
      <c r="J2734" t="s">
        <v>410</v>
      </c>
      <c r="K2734" t="str">
        <f>IFERROR(IF(AND(VLOOKUP($C2734,Hes!$A:$B, 1, FALSE), $M2734&lt;&gt;" "), "Ingresada", "Falta Ingresar"), " ")</f>
        <v xml:space="preserve"> </v>
      </c>
      <c r="L2734" s="4" t="str">
        <f>IFERROR(VLOOKUP($C2734,Observaciones!$A:$B,2,FALSE)," ")</f>
        <v>ESPERAR AL VENDEDOR X OC CC 0</v>
      </c>
      <c r="M2734" t="s">
        <v>681</v>
      </c>
      <c r="O2734" s="5">
        <v>30846828</v>
      </c>
      <c r="P2734" s="5">
        <v>51276</v>
      </c>
      <c r="Q2734" s="5">
        <v>9742</v>
      </c>
      <c r="R2734" s="5">
        <v>61018</v>
      </c>
    </row>
    <row r="2735" spans="1:18" x14ac:dyDescent="0.25">
      <c r="A2735" t="s">
        <v>496</v>
      </c>
      <c r="B2735" t="s">
        <v>494</v>
      </c>
      <c r="C2735">
        <v>79693930</v>
      </c>
      <c r="D2735">
        <v>210</v>
      </c>
      <c r="E2735">
        <v>4030460009</v>
      </c>
      <c r="F2735" t="s">
        <v>1339</v>
      </c>
      <c r="G2735" s="1">
        <v>45233</v>
      </c>
      <c r="H2735">
        <v>5411441</v>
      </c>
      <c r="I2735">
        <v>179</v>
      </c>
      <c r="J2735" t="s">
        <v>410</v>
      </c>
      <c r="K2735" t="str">
        <f>IFERROR(IF(AND(VLOOKUP($C2735,Hes!$A:$B, 1, FALSE), $M2735&lt;&gt;" "), "Ingresada", "Falta Ingresar"), " ")</f>
        <v xml:space="preserve"> </v>
      </c>
      <c r="L2735" s="4" t="str">
        <f>IFERROR(VLOOKUP($C2735,Observaciones!$A:$B,2,FALSE)," ")</f>
        <v>ESPERAR AL VENDEDOR X OC CC 0</v>
      </c>
      <c r="M2735" t="s">
        <v>681</v>
      </c>
      <c r="O2735" s="5">
        <v>30846698</v>
      </c>
      <c r="P2735" s="5">
        <v>58812</v>
      </c>
      <c r="Q2735" s="5">
        <v>11174</v>
      </c>
      <c r="R2735" s="5">
        <v>69986</v>
      </c>
    </row>
    <row r="2736" spans="1:18" x14ac:dyDescent="0.25">
      <c r="A2736" t="s">
        <v>496</v>
      </c>
      <c r="B2736" t="s">
        <v>494</v>
      </c>
      <c r="C2736">
        <v>79693930</v>
      </c>
      <c r="D2736">
        <v>212</v>
      </c>
      <c r="E2736">
        <v>4030460009</v>
      </c>
      <c r="F2736" t="s">
        <v>1339</v>
      </c>
      <c r="G2736" s="1">
        <v>45233</v>
      </c>
      <c r="H2736">
        <v>5411442</v>
      </c>
      <c r="I2736">
        <v>179</v>
      </c>
      <c r="J2736" t="s">
        <v>410</v>
      </c>
      <c r="K2736" t="str">
        <f>IFERROR(IF(AND(VLOOKUP($C2736,Hes!$A:$B, 1, FALSE), $M2736&lt;&gt;" "), "Ingresada", "Falta Ingresar"), " ")</f>
        <v xml:space="preserve"> </v>
      </c>
      <c r="L2736" s="4" t="str">
        <f>IFERROR(VLOOKUP($C2736,Observaciones!$A:$B,2,FALSE)," ")</f>
        <v>ESPERAR AL VENDEDOR X OC CC 0</v>
      </c>
      <c r="M2736" t="s">
        <v>681</v>
      </c>
      <c r="O2736" s="5">
        <v>30846862</v>
      </c>
      <c r="P2736" s="5">
        <v>50912</v>
      </c>
      <c r="Q2736" s="5">
        <v>9673</v>
      </c>
      <c r="R2736" s="5">
        <v>60585</v>
      </c>
    </row>
    <row r="2737" spans="1:18" x14ac:dyDescent="0.25">
      <c r="A2737" t="s">
        <v>496</v>
      </c>
      <c r="B2737" t="s">
        <v>494</v>
      </c>
      <c r="C2737">
        <v>79693930</v>
      </c>
      <c r="D2737">
        <v>506</v>
      </c>
      <c r="E2737">
        <v>4030460009</v>
      </c>
      <c r="F2737" t="s">
        <v>1339</v>
      </c>
      <c r="G2737" s="1">
        <v>45236</v>
      </c>
      <c r="H2737">
        <v>5411925</v>
      </c>
      <c r="I2737">
        <v>179</v>
      </c>
      <c r="J2737" t="s">
        <v>410</v>
      </c>
      <c r="K2737" t="str">
        <f>IFERROR(IF(AND(VLOOKUP($C2737,Hes!$A:$B, 1, FALSE), $M2737&lt;&gt;" "), "Ingresada", "Falta Ingresar"), " ")</f>
        <v xml:space="preserve"> </v>
      </c>
      <c r="L2737" s="4" t="str">
        <f>IFERROR(VLOOKUP($C2737,Observaciones!$A:$B,2,FALSE)," ")</f>
        <v>ESPERAR AL VENDEDOR X OC CC 0</v>
      </c>
      <c r="M2737" t="s">
        <v>681</v>
      </c>
      <c r="O2737" s="5">
        <v>30847630</v>
      </c>
      <c r="P2737" s="5">
        <v>27186</v>
      </c>
      <c r="Q2737" s="5">
        <v>5165</v>
      </c>
      <c r="R2737" s="5">
        <v>32351</v>
      </c>
    </row>
    <row r="2738" spans="1:18" x14ac:dyDescent="0.25">
      <c r="A2738" t="s">
        <v>496</v>
      </c>
      <c r="B2738" t="s">
        <v>494</v>
      </c>
      <c r="C2738">
        <v>79693930</v>
      </c>
      <c r="D2738">
        <v>258</v>
      </c>
      <c r="E2738">
        <v>4030460009</v>
      </c>
      <c r="F2738" t="s">
        <v>1339</v>
      </c>
      <c r="G2738" s="1">
        <v>45236</v>
      </c>
      <c r="H2738">
        <v>5411990</v>
      </c>
      <c r="I2738">
        <v>179</v>
      </c>
      <c r="J2738" t="s">
        <v>410</v>
      </c>
      <c r="K2738" t="str">
        <f>IFERROR(IF(AND(VLOOKUP($C2738,Hes!$A:$B, 1, FALSE), $M2738&lt;&gt;" "), "Ingresada", "Falta Ingresar"), " ")</f>
        <v xml:space="preserve"> </v>
      </c>
      <c r="L2738" s="4" t="str">
        <f>IFERROR(VLOOKUP($C2738,Observaciones!$A:$B,2,FALSE)," ")</f>
        <v>ESPERAR AL VENDEDOR X OC CC 0</v>
      </c>
      <c r="M2738" t="s">
        <v>681</v>
      </c>
      <c r="O2738" s="5">
        <v>30848179</v>
      </c>
      <c r="P2738" s="5">
        <v>22944</v>
      </c>
      <c r="Q2738" s="5">
        <v>4359</v>
      </c>
      <c r="R2738" s="5">
        <v>27303</v>
      </c>
    </row>
    <row r="2739" spans="1:18" x14ac:dyDescent="0.25">
      <c r="A2739" t="s">
        <v>496</v>
      </c>
      <c r="B2739" t="s">
        <v>494</v>
      </c>
      <c r="C2739">
        <v>79693930</v>
      </c>
      <c r="D2739">
        <v>259</v>
      </c>
      <c r="E2739">
        <v>4030460009</v>
      </c>
      <c r="F2739" t="s">
        <v>1339</v>
      </c>
      <c r="G2739" s="1">
        <v>45236</v>
      </c>
      <c r="H2739">
        <v>5412000</v>
      </c>
      <c r="I2739">
        <v>179</v>
      </c>
      <c r="J2739" t="s">
        <v>410</v>
      </c>
      <c r="K2739" t="str">
        <f>IFERROR(IF(AND(VLOOKUP($C2739,Hes!$A:$B, 1, FALSE), $M2739&lt;&gt;" "), "Ingresada", "Falta Ingresar"), " ")</f>
        <v xml:space="preserve"> </v>
      </c>
      <c r="L2739" s="4" t="str">
        <f>IFERROR(VLOOKUP($C2739,Observaciones!$A:$B,2,FALSE)," ")</f>
        <v>ESPERAR AL VENDEDOR X OC CC 0</v>
      </c>
      <c r="M2739" t="s">
        <v>681</v>
      </c>
      <c r="O2739" s="5">
        <v>30848194</v>
      </c>
      <c r="P2739" s="5">
        <v>22944</v>
      </c>
      <c r="Q2739" s="5">
        <v>4359</v>
      </c>
      <c r="R2739" s="5">
        <v>27303</v>
      </c>
    </row>
    <row r="2740" spans="1:18" x14ac:dyDescent="0.25">
      <c r="A2740" t="s">
        <v>496</v>
      </c>
      <c r="B2740" t="s">
        <v>494</v>
      </c>
      <c r="C2740">
        <v>79693930</v>
      </c>
      <c r="D2740">
        <v>254</v>
      </c>
      <c r="E2740">
        <v>4030460009</v>
      </c>
      <c r="F2740" t="s">
        <v>1339</v>
      </c>
      <c r="G2740" s="1">
        <v>45236</v>
      </c>
      <c r="H2740">
        <v>5412009</v>
      </c>
      <c r="I2740">
        <v>179</v>
      </c>
      <c r="J2740" t="s">
        <v>410</v>
      </c>
      <c r="K2740" t="str">
        <f>IFERROR(IF(AND(VLOOKUP($C2740,Hes!$A:$B, 1, FALSE), $M2740&lt;&gt;" "), "Ingresada", "Falta Ingresar"), " ")</f>
        <v xml:space="preserve"> </v>
      </c>
      <c r="L2740" s="4" t="str">
        <f>IFERROR(VLOOKUP($C2740,Observaciones!$A:$B,2,FALSE)," ")</f>
        <v>ESPERAR AL VENDEDOR X OC CC 0</v>
      </c>
      <c r="M2740" t="s">
        <v>681</v>
      </c>
      <c r="O2740" s="5">
        <v>30847761</v>
      </c>
      <c r="P2740" s="5">
        <v>45888</v>
      </c>
      <c r="Q2740" s="5">
        <v>8719</v>
      </c>
      <c r="R2740" s="5">
        <v>54607</v>
      </c>
    </row>
    <row r="2741" spans="1:18" x14ac:dyDescent="0.25">
      <c r="A2741" t="s">
        <v>496</v>
      </c>
      <c r="B2741" t="s">
        <v>494</v>
      </c>
      <c r="C2741">
        <v>79693930</v>
      </c>
      <c r="D2741">
        <v>257</v>
      </c>
      <c r="E2741">
        <v>4030460009</v>
      </c>
      <c r="F2741" t="s">
        <v>1339</v>
      </c>
      <c r="G2741" s="1">
        <v>45236</v>
      </c>
      <c r="H2741">
        <v>5412010</v>
      </c>
      <c r="I2741">
        <v>179</v>
      </c>
      <c r="J2741" t="s">
        <v>410</v>
      </c>
      <c r="K2741" t="str">
        <f>IFERROR(IF(AND(VLOOKUP($C2741,Hes!$A:$B, 1, FALSE), $M2741&lt;&gt;" "), "Ingresada", "Falta Ingresar"), " ")</f>
        <v xml:space="preserve"> </v>
      </c>
      <c r="L2741" s="4" t="str">
        <f>IFERROR(VLOOKUP($C2741,Observaciones!$A:$B,2,FALSE)," ")</f>
        <v>ESPERAR AL VENDEDOR X OC CC 0</v>
      </c>
      <c r="M2741" t="s">
        <v>681</v>
      </c>
      <c r="O2741" s="5">
        <v>30848161</v>
      </c>
      <c r="P2741" s="5">
        <v>22944</v>
      </c>
      <c r="Q2741" s="5">
        <v>4359</v>
      </c>
      <c r="R2741" s="5">
        <v>27303</v>
      </c>
    </row>
    <row r="2742" spans="1:18" x14ac:dyDescent="0.25">
      <c r="A2742" t="s">
        <v>496</v>
      </c>
      <c r="B2742" t="s">
        <v>494</v>
      </c>
      <c r="C2742">
        <v>79693930</v>
      </c>
      <c r="D2742">
        <v>256</v>
      </c>
      <c r="E2742">
        <v>4030460009</v>
      </c>
      <c r="F2742" t="s">
        <v>1339</v>
      </c>
      <c r="G2742" s="1">
        <v>45236</v>
      </c>
      <c r="H2742">
        <v>5412011</v>
      </c>
      <c r="I2742">
        <v>179</v>
      </c>
      <c r="J2742" t="s">
        <v>410</v>
      </c>
      <c r="K2742" t="str">
        <f>IFERROR(IF(AND(VLOOKUP($C2742,Hes!$A:$B, 1, FALSE), $M2742&lt;&gt;" "), "Ingresada", "Falta Ingresar"), " ")</f>
        <v xml:space="preserve"> </v>
      </c>
      <c r="L2742" s="4" t="str">
        <f>IFERROR(VLOOKUP($C2742,Observaciones!$A:$B,2,FALSE)," ")</f>
        <v>ESPERAR AL VENDEDOR X OC CC 0</v>
      </c>
      <c r="M2742" t="s">
        <v>681</v>
      </c>
      <c r="O2742" s="5">
        <v>30848148</v>
      </c>
      <c r="P2742" s="5">
        <v>20432</v>
      </c>
      <c r="Q2742" s="5">
        <v>3882</v>
      </c>
      <c r="R2742" s="5">
        <v>24314</v>
      </c>
    </row>
    <row r="2743" spans="1:18" x14ac:dyDescent="0.25">
      <c r="A2743" t="s">
        <v>496</v>
      </c>
      <c r="B2743" t="s">
        <v>494</v>
      </c>
      <c r="C2743">
        <v>79693930</v>
      </c>
      <c r="D2743">
        <v>255</v>
      </c>
      <c r="E2743">
        <v>4030460009</v>
      </c>
      <c r="F2743" t="s">
        <v>1339</v>
      </c>
      <c r="G2743" s="1">
        <v>45236</v>
      </c>
      <c r="H2743">
        <v>5412012</v>
      </c>
      <c r="I2743">
        <v>179</v>
      </c>
      <c r="J2743" t="s">
        <v>410</v>
      </c>
      <c r="K2743" t="str">
        <f>IFERROR(IF(AND(VLOOKUP($C2743,Hes!$A:$B, 1, FALSE), $M2743&lt;&gt;" "), "Ingresada", "Falta Ingresar"), " ")</f>
        <v xml:space="preserve"> </v>
      </c>
      <c r="L2743" s="4" t="str">
        <f>IFERROR(VLOOKUP($C2743,Observaciones!$A:$B,2,FALSE)," ")</f>
        <v>ESPERAR AL VENDEDOR X OC CC 0</v>
      </c>
      <c r="M2743" t="s">
        <v>681</v>
      </c>
      <c r="O2743" s="5">
        <v>30848134</v>
      </c>
      <c r="P2743" s="5">
        <v>40788</v>
      </c>
      <c r="Q2743" s="5">
        <v>7750</v>
      </c>
      <c r="R2743" s="5">
        <v>48538</v>
      </c>
    </row>
    <row r="2744" spans="1:18" x14ac:dyDescent="0.25">
      <c r="A2744" t="s">
        <v>496</v>
      </c>
      <c r="B2744" t="s">
        <v>494</v>
      </c>
      <c r="C2744">
        <v>79693930</v>
      </c>
      <c r="D2744">
        <v>265</v>
      </c>
      <c r="E2744">
        <v>4030460009</v>
      </c>
      <c r="F2744" t="s">
        <v>1339</v>
      </c>
      <c r="G2744" s="1">
        <v>45236</v>
      </c>
      <c r="H2744">
        <v>5412024</v>
      </c>
      <c r="I2744">
        <v>179</v>
      </c>
      <c r="J2744" t="s">
        <v>410</v>
      </c>
      <c r="K2744" t="str">
        <f>IFERROR(IF(AND(VLOOKUP($C2744,Hes!$A:$B, 1, FALSE), $M2744&lt;&gt;" "), "Ingresada", "Falta Ingresar"), " ")</f>
        <v xml:space="preserve"> </v>
      </c>
      <c r="L2744" s="4" t="str">
        <f>IFERROR(VLOOKUP($C2744,Observaciones!$A:$B,2,FALSE)," ")</f>
        <v>ESPERAR AL VENDEDOR X OC CC 0</v>
      </c>
      <c r="M2744" t="s">
        <v>681</v>
      </c>
      <c r="O2744" s="5">
        <v>30849368</v>
      </c>
      <c r="P2744" s="5">
        <v>40788</v>
      </c>
      <c r="Q2744" s="5">
        <v>7750</v>
      </c>
      <c r="R2744" s="5">
        <v>48538</v>
      </c>
    </row>
    <row r="2745" spans="1:18" x14ac:dyDescent="0.25">
      <c r="A2745" t="s">
        <v>496</v>
      </c>
      <c r="B2745" t="s">
        <v>494</v>
      </c>
      <c r="C2745">
        <v>79693930</v>
      </c>
      <c r="D2745">
        <v>143</v>
      </c>
      <c r="E2745">
        <v>4030507773</v>
      </c>
      <c r="F2745" t="s">
        <v>1339</v>
      </c>
      <c r="G2745" s="1">
        <v>45236</v>
      </c>
      <c r="H2745">
        <v>5412039</v>
      </c>
      <c r="I2745">
        <v>179</v>
      </c>
      <c r="J2745" t="s">
        <v>410</v>
      </c>
      <c r="K2745" t="str">
        <f>IFERROR(IF(AND(VLOOKUP($C2745,Hes!$A:$B, 1, FALSE), $M2745&lt;&gt;" "), "Ingresada", "Falta Ingresar"), " ")</f>
        <v xml:space="preserve"> </v>
      </c>
      <c r="L2745" s="4" t="str">
        <f>IFERROR(VLOOKUP($C2745,Observaciones!$A:$B,2,FALSE)," ")</f>
        <v>ESPERAR AL VENDEDOR X OC CC 0</v>
      </c>
      <c r="M2745" t="s">
        <v>681</v>
      </c>
      <c r="O2745" s="5">
        <v>30827207</v>
      </c>
      <c r="P2745" s="5">
        <v>67573</v>
      </c>
      <c r="Q2745" s="5">
        <v>12839</v>
      </c>
      <c r="R2745" s="5">
        <v>80412</v>
      </c>
    </row>
    <row r="2746" spans="1:18" x14ac:dyDescent="0.25">
      <c r="A2746" t="s">
        <v>496</v>
      </c>
      <c r="B2746" t="s">
        <v>494</v>
      </c>
      <c r="C2746">
        <v>79693930</v>
      </c>
      <c r="D2746">
        <v>263</v>
      </c>
      <c r="E2746">
        <v>4030460009</v>
      </c>
      <c r="F2746" t="s">
        <v>1339</v>
      </c>
      <c r="G2746" s="1">
        <v>45236</v>
      </c>
      <c r="H2746">
        <v>5412045</v>
      </c>
      <c r="I2746">
        <v>179</v>
      </c>
      <c r="J2746" t="s">
        <v>410</v>
      </c>
      <c r="K2746" t="str">
        <f>IFERROR(IF(AND(VLOOKUP($C2746,Hes!$A:$B, 1, FALSE), $M2746&lt;&gt;" "), "Ingresada", "Falta Ingresar"), " ")</f>
        <v xml:space="preserve"> </v>
      </c>
      <c r="L2746" s="4" t="str">
        <f>IFERROR(VLOOKUP($C2746,Observaciones!$A:$B,2,FALSE)," ")</f>
        <v>ESPERAR AL VENDEDOR X OC CC 0</v>
      </c>
      <c r="M2746" t="s">
        <v>681</v>
      </c>
      <c r="O2746" s="5">
        <v>30849340</v>
      </c>
      <c r="P2746" s="5">
        <v>40788</v>
      </c>
      <c r="Q2746" s="5">
        <v>7750</v>
      </c>
      <c r="R2746" s="5">
        <v>48538</v>
      </c>
    </row>
    <row r="2747" spans="1:18" x14ac:dyDescent="0.25">
      <c r="A2747" t="s">
        <v>496</v>
      </c>
      <c r="B2747" t="s">
        <v>494</v>
      </c>
      <c r="C2747">
        <v>79693930</v>
      </c>
      <c r="D2747">
        <v>270</v>
      </c>
      <c r="E2747">
        <v>4030460009</v>
      </c>
      <c r="F2747" t="s">
        <v>1339</v>
      </c>
      <c r="G2747" s="1">
        <v>45236</v>
      </c>
      <c r="H2747">
        <v>5412145</v>
      </c>
      <c r="I2747">
        <v>179</v>
      </c>
      <c r="J2747" t="s">
        <v>410</v>
      </c>
      <c r="K2747" t="str">
        <f>IFERROR(IF(AND(VLOOKUP($C2747,Hes!$A:$B, 1, FALSE), $M2747&lt;&gt;" "), "Ingresada", "Falta Ingresar"), " ")</f>
        <v xml:space="preserve"> </v>
      </c>
      <c r="L2747" s="4" t="str">
        <f>IFERROR(VLOOKUP($C2747,Observaciones!$A:$B,2,FALSE)," ")</f>
        <v>ESPERAR AL VENDEDOR X OC CC 0</v>
      </c>
      <c r="M2747" t="s">
        <v>681</v>
      </c>
      <c r="O2747" s="5">
        <v>30850077</v>
      </c>
      <c r="P2747" s="5">
        <v>37426</v>
      </c>
      <c r="Q2747" s="5">
        <v>7111</v>
      </c>
      <c r="R2747" s="5">
        <v>44537</v>
      </c>
    </row>
    <row r="2748" spans="1:18" x14ac:dyDescent="0.25">
      <c r="A2748" t="s">
        <v>496</v>
      </c>
      <c r="B2748" t="s">
        <v>494</v>
      </c>
      <c r="C2748">
        <v>79693930</v>
      </c>
      <c r="D2748">
        <v>269</v>
      </c>
      <c r="E2748">
        <v>4030460009</v>
      </c>
      <c r="F2748" t="s">
        <v>1339</v>
      </c>
      <c r="G2748" s="1">
        <v>45236</v>
      </c>
      <c r="H2748">
        <v>5412146</v>
      </c>
      <c r="I2748">
        <v>179</v>
      </c>
      <c r="J2748" t="s">
        <v>410</v>
      </c>
      <c r="K2748" t="str">
        <f>IFERROR(IF(AND(VLOOKUP($C2748,Hes!$A:$B, 1, FALSE), $M2748&lt;&gt;" "), "Ingresada", "Falta Ingresar"), " ")</f>
        <v xml:space="preserve"> </v>
      </c>
      <c r="L2748" s="4" t="str">
        <f>IFERROR(VLOOKUP($C2748,Observaciones!$A:$B,2,FALSE)," ")</f>
        <v>ESPERAR AL VENDEDOR X OC CC 0</v>
      </c>
      <c r="M2748" t="s">
        <v>681</v>
      </c>
      <c r="O2748" s="5">
        <v>30850026</v>
      </c>
      <c r="P2748" s="5">
        <v>39938</v>
      </c>
      <c r="Q2748" s="5">
        <v>7588</v>
      </c>
      <c r="R2748" s="5">
        <v>47526</v>
      </c>
    </row>
    <row r="2749" spans="1:18" x14ac:dyDescent="0.25">
      <c r="A2749" t="s">
        <v>496</v>
      </c>
      <c r="B2749" t="s">
        <v>494</v>
      </c>
      <c r="C2749">
        <v>79693930</v>
      </c>
      <c r="D2749">
        <v>507</v>
      </c>
      <c r="E2749">
        <v>4030460009</v>
      </c>
      <c r="F2749" t="s">
        <v>1339</v>
      </c>
      <c r="G2749" s="1">
        <v>45236</v>
      </c>
      <c r="H2749">
        <v>5412187</v>
      </c>
      <c r="I2749">
        <v>179</v>
      </c>
      <c r="J2749" t="s">
        <v>410</v>
      </c>
      <c r="K2749" t="str">
        <f>IFERROR(IF(AND(VLOOKUP($C2749,Hes!$A:$B, 1, FALSE), $M2749&lt;&gt;" "), "Ingresada", "Falta Ingresar"), " ")</f>
        <v xml:space="preserve"> </v>
      </c>
      <c r="L2749" s="4" t="str">
        <f>IFERROR(VLOOKUP($C2749,Observaciones!$A:$B,2,FALSE)," ")</f>
        <v>ESPERAR AL VENDEDOR X OC CC 0</v>
      </c>
      <c r="M2749" t="s">
        <v>681</v>
      </c>
      <c r="O2749" s="5">
        <v>30849146</v>
      </c>
      <c r="P2749" s="5">
        <v>19582</v>
      </c>
      <c r="Q2749" s="5">
        <v>3721</v>
      </c>
      <c r="R2749" s="5">
        <v>23303</v>
      </c>
    </row>
    <row r="2750" spans="1:18" x14ac:dyDescent="0.25">
      <c r="A2750" t="s">
        <v>496</v>
      </c>
      <c r="B2750" t="s">
        <v>494</v>
      </c>
      <c r="C2750">
        <v>79693930</v>
      </c>
      <c r="D2750">
        <v>508</v>
      </c>
      <c r="E2750">
        <v>4030460009</v>
      </c>
      <c r="F2750" t="s">
        <v>1339</v>
      </c>
      <c r="G2750" s="1">
        <v>45236</v>
      </c>
      <c r="H2750">
        <v>5412239</v>
      </c>
      <c r="I2750">
        <v>179</v>
      </c>
      <c r="J2750" t="s">
        <v>410</v>
      </c>
      <c r="K2750" t="str">
        <f>IFERROR(IF(AND(VLOOKUP($C2750,Hes!$A:$B, 1, FALSE), $M2750&lt;&gt;" "), "Ingresada", "Falta Ingresar"), " ")</f>
        <v xml:space="preserve"> </v>
      </c>
      <c r="L2750" s="4" t="str">
        <f>IFERROR(VLOOKUP($C2750,Observaciones!$A:$B,2,FALSE)," ")</f>
        <v>ESPERAR AL VENDEDOR X OC CC 0</v>
      </c>
      <c r="M2750" t="s">
        <v>681</v>
      </c>
      <c r="O2750" s="5">
        <v>30849416</v>
      </c>
      <c r="P2750" s="5">
        <v>25930</v>
      </c>
      <c r="Q2750" s="5">
        <v>4927</v>
      </c>
      <c r="R2750" s="5">
        <v>30857</v>
      </c>
    </row>
    <row r="2751" spans="1:18" x14ac:dyDescent="0.25">
      <c r="A2751" t="s">
        <v>496</v>
      </c>
      <c r="B2751" t="s">
        <v>494</v>
      </c>
      <c r="C2751">
        <v>79693930</v>
      </c>
      <c r="D2751">
        <v>109</v>
      </c>
      <c r="E2751">
        <v>4030460009</v>
      </c>
      <c r="F2751" t="s">
        <v>1339</v>
      </c>
      <c r="G2751" s="1">
        <v>45236</v>
      </c>
      <c r="H2751">
        <v>5412295</v>
      </c>
      <c r="I2751">
        <v>179</v>
      </c>
      <c r="J2751" t="s">
        <v>410</v>
      </c>
      <c r="K2751" t="str">
        <f>IFERROR(IF(AND(VLOOKUP($C2751,Hes!$A:$B, 1, FALSE), $M2751&lt;&gt;" "), "Ingresada", "Falta Ingresar"), " ")</f>
        <v xml:space="preserve"> </v>
      </c>
      <c r="L2751" s="4" t="str">
        <f>IFERROR(VLOOKUP($C2751,Observaciones!$A:$B,2,FALSE)," ")</f>
        <v>ESPERAR AL VENDEDOR X OC CC 0</v>
      </c>
      <c r="M2751" t="s">
        <v>681</v>
      </c>
      <c r="O2751" s="5">
        <v>30852892</v>
      </c>
      <c r="P2751" s="5">
        <v>34914</v>
      </c>
      <c r="Q2751" s="5">
        <v>6634</v>
      </c>
      <c r="R2751" s="5">
        <v>41548</v>
      </c>
    </row>
    <row r="2752" spans="1:18" x14ac:dyDescent="0.25">
      <c r="A2752" t="s">
        <v>496</v>
      </c>
      <c r="B2752" t="s">
        <v>494</v>
      </c>
      <c r="C2752">
        <v>79693930</v>
      </c>
      <c r="D2752">
        <v>108</v>
      </c>
      <c r="E2752">
        <v>4030460009</v>
      </c>
      <c r="F2752" t="s">
        <v>1339</v>
      </c>
      <c r="G2752" s="1">
        <v>45234</v>
      </c>
      <c r="H2752">
        <v>5412400</v>
      </c>
      <c r="I2752">
        <v>179</v>
      </c>
      <c r="J2752" t="s">
        <v>410</v>
      </c>
      <c r="K2752" t="str">
        <f>IFERROR(IF(AND(VLOOKUP($C2752,Hes!$A:$B, 1, FALSE), $M2752&lt;&gt;" "), "Ingresada", "Falta Ingresar"), " ")</f>
        <v xml:space="preserve"> </v>
      </c>
      <c r="L2752" s="4" t="str">
        <f>IFERROR(VLOOKUP($C2752,Observaciones!$A:$B,2,FALSE)," ")</f>
        <v>ESPERAR AL VENDEDOR X OC CC 0</v>
      </c>
      <c r="M2752" t="s">
        <v>681</v>
      </c>
      <c r="O2752" s="5">
        <v>30852868</v>
      </c>
      <c r="P2752" s="5">
        <v>14630</v>
      </c>
      <c r="Q2752" s="5">
        <v>2780</v>
      </c>
      <c r="R2752" s="5">
        <v>17410</v>
      </c>
    </row>
    <row r="2753" spans="1:18" x14ac:dyDescent="0.25">
      <c r="A2753" t="s">
        <v>496</v>
      </c>
      <c r="B2753" t="s">
        <v>494</v>
      </c>
      <c r="C2753">
        <v>79693930</v>
      </c>
      <c r="D2753">
        <v>104</v>
      </c>
      <c r="E2753">
        <v>4030460009</v>
      </c>
      <c r="F2753" t="s">
        <v>1339</v>
      </c>
      <c r="G2753" s="1">
        <v>45234</v>
      </c>
      <c r="H2753">
        <v>5412405</v>
      </c>
      <c r="I2753">
        <v>179</v>
      </c>
      <c r="J2753" t="s">
        <v>410</v>
      </c>
      <c r="K2753" t="str">
        <f>IFERROR(IF(AND(VLOOKUP($C2753,Hes!$A:$B, 1, FALSE), $M2753&lt;&gt;" "), "Ingresada", "Falta Ingresar"), " ")</f>
        <v xml:space="preserve"> </v>
      </c>
      <c r="L2753" s="4" t="str">
        <f>IFERROR(VLOOKUP($C2753,Observaciones!$A:$B,2,FALSE)," ")</f>
        <v>ESPERAR AL VENDEDOR X OC CC 0</v>
      </c>
      <c r="M2753" t="s">
        <v>681</v>
      </c>
      <c r="O2753" s="5">
        <v>30852813</v>
      </c>
      <c r="P2753" s="5">
        <v>20838</v>
      </c>
      <c r="Q2753" s="5">
        <v>3959</v>
      </c>
      <c r="R2753" s="5">
        <v>24797</v>
      </c>
    </row>
    <row r="2754" spans="1:18" x14ac:dyDescent="0.25">
      <c r="A2754" t="s">
        <v>496</v>
      </c>
      <c r="B2754" t="s">
        <v>494</v>
      </c>
      <c r="C2754">
        <v>79693930</v>
      </c>
      <c r="D2754">
        <v>106</v>
      </c>
      <c r="E2754">
        <v>4030460009</v>
      </c>
      <c r="F2754" t="s">
        <v>1339</v>
      </c>
      <c r="G2754" s="1">
        <v>45234</v>
      </c>
      <c r="H2754">
        <v>5412406</v>
      </c>
      <c r="I2754">
        <v>179</v>
      </c>
      <c r="J2754" t="s">
        <v>410</v>
      </c>
      <c r="K2754" t="str">
        <f>IFERROR(IF(AND(VLOOKUP($C2754,Hes!$A:$B, 1, FALSE), $M2754&lt;&gt;" "), "Ingresada", "Falta Ingresar"), " ")</f>
        <v xml:space="preserve"> </v>
      </c>
      <c r="L2754" s="4" t="str">
        <f>IFERROR(VLOOKUP($C2754,Observaciones!$A:$B,2,FALSE)," ")</f>
        <v>ESPERAR AL VENDEDOR X OC CC 0</v>
      </c>
      <c r="M2754" t="s">
        <v>681</v>
      </c>
      <c r="O2754" s="5">
        <v>30852837</v>
      </c>
      <c r="P2754" s="5">
        <v>25930</v>
      </c>
      <c r="Q2754" s="5">
        <v>4927</v>
      </c>
      <c r="R2754" s="5">
        <v>30857</v>
      </c>
    </row>
    <row r="2755" spans="1:18" x14ac:dyDescent="0.25">
      <c r="A2755" t="s">
        <v>496</v>
      </c>
      <c r="B2755" t="s">
        <v>494</v>
      </c>
      <c r="C2755">
        <v>79693930</v>
      </c>
      <c r="D2755">
        <v>103</v>
      </c>
      <c r="E2755">
        <v>4030460009</v>
      </c>
      <c r="F2755" t="s">
        <v>1339</v>
      </c>
      <c r="G2755" s="1">
        <v>45234</v>
      </c>
      <c r="H2755">
        <v>5412407</v>
      </c>
      <c r="I2755">
        <v>179</v>
      </c>
      <c r="J2755" t="s">
        <v>410</v>
      </c>
      <c r="K2755" t="str">
        <f>IFERROR(IF(AND(VLOOKUP($C2755,Hes!$A:$B, 1, FALSE), $M2755&lt;&gt;" "), "Ingresada", "Falta Ingresar"), " ")</f>
        <v xml:space="preserve"> </v>
      </c>
      <c r="L2755" s="4" t="str">
        <f>IFERROR(VLOOKUP($C2755,Observaciones!$A:$B,2,FALSE)," ")</f>
        <v>ESPERAR AL VENDEDOR X OC CC 0</v>
      </c>
      <c r="M2755" t="s">
        <v>681</v>
      </c>
      <c r="O2755" s="5">
        <v>30852744</v>
      </c>
      <c r="P2755" s="5">
        <v>38276</v>
      </c>
      <c r="Q2755" s="5">
        <v>7272</v>
      </c>
      <c r="R2755" s="5">
        <v>45548</v>
      </c>
    </row>
    <row r="2756" spans="1:18" x14ac:dyDescent="0.25">
      <c r="A2756" t="s">
        <v>496</v>
      </c>
      <c r="B2756" t="s">
        <v>494</v>
      </c>
      <c r="C2756">
        <v>79693930</v>
      </c>
      <c r="D2756">
        <v>107</v>
      </c>
      <c r="E2756">
        <v>4030460009</v>
      </c>
      <c r="F2756" t="s">
        <v>1339</v>
      </c>
      <c r="G2756" s="1">
        <v>45234</v>
      </c>
      <c r="H2756">
        <v>5412410</v>
      </c>
      <c r="I2756">
        <v>179</v>
      </c>
      <c r="J2756" t="s">
        <v>410</v>
      </c>
      <c r="K2756" t="str">
        <f>IFERROR(IF(AND(VLOOKUP($C2756,Hes!$A:$B, 1, FALSE), $M2756&lt;&gt;" "), "Ingresada", "Falta Ingresar"), " ")</f>
        <v xml:space="preserve"> </v>
      </c>
      <c r="L2756" s="4" t="str">
        <f>IFERROR(VLOOKUP($C2756,Observaciones!$A:$B,2,FALSE)," ")</f>
        <v>ESPERAR AL VENDEDOR X OC CC 0</v>
      </c>
      <c r="M2756" t="s">
        <v>681</v>
      </c>
      <c r="O2756" s="5">
        <v>30852847</v>
      </c>
      <c r="P2756" s="5">
        <v>25080</v>
      </c>
      <c r="Q2756" s="5">
        <v>4765</v>
      </c>
      <c r="R2756" s="5">
        <v>29845</v>
      </c>
    </row>
    <row r="2757" spans="1:18" x14ac:dyDescent="0.25">
      <c r="A2757" t="s">
        <v>496</v>
      </c>
      <c r="B2757" t="s">
        <v>494</v>
      </c>
      <c r="C2757">
        <v>79693930</v>
      </c>
      <c r="D2757">
        <v>273</v>
      </c>
      <c r="E2757">
        <v>4030460009</v>
      </c>
      <c r="F2757" t="s">
        <v>1339</v>
      </c>
      <c r="G2757" s="1">
        <v>45236</v>
      </c>
      <c r="H2757">
        <v>5412420</v>
      </c>
      <c r="I2757">
        <v>179</v>
      </c>
      <c r="J2757" t="s">
        <v>410</v>
      </c>
      <c r="K2757" t="str">
        <f>IFERROR(IF(AND(VLOOKUP($C2757,Hes!$A:$B, 1, FALSE), $M2757&lt;&gt;" "), "Ingresada", "Falta Ingresar"), " ")</f>
        <v xml:space="preserve"> </v>
      </c>
      <c r="L2757" s="4" t="str">
        <f>IFERROR(VLOOKUP($C2757,Observaciones!$A:$B,2,FALSE)," ")</f>
        <v>ESPERAR AL VENDEDOR X OC CC 0</v>
      </c>
      <c r="M2757" t="s">
        <v>681</v>
      </c>
      <c r="O2757" s="5">
        <v>30852387</v>
      </c>
      <c r="P2757" s="5">
        <v>39938</v>
      </c>
      <c r="Q2757" s="5">
        <v>7588</v>
      </c>
      <c r="R2757" s="5">
        <v>47526</v>
      </c>
    </row>
    <row r="2758" spans="1:18" x14ac:dyDescent="0.25">
      <c r="A2758" t="s">
        <v>496</v>
      </c>
      <c r="B2758" t="s">
        <v>494</v>
      </c>
      <c r="C2758">
        <v>79693930</v>
      </c>
      <c r="D2758">
        <v>274</v>
      </c>
      <c r="E2758">
        <v>4030460009</v>
      </c>
      <c r="F2758" t="s">
        <v>1339</v>
      </c>
      <c r="G2758" s="1">
        <v>45236</v>
      </c>
      <c r="H2758">
        <v>5412422</v>
      </c>
      <c r="I2758">
        <v>179</v>
      </c>
      <c r="J2758" t="s">
        <v>410</v>
      </c>
      <c r="K2758" t="str">
        <f>IFERROR(IF(AND(VLOOKUP($C2758,Hes!$A:$B, 1, FALSE), $M2758&lt;&gt;" "), "Ingresada", "Falta Ingresar"), " ")</f>
        <v xml:space="preserve"> </v>
      </c>
      <c r="L2758" s="4" t="str">
        <f>IFERROR(VLOOKUP($C2758,Observaciones!$A:$B,2,FALSE)," ")</f>
        <v>ESPERAR AL VENDEDOR X OC CC 0</v>
      </c>
      <c r="M2758" t="s">
        <v>681</v>
      </c>
      <c r="O2758" s="5">
        <v>30852408</v>
      </c>
      <c r="P2758" s="5">
        <v>39938</v>
      </c>
      <c r="Q2758" s="5">
        <v>7588</v>
      </c>
      <c r="R2758" s="5">
        <v>47526</v>
      </c>
    </row>
    <row r="2759" spans="1:18" x14ac:dyDescent="0.25">
      <c r="A2759" t="s">
        <v>496</v>
      </c>
      <c r="B2759" t="s">
        <v>494</v>
      </c>
      <c r="C2759">
        <v>79693930</v>
      </c>
      <c r="D2759">
        <v>117</v>
      </c>
      <c r="E2759">
        <v>4030460009</v>
      </c>
      <c r="F2759" t="s">
        <v>1339</v>
      </c>
      <c r="G2759" s="1">
        <v>45236</v>
      </c>
      <c r="H2759">
        <v>5412426</v>
      </c>
      <c r="I2759">
        <v>179</v>
      </c>
      <c r="J2759" t="s">
        <v>410</v>
      </c>
      <c r="K2759" t="str">
        <f>IFERROR(IF(AND(VLOOKUP($C2759,Hes!$A:$B, 1, FALSE), $M2759&lt;&gt;" "), "Ingresada", "Falta Ingresar"), " ")</f>
        <v xml:space="preserve"> </v>
      </c>
      <c r="L2759" s="4" t="str">
        <f>IFERROR(VLOOKUP($C2759,Observaciones!$A:$B,2,FALSE)," ")</f>
        <v>ESPERAR AL VENDEDOR X OC CC 0</v>
      </c>
      <c r="M2759" t="s">
        <v>681</v>
      </c>
      <c r="O2759" s="5">
        <v>30852878</v>
      </c>
      <c r="P2759" s="5">
        <v>21244</v>
      </c>
      <c r="Q2759" s="5">
        <v>4036</v>
      </c>
      <c r="R2759" s="5">
        <v>25280</v>
      </c>
    </row>
    <row r="2760" spans="1:18" x14ac:dyDescent="0.25">
      <c r="A2760" t="s">
        <v>496</v>
      </c>
      <c r="B2760" t="s">
        <v>494</v>
      </c>
      <c r="C2760">
        <v>79693930</v>
      </c>
      <c r="D2760">
        <v>10</v>
      </c>
      <c r="E2760">
        <v>4030460009</v>
      </c>
      <c r="F2760" t="s">
        <v>1339</v>
      </c>
      <c r="G2760" s="1">
        <v>45234</v>
      </c>
      <c r="H2760">
        <v>5412522</v>
      </c>
      <c r="I2760">
        <v>179</v>
      </c>
      <c r="J2760" t="s">
        <v>410</v>
      </c>
      <c r="K2760" t="str">
        <f>IFERROR(IF(AND(VLOOKUP($C2760,Hes!$A:$B, 1, FALSE), $M2760&lt;&gt;" "), "Ingresada", "Falta Ingresar"), " ")</f>
        <v xml:space="preserve"> </v>
      </c>
      <c r="L2760" s="4" t="str">
        <f>IFERROR(VLOOKUP($C2760,Observaciones!$A:$B,2,FALSE)," ")</f>
        <v>ESPERAR AL VENDEDOR X OC CC 0</v>
      </c>
      <c r="M2760" t="s">
        <v>681</v>
      </c>
      <c r="O2760" s="5">
        <v>30852708</v>
      </c>
      <c r="P2760" s="5">
        <v>22974</v>
      </c>
      <c r="Q2760" s="5">
        <v>4365</v>
      </c>
      <c r="R2760" s="5">
        <v>27339</v>
      </c>
    </row>
    <row r="2761" spans="1:18" x14ac:dyDescent="0.25">
      <c r="A2761" t="s">
        <v>496</v>
      </c>
      <c r="B2761" t="s">
        <v>494</v>
      </c>
      <c r="C2761">
        <v>79693930</v>
      </c>
      <c r="D2761">
        <v>276</v>
      </c>
      <c r="E2761">
        <v>4030460009</v>
      </c>
      <c r="F2761" t="s">
        <v>1339</v>
      </c>
      <c r="G2761" s="1">
        <v>45234</v>
      </c>
      <c r="H2761">
        <v>5412523</v>
      </c>
      <c r="I2761">
        <v>179</v>
      </c>
      <c r="J2761" t="s">
        <v>410</v>
      </c>
      <c r="K2761" t="str">
        <f>IFERROR(IF(AND(VLOOKUP($C2761,Hes!$A:$B, 1, FALSE), $M2761&lt;&gt;" "), "Ingresada", "Falta Ingresar"), " ")</f>
        <v xml:space="preserve"> </v>
      </c>
      <c r="L2761" s="4" t="str">
        <f>IFERROR(VLOOKUP($C2761,Observaciones!$A:$B,2,FALSE)," ")</f>
        <v>ESPERAR AL VENDEDOR X OC CC 0</v>
      </c>
      <c r="M2761" t="s">
        <v>681</v>
      </c>
      <c r="O2761" s="5">
        <v>30852461</v>
      </c>
      <c r="P2761" s="5">
        <v>21244</v>
      </c>
      <c r="Q2761" s="5">
        <v>4036</v>
      </c>
      <c r="R2761" s="5">
        <v>25280</v>
      </c>
    </row>
    <row r="2762" spans="1:18" x14ac:dyDescent="0.25">
      <c r="A2762" t="s">
        <v>496</v>
      </c>
      <c r="B2762" t="s">
        <v>494</v>
      </c>
      <c r="C2762">
        <v>79693930</v>
      </c>
      <c r="D2762">
        <v>277</v>
      </c>
      <c r="E2762">
        <v>4030460009</v>
      </c>
      <c r="F2762" t="s">
        <v>1339</v>
      </c>
      <c r="G2762" s="1">
        <v>45234</v>
      </c>
      <c r="H2762">
        <v>5412524</v>
      </c>
      <c r="I2762">
        <v>179</v>
      </c>
      <c r="J2762" t="s">
        <v>410</v>
      </c>
      <c r="K2762" t="str">
        <f>IFERROR(IF(AND(VLOOKUP($C2762,Hes!$A:$B, 1, FALSE), $M2762&lt;&gt;" "), "Ingresada", "Falta Ingresar"), " ")</f>
        <v xml:space="preserve"> </v>
      </c>
      <c r="L2762" s="4" t="str">
        <f>IFERROR(VLOOKUP($C2762,Observaciones!$A:$B,2,FALSE)," ")</f>
        <v>ESPERAR AL VENDEDOR X OC CC 0</v>
      </c>
      <c r="M2762" t="s">
        <v>681</v>
      </c>
      <c r="O2762" s="5">
        <v>30852487</v>
      </c>
      <c r="P2762" s="5">
        <v>27592</v>
      </c>
      <c r="Q2762" s="5">
        <v>5242</v>
      </c>
      <c r="R2762" s="5">
        <v>32834</v>
      </c>
    </row>
    <row r="2763" spans="1:18" x14ac:dyDescent="0.25">
      <c r="A2763" t="s">
        <v>496</v>
      </c>
      <c r="B2763" t="s">
        <v>494</v>
      </c>
      <c r="C2763">
        <v>79693930</v>
      </c>
      <c r="D2763">
        <v>275</v>
      </c>
      <c r="E2763">
        <v>4030460009</v>
      </c>
      <c r="F2763" t="s">
        <v>1339</v>
      </c>
      <c r="G2763" s="1">
        <v>45234</v>
      </c>
      <c r="H2763">
        <v>5412525</v>
      </c>
      <c r="I2763">
        <v>179</v>
      </c>
      <c r="J2763" t="s">
        <v>410</v>
      </c>
      <c r="K2763" t="str">
        <f>IFERROR(IF(AND(VLOOKUP($C2763,Hes!$A:$B, 1, FALSE), $M2763&lt;&gt;" "), "Ingresada", "Falta Ingresar"), " ")</f>
        <v xml:space="preserve"> </v>
      </c>
      <c r="L2763" s="4" t="str">
        <f>IFERROR(VLOOKUP($C2763,Observaciones!$A:$B,2,FALSE)," ")</f>
        <v>ESPERAR AL VENDEDOR X OC CC 0</v>
      </c>
      <c r="M2763" t="s">
        <v>681</v>
      </c>
      <c r="O2763" s="5">
        <v>30852439</v>
      </c>
      <c r="P2763" s="5">
        <v>25930</v>
      </c>
      <c r="Q2763" s="5">
        <v>4927</v>
      </c>
      <c r="R2763" s="5">
        <v>30857</v>
      </c>
    </row>
    <row r="2764" spans="1:18" x14ac:dyDescent="0.25">
      <c r="A2764" t="s">
        <v>496</v>
      </c>
      <c r="B2764" t="s">
        <v>494</v>
      </c>
      <c r="C2764">
        <v>79693930</v>
      </c>
      <c r="D2764">
        <v>101</v>
      </c>
      <c r="E2764">
        <v>4030460009</v>
      </c>
      <c r="F2764" t="s">
        <v>1339</v>
      </c>
      <c r="G2764" s="1">
        <v>45234</v>
      </c>
      <c r="H2764">
        <v>5412527</v>
      </c>
      <c r="I2764">
        <v>179</v>
      </c>
      <c r="J2764" t="s">
        <v>410</v>
      </c>
      <c r="K2764" t="str">
        <f>IFERROR(IF(AND(VLOOKUP($C2764,Hes!$A:$B, 1, FALSE), $M2764&lt;&gt;" "), "Ingresada", "Falta Ingresar"), " ")</f>
        <v xml:space="preserve"> </v>
      </c>
      <c r="L2764" s="4" t="str">
        <f>IFERROR(VLOOKUP($C2764,Observaciones!$A:$B,2,FALSE)," ")</f>
        <v>ESPERAR AL VENDEDOR X OC CC 0</v>
      </c>
      <c r="M2764" t="s">
        <v>681</v>
      </c>
      <c r="O2764" s="5">
        <v>30852694</v>
      </c>
      <c r="P2764" s="5">
        <v>25080</v>
      </c>
      <c r="Q2764" s="5">
        <v>4765</v>
      </c>
      <c r="R2764" s="5">
        <v>29845</v>
      </c>
    </row>
    <row r="2765" spans="1:18" x14ac:dyDescent="0.25">
      <c r="A2765" t="s">
        <v>496</v>
      </c>
      <c r="B2765" t="s">
        <v>494</v>
      </c>
      <c r="C2765">
        <v>79693930</v>
      </c>
      <c r="D2765">
        <v>272</v>
      </c>
      <c r="E2765">
        <v>4030460009</v>
      </c>
      <c r="F2765" t="s">
        <v>1339</v>
      </c>
      <c r="G2765" s="1">
        <v>45235</v>
      </c>
      <c r="H2765">
        <v>5412547</v>
      </c>
      <c r="I2765">
        <v>179</v>
      </c>
      <c r="J2765" t="s">
        <v>410</v>
      </c>
      <c r="K2765" t="str">
        <f>IFERROR(IF(AND(VLOOKUP($C2765,Hes!$A:$B, 1, FALSE), $M2765&lt;&gt;" "), "Ingresada", "Falta Ingresar"), " ")</f>
        <v xml:space="preserve"> </v>
      </c>
      <c r="L2765" s="4" t="str">
        <f>IFERROR(VLOOKUP($C2765,Observaciones!$A:$B,2,FALSE)," ")</f>
        <v>ESPERAR AL VENDEDOR X OC CC 0</v>
      </c>
      <c r="M2765" t="s">
        <v>681</v>
      </c>
      <c r="O2765" s="5">
        <v>30850091</v>
      </c>
      <c r="P2765" s="5">
        <v>40788</v>
      </c>
      <c r="Q2765" s="5">
        <v>7750</v>
      </c>
      <c r="R2765" s="5">
        <v>48538</v>
      </c>
    </row>
    <row r="2766" spans="1:18" x14ac:dyDescent="0.25">
      <c r="A2766" t="s">
        <v>496</v>
      </c>
      <c r="B2766" t="s">
        <v>494</v>
      </c>
      <c r="C2766">
        <v>79693930</v>
      </c>
      <c r="D2766">
        <v>111</v>
      </c>
      <c r="E2766">
        <v>4030460009</v>
      </c>
      <c r="F2766" t="s">
        <v>1339</v>
      </c>
      <c r="G2766" s="1">
        <v>45236</v>
      </c>
      <c r="H2766">
        <v>5412666</v>
      </c>
      <c r="I2766">
        <v>179</v>
      </c>
      <c r="J2766" t="s">
        <v>410</v>
      </c>
      <c r="K2766" t="str">
        <f>IFERROR(IF(AND(VLOOKUP($C2766,Hes!$A:$B, 1, FALSE), $M2766&lt;&gt;" "), "Ingresada", "Falta Ingresar"), " ")</f>
        <v xml:space="preserve"> </v>
      </c>
      <c r="L2766" s="4" t="str">
        <f>IFERROR(VLOOKUP($C2766,Observaciones!$A:$B,2,FALSE)," ")</f>
        <v>ESPERAR AL VENDEDOR X OC CC 0</v>
      </c>
      <c r="M2766" t="s">
        <v>681</v>
      </c>
      <c r="O2766" s="5">
        <v>30854491</v>
      </c>
      <c r="P2766" s="5">
        <v>22500</v>
      </c>
      <c r="Q2766" s="5">
        <v>4275</v>
      </c>
      <c r="R2766" s="5">
        <v>26775</v>
      </c>
    </row>
    <row r="2767" spans="1:18" x14ac:dyDescent="0.25">
      <c r="A2767" t="s">
        <v>496</v>
      </c>
      <c r="B2767" t="s">
        <v>494</v>
      </c>
      <c r="C2767">
        <v>79693930</v>
      </c>
      <c r="D2767">
        <v>128</v>
      </c>
      <c r="E2767">
        <v>4030460009</v>
      </c>
      <c r="F2767" t="s">
        <v>1339</v>
      </c>
      <c r="G2767" s="1">
        <v>45236</v>
      </c>
      <c r="H2767">
        <v>5412724</v>
      </c>
      <c r="I2767">
        <v>179</v>
      </c>
      <c r="J2767" t="s">
        <v>410</v>
      </c>
      <c r="K2767" t="str">
        <f>IFERROR(IF(AND(VLOOKUP($C2767,Hes!$A:$B, 1, FALSE), $M2767&lt;&gt;" "), "Ingresada", "Falta Ingresar"), " ")</f>
        <v xml:space="preserve"> </v>
      </c>
      <c r="L2767" s="4" t="str">
        <f>IFERROR(VLOOKUP($C2767,Observaciones!$A:$B,2,FALSE)," ")</f>
        <v>ESPERAR AL VENDEDOR X OC CC 0</v>
      </c>
      <c r="M2767" t="s">
        <v>681</v>
      </c>
      <c r="O2767" s="5">
        <v>30854519</v>
      </c>
      <c r="P2767" s="5">
        <v>19988</v>
      </c>
      <c r="Q2767" s="5">
        <v>3798</v>
      </c>
      <c r="R2767" s="5">
        <v>23786</v>
      </c>
    </row>
    <row r="2768" spans="1:18" x14ac:dyDescent="0.25">
      <c r="A2768" t="s">
        <v>496</v>
      </c>
      <c r="B2768" t="s">
        <v>494</v>
      </c>
      <c r="C2768">
        <v>79693930</v>
      </c>
      <c r="D2768">
        <v>110</v>
      </c>
      <c r="E2768">
        <v>4030460009</v>
      </c>
      <c r="F2768" t="s">
        <v>1339</v>
      </c>
      <c r="G2768" s="1">
        <v>45236</v>
      </c>
      <c r="H2768">
        <v>5412762</v>
      </c>
      <c r="I2768">
        <v>179</v>
      </c>
      <c r="J2768" t="s">
        <v>410</v>
      </c>
      <c r="K2768" t="str">
        <f>IFERROR(IF(AND(VLOOKUP($C2768,Hes!$A:$B, 1, FALSE), $M2768&lt;&gt;" "), "Ingresada", "Falta Ingresar"), " ")</f>
        <v xml:space="preserve"> </v>
      </c>
      <c r="L2768" s="4" t="str">
        <f>IFERROR(VLOOKUP($C2768,Observaciones!$A:$B,2,FALSE)," ")</f>
        <v>ESPERAR AL VENDEDOR X OC CC 0</v>
      </c>
      <c r="M2768" t="s">
        <v>681</v>
      </c>
      <c r="O2768" s="5">
        <v>30854411</v>
      </c>
      <c r="P2768" s="5">
        <v>35320</v>
      </c>
      <c r="Q2768" s="5">
        <v>6711</v>
      </c>
      <c r="R2768" s="5">
        <v>42031</v>
      </c>
    </row>
    <row r="2769" spans="1:18" x14ac:dyDescent="0.25">
      <c r="A2769" t="s">
        <v>496</v>
      </c>
      <c r="B2769" t="s">
        <v>494</v>
      </c>
      <c r="C2769">
        <v>79693930</v>
      </c>
      <c r="D2769">
        <v>127</v>
      </c>
      <c r="E2769">
        <v>4030460009</v>
      </c>
      <c r="F2769" t="s">
        <v>1339</v>
      </c>
      <c r="G2769" s="1">
        <v>45236</v>
      </c>
      <c r="H2769">
        <v>5412819</v>
      </c>
      <c r="I2769">
        <v>179</v>
      </c>
      <c r="J2769" t="s">
        <v>410</v>
      </c>
      <c r="K2769" t="str">
        <f>IFERROR(IF(AND(VLOOKUP($C2769,Hes!$A:$B, 1, FALSE), $M2769&lt;&gt;" "), "Ingresada", "Falta Ingresar"), " ")</f>
        <v xml:space="preserve"> </v>
      </c>
      <c r="L2769" s="4" t="str">
        <f>IFERROR(VLOOKUP($C2769,Observaciones!$A:$B,2,FALSE)," ")</f>
        <v>ESPERAR AL VENDEDOR X OC CC 0</v>
      </c>
      <c r="M2769" t="s">
        <v>681</v>
      </c>
      <c r="O2769" s="5">
        <v>30850011</v>
      </c>
      <c r="P2769" s="5">
        <v>20394</v>
      </c>
      <c r="Q2769" s="5">
        <v>3875</v>
      </c>
      <c r="R2769" s="5">
        <v>24269</v>
      </c>
    </row>
    <row r="2770" spans="1:18" x14ac:dyDescent="0.25">
      <c r="A2770" t="s">
        <v>496</v>
      </c>
      <c r="B2770" t="s">
        <v>494</v>
      </c>
      <c r="C2770">
        <v>79693930</v>
      </c>
      <c r="D2770">
        <v>268</v>
      </c>
      <c r="E2770">
        <v>4030460009</v>
      </c>
      <c r="F2770" t="s">
        <v>1339</v>
      </c>
      <c r="G2770" s="1">
        <v>45236</v>
      </c>
      <c r="H2770">
        <v>5412821</v>
      </c>
      <c r="I2770">
        <v>179</v>
      </c>
      <c r="J2770" t="s">
        <v>410</v>
      </c>
      <c r="K2770" t="str">
        <f>IFERROR(IF(AND(VLOOKUP($C2770,Hes!$A:$B, 1, FALSE), $M2770&lt;&gt;" "), "Ingresada", "Falta Ingresar"), " ")</f>
        <v xml:space="preserve"> </v>
      </c>
      <c r="L2770" s="4" t="str">
        <f>IFERROR(VLOOKUP($C2770,Observaciones!$A:$B,2,FALSE)," ")</f>
        <v>ESPERAR AL VENDEDOR X OC CC 0</v>
      </c>
      <c r="M2770" t="s">
        <v>681</v>
      </c>
      <c r="O2770" s="5">
        <v>30849727</v>
      </c>
      <c r="P2770" s="5">
        <v>21244</v>
      </c>
      <c r="Q2770" s="5">
        <v>4036</v>
      </c>
      <c r="R2770" s="5">
        <v>25280</v>
      </c>
    </row>
    <row r="2771" spans="1:18" x14ac:dyDescent="0.25">
      <c r="A2771" t="s">
        <v>496</v>
      </c>
      <c r="B2771" t="s">
        <v>494</v>
      </c>
      <c r="C2771">
        <v>79693930</v>
      </c>
      <c r="D2771">
        <v>236</v>
      </c>
      <c r="E2771">
        <v>4030460009</v>
      </c>
      <c r="F2771" t="s">
        <v>1339</v>
      </c>
      <c r="G2771" s="1">
        <v>45236</v>
      </c>
      <c r="H2771">
        <v>5413061</v>
      </c>
      <c r="I2771">
        <v>179</v>
      </c>
      <c r="J2771" t="s">
        <v>410</v>
      </c>
      <c r="K2771" t="str">
        <f>IFERROR(IF(AND(VLOOKUP($C2771,Hes!$A:$B, 1, FALSE), $M2771&lt;&gt;" "), "Ingresada", "Falta Ingresar"), " ")</f>
        <v xml:space="preserve"> </v>
      </c>
      <c r="L2771" s="4" t="str">
        <f>IFERROR(VLOOKUP($C2771,Observaciones!$A:$B,2,FALSE)," ")</f>
        <v>ESPERAR AL VENDEDOR X OC CC 0</v>
      </c>
      <c r="M2771" t="s">
        <v>681</v>
      </c>
      <c r="O2771" s="5">
        <v>30847451</v>
      </c>
      <c r="P2771" s="5">
        <v>19988</v>
      </c>
      <c r="Q2771" s="5">
        <v>3798</v>
      </c>
      <c r="R2771" s="5">
        <v>23786</v>
      </c>
    </row>
    <row r="2772" spans="1:18" x14ac:dyDescent="0.25">
      <c r="A2772" t="s">
        <v>496</v>
      </c>
      <c r="B2772" t="s">
        <v>494</v>
      </c>
      <c r="C2772">
        <v>79693930</v>
      </c>
      <c r="D2772">
        <v>147</v>
      </c>
      <c r="E2772">
        <v>4030459803</v>
      </c>
      <c r="F2772" t="s">
        <v>1339</v>
      </c>
      <c r="G2772" s="1">
        <v>45236</v>
      </c>
      <c r="H2772">
        <v>5413442</v>
      </c>
      <c r="I2772">
        <v>179</v>
      </c>
      <c r="J2772" t="s">
        <v>410</v>
      </c>
      <c r="K2772" t="str">
        <f>IFERROR(IF(AND(VLOOKUP($C2772,Hes!$A:$B, 1, FALSE), $M2772&lt;&gt;" "), "Ingresada", "Falta Ingresar"), " ")</f>
        <v xml:space="preserve"> </v>
      </c>
      <c r="L2772" s="4" t="str">
        <f>IFERROR(VLOOKUP($C2772,Observaciones!$A:$B,2,FALSE)," ")</f>
        <v>ESPERAR AL VENDEDOR X OC CC 0</v>
      </c>
      <c r="M2772" t="s">
        <v>681</v>
      </c>
      <c r="O2772" s="5">
        <v>30844859</v>
      </c>
      <c r="P2772" s="5">
        <v>25930</v>
      </c>
      <c r="Q2772" s="5">
        <v>4927</v>
      </c>
      <c r="R2772" s="5">
        <v>30857</v>
      </c>
    </row>
    <row r="2773" spans="1:18" x14ac:dyDescent="0.25">
      <c r="A2773" t="s">
        <v>496</v>
      </c>
      <c r="B2773" t="s">
        <v>494</v>
      </c>
      <c r="C2773">
        <v>79693930</v>
      </c>
      <c r="D2773">
        <v>148</v>
      </c>
      <c r="E2773">
        <v>4030459803</v>
      </c>
      <c r="F2773" t="s">
        <v>1339</v>
      </c>
      <c r="G2773" s="1">
        <v>45236</v>
      </c>
      <c r="H2773">
        <v>5413447</v>
      </c>
      <c r="I2773">
        <v>179</v>
      </c>
      <c r="J2773" t="s">
        <v>410</v>
      </c>
      <c r="K2773" t="str">
        <f>IFERROR(IF(AND(VLOOKUP($C2773,Hes!$A:$B, 1, FALSE), $M2773&lt;&gt;" "), "Ingresada", "Falta Ingresar"), " ")</f>
        <v xml:space="preserve"> </v>
      </c>
      <c r="L2773" s="4" t="str">
        <f>IFERROR(VLOOKUP($C2773,Observaciones!$A:$B,2,FALSE)," ")</f>
        <v>ESPERAR AL VENDEDOR X OC CC 0</v>
      </c>
      <c r="M2773" t="s">
        <v>681</v>
      </c>
      <c r="O2773" s="5">
        <v>30844866</v>
      </c>
      <c r="P2773" s="5">
        <v>25930</v>
      </c>
      <c r="Q2773" s="5">
        <v>4927</v>
      </c>
      <c r="R2773" s="5">
        <v>30857</v>
      </c>
    </row>
    <row r="2774" spans="1:18" x14ac:dyDescent="0.25">
      <c r="A2774" t="s">
        <v>496</v>
      </c>
      <c r="B2774" t="s">
        <v>494</v>
      </c>
      <c r="C2774">
        <v>79693930</v>
      </c>
      <c r="D2774">
        <v>149</v>
      </c>
      <c r="E2774">
        <v>4030459803</v>
      </c>
      <c r="F2774" t="s">
        <v>1339</v>
      </c>
      <c r="G2774" s="1">
        <v>45236</v>
      </c>
      <c r="H2774">
        <v>5413449</v>
      </c>
      <c r="I2774">
        <v>179</v>
      </c>
      <c r="J2774" t="s">
        <v>410</v>
      </c>
      <c r="K2774" t="str">
        <f>IFERROR(IF(AND(VLOOKUP($C2774,Hes!$A:$B, 1, FALSE), $M2774&lt;&gt;" "), "Ingresada", "Falta Ingresar"), " ")</f>
        <v xml:space="preserve"> </v>
      </c>
      <c r="L2774" s="4" t="str">
        <f>IFERROR(VLOOKUP($C2774,Observaciones!$A:$B,2,FALSE)," ")</f>
        <v>ESPERAR AL VENDEDOR X OC CC 0</v>
      </c>
      <c r="M2774" t="s">
        <v>681</v>
      </c>
      <c r="O2774" s="5">
        <v>30844869</v>
      </c>
      <c r="P2774" s="5">
        <v>27186</v>
      </c>
      <c r="Q2774" s="5">
        <v>5165</v>
      </c>
      <c r="R2774" s="5">
        <v>32351</v>
      </c>
    </row>
    <row r="2775" spans="1:18" x14ac:dyDescent="0.25">
      <c r="A2775" t="s">
        <v>496</v>
      </c>
      <c r="B2775" t="s">
        <v>494</v>
      </c>
      <c r="C2775">
        <v>79693930</v>
      </c>
      <c r="D2775">
        <v>161</v>
      </c>
      <c r="E2775">
        <v>4030459803</v>
      </c>
      <c r="F2775" t="s">
        <v>1339</v>
      </c>
      <c r="G2775" s="1">
        <v>45236</v>
      </c>
      <c r="H2775">
        <v>5413465</v>
      </c>
      <c r="I2775">
        <v>179</v>
      </c>
      <c r="J2775" t="s">
        <v>410</v>
      </c>
      <c r="K2775" t="str">
        <f>IFERROR(IF(AND(VLOOKUP($C2775,Hes!$A:$B, 1, FALSE), $M2775&lt;&gt;" "), "Ingresada", "Falta Ingresar"), " ")</f>
        <v xml:space="preserve"> </v>
      </c>
      <c r="L2775" s="4" t="str">
        <f>IFERROR(VLOOKUP($C2775,Observaciones!$A:$B,2,FALSE)," ")</f>
        <v>ESPERAR AL VENDEDOR X OC CC 0</v>
      </c>
      <c r="M2775" t="s">
        <v>681</v>
      </c>
      <c r="O2775" s="5">
        <v>30857267</v>
      </c>
      <c r="P2775" s="5">
        <v>23824</v>
      </c>
      <c r="Q2775" s="5">
        <v>4527</v>
      </c>
      <c r="R2775" s="5">
        <v>28351</v>
      </c>
    </row>
    <row r="2776" spans="1:18" x14ac:dyDescent="0.25">
      <c r="A2776" t="s">
        <v>496</v>
      </c>
      <c r="B2776" t="s">
        <v>494</v>
      </c>
      <c r="C2776">
        <v>79693930</v>
      </c>
      <c r="D2776">
        <v>15</v>
      </c>
      <c r="E2776">
        <v>4030459803</v>
      </c>
      <c r="F2776" t="s">
        <v>1339</v>
      </c>
      <c r="G2776" s="1">
        <v>45236</v>
      </c>
      <c r="H2776">
        <v>5413530</v>
      </c>
      <c r="I2776">
        <v>179</v>
      </c>
      <c r="J2776" t="s">
        <v>410</v>
      </c>
      <c r="K2776" t="str">
        <f>IFERROR(IF(AND(VLOOKUP($C2776,Hes!$A:$B, 1, FALSE), $M2776&lt;&gt;" "), "Ingresada", "Falta Ingresar"), " ")</f>
        <v xml:space="preserve"> </v>
      </c>
      <c r="L2776" s="4" t="str">
        <f>IFERROR(VLOOKUP($C2776,Observaciones!$A:$B,2,FALSE)," ")</f>
        <v>ESPERAR AL VENDEDOR X OC CC 0</v>
      </c>
      <c r="M2776" t="s">
        <v>681</v>
      </c>
      <c r="O2776" s="5">
        <v>30844875</v>
      </c>
      <c r="P2776" s="5">
        <v>23824</v>
      </c>
      <c r="Q2776" s="5">
        <v>4527</v>
      </c>
      <c r="R2776" s="5">
        <v>28351</v>
      </c>
    </row>
    <row r="2777" spans="1:18" x14ac:dyDescent="0.25">
      <c r="A2777" t="s">
        <v>496</v>
      </c>
      <c r="B2777" t="s">
        <v>494</v>
      </c>
      <c r="C2777">
        <v>79693930</v>
      </c>
      <c r="D2777">
        <v>146</v>
      </c>
      <c r="E2777">
        <v>4030459803</v>
      </c>
      <c r="F2777" t="s">
        <v>1339</v>
      </c>
      <c r="G2777" s="1">
        <v>45236</v>
      </c>
      <c r="H2777">
        <v>5413536</v>
      </c>
      <c r="I2777">
        <v>179</v>
      </c>
      <c r="J2777" t="s">
        <v>410</v>
      </c>
      <c r="K2777" t="str">
        <f>IFERROR(IF(AND(VLOOKUP($C2777,Hes!$A:$B, 1, FALSE), $M2777&lt;&gt;" "), "Ingresada", "Falta Ingresar"), " ")</f>
        <v xml:space="preserve"> </v>
      </c>
      <c r="L2777" s="4" t="str">
        <f>IFERROR(VLOOKUP($C2777,Observaciones!$A:$B,2,FALSE)," ")</f>
        <v>ESPERAR AL VENDEDOR X OC CC 0</v>
      </c>
      <c r="M2777" t="s">
        <v>681</v>
      </c>
      <c r="O2777" s="5">
        <v>30844858</v>
      </c>
      <c r="P2777" s="5">
        <v>25930</v>
      </c>
      <c r="Q2777" s="5">
        <v>4927</v>
      </c>
      <c r="R2777" s="5">
        <v>30857</v>
      </c>
    </row>
    <row r="2778" spans="1:18" x14ac:dyDescent="0.25">
      <c r="A2778" t="s">
        <v>496</v>
      </c>
      <c r="B2778" t="s">
        <v>494</v>
      </c>
      <c r="C2778">
        <v>79693930</v>
      </c>
      <c r="D2778">
        <v>144</v>
      </c>
      <c r="E2778">
        <v>4030459803</v>
      </c>
      <c r="F2778" t="s">
        <v>1339</v>
      </c>
      <c r="G2778" s="1">
        <v>45236</v>
      </c>
      <c r="H2778">
        <v>5413537</v>
      </c>
      <c r="I2778">
        <v>179</v>
      </c>
      <c r="J2778" t="s">
        <v>410</v>
      </c>
      <c r="K2778" t="str">
        <f>IFERROR(IF(AND(VLOOKUP($C2778,Hes!$A:$B, 1, FALSE), $M2778&lt;&gt;" "), "Ingresada", "Falta Ingresar"), " ")</f>
        <v xml:space="preserve"> </v>
      </c>
      <c r="L2778" s="4" t="str">
        <f>IFERROR(VLOOKUP($C2778,Observaciones!$A:$B,2,FALSE)," ")</f>
        <v>ESPERAR AL VENDEDOR X OC CC 0</v>
      </c>
      <c r="M2778" t="s">
        <v>681</v>
      </c>
      <c r="O2778" s="5">
        <v>30844853</v>
      </c>
      <c r="P2778" s="5">
        <v>25930</v>
      </c>
      <c r="Q2778" s="5">
        <v>4927</v>
      </c>
      <c r="R2778" s="5">
        <v>30857</v>
      </c>
    </row>
    <row r="2779" spans="1:18" x14ac:dyDescent="0.25">
      <c r="A2779" t="s">
        <v>496</v>
      </c>
      <c r="B2779" t="s">
        <v>494</v>
      </c>
      <c r="C2779">
        <v>79693930</v>
      </c>
      <c r="D2779">
        <v>151</v>
      </c>
      <c r="E2779">
        <v>4030459803</v>
      </c>
      <c r="F2779" t="s">
        <v>1339</v>
      </c>
      <c r="G2779" s="1">
        <v>45236</v>
      </c>
      <c r="H2779">
        <v>5413538</v>
      </c>
      <c r="I2779">
        <v>179</v>
      </c>
      <c r="J2779" t="s">
        <v>410</v>
      </c>
      <c r="K2779" t="str">
        <f>IFERROR(IF(AND(VLOOKUP($C2779,Hes!$A:$B, 1, FALSE), $M2779&lt;&gt;" "), "Ingresada", "Falta Ingresar"), " ")</f>
        <v xml:space="preserve"> </v>
      </c>
      <c r="L2779" s="4" t="str">
        <f>IFERROR(VLOOKUP($C2779,Observaciones!$A:$B,2,FALSE)," ")</f>
        <v>ESPERAR AL VENDEDOR X OC CC 0</v>
      </c>
      <c r="M2779" t="s">
        <v>681</v>
      </c>
      <c r="O2779" s="5">
        <v>30844882</v>
      </c>
      <c r="P2779" s="5">
        <v>23824</v>
      </c>
      <c r="Q2779" s="5">
        <v>4527</v>
      </c>
      <c r="R2779" s="5">
        <v>28351</v>
      </c>
    </row>
    <row r="2780" spans="1:18" x14ac:dyDescent="0.25">
      <c r="A2780" t="s">
        <v>496</v>
      </c>
      <c r="B2780" t="s">
        <v>494</v>
      </c>
      <c r="C2780">
        <v>79693930</v>
      </c>
      <c r="D2780">
        <v>150</v>
      </c>
      <c r="E2780">
        <v>4030459803</v>
      </c>
      <c r="F2780" t="s">
        <v>1339</v>
      </c>
      <c r="G2780" s="1">
        <v>45236</v>
      </c>
      <c r="H2780">
        <v>5413539</v>
      </c>
      <c r="I2780">
        <v>179</v>
      </c>
      <c r="J2780" t="s">
        <v>410</v>
      </c>
      <c r="K2780" t="str">
        <f>IFERROR(IF(AND(VLOOKUP($C2780,Hes!$A:$B, 1, FALSE), $M2780&lt;&gt;" "), "Ingresada", "Falta Ingresar"), " ")</f>
        <v xml:space="preserve"> </v>
      </c>
      <c r="L2780" s="4" t="str">
        <f>IFERROR(VLOOKUP($C2780,Observaciones!$A:$B,2,FALSE)," ")</f>
        <v>ESPERAR AL VENDEDOR X OC CC 0</v>
      </c>
      <c r="M2780" t="s">
        <v>681</v>
      </c>
      <c r="O2780" s="5">
        <v>30844871</v>
      </c>
      <c r="P2780" s="5">
        <v>27186</v>
      </c>
      <c r="Q2780" s="5">
        <v>5165</v>
      </c>
      <c r="R2780" s="5">
        <v>32351</v>
      </c>
    </row>
    <row r="2781" spans="1:18" x14ac:dyDescent="0.25">
      <c r="A2781" t="s">
        <v>496</v>
      </c>
      <c r="B2781" t="s">
        <v>494</v>
      </c>
      <c r="C2781">
        <v>79693930</v>
      </c>
      <c r="D2781">
        <v>157</v>
      </c>
      <c r="E2781">
        <v>4030459803</v>
      </c>
      <c r="F2781" t="s">
        <v>1339</v>
      </c>
      <c r="G2781" s="1">
        <v>45236</v>
      </c>
      <c r="H2781">
        <v>5413577</v>
      </c>
      <c r="I2781">
        <v>179</v>
      </c>
      <c r="J2781" t="s">
        <v>410</v>
      </c>
      <c r="K2781" t="str">
        <f>IFERROR(IF(AND(VLOOKUP($C2781,Hes!$A:$B, 1, FALSE), $M2781&lt;&gt;" "), "Ingresada", "Falta Ingresar"), " ")</f>
        <v xml:space="preserve"> </v>
      </c>
      <c r="L2781" s="4" t="str">
        <f>IFERROR(VLOOKUP($C2781,Observaciones!$A:$B,2,FALSE)," ")</f>
        <v>ESPERAR AL VENDEDOR X OC CC 0</v>
      </c>
      <c r="M2781" t="s">
        <v>681</v>
      </c>
      <c r="O2781" s="5">
        <v>30857246</v>
      </c>
      <c r="P2781" s="5">
        <v>23824</v>
      </c>
      <c r="Q2781" s="5">
        <v>4527</v>
      </c>
      <c r="R2781" s="5">
        <v>28351</v>
      </c>
    </row>
    <row r="2782" spans="1:18" x14ac:dyDescent="0.25">
      <c r="A2782" t="s">
        <v>496</v>
      </c>
      <c r="B2782" t="s">
        <v>494</v>
      </c>
      <c r="C2782">
        <v>79693930</v>
      </c>
      <c r="D2782">
        <v>16</v>
      </c>
      <c r="E2782">
        <v>4030459803</v>
      </c>
      <c r="F2782" t="s">
        <v>1339</v>
      </c>
      <c r="G2782" s="1">
        <v>45236</v>
      </c>
      <c r="H2782">
        <v>5413580</v>
      </c>
      <c r="I2782">
        <v>179</v>
      </c>
      <c r="J2782" t="s">
        <v>410</v>
      </c>
      <c r="K2782" t="str">
        <f>IFERROR(IF(AND(VLOOKUP($C2782,Hes!$A:$B, 1, FALSE), $M2782&lt;&gt;" "), "Ingresada", "Falta Ingresar"), " ")</f>
        <v xml:space="preserve"> </v>
      </c>
      <c r="L2782" s="4" t="str">
        <f>IFERROR(VLOOKUP($C2782,Observaciones!$A:$B,2,FALSE)," ")</f>
        <v>ESPERAR AL VENDEDOR X OC CC 0</v>
      </c>
      <c r="M2782" t="s">
        <v>681</v>
      </c>
      <c r="O2782" s="5">
        <v>30844878</v>
      </c>
      <c r="P2782" s="5">
        <v>23824</v>
      </c>
      <c r="Q2782" s="5">
        <v>4527</v>
      </c>
      <c r="R2782" s="5">
        <v>28351</v>
      </c>
    </row>
    <row r="2783" spans="1:18" x14ac:dyDescent="0.25">
      <c r="A2783" t="s">
        <v>496</v>
      </c>
      <c r="B2783" t="s">
        <v>494</v>
      </c>
      <c r="C2783">
        <v>79693930</v>
      </c>
      <c r="D2783">
        <v>142</v>
      </c>
      <c r="E2783">
        <v>4030459803</v>
      </c>
      <c r="F2783" t="s">
        <v>1339</v>
      </c>
      <c r="G2783" s="1">
        <v>45236</v>
      </c>
      <c r="H2783">
        <v>5413618</v>
      </c>
      <c r="I2783">
        <v>179</v>
      </c>
      <c r="J2783" t="s">
        <v>410</v>
      </c>
      <c r="K2783" t="str">
        <f>IFERROR(IF(AND(VLOOKUP($C2783,Hes!$A:$B, 1, FALSE), $M2783&lt;&gt;" "), "Ingresada", "Falta Ingresar"), " ")</f>
        <v xml:space="preserve"> </v>
      </c>
      <c r="L2783" s="4" t="str">
        <f>IFERROR(VLOOKUP($C2783,Observaciones!$A:$B,2,FALSE)," ")</f>
        <v>ESPERAR AL VENDEDOR X OC CC 0</v>
      </c>
      <c r="M2783" t="s">
        <v>681</v>
      </c>
      <c r="O2783" s="5">
        <v>30844850</v>
      </c>
      <c r="P2783" s="5">
        <v>25930</v>
      </c>
      <c r="Q2783" s="5">
        <v>4927</v>
      </c>
      <c r="R2783" s="5">
        <v>30857</v>
      </c>
    </row>
    <row r="2784" spans="1:18" x14ac:dyDescent="0.25">
      <c r="A2784" t="s">
        <v>496</v>
      </c>
      <c r="B2784" t="s">
        <v>494</v>
      </c>
      <c r="C2784">
        <v>79693930</v>
      </c>
      <c r="D2784">
        <v>141</v>
      </c>
      <c r="E2784">
        <v>4030459803</v>
      </c>
      <c r="F2784" t="s">
        <v>1339</v>
      </c>
      <c r="G2784" s="1">
        <v>45236</v>
      </c>
      <c r="H2784">
        <v>5413620</v>
      </c>
      <c r="I2784">
        <v>179</v>
      </c>
      <c r="J2784" t="s">
        <v>410</v>
      </c>
      <c r="K2784" t="str">
        <f>IFERROR(IF(AND(VLOOKUP($C2784,Hes!$A:$B, 1, FALSE), $M2784&lt;&gt;" "), "Ingresada", "Falta Ingresar"), " ")</f>
        <v xml:space="preserve"> </v>
      </c>
      <c r="L2784" s="4" t="str">
        <f>IFERROR(VLOOKUP($C2784,Observaciones!$A:$B,2,FALSE)," ")</f>
        <v>ESPERAR AL VENDEDOR X OC CC 0</v>
      </c>
      <c r="M2784" t="s">
        <v>681</v>
      </c>
      <c r="O2784" s="5">
        <v>30844849</v>
      </c>
      <c r="P2784" s="5">
        <v>25930</v>
      </c>
      <c r="Q2784" s="5">
        <v>4927</v>
      </c>
      <c r="R2784" s="5">
        <v>30857</v>
      </c>
    </row>
    <row r="2785" spans="1:18" x14ac:dyDescent="0.25">
      <c r="A2785" t="s">
        <v>496</v>
      </c>
      <c r="B2785" t="s">
        <v>494</v>
      </c>
      <c r="C2785">
        <v>79693930</v>
      </c>
      <c r="D2785">
        <v>290</v>
      </c>
      <c r="E2785">
        <v>4030459803</v>
      </c>
      <c r="F2785" t="s">
        <v>1339</v>
      </c>
      <c r="G2785" s="1">
        <v>45236</v>
      </c>
      <c r="H2785">
        <v>5413621</v>
      </c>
      <c r="I2785">
        <v>179</v>
      </c>
      <c r="J2785" t="s">
        <v>410</v>
      </c>
      <c r="K2785" t="str">
        <f>IFERROR(IF(AND(VLOOKUP($C2785,Hes!$A:$B, 1, FALSE), $M2785&lt;&gt;" "), "Ingresada", "Falta Ingresar"), " ")</f>
        <v xml:space="preserve"> </v>
      </c>
      <c r="L2785" s="4" t="str">
        <f>IFERROR(VLOOKUP($C2785,Observaciones!$A:$B,2,FALSE)," ")</f>
        <v>ESPERAR AL VENDEDOR X OC CC 0</v>
      </c>
      <c r="M2785" t="s">
        <v>681</v>
      </c>
      <c r="O2785" s="5">
        <v>30844846</v>
      </c>
      <c r="P2785" s="5">
        <v>25930</v>
      </c>
      <c r="Q2785" s="5">
        <v>4927</v>
      </c>
      <c r="R2785" s="5">
        <v>30857</v>
      </c>
    </row>
    <row r="2786" spans="1:18" x14ac:dyDescent="0.25">
      <c r="A2786" t="s">
        <v>496</v>
      </c>
      <c r="B2786" t="s">
        <v>494</v>
      </c>
      <c r="C2786">
        <v>79693930</v>
      </c>
      <c r="D2786">
        <v>84</v>
      </c>
      <c r="E2786">
        <v>4030459803</v>
      </c>
      <c r="F2786" t="s">
        <v>1339</v>
      </c>
      <c r="G2786" s="1">
        <v>45236</v>
      </c>
      <c r="H2786">
        <v>5413637</v>
      </c>
      <c r="I2786">
        <v>179</v>
      </c>
      <c r="J2786" t="s">
        <v>410</v>
      </c>
      <c r="K2786" t="str">
        <f>IFERROR(IF(AND(VLOOKUP($C2786,Hes!$A:$B, 1, FALSE), $M2786&lt;&gt;" "), "Ingresada", "Falta Ingresar"), " ")</f>
        <v xml:space="preserve"> </v>
      </c>
      <c r="L2786" s="4" t="str">
        <f>IFERROR(VLOOKUP($C2786,Observaciones!$A:$B,2,FALSE)," ")</f>
        <v>ESPERAR AL VENDEDOR X OC CC 0</v>
      </c>
      <c r="M2786" t="s">
        <v>681</v>
      </c>
      <c r="O2786" s="5">
        <v>30844856</v>
      </c>
      <c r="P2786" s="5">
        <v>25930</v>
      </c>
      <c r="Q2786" s="5">
        <v>4927</v>
      </c>
      <c r="R2786" s="5">
        <v>30857</v>
      </c>
    </row>
    <row r="2787" spans="1:18" x14ac:dyDescent="0.25">
      <c r="A2787" t="s">
        <v>496</v>
      </c>
      <c r="B2787" t="s">
        <v>494</v>
      </c>
      <c r="C2787">
        <v>79693930</v>
      </c>
      <c r="D2787">
        <v>171</v>
      </c>
      <c r="E2787">
        <v>4030459803</v>
      </c>
      <c r="F2787" t="s">
        <v>1339</v>
      </c>
      <c r="G2787" s="1">
        <v>45236</v>
      </c>
      <c r="H2787">
        <v>5413649</v>
      </c>
      <c r="I2787">
        <v>179</v>
      </c>
      <c r="J2787" t="s">
        <v>410</v>
      </c>
      <c r="K2787" t="str">
        <f>IFERROR(IF(AND(VLOOKUP($C2787,Hes!$A:$B, 1, FALSE), $M2787&lt;&gt;" "), "Ingresada", "Falta Ingresar"), " ")</f>
        <v xml:space="preserve"> </v>
      </c>
      <c r="L2787" s="4" t="str">
        <f>IFERROR(VLOOKUP($C2787,Observaciones!$A:$B,2,FALSE)," ")</f>
        <v>ESPERAR AL VENDEDOR X OC CC 0</v>
      </c>
      <c r="M2787" t="s">
        <v>681</v>
      </c>
      <c r="O2787" s="5">
        <v>30857543</v>
      </c>
      <c r="P2787" s="5">
        <v>25080</v>
      </c>
      <c r="Q2787" s="5">
        <v>4765</v>
      </c>
      <c r="R2787" s="5">
        <v>29845</v>
      </c>
    </row>
    <row r="2788" spans="1:18" x14ac:dyDescent="0.25">
      <c r="A2788" t="s">
        <v>496</v>
      </c>
      <c r="B2788" t="s">
        <v>494</v>
      </c>
      <c r="C2788">
        <v>79693930</v>
      </c>
      <c r="D2788">
        <v>156</v>
      </c>
      <c r="E2788">
        <v>4030459803</v>
      </c>
      <c r="F2788" t="s">
        <v>1339</v>
      </c>
      <c r="G2788" s="1">
        <v>45236</v>
      </c>
      <c r="H2788">
        <v>5413725</v>
      </c>
      <c r="I2788">
        <v>179</v>
      </c>
      <c r="J2788" t="s">
        <v>410</v>
      </c>
      <c r="K2788" t="str">
        <f>IFERROR(IF(AND(VLOOKUP($C2788,Hes!$A:$B, 1, FALSE), $M2788&lt;&gt;" "), "Ingresada", "Falta Ingresar"), " ")</f>
        <v xml:space="preserve"> </v>
      </c>
      <c r="L2788" s="4" t="str">
        <f>IFERROR(VLOOKUP($C2788,Observaciones!$A:$B,2,FALSE)," ")</f>
        <v>ESPERAR AL VENDEDOR X OC CC 0</v>
      </c>
      <c r="M2788" t="s">
        <v>681</v>
      </c>
      <c r="O2788" s="5">
        <v>30844888</v>
      </c>
      <c r="P2788" s="5">
        <v>23824</v>
      </c>
      <c r="Q2788" s="5">
        <v>4527</v>
      </c>
      <c r="R2788" s="5">
        <v>28351</v>
      </c>
    </row>
    <row r="2789" spans="1:18" x14ac:dyDescent="0.25">
      <c r="A2789" t="s">
        <v>496</v>
      </c>
      <c r="B2789" t="s">
        <v>494</v>
      </c>
      <c r="C2789">
        <v>79693930</v>
      </c>
      <c r="D2789">
        <v>153</v>
      </c>
      <c r="E2789">
        <v>4030459803</v>
      </c>
      <c r="F2789" t="s">
        <v>1339</v>
      </c>
      <c r="G2789" s="1">
        <v>45236</v>
      </c>
      <c r="H2789">
        <v>5413728</v>
      </c>
      <c r="I2789">
        <v>179</v>
      </c>
      <c r="J2789" t="s">
        <v>410</v>
      </c>
      <c r="K2789" t="str">
        <f>IFERROR(IF(AND(VLOOKUP($C2789,Hes!$A:$B, 1, FALSE), $M2789&lt;&gt;" "), "Ingresada", "Falta Ingresar"), " ")</f>
        <v xml:space="preserve"> </v>
      </c>
      <c r="L2789" s="4" t="str">
        <f>IFERROR(VLOOKUP($C2789,Observaciones!$A:$B,2,FALSE)," ")</f>
        <v>ESPERAR AL VENDEDOR X OC CC 0</v>
      </c>
      <c r="M2789" t="s">
        <v>681</v>
      </c>
      <c r="O2789" s="5">
        <v>30844885</v>
      </c>
      <c r="P2789" s="5">
        <v>23824</v>
      </c>
      <c r="Q2789" s="5">
        <v>4527</v>
      </c>
      <c r="R2789" s="5">
        <v>28351</v>
      </c>
    </row>
    <row r="2790" spans="1:18" x14ac:dyDescent="0.25">
      <c r="A2790" t="s">
        <v>496</v>
      </c>
      <c r="B2790" t="s">
        <v>494</v>
      </c>
      <c r="C2790">
        <v>79693930</v>
      </c>
      <c r="D2790">
        <v>152</v>
      </c>
      <c r="E2790">
        <v>4030459803</v>
      </c>
      <c r="F2790" t="s">
        <v>1339</v>
      </c>
      <c r="G2790" s="1">
        <v>45236</v>
      </c>
      <c r="H2790">
        <v>5413822</v>
      </c>
      <c r="I2790">
        <v>179</v>
      </c>
      <c r="J2790" t="s">
        <v>410</v>
      </c>
      <c r="K2790" t="str">
        <f>IFERROR(IF(AND(VLOOKUP($C2790,Hes!$A:$B, 1, FALSE), $M2790&lt;&gt;" "), "Ingresada", "Falta Ingresar"), " ")</f>
        <v xml:space="preserve"> </v>
      </c>
      <c r="L2790" s="4" t="str">
        <f>IFERROR(VLOOKUP($C2790,Observaciones!$A:$B,2,FALSE)," ")</f>
        <v>ESPERAR AL VENDEDOR X OC CC 0</v>
      </c>
      <c r="M2790" t="s">
        <v>681</v>
      </c>
      <c r="O2790" s="5">
        <v>30844883</v>
      </c>
      <c r="P2790" s="5">
        <v>23824</v>
      </c>
      <c r="Q2790" s="5">
        <v>4527</v>
      </c>
      <c r="R2790" s="5">
        <v>28351</v>
      </c>
    </row>
    <row r="2791" spans="1:18" x14ac:dyDescent="0.25">
      <c r="A2791" t="s">
        <v>496</v>
      </c>
      <c r="B2791" t="s">
        <v>494</v>
      </c>
      <c r="C2791">
        <v>79693930</v>
      </c>
      <c r="D2791">
        <v>166</v>
      </c>
      <c r="E2791">
        <v>4030459803</v>
      </c>
      <c r="F2791" t="s">
        <v>1339</v>
      </c>
      <c r="G2791" s="1">
        <v>45236</v>
      </c>
      <c r="H2791">
        <v>5413853</v>
      </c>
      <c r="I2791">
        <v>179</v>
      </c>
      <c r="J2791" t="s">
        <v>410</v>
      </c>
      <c r="K2791" t="str">
        <f>IFERROR(IF(AND(VLOOKUP($C2791,Hes!$A:$B, 1, FALSE), $M2791&lt;&gt;" "), "Ingresada", "Falta Ingresar"), " ")</f>
        <v xml:space="preserve"> </v>
      </c>
      <c r="L2791" s="4" t="str">
        <f>IFERROR(VLOOKUP($C2791,Observaciones!$A:$B,2,FALSE)," ")</f>
        <v>ESPERAR AL VENDEDOR X OC CC 0</v>
      </c>
      <c r="M2791" t="s">
        <v>681</v>
      </c>
      <c r="O2791" s="5">
        <v>30857296</v>
      </c>
      <c r="P2791" s="5">
        <v>23824</v>
      </c>
      <c r="Q2791" s="5">
        <v>4527</v>
      </c>
      <c r="R2791" s="5">
        <v>28351</v>
      </c>
    </row>
    <row r="2792" spans="1:18" x14ac:dyDescent="0.25">
      <c r="A2792" t="s">
        <v>496</v>
      </c>
      <c r="B2792" t="s">
        <v>494</v>
      </c>
      <c r="C2792">
        <v>79693930</v>
      </c>
      <c r="D2792">
        <v>167</v>
      </c>
      <c r="E2792">
        <v>4030459803</v>
      </c>
      <c r="F2792" t="s">
        <v>1339</v>
      </c>
      <c r="G2792" s="1">
        <v>45236</v>
      </c>
      <c r="H2792">
        <v>5413879</v>
      </c>
      <c r="I2792">
        <v>179</v>
      </c>
      <c r="J2792" t="s">
        <v>410</v>
      </c>
      <c r="K2792" t="str">
        <f>IFERROR(IF(AND(VLOOKUP($C2792,Hes!$A:$B, 1, FALSE), $M2792&lt;&gt;" "), "Ingresada", "Falta Ingresar"), " ")</f>
        <v xml:space="preserve"> </v>
      </c>
      <c r="L2792" s="4" t="str">
        <f>IFERROR(VLOOKUP($C2792,Observaciones!$A:$B,2,FALSE)," ")</f>
        <v>ESPERAR AL VENDEDOR X OC CC 0</v>
      </c>
      <c r="M2792" t="s">
        <v>681</v>
      </c>
      <c r="O2792" s="5">
        <v>30857448</v>
      </c>
      <c r="P2792" s="5">
        <v>23824</v>
      </c>
      <c r="Q2792" s="5">
        <v>4527</v>
      </c>
      <c r="R2792" s="5">
        <v>28351</v>
      </c>
    </row>
    <row r="2793" spans="1:18" x14ac:dyDescent="0.25">
      <c r="A2793" t="s">
        <v>496</v>
      </c>
      <c r="B2793" t="s">
        <v>494</v>
      </c>
      <c r="C2793">
        <v>79693930</v>
      </c>
      <c r="D2793">
        <v>170</v>
      </c>
      <c r="E2793">
        <v>4030459803</v>
      </c>
      <c r="F2793" t="s">
        <v>1339</v>
      </c>
      <c r="G2793" s="1">
        <v>45237</v>
      </c>
      <c r="H2793">
        <v>5413935</v>
      </c>
      <c r="I2793">
        <v>179</v>
      </c>
      <c r="J2793" t="s">
        <v>410</v>
      </c>
      <c r="K2793" t="str">
        <f>IFERROR(IF(AND(VLOOKUP($C2793,Hes!$A:$B, 1, FALSE), $M2793&lt;&gt;" "), "Ingresada", "Falta Ingresar"), " ")</f>
        <v xml:space="preserve"> </v>
      </c>
      <c r="L2793" s="4" t="str">
        <f>IFERROR(VLOOKUP($C2793,Observaciones!$A:$B,2,FALSE)," ")</f>
        <v>ESPERAR AL VENDEDOR X OC CC 0</v>
      </c>
      <c r="M2793" t="s">
        <v>681</v>
      </c>
      <c r="O2793" s="5">
        <v>30857507</v>
      </c>
      <c r="P2793" s="5">
        <v>25080</v>
      </c>
      <c r="Q2793" s="5">
        <v>4765</v>
      </c>
      <c r="R2793" s="5">
        <v>29845</v>
      </c>
    </row>
    <row r="2794" spans="1:18" x14ac:dyDescent="0.25">
      <c r="A2794" t="s">
        <v>496</v>
      </c>
      <c r="B2794" t="s">
        <v>494</v>
      </c>
      <c r="C2794">
        <v>79693930</v>
      </c>
      <c r="D2794">
        <v>168</v>
      </c>
      <c r="E2794">
        <v>4030459803</v>
      </c>
      <c r="F2794" t="s">
        <v>1339</v>
      </c>
      <c r="G2794" s="1">
        <v>45237</v>
      </c>
      <c r="H2794">
        <v>5413937</v>
      </c>
      <c r="I2794">
        <v>179</v>
      </c>
      <c r="J2794" t="s">
        <v>410</v>
      </c>
      <c r="K2794" t="str">
        <f>IFERROR(IF(AND(VLOOKUP($C2794,Hes!$A:$B, 1, FALSE), $M2794&lt;&gt;" "), "Ingresada", "Falta Ingresar"), " ")</f>
        <v xml:space="preserve"> </v>
      </c>
      <c r="L2794" s="4" t="str">
        <f>IFERROR(VLOOKUP($C2794,Observaciones!$A:$B,2,FALSE)," ")</f>
        <v>ESPERAR AL VENDEDOR X OC CC 0</v>
      </c>
      <c r="M2794" t="s">
        <v>681</v>
      </c>
      <c r="O2794" s="5">
        <v>30857477</v>
      </c>
      <c r="P2794" s="5">
        <v>22568</v>
      </c>
      <c r="Q2794" s="5">
        <v>4288</v>
      </c>
      <c r="R2794" s="5">
        <v>26856</v>
      </c>
    </row>
    <row r="2795" spans="1:18" x14ac:dyDescent="0.25">
      <c r="A2795" t="s">
        <v>496</v>
      </c>
      <c r="B2795" t="s">
        <v>494</v>
      </c>
      <c r="C2795">
        <v>79693930</v>
      </c>
      <c r="D2795">
        <v>191</v>
      </c>
      <c r="E2795">
        <v>4030459803</v>
      </c>
      <c r="F2795" t="s">
        <v>1339</v>
      </c>
      <c r="G2795" s="1">
        <v>45237</v>
      </c>
      <c r="H2795">
        <v>5413991</v>
      </c>
      <c r="I2795">
        <v>179</v>
      </c>
      <c r="J2795" t="s">
        <v>410</v>
      </c>
      <c r="K2795" t="str">
        <f>IFERROR(IF(AND(VLOOKUP($C2795,Hes!$A:$B, 1, FALSE), $M2795&lt;&gt;" "), "Ingresada", "Falta Ingresar"), " ")</f>
        <v xml:space="preserve"> </v>
      </c>
      <c r="L2795" s="4" t="str">
        <f>IFERROR(VLOOKUP($C2795,Observaciones!$A:$B,2,FALSE)," ")</f>
        <v>ESPERAR AL VENDEDOR X OC CC 0</v>
      </c>
      <c r="M2795" t="s">
        <v>681</v>
      </c>
      <c r="O2795" s="5">
        <v>30857032</v>
      </c>
      <c r="P2795" s="5">
        <v>21244</v>
      </c>
      <c r="Q2795" s="5">
        <v>4036</v>
      </c>
      <c r="R2795" s="5">
        <v>25280</v>
      </c>
    </row>
    <row r="2796" spans="1:18" x14ac:dyDescent="0.25">
      <c r="A2796" t="s">
        <v>496</v>
      </c>
      <c r="B2796" t="s">
        <v>494</v>
      </c>
      <c r="C2796">
        <v>79693930</v>
      </c>
      <c r="D2796">
        <v>172</v>
      </c>
      <c r="E2796">
        <v>4030459803</v>
      </c>
      <c r="F2796" t="s">
        <v>1339</v>
      </c>
      <c r="G2796" s="1">
        <v>45237</v>
      </c>
      <c r="H2796">
        <v>5414131</v>
      </c>
      <c r="I2796">
        <v>179</v>
      </c>
      <c r="J2796" t="s">
        <v>410</v>
      </c>
      <c r="K2796" t="str">
        <f>IFERROR(IF(AND(VLOOKUP($C2796,Hes!$A:$B, 1, FALSE), $M2796&lt;&gt;" "), "Ingresada", "Falta Ingresar"), " ")</f>
        <v xml:space="preserve"> </v>
      </c>
      <c r="L2796" s="4" t="str">
        <f>IFERROR(VLOOKUP($C2796,Observaciones!$A:$B,2,FALSE)," ")</f>
        <v>ESPERAR AL VENDEDOR X OC CC 0</v>
      </c>
      <c r="M2796" t="s">
        <v>681</v>
      </c>
      <c r="O2796" s="5">
        <v>30858803</v>
      </c>
      <c r="P2796" s="5">
        <v>25080</v>
      </c>
      <c r="Q2796" s="5">
        <v>4765</v>
      </c>
      <c r="R2796" s="5">
        <v>29845</v>
      </c>
    </row>
    <row r="2797" spans="1:18" x14ac:dyDescent="0.25">
      <c r="A2797" t="s">
        <v>496</v>
      </c>
      <c r="B2797" t="s">
        <v>494</v>
      </c>
      <c r="C2797">
        <v>79693930</v>
      </c>
      <c r="D2797">
        <v>192</v>
      </c>
      <c r="E2797">
        <v>4030459803</v>
      </c>
      <c r="F2797" t="s">
        <v>1339</v>
      </c>
      <c r="G2797" s="1">
        <v>45238</v>
      </c>
      <c r="H2797">
        <v>5414565</v>
      </c>
      <c r="I2797">
        <v>179</v>
      </c>
      <c r="J2797" t="s">
        <v>410</v>
      </c>
      <c r="K2797" t="str">
        <f>IFERROR(IF(AND(VLOOKUP($C2797,Hes!$A:$B, 1, FALSE), $M2797&lt;&gt;" "), "Ingresada", "Falta Ingresar"), " ")</f>
        <v xml:space="preserve"> </v>
      </c>
      <c r="L2797" s="4" t="str">
        <f>IFERROR(VLOOKUP($C2797,Observaciones!$A:$B,2,FALSE)," ")</f>
        <v>ESPERAR AL VENDEDOR X OC CC 0</v>
      </c>
      <c r="M2797" t="s">
        <v>681</v>
      </c>
      <c r="O2797" s="5">
        <v>30857049</v>
      </c>
      <c r="P2797" s="5">
        <v>21244</v>
      </c>
      <c r="Q2797" s="5">
        <v>4036</v>
      </c>
      <c r="R2797" s="5">
        <v>25280</v>
      </c>
    </row>
    <row r="2798" spans="1:18" x14ac:dyDescent="0.25">
      <c r="A2798" t="s">
        <v>496</v>
      </c>
      <c r="B2798" t="s">
        <v>494</v>
      </c>
      <c r="C2798">
        <v>79693930</v>
      </c>
      <c r="D2798">
        <v>338</v>
      </c>
      <c r="E2798">
        <v>4030459803</v>
      </c>
      <c r="F2798" t="s">
        <v>1339</v>
      </c>
      <c r="G2798" s="1">
        <v>45238</v>
      </c>
      <c r="H2798">
        <v>5414566</v>
      </c>
      <c r="I2798">
        <v>179</v>
      </c>
      <c r="J2798" t="s">
        <v>410</v>
      </c>
      <c r="K2798" t="str">
        <f>IFERROR(IF(AND(VLOOKUP($C2798,Hes!$A:$B, 1, FALSE), $M2798&lt;&gt;" "), "Ingresada", "Falta Ingresar"), " ")</f>
        <v xml:space="preserve"> </v>
      </c>
      <c r="L2798" s="4" t="str">
        <f>IFERROR(VLOOKUP($C2798,Observaciones!$A:$B,2,FALSE)," ")</f>
        <v>ESPERAR AL VENDEDOR X OC CC 0</v>
      </c>
      <c r="M2798" t="s">
        <v>681</v>
      </c>
      <c r="O2798" s="5">
        <v>30857057</v>
      </c>
      <c r="P2798" s="5">
        <v>21244</v>
      </c>
      <c r="Q2798" s="5">
        <v>4036</v>
      </c>
      <c r="R2798" s="5">
        <v>25280</v>
      </c>
    </row>
    <row r="2799" spans="1:18" x14ac:dyDescent="0.25">
      <c r="A2799" t="s">
        <v>496</v>
      </c>
      <c r="B2799" t="s">
        <v>494</v>
      </c>
      <c r="C2799">
        <v>79693930</v>
      </c>
      <c r="D2799">
        <v>177</v>
      </c>
      <c r="E2799">
        <v>4030459803</v>
      </c>
      <c r="F2799" t="s">
        <v>1339</v>
      </c>
      <c r="G2799" s="1">
        <v>45238</v>
      </c>
      <c r="H2799">
        <v>5414666</v>
      </c>
      <c r="I2799">
        <v>179</v>
      </c>
      <c r="J2799" t="s">
        <v>410</v>
      </c>
      <c r="K2799" t="str">
        <f>IFERROR(IF(AND(VLOOKUP($C2799,Hes!$A:$B, 1, FALSE), $M2799&lt;&gt;" "), "Ingresada", "Falta Ingresar"), " ")</f>
        <v xml:space="preserve"> </v>
      </c>
      <c r="L2799" s="4" t="str">
        <f>IFERROR(VLOOKUP($C2799,Observaciones!$A:$B,2,FALSE)," ")</f>
        <v>ESPERAR AL VENDEDOR X OC CC 0</v>
      </c>
      <c r="M2799" t="s">
        <v>681</v>
      </c>
      <c r="O2799" s="5">
        <v>30858872</v>
      </c>
      <c r="P2799" s="5">
        <v>34064</v>
      </c>
      <c r="Q2799" s="5">
        <v>6472</v>
      </c>
      <c r="R2799" s="5">
        <v>40536</v>
      </c>
    </row>
    <row r="2800" spans="1:18" x14ac:dyDescent="0.25">
      <c r="A2800" t="s">
        <v>496</v>
      </c>
      <c r="B2800" t="s">
        <v>494</v>
      </c>
      <c r="C2800">
        <v>79693930</v>
      </c>
      <c r="D2800">
        <v>181</v>
      </c>
      <c r="E2800">
        <v>4030459803</v>
      </c>
      <c r="F2800" t="s">
        <v>1339</v>
      </c>
      <c r="G2800" s="1">
        <v>45238</v>
      </c>
      <c r="H2800">
        <v>5414863</v>
      </c>
      <c r="I2800">
        <v>179</v>
      </c>
      <c r="J2800" t="s">
        <v>410</v>
      </c>
      <c r="K2800" t="str">
        <f>IFERROR(IF(AND(VLOOKUP($C2800,Hes!$A:$B, 1, FALSE), $M2800&lt;&gt;" "), "Ingresada", "Falta Ingresar"), " ")</f>
        <v xml:space="preserve"> </v>
      </c>
      <c r="L2800" s="4" t="str">
        <f>IFERROR(VLOOKUP($C2800,Observaciones!$A:$B,2,FALSE)," ")</f>
        <v>ESPERAR AL VENDEDOR X OC CC 0</v>
      </c>
      <c r="M2800" t="s">
        <v>681</v>
      </c>
      <c r="O2800" s="5">
        <v>30858955</v>
      </c>
      <c r="P2800" s="5">
        <v>35320</v>
      </c>
      <c r="Q2800" s="5">
        <v>6711</v>
      </c>
      <c r="R2800" s="5">
        <v>42031</v>
      </c>
    </row>
    <row r="2801" spans="1:18" x14ac:dyDescent="0.25">
      <c r="A2801" t="s">
        <v>496</v>
      </c>
      <c r="B2801" t="s">
        <v>494</v>
      </c>
      <c r="C2801">
        <v>79693930</v>
      </c>
      <c r="D2801">
        <v>178</v>
      </c>
      <c r="E2801">
        <v>4030459803</v>
      </c>
      <c r="F2801" t="s">
        <v>1339</v>
      </c>
      <c r="G2801" s="1">
        <v>45238</v>
      </c>
      <c r="H2801">
        <v>5414864</v>
      </c>
      <c r="I2801">
        <v>179</v>
      </c>
      <c r="J2801" t="s">
        <v>410</v>
      </c>
      <c r="K2801" t="str">
        <f>IFERROR(IF(AND(VLOOKUP($C2801,Hes!$A:$B, 1, FALSE), $M2801&lt;&gt;" "), "Ingresada", "Falta Ingresar"), " ")</f>
        <v xml:space="preserve"> </v>
      </c>
      <c r="L2801" s="4" t="str">
        <f>IFERROR(VLOOKUP($C2801,Observaciones!$A:$B,2,FALSE)," ")</f>
        <v>ESPERAR AL VENDEDOR X OC CC 0</v>
      </c>
      <c r="M2801" t="s">
        <v>681</v>
      </c>
      <c r="O2801" s="5">
        <v>30858913</v>
      </c>
      <c r="P2801" s="5">
        <v>32808</v>
      </c>
      <c r="Q2801" s="5">
        <v>6234</v>
      </c>
      <c r="R2801" s="5">
        <v>39042</v>
      </c>
    </row>
    <row r="2802" spans="1:18" x14ac:dyDescent="0.25">
      <c r="A2802" t="s">
        <v>496</v>
      </c>
      <c r="B2802" t="s">
        <v>494</v>
      </c>
      <c r="C2802">
        <v>79693930</v>
      </c>
      <c r="D2802">
        <v>173</v>
      </c>
      <c r="E2802">
        <v>4030459803</v>
      </c>
      <c r="F2802" t="s">
        <v>1339</v>
      </c>
      <c r="G2802" s="1">
        <v>45238</v>
      </c>
      <c r="H2802">
        <v>5414868</v>
      </c>
      <c r="I2802">
        <v>179</v>
      </c>
      <c r="J2802" t="s">
        <v>410</v>
      </c>
      <c r="K2802" t="str">
        <f>IFERROR(IF(AND(VLOOKUP($C2802,Hes!$A:$B, 1, FALSE), $M2802&lt;&gt;" "), "Ingresada", "Falta Ingresar"), " ")</f>
        <v xml:space="preserve"> </v>
      </c>
      <c r="L2802" s="4" t="str">
        <f>IFERROR(VLOOKUP($C2802,Observaciones!$A:$B,2,FALSE)," ")</f>
        <v>ESPERAR AL VENDEDOR X OC CC 0</v>
      </c>
      <c r="M2802" t="s">
        <v>681</v>
      </c>
      <c r="O2802" s="5">
        <v>30858828</v>
      </c>
      <c r="P2802" s="5">
        <v>34064</v>
      </c>
      <c r="Q2802" s="5">
        <v>6472</v>
      </c>
      <c r="R2802" s="5">
        <v>40536</v>
      </c>
    </row>
    <row r="2803" spans="1:18" x14ac:dyDescent="0.25">
      <c r="A2803" t="s">
        <v>496</v>
      </c>
      <c r="B2803" t="s">
        <v>494</v>
      </c>
      <c r="C2803">
        <v>79693930</v>
      </c>
      <c r="D2803">
        <v>129</v>
      </c>
      <c r="E2803">
        <v>4030459803</v>
      </c>
      <c r="F2803" t="s">
        <v>1339</v>
      </c>
      <c r="G2803" s="1">
        <v>45238</v>
      </c>
      <c r="H2803">
        <v>5414881</v>
      </c>
      <c r="I2803">
        <v>179</v>
      </c>
      <c r="J2803" t="s">
        <v>410</v>
      </c>
      <c r="K2803" t="str">
        <f>IFERROR(IF(AND(VLOOKUP($C2803,Hes!$A:$B, 1, FALSE), $M2803&lt;&gt;" "), "Ingresada", "Falta Ingresar"), " ")</f>
        <v xml:space="preserve"> </v>
      </c>
      <c r="L2803" s="4" t="str">
        <f>IFERROR(VLOOKUP($C2803,Observaciones!$A:$B,2,FALSE)," ")</f>
        <v>ESPERAR AL VENDEDOR X OC CC 0</v>
      </c>
      <c r="M2803" t="s">
        <v>681</v>
      </c>
      <c r="O2803" s="5">
        <v>30858844</v>
      </c>
      <c r="P2803" s="5">
        <v>34064</v>
      </c>
      <c r="Q2803" s="5">
        <v>6472</v>
      </c>
      <c r="R2803" s="5">
        <v>40536</v>
      </c>
    </row>
    <row r="2804" spans="1:18" x14ac:dyDescent="0.25">
      <c r="A2804" t="s">
        <v>496</v>
      </c>
      <c r="B2804" t="s">
        <v>494</v>
      </c>
      <c r="C2804">
        <v>79693930</v>
      </c>
      <c r="D2804">
        <v>188</v>
      </c>
      <c r="E2804">
        <v>4030459803</v>
      </c>
      <c r="F2804" t="s">
        <v>1339</v>
      </c>
      <c r="G2804" s="1">
        <v>45238</v>
      </c>
      <c r="H2804">
        <v>5415160</v>
      </c>
      <c r="I2804">
        <v>179</v>
      </c>
      <c r="J2804" t="s">
        <v>410</v>
      </c>
      <c r="K2804" t="str">
        <f>IFERROR(IF(AND(VLOOKUP($C2804,Hes!$A:$B, 1, FALSE), $M2804&lt;&gt;" "), "Ingresada", "Falta Ingresar"), " ")</f>
        <v xml:space="preserve"> </v>
      </c>
      <c r="L2804" s="4" t="str">
        <f>IFERROR(VLOOKUP($C2804,Observaciones!$A:$B,2,FALSE)," ")</f>
        <v>ESPERAR AL VENDEDOR X OC CC 0</v>
      </c>
      <c r="M2804" t="s">
        <v>681</v>
      </c>
      <c r="O2804" s="5">
        <v>30863461</v>
      </c>
      <c r="P2804" s="5">
        <v>19988</v>
      </c>
      <c r="Q2804" s="5">
        <v>3798</v>
      </c>
      <c r="R2804" s="5">
        <v>23786</v>
      </c>
    </row>
    <row r="2805" spans="1:18" x14ac:dyDescent="0.25">
      <c r="A2805" t="s">
        <v>496</v>
      </c>
      <c r="B2805" t="s">
        <v>494</v>
      </c>
      <c r="C2805">
        <v>79693930</v>
      </c>
      <c r="D2805">
        <v>183</v>
      </c>
      <c r="E2805">
        <v>4030459803</v>
      </c>
      <c r="F2805" t="s">
        <v>1339</v>
      </c>
      <c r="G2805" s="1">
        <v>45238</v>
      </c>
      <c r="H2805">
        <v>5415167</v>
      </c>
      <c r="I2805">
        <v>179</v>
      </c>
      <c r="J2805" t="s">
        <v>410</v>
      </c>
      <c r="K2805" t="str">
        <f>IFERROR(IF(AND(VLOOKUP($C2805,Hes!$A:$B, 1, FALSE), $M2805&lt;&gt;" "), "Ingresada", "Falta Ingresar"), " ")</f>
        <v xml:space="preserve"> </v>
      </c>
      <c r="L2805" s="4" t="str">
        <f>IFERROR(VLOOKUP($C2805,Observaciones!$A:$B,2,FALSE)," ")</f>
        <v>ESPERAR AL VENDEDOR X OC CC 0</v>
      </c>
      <c r="M2805" t="s">
        <v>681</v>
      </c>
      <c r="O2805" s="5">
        <v>30863414</v>
      </c>
      <c r="P2805" s="5">
        <v>17882</v>
      </c>
      <c r="Q2805" s="5">
        <v>3398</v>
      </c>
      <c r="R2805" s="5">
        <v>21280</v>
      </c>
    </row>
    <row r="2806" spans="1:18" x14ac:dyDescent="0.25">
      <c r="A2806" t="s">
        <v>496</v>
      </c>
      <c r="B2806" t="s">
        <v>494</v>
      </c>
      <c r="C2806">
        <v>79693930</v>
      </c>
      <c r="D2806">
        <v>182</v>
      </c>
      <c r="E2806">
        <v>4030459803</v>
      </c>
      <c r="F2806" t="s">
        <v>1339</v>
      </c>
      <c r="G2806" s="1">
        <v>45238</v>
      </c>
      <c r="H2806">
        <v>5415173</v>
      </c>
      <c r="I2806">
        <v>179</v>
      </c>
      <c r="J2806" t="s">
        <v>410</v>
      </c>
      <c r="K2806" t="str">
        <f>IFERROR(IF(AND(VLOOKUP($C2806,Hes!$A:$B, 1, FALSE), $M2806&lt;&gt;" "), "Ingresada", "Falta Ingresar"), " ")</f>
        <v xml:space="preserve"> </v>
      </c>
      <c r="L2806" s="4" t="str">
        <f>IFERROR(VLOOKUP($C2806,Observaciones!$A:$B,2,FALSE)," ")</f>
        <v>ESPERAR AL VENDEDOR X OC CC 0</v>
      </c>
      <c r="M2806" t="s">
        <v>681</v>
      </c>
      <c r="O2806" s="5">
        <v>30863395</v>
      </c>
      <c r="P2806" s="5">
        <v>32808</v>
      </c>
      <c r="Q2806" s="5">
        <v>6234</v>
      </c>
      <c r="R2806" s="5">
        <v>39042</v>
      </c>
    </row>
    <row r="2807" spans="1:18" x14ac:dyDescent="0.25">
      <c r="A2807" t="s">
        <v>496</v>
      </c>
      <c r="B2807" t="s">
        <v>494</v>
      </c>
      <c r="C2807">
        <v>79693930</v>
      </c>
      <c r="D2807">
        <v>186</v>
      </c>
      <c r="E2807">
        <v>4030459803</v>
      </c>
      <c r="F2807" t="s">
        <v>1339</v>
      </c>
      <c r="G2807" s="1">
        <v>45238</v>
      </c>
      <c r="H2807">
        <v>5415219</v>
      </c>
      <c r="I2807">
        <v>179</v>
      </c>
      <c r="J2807" t="s">
        <v>410</v>
      </c>
      <c r="K2807" t="str">
        <f>IFERROR(IF(AND(VLOOKUP($C2807,Hes!$A:$B, 1, FALSE), $M2807&lt;&gt;" "), "Ingresada", "Falta Ingresar"), " ")</f>
        <v xml:space="preserve"> </v>
      </c>
      <c r="L2807" s="4" t="str">
        <f>IFERROR(VLOOKUP($C2807,Observaciones!$A:$B,2,FALSE)," ")</f>
        <v>ESPERAR AL VENDEDOR X OC CC 0</v>
      </c>
      <c r="M2807" t="s">
        <v>681</v>
      </c>
      <c r="O2807" s="5">
        <v>30863435</v>
      </c>
      <c r="P2807" s="5">
        <v>34064</v>
      </c>
      <c r="Q2807" s="5">
        <v>6472</v>
      </c>
      <c r="R2807" s="5">
        <v>40536</v>
      </c>
    </row>
    <row r="2808" spans="1:18" x14ac:dyDescent="0.25">
      <c r="A2808" t="s">
        <v>496</v>
      </c>
      <c r="B2808" t="s">
        <v>494</v>
      </c>
      <c r="C2808">
        <v>79693930</v>
      </c>
      <c r="D2808">
        <v>187</v>
      </c>
      <c r="E2808">
        <v>4030459803</v>
      </c>
      <c r="F2808" t="s">
        <v>1339</v>
      </c>
      <c r="G2808" s="1">
        <v>45237</v>
      </c>
      <c r="H2808">
        <v>5415255</v>
      </c>
      <c r="I2808">
        <v>179</v>
      </c>
      <c r="J2808" t="s">
        <v>410</v>
      </c>
      <c r="K2808" t="str">
        <f>IFERROR(IF(AND(VLOOKUP($C2808,Hes!$A:$B, 1, FALSE), $M2808&lt;&gt;" "), "Ingresada", "Falta Ingresar"), " ")</f>
        <v xml:space="preserve"> </v>
      </c>
      <c r="L2808" s="4" t="str">
        <f>IFERROR(VLOOKUP($C2808,Observaciones!$A:$B,2,FALSE)," ")</f>
        <v>ESPERAR AL VENDEDOR X OC CC 0</v>
      </c>
      <c r="M2808" t="s">
        <v>681</v>
      </c>
      <c r="O2808" s="5">
        <v>30863455</v>
      </c>
      <c r="P2808" s="5">
        <v>24674</v>
      </c>
      <c r="Q2808" s="5">
        <v>4688</v>
      </c>
      <c r="R2808" s="5">
        <v>29362</v>
      </c>
    </row>
    <row r="2809" spans="1:18" x14ac:dyDescent="0.25">
      <c r="A2809" t="s">
        <v>496</v>
      </c>
      <c r="B2809" t="s">
        <v>494</v>
      </c>
      <c r="C2809">
        <v>79693930</v>
      </c>
      <c r="D2809">
        <v>297</v>
      </c>
      <c r="E2809">
        <v>4030521564</v>
      </c>
      <c r="F2809" t="s">
        <v>1339</v>
      </c>
      <c r="G2809" s="1">
        <v>45238</v>
      </c>
      <c r="H2809">
        <v>5415517</v>
      </c>
      <c r="I2809">
        <v>179</v>
      </c>
      <c r="J2809" t="s">
        <v>410</v>
      </c>
      <c r="K2809" t="str">
        <f>IFERROR(IF(AND(VLOOKUP($C2809,Hes!$A:$B, 1, FALSE), $M2809&lt;&gt;" "), "Ingresada", "Falta Ingresar"), " ")</f>
        <v xml:space="preserve"> </v>
      </c>
      <c r="L2809" s="4" t="str">
        <f>IFERROR(VLOOKUP($C2809,Observaciones!$A:$B,2,FALSE)," ")</f>
        <v>ESPERAR AL VENDEDOR X OC CC 0</v>
      </c>
      <c r="M2809" t="s">
        <v>681</v>
      </c>
      <c r="O2809" s="5">
        <v>30866014</v>
      </c>
      <c r="P2809" s="5">
        <v>81865</v>
      </c>
      <c r="Q2809" s="5">
        <v>15554</v>
      </c>
      <c r="R2809" s="5">
        <v>97419</v>
      </c>
    </row>
    <row r="2810" spans="1:18" x14ac:dyDescent="0.25">
      <c r="A2810" t="s">
        <v>496</v>
      </c>
      <c r="B2810" t="s">
        <v>494</v>
      </c>
      <c r="C2810">
        <v>79693930</v>
      </c>
      <c r="D2810">
        <v>300</v>
      </c>
      <c r="E2810">
        <v>4030521564</v>
      </c>
      <c r="F2810" t="s">
        <v>1339</v>
      </c>
      <c r="G2810" s="1">
        <v>45238</v>
      </c>
      <c r="H2810">
        <v>5415553</v>
      </c>
      <c r="I2810">
        <v>179</v>
      </c>
      <c r="J2810" t="s">
        <v>410</v>
      </c>
      <c r="K2810" t="str">
        <f>IFERROR(IF(AND(VLOOKUP($C2810,Hes!$A:$B, 1, FALSE), $M2810&lt;&gt;" "), "Ingresada", "Falta Ingresar"), " ")</f>
        <v xml:space="preserve"> </v>
      </c>
      <c r="L2810" s="4" t="str">
        <f>IFERROR(VLOOKUP($C2810,Observaciones!$A:$B,2,FALSE)," ")</f>
        <v>ESPERAR AL VENDEDOR X OC CC 0</v>
      </c>
      <c r="M2810" t="s">
        <v>681</v>
      </c>
      <c r="O2810" s="5">
        <v>30866013</v>
      </c>
      <c r="P2810" s="5">
        <v>79458</v>
      </c>
      <c r="Q2810" s="5">
        <v>15097</v>
      </c>
      <c r="R2810" s="5">
        <v>94555</v>
      </c>
    </row>
    <row r="2811" spans="1:18" x14ac:dyDescent="0.25">
      <c r="A2811" t="s">
        <v>496</v>
      </c>
      <c r="B2811" t="s">
        <v>494</v>
      </c>
      <c r="C2811">
        <v>79693930</v>
      </c>
      <c r="D2811">
        <v>345</v>
      </c>
      <c r="E2811">
        <v>4030521564</v>
      </c>
      <c r="F2811" t="s">
        <v>1339</v>
      </c>
      <c r="G2811" s="1">
        <v>45238</v>
      </c>
      <c r="H2811">
        <v>5415560</v>
      </c>
      <c r="I2811">
        <v>179</v>
      </c>
      <c r="J2811" t="s">
        <v>410</v>
      </c>
      <c r="K2811" t="str">
        <f>IFERROR(IF(AND(VLOOKUP($C2811,Hes!$A:$B, 1, FALSE), $M2811&lt;&gt;" "), "Ingresada", "Falta Ingresar"), " ")</f>
        <v xml:space="preserve"> </v>
      </c>
      <c r="L2811" s="4" t="str">
        <f>IFERROR(VLOOKUP($C2811,Observaciones!$A:$B,2,FALSE)," ")</f>
        <v>ESPERAR AL VENDEDOR X OC CC 0</v>
      </c>
      <c r="M2811" t="s">
        <v>681</v>
      </c>
      <c r="O2811" s="5">
        <v>30866016</v>
      </c>
      <c r="P2811" s="5">
        <v>79458</v>
      </c>
      <c r="Q2811" s="5">
        <v>15097</v>
      </c>
      <c r="R2811" s="5">
        <v>94555</v>
      </c>
    </row>
    <row r="2812" spans="1:18" x14ac:dyDescent="0.25">
      <c r="A2812" t="s">
        <v>496</v>
      </c>
      <c r="B2812" t="s">
        <v>494</v>
      </c>
      <c r="C2812">
        <v>79693930</v>
      </c>
      <c r="D2812">
        <v>312</v>
      </c>
      <c r="E2812">
        <v>4030521541</v>
      </c>
      <c r="F2812" t="s">
        <v>1339</v>
      </c>
      <c r="G2812" s="1">
        <v>45238</v>
      </c>
      <c r="H2812">
        <v>5415718</v>
      </c>
      <c r="I2812">
        <v>179</v>
      </c>
      <c r="J2812" t="s">
        <v>410</v>
      </c>
      <c r="K2812" t="str">
        <f>IFERROR(IF(AND(VLOOKUP($C2812,Hes!$A:$B, 1, FALSE), $M2812&lt;&gt;" "), "Ingresada", "Falta Ingresar"), " ")</f>
        <v xml:space="preserve"> </v>
      </c>
      <c r="L2812" s="4" t="str">
        <f>IFERROR(VLOOKUP($C2812,Observaciones!$A:$B,2,FALSE)," ")</f>
        <v>ESPERAR AL VENDEDOR X OC CC 0</v>
      </c>
      <c r="M2812" t="s">
        <v>681</v>
      </c>
      <c r="O2812" s="5">
        <v>30865756</v>
      </c>
      <c r="P2812" s="5">
        <v>53651</v>
      </c>
      <c r="Q2812" s="5">
        <v>10194</v>
      </c>
      <c r="R2812" s="5">
        <v>63845</v>
      </c>
    </row>
    <row r="2813" spans="1:18" x14ac:dyDescent="0.25">
      <c r="A2813" t="s">
        <v>496</v>
      </c>
      <c r="B2813" t="s">
        <v>494</v>
      </c>
      <c r="C2813">
        <v>79693930</v>
      </c>
      <c r="D2813">
        <v>11</v>
      </c>
      <c r="E2813">
        <v>4030521554</v>
      </c>
      <c r="F2813" t="s">
        <v>1339</v>
      </c>
      <c r="G2813" s="1">
        <v>45238</v>
      </c>
      <c r="H2813">
        <v>5415722</v>
      </c>
      <c r="I2813">
        <v>179</v>
      </c>
      <c r="J2813" t="s">
        <v>410</v>
      </c>
      <c r="K2813" t="str">
        <f>IFERROR(IF(AND(VLOOKUP($C2813,Hes!$A:$B, 1, FALSE), $M2813&lt;&gt;" "), "Ingresada", "Falta Ingresar"), " ")</f>
        <v xml:space="preserve"> </v>
      </c>
      <c r="L2813" s="4" t="str">
        <f>IFERROR(VLOOKUP($C2813,Observaciones!$A:$B,2,FALSE)," ")</f>
        <v>ESPERAR AL VENDEDOR X OC CC 0</v>
      </c>
      <c r="M2813" t="s">
        <v>681</v>
      </c>
      <c r="O2813" s="5">
        <v>30862927</v>
      </c>
      <c r="P2813" s="5">
        <v>100463</v>
      </c>
      <c r="Q2813" s="5">
        <v>19088</v>
      </c>
      <c r="R2813" s="5">
        <v>119551</v>
      </c>
    </row>
    <row r="2814" spans="1:18" x14ac:dyDescent="0.25">
      <c r="A2814" t="s">
        <v>496</v>
      </c>
      <c r="B2814" t="s">
        <v>494</v>
      </c>
      <c r="C2814">
        <v>79693930</v>
      </c>
      <c r="D2814">
        <v>67</v>
      </c>
      <c r="E2814">
        <v>4030517820</v>
      </c>
      <c r="F2814" t="s">
        <v>1339</v>
      </c>
      <c r="G2814" s="1">
        <v>45238</v>
      </c>
      <c r="H2814">
        <v>5415730</v>
      </c>
      <c r="I2814">
        <v>179</v>
      </c>
      <c r="J2814" t="s">
        <v>410</v>
      </c>
      <c r="K2814" t="str">
        <f>IFERROR(IF(AND(VLOOKUP($C2814,Hes!$A:$B, 1, FALSE), $M2814&lt;&gt;" "), "Ingresada", "Falta Ingresar"), " ")</f>
        <v xml:space="preserve"> </v>
      </c>
      <c r="L2814" s="4" t="str">
        <f>IFERROR(VLOOKUP($C2814,Observaciones!$A:$B,2,FALSE)," ")</f>
        <v>ESPERAR AL VENDEDOR X OC CC 0</v>
      </c>
      <c r="M2814" t="s">
        <v>681</v>
      </c>
      <c r="O2814" s="5">
        <v>30864544</v>
      </c>
      <c r="P2814" s="5">
        <v>12542</v>
      </c>
      <c r="Q2814" s="5">
        <v>2383</v>
      </c>
      <c r="R2814" s="5">
        <v>14925</v>
      </c>
    </row>
    <row r="2815" spans="1:18" x14ac:dyDescent="0.25">
      <c r="A2815" t="s">
        <v>496</v>
      </c>
      <c r="B2815" t="s">
        <v>494</v>
      </c>
      <c r="C2815">
        <v>79693930</v>
      </c>
      <c r="D2815">
        <v>414</v>
      </c>
      <c r="E2815">
        <v>4030517820</v>
      </c>
      <c r="F2815" t="s">
        <v>1339</v>
      </c>
      <c r="G2815" s="1">
        <v>45238</v>
      </c>
      <c r="H2815">
        <v>5415731</v>
      </c>
      <c r="I2815">
        <v>179</v>
      </c>
      <c r="J2815" t="s">
        <v>410</v>
      </c>
      <c r="K2815" t="str">
        <f>IFERROR(IF(AND(VLOOKUP($C2815,Hes!$A:$B, 1, FALSE), $M2815&lt;&gt;" "), "Ingresada", "Falta Ingresar"), " ")</f>
        <v xml:space="preserve"> </v>
      </c>
      <c r="L2815" s="4" t="str">
        <f>IFERROR(VLOOKUP($C2815,Observaciones!$A:$B,2,FALSE)," ")</f>
        <v>ESPERAR AL VENDEDOR X OC CC 0</v>
      </c>
      <c r="M2815" t="s">
        <v>681</v>
      </c>
      <c r="O2815" s="5">
        <v>30864549</v>
      </c>
      <c r="P2815" s="5">
        <v>13783</v>
      </c>
      <c r="Q2815" s="5">
        <v>2619</v>
      </c>
      <c r="R2815" s="5">
        <v>16402</v>
      </c>
    </row>
    <row r="2816" spans="1:18" x14ac:dyDescent="0.25">
      <c r="A2816" t="s">
        <v>496</v>
      </c>
      <c r="B2816" t="s">
        <v>494</v>
      </c>
      <c r="C2816">
        <v>79693930</v>
      </c>
      <c r="D2816">
        <v>412</v>
      </c>
      <c r="E2816">
        <v>4030517820</v>
      </c>
      <c r="F2816" t="s">
        <v>1339</v>
      </c>
      <c r="G2816" s="1">
        <v>45238</v>
      </c>
      <c r="H2816">
        <v>5415732</v>
      </c>
      <c r="I2816">
        <v>179</v>
      </c>
      <c r="J2816" t="s">
        <v>410</v>
      </c>
      <c r="K2816" t="str">
        <f>IFERROR(IF(AND(VLOOKUP($C2816,Hes!$A:$B, 1, FALSE), $M2816&lt;&gt;" "), "Ingresada", "Falta Ingresar"), " ")</f>
        <v xml:space="preserve"> </v>
      </c>
      <c r="L2816" s="4" t="str">
        <f>IFERROR(VLOOKUP($C2816,Observaciones!$A:$B,2,FALSE)," ")</f>
        <v>ESPERAR AL VENDEDOR X OC CC 0</v>
      </c>
      <c r="M2816" t="s">
        <v>681</v>
      </c>
      <c r="O2816" s="5">
        <v>30864541</v>
      </c>
      <c r="P2816" s="5">
        <v>12163</v>
      </c>
      <c r="Q2816" s="5">
        <v>2311</v>
      </c>
      <c r="R2816" s="5">
        <v>14474</v>
      </c>
    </row>
    <row r="2817" spans="1:18" x14ac:dyDescent="0.25">
      <c r="A2817" t="s">
        <v>496</v>
      </c>
      <c r="B2817" t="s">
        <v>494</v>
      </c>
      <c r="C2817">
        <v>79693930</v>
      </c>
      <c r="D2817">
        <v>413</v>
      </c>
      <c r="E2817">
        <v>4030517820</v>
      </c>
      <c r="F2817" t="s">
        <v>1339</v>
      </c>
      <c r="G2817" s="1">
        <v>45238</v>
      </c>
      <c r="H2817">
        <v>5415733</v>
      </c>
      <c r="I2817">
        <v>179</v>
      </c>
      <c r="J2817" t="s">
        <v>410</v>
      </c>
      <c r="K2817" t="str">
        <f>IFERROR(IF(AND(VLOOKUP($C2817,Hes!$A:$B, 1, FALSE), $M2817&lt;&gt;" "), "Ingresada", "Falta Ingresar"), " ")</f>
        <v xml:space="preserve"> </v>
      </c>
      <c r="L2817" s="4" t="str">
        <f>IFERROR(VLOOKUP($C2817,Observaciones!$A:$B,2,FALSE)," ")</f>
        <v>ESPERAR AL VENDEDOR X OC CC 0</v>
      </c>
      <c r="M2817" t="s">
        <v>681</v>
      </c>
      <c r="O2817" s="5">
        <v>30864547</v>
      </c>
      <c r="P2817" s="5">
        <v>12542</v>
      </c>
      <c r="Q2817" s="5">
        <v>2383</v>
      </c>
      <c r="R2817" s="5">
        <v>14925</v>
      </c>
    </row>
    <row r="2818" spans="1:18" x14ac:dyDescent="0.25">
      <c r="F2818" t="s">
        <v>1340</v>
      </c>
      <c r="K2818" t="str">
        <f>IFERROR(IF(AND(VLOOKUP($C2818,Hes!$A:$B, 1, FALSE), $M2818&lt;&gt;" "), "Ingresada", "Falta Ingresar"), " ")</f>
        <v xml:space="preserve"> </v>
      </c>
      <c r="L2818" s="4" t="str">
        <f>IFERROR(VLOOKUP($C2818,Observaciones!$A:$B,2,FALSE)," ")</f>
        <v xml:space="preserve"> </v>
      </c>
      <c r="M2818" t="s">
        <v>681</v>
      </c>
      <c r="P2818" s="5">
        <v>4936145</v>
      </c>
      <c r="Q2818" s="5">
        <v>937876</v>
      </c>
      <c r="R2818" s="5">
        <v>5874021</v>
      </c>
    </row>
    <row r="2819" spans="1:18" x14ac:dyDescent="0.25">
      <c r="A2819" t="s">
        <v>501</v>
      </c>
      <c r="B2819" t="s">
        <v>494</v>
      </c>
      <c r="C2819">
        <v>79694030</v>
      </c>
      <c r="D2819">
        <v>0</v>
      </c>
      <c r="E2819">
        <v>30860179</v>
      </c>
      <c r="F2819" t="s">
        <v>1341</v>
      </c>
      <c r="G2819" s="1">
        <v>45237</v>
      </c>
      <c r="H2819">
        <v>5414360</v>
      </c>
      <c r="I2819">
        <v>414</v>
      </c>
      <c r="J2819" t="s">
        <v>281</v>
      </c>
      <c r="K2819" t="str">
        <f>IFERROR(IF(AND(VLOOKUP($C2819,Hes!$A:$B, 1, FALSE), $M2819&lt;&gt;" "), "Ingresada", "Falta Ingresar"), " ")</f>
        <v xml:space="preserve"> </v>
      </c>
      <c r="L2819" s="4" t="str">
        <f>IFERROR(VLOOKUP($C2819,Observaciones!$A:$B,2,FALSE)," ")</f>
        <v xml:space="preserve"> </v>
      </c>
      <c r="M2819" t="s">
        <v>681</v>
      </c>
      <c r="O2819" s="5">
        <v>30860179</v>
      </c>
      <c r="P2819" s="5">
        <v>66617</v>
      </c>
      <c r="Q2819" s="5">
        <v>12657</v>
      </c>
      <c r="R2819" s="5">
        <v>80310</v>
      </c>
    </row>
    <row r="2820" spans="1:18" x14ac:dyDescent="0.25">
      <c r="F2820" t="s">
        <v>495</v>
      </c>
      <c r="K2820" t="str">
        <f>IFERROR(IF(AND(VLOOKUP($C2820,Hes!$A:$B, 1, FALSE), $M2820&lt;&gt;" "), "Ingresada", "Falta Ingresar"), " ")</f>
        <v xml:space="preserve"> </v>
      </c>
      <c r="L2820" s="4" t="str">
        <f>IFERROR(VLOOKUP($C2820,Observaciones!$A:$B,2,FALSE)," ")</f>
        <v xml:space="preserve"> </v>
      </c>
      <c r="M2820" t="s">
        <v>681</v>
      </c>
      <c r="P2820" s="5">
        <v>66617</v>
      </c>
      <c r="Q2820" s="5">
        <v>12657</v>
      </c>
      <c r="R2820" s="5">
        <v>80310</v>
      </c>
    </row>
    <row r="2821" spans="1:18" x14ac:dyDescent="0.25">
      <c r="A2821" t="s">
        <v>520</v>
      </c>
      <c r="B2821" t="s">
        <v>494</v>
      </c>
      <c r="C2821">
        <v>79706120</v>
      </c>
      <c r="D2821">
        <v>500</v>
      </c>
      <c r="E2821">
        <v>30849505</v>
      </c>
      <c r="F2821" t="s">
        <v>1342</v>
      </c>
      <c r="G2821" s="1">
        <v>45233</v>
      </c>
      <c r="H2821">
        <v>5411497</v>
      </c>
      <c r="I2821">
        <v>321</v>
      </c>
      <c r="J2821" t="s">
        <v>202</v>
      </c>
      <c r="K2821" t="str">
        <f>IFERROR(IF(AND(VLOOKUP($C2821,Hes!$A:$B, 1, FALSE), $M2821&lt;&gt;" "), "Ingresada", "Falta Ingresar"), " ")</f>
        <v xml:space="preserve"> </v>
      </c>
      <c r="L2821" s="4" t="str">
        <f>IFERROR(VLOOKUP($C2821,Observaciones!$A:$B,2,FALSE)," ")</f>
        <v xml:space="preserve"> </v>
      </c>
      <c r="M2821" t="s">
        <v>681</v>
      </c>
      <c r="N2821" s="5" t="s">
        <v>841</v>
      </c>
      <c r="O2821" s="5">
        <v>30849505</v>
      </c>
      <c r="P2821" s="5">
        <v>31355</v>
      </c>
      <c r="Q2821" s="5">
        <v>5957</v>
      </c>
      <c r="R2821" s="5">
        <v>37312</v>
      </c>
    </row>
    <row r="2822" spans="1:18" x14ac:dyDescent="0.25">
      <c r="A2822" t="s">
        <v>520</v>
      </c>
      <c r="B2822" t="s">
        <v>494</v>
      </c>
      <c r="C2822">
        <v>79706120</v>
      </c>
      <c r="D2822">
        <v>9396</v>
      </c>
      <c r="E2822">
        <v>30848933</v>
      </c>
      <c r="F2822" t="s">
        <v>1342</v>
      </c>
      <c r="G2822" s="1">
        <v>45233</v>
      </c>
      <c r="H2822">
        <v>5411658</v>
      </c>
      <c r="I2822">
        <v>321</v>
      </c>
      <c r="J2822" t="s">
        <v>202</v>
      </c>
      <c r="K2822" t="str">
        <f>IFERROR(IF(AND(VLOOKUP($C2822,Hes!$A:$B, 1, FALSE), $M2822&lt;&gt;" "), "Ingresada", "Falta Ingresar"), " ")</f>
        <v xml:space="preserve"> </v>
      </c>
      <c r="L2822" s="4" t="str">
        <f>IFERROR(VLOOKUP($C2822,Observaciones!$A:$B,2,FALSE)," ")</f>
        <v xml:space="preserve"> </v>
      </c>
      <c r="M2822" t="s">
        <v>681</v>
      </c>
      <c r="N2822" s="5" t="s">
        <v>841</v>
      </c>
      <c r="O2822" s="5">
        <v>30848933</v>
      </c>
      <c r="P2822" s="5">
        <v>212603</v>
      </c>
      <c r="Q2822" s="5">
        <v>40395</v>
      </c>
      <c r="R2822" s="5">
        <v>252998</v>
      </c>
    </row>
    <row r="2823" spans="1:18" x14ac:dyDescent="0.25">
      <c r="A2823" t="s">
        <v>520</v>
      </c>
      <c r="B2823" t="s">
        <v>494</v>
      </c>
      <c r="C2823">
        <v>79706120</v>
      </c>
      <c r="D2823">
        <v>9407</v>
      </c>
      <c r="E2823">
        <v>30849494</v>
      </c>
      <c r="F2823" t="s">
        <v>1342</v>
      </c>
      <c r="G2823" s="1">
        <v>45234</v>
      </c>
      <c r="H2823">
        <v>5412083</v>
      </c>
      <c r="I2823">
        <v>321</v>
      </c>
      <c r="J2823" t="s">
        <v>202</v>
      </c>
      <c r="K2823" t="str">
        <f>IFERROR(IF(AND(VLOOKUP($C2823,Hes!$A:$B, 1, FALSE), $M2823&lt;&gt;" "), "Ingresada", "Falta Ingresar"), " ")</f>
        <v xml:space="preserve"> </v>
      </c>
      <c r="L2823" s="4" t="str">
        <f>IFERROR(VLOOKUP($C2823,Observaciones!$A:$B,2,FALSE)," ")</f>
        <v xml:space="preserve"> </v>
      </c>
      <c r="M2823" t="s">
        <v>681</v>
      </c>
      <c r="N2823" s="5" t="s">
        <v>841</v>
      </c>
      <c r="O2823" s="5">
        <v>30849494</v>
      </c>
      <c r="P2823" s="5">
        <v>444243</v>
      </c>
      <c r="Q2823" s="5">
        <v>84406</v>
      </c>
      <c r="R2823" s="5">
        <v>528649</v>
      </c>
    </row>
    <row r="2824" spans="1:18" x14ac:dyDescent="0.25">
      <c r="A2824" t="s">
        <v>520</v>
      </c>
      <c r="B2824" t="s">
        <v>494</v>
      </c>
      <c r="C2824">
        <v>79706120</v>
      </c>
      <c r="D2824">
        <v>9407</v>
      </c>
      <c r="E2824">
        <v>30849494</v>
      </c>
      <c r="F2824" t="s">
        <v>1342</v>
      </c>
      <c r="G2824" s="1">
        <v>45234</v>
      </c>
      <c r="H2824">
        <v>5412084</v>
      </c>
      <c r="I2824">
        <v>321</v>
      </c>
      <c r="J2824" t="s">
        <v>202</v>
      </c>
      <c r="K2824" t="str">
        <f>IFERROR(IF(AND(VLOOKUP($C2824,Hes!$A:$B, 1, FALSE), $M2824&lt;&gt;" "), "Ingresada", "Falta Ingresar"), " ")</f>
        <v xml:space="preserve"> </v>
      </c>
      <c r="L2824" s="4" t="str">
        <f>IFERROR(VLOOKUP($C2824,Observaciones!$A:$B,2,FALSE)," ")</f>
        <v xml:space="preserve"> </v>
      </c>
      <c r="M2824" t="s">
        <v>681</v>
      </c>
      <c r="N2824" s="5" t="s">
        <v>841</v>
      </c>
      <c r="O2824" s="5">
        <v>30849494</v>
      </c>
      <c r="P2824" s="5">
        <v>55606</v>
      </c>
      <c r="Q2824" s="5">
        <v>10565</v>
      </c>
      <c r="R2824" s="5">
        <v>66171</v>
      </c>
    </row>
    <row r="2825" spans="1:18" x14ac:dyDescent="0.25">
      <c r="A2825" t="s">
        <v>520</v>
      </c>
      <c r="B2825" t="s">
        <v>494</v>
      </c>
      <c r="C2825">
        <v>79706120</v>
      </c>
      <c r="D2825">
        <v>33</v>
      </c>
      <c r="E2825">
        <v>30851184</v>
      </c>
      <c r="F2825" t="s">
        <v>1342</v>
      </c>
      <c r="G2825" s="1">
        <v>45236</v>
      </c>
      <c r="H2825">
        <v>5412784</v>
      </c>
      <c r="I2825">
        <v>321</v>
      </c>
      <c r="J2825" t="s">
        <v>202</v>
      </c>
      <c r="K2825" t="str">
        <f>IFERROR(IF(AND(VLOOKUP($C2825,Hes!$A:$B, 1, FALSE), $M2825&lt;&gt;" "), "Ingresada", "Falta Ingresar"), " ")</f>
        <v xml:space="preserve"> </v>
      </c>
      <c r="L2825" s="4" t="str">
        <f>IFERROR(VLOOKUP($C2825,Observaciones!$A:$B,2,FALSE)," ")</f>
        <v xml:space="preserve"> </v>
      </c>
      <c r="M2825" t="s">
        <v>681</v>
      </c>
      <c r="N2825" s="5" t="s">
        <v>841</v>
      </c>
      <c r="O2825" s="5">
        <v>30851184</v>
      </c>
      <c r="P2825" s="5">
        <v>130135</v>
      </c>
      <c r="Q2825" s="5">
        <v>24726</v>
      </c>
      <c r="R2825" s="5">
        <v>154861</v>
      </c>
    </row>
    <row r="2826" spans="1:18" x14ac:dyDescent="0.25">
      <c r="A2826" t="s">
        <v>520</v>
      </c>
      <c r="B2826" t="s">
        <v>494</v>
      </c>
      <c r="C2826">
        <v>79706120</v>
      </c>
      <c r="D2826">
        <v>270</v>
      </c>
      <c r="E2826">
        <v>30852163</v>
      </c>
      <c r="F2826" t="s">
        <v>1342</v>
      </c>
      <c r="G2826" s="1">
        <v>45236</v>
      </c>
      <c r="H2826">
        <v>5413028</v>
      </c>
      <c r="I2826">
        <v>321</v>
      </c>
      <c r="J2826" t="s">
        <v>202</v>
      </c>
      <c r="K2826" t="str">
        <f>IFERROR(IF(AND(VLOOKUP($C2826,Hes!$A:$B, 1, FALSE), $M2826&lt;&gt;" "), "Ingresada", "Falta Ingresar"), " ")</f>
        <v xml:space="preserve"> </v>
      </c>
      <c r="L2826" s="4" t="str">
        <f>IFERROR(VLOOKUP($C2826,Observaciones!$A:$B,2,FALSE)," ")</f>
        <v xml:space="preserve"> </v>
      </c>
      <c r="M2826" t="s">
        <v>681</v>
      </c>
      <c r="N2826" s="5" t="s">
        <v>841</v>
      </c>
      <c r="O2826" s="5">
        <v>30852163</v>
      </c>
      <c r="P2826" s="5">
        <v>42860</v>
      </c>
      <c r="Q2826" s="5">
        <v>8143</v>
      </c>
      <c r="R2826" s="5">
        <v>51003</v>
      </c>
    </row>
    <row r="2827" spans="1:18" x14ac:dyDescent="0.25">
      <c r="A2827" t="s">
        <v>520</v>
      </c>
      <c r="B2827" t="s">
        <v>494</v>
      </c>
      <c r="C2827">
        <v>79706120</v>
      </c>
      <c r="D2827">
        <v>21</v>
      </c>
      <c r="E2827">
        <v>30852612</v>
      </c>
      <c r="F2827" t="s">
        <v>1342</v>
      </c>
      <c r="G2827" s="1">
        <v>45236</v>
      </c>
      <c r="H2827">
        <v>5413111</v>
      </c>
      <c r="I2827">
        <v>321</v>
      </c>
      <c r="J2827" t="s">
        <v>202</v>
      </c>
      <c r="K2827" t="str">
        <f>IFERROR(IF(AND(VLOOKUP($C2827,Hes!$A:$B, 1, FALSE), $M2827&lt;&gt;" "), "Ingresada", "Falta Ingresar"), " ")</f>
        <v xml:space="preserve"> </v>
      </c>
      <c r="L2827" s="4" t="str">
        <f>IFERROR(VLOOKUP($C2827,Observaciones!$A:$B,2,FALSE)," ")</f>
        <v xml:space="preserve"> </v>
      </c>
      <c r="M2827" t="s">
        <v>681</v>
      </c>
      <c r="N2827" s="5" t="s">
        <v>841</v>
      </c>
      <c r="O2827" s="5">
        <v>30852612</v>
      </c>
      <c r="P2827" s="5">
        <v>83111</v>
      </c>
      <c r="Q2827" s="5">
        <v>15791</v>
      </c>
      <c r="R2827" s="5">
        <v>98902</v>
      </c>
    </row>
    <row r="2828" spans="1:18" x14ac:dyDescent="0.25">
      <c r="A2828" t="s">
        <v>520</v>
      </c>
      <c r="B2828" t="s">
        <v>494</v>
      </c>
      <c r="C2828">
        <v>79706120</v>
      </c>
      <c r="D2828">
        <v>46</v>
      </c>
      <c r="E2828">
        <v>30855181</v>
      </c>
      <c r="F2828" t="s">
        <v>1342</v>
      </c>
      <c r="G2828" s="1">
        <v>45236</v>
      </c>
      <c r="H2828">
        <v>5413138</v>
      </c>
      <c r="I2828">
        <v>321</v>
      </c>
      <c r="J2828" t="s">
        <v>202</v>
      </c>
      <c r="K2828" t="str">
        <f>IFERROR(IF(AND(VLOOKUP($C2828,Hes!$A:$B, 1, FALSE), $M2828&lt;&gt;" "), "Ingresada", "Falta Ingresar"), " ")</f>
        <v xml:space="preserve"> </v>
      </c>
      <c r="L2828" s="4" t="str">
        <f>IFERROR(VLOOKUP($C2828,Observaciones!$A:$B,2,FALSE)," ")</f>
        <v xml:space="preserve"> </v>
      </c>
      <c r="M2828" t="s">
        <v>681</v>
      </c>
      <c r="N2828" s="5" t="s">
        <v>841</v>
      </c>
      <c r="O2828" s="5">
        <v>30855181</v>
      </c>
      <c r="P2828" s="5">
        <v>158401</v>
      </c>
      <c r="Q2828" s="5">
        <v>30096</v>
      </c>
      <c r="R2828" s="5">
        <v>188497</v>
      </c>
    </row>
    <row r="2829" spans="1:18" x14ac:dyDescent="0.25">
      <c r="A2829" t="s">
        <v>520</v>
      </c>
      <c r="B2829" t="s">
        <v>494</v>
      </c>
      <c r="C2829">
        <v>79706120</v>
      </c>
      <c r="D2829">
        <v>9398</v>
      </c>
      <c r="E2829">
        <v>30852417</v>
      </c>
      <c r="F2829" t="s">
        <v>1342</v>
      </c>
      <c r="G2829" s="1">
        <v>45236</v>
      </c>
      <c r="H2829">
        <v>5413163</v>
      </c>
      <c r="I2829">
        <v>321</v>
      </c>
      <c r="J2829" t="s">
        <v>202</v>
      </c>
      <c r="K2829" t="str">
        <f>IFERROR(IF(AND(VLOOKUP($C2829,Hes!$A:$B, 1, FALSE), $M2829&lt;&gt;" "), "Ingresada", "Falta Ingresar"), " ")</f>
        <v xml:space="preserve"> </v>
      </c>
      <c r="L2829" s="4" t="str">
        <f>IFERROR(VLOOKUP($C2829,Observaciones!$A:$B,2,FALSE)," ")</f>
        <v xml:space="preserve"> </v>
      </c>
      <c r="M2829" t="s">
        <v>681</v>
      </c>
      <c r="N2829" s="5" t="s">
        <v>841</v>
      </c>
      <c r="O2829" s="5">
        <v>30852417</v>
      </c>
      <c r="P2829" s="5">
        <v>126968</v>
      </c>
      <c r="Q2829" s="5">
        <v>24124</v>
      </c>
      <c r="R2829" s="5">
        <v>151092</v>
      </c>
    </row>
    <row r="2830" spans="1:18" x14ac:dyDescent="0.25">
      <c r="A2830" t="s">
        <v>520</v>
      </c>
      <c r="B2830" t="s">
        <v>494</v>
      </c>
      <c r="C2830">
        <v>79706120</v>
      </c>
      <c r="D2830">
        <v>271</v>
      </c>
      <c r="E2830">
        <v>30853426</v>
      </c>
      <c r="F2830" t="s">
        <v>1342</v>
      </c>
      <c r="G2830" s="1">
        <v>45236</v>
      </c>
      <c r="H2830">
        <v>5413260</v>
      </c>
      <c r="I2830">
        <v>321</v>
      </c>
      <c r="J2830" t="s">
        <v>202</v>
      </c>
      <c r="K2830" t="str">
        <f>IFERROR(IF(AND(VLOOKUP($C2830,Hes!$A:$B, 1, FALSE), $M2830&lt;&gt;" "), "Ingresada", "Falta Ingresar"), " ")</f>
        <v xml:space="preserve"> </v>
      </c>
      <c r="L2830" s="4" t="str">
        <f>IFERROR(VLOOKUP($C2830,Observaciones!$A:$B,2,FALSE)," ")</f>
        <v xml:space="preserve"> </v>
      </c>
      <c r="M2830" t="s">
        <v>681</v>
      </c>
      <c r="N2830" s="5" t="s">
        <v>841</v>
      </c>
      <c r="O2830" s="5">
        <v>30853426</v>
      </c>
      <c r="P2830" s="5">
        <v>60622</v>
      </c>
      <c r="Q2830" s="5">
        <v>11518</v>
      </c>
      <c r="R2830" s="5">
        <v>72140</v>
      </c>
    </row>
    <row r="2831" spans="1:18" x14ac:dyDescent="0.25">
      <c r="A2831" t="s">
        <v>520</v>
      </c>
      <c r="B2831" t="s">
        <v>494</v>
      </c>
      <c r="C2831">
        <v>79706120</v>
      </c>
      <c r="D2831">
        <v>607</v>
      </c>
      <c r="E2831">
        <v>30856493</v>
      </c>
      <c r="F2831" t="s">
        <v>1342</v>
      </c>
      <c r="G2831" s="1">
        <v>45236</v>
      </c>
      <c r="H2831">
        <v>5413338</v>
      </c>
      <c r="I2831">
        <v>321</v>
      </c>
      <c r="J2831" t="s">
        <v>202</v>
      </c>
      <c r="K2831" t="str">
        <f>IFERROR(IF(AND(VLOOKUP($C2831,Hes!$A:$B, 1, FALSE), $M2831&lt;&gt;" "), "Ingresada", "Falta Ingresar"), " ")</f>
        <v xml:space="preserve"> </v>
      </c>
      <c r="L2831" s="4" t="str">
        <f>IFERROR(VLOOKUP($C2831,Observaciones!$A:$B,2,FALSE)," ")</f>
        <v xml:space="preserve"> </v>
      </c>
      <c r="M2831" t="s">
        <v>681</v>
      </c>
      <c r="N2831" s="5" t="s">
        <v>841</v>
      </c>
      <c r="O2831" s="5">
        <v>30856493</v>
      </c>
      <c r="P2831" s="5">
        <v>34750</v>
      </c>
      <c r="Q2831" s="5">
        <v>6603</v>
      </c>
      <c r="R2831" s="5">
        <v>41353</v>
      </c>
    </row>
    <row r="2832" spans="1:18" x14ac:dyDescent="0.25">
      <c r="A2832" t="s">
        <v>520</v>
      </c>
      <c r="B2832" t="s">
        <v>494</v>
      </c>
      <c r="C2832">
        <v>79706120</v>
      </c>
      <c r="D2832">
        <v>9404</v>
      </c>
      <c r="E2832">
        <v>30854985</v>
      </c>
      <c r="F2832" t="s">
        <v>1342</v>
      </c>
      <c r="G2832" s="1">
        <v>45236</v>
      </c>
      <c r="H2832">
        <v>5413482</v>
      </c>
      <c r="I2832">
        <v>321</v>
      </c>
      <c r="J2832" t="s">
        <v>202</v>
      </c>
      <c r="K2832" t="str">
        <f>IFERROR(IF(AND(VLOOKUP($C2832,Hes!$A:$B, 1, FALSE), $M2832&lt;&gt;" "), "Ingresada", "Falta Ingresar"), " ")</f>
        <v xml:space="preserve"> </v>
      </c>
      <c r="L2832" s="4" t="str">
        <f>IFERROR(VLOOKUP($C2832,Observaciones!$A:$B,2,FALSE)," ")</f>
        <v xml:space="preserve"> </v>
      </c>
      <c r="M2832" t="s">
        <v>681</v>
      </c>
      <c r="N2832" s="5" t="s">
        <v>841</v>
      </c>
      <c r="O2832" s="5">
        <v>30854985</v>
      </c>
      <c r="P2832" s="5">
        <v>25601</v>
      </c>
      <c r="Q2832" s="5">
        <v>4864</v>
      </c>
      <c r="R2832" s="5">
        <v>30465</v>
      </c>
    </row>
    <row r="2833" spans="1:18" x14ac:dyDescent="0.25">
      <c r="A2833" t="s">
        <v>520</v>
      </c>
      <c r="B2833" t="s">
        <v>494</v>
      </c>
      <c r="C2833">
        <v>79706120</v>
      </c>
      <c r="D2833">
        <v>13</v>
      </c>
      <c r="E2833">
        <v>30855542</v>
      </c>
      <c r="F2833" t="s">
        <v>1342</v>
      </c>
      <c r="G2833" s="1">
        <v>45236</v>
      </c>
      <c r="H2833">
        <v>5413603</v>
      </c>
      <c r="I2833">
        <v>321</v>
      </c>
      <c r="J2833" t="s">
        <v>202</v>
      </c>
      <c r="K2833" t="str">
        <f>IFERROR(IF(AND(VLOOKUP($C2833,Hes!$A:$B, 1, FALSE), $M2833&lt;&gt;" "), "Ingresada", "Falta Ingresar"), " ")</f>
        <v xml:space="preserve"> </v>
      </c>
      <c r="L2833" s="4" t="str">
        <f>IFERROR(VLOOKUP($C2833,Observaciones!$A:$B,2,FALSE)," ")</f>
        <v xml:space="preserve"> </v>
      </c>
      <c r="M2833" t="s">
        <v>681</v>
      </c>
      <c r="N2833" s="5" t="s">
        <v>841</v>
      </c>
      <c r="O2833" s="5">
        <v>30855542</v>
      </c>
      <c r="P2833" s="5">
        <v>151171</v>
      </c>
      <c r="Q2833" s="5">
        <v>28722</v>
      </c>
      <c r="R2833" s="5">
        <v>179893</v>
      </c>
    </row>
    <row r="2834" spans="1:18" x14ac:dyDescent="0.25">
      <c r="A2834" t="s">
        <v>520</v>
      </c>
      <c r="B2834" t="s">
        <v>494</v>
      </c>
      <c r="C2834">
        <v>79706120</v>
      </c>
      <c r="D2834">
        <v>13</v>
      </c>
      <c r="E2834">
        <v>30855542</v>
      </c>
      <c r="F2834" t="s">
        <v>1342</v>
      </c>
      <c r="G2834" s="1">
        <v>45236</v>
      </c>
      <c r="H2834">
        <v>5413604</v>
      </c>
      <c r="I2834">
        <v>321</v>
      </c>
      <c r="J2834" t="s">
        <v>202</v>
      </c>
      <c r="K2834" t="str">
        <f>IFERROR(IF(AND(VLOOKUP($C2834,Hes!$A:$B, 1, FALSE), $M2834&lt;&gt;" "), "Ingresada", "Falta Ingresar"), " ")</f>
        <v xml:space="preserve"> </v>
      </c>
      <c r="L2834" s="4" t="str">
        <f>IFERROR(VLOOKUP($C2834,Observaciones!$A:$B,2,FALSE)," ")</f>
        <v xml:space="preserve"> </v>
      </c>
      <c r="M2834" t="s">
        <v>681</v>
      </c>
      <c r="N2834" s="5" t="s">
        <v>841</v>
      </c>
      <c r="O2834" s="5">
        <v>30855542</v>
      </c>
      <c r="P2834" s="5">
        <v>7551</v>
      </c>
      <c r="Q2834" s="5">
        <v>1435</v>
      </c>
      <c r="R2834" s="5">
        <v>8986</v>
      </c>
    </row>
    <row r="2835" spans="1:18" x14ac:dyDescent="0.25">
      <c r="A2835" t="s">
        <v>520</v>
      </c>
      <c r="B2835" t="s">
        <v>494</v>
      </c>
      <c r="C2835">
        <v>79706120</v>
      </c>
      <c r="D2835">
        <v>52</v>
      </c>
      <c r="E2835">
        <v>30856496</v>
      </c>
      <c r="F2835" t="s">
        <v>1342</v>
      </c>
      <c r="G2835" s="1">
        <v>45236</v>
      </c>
      <c r="H2835">
        <v>5413685</v>
      </c>
      <c r="I2835">
        <v>321</v>
      </c>
      <c r="J2835" t="s">
        <v>202</v>
      </c>
      <c r="K2835" t="str">
        <f>IFERROR(IF(AND(VLOOKUP($C2835,Hes!$A:$B, 1, FALSE), $M2835&lt;&gt;" "), "Ingresada", "Falta Ingresar"), " ")</f>
        <v xml:space="preserve"> </v>
      </c>
      <c r="L2835" s="4" t="str">
        <f>IFERROR(VLOOKUP($C2835,Observaciones!$A:$B,2,FALSE)," ")</f>
        <v xml:space="preserve"> </v>
      </c>
      <c r="M2835" t="s">
        <v>681</v>
      </c>
      <c r="N2835" s="5" t="s">
        <v>841</v>
      </c>
      <c r="O2835" s="5">
        <v>30856496</v>
      </c>
      <c r="P2835" s="5">
        <v>26013</v>
      </c>
      <c r="Q2835" s="5">
        <v>4942</v>
      </c>
      <c r="R2835" s="5">
        <v>30955</v>
      </c>
    </row>
    <row r="2836" spans="1:18" x14ac:dyDescent="0.25">
      <c r="A2836" t="s">
        <v>520</v>
      </c>
      <c r="B2836" t="s">
        <v>494</v>
      </c>
      <c r="C2836">
        <v>79706120</v>
      </c>
      <c r="D2836">
        <v>612</v>
      </c>
      <c r="E2836">
        <v>30856486</v>
      </c>
      <c r="F2836" t="s">
        <v>1342</v>
      </c>
      <c r="G2836" s="1">
        <v>45236</v>
      </c>
      <c r="H2836">
        <v>5413715</v>
      </c>
      <c r="I2836">
        <v>321</v>
      </c>
      <c r="J2836" t="s">
        <v>202</v>
      </c>
      <c r="K2836" t="str">
        <f>IFERROR(IF(AND(VLOOKUP($C2836,Hes!$A:$B, 1, FALSE), $M2836&lt;&gt;" "), "Ingresada", "Falta Ingresar"), " ")</f>
        <v xml:space="preserve"> </v>
      </c>
      <c r="L2836" s="4" t="str">
        <f>IFERROR(VLOOKUP($C2836,Observaciones!$A:$B,2,FALSE)," ")</f>
        <v xml:space="preserve"> </v>
      </c>
      <c r="M2836" t="s">
        <v>681</v>
      </c>
      <c r="N2836" s="5" t="s">
        <v>841</v>
      </c>
      <c r="O2836" s="5">
        <v>30856486</v>
      </c>
      <c r="P2836" s="5">
        <v>42650</v>
      </c>
      <c r="Q2836" s="5">
        <v>8104</v>
      </c>
      <c r="R2836" s="5">
        <v>50754</v>
      </c>
    </row>
    <row r="2837" spans="1:18" x14ac:dyDescent="0.25">
      <c r="A2837" t="s">
        <v>520</v>
      </c>
      <c r="B2837" t="s">
        <v>494</v>
      </c>
      <c r="C2837">
        <v>79706120</v>
      </c>
      <c r="D2837">
        <v>25</v>
      </c>
      <c r="E2837">
        <v>30855185</v>
      </c>
      <c r="F2837" t="s">
        <v>1342</v>
      </c>
      <c r="G2837" s="1">
        <v>45236</v>
      </c>
      <c r="H2837">
        <v>5413785</v>
      </c>
      <c r="I2837">
        <v>321</v>
      </c>
      <c r="J2837" t="s">
        <v>202</v>
      </c>
      <c r="K2837" t="str">
        <f>IFERROR(IF(AND(VLOOKUP($C2837,Hes!$A:$B, 1, FALSE), $M2837&lt;&gt;" "), "Ingresada", "Falta Ingresar"), " ")</f>
        <v xml:space="preserve"> </v>
      </c>
      <c r="L2837" s="4" t="str">
        <f>IFERROR(VLOOKUP($C2837,Observaciones!$A:$B,2,FALSE)," ")</f>
        <v xml:space="preserve"> </v>
      </c>
      <c r="M2837" t="s">
        <v>681</v>
      </c>
      <c r="N2837" s="5" t="s">
        <v>841</v>
      </c>
      <c r="O2837" s="5">
        <v>30855185</v>
      </c>
      <c r="P2837" s="5">
        <v>65069</v>
      </c>
      <c r="Q2837" s="5">
        <v>12363</v>
      </c>
      <c r="R2837" s="5">
        <v>77432</v>
      </c>
    </row>
    <row r="2838" spans="1:18" x14ac:dyDescent="0.25">
      <c r="A2838" t="s">
        <v>520</v>
      </c>
      <c r="B2838" t="s">
        <v>494</v>
      </c>
      <c r="C2838">
        <v>79706120</v>
      </c>
      <c r="D2838">
        <v>6380</v>
      </c>
      <c r="E2838">
        <v>30853427</v>
      </c>
      <c r="F2838" t="s">
        <v>1342</v>
      </c>
      <c r="G2838" s="1">
        <v>45236</v>
      </c>
      <c r="H2838">
        <v>5413869</v>
      </c>
      <c r="I2838">
        <v>321</v>
      </c>
      <c r="J2838" t="s">
        <v>202</v>
      </c>
      <c r="K2838" t="str">
        <f>IFERROR(IF(AND(VLOOKUP($C2838,Hes!$A:$B, 1, FALSE), $M2838&lt;&gt;" "), "Ingresada", "Falta Ingresar"), " ")</f>
        <v xml:space="preserve"> </v>
      </c>
      <c r="L2838" s="4" t="str">
        <f>IFERROR(VLOOKUP($C2838,Observaciones!$A:$B,2,FALSE)," ")</f>
        <v xml:space="preserve"> </v>
      </c>
      <c r="M2838" t="s">
        <v>681</v>
      </c>
      <c r="N2838" s="5" t="s">
        <v>841</v>
      </c>
      <c r="O2838" s="5">
        <v>30853427</v>
      </c>
      <c r="P2838" s="5">
        <v>78534</v>
      </c>
      <c r="Q2838" s="5">
        <v>14921</v>
      </c>
      <c r="R2838" s="5">
        <v>93455</v>
      </c>
    </row>
    <row r="2839" spans="1:18" x14ac:dyDescent="0.25">
      <c r="A2839" t="s">
        <v>520</v>
      </c>
      <c r="B2839" t="s">
        <v>494</v>
      </c>
      <c r="C2839">
        <v>79706120</v>
      </c>
      <c r="D2839">
        <v>1</v>
      </c>
      <c r="E2839">
        <v>30859386</v>
      </c>
      <c r="F2839" t="s">
        <v>1342</v>
      </c>
      <c r="G2839" s="1">
        <v>45237</v>
      </c>
      <c r="H2839">
        <v>5414186</v>
      </c>
      <c r="I2839">
        <v>321</v>
      </c>
      <c r="J2839" t="s">
        <v>202</v>
      </c>
      <c r="K2839" t="str">
        <f>IFERROR(IF(AND(VLOOKUP($C2839,Hes!$A:$B, 1, FALSE), $M2839&lt;&gt;" "), "Ingresada", "Falta Ingresar"), " ")</f>
        <v xml:space="preserve"> </v>
      </c>
      <c r="L2839" s="4" t="str">
        <f>IFERROR(VLOOKUP($C2839,Observaciones!$A:$B,2,FALSE)," ")</f>
        <v xml:space="preserve"> </v>
      </c>
      <c r="M2839" t="s">
        <v>681</v>
      </c>
      <c r="N2839" s="5" t="s">
        <v>841</v>
      </c>
      <c r="O2839" s="5">
        <v>30859386</v>
      </c>
      <c r="P2839" s="5">
        <v>107213</v>
      </c>
      <c r="Q2839" s="5">
        <v>20370</v>
      </c>
      <c r="R2839" s="5">
        <v>127583</v>
      </c>
    </row>
    <row r="2840" spans="1:18" x14ac:dyDescent="0.25">
      <c r="A2840" t="s">
        <v>520</v>
      </c>
      <c r="B2840" t="s">
        <v>494</v>
      </c>
      <c r="C2840">
        <v>79706120</v>
      </c>
      <c r="D2840">
        <v>18</v>
      </c>
      <c r="E2840">
        <v>30862156</v>
      </c>
      <c r="F2840" t="s">
        <v>1342</v>
      </c>
      <c r="G2840" s="1">
        <v>45237</v>
      </c>
      <c r="H2840">
        <v>5414505</v>
      </c>
      <c r="I2840">
        <v>321</v>
      </c>
      <c r="J2840" t="s">
        <v>202</v>
      </c>
      <c r="K2840" t="str">
        <f>IFERROR(IF(AND(VLOOKUP($C2840,Hes!$A:$B, 1, FALSE), $M2840&lt;&gt;" "), "Ingresada", "Falta Ingresar"), " ")</f>
        <v xml:space="preserve"> </v>
      </c>
      <c r="L2840" s="4" t="str">
        <f>IFERROR(VLOOKUP($C2840,Observaciones!$A:$B,2,FALSE)," ")</f>
        <v xml:space="preserve"> </v>
      </c>
      <c r="M2840" t="s">
        <v>681</v>
      </c>
      <c r="N2840" s="5" t="s">
        <v>841</v>
      </c>
      <c r="O2840" s="5">
        <v>30862156</v>
      </c>
      <c r="P2840" s="5">
        <v>48500</v>
      </c>
      <c r="Q2840" s="5">
        <v>9215</v>
      </c>
      <c r="R2840" s="5">
        <v>57715</v>
      </c>
    </row>
    <row r="2841" spans="1:18" x14ac:dyDescent="0.25">
      <c r="A2841" t="s">
        <v>520</v>
      </c>
      <c r="B2841" t="s">
        <v>494</v>
      </c>
      <c r="C2841">
        <v>79706120</v>
      </c>
      <c r="D2841">
        <v>29</v>
      </c>
      <c r="E2841">
        <v>30862804</v>
      </c>
      <c r="F2841" t="s">
        <v>1342</v>
      </c>
      <c r="G2841" s="1">
        <v>45237</v>
      </c>
      <c r="H2841">
        <v>5414733</v>
      </c>
      <c r="I2841">
        <v>321</v>
      </c>
      <c r="J2841" t="s">
        <v>202</v>
      </c>
      <c r="K2841" t="str">
        <f>IFERROR(IF(AND(VLOOKUP($C2841,Hes!$A:$B, 1, FALSE), $M2841&lt;&gt;" "), "Ingresada", "Falta Ingresar"), " ")</f>
        <v xml:space="preserve"> </v>
      </c>
      <c r="L2841" s="4" t="str">
        <f>IFERROR(VLOOKUP($C2841,Observaciones!$A:$B,2,FALSE)," ")</f>
        <v xml:space="preserve"> </v>
      </c>
      <c r="M2841" t="s">
        <v>681</v>
      </c>
      <c r="N2841" s="5" t="s">
        <v>841</v>
      </c>
      <c r="O2841" s="5">
        <v>30862804</v>
      </c>
      <c r="P2841" s="5">
        <v>67262</v>
      </c>
      <c r="Q2841" s="5">
        <v>12780</v>
      </c>
      <c r="R2841" s="5">
        <v>80042</v>
      </c>
    </row>
    <row r="2842" spans="1:18" x14ac:dyDescent="0.25">
      <c r="A2842" t="s">
        <v>520</v>
      </c>
      <c r="B2842" t="s">
        <v>494</v>
      </c>
      <c r="C2842">
        <v>79706120</v>
      </c>
      <c r="D2842">
        <v>29</v>
      </c>
      <c r="E2842">
        <v>30862727</v>
      </c>
      <c r="F2842" t="s">
        <v>1342</v>
      </c>
      <c r="G2842" s="1">
        <v>45237</v>
      </c>
      <c r="H2842">
        <v>5414740</v>
      </c>
      <c r="I2842">
        <v>321</v>
      </c>
      <c r="J2842" t="s">
        <v>202</v>
      </c>
      <c r="K2842" t="str">
        <f>IFERROR(IF(AND(VLOOKUP($C2842,Hes!$A:$B, 1, FALSE), $M2842&lt;&gt;" "), "Ingresada", "Falta Ingresar"), " ")</f>
        <v xml:space="preserve"> </v>
      </c>
      <c r="L2842" s="4" t="str">
        <f>IFERROR(VLOOKUP($C2842,Observaciones!$A:$B,2,FALSE)," ")</f>
        <v xml:space="preserve"> </v>
      </c>
      <c r="M2842" t="s">
        <v>681</v>
      </c>
      <c r="N2842" s="5" t="s">
        <v>841</v>
      </c>
      <c r="O2842" s="5">
        <v>30862727</v>
      </c>
      <c r="P2842" s="5">
        <v>36260</v>
      </c>
      <c r="Q2842" s="5">
        <v>6889</v>
      </c>
      <c r="R2842" s="5">
        <v>43149</v>
      </c>
    </row>
    <row r="2843" spans="1:18" x14ac:dyDescent="0.25">
      <c r="A2843" t="s">
        <v>520</v>
      </c>
      <c r="B2843" t="s">
        <v>494</v>
      </c>
      <c r="C2843">
        <v>79706120</v>
      </c>
      <c r="D2843">
        <v>603</v>
      </c>
      <c r="E2843">
        <v>30861748</v>
      </c>
      <c r="F2843" t="s">
        <v>1342</v>
      </c>
      <c r="G2843" s="1">
        <v>45237</v>
      </c>
      <c r="H2843">
        <v>5414760</v>
      </c>
      <c r="I2843">
        <v>321</v>
      </c>
      <c r="J2843" t="s">
        <v>202</v>
      </c>
      <c r="K2843" t="str">
        <f>IFERROR(IF(AND(VLOOKUP($C2843,Hes!$A:$B, 1, FALSE), $M2843&lt;&gt;" "), "Ingresada", "Falta Ingresar"), " ")</f>
        <v xml:space="preserve"> </v>
      </c>
      <c r="L2843" s="4" t="str">
        <f>IFERROR(VLOOKUP($C2843,Observaciones!$A:$B,2,FALSE)," ")</f>
        <v xml:space="preserve"> </v>
      </c>
      <c r="M2843" t="s">
        <v>681</v>
      </c>
      <c r="N2843" s="5" t="s">
        <v>841</v>
      </c>
      <c r="O2843" s="5">
        <v>30861748</v>
      </c>
      <c r="P2843" s="5">
        <v>119554</v>
      </c>
      <c r="Q2843" s="5">
        <v>22715</v>
      </c>
      <c r="R2843" s="5">
        <v>142269</v>
      </c>
    </row>
    <row r="2844" spans="1:18" x14ac:dyDescent="0.25">
      <c r="A2844" t="s">
        <v>520</v>
      </c>
      <c r="B2844" t="s">
        <v>494</v>
      </c>
      <c r="C2844">
        <v>79706120</v>
      </c>
      <c r="D2844">
        <v>9389</v>
      </c>
      <c r="E2844">
        <v>30863167</v>
      </c>
      <c r="F2844" t="s">
        <v>1342</v>
      </c>
      <c r="G2844" s="1">
        <v>45237</v>
      </c>
      <c r="H2844">
        <v>5414765</v>
      </c>
      <c r="I2844">
        <v>321</v>
      </c>
      <c r="J2844" t="s">
        <v>202</v>
      </c>
      <c r="K2844" t="str">
        <f>IFERROR(IF(AND(VLOOKUP($C2844,Hes!$A:$B, 1, FALSE), $M2844&lt;&gt;" "), "Ingresada", "Falta Ingresar"), " ")</f>
        <v xml:space="preserve"> </v>
      </c>
      <c r="L2844" s="4" t="str">
        <f>IFERROR(VLOOKUP($C2844,Observaciones!$A:$B,2,FALSE)," ")</f>
        <v xml:space="preserve"> </v>
      </c>
      <c r="M2844" t="s">
        <v>681</v>
      </c>
      <c r="N2844" s="5" t="s">
        <v>841</v>
      </c>
      <c r="O2844" s="5">
        <v>30863167</v>
      </c>
      <c r="P2844" s="5">
        <v>41346</v>
      </c>
      <c r="Q2844" s="5">
        <v>7856</v>
      </c>
      <c r="R2844" s="5">
        <v>49202</v>
      </c>
    </row>
    <row r="2845" spans="1:18" x14ac:dyDescent="0.25">
      <c r="A2845" t="s">
        <v>520</v>
      </c>
      <c r="B2845" t="s">
        <v>494</v>
      </c>
      <c r="C2845">
        <v>79706120</v>
      </c>
      <c r="D2845">
        <v>10</v>
      </c>
      <c r="E2845">
        <v>30863166</v>
      </c>
      <c r="F2845" t="s">
        <v>1342</v>
      </c>
      <c r="G2845" s="1">
        <v>45237</v>
      </c>
      <c r="H2845">
        <v>5414899</v>
      </c>
      <c r="I2845">
        <v>321</v>
      </c>
      <c r="J2845" t="s">
        <v>202</v>
      </c>
      <c r="K2845" t="str">
        <f>IFERROR(IF(AND(VLOOKUP($C2845,Hes!$A:$B, 1, FALSE), $M2845&lt;&gt;" "), "Ingresada", "Falta Ingresar"), " ")</f>
        <v xml:space="preserve"> </v>
      </c>
      <c r="L2845" s="4" t="str">
        <f>IFERROR(VLOOKUP($C2845,Observaciones!$A:$B,2,FALSE)," ")</f>
        <v xml:space="preserve"> </v>
      </c>
      <c r="M2845" t="s">
        <v>681</v>
      </c>
      <c r="N2845" s="5" t="s">
        <v>841</v>
      </c>
      <c r="O2845" s="5">
        <v>30863166</v>
      </c>
      <c r="P2845" s="5">
        <v>159570</v>
      </c>
      <c r="Q2845" s="5">
        <v>30318</v>
      </c>
      <c r="R2845" s="5">
        <v>189888</v>
      </c>
    </row>
    <row r="2846" spans="1:18" x14ac:dyDescent="0.25">
      <c r="A2846" t="s">
        <v>520</v>
      </c>
      <c r="B2846" t="s">
        <v>494</v>
      </c>
      <c r="C2846">
        <v>79706120</v>
      </c>
      <c r="D2846">
        <v>9387</v>
      </c>
      <c r="E2846">
        <v>30861513</v>
      </c>
      <c r="F2846" t="s">
        <v>1342</v>
      </c>
      <c r="G2846" s="1">
        <v>45238</v>
      </c>
      <c r="H2846">
        <v>5414993</v>
      </c>
      <c r="I2846">
        <v>321</v>
      </c>
      <c r="J2846" t="s">
        <v>202</v>
      </c>
      <c r="K2846" t="str">
        <f>IFERROR(IF(AND(VLOOKUP($C2846,Hes!$A:$B, 1, FALSE), $M2846&lt;&gt;" "), "Ingresada", "Falta Ingresar"), " ")</f>
        <v xml:space="preserve"> </v>
      </c>
      <c r="L2846" s="4" t="str">
        <f>IFERROR(VLOOKUP($C2846,Observaciones!$A:$B,2,FALSE)," ")</f>
        <v xml:space="preserve"> </v>
      </c>
      <c r="M2846" t="s">
        <v>681</v>
      </c>
      <c r="N2846" s="5" t="s">
        <v>841</v>
      </c>
      <c r="O2846" s="5">
        <v>30861513</v>
      </c>
      <c r="P2846" s="5">
        <v>91892</v>
      </c>
      <c r="Q2846" s="5">
        <v>17459</v>
      </c>
      <c r="R2846" s="5">
        <v>109351</v>
      </c>
    </row>
    <row r="2847" spans="1:18" x14ac:dyDescent="0.25">
      <c r="A2847" t="s">
        <v>520</v>
      </c>
      <c r="B2847" t="s">
        <v>494</v>
      </c>
      <c r="C2847">
        <v>79706120</v>
      </c>
      <c r="D2847">
        <v>609</v>
      </c>
      <c r="E2847">
        <v>30861991</v>
      </c>
      <c r="F2847" t="s">
        <v>1342</v>
      </c>
      <c r="G2847" s="1">
        <v>45238</v>
      </c>
      <c r="H2847">
        <v>5415185</v>
      </c>
      <c r="I2847">
        <v>321</v>
      </c>
      <c r="J2847" t="s">
        <v>202</v>
      </c>
      <c r="K2847" t="str">
        <f>IFERROR(IF(AND(VLOOKUP($C2847,Hes!$A:$B, 1, FALSE), $M2847&lt;&gt;" "), "Ingresada", "Falta Ingresar"), " ")</f>
        <v xml:space="preserve"> </v>
      </c>
      <c r="L2847" s="4" t="str">
        <f>IFERROR(VLOOKUP($C2847,Observaciones!$A:$B,2,FALSE)," ")</f>
        <v xml:space="preserve"> </v>
      </c>
      <c r="M2847" t="s">
        <v>681</v>
      </c>
      <c r="N2847" s="5" t="s">
        <v>841</v>
      </c>
      <c r="O2847" s="5">
        <v>30861991</v>
      </c>
      <c r="P2847" s="5">
        <v>34515</v>
      </c>
      <c r="Q2847" s="5">
        <v>6558</v>
      </c>
      <c r="R2847" s="5">
        <v>41073</v>
      </c>
    </row>
    <row r="2848" spans="1:18" x14ac:dyDescent="0.25">
      <c r="A2848" t="s">
        <v>520</v>
      </c>
      <c r="B2848" t="s">
        <v>494</v>
      </c>
      <c r="C2848">
        <v>79706120</v>
      </c>
      <c r="D2848">
        <v>602</v>
      </c>
      <c r="E2848">
        <v>30862043</v>
      </c>
      <c r="F2848" t="s">
        <v>1342</v>
      </c>
      <c r="G2848" s="1">
        <v>45238</v>
      </c>
      <c r="H2848">
        <v>5415186</v>
      </c>
      <c r="I2848">
        <v>321</v>
      </c>
      <c r="J2848" t="s">
        <v>202</v>
      </c>
      <c r="K2848" t="str">
        <f>IFERROR(IF(AND(VLOOKUP($C2848,Hes!$A:$B, 1, FALSE), $M2848&lt;&gt;" "), "Ingresada", "Falta Ingresar"), " ")</f>
        <v xml:space="preserve"> </v>
      </c>
      <c r="L2848" s="4" t="str">
        <f>IFERROR(VLOOKUP($C2848,Observaciones!$A:$B,2,FALSE)," ")</f>
        <v xml:space="preserve"> </v>
      </c>
      <c r="M2848" t="s">
        <v>681</v>
      </c>
      <c r="N2848" s="5" t="s">
        <v>841</v>
      </c>
      <c r="O2848" s="5">
        <v>30862043</v>
      </c>
      <c r="P2848" s="5">
        <v>36178</v>
      </c>
      <c r="Q2848" s="5">
        <v>6874</v>
      </c>
      <c r="R2848" s="5">
        <v>43052</v>
      </c>
    </row>
    <row r="2849" spans="1:18" x14ac:dyDescent="0.25">
      <c r="A2849" t="s">
        <v>520</v>
      </c>
      <c r="B2849" t="s">
        <v>494</v>
      </c>
      <c r="C2849">
        <v>79706120</v>
      </c>
      <c r="D2849">
        <v>9394</v>
      </c>
      <c r="E2849">
        <v>30862663</v>
      </c>
      <c r="F2849" t="s">
        <v>1342</v>
      </c>
      <c r="G2849" s="1">
        <v>45238</v>
      </c>
      <c r="H2849">
        <v>5415196</v>
      </c>
      <c r="I2849">
        <v>321</v>
      </c>
      <c r="J2849" t="s">
        <v>202</v>
      </c>
      <c r="K2849" t="str">
        <f>IFERROR(IF(AND(VLOOKUP($C2849,Hes!$A:$B, 1, FALSE), $M2849&lt;&gt;" "), "Ingresada", "Falta Ingresar"), " ")</f>
        <v xml:space="preserve"> </v>
      </c>
      <c r="L2849" s="4" t="str">
        <f>IFERROR(VLOOKUP($C2849,Observaciones!$A:$B,2,FALSE)," ")</f>
        <v xml:space="preserve"> </v>
      </c>
      <c r="M2849" t="s">
        <v>681</v>
      </c>
      <c r="N2849" s="5" t="s">
        <v>841</v>
      </c>
      <c r="O2849" s="5">
        <v>30862663</v>
      </c>
      <c r="P2849" s="5">
        <v>24352</v>
      </c>
      <c r="Q2849" s="5">
        <v>4627</v>
      </c>
      <c r="R2849" s="5">
        <v>28979</v>
      </c>
    </row>
    <row r="2850" spans="1:18" x14ac:dyDescent="0.25">
      <c r="A2850" t="s">
        <v>520</v>
      </c>
      <c r="B2850" t="s">
        <v>494</v>
      </c>
      <c r="C2850">
        <v>79706120</v>
      </c>
      <c r="D2850">
        <v>9400</v>
      </c>
      <c r="E2850">
        <v>30862227</v>
      </c>
      <c r="F2850" t="s">
        <v>1342</v>
      </c>
      <c r="G2850" s="1">
        <v>45238</v>
      </c>
      <c r="H2850">
        <v>5415243</v>
      </c>
      <c r="I2850">
        <v>321</v>
      </c>
      <c r="J2850" t="s">
        <v>202</v>
      </c>
      <c r="K2850" t="str">
        <f>IFERROR(IF(AND(VLOOKUP($C2850,Hes!$A:$B, 1, FALSE), $M2850&lt;&gt;" "), "Ingresada", "Falta Ingresar"), " ")</f>
        <v xml:space="preserve"> </v>
      </c>
      <c r="L2850" s="4" t="str">
        <f>IFERROR(VLOOKUP($C2850,Observaciones!$A:$B,2,FALSE)," ")</f>
        <v xml:space="preserve"> </v>
      </c>
      <c r="M2850" t="s">
        <v>681</v>
      </c>
      <c r="N2850" s="5" t="s">
        <v>841</v>
      </c>
      <c r="O2850" s="5">
        <v>30862227</v>
      </c>
      <c r="P2850" s="5">
        <v>79226</v>
      </c>
      <c r="Q2850" s="5">
        <v>15053</v>
      </c>
      <c r="R2850" s="5">
        <v>94279</v>
      </c>
    </row>
    <row r="2851" spans="1:18" x14ac:dyDescent="0.25">
      <c r="A2851" t="s">
        <v>520</v>
      </c>
      <c r="B2851" t="s">
        <v>494</v>
      </c>
      <c r="C2851">
        <v>79706120</v>
      </c>
      <c r="D2851">
        <v>16</v>
      </c>
      <c r="E2851">
        <v>30862226</v>
      </c>
      <c r="F2851" t="s">
        <v>1342</v>
      </c>
      <c r="G2851" s="1">
        <v>45238</v>
      </c>
      <c r="H2851">
        <v>5415246</v>
      </c>
      <c r="I2851">
        <v>321</v>
      </c>
      <c r="J2851" t="s">
        <v>202</v>
      </c>
      <c r="K2851" t="str">
        <f>IFERROR(IF(AND(VLOOKUP($C2851,Hes!$A:$B, 1, FALSE), $M2851&lt;&gt;" "), "Ingresada", "Falta Ingresar"), " ")</f>
        <v xml:space="preserve"> </v>
      </c>
      <c r="L2851" s="4" t="str">
        <f>IFERROR(VLOOKUP($C2851,Observaciones!$A:$B,2,FALSE)," ")</f>
        <v xml:space="preserve"> </v>
      </c>
      <c r="M2851" t="s">
        <v>681</v>
      </c>
      <c r="N2851" s="5" t="s">
        <v>841</v>
      </c>
      <c r="O2851" s="5">
        <v>30862226</v>
      </c>
      <c r="P2851" s="5">
        <v>119044</v>
      </c>
      <c r="Q2851" s="5">
        <v>22618</v>
      </c>
      <c r="R2851" s="5">
        <v>141662</v>
      </c>
    </row>
    <row r="2852" spans="1:18" x14ac:dyDescent="0.25">
      <c r="A2852" t="s">
        <v>520</v>
      </c>
      <c r="B2852" t="s">
        <v>494</v>
      </c>
      <c r="C2852">
        <v>79706120</v>
      </c>
      <c r="D2852">
        <v>9394</v>
      </c>
      <c r="E2852">
        <v>30862675</v>
      </c>
      <c r="F2852" t="s">
        <v>1342</v>
      </c>
      <c r="G2852" s="1">
        <v>45237</v>
      </c>
      <c r="H2852">
        <v>5415282</v>
      </c>
      <c r="I2852">
        <v>321</v>
      </c>
      <c r="J2852" t="s">
        <v>202</v>
      </c>
      <c r="K2852" t="str">
        <f>IFERROR(IF(AND(VLOOKUP($C2852,Hes!$A:$B, 1, FALSE), $M2852&lt;&gt;" "), "Ingresada", "Falta Ingresar"), " ")</f>
        <v xml:space="preserve"> </v>
      </c>
      <c r="L2852" s="4" t="str">
        <f>IFERROR(VLOOKUP($C2852,Observaciones!$A:$B,2,FALSE)," ")</f>
        <v xml:space="preserve"> </v>
      </c>
      <c r="M2852" t="s">
        <v>681</v>
      </c>
      <c r="N2852" s="5" t="s">
        <v>841</v>
      </c>
      <c r="O2852" s="5">
        <v>30862675</v>
      </c>
      <c r="P2852" s="5">
        <v>108823</v>
      </c>
      <c r="Q2852" s="5">
        <v>20676</v>
      </c>
      <c r="R2852" s="5">
        <v>129499</v>
      </c>
    </row>
    <row r="2853" spans="1:18" x14ac:dyDescent="0.25">
      <c r="A2853" t="s">
        <v>520</v>
      </c>
      <c r="B2853" t="s">
        <v>494</v>
      </c>
      <c r="C2853">
        <v>79706120</v>
      </c>
      <c r="D2853">
        <v>631</v>
      </c>
      <c r="E2853">
        <v>30862668</v>
      </c>
      <c r="F2853" t="s">
        <v>1342</v>
      </c>
      <c r="G2853" s="1">
        <v>45238</v>
      </c>
      <c r="H2853">
        <v>5415537</v>
      </c>
      <c r="I2853">
        <v>321</v>
      </c>
      <c r="J2853" t="s">
        <v>202</v>
      </c>
      <c r="K2853" t="str">
        <f>IFERROR(IF(AND(VLOOKUP($C2853,Hes!$A:$B, 1, FALSE), $M2853&lt;&gt;" "), "Ingresada", "Falta Ingresar"), " ")</f>
        <v xml:space="preserve"> </v>
      </c>
      <c r="L2853" s="4" t="str">
        <f>IFERROR(VLOOKUP($C2853,Observaciones!$A:$B,2,FALSE)," ")</f>
        <v xml:space="preserve"> </v>
      </c>
      <c r="M2853" t="s">
        <v>681</v>
      </c>
      <c r="N2853" s="5" t="s">
        <v>841</v>
      </c>
      <c r="O2853" s="5">
        <v>30862668</v>
      </c>
      <c r="P2853" s="5">
        <v>181726</v>
      </c>
      <c r="Q2853" s="5">
        <v>34528</v>
      </c>
      <c r="R2853" s="5">
        <v>216254</v>
      </c>
    </row>
    <row r="2854" spans="1:18" x14ac:dyDescent="0.25">
      <c r="A2854" t="s">
        <v>520</v>
      </c>
      <c r="B2854" t="s">
        <v>494</v>
      </c>
      <c r="C2854">
        <v>79706120</v>
      </c>
      <c r="D2854">
        <v>9393</v>
      </c>
      <c r="E2854">
        <v>30862471</v>
      </c>
      <c r="F2854" t="s">
        <v>1342</v>
      </c>
      <c r="G2854" s="1">
        <v>45238</v>
      </c>
      <c r="H2854">
        <v>5415636</v>
      </c>
      <c r="I2854">
        <v>321</v>
      </c>
      <c r="J2854" t="s">
        <v>202</v>
      </c>
      <c r="K2854" t="str">
        <f>IFERROR(IF(AND(VLOOKUP($C2854,Hes!$A:$B, 1, FALSE), $M2854&lt;&gt;" "), "Ingresada", "Falta Ingresar"), " ")</f>
        <v xml:space="preserve"> </v>
      </c>
      <c r="L2854" s="4" t="str">
        <f>IFERROR(VLOOKUP($C2854,Observaciones!$A:$B,2,FALSE)," ")</f>
        <v xml:space="preserve"> </v>
      </c>
      <c r="M2854" t="s">
        <v>681</v>
      </c>
      <c r="N2854" s="5" t="s">
        <v>841</v>
      </c>
      <c r="O2854" s="5">
        <v>30862471</v>
      </c>
      <c r="P2854" s="5">
        <v>63004</v>
      </c>
      <c r="Q2854" s="5">
        <v>11971</v>
      </c>
      <c r="R2854" s="5">
        <v>74975</v>
      </c>
    </row>
    <row r="2855" spans="1:18" x14ac:dyDescent="0.25">
      <c r="A2855" t="s">
        <v>520</v>
      </c>
      <c r="B2855" t="s">
        <v>494</v>
      </c>
      <c r="C2855">
        <v>79706120</v>
      </c>
      <c r="D2855">
        <v>9399</v>
      </c>
      <c r="E2855">
        <v>30862467</v>
      </c>
      <c r="F2855" t="s">
        <v>1342</v>
      </c>
      <c r="G2855" s="1">
        <v>45238</v>
      </c>
      <c r="H2855">
        <v>5415658</v>
      </c>
      <c r="I2855">
        <v>321</v>
      </c>
      <c r="J2855" t="s">
        <v>202</v>
      </c>
      <c r="K2855" t="str">
        <f>IFERROR(IF(AND(VLOOKUP($C2855,Hes!$A:$B, 1, FALSE), $M2855&lt;&gt;" "), "Ingresada", "Falta Ingresar"), " ")</f>
        <v xml:space="preserve"> </v>
      </c>
      <c r="L2855" s="4" t="str">
        <f>IFERROR(VLOOKUP($C2855,Observaciones!$A:$B,2,FALSE)," ")</f>
        <v xml:space="preserve"> </v>
      </c>
      <c r="M2855" t="s">
        <v>681</v>
      </c>
      <c r="N2855" s="5" t="s">
        <v>841</v>
      </c>
      <c r="O2855" s="5">
        <v>30862467</v>
      </c>
      <c r="P2855" s="5">
        <v>195707</v>
      </c>
      <c r="Q2855" s="5">
        <v>37184</v>
      </c>
      <c r="R2855" s="5">
        <v>232891</v>
      </c>
    </row>
    <row r="2856" spans="1:18" x14ac:dyDescent="0.25">
      <c r="A2856" t="s">
        <v>520</v>
      </c>
      <c r="B2856" t="s">
        <v>494</v>
      </c>
      <c r="C2856">
        <v>79706120</v>
      </c>
      <c r="D2856">
        <v>2</v>
      </c>
      <c r="E2856">
        <v>30863243</v>
      </c>
      <c r="F2856" t="s">
        <v>1342</v>
      </c>
      <c r="G2856" s="1">
        <v>45238</v>
      </c>
      <c r="H2856">
        <v>5415757</v>
      </c>
      <c r="I2856">
        <v>321</v>
      </c>
      <c r="J2856" t="s">
        <v>202</v>
      </c>
      <c r="K2856" t="str">
        <f>IFERROR(IF(AND(VLOOKUP($C2856,Hes!$A:$B, 1, FALSE), $M2856&lt;&gt;" "), "Ingresada", "Falta Ingresar"), " ")</f>
        <v xml:space="preserve"> </v>
      </c>
      <c r="L2856" s="4" t="str">
        <f>IFERROR(VLOOKUP($C2856,Observaciones!$A:$B,2,FALSE)," ")</f>
        <v xml:space="preserve"> </v>
      </c>
      <c r="M2856" t="s">
        <v>681</v>
      </c>
      <c r="N2856" s="5" t="s">
        <v>841</v>
      </c>
      <c r="O2856" s="5">
        <v>30863243</v>
      </c>
      <c r="P2856" s="5">
        <v>169531</v>
      </c>
      <c r="Q2856" s="5">
        <v>32211</v>
      </c>
      <c r="R2856" s="5">
        <v>201742</v>
      </c>
    </row>
    <row r="2857" spans="1:18" x14ac:dyDescent="0.25">
      <c r="F2857" t="s">
        <v>692</v>
      </c>
      <c r="K2857" t="str">
        <f>IFERROR(IF(AND(VLOOKUP($C2857,Hes!$A:$B, 1, FALSE), $M2857&lt;&gt;" "), "Ingresada", "Falta Ingresar"), " ")</f>
        <v xml:space="preserve"> </v>
      </c>
      <c r="L2857" s="4" t="str">
        <f>IFERROR(VLOOKUP($C2857,Observaciones!$A:$B,2,FALSE)," ")</f>
        <v xml:space="preserve"> </v>
      </c>
      <c r="M2857" t="s">
        <v>681</v>
      </c>
      <c r="P2857" s="5">
        <v>3460946</v>
      </c>
      <c r="Q2857" s="5">
        <v>657577</v>
      </c>
      <c r="R2857" s="5">
        <v>4118523</v>
      </c>
    </row>
    <row r="2858" spans="1:18" x14ac:dyDescent="0.25">
      <c r="A2858" t="s">
        <v>513</v>
      </c>
      <c r="B2858" t="s">
        <v>494</v>
      </c>
      <c r="C2858">
        <v>79719730</v>
      </c>
      <c r="D2858">
        <v>24</v>
      </c>
      <c r="E2858" t="s">
        <v>1343</v>
      </c>
      <c r="F2858" t="s">
        <v>1344</v>
      </c>
      <c r="G2858" s="1">
        <v>45233</v>
      </c>
      <c r="H2858">
        <v>5412159</v>
      </c>
      <c r="I2858">
        <v>392</v>
      </c>
      <c r="J2858" t="s">
        <v>228</v>
      </c>
      <c r="K2858" t="str">
        <f>IFERROR(IF(AND(VLOOKUP($C2858,Hes!$A:$B, 1, FALSE), $M2858&lt;&gt;" "), "Ingresada", "Falta Ingresar"), " ")</f>
        <v xml:space="preserve"> </v>
      </c>
      <c r="L2858" s="4" t="str">
        <f>IFERROR(VLOOKUP($C2858,Observaciones!$A:$B,2,FALSE)," ")</f>
        <v>XOC Y CC</v>
      </c>
      <c r="M2858" t="s">
        <v>681</v>
      </c>
      <c r="O2858" s="5">
        <v>30852688</v>
      </c>
      <c r="P2858" s="5">
        <v>14611</v>
      </c>
      <c r="Q2858" s="5">
        <v>2776</v>
      </c>
      <c r="R2858" s="5">
        <v>17387</v>
      </c>
    </row>
    <row r="2859" spans="1:18" x14ac:dyDescent="0.25">
      <c r="A2859" t="s">
        <v>513</v>
      </c>
      <c r="B2859" t="s">
        <v>494</v>
      </c>
      <c r="C2859">
        <v>79719730</v>
      </c>
      <c r="D2859">
        <v>17</v>
      </c>
      <c r="E2859" t="s">
        <v>1345</v>
      </c>
      <c r="F2859" t="s">
        <v>1344</v>
      </c>
      <c r="G2859" s="1">
        <v>45236</v>
      </c>
      <c r="H2859">
        <v>5412643</v>
      </c>
      <c r="I2859">
        <v>392</v>
      </c>
      <c r="J2859" t="s">
        <v>228</v>
      </c>
      <c r="K2859" t="str">
        <f>IFERROR(IF(AND(VLOOKUP($C2859,Hes!$A:$B, 1, FALSE), $M2859&lt;&gt;" "), "Ingresada", "Falta Ingresar"), " ")</f>
        <v xml:space="preserve"> </v>
      </c>
      <c r="L2859" s="4" t="str">
        <f>IFERROR(VLOOKUP($C2859,Observaciones!$A:$B,2,FALSE)," ")</f>
        <v>XOC Y CC</v>
      </c>
      <c r="M2859" t="s">
        <v>681</v>
      </c>
      <c r="O2859" s="5">
        <v>30852699</v>
      </c>
      <c r="P2859" s="5">
        <v>69250</v>
      </c>
      <c r="Q2859" s="5">
        <v>13158</v>
      </c>
      <c r="R2859" s="5">
        <v>82408</v>
      </c>
    </row>
    <row r="2860" spans="1:18" x14ac:dyDescent="0.25">
      <c r="A2860" t="s">
        <v>513</v>
      </c>
      <c r="B2860" t="s">
        <v>494</v>
      </c>
      <c r="C2860">
        <v>79719730</v>
      </c>
      <c r="D2860">
        <v>20</v>
      </c>
      <c r="E2860" t="s">
        <v>1346</v>
      </c>
      <c r="F2860" t="s">
        <v>1344</v>
      </c>
      <c r="G2860" s="1">
        <v>45236</v>
      </c>
      <c r="H2860">
        <v>5413246</v>
      </c>
      <c r="I2860">
        <v>392</v>
      </c>
      <c r="J2860" t="s">
        <v>228</v>
      </c>
      <c r="K2860" t="str">
        <f>IFERROR(IF(AND(VLOOKUP($C2860,Hes!$A:$B, 1, FALSE), $M2860&lt;&gt;" "), "Ingresada", "Falta Ingresar"), " ")</f>
        <v xml:space="preserve"> </v>
      </c>
      <c r="L2860" s="4" t="str">
        <f>IFERROR(VLOOKUP($C2860,Observaciones!$A:$B,2,FALSE)," ")</f>
        <v>XOC Y CC</v>
      </c>
      <c r="M2860" t="s">
        <v>681</v>
      </c>
      <c r="O2860" s="5">
        <v>30852676</v>
      </c>
      <c r="P2860" s="5">
        <v>43920</v>
      </c>
      <c r="Q2860" s="5">
        <v>8345</v>
      </c>
      <c r="R2860" s="5">
        <v>52265</v>
      </c>
    </row>
    <row r="2861" spans="1:18" x14ac:dyDescent="0.25">
      <c r="A2861" t="s">
        <v>513</v>
      </c>
      <c r="B2861" t="s">
        <v>494</v>
      </c>
      <c r="C2861">
        <v>79719730</v>
      </c>
      <c r="D2861">
        <v>10</v>
      </c>
      <c r="E2861" t="s">
        <v>1347</v>
      </c>
      <c r="F2861" t="s">
        <v>1344</v>
      </c>
      <c r="G2861" s="1">
        <v>45236</v>
      </c>
      <c r="H2861">
        <v>5413300</v>
      </c>
      <c r="I2861">
        <v>392</v>
      </c>
      <c r="J2861" t="s">
        <v>228</v>
      </c>
      <c r="K2861" t="str">
        <f>IFERROR(IF(AND(VLOOKUP($C2861,Hes!$A:$B, 1, FALSE), $M2861&lt;&gt;" "), "Ingresada", "Falta Ingresar"), " ")</f>
        <v xml:space="preserve"> </v>
      </c>
      <c r="L2861" s="4" t="str">
        <f>IFERROR(VLOOKUP($C2861,Observaciones!$A:$B,2,FALSE)," ")</f>
        <v>XOC Y CC</v>
      </c>
      <c r="M2861" t="s">
        <v>681</v>
      </c>
      <c r="O2861" s="5">
        <v>30852722</v>
      </c>
      <c r="P2861" s="5">
        <v>33186</v>
      </c>
      <c r="Q2861" s="5">
        <v>6305</v>
      </c>
      <c r="R2861" s="5">
        <v>39491</v>
      </c>
    </row>
    <row r="2862" spans="1:18" x14ac:dyDescent="0.25">
      <c r="F2862" t="s">
        <v>498</v>
      </c>
      <c r="K2862" t="str">
        <f>IFERROR(IF(AND(VLOOKUP($C2862,Hes!$A:$B, 1, FALSE), $M2862&lt;&gt;" "), "Ingresada", "Falta Ingresar"), " ")</f>
        <v xml:space="preserve"> </v>
      </c>
      <c r="L2862" s="4" t="str">
        <f>IFERROR(VLOOKUP($C2862,Observaciones!$A:$B,2,FALSE)," ")</f>
        <v xml:space="preserve"> </v>
      </c>
      <c r="M2862" t="s">
        <v>681</v>
      </c>
      <c r="P2862" s="5">
        <v>160967</v>
      </c>
      <c r="Q2862" s="5">
        <v>30584</v>
      </c>
      <c r="R2862" s="5">
        <v>191551</v>
      </c>
    </row>
    <row r="2863" spans="1:18" x14ac:dyDescent="0.25">
      <c r="A2863" t="s">
        <v>503</v>
      </c>
      <c r="B2863" t="s">
        <v>494</v>
      </c>
      <c r="C2863">
        <v>79730570</v>
      </c>
      <c r="D2863">
        <v>17</v>
      </c>
      <c r="E2863">
        <v>37104</v>
      </c>
      <c r="F2863" t="s">
        <v>1348</v>
      </c>
      <c r="G2863" s="1">
        <v>45234</v>
      </c>
      <c r="H2863">
        <v>5411903</v>
      </c>
      <c r="I2863">
        <v>122</v>
      </c>
      <c r="J2863" t="s">
        <v>396</v>
      </c>
      <c r="K2863" t="str">
        <f>IFERROR(IF(AND(VLOOKUP($C2863,Hes!$A:$B, 1, FALSE), $M2863&lt;&gt;" "), "Ingresada", "Falta Ingresar"), " ")</f>
        <v xml:space="preserve"> </v>
      </c>
      <c r="L2863" s="4" t="s">
        <v>681</v>
      </c>
      <c r="M2863" t="s">
        <v>681</v>
      </c>
      <c r="O2863" s="5">
        <v>30843551</v>
      </c>
      <c r="P2863" s="5">
        <v>253051</v>
      </c>
      <c r="Q2863" s="5">
        <v>48080</v>
      </c>
      <c r="R2863" s="5">
        <v>301131</v>
      </c>
    </row>
    <row r="2864" spans="1:18" x14ac:dyDescent="0.25">
      <c r="A2864" t="s">
        <v>503</v>
      </c>
      <c r="B2864" t="s">
        <v>494</v>
      </c>
      <c r="C2864">
        <v>79730570</v>
      </c>
      <c r="D2864">
        <v>12</v>
      </c>
      <c r="E2864">
        <v>37029</v>
      </c>
      <c r="F2864" t="s">
        <v>1348</v>
      </c>
      <c r="G2864" s="1">
        <v>45234</v>
      </c>
      <c r="H2864">
        <v>5411904</v>
      </c>
      <c r="I2864">
        <v>122</v>
      </c>
      <c r="J2864" t="s">
        <v>396</v>
      </c>
      <c r="K2864" t="str">
        <f>IFERROR(IF(AND(VLOOKUP($C2864,Hes!$A:$B, 1, FALSE), $M2864&lt;&gt;" "), "Ingresada", "Falta Ingresar"), " ")</f>
        <v xml:space="preserve"> </v>
      </c>
      <c r="L2864" s="4" t="s">
        <v>681</v>
      </c>
      <c r="M2864" t="s">
        <v>681</v>
      </c>
      <c r="O2864" s="5">
        <v>30838352</v>
      </c>
      <c r="P2864" s="5">
        <v>675612</v>
      </c>
      <c r="Q2864" s="5">
        <v>128366</v>
      </c>
      <c r="R2864" s="5">
        <v>803978</v>
      </c>
    </row>
    <row r="2865" spans="1:18" x14ac:dyDescent="0.25">
      <c r="A2865" t="s">
        <v>503</v>
      </c>
      <c r="B2865" t="s">
        <v>494</v>
      </c>
      <c r="C2865">
        <v>79730570</v>
      </c>
      <c r="D2865">
        <v>17</v>
      </c>
      <c r="E2865">
        <v>37103</v>
      </c>
      <c r="F2865" t="s">
        <v>1348</v>
      </c>
      <c r="G2865" s="1">
        <v>45234</v>
      </c>
      <c r="H2865">
        <v>5412545</v>
      </c>
      <c r="I2865">
        <v>122</v>
      </c>
      <c r="J2865" t="s">
        <v>396</v>
      </c>
      <c r="K2865" t="str">
        <f>IFERROR(IF(AND(VLOOKUP($C2865,Hes!$A:$B, 1, FALSE), $M2865&lt;&gt;" "), "Ingresada", "Falta Ingresar"), " ")</f>
        <v xml:space="preserve"> </v>
      </c>
      <c r="L2865" s="4" t="s">
        <v>681</v>
      </c>
      <c r="M2865" t="s">
        <v>681</v>
      </c>
      <c r="O2865" s="5">
        <v>30854158</v>
      </c>
      <c r="P2865" s="5">
        <v>125210</v>
      </c>
      <c r="Q2865" s="5">
        <v>23790</v>
      </c>
      <c r="R2865" s="5">
        <v>149000</v>
      </c>
    </row>
    <row r="2866" spans="1:18" x14ac:dyDescent="0.25">
      <c r="A2866" t="s">
        <v>503</v>
      </c>
      <c r="B2866" t="s">
        <v>494</v>
      </c>
      <c r="C2866">
        <v>79730570</v>
      </c>
      <c r="D2866">
        <v>9</v>
      </c>
      <c r="E2866">
        <v>37282</v>
      </c>
      <c r="F2866" t="s">
        <v>1348</v>
      </c>
      <c r="G2866" s="1">
        <v>45236</v>
      </c>
      <c r="H2866">
        <v>5413779</v>
      </c>
      <c r="I2866">
        <v>122</v>
      </c>
      <c r="J2866" t="s">
        <v>396</v>
      </c>
      <c r="K2866" t="str">
        <f>IFERROR(IF(AND(VLOOKUP($C2866,Hes!$A:$B, 1, FALSE), $M2866&lt;&gt;" "), "Ingresada", "Falta Ingresar"), " ")</f>
        <v xml:space="preserve"> </v>
      </c>
      <c r="L2866" s="4" t="s">
        <v>681</v>
      </c>
      <c r="M2866" t="s">
        <v>681</v>
      </c>
      <c r="O2866" s="5">
        <v>30852430</v>
      </c>
      <c r="P2866" s="5">
        <v>151701</v>
      </c>
      <c r="Q2866" s="5">
        <v>28823</v>
      </c>
      <c r="R2866" s="5">
        <v>180524</v>
      </c>
    </row>
    <row r="2867" spans="1:18" x14ac:dyDescent="0.25">
      <c r="A2867" t="s">
        <v>503</v>
      </c>
      <c r="B2867" t="s">
        <v>494</v>
      </c>
      <c r="C2867">
        <v>79730570</v>
      </c>
      <c r="D2867">
        <v>9</v>
      </c>
      <c r="E2867">
        <v>37411</v>
      </c>
      <c r="F2867" t="s">
        <v>1348</v>
      </c>
      <c r="G2867" s="1">
        <v>45238</v>
      </c>
      <c r="H2867">
        <v>5415789</v>
      </c>
      <c r="I2867">
        <v>122</v>
      </c>
      <c r="J2867" t="s">
        <v>396</v>
      </c>
      <c r="K2867" t="str">
        <f>IFERROR(IF(AND(VLOOKUP($C2867,Hes!$A:$B, 1, FALSE), $M2867&lt;&gt;" "), "Ingresada", "Falta Ingresar"), " ")</f>
        <v xml:space="preserve"> </v>
      </c>
      <c r="L2867" s="4" t="s">
        <v>681</v>
      </c>
      <c r="M2867" t="s">
        <v>681</v>
      </c>
      <c r="O2867" s="5">
        <v>30860592</v>
      </c>
      <c r="P2867" s="5">
        <v>43178</v>
      </c>
      <c r="Q2867" s="5">
        <v>8204</v>
      </c>
      <c r="R2867" s="5">
        <v>51382</v>
      </c>
    </row>
    <row r="2868" spans="1:18" x14ac:dyDescent="0.25">
      <c r="F2868" t="s">
        <v>499</v>
      </c>
      <c r="K2868" t="str">
        <f>IFERROR(IF(AND(VLOOKUP($C2868,Hes!$A:$B, 1, FALSE), $M2868&lt;&gt;" "), "Ingresada", "Falta Ingresar"), " ")</f>
        <v xml:space="preserve"> </v>
      </c>
      <c r="L2868" s="4" t="str">
        <f>IFERROR(VLOOKUP($C2868,Observaciones!$A:$B,2,FALSE)," ")</f>
        <v xml:space="preserve"> </v>
      </c>
      <c r="M2868" t="s">
        <v>681</v>
      </c>
      <c r="P2868" s="5">
        <v>1248752</v>
      </c>
      <c r="Q2868" s="5">
        <v>237263</v>
      </c>
      <c r="R2868" s="5">
        <v>1486015</v>
      </c>
    </row>
    <row r="2869" spans="1:18" x14ac:dyDescent="0.25">
      <c r="A2869" t="s">
        <v>503</v>
      </c>
      <c r="B2869" t="s">
        <v>494</v>
      </c>
      <c r="C2869">
        <v>79730880</v>
      </c>
      <c r="D2869">
        <v>13</v>
      </c>
      <c r="E2869">
        <v>87413</v>
      </c>
      <c r="F2869" t="s">
        <v>1349</v>
      </c>
      <c r="G2869" s="1">
        <v>45232</v>
      </c>
      <c r="H2869">
        <v>5410930</v>
      </c>
      <c r="I2869">
        <v>136</v>
      </c>
      <c r="J2869" t="s">
        <v>313</v>
      </c>
      <c r="K2869" t="str">
        <f>IFERROR(IF(AND(VLOOKUP($C2869,Hes!$A:$B, 1, FALSE), $M2869&lt;&gt;" "), "Ingresada", "Falta Ingresar"), " ")</f>
        <v xml:space="preserve"> </v>
      </c>
      <c r="L2869" s="4" t="s">
        <v>681</v>
      </c>
      <c r="M2869" t="s">
        <v>681</v>
      </c>
      <c r="O2869" s="5">
        <v>30842079</v>
      </c>
      <c r="P2869" s="5">
        <v>189120</v>
      </c>
      <c r="Q2869" s="5">
        <v>35933</v>
      </c>
      <c r="R2869" s="5">
        <v>225053</v>
      </c>
    </row>
    <row r="2870" spans="1:18" x14ac:dyDescent="0.25">
      <c r="A2870" t="s">
        <v>503</v>
      </c>
      <c r="B2870" t="s">
        <v>494</v>
      </c>
      <c r="C2870">
        <v>79730880</v>
      </c>
      <c r="D2870">
        <v>13</v>
      </c>
      <c r="E2870">
        <v>87409</v>
      </c>
      <c r="F2870" t="s">
        <v>1349</v>
      </c>
      <c r="G2870" s="1">
        <v>45232</v>
      </c>
      <c r="H2870">
        <v>5410975</v>
      </c>
      <c r="I2870">
        <v>136</v>
      </c>
      <c r="J2870" t="s">
        <v>313</v>
      </c>
      <c r="K2870" t="str">
        <f>IFERROR(IF(AND(VLOOKUP($C2870,Hes!$A:$B, 1, FALSE), $M2870&lt;&gt;" "), "Ingresada", "Falta Ingresar"), " ")</f>
        <v xml:space="preserve"> </v>
      </c>
      <c r="L2870" s="4" t="s">
        <v>681</v>
      </c>
      <c r="M2870" t="s">
        <v>681</v>
      </c>
      <c r="O2870" s="5">
        <v>30842105</v>
      </c>
      <c r="P2870" s="5">
        <v>285800</v>
      </c>
      <c r="Q2870" s="5">
        <v>54302</v>
      </c>
      <c r="R2870" s="5">
        <v>340102</v>
      </c>
    </row>
    <row r="2871" spans="1:18" x14ac:dyDescent="0.25">
      <c r="A2871" t="s">
        <v>503</v>
      </c>
      <c r="B2871" t="s">
        <v>494</v>
      </c>
      <c r="C2871">
        <v>79730880</v>
      </c>
      <c r="D2871">
        <v>13</v>
      </c>
      <c r="E2871">
        <v>87410</v>
      </c>
      <c r="F2871" t="s">
        <v>1349</v>
      </c>
      <c r="G2871" s="1">
        <v>45232</v>
      </c>
      <c r="H2871">
        <v>5410987</v>
      </c>
      <c r="I2871">
        <v>136</v>
      </c>
      <c r="J2871" t="s">
        <v>313</v>
      </c>
      <c r="K2871" t="str">
        <f>IFERROR(IF(AND(VLOOKUP($C2871,Hes!$A:$B, 1, FALSE), $M2871&lt;&gt;" "), "Ingresada", "Falta Ingresar"), " ")</f>
        <v xml:space="preserve"> </v>
      </c>
      <c r="L2871" s="4" t="s">
        <v>681</v>
      </c>
      <c r="M2871" t="s">
        <v>681</v>
      </c>
      <c r="O2871" s="5">
        <v>30842114</v>
      </c>
      <c r="P2871" s="5">
        <v>172050</v>
      </c>
      <c r="Q2871" s="5">
        <v>32690</v>
      </c>
      <c r="R2871" s="5">
        <v>204740</v>
      </c>
    </row>
    <row r="2872" spans="1:18" x14ac:dyDescent="0.25">
      <c r="A2872" t="s">
        <v>503</v>
      </c>
      <c r="B2872" t="s">
        <v>494</v>
      </c>
      <c r="C2872">
        <v>79730880</v>
      </c>
      <c r="D2872">
        <v>13</v>
      </c>
      <c r="E2872">
        <v>87412</v>
      </c>
      <c r="F2872" t="s">
        <v>1349</v>
      </c>
      <c r="G2872" s="1">
        <v>45232</v>
      </c>
      <c r="H2872">
        <v>5411166</v>
      </c>
      <c r="I2872">
        <v>136</v>
      </c>
      <c r="J2872" t="s">
        <v>313</v>
      </c>
      <c r="K2872" t="str">
        <f>IFERROR(IF(AND(VLOOKUP($C2872,Hes!$A:$B, 1, FALSE), $M2872&lt;&gt;" "), "Ingresada", "Falta Ingresar"), " ")</f>
        <v xml:space="preserve"> </v>
      </c>
      <c r="L2872" s="4" t="s">
        <v>681</v>
      </c>
      <c r="M2872" t="s">
        <v>681</v>
      </c>
      <c r="O2872" s="5">
        <v>30842073</v>
      </c>
      <c r="P2872" s="5">
        <v>294710</v>
      </c>
      <c r="Q2872" s="5">
        <v>55995</v>
      </c>
      <c r="R2872" s="5">
        <v>350705</v>
      </c>
    </row>
    <row r="2873" spans="1:18" x14ac:dyDescent="0.25">
      <c r="A2873" t="s">
        <v>503</v>
      </c>
      <c r="B2873" t="s">
        <v>494</v>
      </c>
      <c r="C2873">
        <v>79730880</v>
      </c>
      <c r="D2873">
        <v>13</v>
      </c>
      <c r="E2873">
        <v>87411</v>
      </c>
      <c r="F2873" t="s">
        <v>1349</v>
      </c>
      <c r="G2873" s="1">
        <v>45233</v>
      </c>
      <c r="H2873">
        <v>5411420</v>
      </c>
      <c r="I2873">
        <v>136</v>
      </c>
      <c r="J2873" t="s">
        <v>313</v>
      </c>
      <c r="K2873" t="str">
        <f>IFERROR(IF(AND(VLOOKUP($C2873,Hes!$A:$B, 1, FALSE), $M2873&lt;&gt;" "), "Ingresada", "Falta Ingresar"), " ")</f>
        <v xml:space="preserve"> </v>
      </c>
      <c r="L2873" s="4" t="s">
        <v>681</v>
      </c>
      <c r="M2873" t="s">
        <v>681</v>
      </c>
      <c r="O2873" s="5">
        <v>30842065</v>
      </c>
      <c r="P2873" s="5">
        <v>230124</v>
      </c>
      <c r="Q2873" s="5">
        <v>43724</v>
      </c>
      <c r="R2873" s="5">
        <v>273848</v>
      </c>
    </row>
    <row r="2874" spans="1:18" x14ac:dyDescent="0.25">
      <c r="A2874" t="s">
        <v>503</v>
      </c>
      <c r="B2874" t="s">
        <v>494</v>
      </c>
      <c r="C2874">
        <v>79730880</v>
      </c>
      <c r="D2874">
        <v>13</v>
      </c>
      <c r="E2874">
        <v>87408</v>
      </c>
      <c r="F2874" t="s">
        <v>1349</v>
      </c>
      <c r="G2874" s="1">
        <v>45233</v>
      </c>
      <c r="H2874">
        <v>5411421</v>
      </c>
      <c r="I2874">
        <v>136</v>
      </c>
      <c r="J2874" t="s">
        <v>313</v>
      </c>
      <c r="K2874" t="str">
        <f>IFERROR(IF(AND(VLOOKUP($C2874,Hes!$A:$B, 1, FALSE), $M2874&lt;&gt;" "), "Ingresada", "Falta Ingresar"), " ")</f>
        <v xml:space="preserve"> </v>
      </c>
      <c r="L2874" s="4" t="s">
        <v>681</v>
      </c>
      <c r="M2874" t="s">
        <v>681</v>
      </c>
      <c r="O2874" s="5">
        <v>30842082</v>
      </c>
      <c r="P2874" s="5">
        <v>817140</v>
      </c>
      <c r="Q2874" s="5">
        <v>155257</v>
      </c>
      <c r="R2874" s="5">
        <v>972397</v>
      </c>
    </row>
    <row r="2875" spans="1:18" x14ac:dyDescent="0.25">
      <c r="A2875" t="s">
        <v>503</v>
      </c>
      <c r="B2875" t="s">
        <v>494</v>
      </c>
      <c r="C2875">
        <v>79730880</v>
      </c>
      <c r="D2875">
        <v>0</v>
      </c>
      <c r="E2875">
        <v>87445</v>
      </c>
      <c r="F2875" t="s">
        <v>1349</v>
      </c>
      <c r="G2875" s="1">
        <v>45236</v>
      </c>
      <c r="H2875">
        <v>5413562</v>
      </c>
      <c r="I2875">
        <v>136</v>
      </c>
      <c r="J2875" t="s">
        <v>313</v>
      </c>
      <c r="K2875" t="str">
        <f>IFERROR(IF(AND(VLOOKUP($C2875,Hes!$A:$B, 1, FALSE), $M2875&lt;&gt;" "), "Ingresada", "Falta Ingresar"), " ")</f>
        <v xml:space="preserve"> </v>
      </c>
      <c r="L2875" s="4" t="s">
        <v>681</v>
      </c>
      <c r="M2875" t="s">
        <v>681</v>
      </c>
      <c r="O2875" s="5">
        <v>30844764</v>
      </c>
      <c r="P2875" s="5">
        <v>40049</v>
      </c>
      <c r="Q2875" s="5">
        <v>7609</v>
      </c>
      <c r="R2875" s="5">
        <v>47658</v>
      </c>
    </row>
    <row r="2876" spans="1:18" x14ac:dyDescent="0.25">
      <c r="A2876" t="s">
        <v>503</v>
      </c>
      <c r="B2876" t="s">
        <v>494</v>
      </c>
      <c r="C2876">
        <v>79730880</v>
      </c>
      <c r="D2876">
        <v>0</v>
      </c>
      <c r="E2876">
        <v>87442</v>
      </c>
      <c r="F2876" t="s">
        <v>1349</v>
      </c>
      <c r="G2876" s="1">
        <v>45236</v>
      </c>
      <c r="H2876">
        <v>5413666</v>
      </c>
      <c r="I2876">
        <v>136</v>
      </c>
      <c r="J2876" t="s">
        <v>313</v>
      </c>
      <c r="K2876" t="str">
        <f>IFERROR(IF(AND(VLOOKUP($C2876,Hes!$A:$B, 1, FALSE), $M2876&lt;&gt;" "), "Ingresada", "Falta Ingresar"), " ")</f>
        <v xml:space="preserve"> </v>
      </c>
      <c r="L2876" s="4" t="s">
        <v>681</v>
      </c>
      <c r="M2876" t="s">
        <v>681</v>
      </c>
      <c r="O2876" s="5">
        <v>30844715</v>
      </c>
      <c r="P2876" s="5">
        <v>130934</v>
      </c>
      <c r="Q2876" s="5">
        <v>24877</v>
      </c>
      <c r="R2876" s="5">
        <v>155811</v>
      </c>
    </row>
    <row r="2877" spans="1:18" x14ac:dyDescent="0.25">
      <c r="F2877" t="s">
        <v>511</v>
      </c>
      <c r="K2877" t="str">
        <f>IFERROR(IF(AND(VLOOKUP($C2877,Hes!$A:$B, 1, FALSE), $M2877&lt;&gt;" "), "Ingresada", "Falta Ingresar"), " ")</f>
        <v xml:space="preserve"> </v>
      </c>
      <c r="L2877" s="4" t="str">
        <f>IFERROR(VLOOKUP($C2877,Observaciones!$A:$B,2,FALSE)," ")</f>
        <v xml:space="preserve"> </v>
      </c>
      <c r="M2877" t="s">
        <v>681</v>
      </c>
      <c r="P2877" s="5">
        <v>2159927</v>
      </c>
      <c r="Q2877" s="5">
        <v>410387</v>
      </c>
      <c r="R2877" s="5">
        <v>2570314</v>
      </c>
    </row>
    <row r="2878" spans="1:18" x14ac:dyDescent="0.25">
      <c r="A2878" t="s">
        <v>513</v>
      </c>
      <c r="B2878" t="s">
        <v>494</v>
      </c>
      <c r="C2878">
        <v>79740770</v>
      </c>
      <c r="D2878">
        <v>20</v>
      </c>
      <c r="E2878">
        <v>30845020</v>
      </c>
      <c r="F2878" t="s">
        <v>586</v>
      </c>
      <c r="G2878" s="1">
        <v>45231</v>
      </c>
      <c r="H2878">
        <v>5410851</v>
      </c>
      <c r="I2878">
        <v>132</v>
      </c>
      <c r="J2878" t="s">
        <v>416</v>
      </c>
      <c r="K2878" s="8" t="str">
        <f>IFERROR(IF(AND(VLOOKUP($C2878,Hes!$A:$B, 1, FALSE), $M2878&lt;&gt;" "), "Ingresada", "Falta Ingresar"), " ")</f>
        <v>Falta Ingresar</v>
      </c>
      <c r="L2878" s="4" t="str">
        <f>IFERROR(VLOOKUP($C2878,Observaciones!$A:$B,2,FALSE)," ")</f>
        <v>XOC Y CC</v>
      </c>
      <c r="M2878" t="s">
        <v>681</v>
      </c>
      <c r="N2878" s="5" t="s">
        <v>841</v>
      </c>
      <c r="O2878" s="5">
        <v>30845020</v>
      </c>
      <c r="P2878" s="5">
        <v>33210</v>
      </c>
      <c r="Q2878" s="5">
        <v>6310</v>
      </c>
      <c r="R2878" s="5">
        <v>39520</v>
      </c>
    </row>
    <row r="2879" spans="1:18" x14ac:dyDescent="0.25">
      <c r="A2879" t="s">
        <v>513</v>
      </c>
      <c r="B2879" t="s">
        <v>494</v>
      </c>
      <c r="C2879">
        <v>79740770</v>
      </c>
      <c r="D2879">
        <v>12</v>
      </c>
      <c r="E2879">
        <v>30851808</v>
      </c>
      <c r="F2879" t="s">
        <v>586</v>
      </c>
      <c r="G2879" s="1">
        <v>45234</v>
      </c>
      <c r="H2879">
        <v>5412073</v>
      </c>
      <c r="I2879">
        <v>132</v>
      </c>
      <c r="J2879" t="s">
        <v>416</v>
      </c>
      <c r="K2879" s="8" t="str">
        <f>IFERROR(IF(AND(VLOOKUP($C2879,Hes!$A:$B, 1, FALSE), $M2879&lt;&gt;" "), "Ingresada", "Falta Ingresar"), " ")</f>
        <v>Falta Ingresar</v>
      </c>
      <c r="L2879" s="4" t="str">
        <f>IFERROR(VLOOKUP($C2879,Observaciones!$A:$B,2,FALSE)," ")</f>
        <v>XOC Y CC</v>
      </c>
      <c r="M2879" t="s">
        <v>681</v>
      </c>
      <c r="N2879" s="5" t="s">
        <v>841</v>
      </c>
      <c r="O2879" s="5">
        <v>30851808</v>
      </c>
      <c r="P2879" s="5">
        <v>227499</v>
      </c>
      <c r="Q2879" s="5">
        <v>43225</v>
      </c>
      <c r="R2879" s="5">
        <v>270724</v>
      </c>
    </row>
    <row r="2880" spans="1:18" x14ac:dyDescent="0.25">
      <c r="A2880" t="s">
        <v>513</v>
      </c>
      <c r="B2880" t="s">
        <v>494</v>
      </c>
      <c r="C2880">
        <v>79740770</v>
      </c>
      <c r="D2880">
        <v>20</v>
      </c>
      <c r="E2880">
        <v>30851809</v>
      </c>
      <c r="F2880" t="s">
        <v>586</v>
      </c>
      <c r="G2880" s="1">
        <v>45234</v>
      </c>
      <c r="H2880">
        <v>5412074</v>
      </c>
      <c r="I2880">
        <v>132</v>
      </c>
      <c r="J2880" t="s">
        <v>416</v>
      </c>
      <c r="K2880" s="8" t="str">
        <f>IFERROR(IF(AND(VLOOKUP($C2880,Hes!$A:$B, 1, FALSE), $M2880&lt;&gt;" "), "Ingresada", "Falta Ingresar"), " ")</f>
        <v>Falta Ingresar</v>
      </c>
      <c r="L2880" s="4" t="str">
        <f>IFERROR(VLOOKUP($C2880,Observaciones!$A:$B,2,FALSE)," ")</f>
        <v>XOC Y CC</v>
      </c>
      <c r="M2880" t="s">
        <v>681</v>
      </c>
      <c r="N2880" s="5" t="s">
        <v>841</v>
      </c>
      <c r="O2880" s="5">
        <v>30851809</v>
      </c>
      <c r="P2880" s="5">
        <v>198139</v>
      </c>
      <c r="Q2880" s="5">
        <v>37646</v>
      </c>
      <c r="R2880" s="5">
        <v>235785</v>
      </c>
    </row>
    <row r="2881" spans="1:18" x14ac:dyDescent="0.25">
      <c r="F2881" t="s">
        <v>500</v>
      </c>
      <c r="K2881" t="str">
        <f>IFERROR(IF(AND(VLOOKUP($C2881,Hes!$A:$B, 1, FALSE), $M2881&lt;&gt;" "), "Ingresada", "Falta Ingresar"), " ")</f>
        <v xml:space="preserve"> </v>
      </c>
      <c r="L2881" s="4" t="str">
        <f>IFERROR(VLOOKUP($C2881,Observaciones!$A:$B,2,FALSE)," ")</f>
        <v xml:space="preserve"> </v>
      </c>
      <c r="M2881" t="s">
        <v>681</v>
      </c>
      <c r="P2881" s="5">
        <v>458848</v>
      </c>
      <c r="Q2881" s="5">
        <v>87181</v>
      </c>
      <c r="R2881" s="5">
        <v>546029</v>
      </c>
    </row>
    <row r="2882" spans="1:18" x14ac:dyDescent="0.25">
      <c r="A2882" t="s">
        <v>496</v>
      </c>
      <c r="B2882" t="s">
        <v>494</v>
      </c>
      <c r="C2882">
        <v>79768170</v>
      </c>
      <c r="D2882">
        <v>8</v>
      </c>
      <c r="E2882">
        <v>4900072925</v>
      </c>
      <c r="F2882" t="s">
        <v>1350</v>
      </c>
      <c r="G2882" s="1">
        <v>45238</v>
      </c>
      <c r="H2882">
        <v>5415372</v>
      </c>
      <c r="I2882">
        <v>81</v>
      </c>
      <c r="J2882" t="s">
        <v>144</v>
      </c>
      <c r="K2882" t="str">
        <f>IFERROR(IF(AND(VLOOKUP($C2882,Hes!$A:$B, 1, FALSE), $M2882&lt;&gt;" "), "Ingresada", "Falta Ingresar"), " ")</f>
        <v xml:space="preserve"> </v>
      </c>
      <c r="L2882" s="4" t="str">
        <f>IFERROR(VLOOKUP($C2882,Observaciones!$A:$B,2,FALSE)," ")</f>
        <v xml:space="preserve"> </v>
      </c>
      <c r="M2882" t="s">
        <v>681</v>
      </c>
      <c r="O2882" s="5">
        <v>30862513</v>
      </c>
      <c r="P2882" s="5">
        <v>218643</v>
      </c>
      <c r="Q2882" s="5">
        <v>41542</v>
      </c>
      <c r="R2882" s="5">
        <v>260185</v>
      </c>
    </row>
    <row r="2883" spans="1:18" x14ac:dyDescent="0.25">
      <c r="F2883" t="s">
        <v>495</v>
      </c>
      <c r="K2883" t="str">
        <f>IFERROR(IF(AND(VLOOKUP($C2883,Hes!$A:$B, 1, FALSE), $M2883&lt;&gt;" "), "Ingresada", "Falta Ingresar"), " ")</f>
        <v xml:space="preserve"> </v>
      </c>
      <c r="L2883" s="4" t="str">
        <f>IFERROR(VLOOKUP($C2883,Observaciones!$A:$B,2,FALSE)," ")</f>
        <v xml:space="preserve"> </v>
      </c>
      <c r="M2883" t="s">
        <v>681</v>
      </c>
      <c r="P2883" s="5">
        <v>218643</v>
      </c>
      <c r="Q2883" s="5">
        <v>41542</v>
      </c>
      <c r="R2883" s="5">
        <v>260185</v>
      </c>
    </row>
    <row r="2884" spans="1:18" x14ac:dyDescent="0.25">
      <c r="A2884" t="s">
        <v>503</v>
      </c>
      <c r="B2884" t="s">
        <v>494</v>
      </c>
      <c r="C2884">
        <v>79775100</v>
      </c>
      <c r="D2884">
        <v>6</v>
      </c>
      <c r="E2884">
        <v>1563</v>
      </c>
      <c r="F2884" t="s">
        <v>1351</v>
      </c>
      <c r="G2884" s="1">
        <v>45234</v>
      </c>
      <c r="H2884">
        <v>5411757</v>
      </c>
      <c r="I2884">
        <v>109</v>
      </c>
      <c r="J2884" t="s">
        <v>392</v>
      </c>
      <c r="K2884" t="str">
        <f>IFERROR(IF(AND(VLOOKUP($C2884,Hes!$A:$B, 1, FALSE), $M2884&lt;&gt;" "), "Ingresada", "Falta Ingresar"), " ")</f>
        <v xml:space="preserve"> </v>
      </c>
      <c r="L2884" s="4" t="str">
        <f>IFERROR(VLOOKUP($C2884,Observaciones!$A:$B,2,FALSE)," ")</f>
        <v>VENDEDOR VA ENVIANDO OC</v>
      </c>
      <c r="M2884" t="s">
        <v>681</v>
      </c>
      <c r="O2884" s="5">
        <v>30844070</v>
      </c>
      <c r="P2884" s="5">
        <v>1094553</v>
      </c>
      <c r="Q2884" s="5">
        <v>207965</v>
      </c>
      <c r="R2884" s="5">
        <v>1302518</v>
      </c>
    </row>
    <row r="2885" spans="1:18" x14ac:dyDescent="0.25">
      <c r="A2885" t="s">
        <v>503</v>
      </c>
      <c r="B2885" t="s">
        <v>494</v>
      </c>
      <c r="C2885">
        <v>79775100</v>
      </c>
      <c r="D2885">
        <v>6</v>
      </c>
      <c r="E2885">
        <v>1560</v>
      </c>
      <c r="F2885" t="s">
        <v>1351</v>
      </c>
      <c r="G2885" s="1">
        <v>45234</v>
      </c>
      <c r="H2885">
        <v>5411765</v>
      </c>
      <c r="I2885">
        <v>109</v>
      </c>
      <c r="J2885" t="s">
        <v>392</v>
      </c>
      <c r="K2885" t="str">
        <f>IFERROR(IF(AND(VLOOKUP($C2885,Hes!$A:$B, 1, FALSE), $M2885&lt;&gt;" "), "Ingresada", "Falta Ingresar"), " ")</f>
        <v xml:space="preserve"> </v>
      </c>
      <c r="L2885" s="4" t="str">
        <f>IFERROR(VLOOKUP($C2885,Observaciones!$A:$B,2,FALSE)," ")</f>
        <v>VENDEDOR VA ENVIANDO OC</v>
      </c>
      <c r="M2885" t="s">
        <v>681</v>
      </c>
      <c r="O2885" s="5">
        <v>30846419</v>
      </c>
      <c r="P2885" s="5">
        <v>85605</v>
      </c>
      <c r="Q2885" s="5">
        <v>16265</v>
      </c>
      <c r="R2885" s="5">
        <v>101870</v>
      </c>
    </row>
    <row r="2886" spans="1:18" x14ac:dyDescent="0.25">
      <c r="A2886" t="s">
        <v>503</v>
      </c>
      <c r="B2886" t="s">
        <v>494</v>
      </c>
      <c r="C2886">
        <v>79775100</v>
      </c>
      <c r="D2886">
        <v>2</v>
      </c>
      <c r="E2886">
        <v>5434</v>
      </c>
      <c r="F2886" t="s">
        <v>1351</v>
      </c>
      <c r="G2886" s="1">
        <v>45234</v>
      </c>
      <c r="H2886">
        <v>5412544</v>
      </c>
      <c r="I2886">
        <v>109</v>
      </c>
      <c r="J2886" t="s">
        <v>392</v>
      </c>
      <c r="K2886" t="str">
        <f>IFERROR(IF(AND(VLOOKUP($C2886,Hes!$A:$B, 1, FALSE), $M2886&lt;&gt;" "), "Ingresada", "Falta Ingresar"), " ")</f>
        <v xml:space="preserve"> </v>
      </c>
      <c r="L2886" s="4" t="str">
        <f>IFERROR(VLOOKUP($C2886,Observaciones!$A:$B,2,FALSE)," ")</f>
        <v>VENDEDOR VA ENVIANDO OC</v>
      </c>
      <c r="M2886" t="s">
        <v>681</v>
      </c>
      <c r="O2886" s="5">
        <v>30843960</v>
      </c>
      <c r="P2886" s="5">
        <v>192586</v>
      </c>
      <c r="Q2886" s="5">
        <v>36591</v>
      </c>
      <c r="R2886" s="5">
        <v>229177</v>
      </c>
    </row>
    <row r="2887" spans="1:18" x14ac:dyDescent="0.25">
      <c r="F2887" t="s">
        <v>500</v>
      </c>
      <c r="K2887" t="str">
        <f>IFERROR(IF(AND(VLOOKUP($C2887,Hes!$A:$B, 1, FALSE), $M2887&lt;&gt;" "), "Ingresada", "Falta Ingresar"), " ")</f>
        <v xml:space="preserve"> </v>
      </c>
      <c r="L2887" s="4" t="str">
        <f>IFERROR(VLOOKUP($C2887,Observaciones!$A:$B,2,FALSE)," ")</f>
        <v xml:space="preserve"> </v>
      </c>
      <c r="M2887" t="s">
        <v>681</v>
      </c>
      <c r="P2887" s="5">
        <v>1372744</v>
      </c>
      <c r="Q2887" s="5">
        <v>260821</v>
      </c>
      <c r="R2887" s="5">
        <v>1633565</v>
      </c>
    </row>
    <row r="2888" spans="1:18" x14ac:dyDescent="0.25">
      <c r="A2888" t="s">
        <v>1352</v>
      </c>
      <c r="B2888" t="s">
        <v>494</v>
      </c>
      <c r="C2888">
        <v>79853470</v>
      </c>
      <c r="D2888">
        <v>1141</v>
      </c>
      <c r="E2888" t="s">
        <v>1353</v>
      </c>
      <c r="F2888" t="s">
        <v>1354</v>
      </c>
      <c r="G2888" s="1">
        <v>45233</v>
      </c>
      <c r="H2888">
        <v>5411513</v>
      </c>
      <c r="I2888">
        <v>64</v>
      </c>
      <c r="J2888" t="s">
        <v>138</v>
      </c>
      <c r="K2888" t="str">
        <f>IFERROR(IF(AND(VLOOKUP($C2888,Hes!$A:$B, 1, FALSE), $M2888&lt;&gt;" "), "Ingresada", "Falta Ingresar"), " ")</f>
        <v xml:space="preserve"> </v>
      </c>
      <c r="L2888" s="4" t="str">
        <f>IFERROR(VLOOKUP($C2888,Observaciones!$A:$B,2,FALSE)," ")</f>
        <v xml:space="preserve"> </v>
      </c>
      <c r="M2888" t="s">
        <v>681</v>
      </c>
      <c r="O2888" s="5">
        <v>30850691</v>
      </c>
      <c r="P2888" s="5">
        <v>98963</v>
      </c>
      <c r="Q2888" s="5">
        <v>18803</v>
      </c>
      <c r="R2888" s="5">
        <v>117766</v>
      </c>
    </row>
    <row r="2889" spans="1:18" x14ac:dyDescent="0.25">
      <c r="A2889" t="s">
        <v>1352</v>
      </c>
      <c r="B2889" t="s">
        <v>494</v>
      </c>
      <c r="C2889">
        <v>79853470</v>
      </c>
      <c r="D2889">
        <v>141</v>
      </c>
      <c r="E2889">
        <v>30854824</v>
      </c>
      <c r="F2889" t="s">
        <v>1354</v>
      </c>
      <c r="G2889" s="1">
        <v>45236</v>
      </c>
      <c r="H2889">
        <v>5412769</v>
      </c>
      <c r="I2889">
        <v>64</v>
      </c>
      <c r="J2889" t="s">
        <v>138</v>
      </c>
      <c r="K2889" t="str">
        <f>IFERROR(IF(AND(VLOOKUP($C2889,Hes!$A:$B, 1, FALSE), $M2889&lt;&gt;" "), "Ingresada", "Falta Ingresar"), " ")</f>
        <v xml:space="preserve"> </v>
      </c>
      <c r="L2889" s="4" t="str">
        <f>IFERROR(VLOOKUP($C2889,Observaciones!$A:$B,2,FALSE)," ")</f>
        <v xml:space="preserve"> </v>
      </c>
      <c r="M2889" t="s">
        <v>681</v>
      </c>
      <c r="O2889" s="5">
        <v>30854824</v>
      </c>
      <c r="P2889" s="5">
        <v>29781</v>
      </c>
      <c r="Q2889" s="5">
        <v>5658</v>
      </c>
      <c r="R2889" s="5">
        <v>35439</v>
      </c>
    </row>
    <row r="2890" spans="1:18" x14ac:dyDescent="0.25">
      <c r="A2890" t="s">
        <v>1352</v>
      </c>
      <c r="B2890" t="s">
        <v>494</v>
      </c>
      <c r="C2890">
        <v>79853470</v>
      </c>
      <c r="D2890">
        <v>90</v>
      </c>
      <c r="E2890">
        <v>30854988</v>
      </c>
      <c r="F2890" t="s">
        <v>1354</v>
      </c>
      <c r="G2890" s="1">
        <v>45236</v>
      </c>
      <c r="H2890">
        <v>5412823</v>
      </c>
      <c r="I2890">
        <v>64</v>
      </c>
      <c r="J2890" t="s">
        <v>138</v>
      </c>
      <c r="K2890" t="str">
        <f>IFERROR(IF(AND(VLOOKUP($C2890,Hes!$A:$B, 1, FALSE), $M2890&lt;&gt;" "), "Ingresada", "Falta Ingresar"), " ")</f>
        <v xml:space="preserve"> </v>
      </c>
      <c r="L2890" s="4" t="str">
        <f>IFERROR(VLOOKUP($C2890,Observaciones!$A:$B,2,FALSE)," ")</f>
        <v xml:space="preserve"> </v>
      </c>
      <c r="M2890" t="s">
        <v>681</v>
      </c>
      <c r="O2890" s="5">
        <v>30854988</v>
      </c>
      <c r="P2890" s="5">
        <v>172279</v>
      </c>
      <c r="Q2890" s="5">
        <v>32733</v>
      </c>
      <c r="R2890" s="5">
        <v>205012</v>
      </c>
    </row>
    <row r="2891" spans="1:18" x14ac:dyDescent="0.25">
      <c r="A2891" t="s">
        <v>1352</v>
      </c>
      <c r="B2891" t="s">
        <v>494</v>
      </c>
      <c r="C2891">
        <v>79853470</v>
      </c>
      <c r="D2891">
        <v>187</v>
      </c>
      <c r="E2891">
        <v>30855595</v>
      </c>
      <c r="F2891" t="s">
        <v>1354</v>
      </c>
      <c r="G2891" s="1">
        <v>45234</v>
      </c>
      <c r="H2891">
        <v>5412889</v>
      </c>
      <c r="I2891">
        <v>64</v>
      </c>
      <c r="J2891" t="s">
        <v>138</v>
      </c>
      <c r="K2891" t="str">
        <f>IFERROR(IF(AND(VLOOKUP($C2891,Hes!$A:$B, 1, FALSE), $M2891&lt;&gt;" "), "Ingresada", "Falta Ingresar"), " ")</f>
        <v xml:space="preserve"> </v>
      </c>
      <c r="L2891" s="4" t="str">
        <f>IFERROR(VLOOKUP($C2891,Observaciones!$A:$B,2,FALSE)," ")</f>
        <v xml:space="preserve"> </v>
      </c>
      <c r="M2891" t="s">
        <v>681</v>
      </c>
      <c r="O2891" s="5">
        <v>30855595</v>
      </c>
      <c r="P2891" s="5">
        <v>38666</v>
      </c>
      <c r="Q2891" s="5">
        <v>7347</v>
      </c>
      <c r="R2891" s="5">
        <v>46013</v>
      </c>
    </row>
    <row r="2892" spans="1:18" x14ac:dyDescent="0.25">
      <c r="A2892" t="s">
        <v>1352</v>
      </c>
      <c r="B2892" t="s">
        <v>494</v>
      </c>
      <c r="C2892">
        <v>79853470</v>
      </c>
      <c r="D2892">
        <v>133</v>
      </c>
      <c r="E2892">
        <v>30856060</v>
      </c>
      <c r="F2892" t="s">
        <v>1354</v>
      </c>
      <c r="G2892" s="1">
        <v>45236</v>
      </c>
      <c r="H2892">
        <v>5412904</v>
      </c>
      <c r="I2892">
        <v>64</v>
      </c>
      <c r="J2892" t="s">
        <v>138</v>
      </c>
      <c r="K2892" t="str">
        <f>IFERROR(IF(AND(VLOOKUP($C2892,Hes!$A:$B, 1, FALSE), $M2892&lt;&gt;" "), "Ingresada", "Falta Ingresar"), " ")</f>
        <v xml:space="preserve"> </v>
      </c>
      <c r="L2892" s="4" t="str">
        <f>IFERROR(VLOOKUP($C2892,Observaciones!$A:$B,2,FALSE)," ")</f>
        <v xml:space="preserve"> </v>
      </c>
      <c r="M2892" t="s">
        <v>681</v>
      </c>
      <c r="O2892" s="5">
        <v>30856060</v>
      </c>
      <c r="P2892" s="5">
        <v>48822</v>
      </c>
      <c r="Q2892" s="5">
        <v>9276</v>
      </c>
      <c r="R2892" s="5">
        <v>58098</v>
      </c>
    </row>
    <row r="2893" spans="1:18" x14ac:dyDescent="0.25">
      <c r="A2893" t="s">
        <v>1352</v>
      </c>
      <c r="B2893" t="s">
        <v>494</v>
      </c>
      <c r="C2893">
        <v>79853470</v>
      </c>
      <c r="D2893">
        <v>1126</v>
      </c>
      <c r="E2893">
        <v>30854806</v>
      </c>
      <c r="F2893" t="s">
        <v>1354</v>
      </c>
      <c r="G2893" s="1">
        <v>45234</v>
      </c>
      <c r="H2893">
        <v>5412907</v>
      </c>
      <c r="I2893">
        <v>64</v>
      </c>
      <c r="J2893" t="s">
        <v>138</v>
      </c>
      <c r="K2893" t="str">
        <f>IFERROR(IF(AND(VLOOKUP($C2893,Hes!$A:$B, 1, FALSE), $M2893&lt;&gt;" "), "Ingresada", "Falta Ingresar"), " ")</f>
        <v xml:space="preserve"> </v>
      </c>
      <c r="L2893" s="4" t="str">
        <f>IFERROR(VLOOKUP($C2893,Observaciones!$A:$B,2,FALSE)," ")</f>
        <v xml:space="preserve"> </v>
      </c>
      <c r="M2893" t="s">
        <v>681</v>
      </c>
      <c r="O2893" s="5">
        <v>30854806</v>
      </c>
      <c r="P2893" s="5">
        <v>44905</v>
      </c>
      <c r="Q2893" s="5">
        <v>8532</v>
      </c>
      <c r="R2893" s="5">
        <v>53437</v>
      </c>
    </row>
    <row r="2894" spans="1:18" x14ac:dyDescent="0.25">
      <c r="A2894" t="s">
        <v>1352</v>
      </c>
      <c r="B2894" t="s">
        <v>494</v>
      </c>
      <c r="C2894">
        <v>79853470</v>
      </c>
      <c r="D2894">
        <v>2</v>
      </c>
      <c r="E2894">
        <v>30856191</v>
      </c>
      <c r="F2894" t="s">
        <v>1354</v>
      </c>
      <c r="G2894" s="1">
        <v>45236</v>
      </c>
      <c r="H2894">
        <v>5412921</v>
      </c>
      <c r="I2894">
        <v>64</v>
      </c>
      <c r="J2894" t="s">
        <v>138</v>
      </c>
      <c r="K2894" t="str">
        <f>IFERROR(IF(AND(VLOOKUP($C2894,Hes!$A:$B, 1, FALSE), $M2894&lt;&gt;" "), "Ingresada", "Falta Ingresar"), " ")</f>
        <v xml:space="preserve"> </v>
      </c>
      <c r="L2894" s="4" t="str">
        <f>IFERROR(VLOOKUP($C2894,Observaciones!$A:$B,2,FALSE)," ")</f>
        <v xml:space="preserve"> </v>
      </c>
      <c r="M2894" t="s">
        <v>681</v>
      </c>
      <c r="O2894" s="5">
        <v>30856191</v>
      </c>
      <c r="P2894" s="5">
        <v>107294</v>
      </c>
      <c r="Q2894" s="5">
        <v>20386</v>
      </c>
      <c r="R2894" s="5">
        <v>127680</v>
      </c>
    </row>
    <row r="2895" spans="1:18" x14ac:dyDescent="0.25">
      <c r="A2895" t="s">
        <v>1352</v>
      </c>
      <c r="B2895" t="s">
        <v>494</v>
      </c>
      <c r="C2895">
        <v>79853470</v>
      </c>
      <c r="D2895">
        <v>163</v>
      </c>
      <c r="E2895">
        <v>30855562</v>
      </c>
      <c r="F2895" t="s">
        <v>1354</v>
      </c>
      <c r="G2895" s="1">
        <v>45234</v>
      </c>
      <c r="H2895">
        <v>5412927</v>
      </c>
      <c r="I2895">
        <v>64</v>
      </c>
      <c r="J2895" t="s">
        <v>138</v>
      </c>
      <c r="K2895" t="str">
        <f>IFERROR(IF(AND(VLOOKUP($C2895,Hes!$A:$B, 1, FALSE), $M2895&lt;&gt;" "), "Ingresada", "Falta Ingresar"), " ")</f>
        <v xml:space="preserve"> </v>
      </c>
      <c r="L2895" s="4" t="str">
        <f>IFERROR(VLOOKUP($C2895,Observaciones!$A:$B,2,FALSE)," ")</f>
        <v xml:space="preserve"> </v>
      </c>
      <c r="M2895" t="s">
        <v>681</v>
      </c>
      <c r="O2895" s="5">
        <v>30855562</v>
      </c>
      <c r="P2895" s="5">
        <v>30651</v>
      </c>
      <c r="Q2895" s="5">
        <v>5824</v>
      </c>
      <c r="R2895" s="5">
        <v>36475</v>
      </c>
    </row>
    <row r="2896" spans="1:18" x14ac:dyDescent="0.25">
      <c r="A2896" t="s">
        <v>1352</v>
      </c>
      <c r="B2896" t="s">
        <v>494</v>
      </c>
      <c r="C2896">
        <v>79853470</v>
      </c>
      <c r="D2896">
        <v>36</v>
      </c>
      <c r="E2896">
        <v>30855092</v>
      </c>
      <c r="F2896" t="s">
        <v>1354</v>
      </c>
      <c r="G2896" s="1">
        <v>45235</v>
      </c>
      <c r="H2896">
        <v>5412929</v>
      </c>
      <c r="I2896">
        <v>64</v>
      </c>
      <c r="J2896" t="s">
        <v>138</v>
      </c>
      <c r="K2896" t="str">
        <f>IFERROR(IF(AND(VLOOKUP($C2896,Hes!$A:$B, 1, FALSE), $M2896&lt;&gt;" "), "Ingresada", "Falta Ingresar"), " ")</f>
        <v xml:space="preserve"> </v>
      </c>
      <c r="L2896" s="4" t="str">
        <f>IFERROR(VLOOKUP($C2896,Observaciones!$A:$B,2,FALSE)," ")</f>
        <v xml:space="preserve"> </v>
      </c>
      <c r="M2896" t="s">
        <v>681</v>
      </c>
      <c r="O2896" s="5">
        <v>30855092</v>
      </c>
      <c r="P2896" s="5">
        <v>56641</v>
      </c>
      <c r="Q2896" s="5">
        <v>10762</v>
      </c>
      <c r="R2896" s="5">
        <v>67403</v>
      </c>
    </row>
    <row r="2897" spans="1:18" x14ac:dyDescent="0.25">
      <c r="A2897" t="s">
        <v>1352</v>
      </c>
      <c r="B2897" t="s">
        <v>494</v>
      </c>
      <c r="C2897">
        <v>79853470</v>
      </c>
      <c r="D2897">
        <v>117</v>
      </c>
      <c r="E2897">
        <v>30855178</v>
      </c>
      <c r="F2897" t="s">
        <v>1354</v>
      </c>
      <c r="G2897" s="1">
        <v>45236</v>
      </c>
      <c r="H2897">
        <v>5412930</v>
      </c>
      <c r="I2897">
        <v>64</v>
      </c>
      <c r="J2897" t="s">
        <v>138</v>
      </c>
      <c r="K2897" t="str">
        <f>IFERROR(IF(AND(VLOOKUP($C2897,Hes!$A:$B, 1, FALSE), $M2897&lt;&gt;" "), "Ingresada", "Falta Ingresar"), " ")</f>
        <v xml:space="preserve"> </v>
      </c>
      <c r="L2897" s="4" t="str">
        <f>IFERROR(VLOOKUP($C2897,Observaciones!$A:$B,2,FALSE)," ")</f>
        <v xml:space="preserve"> </v>
      </c>
      <c r="M2897" t="s">
        <v>681</v>
      </c>
      <c r="O2897" s="5">
        <v>30855178</v>
      </c>
      <c r="P2897" s="5">
        <v>95454</v>
      </c>
      <c r="Q2897" s="5">
        <v>18136</v>
      </c>
      <c r="R2897" s="5">
        <v>113590</v>
      </c>
    </row>
    <row r="2898" spans="1:18" x14ac:dyDescent="0.25">
      <c r="A2898" t="s">
        <v>1352</v>
      </c>
      <c r="B2898" t="s">
        <v>494</v>
      </c>
      <c r="C2898">
        <v>79853470</v>
      </c>
      <c r="D2898">
        <v>1135</v>
      </c>
      <c r="E2898">
        <v>30855733</v>
      </c>
      <c r="F2898" t="s">
        <v>1354</v>
      </c>
      <c r="G2898" s="1">
        <v>45236</v>
      </c>
      <c r="H2898">
        <v>5412932</v>
      </c>
      <c r="I2898">
        <v>64</v>
      </c>
      <c r="J2898" t="s">
        <v>138</v>
      </c>
      <c r="K2898" t="str">
        <f>IFERROR(IF(AND(VLOOKUP($C2898,Hes!$A:$B, 1, FALSE), $M2898&lt;&gt;" "), "Ingresada", "Falta Ingresar"), " ")</f>
        <v xml:space="preserve"> </v>
      </c>
      <c r="L2898" s="4" t="str">
        <f>IFERROR(VLOOKUP($C2898,Observaciones!$A:$B,2,FALSE)," ")</f>
        <v xml:space="preserve"> </v>
      </c>
      <c r="M2898" t="s">
        <v>681</v>
      </c>
      <c r="O2898" s="5">
        <v>30855733</v>
      </c>
      <c r="P2898" s="5">
        <v>119984</v>
      </c>
      <c r="Q2898" s="5">
        <v>22797</v>
      </c>
      <c r="R2898" s="5">
        <v>142781</v>
      </c>
    </row>
    <row r="2899" spans="1:18" x14ac:dyDescent="0.25">
      <c r="A2899" t="s">
        <v>1352</v>
      </c>
      <c r="B2899" t="s">
        <v>494</v>
      </c>
      <c r="C2899">
        <v>79853470</v>
      </c>
      <c r="D2899">
        <v>194</v>
      </c>
      <c r="E2899">
        <v>30854913</v>
      </c>
      <c r="F2899" t="s">
        <v>1354</v>
      </c>
      <c r="G2899" s="1">
        <v>45236</v>
      </c>
      <c r="H2899">
        <v>5412936</v>
      </c>
      <c r="I2899">
        <v>64</v>
      </c>
      <c r="J2899" t="s">
        <v>138</v>
      </c>
      <c r="K2899" t="str">
        <f>IFERROR(IF(AND(VLOOKUP($C2899,Hes!$A:$B, 1, FALSE), $M2899&lt;&gt;" "), "Ingresada", "Falta Ingresar"), " ")</f>
        <v xml:space="preserve"> </v>
      </c>
      <c r="L2899" s="4" t="str">
        <f>IFERROR(VLOOKUP($C2899,Observaciones!$A:$B,2,FALSE)," ")</f>
        <v xml:space="preserve"> </v>
      </c>
      <c r="M2899" t="s">
        <v>681</v>
      </c>
      <c r="O2899" s="5">
        <v>30854913</v>
      </c>
      <c r="P2899" s="5">
        <v>63963</v>
      </c>
      <c r="Q2899" s="5">
        <v>12153</v>
      </c>
      <c r="R2899" s="5">
        <v>76116</v>
      </c>
    </row>
    <row r="2900" spans="1:18" x14ac:dyDescent="0.25">
      <c r="A2900" t="s">
        <v>1352</v>
      </c>
      <c r="B2900" t="s">
        <v>494</v>
      </c>
      <c r="C2900">
        <v>79853470</v>
      </c>
      <c r="D2900">
        <v>131</v>
      </c>
      <c r="E2900">
        <v>30855952</v>
      </c>
      <c r="F2900" t="s">
        <v>1354</v>
      </c>
      <c r="G2900" s="1">
        <v>45236</v>
      </c>
      <c r="H2900">
        <v>5412938</v>
      </c>
      <c r="I2900">
        <v>64</v>
      </c>
      <c r="J2900" t="s">
        <v>138</v>
      </c>
      <c r="K2900" t="str">
        <f>IFERROR(IF(AND(VLOOKUP($C2900,Hes!$A:$B, 1, FALSE), $M2900&lt;&gt;" "), "Ingresada", "Falta Ingresar"), " ")</f>
        <v xml:space="preserve"> </v>
      </c>
      <c r="L2900" s="4" t="str">
        <f>IFERROR(VLOOKUP($C2900,Observaciones!$A:$B,2,FALSE)," ")</f>
        <v xml:space="preserve"> </v>
      </c>
      <c r="M2900" t="s">
        <v>681</v>
      </c>
      <c r="O2900" s="5">
        <v>30855952</v>
      </c>
      <c r="P2900" s="5">
        <v>29959</v>
      </c>
      <c r="Q2900" s="5">
        <v>5692</v>
      </c>
      <c r="R2900" s="5">
        <v>35651</v>
      </c>
    </row>
    <row r="2901" spans="1:18" x14ac:dyDescent="0.25">
      <c r="A2901" t="s">
        <v>1352</v>
      </c>
      <c r="B2901" t="s">
        <v>494</v>
      </c>
      <c r="C2901">
        <v>79853470</v>
      </c>
      <c r="D2901">
        <v>155</v>
      </c>
      <c r="E2901">
        <v>30855909</v>
      </c>
      <c r="F2901" t="s">
        <v>1354</v>
      </c>
      <c r="G2901" s="1">
        <v>45236</v>
      </c>
      <c r="H2901">
        <v>5412974</v>
      </c>
      <c r="I2901">
        <v>64</v>
      </c>
      <c r="J2901" t="s">
        <v>138</v>
      </c>
      <c r="K2901" t="str">
        <f>IFERROR(IF(AND(VLOOKUP($C2901,Hes!$A:$B, 1, FALSE), $M2901&lt;&gt;" "), "Ingresada", "Falta Ingresar"), " ")</f>
        <v xml:space="preserve"> </v>
      </c>
      <c r="L2901" s="4" t="str">
        <f>IFERROR(VLOOKUP($C2901,Observaciones!$A:$B,2,FALSE)," ")</f>
        <v xml:space="preserve"> </v>
      </c>
      <c r="M2901" t="s">
        <v>681</v>
      </c>
      <c r="O2901" s="5">
        <v>30855909</v>
      </c>
      <c r="P2901" s="5">
        <v>105562</v>
      </c>
      <c r="Q2901" s="5">
        <v>20057</v>
      </c>
      <c r="R2901" s="5">
        <v>125619</v>
      </c>
    </row>
    <row r="2902" spans="1:18" x14ac:dyDescent="0.25">
      <c r="A2902" t="s">
        <v>1352</v>
      </c>
      <c r="B2902" t="s">
        <v>494</v>
      </c>
      <c r="C2902">
        <v>79853470</v>
      </c>
      <c r="D2902">
        <v>190</v>
      </c>
      <c r="E2902">
        <v>30855933</v>
      </c>
      <c r="F2902" t="s">
        <v>1354</v>
      </c>
      <c r="G2902" s="1">
        <v>45236</v>
      </c>
      <c r="H2902">
        <v>5412977</v>
      </c>
      <c r="I2902">
        <v>64</v>
      </c>
      <c r="J2902" t="s">
        <v>138</v>
      </c>
      <c r="K2902" t="str">
        <f>IFERROR(IF(AND(VLOOKUP($C2902,Hes!$A:$B, 1, FALSE), $M2902&lt;&gt;" "), "Ingresada", "Falta Ingresar"), " ")</f>
        <v xml:space="preserve"> </v>
      </c>
      <c r="L2902" s="4" t="str">
        <f>IFERROR(VLOOKUP($C2902,Observaciones!$A:$B,2,FALSE)," ")</f>
        <v xml:space="preserve"> </v>
      </c>
      <c r="M2902" t="s">
        <v>681</v>
      </c>
      <c r="O2902" s="5">
        <v>30855933</v>
      </c>
      <c r="P2902" s="5">
        <v>64367</v>
      </c>
      <c r="Q2902" s="5">
        <v>12230</v>
      </c>
      <c r="R2902" s="5">
        <v>76597</v>
      </c>
    </row>
    <row r="2903" spans="1:18" x14ac:dyDescent="0.25">
      <c r="A2903" t="s">
        <v>1352</v>
      </c>
      <c r="B2903" t="s">
        <v>494</v>
      </c>
      <c r="C2903">
        <v>79853470</v>
      </c>
      <c r="D2903">
        <v>1129</v>
      </c>
      <c r="E2903">
        <v>30855832</v>
      </c>
      <c r="F2903" t="s">
        <v>1354</v>
      </c>
      <c r="G2903" s="1">
        <v>45236</v>
      </c>
      <c r="H2903">
        <v>5412982</v>
      </c>
      <c r="I2903">
        <v>64</v>
      </c>
      <c r="J2903" t="s">
        <v>138</v>
      </c>
      <c r="K2903" t="str">
        <f>IFERROR(IF(AND(VLOOKUP($C2903,Hes!$A:$B, 1, FALSE), $M2903&lt;&gt;" "), "Ingresada", "Falta Ingresar"), " ")</f>
        <v xml:space="preserve"> </v>
      </c>
      <c r="L2903" s="4" t="str">
        <f>IFERROR(VLOOKUP($C2903,Observaciones!$A:$B,2,FALSE)," ")</f>
        <v xml:space="preserve"> </v>
      </c>
      <c r="M2903" t="s">
        <v>681</v>
      </c>
      <c r="O2903" s="5">
        <v>30855832</v>
      </c>
      <c r="P2903" s="5">
        <v>159965</v>
      </c>
      <c r="Q2903" s="5">
        <v>30393</v>
      </c>
      <c r="R2903" s="5">
        <v>190358</v>
      </c>
    </row>
    <row r="2904" spans="1:18" x14ac:dyDescent="0.25">
      <c r="A2904" t="s">
        <v>1352</v>
      </c>
      <c r="B2904" t="s">
        <v>494</v>
      </c>
      <c r="C2904">
        <v>79853470</v>
      </c>
      <c r="D2904">
        <v>82</v>
      </c>
      <c r="E2904">
        <v>30855701</v>
      </c>
      <c r="F2904" t="s">
        <v>1354</v>
      </c>
      <c r="G2904" s="1">
        <v>45234</v>
      </c>
      <c r="H2904">
        <v>5412989</v>
      </c>
      <c r="I2904">
        <v>64</v>
      </c>
      <c r="J2904" t="s">
        <v>138</v>
      </c>
      <c r="K2904" t="str">
        <f>IFERROR(IF(AND(VLOOKUP($C2904,Hes!$A:$B, 1, FALSE), $M2904&lt;&gt;" "), "Ingresada", "Falta Ingresar"), " ")</f>
        <v xml:space="preserve"> </v>
      </c>
      <c r="L2904" s="4" t="str">
        <f>IFERROR(VLOOKUP($C2904,Observaciones!$A:$B,2,FALSE)," ")</f>
        <v xml:space="preserve"> </v>
      </c>
      <c r="M2904" t="s">
        <v>681</v>
      </c>
      <c r="O2904" s="5">
        <v>30855701</v>
      </c>
      <c r="P2904" s="5">
        <v>34943</v>
      </c>
      <c r="Q2904" s="5">
        <v>6639</v>
      </c>
      <c r="R2904" s="5">
        <v>41582</v>
      </c>
    </row>
    <row r="2905" spans="1:18" x14ac:dyDescent="0.25">
      <c r="A2905" t="s">
        <v>1352</v>
      </c>
      <c r="B2905" t="s">
        <v>494</v>
      </c>
      <c r="C2905">
        <v>79853470</v>
      </c>
      <c r="D2905">
        <v>66</v>
      </c>
      <c r="E2905">
        <v>30856043</v>
      </c>
      <c r="F2905" t="s">
        <v>1354</v>
      </c>
      <c r="G2905" s="1">
        <v>45236</v>
      </c>
      <c r="H2905">
        <v>5413002</v>
      </c>
      <c r="I2905">
        <v>64</v>
      </c>
      <c r="J2905" t="s">
        <v>138</v>
      </c>
      <c r="K2905" t="str">
        <f>IFERROR(IF(AND(VLOOKUP($C2905,Hes!$A:$B, 1, FALSE), $M2905&lt;&gt;" "), "Ingresada", "Falta Ingresar"), " ")</f>
        <v xml:space="preserve"> </v>
      </c>
      <c r="L2905" s="4" t="str">
        <f>IFERROR(VLOOKUP($C2905,Observaciones!$A:$B,2,FALSE)," ")</f>
        <v xml:space="preserve"> </v>
      </c>
      <c r="M2905" t="s">
        <v>681</v>
      </c>
      <c r="O2905" s="5">
        <v>30856043</v>
      </c>
      <c r="P2905" s="5">
        <v>81588</v>
      </c>
      <c r="Q2905" s="5">
        <v>15502</v>
      </c>
      <c r="R2905" s="5">
        <v>97090</v>
      </c>
    </row>
    <row r="2906" spans="1:18" x14ac:dyDescent="0.25">
      <c r="A2906" t="s">
        <v>1352</v>
      </c>
      <c r="B2906" t="s">
        <v>494</v>
      </c>
      <c r="C2906">
        <v>79853470</v>
      </c>
      <c r="D2906">
        <v>20</v>
      </c>
      <c r="E2906">
        <v>30854758</v>
      </c>
      <c r="F2906" t="s">
        <v>1354</v>
      </c>
      <c r="G2906" s="1">
        <v>45236</v>
      </c>
      <c r="H2906">
        <v>5413050</v>
      </c>
      <c r="I2906">
        <v>64</v>
      </c>
      <c r="J2906" t="s">
        <v>138</v>
      </c>
      <c r="K2906" t="str">
        <f>IFERROR(IF(AND(VLOOKUP($C2906,Hes!$A:$B, 1, FALSE), $M2906&lt;&gt;" "), "Ingresada", "Falta Ingresar"), " ")</f>
        <v xml:space="preserve"> </v>
      </c>
      <c r="L2906" s="4" t="str">
        <f>IFERROR(VLOOKUP($C2906,Observaciones!$A:$B,2,FALSE)," ")</f>
        <v xml:space="preserve"> </v>
      </c>
      <c r="M2906" t="s">
        <v>681</v>
      </c>
      <c r="O2906" s="5">
        <v>30854758</v>
      </c>
      <c r="P2906" s="5">
        <v>262845</v>
      </c>
      <c r="Q2906" s="5">
        <v>49941</v>
      </c>
      <c r="R2906" s="5">
        <v>312786</v>
      </c>
    </row>
    <row r="2907" spans="1:18" x14ac:dyDescent="0.25">
      <c r="A2907" t="s">
        <v>1352</v>
      </c>
      <c r="B2907" t="s">
        <v>494</v>
      </c>
      <c r="C2907">
        <v>79853470</v>
      </c>
      <c r="D2907">
        <v>104</v>
      </c>
      <c r="E2907">
        <v>30855187</v>
      </c>
      <c r="F2907" t="s">
        <v>1354</v>
      </c>
      <c r="G2907" s="1">
        <v>45236</v>
      </c>
      <c r="H2907">
        <v>5413052</v>
      </c>
      <c r="I2907">
        <v>64</v>
      </c>
      <c r="J2907" t="s">
        <v>138</v>
      </c>
      <c r="K2907" t="str">
        <f>IFERROR(IF(AND(VLOOKUP($C2907,Hes!$A:$B, 1, FALSE), $M2907&lt;&gt;" "), "Ingresada", "Falta Ingresar"), " ")</f>
        <v xml:space="preserve"> </v>
      </c>
      <c r="L2907" s="4" t="str">
        <f>IFERROR(VLOOKUP($C2907,Observaciones!$A:$B,2,FALSE)," ")</f>
        <v xml:space="preserve"> </v>
      </c>
      <c r="M2907" t="s">
        <v>681</v>
      </c>
      <c r="O2907" s="5">
        <v>30855187</v>
      </c>
      <c r="P2907" s="5">
        <v>24958</v>
      </c>
      <c r="Q2907" s="5">
        <v>4742</v>
      </c>
      <c r="R2907" s="5">
        <v>29700</v>
      </c>
    </row>
    <row r="2908" spans="1:18" x14ac:dyDescent="0.25">
      <c r="A2908" t="s">
        <v>1352</v>
      </c>
      <c r="B2908" t="s">
        <v>494</v>
      </c>
      <c r="C2908">
        <v>79853470</v>
      </c>
      <c r="D2908">
        <v>198</v>
      </c>
      <c r="E2908">
        <v>30856278</v>
      </c>
      <c r="F2908" t="s">
        <v>1354</v>
      </c>
      <c r="G2908" s="1">
        <v>45236</v>
      </c>
      <c r="H2908">
        <v>5413136</v>
      </c>
      <c r="I2908">
        <v>64</v>
      </c>
      <c r="J2908" t="s">
        <v>138</v>
      </c>
      <c r="K2908" t="str">
        <f>IFERROR(IF(AND(VLOOKUP($C2908,Hes!$A:$B, 1, FALSE), $M2908&lt;&gt;" "), "Ingresada", "Falta Ingresar"), " ")</f>
        <v xml:space="preserve"> </v>
      </c>
      <c r="L2908" s="4" t="str">
        <f>IFERROR(VLOOKUP($C2908,Observaciones!$A:$B,2,FALSE)," ")</f>
        <v xml:space="preserve"> </v>
      </c>
      <c r="M2908" t="s">
        <v>681</v>
      </c>
      <c r="O2908" s="5">
        <v>30856278</v>
      </c>
      <c r="P2908" s="5">
        <v>49999</v>
      </c>
      <c r="Q2908" s="5">
        <v>9500</v>
      </c>
      <c r="R2908" s="5">
        <v>59499</v>
      </c>
    </row>
    <row r="2909" spans="1:18" x14ac:dyDescent="0.25">
      <c r="A2909" t="s">
        <v>1352</v>
      </c>
      <c r="B2909" t="s">
        <v>494</v>
      </c>
      <c r="C2909">
        <v>79853470</v>
      </c>
      <c r="D2909">
        <v>59</v>
      </c>
      <c r="E2909">
        <v>30856286</v>
      </c>
      <c r="F2909" t="s">
        <v>1354</v>
      </c>
      <c r="G2909" s="1">
        <v>45236</v>
      </c>
      <c r="H2909">
        <v>5413142</v>
      </c>
      <c r="I2909">
        <v>64</v>
      </c>
      <c r="J2909" t="s">
        <v>138</v>
      </c>
      <c r="K2909" t="str">
        <f>IFERROR(IF(AND(VLOOKUP($C2909,Hes!$A:$B, 1, FALSE), $M2909&lt;&gt;" "), "Ingresada", "Falta Ingresar"), " ")</f>
        <v xml:space="preserve"> </v>
      </c>
      <c r="L2909" s="4" t="str">
        <f>IFERROR(VLOOKUP($C2909,Observaciones!$A:$B,2,FALSE)," ")</f>
        <v xml:space="preserve"> </v>
      </c>
      <c r="M2909" t="s">
        <v>681</v>
      </c>
      <c r="O2909" s="5">
        <v>30856286</v>
      </c>
      <c r="P2909" s="5">
        <v>44336</v>
      </c>
      <c r="Q2909" s="5">
        <v>8424</v>
      </c>
      <c r="R2909" s="5">
        <v>52760</v>
      </c>
    </row>
    <row r="2910" spans="1:18" x14ac:dyDescent="0.25">
      <c r="A2910" t="s">
        <v>1352</v>
      </c>
      <c r="B2910" t="s">
        <v>494</v>
      </c>
      <c r="C2910">
        <v>79853470</v>
      </c>
      <c r="D2910">
        <v>8</v>
      </c>
      <c r="E2910">
        <v>30856210</v>
      </c>
      <c r="F2910" t="s">
        <v>1354</v>
      </c>
      <c r="G2910" s="1">
        <v>45236</v>
      </c>
      <c r="H2910">
        <v>5413148</v>
      </c>
      <c r="I2910">
        <v>64</v>
      </c>
      <c r="J2910" t="s">
        <v>138</v>
      </c>
      <c r="K2910" t="str">
        <f>IFERROR(IF(AND(VLOOKUP($C2910,Hes!$A:$B, 1, FALSE), $M2910&lt;&gt;" "), "Ingresada", "Falta Ingresar"), " ")</f>
        <v xml:space="preserve"> </v>
      </c>
      <c r="L2910" s="4" t="str">
        <f>IFERROR(VLOOKUP($C2910,Observaciones!$A:$B,2,FALSE)," ")</f>
        <v xml:space="preserve"> </v>
      </c>
      <c r="M2910" t="s">
        <v>681</v>
      </c>
      <c r="O2910" s="5">
        <v>30856210</v>
      </c>
      <c r="P2910" s="5">
        <v>68648</v>
      </c>
      <c r="Q2910" s="5">
        <v>13043</v>
      </c>
      <c r="R2910" s="5">
        <v>81691</v>
      </c>
    </row>
    <row r="2911" spans="1:18" x14ac:dyDescent="0.25">
      <c r="A2911" t="s">
        <v>1352</v>
      </c>
      <c r="B2911" t="s">
        <v>494</v>
      </c>
      <c r="C2911">
        <v>79853470</v>
      </c>
      <c r="D2911">
        <v>193</v>
      </c>
      <c r="E2911">
        <v>30856249</v>
      </c>
      <c r="F2911" t="s">
        <v>1354</v>
      </c>
      <c r="G2911" s="1">
        <v>45236</v>
      </c>
      <c r="H2911">
        <v>5413149</v>
      </c>
      <c r="I2911">
        <v>64</v>
      </c>
      <c r="J2911" t="s">
        <v>138</v>
      </c>
      <c r="K2911" t="str">
        <f>IFERROR(IF(AND(VLOOKUP($C2911,Hes!$A:$B, 1, FALSE), $M2911&lt;&gt;" "), "Ingresada", "Falta Ingresar"), " ")</f>
        <v xml:space="preserve"> </v>
      </c>
      <c r="L2911" s="4" t="str">
        <f>IFERROR(VLOOKUP($C2911,Observaciones!$A:$B,2,FALSE)," ")</f>
        <v xml:space="preserve"> </v>
      </c>
      <c r="M2911" t="s">
        <v>681</v>
      </c>
      <c r="O2911" s="5">
        <v>30856249</v>
      </c>
      <c r="P2911" s="5">
        <v>18569</v>
      </c>
      <c r="Q2911" s="5">
        <v>3528</v>
      </c>
      <c r="R2911" s="5">
        <v>22097</v>
      </c>
    </row>
    <row r="2912" spans="1:18" x14ac:dyDescent="0.25">
      <c r="A2912" t="s">
        <v>1352</v>
      </c>
      <c r="B2912" t="s">
        <v>494</v>
      </c>
      <c r="C2912">
        <v>79853470</v>
      </c>
      <c r="D2912">
        <v>150</v>
      </c>
      <c r="E2912">
        <v>30856271</v>
      </c>
      <c r="F2912" t="s">
        <v>1354</v>
      </c>
      <c r="G2912" s="1">
        <v>45236</v>
      </c>
      <c r="H2912">
        <v>5413151</v>
      </c>
      <c r="I2912">
        <v>64</v>
      </c>
      <c r="J2912" t="s">
        <v>138</v>
      </c>
      <c r="K2912" t="str">
        <f>IFERROR(IF(AND(VLOOKUP($C2912,Hes!$A:$B, 1, FALSE), $M2912&lt;&gt;" "), "Ingresada", "Falta Ingresar"), " ")</f>
        <v xml:space="preserve"> </v>
      </c>
      <c r="L2912" s="4" t="str">
        <f>IFERROR(VLOOKUP($C2912,Observaciones!$A:$B,2,FALSE)," ")</f>
        <v xml:space="preserve"> </v>
      </c>
      <c r="M2912" t="s">
        <v>681</v>
      </c>
      <c r="O2912" s="5">
        <v>30856271</v>
      </c>
      <c r="P2912" s="5">
        <v>97385</v>
      </c>
      <c r="Q2912" s="5">
        <v>18503</v>
      </c>
      <c r="R2912" s="5">
        <v>115888</v>
      </c>
    </row>
    <row r="2913" spans="1:18" x14ac:dyDescent="0.25">
      <c r="A2913" t="s">
        <v>1352</v>
      </c>
      <c r="B2913" t="s">
        <v>494</v>
      </c>
      <c r="C2913">
        <v>79853470</v>
      </c>
      <c r="D2913">
        <v>136</v>
      </c>
      <c r="E2913">
        <v>30855071</v>
      </c>
      <c r="F2913" t="s">
        <v>1354</v>
      </c>
      <c r="G2913" s="1">
        <v>45236</v>
      </c>
      <c r="H2913">
        <v>5413317</v>
      </c>
      <c r="I2913">
        <v>64</v>
      </c>
      <c r="J2913" t="s">
        <v>138</v>
      </c>
      <c r="K2913" t="str">
        <f>IFERROR(IF(AND(VLOOKUP($C2913,Hes!$A:$B, 1, FALSE), $M2913&lt;&gt;" "), "Ingresada", "Falta Ingresar"), " ")</f>
        <v xml:space="preserve"> </v>
      </c>
      <c r="L2913" s="4" t="str">
        <f>IFERROR(VLOOKUP($C2913,Observaciones!$A:$B,2,FALSE)," ")</f>
        <v xml:space="preserve"> </v>
      </c>
      <c r="M2913" t="s">
        <v>681</v>
      </c>
      <c r="O2913" s="5">
        <v>30855071</v>
      </c>
      <c r="P2913" s="5">
        <v>179882</v>
      </c>
      <c r="Q2913" s="5">
        <v>34178</v>
      </c>
      <c r="R2913" s="5">
        <v>214060</v>
      </c>
    </row>
    <row r="2914" spans="1:18" x14ac:dyDescent="0.25">
      <c r="A2914" t="s">
        <v>1352</v>
      </c>
      <c r="B2914" t="s">
        <v>494</v>
      </c>
      <c r="C2914">
        <v>79853470</v>
      </c>
      <c r="D2914">
        <v>158</v>
      </c>
      <c r="E2914">
        <v>30856619</v>
      </c>
      <c r="F2914" t="s">
        <v>1354</v>
      </c>
      <c r="G2914" s="1">
        <v>45236</v>
      </c>
      <c r="H2914">
        <v>5413456</v>
      </c>
      <c r="I2914">
        <v>64</v>
      </c>
      <c r="J2914" t="s">
        <v>138</v>
      </c>
      <c r="K2914" t="str">
        <f>IFERROR(IF(AND(VLOOKUP($C2914,Hes!$A:$B, 1, FALSE), $M2914&lt;&gt;" "), "Ingresada", "Falta Ingresar"), " ")</f>
        <v xml:space="preserve"> </v>
      </c>
      <c r="L2914" s="4" t="str">
        <f>IFERROR(VLOOKUP($C2914,Observaciones!$A:$B,2,FALSE)," ")</f>
        <v xml:space="preserve"> </v>
      </c>
      <c r="M2914" t="s">
        <v>681</v>
      </c>
      <c r="O2914" s="5">
        <v>30856619</v>
      </c>
      <c r="P2914" s="5">
        <v>80120</v>
      </c>
      <c r="Q2914" s="5">
        <v>15223</v>
      </c>
      <c r="R2914" s="5">
        <v>95343</v>
      </c>
    </row>
    <row r="2915" spans="1:18" x14ac:dyDescent="0.25">
      <c r="A2915" t="s">
        <v>1352</v>
      </c>
      <c r="B2915" t="s">
        <v>494</v>
      </c>
      <c r="C2915">
        <v>79853470</v>
      </c>
      <c r="D2915">
        <v>1146</v>
      </c>
      <c r="E2915">
        <v>30856600</v>
      </c>
      <c r="F2915" t="s">
        <v>1354</v>
      </c>
      <c r="G2915" s="1">
        <v>45236</v>
      </c>
      <c r="H2915">
        <v>5413508</v>
      </c>
      <c r="I2915">
        <v>64</v>
      </c>
      <c r="J2915" t="s">
        <v>138</v>
      </c>
      <c r="K2915" t="str">
        <f>IFERROR(IF(AND(VLOOKUP($C2915,Hes!$A:$B, 1, FALSE), $M2915&lt;&gt;" "), "Ingresada", "Falta Ingresar"), " ")</f>
        <v xml:space="preserve"> </v>
      </c>
      <c r="L2915" s="4" t="str">
        <f>IFERROR(VLOOKUP($C2915,Observaciones!$A:$B,2,FALSE)," ")</f>
        <v xml:space="preserve"> </v>
      </c>
      <c r="M2915" t="s">
        <v>681</v>
      </c>
      <c r="O2915" s="5">
        <v>30856600</v>
      </c>
      <c r="P2915" s="5">
        <v>34268</v>
      </c>
      <c r="Q2915" s="5">
        <v>6511</v>
      </c>
      <c r="R2915" s="5">
        <v>40779</v>
      </c>
    </row>
    <row r="2916" spans="1:18" x14ac:dyDescent="0.25">
      <c r="A2916" t="s">
        <v>1352</v>
      </c>
      <c r="B2916" t="s">
        <v>494</v>
      </c>
      <c r="C2916">
        <v>79853470</v>
      </c>
      <c r="D2916">
        <v>30</v>
      </c>
      <c r="E2916">
        <v>30856595</v>
      </c>
      <c r="F2916" t="s">
        <v>1354</v>
      </c>
      <c r="G2916" s="1">
        <v>45236</v>
      </c>
      <c r="H2916">
        <v>5413592</v>
      </c>
      <c r="I2916">
        <v>64</v>
      </c>
      <c r="J2916" t="s">
        <v>138</v>
      </c>
      <c r="K2916" t="str">
        <f>IFERROR(IF(AND(VLOOKUP($C2916,Hes!$A:$B, 1, FALSE), $M2916&lt;&gt;" "), "Ingresada", "Falta Ingresar"), " ")</f>
        <v xml:space="preserve"> </v>
      </c>
      <c r="L2916" s="4" t="str">
        <f>IFERROR(VLOOKUP($C2916,Observaciones!$A:$B,2,FALSE)," ")</f>
        <v xml:space="preserve"> </v>
      </c>
      <c r="M2916" t="s">
        <v>681</v>
      </c>
      <c r="O2916" s="5">
        <v>30856595</v>
      </c>
      <c r="P2916" s="5">
        <v>299577</v>
      </c>
      <c r="Q2916" s="5">
        <v>56920</v>
      </c>
      <c r="R2916" s="5">
        <v>356497</v>
      </c>
    </row>
    <row r="2917" spans="1:18" x14ac:dyDescent="0.25">
      <c r="A2917" t="s">
        <v>1352</v>
      </c>
      <c r="B2917" t="s">
        <v>494</v>
      </c>
      <c r="C2917">
        <v>79853470</v>
      </c>
      <c r="D2917">
        <v>1143</v>
      </c>
      <c r="E2917">
        <v>30856545</v>
      </c>
      <c r="F2917" t="s">
        <v>1354</v>
      </c>
      <c r="G2917" s="1">
        <v>45236</v>
      </c>
      <c r="H2917">
        <v>5413623</v>
      </c>
      <c r="I2917">
        <v>64</v>
      </c>
      <c r="J2917" t="s">
        <v>138</v>
      </c>
      <c r="K2917" t="str">
        <f>IFERROR(IF(AND(VLOOKUP($C2917,Hes!$A:$B, 1, FALSE), $M2917&lt;&gt;" "), "Ingresada", "Falta Ingresar"), " ")</f>
        <v xml:space="preserve"> </v>
      </c>
      <c r="L2917" s="4" t="str">
        <f>IFERROR(VLOOKUP($C2917,Observaciones!$A:$B,2,FALSE)," ")</f>
        <v xml:space="preserve"> </v>
      </c>
      <c r="M2917" t="s">
        <v>681</v>
      </c>
      <c r="O2917" s="5">
        <v>30856545</v>
      </c>
      <c r="P2917" s="5">
        <v>29310</v>
      </c>
      <c r="Q2917" s="5">
        <v>5569</v>
      </c>
      <c r="R2917" s="5">
        <v>34879</v>
      </c>
    </row>
    <row r="2918" spans="1:18" x14ac:dyDescent="0.25">
      <c r="A2918" t="s">
        <v>1352</v>
      </c>
      <c r="B2918" t="s">
        <v>494</v>
      </c>
      <c r="C2918">
        <v>79853470</v>
      </c>
      <c r="D2918">
        <v>119</v>
      </c>
      <c r="E2918">
        <v>30856634</v>
      </c>
      <c r="F2918" t="s">
        <v>1354</v>
      </c>
      <c r="G2918" s="1">
        <v>45236</v>
      </c>
      <c r="H2918">
        <v>5413660</v>
      </c>
      <c r="I2918">
        <v>64</v>
      </c>
      <c r="J2918" t="s">
        <v>138</v>
      </c>
      <c r="K2918" t="str">
        <f>IFERROR(IF(AND(VLOOKUP($C2918,Hes!$A:$B, 1, FALSE), $M2918&lt;&gt;" "), "Ingresada", "Falta Ingresar"), " ")</f>
        <v xml:space="preserve"> </v>
      </c>
      <c r="L2918" s="4" t="str">
        <f>IFERROR(VLOOKUP($C2918,Observaciones!$A:$B,2,FALSE)," ")</f>
        <v xml:space="preserve"> </v>
      </c>
      <c r="M2918" t="s">
        <v>681</v>
      </c>
      <c r="O2918" s="5">
        <v>30856634</v>
      </c>
      <c r="P2918" s="5">
        <v>99741</v>
      </c>
      <c r="Q2918" s="5">
        <v>18951</v>
      </c>
      <c r="R2918" s="5">
        <v>118692</v>
      </c>
    </row>
    <row r="2919" spans="1:18" x14ac:dyDescent="0.25">
      <c r="A2919" t="s">
        <v>1352</v>
      </c>
      <c r="B2919" t="s">
        <v>494</v>
      </c>
      <c r="C2919">
        <v>79853470</v>
      </c>
      <c r="D2919">
        <v>27</v>
      </c>
      <c r="E2919">
        <v>30856677</v>
      </c>
      <c r="F2919" t="s">
        <v>1354</v>
      </c>
      <c r="G2919" s="1">
        <v>45236</v>
      </c>
      <c r="H2919">
        <v>5413690</v>
      </c>
      <c r="I2919">
        <v>64</v>
      </c>
      <c r="J2919" t="s">
        <v>138</v>
      </c>
      <c r="K2919" t="str">
        <f>IFERROR(IF(AND(VLOOKUP($C2919,Hes!$A:$B, 1, FALSE), $M2919&lt;&gt;" "), "Ingresada", "Falta Ingresar"), " ")</f>
        <v xml:space="preserve"> </v>
      </c>
      <c r="L2919" s="4" t="str">
        <f>IFERROR(VLOOKUP($C2919,Observaciones!$A:$B,2,FALSE)," ")</f>
        <v xml:space="preserve"> </v>
      </c>
      <c r="M2919" t="s">
        <v>681</v>
      </c>
      <c r="O2919" s="5">
        <v>30856677</v>
      </c>
      <c r="P2919" s="5">
        <v>149283</v>
      </c>
      <c r="Q2919" s="5">
        <v>28364</v>
      </c>
      <c r="R2919" s="5">
        <v>177647</v>
      </c>
    </row>
    <row r="2920" spans="1:18" x14ac:dyDescent="0.25">
      <c r="A2920" t="s">
        <v>1352</v>
      </c>
      <c r="B2920" t="s">
        <v>494</v>
      </c>
      <c r="C2920">
        <v>79853470</v>
      </c>
      <c r="D2920">
        <v>47</v>
      </c>
      <c r="E2920">
        <v>30856587</v>
      </c>
      <c r="F2920" t="s">
        <v>1354</v>
      </c>
      <c r="G2920" s="1">
        <v>45236</v>
      </c>
      <c r="H2920">
        <v>5413711</v>
      </c>
      <c r="I2920">
        <v>64</v>
      </c>
      <c r="J2920" t="s">
        <v>138</v>
      </c>
      <c r="K2920" t="str">
        <f>IFERROR(IF(AND(VLOOKUP($C2920,Hes!$A:$B, 1, FALSE), $M2920&lt;&gt;" "), "Ingresada", "Falta Ingresar"), " ")</f>
        <v xml:space="preserve"> </v>
      </c>
      <c r="L2920" s="4" t="str">
        <f>IFERROR(VLOOKUP($C2920,Observaciones!$A:$B,2,FALSE)," ")</f>
        <v xml:space="preserve"> </v>
      </c>
      <c r="M2920" t="s">
        <v>681</v>
      </c>
      <c r="O2920" s="5">
        <v>30856587</v>
      </c>
      <c r="P2920" s="5">
        <v>69132</v>
      </c>
      <c r="Q2920" s="5">
        <v>13135</v>
      </c>
      <c r="R2920" s="5">
        <v>82267</v>
      </c>
    </row>
    <row r="2921" spans="1:18" x14ac:dyDescent="0.25">
      <c r="A2921" t="s">
        <v>1352</v>
      </c>
      <c r="B2921" t="s">
        <v>494</v>
      </c>
      <c r="C2921">
        <v>79853470</v>
      </c>
      <c r="D2921">
        <v>195</v>
      </c>
      <c r="E2921">
        <v>30856524</v>
      </c>
      <c r="F2921" t="s">
        <v>1354</v>
      </c>
      <c r="G2921" s="1">
        <v>45236</v>
      </c>
      <c r="H2921">
        <v>5413727</v>
      </c>
      <c r="I2921">
        <v>64</v>
      </c>
      <c r="J2921" t="s">
        <v>138</v>
      </c>
      <c r="K2921" t="str">
        <f>IFERROR(IF(AND(VLOOKUP($C2921,Hes!$A:$B, 1, FALSE), $M2921&lt;&gt;" "), "Ingresada", "Falta Ingresar"), " ")</f>
        <v xml:space="preserve"> </v>
      </c>
      <c r="L2921" s="4" t="str">
        <f>IFERROR(VLOOKUP($C2921,Observaciones!$A:$B,2,FALSE)," ")</f>
        <v xml:space="preserve"> </v>
      </c>
      <c r="M2921" t="s">
        <v>681</v>
      </c>
      <c r="O2921" s="5">
        <v>30856524</v>
      </c>
      <c r="P2921" s="5">
        <v>137149</v>
      </c>
      <c r="Q2921" s="5">
        <v>26058</v>
      </c>
      <c r="R2921" s="5">
        <v>163207</v>
      </c>
    </row>
    <row r="2922" spans="1:18" x14ac:dyDescent="0.25">
      <c r="A2922" t="s">
        <v>1352</v>
      </c>
      <c r="B2922" t="s">
        <v>494</v>
      </c>
      <c r="C2922">
        <v>79853470</v>
      </c>
      <c r="D2922">
        <v>231</v>
      </c>
      <c r="E2922">
        <v>30856718</v>
      </c>
      <c r="F2922" t="s">
        <v>1354</v>
      </c>
      <c r="G2922" s="1">
        <v>45236</v>
      </c>
      <c r="H2922">
        <v>5413786</v>
      </c>
      <c r="I2922">
        <v>64</v>
      </c>
      <c r="J2922" t="s">
        <v>138</v>
      </c>
      <c r="K2922" t="str">
        <f>IFERROR(IF(AND(VLOOKUP($C2922,Hes!$A:$B, 1, FALSE), $M2922&lt;&gt;" "), "Ingresada", "Falta Ingresar"), " ")</f>
        <v xml:space="preserve"> </v>
      </c>
      <c r="L2922" s="4" t="str">
        <f>IFERROR(VLOOKUP($C2922,Observaciones!$A:$B,2,FALSE)," ")</f>
        <v xml:space="preserve"> </v>
      </c>
      <c r="M2922" t="s">
        <v>681</v>
      </c>
      <c r="O2922" s="5">
        <v>30856718</v>
      </c>
      <c r="P2922" s="5">
        <v>164993</v>
      </c>
      <c r="Q2922" s="5">
        <v>31349</v>
      </c>
      <c r="R2922" s="5">
        <v>196342</v>
      </c>
    </row>
    <row r="2923" spans="1:18" x14ac:dyDescent="0.25">
      <c r="A2923" t="s">
        <v>1352</v>
      </c>
      <c r="B2923" t="s">
        <v>494</v>
      </c>
      <c r="C2923">
        <v>79853470</v>
      </c>
      <c r="D2923">
        <v>101</v>
      </c>
      <c r="E2923">
        <v>30856492</v>
      </c>
      <c r="F2923" t="s">
        <v>1354</v>
      </c>
      <c r="G2923" s="1">
        <v>45238</v>
      </c>
      <c r="H2923">
        <v>5414630</v>
      </c>
      <c r="I2923">
        <v>64</v>
      </c>
      <c r="J2923" t="s">
        <v>138</v>
      </c>
      <c r="K2923" t="str">
        <f>IFERROR(IF(AND(VLOOKUP($C2923,Hes!$A:$B, 1, FALSE), $M2923&lt;&gt;" "), "Ingresada", "Falta Ingresar"), " ")</f>
        <v xml:space="preserve"> </v>
      </c>
      <c r="L2923" s="4" t="str">
        <f>IFERROR(VLOOKUP($C2923,Observaciones!$A:$B,2,FALSE)," ")</f>
        <v xml:space="preserve"> </v>
      </c>
      <c r="M2923" t="s">
        <v>681</v>
      </c>
      <c r="O2923" s="5">
        <v>30856492</v>
      </c>
      <c r="P2923" s="5">
        <v>29420</v>
      </c>
      <c r="Q2923" s="5">
        <v>5590</v>
      </c>
      <c r="R2923" s="5">
        <v>35010</v>
      </c>
    </row>
    <row r="2924" spans="1:18" x14ac:dyDescent="0.25">
      <c r="A2924" t="s">
        <v>1352</v>
      </c>
      <c r="B2924" t="s">
        <v>494</v>
      </c>
      <c r="C2924">
        <v>79853470</v>
      </c>
      <c r="D2924">
        <v>95</v>
      </c>
      <c r="E2924">
        <v>30856485</v>
      </c>
      <c r="F2924" t="s">
        <v>1354</v>
      </c>
      <c r="G2924" s="1">
        <v>45238</v>
      </c>
      <c r="H2924">
        <v>5414651</v>
      </c>
      <c r="I2924">
        <v>64</v>
      </c>
      <c r="J2924" t="s">
        <v>138</v>
      </c>
      <c r="K2924" t="str">
        <f>IFERROR(IF(AND(VLOOKUP($C2924,Hes!$A:$B, 1, FALSE), $M2924&lt;&gt;" "), "Ingresada", "Falta Ingresar"), " ")</f>
        <v xml:space="preserve"> </v>
      </c>
      <c r="L2924" s="4" t="str">
        <f>IFERROR(VLOOKUP($C2924,Observaciones!$A:$B,2,FALSE)," ")</f>
        <v xml:space="preserve"> </v>
      </c>
      <c r="M2924" t="s">
        <v>681</v>
      </c>
      <c r="O2924" s="5">
        <v>30856485</v>
      </c>
      <c r="P2924" s="5">
        <v>20633</v>
      </c>
      <c r="Q2924" s="5">
        <v>3920</v>
      </c>
      <c r="R2924" s="5">
        <v>24553</v>
      </c>
    </row>
    <row r="2925" spans="1:18" x14ac:dyDescent="0.25">
      <c r="A2925" t="s">
        <v>1352</v>
      </c>
      <c r="B2925" t="s">
        <v>494</v>
      </c>
      <c r="C2925">
        <v>79853470</v>
      </c>
      <c r="D2925">
        <v>1138</v>
      </c>
      <c r="E2925">
        <v>30856502</v>
      </c>
      <c r="F2925" t="s">
        <v>1354</v>
      </c>
      <c r="G2925" s="1">
        <v>45238</v>
      </c>
      <c r="H2925">
        <v>5414654</v>
      </c>
      <c r="I2925">
        <v>64</v>
      </c>
      <c r="J2925" t="s">
        <v>138</v>
      </c>
      <c r="K2925" t="str">
        <f>IFERROR(IF(AND(VLOOKUP($C2925,Hes!$A:$B, 1, FALSE), $M2925&lt;&gt;" "), "Ingresada", "Falta Ingresar"), " ")</f>
        <v xml:space="preserve"> </v>
      </c>
      <c r="L2925" s="4" t="str">
        <f>IFERROR(VLOOKUP($C2925,Observaciones!$A:$B,2,FALSE)," ")</f>
        <v xml:space="preserve"> </v>
      </c>
      <c r="M2925" t="s">
        <v>681</v>
      </c>
      <c r="O2925" s="5">
        <v>30856502</v>
      </c>
      <c r="P2925" s="5">
        <v>218530</v>
      </c>
      <c r="Q2925" s="5">
        <v>41521</v>
      </c>
      <c r="R2925" s="5">
        <v>260051</v>
      </c>
    </row>
    <row r="2926" spans="1:18" x14ac:dyDescent="0.25">
      <c r="A2926" t="s">
        <v>1352</v>
      </c>
      <c r="B2926" t="s">
        <v>494</v>
      </c>
      <c r="C2926">
        <v>79853470</v>
      </c>
      <c r="D2926">
        <v>62</v>
      </c>
      <c r="E2926">
        <v>30856480</v>
      </c>
      <c r="F2926" t="s">
        <v>1354</v>
      </c>
      <c r="G2926" s="1">
        <v>45238</v>
      </c>
      <c r="H2926">
        <v>5414676</v>
      </c>
      <c r="I2926">
        <v>64</v>
      </c>
      <c r="J2926" t="s">
        <v>138</v>
      </c>
      <c r="K2926" t="str">
        <f>IFERROR(IF(AND(VLOOKUP($C2926,Hes!$A:$B, 1, FALSE), $M2926&lt;&gt;" "), "Ingresada", "Falta Ingresar"), " ")</f>
        <v xml:space="preserve"> </v>
      </c>
      <c r="L2926" s="4" t="str">
        <f>IFERROR(VLOOKUP($C2926,Observaciones!$A:$B,2,FALSE)," ")</f>
        <v xml:space="preserve"> </v>
      </c>
      <c r="M2926" t="s">
        <v>681</v>
      </c>
      <c r="O2926" s="5">
        <v>30856480</v>
      </c>
      <c r="P2926" s="5">
        <v>49994</v>
      </c>
      <c r="Q2926" s="5">
        <v>9499</v>
      </c>
      <c r="R2926" s="5">
        <v>59493</v>
      </c>
    </row>
    <row r="2927" spans="1:18" x14ac:dyDescent="0.25">
      <c r="A2927" t="s">
        <v>1352</v>
      </c>
      <c r="B2927" t="s">
        <v>494</v>
      </c>
      <c r="C2927">
        <v>79853470</v>
      </c>
      <c r="D2927">
        <v>3</v>
      </c>
      <c r="E2927">
        <v>30856457</v>
      </c>
      <c r="F2927" t="s">
        <v>1354</v>
      </c>
      <c r="G2927" s="1">
        <v>45238</v>
      </c>
      <c r="H2927">
        <v>5414680</v>
      </c>
      <c r="I2927">
        <v>64</v>
      </c>
      <c r="J2927" t="s">
        <v>138</v>
      </c>
      <c r="K2927" t="str">
        <f>IFERROR(IF(AND(VLOOKUP($C2927,Hes!$A:$B, 1, FALSE), $M2927&lt;&gt;" "), "Ingresada", "Falta Ingresar"), " ")</f>
        <v xml:space="preserve"> </v>
      </c>
      <c r="L2927" s="4" t="str">
        <f>IFERROR(VLOOKUP($C2927,Observaciones!$A:$B,2,FALSE)," ")</f>
        <v xml:space="preserve"> </v>
      </c>
      <c r="M2927" t="s">
        <v>681</v>
      </c>
      <c r="O2927" s="5">
        <v>30856457</v>
      </c>
      <c r="P2927" s="5">
        <v>19866</v>
      </c>
      <c r="Q2927" s="5">
        <v>3775</v>
      </c>
      <c r="R2927" s="5">
        <v>23641</v>
      </c>
    </row>
    <row r="2928" spans="1:18" x14ac:dyDescent="0.25">
      <c r="A2928" t="s">
        <v>1352</v>
      </c>
      <c r="B2928" t="s">
        <v>494</v>
      </c>
      <c r="C2928">
        <v>79853470</v>
      </c>
      <c r="D2928">
        <v>202</v>
      </c>
      <c r="E2928">
        <v>30856464</v>
      </c>
      <c r="F2928" t="s">
        <v>1354</v>
      </c>
      <c r="G2928" s="1">
        <v>45238</v>
      </c>
      <c r="H2928">
        <v>5414686</v>
      </c>
      <c r="I2928">
        <v>64</v>
      </c>
      <c r="J2928" t="s">
        <v>138</v>
      </c>
      <c r="K2928" t="str">
        <f>IFERROR(IF(AND(VLOOKUP($C2928,Hes!$A:$B, 1, FALSE), $M2928&lt;&gt;" "), "Ingresada", "Falta Ingresar"), " ")</f>
        <v xml:space="preserve"> </v>
      </c>
      <c r="L2928" s="4" t="str">
        <f>IFERROR(VLOOKUP($C2928,Observaciones!$A:$B,2,FALSE)," ")</f>
        <v xml:space="preserve"> </v>
      </c>
      <c r="M2928" t="s">
        <v>681</v>
      </c>
      <c r="O2928" s="5">
        <v>30856464</v>
      </c>
      <c r="P2928" s="5">
        <v>24950</v>
      </c>
      <c r="Q2928" s="5">
        <v>4741</v>
      </c>
      <c r="R2928" s="5">
        <v>29691</v>
      </c>
    </row>
    <row r="2929" spans="1:18" x14ac:dyDescent="0.25">
      <c r="A2929" t="s">
        <v>1352</v>
      </c>
      <c r="B2929" t="s">
        <v>494</v>
      </c>
      <c r="C2929">
        <v>79853470</v>
      </c>
      <c r="D2929">
        <v>42</v>
      </c>
      <c r="E2929">
        <v>30856392</v>
      </c>
      <c r="F2929" t="s">
        <v>1354</v>
      </c>
      <c r="G2929" s="1">
        <v>45238</v>
      </c>
      <c r="H2929">
        <v>5414698</v>
      </c>
      <c r="I2929">
        <v>64</v>
      </c>
      <c r="J2929" t="s">
        <v>138</v>
      </c>
      <c r="K2929" t="str">
        <f>IFERROR(IF(AND(VLOOKUP($C2929,Hes!$A:$B, 1, FALSE), $M2929&lt;&gt;" "), "Ingresada", "Falta Ingresar"), " ")</f>
        <v xml:space="preserve"> </v>
      </c>
      <c r="L2929" s="4" t="str">
        <f>IFERROR(VLOOKUP($C2929,Observaciones!$A:$B,2,FALSE)," ")</f>
        <v xml:space="preserve"> </v>
      </c>
      <c r="M2929" t="s">
        <v>681</v>
      </c>
      <c r="O2929" s="5">
        <v>30856392</v>
      </c>
      <c r="P2929" s="5">
        <v>60944</v>
      </c>
      <c r="Q2929" s="5">
        <v>11579</v>
      </c>
      <c r="R2929" s="5">
        <v>72523</v>
      </c>
    </row>
    <row r="2930" spans="1:18" x14ac:dyDescent="0.25">
      <c r="A2930" t="s">
        <v>1352</v>
      </c>
      <c r="B2930" t="s">
        <v>494</v>
      </c>
      <c r="C2930">
        <v>79853470</v>
      </c>
      <c r="D2930">
        <v>189</v>
      </c>
      <c r="E2930">
        <v>30862932</v>
      </c>
      <c r="F2930" t="s">
        <v>1354</v>
      </c>
      <c r="G2930" s="1">
        <v>45238</v>
      </c>
      <c r="H2930">
        <v>5415176</v>
      </c>
      <c r="I2930">
        <v>64</v>
      </c>
      <c r="J2930" t="s">
        <v>138</v>
      </c>
      <c r="K2930" t="str">
        <f>IFERROR(IF(AND(VLOOKUP($C2930,Hes!$A:$B, 1, FALSE), $M2930&lt;&gt;" "), "Ingresada", "Falta Ingresar"), " ")</f>
        <v xml:space="preserve"> </v>
      </c>
      <c r="L2930" s="4" t="str">
        <f>IFERROR(VLOOKUP($C2930,Observaciones!$A:$B,2,FALSE)," ")</f>
        <v xml:space="preserve"> </v>
      </c>
      <c r="M2930" t="s">
        <v>681</v>
      </c>
      <c r="O2930" s="5">
        <v>30862932</v>
      </c>
      <c r="P2930" s="5">
        <v>79858</v>
      </c>
      <c r="Q2930" s="5">
        <v>15173</v>
      </c>
      <c r="R2930" s="5">
        <v>95031</v>
      </c>
    </row>
    <row r="2931" spans="1:18" x14ac:dyDescent="0.25">
      <c r="A2931" t="s">
        <v>1352</v>
      </c>
      <c r="B2931" t="s">
        <v>494</v>
      </c>
      <c r="C2931">
        <v>79853470</v>
      </c>
      <c r="D2931">
        <v>199</v>
      </c>
      <c r="E2931">
        <v>30865728</v>
      </c>
      <c r="F2931" t="s">
        <v>1354</v>
      </c>
      <c r="G2931" s="1">
        <v>45238</v>
      </c>
      <c r="H2931">
        <v>5415441</v>
      </c>
      <c r="I2931">
        <v>64</v>
      </c>
      <c r="J2931" t="s">
        <v>138</v>
      </c>
      <c r="K2931" t="str">
        <f>IFERROR(IF(AND(VLOOKUP($C2931,Hes!$A:$B, 1, FALSE), $M2931&lt;&gt;" "), "Ingresada", "Falta Ingresar"), " ")</f>
        <v xml:space="preserve"> </v>
      </c>
      <c r="L2931" s="4" t="str">
        <f>IFERROR(VLOOKUP($C2931,Observaciones!$A:$B,2,FALSE)," ")</f>
        <v xml:space="preserve"> </v>
      </c>
      <c r="M2931" t="s">
        <v>681</v>
      </c>
      <c r="O2931" s="5">
        <v>30865728</v>
      </c>
      <c r="P2931" s="5">
        <v>38815</v>
      </c>
      <c r="Q2931" s="5">
        <v>7375</v>
      </c>
      <c r="R2931" s="5">
        <v>46190</v>
      </c>
    </row>
    <row r="2932" spans="1:18" x14ac:dyDescent="0.25">
      <c r="A2932" t="s">
        <v>1352</v>
      </c>
      <c r="B2932" t="s">
        <v>494</v>
      </c>
      <c r="C2932">
        <v>79853470</v>
      </c>
      <c r="D2932">
        <v>179</v>
      </c>
      <c r="E2932">
        <v>30862916</v>
      </c>
      <c r="F2932" t="s">
        <v>1354</v>
      </c>
      <c r="G2932" s="1">
        <v>45238</v>
      </c>
      <c r="H2932">
        <v>5415573</v>
      </c>
      <c r="I2932">
        <v>64</v>
      </c>
      <c r="J2932" t="s">
        <v>138</v>
      </c>
      <c r="K2932" t="str">
        <f>IFERROR(IF(AND(VLOOKUP($C2932,Hes!$A:$B, 1, FALSE), $M2932&lt;&gt;" "), "Ingresada", "Falta Ingresar"), " ")</f>
        <v xml:space="preserve"> </v>
      </c>
      <c r="L2932" s="4" t="str">
        <f>IFERROR(VLOOKUP($C2932,Observaciones!$A:$B,2,FALSE)," ")</f>
        <v xml:space="preserve"> </v>
      </c>
      <c r="M2932" t="s">
        <v>681</v>
      </c>
      <c r="O2932" s="5">
        <v>30862916</v>
      </c>
      <c r="P2932" s="5">
        <v>79848</v>
      </c>
      <c r="Q2932" s="5">
        <v>15171</v>
      </c>
      <c r="R2932" s="5">
        <v>95019</v>
      </c>
    </row>
    <row r="2933" spans="1:18" x14ac:dyDescent="0.25">
      <c r="A2933" t="s">
        <v>1352</v>
      </c>
      <c r="B2933" t="s">
        <v>494</v>
      </c>
      <c r="C2933">
        <v>79853470</v>
      </c>
      <c r="D2933">
        <v>219</v>
      </c>
      <c r="E2933">
        <v>30865617</v>
      </c>
      <c r="F2933" t="s">
        <v>1354</v>
      </c>
      <c r="G2933" s="1">
        <v>45238</v>
      </c>
      <c r="H2933">
        <v>5415579</v>
      </c>
      <c r="I2933">
        <v>64</v>
      </c>
      <c r="J2933" t="s">
        <v>138</v>
      </c>
      <c r="K2933" t="str">
        <f>IFERROR(IF(AND(VLOOKUP($C2933,Hes!$A:$B, 1, FALSE), $M2933&lt;&gt;" "), "Ingresada", "Falta Ingresar"), " ")</f>
        <v xml:space="preserve"> </v>
      </c>
      <c r="L2933" s="4" t="str">
        <f>IFERROR(VLOOKUP($C2933,Observaciones!$A:$B,2,FALSE)," ")</f>
        <v xml:space="preserve"> </v>
      </c>
      <c r="M2933" t="s">
        <v>681</v>
      </c>
      <c r="O2933" s="5">
        <v>30865617</v>
      </c>
      <c r="P2933" s="5">
        <v>58614</v>
      </c>
      <c r="Q2933" s="5">
        <v>11137</v>
      </c>
      <c r="R2933" s="5">
        <v>69751</v>
      </c>
    </row>
    <row r="2934" spans="1:18" x14ac:dyDescent="0.25">
      <c r="A2934" t="s">
        <v>1352</v>
      </c>
      <c r="B2934" t="s">
        <v>494</v>
      </c>
      <c r="C2934">
        <v>79853470</v>
      </c>
      <c r="D2934">
        <v>173</v>
      </c>
      <c r="E2934">
        <v>30866001</v>
      </c>
      <c r="F2934" t="s">
        <v>1354</v>
      </c>
      <c r="G2934" s="1">
        <v>45238</v>
      </c>
      <c r="H2934">
        <v>5415584</v>
      </c>
      <c r="I2934">
        <v>64</v>
      </c>
      <c r="J2934" t="s">
        <v>138</v>
      </c>
      <c r="K2934" t="str">
        <f>IFERROR(IF(AND(VLOOKUP($C2934,Hes!$A:$B, 1, FALSE), $M2934&lt;&gt;" "), "Ingresada", "Falta Ingresar"), " ")</f>
        <v xml:space="preserve"> </v>
      </c>
      <c r="L2934" s="4" t="str">
        <f>IFERROR(VLOOKUP($C2934,Observaciones!$A:$B,2,FALSE)," ")</f>
        <v xml:space="preserve"> </v>
      </c>
      <c r="M2934" t="s">
        <v>681</v>
      </c>
      <c r="O2934" s="5">
        <v>30866001</v>
      </c>
      <c r="P2934" s="5">
        <v>39740</v>
      </c>
      <c r="Q2934" s="5">
        <v>7551</v>
      </c>
      <c r="R2934" s="5">
        <v>47291</v>
      </c>
    </row>
    <row r="2935" spans="1:18" x14ac:dyDescent="0.25">
      <c r="A2935" t="s">
        <v>1352</v>
      </c>
      <c r="B2935" t="s">
        <v>494</v>
      </c>
      <c r="C2935">
        <v>79853470</v>
      </c>
      <c r="D2935">
        <v>14</v>
      </c>
      <c r="E2935">
        <v>30865783</v>
      </c>
      <c r="F2935" t="s">
        <v>1354</v>
      </c>
      <c r="G2935" s="1">
        <v>45238</v>
      </c>
      <c r="H2935">
        <v>5415585</v>
      </c>
      <c r="I2935">
        <v>64</v>
      </c>
      <c r="J2935" t="s">
        <v>138</v>
      </c>
      <c r="K2935" t="str">
        <f>IFERROR(IF(AND(VLOOKUP($C2935,Hes!$A:$B, 1, FALSE), $M2935&lt;&gt;" "), "Ingresada", "Falta Ingresar"), " ")</f>
        <v xml:space="preserve"> </v>
      </c>
      <c r="L2935" s="4" t="str">
        <f>IFERROR(VLOOKUP($C2935,Observaciones!$A:$B,2,FALSE)," ")</f>
        <v xml:space="preserve"> </v>
      </c>
      <c r="M2935" t="s">
        <v>681</v>
      </c>
      <c r="O2935" s="5">
        <v>30865783</v>
      </c>
      <c r="P2935" s="5">
        <v>43211</v>
      </c>
      <c r="Q2935" s="5">
        <v>8210</v>
      </c>
      <c r="R2935" s="5">
        <v>51421</v>
      </c>
    </row>
    <row r="2936" spans="1:18" x14ac:dyDescent="0.25">
      <c r="A2936" t="s">
        <v>1352</v>
      </c>
      <c r="B2936" t="s">
        <v>494</v>
      </c>
      <c r="C2936">
        <v>79853470</v>
      </c>
      <c r="D2936">
        <v>170</v>
      </c>
      <c r="E2936">
        <v>30862548</v>
      </c>
      <c r="F2936" t="s">
        <v>1354</v>
      </c>
      <c r="G2936" s="1">
        <v>45238</v>
      </c>
      <c r="H2936">
        <v>5415629</v>
      </c>
      <c r="I2936">
        <v>64</v>
      </c>
      <c r="J2936" t="s">
        <v>138</v>
      </c>
      <c r="K2936" t="str">
        <f>IFERROR(IF(AND(VLOOKUP($C2936,Hes!$A:$B, 1, FALSE), $M2936&lt;&gt;" "), "Ingresada", "Falta Ingresar"), " ")</f>
        <v xml:space="preserve"> </v>
      </c>
      <c r="L2936" s="4" t="str">
        <f>IFERROR(VLOOKUP($C2936,Observaciones!$A:$B,2,FALSE)," ")</f>
        <v xml:space="preserve"> </v>
      </c>
      <c r="M2936" t="s">
        <v>681</v>
      </c>
      <c r="O2936" s="5">
        <v>30862548</v>
      </c>
      <c r="P2936" s="5">
        <v>58302</v>
      </c>
      <c r="Q2936" s="5">
        <v>11077</v>
      </c>
      <c r="R2936" s="5">
        <v>69379</v>
      </c>
    </row>
    <row r="2937" spans="1:18" x14ac:dyDescent="0.25">
      <c r="A2937" t="s">
        <v>1352</v>
      </c>
      <c r="B2937" t="s">
        <v>494</v>
      </c>
      <c r="C2937">
        <v>79853470</v>
      </c>
      <c r="D2937">
        <v>43</v>
      </c>
      <c r="E2937">
        <v>30862632</v>
      </c>
      <c r="F2937" t="s">
        <v>1354</v>
      </c>
      <c r="G2937" s="1">
        <v>45238</v>
      </c>
      <c r="H2937">
        <v>5415633</v>
      </c>
      <c r="I2937">
        <v>64</v>
      </c>
      <c r="J2937" t="s">
        <v>138</v>
      </c>
      <c r="K2937" t="str">
        <f>IFERROR(IF(AND(VLOOKUP($C2937,Hes!$A:$B, 1, FALSE), $M2937&lt;&gt;" "), "Ingresada", "Falta Ingresar"), " ")</f>
        <v xml:space="preserve"> </v>
      </c>
      <c r="L2937" s="4" t="str">
        <f>IFERROR(VLOOKUP($C2937,Observaciones!$A:$B,2,FALSE)," ")</f>
        <v xml:space="preserve"> </v>
      </c>
      <c r="M2937" t="s">
        <v>681</v>
      </c>
      <c r="O2937" s="5">
        <v>30862632</v>
      </c>
      <c r="P2937" s="5">
        <v>24996</v>
      </c>
      <c r="Q2937" s="5">
        <v>4749</v>
      </c>
      <c r="R2937" s="5">
        <v>29745</v>
      </c>
    </row>
    <row r="2938" spans="1:18" x14ac:dyDescent="0.25">
      <c r="A2938" t="s">
        <v>1352</v>
      </c>
      <c r="B2938" t="s">
        <v>494</v>
      </c>
      <c r="C2938">
        <v>79853470</v>
      </c>
      <c r="D2938">
        <v>1128</v>
      </c>
      <c r="E2938">
        <v>30862201</v>
      </c>
      <c r="F2938" t="s">
        <v>1354</v>
      </c>
      <c r="G2938" s="1">
        <v>45238</v>
      </c>
      <c r="H2938">
        <v>5415651</v>
      </c>
      <c r="I2938">
        <v>64</v>
      </c>
      <c r="J2938" t="s">
        <v>138</v>
      </c>
      <c r="K2938" t="str">
        <f>IFERROR(IF(AND(VLOOKUP($C2938,Hes!$A:$B, 1, FALSE), $M2938&lt;&gt;" "), "Ingresada", "Falta Ingresar"), " ")</f>
        <v xml:space="preserve"> </v>
      </c>
      <c r="L2938" s="4" t="str">
        <f>IFERROR(VLOOKUP($C2938,Observaciones!$A:$B,2,FALSE)," ")</f>
        <v xml:space="preserve"> </v>
      </c>
      <c r="M2938" t="s">
        <v>681</v>
      </c>
      <c r="O2938" s="5">
        <v>30862201</v>
      </c>
      <c r="P2938" s="5">
        <v>45982</v>
      </c>
      <c r="Q2938" s="5">
        <v>8737</v>
      </c>
      <c r="R2938" s="5">
        <v>54719</v>
      </c>
    </row>
    <row r="2939" spans="1:18" x14ac:dyDescent="0.25">
      <c r="A2939" t="s">
        <v>1352</v>
      </c>
      <c r="B2939" t="s">
        <v>494</v>
      </c>
      <c r="C2939">
        <v>79853470</v>
      </c>
      <c r="D2939">
        <v>167</v>
      </c>
      <c r="E2939">
        <v>30862218</v>
      </c>
      <c r="F2939" t="s">
        <v>1354</v>
      </c>
      <c r="G2939" s="1">
        <v>45238</v>
      </c>
      <c r="H2939">
        <v>5415653</v>
      </c>
      <c r="I2939">
        <v>64</v>
      </c>
      <c r="J2939" t="s">
        <v>138</v>
      </c>
      <c r="K2939" t="str">
        <f>IFERROR(IF(AND(VLOOKUP($C2939,Hes!$A:$B, 1, FALSE), $M2939&lt;&gt;" "), "Ingresada", "Falta Ingresar"), " ")</f>
        <v xml:space="preserve"> </v>
      </c>
      <c r="L2939" s="4" t="str">
        <f>IFERROR(VLOOKUP($C2939,Observaciones!$A:$B,2,FALSE)," ")</f>
        <v xml:space="preserve"> </v>
      </c>
      <c r="M2939" t="s">
        <v>681</v>
      </c>
      <c r="O2939" s="5">
        <v>30862218</v>
      </c>
      <c r="P2939" s="5">
        <v>52961</v>
      </c>
      <c r="Q2939" s="5">
        <v>10063</v>
      </c>
      <c r="R2939" s="5">
        <v>63024</v>
      </c>
    </row>
    <row r="2940" spans="1:18" x14ac:dyDescent="0.25">
      <c r="A2940" t="s">
        <v>1352</v>
      </c>
      <c r="B2940" t="s">
        <v>494</v>
      </c>
      <c r="C2940">
        <v>79853470</v>
      </c>
      <c r="D2940">
        <v>31</v>
      </c>
      <c r="E2940">
        <v>30864257</v>
      </c>
      <c r="F2940" t="s">
        <v>1354</v>
      </c>
      <c r="G2940" s="1">
        <v>45238</v>
      </c>
      <c r="H2940">
        <v>5415665</v>
      </c>
      <c r="I2940">
        <v>64</v>
      </c>
      <c r="J2940" t="s">
        <v>138</v>
      </c>
      <c r="K2940" t="str">
        <f>IFERROR(IF(AND(VLOOKUP($C2940,Hes!$A:$B, 1, FALSE), $M2940&lt;&gt;" "), "Ingresada", "Falta Ingresar"), " ")</f>
        <v xml:space="preserve"> </v>
      </c>
      <c r="L2940" s="4" t="str">
        <f>IFERROR(VLOOKUP($C2940,Observaciones!$A:$B,2,FALSE)," ")</f>
        <v xml:space="preserve"> </v>
      </c>
      <c r="M2940" t="s">
        <v>681</v>
      </c>
      <c r="O2940" s="5">
        <v>30864257</v>
      </c>
      <c r="P2940" s="5">
        <v>68294</v>
      </c>
      <c r="Q2940" s="5">
        <v>12976</v>
      </c>
      <c r="R2940" s="5">
        <v>81270</v>
      </c>
    </row>
    <row r="2941" spans="1:18" x14ac:dyDescent="0.25">
      <c r="A2941" t="s">
        <v>1352</v>
      </c>
      <c r="B2941" t="s">
        <v>494</v>
      </c>
      <c r="C2941">
        <v>79853470</v>
      </c>
      <c r="D2941">
        <v>210</v>
      </c>
      <c r="E2941">
        <v>30865972</v>
      </c>
      <c r="F2941" t="s">
        <v>1354</v>
      </c>
      <c r="G2941" s="1">
        <v>45238</v>
      </c>
      <c r="H2941">
        <v>5415680</v>
      </c>
      <c r="I2941">
        <v>64</v>
      </c>
      <c r="J2941" t="s">
        <v>138</v>
      </c>
      <c r="K2941" t="str">
        <f>IFERROR(IF(AND(VLOOKUP($C2941,Hes!$A:$B, 1, FALSE), $M2941&lt;&gt;" "), "Ingresada", "Falta Ingresar"), " ")</f>
        <v xml:space="preserve"> </v>
      </c>
      <c r="L2941" s="4" t="str">
        <f>IFERROR(VLOOKUP($C2941,Observaciones!$A:$B,2,FALSE)," ")</f>
        <v xml:space="preserve"> </v>
      </c>
      <c r="M2941" t="s">
        <v>681</v>
      </c>
      <c r="O2941" s="5">
        <v>30865972</v>
      </c>
      <c r="P2941" s="5">
        <v>85542</v>
      </c>
      <c r="Q2941" s="5">
        <v>16253</v>
      </c>
      <c r="R2941" s="5">
        <v>101795</v>
      </c>
    </row>
    <row r="2942" spans="1:18" x14ac:dyDescent="0.25">
      <c r="A2942" t="s">
        <v>1352</v>
      </c>
      <c r="B2942" t="s">
        <v>494</v>
      </c>
      <c r="C2942">
        <v>79853470</v>
      </c>
      <c r="D2942">
        <v>197</v>
      </c>
      <c r="E2942">
        <v>30862617</v>
      </c>
      <c r="F2942" t="s">
        <v>1354</v>
      </c>
      <c r="G2942" s="1">
        <v>45238</v>
      </c>
      <c r="H2942">
        <v>5415744</v>
      </c>
      <c r="I2942">
        <v>64</v>
      </c>
      <c r="J2942" t="s">
        <v>138</v>
      </c>
      <c r="K2942" t="str">
        <f>IFERROR(IF(AND(VLOOKUP($C2942,Hes!$A:$B, 1, FALSE), $M2942&lt;&gt;" "), "Ingresada", "Falta Ingresar"), " ")</f>
        <v xml:space="preserve"> </v>
      </c>
      <c r="L2942" s="4" t="str">
        <f>IFERROR(VLOOKUP($C2942,Observaciones!$A:$B,2,FALSE)," ")</f>
        <v xml:space="preserve"> </v>
      </c>
      <c r="M2942" t="s">
        <v>681</v>
      </c>
      <c r="O2942" s="5">
        <v>30862617</v>
      </c>
      <c r="P2942" s="5">
        <v>39936</v>
      </c>
      <c r="Q2942" s="5">
        <v>7588</v>
      </c>
      <c r="R2942" s="5">
        <v>47524</v>
      </c>
    </row>
    <row r="2943" spans="1:18" x14ac:dyDescent="0.25">
      <c r="A2943" t="s">
        <v>1352</v>
      </c>
      <c r="B2943" t="s">
        <v>494</v>
      </c>
      <c r="C2943">
        <v>79853470</v>
      </c>
      <c r="D2943">
        <v>49</v>
      </c>
      <c r="E2943">
        <v>30862252</v>
      </c>
      <c r="F2943" t="s">
        <v>1354</v>
      </c>
      <c r="G2943" s="1">
        <v>45238</v>
      </c>
      <c r="H2943">
        <v>5415798</v>
      </c>
      <c r="I2943">
        <v>64</v>
      </c>
      <c r="J2943" t="s">
        <v>138</v>
      </c>
      <c r="K2943" t="str">
        <f>IFERROR(IF(AND(VLOOKUP($C2943,Hes!$A:$B, 1, FALSE), $M2943&lt;&gt;" "), "Ingresada", "Falta Ingresar"), " ")</f>
        <v xml:space="preserve"> </v>
      </c>
      <c r="L2943" s="4" t="str">
        <f>IFERROR(VLOOKUP($C2943,Observaciones!$A:$B,2,FALSE)," ")</f>
        <v xml:space="preserve"> </v>
      </c>
      <c r="M2943" t="s">
        <v>681</v>
      </c>
      <c r="O2943" s="5">
        <v>30862252</v>
      </c>
      <c r="P2943" s="5">
        <v>23981</v>
      </c>
      <c r="Q2943" s="5">
        <v>4556</v>
      </c>
      <c r="R2943" s="5">
        <v>28537</v>
      </c>
    </row>
    <row r="2944" spans="1:18" x14ac:dyDescent="0.25">
      <c r="F2944" t="s">
        <v>1355</v>
      </c>
      <c r="K2944" t="str">
        <f>IFERROR(IF(AND(VLOOKUP($C2944,Hes!$A:$B, 1, FALSE), $M2944&lt;&gt;" "), "Ingresada", "Falta Ingresar"), " ")</f>
        <v xml:space="preserve"> </v>
      </c>
      <c r="L2944" s="4" t="str">
        <f>IFERROR(VLOOKUP($C2944,Observaciones!$A:$B,2,FALSE)," ")</f>
        <v xml:space="preserve"> </v>
      </c>
      <c r="M2944" t="s">
        <v>681</v>
      </c>
      <c r="P2944" s="5">
        <v>4358399</v>
      </c>
      <c r="Q2944" s="5">
        <v>828100</v>
      </c>
      <c r="R2944" s="5">
        <v>5186499</v>
      </c>
    </row>
    <row r="2945" spans="1:18" x14ac:dyDescent="0.25">
      <c r="A2945" t="s">
        <v>503</v>
      </c>
      <c r="B2945" t="s">
        <v>494</v>
      </c>
      <c r="C2945">
        <v>79862750</v>
      </c>
      <c r="D2945">
        <v>1</v>
      </c>
      <c r="E2945">
        <v>4502183391</v>
      </c>
      <c r="F2945" t="s">
        <v>588</v>
      </c>
      <c r="G2945" s="1">
        <v>45232</v>
      </c>
      <c r="H2945">
        <v>5411184</v>
      </c>
      <c r="I2945">
        <v>100</v>
      </c>
      <c r="J2945" t="s">
        <v>384</v>
      </c>
      <c r="K2945" s="8" t="str">
        <f>IFERROR(IF(AND(VLOOKUP($C2945,Hes!$A:$B, 1, FALSE), $M2945&lt;&gt;" "), "Ingresada", "Falta Ingresar"), " ")</f>
        <v>Falta Ingresar</v>
      </c>
      <c r="L2945" s="4" t="s">
        <v>681</v>
      </c>
      <c r="M2945" t="s">
        <v>681</v>
      </c>
      <c r="N2945" s="5" t="s">
        <v>841</v>
      </c>
      <c r="O2945" s="5">
        <v>30814755</v>
      </c>
      <c r="P2945" s="5">
        <v>53886</v>
      </c>
      <c r="Q2945" s="5">
        <v>10238</v>
      </c>
      <c r="R2945" s="5">
        <v>64124</v>
      </c>
    </row>
    <row r="2946" spans="1:18" x14ac:dyDescent="0.25">
      <c r="A2946" t="s">
        <v>503</v>
      </c>
      <c r="B2946" t="s">
        <v>494</v>
      </c>
      <c r="C2946">
        <v>79862750</v>
      </c>
      <c r="D2946">
        <v>7</v>
      </c>
      <c r="E2946">
        <v>4502171619</v>
      </c>
      <c r="F2946" t="s">
        <v>588</v>
      </c>
      <c r="G2946" s="1">
        <v>45233</v>
      </c>
      <c r="H2946">
        <v>5411227</v>
      </c>
      <c r="I2946">
        <v>100</v>
      </c>
      <c r="J2946" t="s">
        <v>384</v>
      </c>
      <c r="K2946" s="8" t="str">
        <f>IFERROR(IF(AND(VLOOKUP($C2946,Hes!$A:$B, 1, FALSE), $M2946&lt;&gt;" "), "Ingresada", "Falta Ingresar"), " ")</f>
        <v>Falta Ingresar</v>
      </c>
      <c r="L2946" s="4" t="s">
        <v>681</v>
      </c>
      <c r="M2946" t="s">
        <v>681</v>
      </c>
      <c r="N2946" s="5" t="s">
        <v>841</v>
      </c>
      <c r="O2946" s="5">
        <v>30848725</v>
      </c>
      <c r="P2946" s="5">
        <v>55510</v>
      </c>
      <c r="Q2946" s="5">
        <v>10547</v>
      </c>
      <c r="R2946" s="5">
        <v>66057</v>
      </c>
    </row>
    <row r="2947" spans="1:18" x14ac:dyDescent="0.25">
      <c r="A2947" t="s">
        <v>503</v>
      </c>
      <c r="B2947" t="s">
        <v>494</v>
      </c>
      <c r="C2947">
        <v>79862750</v>
      </c>
      <c r="D2947">
        <v>32</v>
      </c>
      <c r="E2947">
        <v>4502182074</v>
      </c>
      <c r="F2947" t="s">
        <v>588</v>
      </c>
      <c r="G2947" s="1">
        <v>45233</v>
      </c>
      <c r="H2947">
        <v>5411277</v>
      </c>
      <c r="I2947">
        <v>100</v>
      </c>
      <c r="J2947" t="s">
        <v>384</v>
      </c>
      <c r="K2947" s="8" t="str">
        <f>IFERROR(IF(AND(VLOOKUP($C2947,Hes!$A:$B, 1, FALSE), $M2947&lt;&gt;" "), "Ingresada", "Falta Ingresar"), " ")</f>
        <v>Falta Ingresar</v>
      </c>
      <c r="L2947" s="4" t="s">
        <v>681</v>
      </c>
      <c r="M2947" t="s">
        <v>681</v>
      </c>
      <c r="N2947" s="5" t="s">
        <v>841</v>
      </c>
      <c r="O2947" s="5">
        <v>30848571</v>
      </c>
      <c r="P2947" s="5">
        <v>313400</v>
      </c>
      <c r="Q2947" s="5">
        <v>59546</v>
      </c>
      <c r="R2947" s="5">
        <v>372946</v>
      </c>
    </row>
    <row r="2948" spans="1:18" x14ac:dyDescent="0.25">
      <c r="A2948" t="s">
        <v>503</v>
      </c>
      <c r="B2948" t="s">
        <v>494</v>
      </c>
      <c r="C2948">
        <v>79862750</v>
      </c>
      <c r="D2948">
        <v>15</v>
      </c>
      <c r="E2948">
        <v>4502167698</v>
      </c>
      <c r="F2948" t="s">
        <v>588</v>
      </c>
      <c r="G2948" s="1">
        <v>45233</v>
      </c>
      <c r="H2948">
        <v>5411286</v>
      </c>
      <c r="I2948">
        <v>100</v>
      </c>
      <c r="J2948" t="s">
        <v>384</v>
      </c>
      <c r="K2948" s="8" t="str">
        <f>IFERROR(IF(AND(VLOOKUP($C2948,Hes!$A:$B, 1, FALSE), $M2948&lt;&gt;" "), "Ingresada", "Falta Ingresar"), " ")</f>
        <v>Falta Ingresar</v>
      </c>
      <c r="L2948" s="4" t="s">
        <v>681</v>
      </c>
      <c r="M2948" t="s">
        <v>681</v>
      </c>
      <c r="N2948" s="5" t="s">
        <v>841</v>
      </c>
      <c r="O2948" s="5">
        <v>30848758</v>
      </c>
      <c r="P2948" s="5">
        <v>135481</v>
      </c>
      <c r="Q2948" s="5">
        <v>25741</v>
      </c>
      <c r="R2948" s="5">
        <v>161222</v>
      </c>
    </row>
    <row r="2949" spans="1:18" x14ac:dyDescent="0.25">
      <c r="A2949" t="s">
        <v>503</v>
      </c>
      <c r="B2949" t="s">
        <v>494</v>
      </c>
      <c r="C2949">
        <v>79862750</v>
      </c>
      <c r="D2949">
        <v>7</v>
      </c>
      <c r="E2949">
        <v>4502171620</v>
      </c>
      <c r="F2949" t="s">
        <v>588</v>
      </c>
      <c r="G2949" s="1">
        <v>45233</v>
      </c>
      <c r="H2949">
        <v>5411329</v>
      </c>
      <c r="I2949">
        <v>100</v>
      </c>
      <c r="J2949" t="s">
        <v>384</v>
      </c>
      <c r="K2949" s="8" t="str">
        <f>IFERROR(IF(AND(VLOOKUP($C2949,Hes!$A:$B, 1, FALSE), $M2949&lt;&gt;" "), "Ingresada", "Falta Ingresar"), " ")</f>
        <v>Falta Ingresar</v>
      </c>
      <c r="L2949" s="4" t="s">
        <v>681</v>
      </c>
      <c r="M2949" t="s">
        <v>681</v>
      </c>
      <c r="N2949" s="5" t="s">
        <v>841</v>
      </c>
      <c r="O2949" s="5">
        <v>30848735</v>
      </c>
      <c r="P2949" s="5">
        <v>113322</v>
      </c>
      <c r="Q2949" s="5">
        <v>21531</v>
      </c>
      <c r="R2949" s="5">
        <v>134853</v>
      </c>
    </row>
    <row r="2950" spans="1:18" x14ac:dyDescent="0.25">
      <c r="A2950" t="s">
        <v>503</v>
      </c>
      <c r="B2950" t="s">
        <v>494</v>
      </c>
      <c r="C2950">
        <v>79862750</v>
      </c>
      <c r="D2950">
        <v>73</v>
      </c>
      <c r="E2950">
        <v>4502165480</v>
      </c>
      <c r="F2950" t="s">
        <v>588</v>
      </c>
      <c r="G2950" s="1">
        <v>45236</v>
      </c>
      <c r="H2950">
        <v>5411951</v>
      </c>
      <c r="I2950">
        <v>100</v>
      </c>
      <c r="J2950" t="s">
        <v>384</v>
      </c>
      <c r="K2950" s="8" t="str">
        <f>IFERROR(IF(AND(VLOOKUP($C2950,Hes!$A:$B, 1, FALSE), $M2950&lt;&gt;" "), "Ingresada", "Falta Ingresar"), " ")</f>
        <v>Falta Ingresar</v>
      </c>
      <c r="L2950" s="4" t="s">
        <v>681</v>
      </c>
      <c r="M2950" t="s">
        <v>681</v>
      </c>
      <c r="N2950" s="5" t="s">
        <v>841</v>
      </c>
      <c r="O2950" s="5">
        <v>30848651</v>
      </c>
      <c r="P2950" s="5">
        <v>592020</v>
      </c>
      <c r="Q2950" s="5">
        <v>112484</v>
      </c>
      <c r="R2950" s="5">
        <v>704504</v>
      </c>
    </row>
    <row r="2951" spans="1:18" x14ac:dyDescent="0.25">
      <c r="A2951" t="s">
        <v>503</v>
      </c>
      <c r="B2951" t="s">
        <v>494</v>
      </c>
      <c r="C2951">
        <v>79862750</v>
      </c>
      <c r="D2951">
        <v>12</v>
      </c>
      <c r="E2951">
        <v>4502165481</v>
      </c>
      <c r="F2951" t="s">
        <v>588</v>
      </c>
      <c r="G2951" s="1">
        <v>45236</v>
      </c>
      <c r="H2951">
        <v>5411952</v>
      </c>
      <c r="I2951">
        <v>100</v>
      </c>
      <c r="J2951" t="s">
        <v>384</v>
      </c>
      <c r="K2951" s="8" t="str">
        <f>IFERROR(IF(AND(VLOOKUP($C2951,Hes!$A:$B, 1, FALSE), $M2951&lt;&gt;" "), "Ingresada", "Falta Ingresar"), " ")</f>
        <v>Falta Ingresar</v>
      </c>
      <c r="L2951" s="4" t="s">
        <v>681</v>
      </c>
      <c r="M2951" t="s">
        <v>681</v>
      </c>
      <c r="N2951" s="5" t="s">
        <v>841</v>
      </c>
      <c r="O2951" s="5">
        <v>30848615</v>
      </c>
      <c r="P2951" s="5">
        <v>333250</v>
      </c>
      <c r="Q2951" s="5">
        <v>63318</v>
      </c>
      <c r="R2951" s="5">
        <v>396568</v>
      </c>
    </row>
    <row r="2952" spans="1:18" x14ac:dyDescent="0.25">
      <c r="A2952" t="s">
        <v>503</v>
      </c>
      <c r="B2952" t="s">
        <v>494</v>
      </c>
      <c r="C2952">
        <v>79862750</v>
      </c>
      <c r="D2952">
        <v>40</v>
      </c>
      <c r="E2952">
        <v>4502190399</v>
      </c>
      <c r="F2952" t="s">
        <v>588</v>
      </c>
      <c r="G2952" s="1">
        <v>45235</v>
      </c>
      <c r="H2952">
        <v>5412177</v>
      </c>
      <c r="I2952">
        <v>100</v>
      </c>
      <c r="J2952" t="s">
        <v>384</v>
      </c>
      <c r="K2952" s="8" t="str">
        <f>IFERROR(IF(AND(VLOOKUP($C2952,Hes!$A:$B, 1, FALSE), $M2952&lt;&gt;" "), "Ingresada", "Falta Ingresar"), " ")</f>
        <v>Falta Ingresar</v>
      </c>
      <c r="L2952" s="4" t="s">
        <v>681</v>
      </c>
      <c r="M2952" t="s">
        <v>681</v>
      </c>
      <c r="N2952" s="5" t="s">
        <v>841</v>
      </c>
      <c r="O2952" s="5">
        <v>30853086</v>
      </c>
      <c r="P2952" s="5">
        <v>231898</v>
      </c>
      <c r="Q2952" s="5">
        <v>44061</v>
      </c>
      <c r="R2952" s="5">
        <v>275959</v>
      </c>
    </row>
    <row r="2953" spans="1:18" x14ac:dyDescent="0.25">
      <c r="A2953" t="s">
        <v>503</v>
      </c>
      <c r="B2953" t="s">
        <v>494</v>
      </c>
      <c r="C2953">
        <v>79862750</v>
      </c>
      <c r="D2953">
        <v>80</v>
      </c>
      <c r="E2953">
        <v>4502190474</v>
      </c>
      <c r="F2953" t="s">
        <v>588</v>
      </c>
      <c r="G2953" s="1">
        <v>45234</v>
      </c>
      <c r="H2953">
        <v>5412655</v>
      </c>
      <c r="I2953">
        <v>100</v>
      </c>
      <c r="J2953" t="s">
        <v>384</v>
      </c>
      <c r="K2953" s="8" t="str">
        <f>IFERROR(IF(AND(VLOOKUP($C2953,Hes!$A:$B, 1, FALSE), $M2953&lt;&gt;" "), "Ingresada", "Falta Ingresar"), " ")</f>
        <v>Falta Ingresar</v>
      </c>
      <c r="L2953" s="4" t="s">
        <v>681</v>
      </c>
      <c r="M2953" t="s">
        <v>681</v>
      </c>
      <c r="N2953" s="5" t="s">
        <v>841</v>
      </c>
      <c r="O2953" s="5">
        <v>30853138</v>
      </c>
      <c r="P2953" s="5">
        <v>445929</v>
      </c>
      <c r="Q2953" s="5">
        <v>84727</v>
      </c>
      <c r="R2953" s="5">
        <v>530656</v>
      </c>
    </row>
    <row r="2954" spans="1:18" x14ac:dyDescent="0.25">
      <c r="A2954" t="s">
        <v>503</v>
      </c>
      <c r="B2954" t="s">
        <v>494</v>
      </c>
      <c r="C2954">
        <v>79862750</v>
      </c>
      <c r="D2954">
        <v>97</v>
      </c>
      <c r="E2954">
        <v>4502200291</v>
      </c>
      <c r="F2954" t="s">
        <v>588</v>
      </c>
      <c r="G2954" s="1">
        <v>45238</v>
      </c>
      <c r="H2954">
        <v>5415482</v>
      </c>
      <c r="I2954">
        <v>100</v>
      </c>
      <c r="J2954" t="s">
        <v>384</v>
      </c>
      <c r="K2954" s="8" t="str">
        <f>IFERROR(IF(AND(VLOOKUP($C2954,Hes!$A:$B, 1, FALSE), $M2954&lt;&gt;" "), "Ingresada", "Falta Ingresar"), " ")</f>
        <v>Falta Ingresar</v>
      </c>
      <c r="L2954" s="4" t="s">
        <v>681</v>
      </c>
      <c r="M2954" t="s">
        <v>681</v>
      </c>
      <c r="N2954" s="5" t="s">
        <v>841</v>
      </c>
      <c r="O2954" s="5">
        <v>30865668</v>
      </c>
      <c r="P2954" s="5">
        <v>102860</v>
      </c>
      <c r="Q2954" s="5">
        <v>19543</v>
      </c>
      <c r="R2954" s="5">
        <v>122403</v>
      </c>
    </row>
    <row r="2955" spans="1:18" x14ac:dyDescent="0.25">
      <c r="A2955" t="s">
        <v>503</v>
      </c>
      <c r="B2955" t="s">
        <v>494</v>
      </c>
      <c r="C2955">
        <v>79862750</v>
      </c>
      <c r="D2955">
        <v>97</v>
      </c>
      <c r="E2955">
        <v>4502197611</v>
      </c>
      <c r="F2955" t="s">
        <v>588</v>
      </c>
      <c r="G2955" s="1">
        <v>45238</v>
      </c>
      <c r="H2955">
        <v>5415691</v>
      </c>
      <c r="I2955">
        <v>100</v>
      </c>
      <c r="J2955" t="s">
        <v>384</v>
      </c>
      <c r="K2955" s="8" t="str">
        <f>IFERROR(IF(AND(VLOOKUP($C2955,Hes!$A:$B, 1, FALSE), $M2955&lt;&gt;" "), "Ingresada", "Falta Ingresar"), " ")</f>
        <v>Falta Ingresar</v>
      </c>
      <c r="L2955" s="4" t="s">
        <v>681</v>
      </c>
      <c r="M2955" t="s">
        <v>681</v>
      </c>
      <c r="N2955" s="5" t="s">
        <v>841</v>
      </c>
      <c r="O2955" s="5">
        <v>30865780</v>
      </c>
      <c r="P2955" s="5">
        <v>334607</v>
      </c>
      <c r="Q2955" s="5">
        <v>63575</v>
      </c>
      <c r="R2955" s="5">
        <v>398182</v>
      </c>
    </row>
    <row r="2956" spans="1:18" x14ac:dyDescent="0.25">
      <c r="F2956" t="s">
        <v>510</v>
      </c>
      <c r="K2956" t="str">
        <f>IFERROR(IF(AND(VLOOKUP($C2956,Hes!$A:$B, 1, FALSE), $M2956&lt;&gt;" "), "Ingresada", "Falta Ingresar"), " ")</f>
        <v xml:space="preserve"> </v>
      </c>
      <c r="L2956" s="4" t="str">
        <f>IFERROR(VLOOKUP($C2956,Observaciones!$A:$B,2,FALSE)," ")</f>
        <v xml:space="preserve"> </v>
      </c>
      <c r="M2956" t="s">
        <v>681</v>
      </c>
      <c r="P2956" s="5">
        <v>2712163</v>
      </c>
      <c r="Q2956" s="5">
        <v>515311</v>
      </c>
      <c r="R2956" s="5">
        <v>3227474</v>
      </c>
    </row>
    <row r="2957" spans="1:18" x14ac:dyDescent="0.25">
      <c r="A2957" t="s">
        <v>496</v>
      </c>
      <c r="B2957" t="s">
        <v>494</v>
      </c>
      <c r="C2957">
        <v>79872410</v>
      </c>
      <c r="D2957">
        <v>0</v>
      </c>
      <c r="E2957">
        <v>4500827908</v>
      </c>
      <c r="F2957" t="s">
        <v>1356</v>
      </c>
      <c r="G2957" s="1">
        <v>45236</v>
      </c>
      <c r="H2957">
        <v>5412469</v>
      </c>
      <c r="I2957">
        <v>81</v>
      </c>
      <c r="J2957" t="s">
        <v>144</v>
      </c>
      <c r="K2957" t="str">
        <f>IFERROR(IF(AND(VLOOKUP($C2957,Hes!$A:$B, 1, FALSE), $M2957&lt;&gt;" "), "Ingresada", "Falta Ingresar"), " ")</f>
        <v xml:space="preserve"> </v>
      </c>
      <c r="L2957" s="4" t="s">
        <v>681</v>
      </c>
      <c r="M2957" t="s">
        <v>681</v>
      </c>
      <c r="O2957" s="5">
        <v>30853886</v>
      </c>
      <c r="P2957" s="5">
        <v>39445</v>
      </c>
      <c r="Q2957" s="5">
        <v>7495</v>
      </c>
      <c r="R2957" s="5">
        <v>46940</v>
      </c>
    </row>
    <row r="2958" spans="1:18" x14ac:dyDescent="0.25">
      <c r="A2958" t="s">
        <v>496</v>
      </c>
      <c r="B2958" t="s">
        <v>494</v>
      </c>
      <c r="C2958">
        <v>79872410</v>
      </c>
      <c r="D2958">
        <v>0</v>
      </c>
      <c r="E2958">
        <v>4500803194</v>
      </c>
      <c r="F2958" t="s">
        <v>1356</v>
      </c>
      <c r="G2958" s="1">
        <v>45236</v>
      </c>
      <c r="H2958">
        <v>5413322</v>
      </c>
      <c r="I2958">
        <v>81</v>
      </c>
      <c r="J2958" t="s">
        <v>144</v>
      </c>
      <c r="K2958" t="str">
        <f>IFERROR(IF(AND(VLOOKUP($C2958,Hes!$A:$B, 1, FALSE), $M2958&lt;&gt;" "), "Ingresada", "Falta Ingresar"), " ")</f>
        <v xml:space="preserve"> </v>
      </c>
      <c r="L2958" s="4" t="s">
        <v>681</v>
      </c>
      <c r="M2958" t="s">
        <v>681</v>
      </c>
      <c r="O2958" s="5">
        <v>30857669</v>
      </c>
      <c r="P2958" s="5">
        <v>70720</v>
      </c>
      <c r="Q2958" s="5">
        <v>13437</v>
      </c>
      <c r="R2958" s="5">
        <v>84157</v>
      </c>
    </row>
    <row r="2959" spans="1:18" x14ac:dyDescent="0.25">
      <c r="A2959" t="s">
        <v>496</v>
      </c>
      <c r="B2959" t="s">
        <v>494</v>
      </c>
      <c r="C2959">
        <v>79872410</v>
      </c>
      <c r="D2959">
        <v>0</v>
      </c>
      <c r="E2959">
        <v>4500824372</v>
      </c>
      <c r="F2959" t="s">
        <v>1356</v>
      </c>
      <c r="G2959" s="1">
        <v>45236</v>
      </c>
      <c r="H2959">
        <v>5413542</v>
      </c>
      <c r="I2959">
        <v>81</v>
      </c>
      <c r="J2959" t="s">
        <v>144</v>
      </c>
      <c r="K2959" t="str">
        <f>IFERROR(IF(AND(VLOOKUP($C2959,Hes!$A:$B, 1, FALSE), $M2959&lt;&gt;" "), "Ingresada", "Falta Ingresar"), " ")</f>
        <v xml:space="preserve"> </v>
      </c>
      <c r="L2959" s="4" t="s">
        <v>681</v>
      </c>
      <c r="M2959" t="s">
        <v>681</v>
      </c>
      <c r="O2959" s="5">
        <v>30853529</v>
      </c>
      <c r="P2959" s="5">
        <v>478442</v>
      </c>
      <c r="Q2959" s="5">
        <v>90904</v>
      </c>
      <c r="R2959" s="5">
        <v>569346</v>
      </c>
    </row>
    <row r="2960" spans="1:18" x14ac:dyDescent="0.25">
      <c r="A2960" t="s">
        <v>496</v>
      </c>
      <c r="B2960" t="s">
        <v>494</v>
      </c>
      <c r="C2960">
        <v>79872410</v>
      </c>
      <c r="D2960">
        <v>0</v>
      </c>
      <c r="E2960">
        <v>4500828079</v>
      </c>
      <c r="F2960" t="s">
        <v>1356</v>
      </c>
      <c r="G2960" s="1">
        <v>45237</v>
      </c>
      <c r="H2960">
        <v>5414238</v>
      </c>
      <c r="I2960">
        <v>81</v>
      </c>
      <c r="J2960" t="s">
        <v>144</v>
      </c>
      <c r="K2960" t="str">
        <f>IFERROR(IF(AND(VLOOKUP($C2960,Hes!$A:$B, 1, FALSE), $M2960&lt;&gt;" "), "Ingresada", "Falta Ingresar"), " ")</f>
        <v xml:space="preserve"> </v>
      </c>
      <c r="L2960" s="4" t="s">
        <v>681</v>
      </c>
      <c r="M2960" t="s">
        <v>681</v>
      </c>
      <c r="O2960" s="5">
        <v>30852962</v>
      </c>
      <c r="P2960" s="5">
        <v>70508</v>
      </c>
      <c r="Q2960" s="5">
        <v>13397</v>
      </c>
      <c r="R2960" s="5">
        <v>83905</v>
      </c>
    </row>
    <row r="2961" spans="1:18" x14ac:dyDescent="0.25">
      <c r="F2961" t="s">
        <v>498</v>
      </c>
      <c r="K2961" t="str">
        <f>IFERROR(IF(AND(VLOOKUP($C2961,Hes!$A:$B, 1, FALSE), $M2961&lt;&gt;" "), "Ingresada", "Falta Ingresar"), " ")</f>
        <v xml:space="preserve"> </v>
      </c>
      <c r="L2961" s="4" t="str">
        <f>IFERROR(VLOOKUP($C2961,Observaciones!$A:$B,2,FALSE)," ")</f>
        <v xml:space="preserve"> </v>
      </c>
      <c r="M2961" t="s">
        <v>681</v>
      </c>
      <c r="P2961" s="5">
        <v>659115</v>
      </c>
      <c r="Q2961" s="5">
        <v>125233</v>
      </c>
      <c r="R2961" s="5">
        <v>784348</v>
      </c>
    </row>
    <row r="2962" spans="1:18" x14ac:dyDescent="0.25">
      <c r="A2962" t="s">
        <v>496</v>
      </c>
      <c r="B2962" t="s">
        <v>509</v>
      </c>
      <c r="C2962">
        <v>79872420</v>
      </c>
      <c r="D2962">
        <v>2</v>
      </c>
      <c r="E2962">
        <v>4500826993</v>
      </c>
      <c r="F2962" t="s">
        <v>1357</v>
      </c>
      <c r="G2962" s="1">
        <v>45234</v>
      </c>
      <c r="H2962">
        <v>5411758</v>
      </c>
      <c r="I2962">
        <v>360</v>
      </c>
      <c r="J2962" t="s">
        <v>188</v>
      </c>
      <c r="K2962" t="str">
        <f>IFERROR(IF(AND(VLOOKUP($C2962,Hes!$A:$B, 1, FALSE), $M2962&lt;&gt;" "), "Ingresada", "Falta Ingresar"), " ")</f>
        <v xml:space="preserve"> </v>
      </c>
      <c r="L2962" s="4" t="str">
        <f>IFERROR(VLOOKUP($C2962,Observaciones!$A:$B,2,FALSE)," ")</f>
        <v>XOC Y CC</v>
      </c>
      <c r="M2962" t="s">
        <v>681</v>
      </c>
      <c r="O2962" s="5">
        <v>30850449</v>
      </c>
      <c r="P2962" s="5">
        <v>95820</v>
      </c>
      <c r="Q2962" s="5">
        <v>18206</v>
      </c>
      <c r="R2962" s="5">
        <v>114026</v>
      </c>
    </row>
    <row r="2963" spans="1:18" x14ac:dyDescent="0.25">
      <c r="A2963" t="s">
        <v>496</v>
      </c>
      <c r="B2963" t="s">
        <v>509</v>
      </c>
      <c r="C2963">
        <v>79872420</v>
      </c>
      <c r="D2963">
        <v>1</v>
      </c>
      <c r="E2963">
        <v>4500827561</v>
      </c>
      <c r="F2963" t="s">
        <v>1357</v>
      </c>
      <c r="G2963" s="1">
        <v>45234</v>
      </c>
      <c r="H2963">
        <v>5411766</v>
      </c>
      <c r="I2963">
        <v>360</v>
      </c>
      <c r="J2963" t="s">
        <v>188</v>
      </c>
      <c r="K2963" t="str">
        <f>IFERROR(IF(AND(VLOOKUP($C2963,Hes!$A:$B, 1, FALSE), $M2963&lt;&gt;" "), "Ingresada", "Falta Ingresar"), " ")</f>
        <v xml:space="preserve"> </v>
      </c>
      <c r="L2963" s="4" t="str">
        <f>IFERROR(VLOOKUP($C2963,Observaciones!$A:$B,2,FALSE)," ")</f>
        <v>XOC Y CC</v>
      </c>
      <c r="M2963" t="s">
        <v>681</v>
      </c>
      <c r="O2963" s="5">
        <v>30844975</v>
      </c>
      <c r="P2963" s="5">
        <v>51600</v>
      </c>
      <c r="Q2963" s="5">
        <v>9804</v>
      </c>
      <c r="R2963" s="5">
        <v>61404</v>
      </c>
    </row>
    <row r="2964" spans="1:18" x14ac:dyDescent="0.25">
      <c r="A2964" t="s">
        <v>496</v>
      </c>
      <c r="B2964" t="s">
        <v>509</v>
      </c>
      <c r="C2964">
        <v>79872420</v>
      </c>
      <c r="D2964">
        <v>2</v>
      </c>
      <c r="E2964">
        <v>4500827559</v>
      </c>
      <c r="F2964" t="s">
        <v>1357</v>
      </c>
      <c r="G2964" s="1">
        <v>45234</v>
      </c>
      <c r="H2964">
        <v>5412279</v>
      </c>
      <c r="I2964">
        <v>360</v>
      </c>
      <c r="J2964" t="s">
        <v>188</v>
      </c>
      <c r="K2964" t="str">
        <f>IFERROR(IF(AND(VLOOKUP($C2964,Hes!$A:$B, 1, FALSE), $M2964&lt;&gt;" "), "Ingresada", "Falta Ingresar"), " ")</f>
        <v xml:space="preserve"> </v>
      </c>
      <c r="L2964" s="4" t="str">
        <f>IFERROR(VLOOKUP($C2964,Observaciones!$A:$B,2,FALSE)," ")</f>
        <v>XOC Y CC</v>
      </c>
      <c r="M2964" t="s">
        <v>681</v>
      </c>
      <c r="O2964" s="5">
        <v>30853513</v>
      </c>
      <c r="P2964" s="5">
        <v>8420</v>
      </c>
      <c r="Q2964" s="5">
        <v>1600</v>
      </c>
      <c r="R2964" s="5">
        <v>10020</v>
      </c>
    </row>
    <row r="2965" spans="1:18" x14ac:dyDescent="0.25">
      <c r="A2965" t="s">
        <v>496</v>
      </c>
      <c r="B2965" t="s">
        <v>509</v>
      </c>
      <c r="C2965">
        <v>79872420</v>
      </c>
      <c r="D2965">
        <v>2</v>
      </c>
      <c r="E2965">
        <v>4500827507</v>
      </c>
      <c r="F2965" t="s">
        <v>1357</v>
      </c>
      <c r="G2965" s="1">
        <v>45237</v>
      </c>
      <c r="H2965">
        <v>5414793</v>
      </c>
      <c r="I2965">
        <v>360</v>
      </c>
      <c r="J2965" t="s">
        <v>188</v>
      </c>
      <c r="K2965" t="str">
        <f>IFERROR(IF(AND(VLOOKUP($C2965,Hes!$A:$B, 1, FALSE), $M2965&lt;&gt;" "), "Ingresada", "Falta Ingresar"), " ")</f>
        <v xml:space="preserve"> </v>
      </c>
      <c r="L2965" s="4" t="str">
        <f>IFERROR(VLOOKUP($C2965,Observaciones!$A:$B,2,FALSE)," ")</f>
        <v>XOC Y CC</v>
      </c>
      <c r="M2965" t="s">
        <v>681</v>
      </c>
      <c r="O2965" s="5">
        <v>30853534</v>
      </c>
      <c r="P2965" s="5">
        <v>1221860</v>
      </c>
      <c r="Q2965" s="5">
        <v>232153</v>
      </c>
      <c r="R2965" s="5">
        <v>1454013</v>
      </c>
    </row>
    <row r="2966" spans="1:18" x14ac:dyDescent="0.25">
      <c r="A2966" t="s">
        <v>496</v>
      </c>
      <c r="B2966" t="s">
        <v>509</v>
      </c>
      <c r="C2966">
        <v>79872420</v>
      </c>
      <c r="D2966">
        <v>2</v>
      </c>
      <c r="E2966">
        <v>4500826960</v>
      </c>
      <c r="F2966" t="s">
        <v>1357</v>
      </c>
      <c r="G2966" s="1">
        <v>45238</v>
      </c>
      <c r="H2966">
        <v>5415162</v>
      </c>
      <c r="I2966">
        <v>360</v>
      </c>
      <c r="J2966" t="s">
        <v>188</v>
      </c>
      <c r="K2966" t="str">
        <f>IFERROR(IF(AND(VLOOKUP($C2966,Hes!$A:$B, 1, FALSE), $M2966&lt;&gt;" "), "Ingresada", "Falta Ingresar"), " ")</f>
        <v xml:space="preserve"> </v>
      </c>
      <c r="L2966" s="4" t="str">
        <f>IFERROR(VLOOKUP($C2966,Observaciones!$A:$B,2,FALSE)," ")</f>
        <v>XOC Y CC</v>
      </c>
      <c r="M2966" t="s">
        <v>681</v>
      </c>
      <c r="O2966" s="5">
        <v>30863472</v>
      </c>
      <c r="P2966" s="5">
        <v>629122</v>
      </c>
      <c r="Q2966" s="5">
        <v>119533</v>
      </c>
      <c r="R2966" s="5">
        <v>748655</v>
      </c>
    </row>
    <row r="2967" spans="1:18" x14ac:dyDescent="0.25">
      <c r="A2967" t="s">
        <v>496</v>
      </c>
      <c r="B2967" t="s">
        <v>509</v>
      </c>
      <c r="C2967">
        <v>79872420</v>
      </c>
      <c r="D2967">
        <v>2</v>
      </c>
      <c r="E2967">
        <v>4500826706</v>
      </c>
      <c r="F2967" t="s">
        <v>1357</v>
      </c>
      <c r="G2967" s="1">
        <v>45238</v>
      </c>
      <c r="H2967">
        <v>5415352</v>
      </c>
      <c r="I2967">
        <v>360</v>
      </c>
      <c r="J2967" t="s">
        <v>188</v>
      </c>
      <c r="K2967" t="str">
        <f>IFERROR(IF(AND(VLOOKUP($C2967,Hes!$A:$B, 1, FALSE), $M2967&lt;&gt;" "), "Ingresada", "Falta Ingresar"), " ")</f>
        <v xml:space="preserve"> </v>
      </c>
      <c r="L2967" s="4" t="str">
        <f>IFERROR(VLOOKUP($C2967,Observaciones!$A:$B,2,FALSE)," ")</f>
        <v>XOC Y CC</v>
      </c>
      <c r="M2967" t="s">
        <v>681</v>
      </c>
      <c r="O2967" s="5">
        <v>30860423</v>
      </c>
      <c r="P2967" s="5">
        <v>2140009</v>
      </c>
      <c r="Q2967" s="5">
        <v>406602</v>
      </c>
      <c r="R2967" s="5">
        <v>2546611</v>
      </c>
    </row>
    <row r="2968" spans="1:18" x14ac:dyDescent="0.25">
      <c r="A2968" t="s">
        <v>496</v>
      </c>
      <c r="B2968" t="s">
        <v>509</v>
      </c>
      <c r="C2968">
        <v>79872420</v>
      </c>
      <c r="D2968">
        <v>2</v>
      </c>
      <c r="E2968">
        <v>4500826706</v>
      </c>
      <c r="F2968" t="s">
        <v>1357</v>
      </c>
      <c r="G2968" s="1">
        <v>45238</v>
      </c>
      <c r="H2968">
        <v>5415359</v>
      </c>
      <c r="I2968">
        <v>360</v>
      </c>
      <c r="J2968" t="s">
        <v>188</v>
      </c>
      <c r="K2968" t="str">
        <f>IFERROR(IF(AND(VLOOKUP($C2968,Hes!$A:$B, 1, FALSE), $M2968&lt;&gt;" "), "Ingresada", "Falta Ingresar"), " ")</f>
        <v xml:space="preserve"> </v>
      </c>
      <c r="L2968" s="4" t="str">
        <f>IFERROR(VLOOKUP($C2968,Observaciones!$A:$B,2,FALSE)," ")</f>
        <v>XOC Y CC</v>
      </c>
      <c r="M2968" t="s">
        <v>681</v>
      </c>
      <c r="O2968" s="5">
        <v>30865217</v>
      </c>
      <c r="P2968" s="5">
        <v>774000</v>
      </c>
      <c r="Q2968" s="5">
        <v>147060</v>
      </c>
      <c r="R2968" s="5">
        <v>921060</v>
      </c>
    </row>
    <row r="2969" spans="1:18" x14ac:dyDescent="0.25">
      <c r="F2969" t="s">
        <v>537</v>
      </c>
      <c r="K2969" t="str">
        <f>IFERROR(IF(AND(VLOOKUP($C2969,Hes!$A:$B, 1, FALSE), $M2969&lt;&gt;" "), "Ingresada", "Falta Ingresar"), " ")</f>
        <v xml:space="preserve"> </v>
      </c>
      <c r="L2969" s="4" t="str">
        <f>IFERROR(VLOOKUP($C2969,Observaciones!$A:$B,2,FALSE)," ")</f>
        <v xml:space="preserve"> </v>
      </c>
      <c r="M2969" t="s">
        <v>681</v>
      </c>
      <c r="P2969" s="5">
        <v>4920831</v>
      </c>
      <c r="Q2969" s="5">
        <v>934958</v>
      </c>
      <c r="R2969" s="5">
        <v>5855789</v>
      </c>
    </row>
    <row r="2970" spans="1:18" x14ac:dyDescent="0.25">
      <c r="A2970" t="s">
        <v>496</v>
      </c>
      <c r="B2970" t="s">
        <v>494</v>
      </c>
      <c r="C2970">
        <v>79877450</v>
      </c>
      <c r="D2970">
        <v>32</v>
      </c>
      <c r="E2970" t="s">
        <v>1358</v>
      </c>
      <c r="F2970" t="s">
        <v>1359</v>
      </c>
      <c r="G2970" s="1">
        <v>45232</v>
      </c>
      <c r="H2970">
        <v>5410681</v>
      </c>
      <c r="I2970">
        <v>424</v>
      </c>
      <c r="J2970" t="s">
        <v>146</v>
      </c>
      <c r="K2970" t="str">
        <f>IFERROR(IF(AND(VLOOKUP($C2970,Hes!$A:$B, 1, FALSE), $M2970&lt;&gt;" "), "Ingresada", "Falta Ingresar"), " ")</f>
        <v xml:space="preserve"> </v>
      </c>
      <c r="L2970" s="4" t="str">
        <f>IFERROR(VLOOKUP($C2970,Observaciones!$A:$B,2,FALSE)," ")</f>
        <v>XOC Y CC</v>
      </c>
      <c r="M2970" t="s">
        <v>681</v>
      </c>
      <c r="O2970" s="5">
        <v>30839001</v>
      </c>
      <c r="P2970" s="5">
        <v>419200</v>
      </c>
      <c r="Q2970" s="5">
        <v>79648</v>
      </c>
      <c r="R2970" s="5">
        <v>501685</v>
      </c>
    </row>
    <row r="2971" spans="1:18" x14ac:dyDescent="0.25">
      <c r="A2971" t="s">
        <v>496</v>
      </c>
      <c r="B2971" t="s">
        <v>494</v>
      </c>
      <c r="C2971">
        <v>79877450</v>
      </c>
      <c r="D2971">
        <v>32</v>
      </c>
      <c r="E2971" t="s">
        <v>1360</v>
      </c>
      <c r="F2971" t="s">
        <v>1359</v>
      </c>
      <c r="G2971" s="1">
        <v>45233</v>
      </c>
      <c r="H2971">
        <v>5411544</v>
      </c>
      <c r="I2971">
        <v>424</v>
      </c>
      <c r="J2971" t="s">
        <v>146</v>
      </c>
      <c r="K2971" t="str">
        <f>IFERROR(IF(AND(VLOOKUP($C2971,Hes!$A:$B, 1, FALSE), $M2971&lt;&gt;" "), "Ingresada", "Falta Ingresar"), " ")</f>
        <v xml:space="preserve"> </v>
      </c>
      <c r="L2971" s="4" t="str">
        <f>IFERROR(VLOOKUP($C2971,Observaciones!$A:$B,2,FALSE)," ")</f>
        <v>XOC Y CC</v>
      </c>
      <c r="M2971" t="s">
        <v>681</v>
      </c>
      <c r="O2971" s="5">
        <v>30847770</v>
      </c>
      <c r="P2971" s="5">
        <v>264772</v>
      </c>
      <c r="Q2971" s="5">
        <v>50307</v>
      </c>
      <c r="R2971" s="5">
        <v>315079</v>
      </c>
    </row>
    <row r="2972" spans="1:18" x14ac:dyDescent="0.25">
      <c r="F2972" t="s">
        <v>497</v>
      </c>
      <c r="K2972" t="str">
        <f>IFERROR(IF(AND(VLOOKUP($C2972,Hes!$A:$B, 1, FALSE), $M2972&lt;&gt;" "), "Ingresada", "Falta Ingresar"), " ")</f>
        <v xml:space="preserve"> </v>
      </c>
      <c r="L2972" s="4" t="str">
        <f>IFERROR(VLOOKUP($C2972,Observaciones!$A:$B,2,FALSE)," ")</f>
        <v xml:space="preserve"> </v>
      </c>
      <c r="M2972" t="s">
        <v>681</v>
      </c>
      <c r="P2972" s="5">
        <v>683972</v>
      </c>
      <c r="Q2972" s="5">
        <v>129955</v>
      </c>
      <c r="R2972" s="5">
        <v>816764</v>
      </c>
    </row>
    <row r="2973" spans="1:18" x14ac:dyDescent="0.25">
      <c r="A2973" t="s">
        <v>501</v>
      </c>
      <c r="B2973" t="s">
        <v>494</v>
      </c>
      <c r="C2973">
        <v>79894160</v>
      </c>
      <c r="D2973">
        <v>13</v>
      </c>
      <c r="E2973">
        <v>30850821</v>
      </c>
      <c r="F2973" t="s">
        <v>1361</v>
      </c>
      <c r="G2973" s="1">
        <v>45233</v>
      </c>
      <c r="H2973">
        <v>5411703</v>
      </c>
      <c r="I2973">
        <v>23</v>
      </c>
      <c r="J2973" t="s">
        <v>174</v>
      </c>
      <c r="K2973" t="str">
        <f>IFERROR(IF(AND(VLOOKUP($C2973,Hes!$A:$B, 1, FALSE), $M2973&lt;&gt;" "), "Ingresada", "Falta Ingresar"), " ")</f>
        <v xml:space="preserve"> </v>
      </c>
      <c r="L2973" s="4" t="str">
        <f>IFERROR(VLOOKUP($C2973,Observaciones!$A:$B,2,FALSE)," ")</f>
        <v xml:space="preserve"> </v>
      </c>
      <c r="M2973" t="s">
        <v>681</v>
      </c>
      <c r="O2973" s="5">
        <v>30850821</v>
      </c>
      <c r="P2973" s="5">
        <v>125115</v>
      </c>
      <c r="Q2973" s="5">
        <v>23772</v>
      </c>
      <c r="R2973" s="5">
        <v>148887</v>
      </c>
    </row>
    <row r="2974" spans="1:18" x14ac:dyDescent="0.25">
      <c r="A2974" t="s">
        <v>501</v>
      </c>
      <c r="B2974" t="s">
        <v>494</v>
      </c>
      <c r="C2974">
        <v>79894160</v>
      </c>
      <c r="D2974">
        <v>10</v>
      </c>
      <c r="E2974">
        <v>30853682</v>
      </c>
      <c r="F2974" t="s">
        <v>1361</v>
      </c>
      <c r="G2974" s="1">
        <v>45236</v>
      </c>
      <c r="H2974">
        <v>5412633</v>
      </c>
      <c r="I2974">
        <v>23</v>
      </c>
      <c r="J2974" t="s">
        <v>174</v>
      </c>
      <c r="K2974" t="str">
        <f>IFERROR(IF(AND(VLOOKUP($C2974,Hes!$A:$B, 1, FALSE), $M2974&lt;&gt;" "), "Ingresada", "Falta Ingresar"), " ")</f>
        <v xml:space="preserve"> </v>
      </c>
      <c r="L2974" s="4" t="str">
        <f>IFERROR(VLOOKUP($C2974,Observaciones!$A:$B,2,FALSE)," ")</f>
        <v xml:space="preserve"> </v>
      </c>
      <c r="M2974" t="s">
        <v>681</v>
      </c>
      <c r="O2974" s="5">
        <v>30853682</v>
      </c>
      <c r="P2974" s="5">
        <v>72229</v>
      </c>
      <c r="Q2974" s="5">
        <v>13724</v>
      </c>
      <c r="R2974" s="5">
        <v>85953</v>
      </c>
    </row>
    <row r="2975" spans="1:18" x14ac:dyDescent="0.25">
      <c r="A2975" t="s">
        <v>501</v>
      </c>
      <c r="B2975" t="s">
        <v>494</v>
      </c>
      <c r="C2975">
        <v>79894160</v>
      </c>
      <c r="D2975">
        <v>11</v>
      </c>
      <c r="E2975">
        <v>30853671</v>
      </c>
      <c r="F2975" t="s">
        <v>1361</v>
      </c>
      <c r="G2975" s="1">
        <v>45234</v>
      </c>
      <c r="H2975">
        <v>5412991</v>
      </c>
      <c r="I2975">
        <v>23</v>
      </c>
      <c r="J2975" t="s">
        <v>174</v>
      </c>
      <c r="K2975" t="str">
        <f>IFERROR(IF(AND(VLOOKUP($C2975,Hes!$A:$B, 1, FALSE), $M2975&lt;&gt;" "), "Ingresada", "Falta Ingresar"), " ")</f>
        <v xml:space="preserve"> </v>
      </c>
      <c r="L2975" s="4" t="str">
        <f>IFERROR(VLOOKUP($C2975,Observaciones!$A:$B,2,FALSE)," ")</f>
        <v xml:space="preserve"> </v>
      </c>
      <c r="M2975" t="s">
        <v>681</v>
      </c>
      <c r="O2975" s="5">
        <v>30853671</v>
      </c>
      <c r="P2975" s="5">
        <v>54746</v>
      </c>
      <c r="Q2975" s="5">
        <v>10402</v>
      </c>
      <c r="R2975" s="5">
        <v>65148</v>
      </c>
    </row>
    <row r="2976" spans="1:18" x14ac:dyDescent="0.25">
      <c r="A2976" t="s">
        <v>501</v>
      </c>
      <c r="B2976" t="s">
        <v>494</v>
      </c>
      <c r="C2976">
        <v>79894160</v>
      </c>
      <c r="D2976">
        <v>17</v>
      </c>
      <c r="E2976">
        <v>30853655</v>
      </c>
      <c r="F2976" t="s">
        <v>1361</v>
      </c>
      <c r="G2976" s="1">
        <v>45236</v>
      </c>
      <c r="H2976">
        <v>5413844</v>
      </c>
      <c r="I2976">
        <v>23</v>
      </c>
      <c r="J2976" t="s">
        <v>174</v>
      </c>
      <c r="K2976" t="str">
        <f>IFERROR(IF(AND(VLOOKUP($C2976,Hes!$A:$B, 1, FALSE), $M2976&lt;&gt;" "), "Ingresada", "Falta Ingresar"), " ")</f>
        <v xml:space="preserve"> </v>
      </c>
      <c r="L2976" s="4" t="str">
        <f>IFERROR(VLOOKUP($C2976,Observaciones!$A:$B,2,FALSE)," ")</f>
        <v xml:space="preserve"> </v>
      </c>
      <c r="M2976" t="s">
        <v>681</v>
      </c>
      <c r="O2976" s="5">
        <v>30853655</v>
      </c>
      <c r="P2976" s="5">
        <v>172543</v>
      </c>
      <c r="Q2976" s="5">
        <v>32783</v>
      </c>
      <c r="R2976" s="5">
        <v>205326</v>
      </c>
    </row>
    <row r="2977" spans="1:18" x14ac:dyDescent="0.25">
      <c r="A2977" t="s">
        <v>501</v>
      </c>
      <c r="B2977" t="s">
        <v>494</v>
      </c>
      <c r="C2977">
        <v>79894160</v>
      </c>
      <c r="D2977">
        <v>0</v>
      </c>
      <c r="E2977">
        <v>30858344</v>
      </c>
      <c r="F2977" t="s">
        <v>1361</v>
      </c>
      <c r="G2977" s="1">
        <v>45237</v>
      </c>
      <c r="H2977">
        <v>5414305</v>
      </c>
      <c r="I2977">
        <v>23</v>
      </c>
      <c r="J2977" t="s">
        <v>174</v>
      </c>
      <c r="K2977" t="str">
        <f>IFERROR(IF(AND(VLOOKUP($C2977,Hes!$A:$B, 1, FALSE), $M2977&lt;&gt;" "), "Ingresada", "Falta Ingresar"), " ")</f>
        <v xml:space="preserve"> </v>
      </c>
      <c r="L2977" s="4" t="str">
        <f>IFERROR(VLOOKUP($C2977,Observaciones!$A:$B,2,FALSE)," ")</f>
        <v xml:space="preserve"> </v>
      </c>
      <c r="M2977" t="s">
        <v>681</v>
      </c>
      <c r="O2977" s="5">
        <v>30858344</v>
      </c>
      <c r="P2977" s="5">
        <v>231113</v>
      </c>
      <c r="Q2977" s="5">
        <v>43911</v>
      </c>
      <c r="R2977" s="5">
        <v>275024</v>
      </c>
    </row>
    <row r="2978" spans="1:18" x14ac:dyDescent="0.25">
      <c r="A2978" t="s">
        <v>501</v>
      </c>
      <c r="B2978" t="s">
        <v>494</v>
      </c>
      <c r="C2978">
        <v>79894160</v>
      </c>
      <c r="D2978">
        <v>9</v>
      </c>
      <c r="E2978">
        <v>30857493</v>
      </c>
      <c r="F2978" t="s">
        <v>1361</v>
      </c>
      <c r="G2978" s="1">
        <v>45238</v>
      </c>
      <c r="H2978">
        <v>5414629</v>
      </c>
      <c r="I2978">
        <v>23</v>
      </c>
      <c r="J2978" t="s">
        <v>174</v>
      </c>
      <c r="K2978" t="str">
        <f>IFERROR(IF(AND(VLOOKUP($C2978,Hes!$A:$B, 1, FALSE), $M2978&lt;&gt;" "), "Ingresada", "Falta Ingresar"), " ")</f>
        <v xml:space="preserve"> </v>
      </c>
      <c r="L2978" s="4" t="str">
        <f>IFERROR(VLOOKUP($C2978,Observaciones!$A:$B,2,FALSE)," ")</f>
        <v xml:space="preserve"> </v>
      </c>
      <c r="M2978" t="s">
        <v>681</v>
      </c>
      <c r="O2978" s="5">
        <v>30857493</v>
      </c>
      <c r="P2978" s="5">
        <v>53717</v>
      </c>
      <c r="Q2978" s="5">
        <v>10206</v>
      </c>
      <c r="R2978" s="5">
        <v>63923</v>
      </c>
    </row>
    <row r="2979" spans="1:18" x14ac:dyDescent="0.25">
      <c r="A2979" t="s">
        <v>501</v>
      </c>
      <c r="B2979" t="s">
        <v>494</v>
      </c>
      <c r="C2979">
        <v>79894160</v>
      </c>
      <c r="D2979">
        <v>2</v>
      </c>
      <c r="E2979">
        <v>30864791</v>
      </c>
      <c r="F2979" t="s">
        <v>1361</v>
      </c>
      <c r="G2979" s="1">
        <v>45238</v>
      </c>
      <c r="H2979">
        <v>5415353</v>
      </c>
      <c r="I2979">
        <v>23</v>
      </c>
      <c r="J2979" t="s">
        <v>174</v>
      </c>
      <c r="K2979" t="str">
        <f>IFERROR(IF(AND(VLOOKUP($C2979,Hes!$A:$B, 1, FALSE), $M2979&lt;&gt;" "), "Ingresada", "Falta Ingresar"), " ")</f>
        <v xml:space="preserve"> </v>
      </c>
      <c r="L2979" s="4" t="str">
        <f>IFERROR(VLOOKUP($C2979,Observaciones!$A:$B,2,FALSE)," ")</f>
        <v xml:space="preserve"> </v>
      </c>
      <c r="M2979" t="s">
        <v>681</v>
      </c>
      <c r="O2979" s="5">
        <v>30864791</v>
      </c>
      <c r="P2979" s="5">
        <v>104849</v>
      </c>
      <c r="Q2979" s="5">
        <v>19921</v>
      </c>
      <c r="R2979" s="5">
        <v>124770</v>
      </c>
    </row>
    <row r="2980" spans="1:18" x14ac:dyDescent="0.25">
      <c r="A2980" t="s">
        <v>501</v>
      </c>
      <c r="B2980" t="s">
        <v>494</v>
      </c>
      <c r="C2980">
        <v>79894160</v>
      </c>
      <c r="D2980">
        <v>2</v>
      </c>
      <c r="E2980">
        <v>30864791</v>
      </c>
      <c r="F2980" t="s">
        <v>1361</v>
      </c>
      <c r="G2980" s="1">
        <v>45238</v>
      </c>
      <c r="H2980">
        <v>5415354</v>
      </c>
      <c r="I2980">
        <v>23</v>
      </c>
      <c r="J2980" t="s">
        <v>174</v>
      </c>
      <c r="K2980" t="str">
        <f>IFERROR(IF(AND(VLOOKUP($C2980,Hes!$A:$B, 1, FALSE), $M2980&lt;&gt;" "), "Ingresada", "Falta Ingresar"), " ")</f>
        <v xml:space="preserve"> </v>
      </c>
      <c r="L2980" s="4" t="str">
        <f>IFERROR(VLOOKUP($C2980,Observaciones!$A:$B,2,FALSE)," ")</f>
        <v xml:space="preserve"> </v>
      </c>
      <c r="M2980" t="s">
        <v>681</v>
      </c>
      <c r="O2980" s="5">
        <v>30864791</v>
      </c>
      <c r="P2980" s="5">
        <v>8069</v>
      </c>
      <c r="Q2980" s="5">
        <v>1533</v>
      </c>
      <c r="R2980" s="5">
        <v>9602</v>
      </c>
    </row>
    <row r="2981" spans="1:18" x14ac:dyDescent="0.25">
      <c r="A2981" t="s">
        <v>501</v>
      </c>
      <c r="B2981" t="s">
        <v>494</v>
      </c>
      <c r="C2981">
        <v>79894160</v>
      </c>
      <c r="D2981">
        <v>12</v>
      </c>
      <c r="E2981">
        <v>30864893</v>
      </c>
      <c r="F2981" t="s">
        <v>1361</v>
      </c>
      <c r="G2981" s="1">
        <v>45238</v>
      </c>
      <c r="H2981">
        <v>5415381</v>
      </c>
      <c r="I2981">
        <v>23</v>
      </c>
      <c r="J2981" t="s">
        <v>174</v>
      </c>
      <c r="K2981" t="str">
        <f>IFERROR(IF(AND(VLOOKUP($C2981,Hes!$A:$B, 1, FALSE), $M2981&lt;&gt;" "), "Ingresada", "Falta Ingresar"), " ")</f>
        <v xml:space="preserve"> </v>
      </c>
      <c r="L2981" s="4" t="str">
        <f>IFERROR(VLOOKUP($C2981,Observaciones!$A:$B,2,FALSE)," ")</f>
        <v xml:space="preserve"> </v>
      </c>
      <c r="M2981" t="s">
        <v>681</v>
      </c>
      <c r="O2981" s="5">
        <v>30864893</v>
      </c>
      <c r="P2981" s="5">
        <v>50105</v>
      </c>
      <c r="Q2981" s="5">
        <v>9520</v>
      </c>
      <c r="R2981" s="5">
        <v>59625</v>
      </c>
    </row>
    <row r="2982" spans="1:18" x14ac:dyDescent="0.25">
      <c r="F2982" t="s">
        <v>514</v>
      </c>
      <c r="K2982" t="str">
        <f>IFERROR(IF(AND(VLOOKUP($C2982,Hes!$A:$B, 1, FALSE), $M2982&lt;&gt;" "), "Ingresada", "Falta Ingresar"), " ")</f>
        <v xml:space="preserve"> </v>
      </c>
      <c r="L2982" s="4" t="str">
        <f>IFERROR(VLOOKUP($C2982,Observaciones!$A:$B,2,FALSE)," ")</f>
        <v xml:space="preserve"> </v>
      </c>
      <c r="M2982" t="s">
        <v>681</v>
      </c>
      <c r="P2982" s="5">
        <v>872486</v>
      </c>
      <c r="Q2982" s="5">
        <v>165772</v>
      </c>
      <c r="R2982" s="5">
        <v>1038258</v>
      </c>
    </row>
    <row r="2983" spans="1:18" x14ac:dyDescent="0.25">
      <c r="A2983" t="s">
        <v>512</v>
      </c>
      <c r="B2983" t="s">
        <v>494</v>
      </c>
      <c r="C2983">
        <v>79903920</v>
      </c>
      <c r="D2983">
        <v>4</v>
      </c>
      <c r="E2983">
        <v>30848908</v>
      </c>
      <c r="F2983" t="s">
        <v>1362</v>
      </c>
      <c r="G2983" s="1">
        <v>45232</v>
      </c>
      <c r="H2983">
        <v>5411218</v>
      </c>
      <c r="I2983">
        <v>361</v>
      </c>
      <c r="J2983" t="s">
        <v>107</v>
      </c>
      <c r="K2983" t="str">
        <f>IFERROR(IF(AND(VLOOKUP($C2983,Hes!$A:$B, 1, FALSE), $M2983&lt;&gt;" "), "Ingresada", "Falta Ingresar"), " ")</f>
        <v xml:space="preserve"> </v>
      </c>
      <c r="L2983" s="4" t="str">
        <f>IFERROR(VLOOKUP($C2983,Observaciones!$A:$B,2,FALSE)," ")</f>
        <v>XRUT</v>
      </c>
      <c r="M2983" t="s">
        <v>681</v>
      </c>
      <c r="O2983" s="5">
        <v>30848908</v>
      </c>
      <c r="P2983" s="5">
        <v>846979</v>
      </c>
      <c r="Q2983" s="5">
        <v>160926</v>
      </c>
      <c r="R2983" s="5">
        <v>1007905</v>
      </c>
    </row>
    <row r="2984" spans="1:18" x14ac:dyDescent="0.25">
      <c r="A2984" t="s">
        <v>512</v>
      </c>
      <c r="B2984" t="s">
        <v>494</v>
      </c>
      <c r="C2984">
        <v>79903920</v>
      </c>
      <c r="D2984">
        <v>4</v>
      </c>
      <c r="E2984">
        <v>30848908</v>
      </c>
      <c r="F2984" t="s">
        <v>1362</v>
      </c>
      <c r="G2984" s="1">
        <v>45232</v>
      </c>
      <c r="H2984">
        <v>5411219</v>
      </c>
      <c r="I2984">
        <v>361</v>
      </c>
      <c r="J2984" t="s">
        <v>107</v>
      </c>
      <c r="K2984" t="str">
        <f>IFERROR(IF(AND(VLOOKUP($C2984,Hes!$A:$B, 1, FALSE), $M2984&lt;&gt;" "), "Ingresada", "Falta Ingresar"), " ")</f>
        <v xml:space="preserve"> </v>
      </c>
      <c r="L2984" s="4" t="str">
        <f>IFERROR(VLOOKUP($C2984,Observaciones!$A:$B,2,FALSE)," ")</f>
        <v>XRUT</v>
      </c>
      <c r="M2984" t="s">
        <v>681</v>
      </c>
      <c r="O2984" s="5">
        <v>30848908</v>
      </c>
      <c r="P2984" s="5">
        <v>7897</v>
      </c>
      <c r="Q2984" s="5">
        <v>1500</v>
      </c>
      <c r="R2984" s="5">
        <v>9397</v>
      </c>
    </row>
    <row r="2985" spans="1:18" x14ac:dyDescent="0.25">
      <c r="A2985" t="s">
        <v>512</v>
      </c>
      <c r="B2985" t="s">
        <v>494</v>
      </c>
      <c r="C2985">
        <v>79903920</v>
      </c>
      <c r="D2985">
        <v>0</v>
      </c>
      <c r="E2985">
        <v>30847652</v>
      </c>
      <c r="F2985" t="s">
        <v>1362</v>
      </c>
      <c r="G2985" s="1">
        <v>45233</v>
      </c>
      <c r="H2985">
        <v>5411379</v>
      </c>
      <c r="I2985">
        <v>361</v>
      </c>
      <c r="J2985" t="s">
        <v>107</v>
      </c>
      <c r="K2985" t="str">
        <f>IFERROR(IF(AND(VLOOKUP($C2985,Hes!$A:$B, 1, FALSE), $M2985&lt;&gt;" "), "Ingresada", "Falta Ingresar"), " ")</f>
        <v xml:space="preserve"> </v>
      </c>
      <c r="L2985" s="4" t="str">
        <f>IFERROR(VLOOKUP($C2985,Observaciones!$A:$B,2,FALSE)," ")</f>
        <v>XRUT</v>
      </c>
      <c r="M2985" t="s">
        <v>681</v>
      </c>
      <c r="O2985" s="5">
        <v>30847652</v>
      </c>
      <c r="P2985" s="5">
        <v>471919</v>
      </c>
      <c r="Q2985" s="5">
        <v>89665</v>
      </c>
      <c r="R2985" s="5">
        <v>561584</v>
      </c>
    </row>
    <row r="2986" spans="1:18" x14ac:dyDescent="0.25">
      <c r="A2986" t="s">
        <v>512</v>
      </c>
      <c r="B2986" t="s">
        <v>494</v>
      </c>
      <c r="C2986">
        <v>79903920</v>
      </c>
      <c r="D2986">
        <v>6</v>
      </c>
      <c r="E2986">
        <v>30850745</v>
      </c>
      <c r="F2986" t="s">
        <v>1362</v>
      </c>
      <c r="G2986" s="1">
        <v>45236</v>
      </c>
      <c r="H2986">
        <v>5412195</v>
      </c>
      <c r="I2986">
        <v>361</v>
      </c>
      <c r="J2986" t="s">
        <v>107</v>
      </c>
      <c r="K2986" t="str">
        <f>IFERROR(IF(AND(VLOOKUP($C2986,Hes!$A:$B, 1, FALSE), $M2986&lt;&gt;" "), "Ingresada", "Falta Ingresar"), " ")</f>
        <v xml:space="preserve"> </v>
      </c>
      <c r="L2986" s="4" t="str">
        <f>IFERROR(VLOOKUP($C2986,Observaciones!$A:$B,2,FALSE)," ")</f>
        <v>XRUT</v>
      </c>
      <c r="M2986" t="s">
        <v>681</v>
      </c>
      <c r="O2986" s="5">
        <v>30850745</v>
      </c>
      <c r="P2986" s="5">
        <v>153913</v>
      </c>
      <c r="Q2986" s="5">
        <v>29243</v>
      </c>
      <c r="R2986" s="5">
        <v>183156</v>
      </c>
    </row>
    <row r="2987" spans="1:18" x14ac:dyDescent="0.25">
      <c r="A2987" t="s">
        <v>512</v>
      </c>
      <c r="B2987" t="s">
        <v>494</v>
      </c>
      <c r="C2987">
        <v>79903920</v>
      </c>
      <c r="D2987">
        <v>7</v>
      </c>
      <c r="E2987">
        <v>30852822</v>
      </c>
      <c r="F2987" t="s">
        <v>1362</v>
      </c>
      <c r="G2987" s="1">
        <v>45236</v>
      </c>
      <c r="H2987">
        <v>5412228</v>
      </c>
      <c r="I2987">
        <v>361</v>
      </c>
      <c r="J2987" t="s">
        <v>107</v>
      </c>
      <c r="K2987" t="str">
        <f>IFERROR(IF(AND(VLOOKUP($C2987,Hes!$A:$B, 1, FALSE), $M2987&lt;&gt;" "), "Ingresada", "Falta Ingresar"), " ")</f>
        <v xml:space="preserve"> </v>
      </c>
      <c r="L2987" s="4" t="str">
        <f>IFERROR(VLOOKUP($C2987,Observaciones!$A:$B,2,FALSE)," ")</f>
        <v>XRUT</v>
      </c>
      <c r="M2987" t="s">
        <v>681</v>
      </c>
      <c r="O2987" s="5">
        <v>30852822</v>
      </c>
      <c r="P2987" s="5">
        <v>40697</v>
      </c>
      <c r="Q2987" s="5">
        <v>7732</v>
      </c>
      <c r="R2987" s="5">
        <v>48429</v>
      </c>
    </row>
    <row r="2988" spans="1:18" x14ac:dyDescent="0.25">
      <c r="A2988" t="s">
        <v>512</v>
      </c>
      <c r="B2988" t="s">
        <v>494</v>
      </c>
      <c r="C2988">
        <v>79903920</v>
      </c>
      <c r="D2988">
        <v>15</v>
      </c>
      <c r="E2988">
        <v>30850858</v>
      </c>
      <c r="F2988" t="s">
        <v>1362</v>
      </c>
      <c r="G2988" s="1">
        <v>45234</v>
      </c>
      <c r="H2988">
        <v>5412395</v>
      </c>
      <c r="I2988">
        <v>361</v>
      </c>
      <c r="J2988" t="s">
        <v>107</v>
      </c>
      <c r="K2988" t="str">
        <f>IFERROR(IF(AND(VLOOKUP($C2988,Hes!$A:$B, 1, FALSE), $M2988&lt;&gt;" "), "Ingresada", "Falta Ingresar"), " ")</f>
        <v xml:space="preserve"> </v>
      </c>
      <c r="L2988" s="4" t="str">
        <f>IFERROR(VLOOKUP($C2988,Observaciones!$A:$B,2,FALSE)," ")</f>
        <v>XRUT</v>
      </c>
      <c r="M2988" t="s">
        <v>681</v>
      </c>
      <c r="O2988" s="5">
        <v>30850858</v>
      </c>
      <c r="P2988" s="5">
        <v>75460</v>
      </c>
      <c r="Q2988" s="5">
        <v>14337</v>
      </c>
      <c r="R2988" s="5">
        <v>89797</v>
      </c>
    </row>
    <row r="2989" spans="1:18" x14ac:dyDescent="0.25">
      <c r="A2989" t="s">
        <v>512</v>
      </c>
      <c r="B2989" t="s">
        <v>494</v>
      </c>
      <c r="C2989">
        <v>79903920</v>
      </c>
      <c r="D2989">
        <v>7</v>
      </c>
      <c r="E2989">
        <v>30852779</v>
      </c>
      <c r="F2989" t="s">
        <v>1362</v>
      </c>
      <c r="G2989" s="1">
        <v>45236</v>
      </c>
      <c r="H2989">
        <v>5412594</v>
      </c>
      <c r="I2989">
        <v>361</v>
      </c>
      <c r="J2989" t="s">
        <v>107</v>
      </c>
      <c r="K2989" t="str">
        <f>IFERROR(IF(AND(VLOOKUP($C2989,Hes!$A:$B, 1, FALSE), $M2989&lt;&gt;" "), "Ingresada", "Falta Ingresar"), " ")</f>
        <v xml:space="preserve"> </v>
      </c>
      <c r="L2989" s="4" t="str">
        <f>IFERROR(VLOOKUP($C2989,Observaciones!$A:$B,2,FALSE)," ")</f>
        <v>XRUT</v>
      </c>
      <c r="M2989" t="s">
        <v>681</v>
      </c>
      <c r="O2989" s="5">
        <v>30852779</v>
      </c>
      <c r="P2989" s="5">
        <v>66169</v>
      </c>
      <c r="Q2989" s="5">
        <v>12572</v>
      </c>
      <c r="R2989" s="5">
        <v>78741</v>
      </c>
    </row>
    <row r="2990" spans="1:18" x14ac:dyDescent="0.25">
      <c r="A2990" t="s">
        <v>512</v>
      </c>
      <c r="B2990" t="s">
        <v>494</v>
      </c>
      <c r="C2990">
        <v>79903920</v>
      </c>
      <c r="D2990">
        <v>7</v>
      </c>
      <c r="E2990">
        <v>30858196</v>
      </c>
      <c r="F2990" t="s">
        <v>1362</v>
      </c>
      <c r="G2990" s="1">
        <v>45238</v>
      </c>
      <c r="H2990">
        <v>5414638</v>
      </c>
      <c r="I2990">
        <v>361</v>
      </c>
      <c r="J2990" t="s">
        <v>107</v>
      </c>
      <c r="K2990" t="str">
        <f>IFERROR(IF(AND(VLOOKUP($C2990,Hes!$A:$B, 1, FALSE), $M2990&lt;&gt;" "), "Ingresada", "Falta Ingresar"), " ")</f>
        <v xml:space="preserve"> </v>
      </c>
      <c r="L2990" s="4" t="str">
        <f>IFERROR(VLOOKUP($C2990,Observaciones!$A:$B,2,FALSE)," ")</f>
        <v>XRUT</v>
      </c>
      <c r="M2990" t="s">
        <v>681</v>
      </c>
      <c r="O2990" s="5">
        <v>30858196</v>
      </c>
      <c r="P2990" s="5">
        <v>23045</v>
      </c>
      <c r="Q2990" s="5">
        <v>4379</v>
      </c>
      <c r="R2990" s="5">
        <v>27424</v>
      </c>
    </row>
    <row r="2991" spans="1:18" x14ac:dyDescent="0.25">
      <c r="A2991" t="s">
        <v>512</v>
      </c>
      <c r="B2991" t="s">
        <v>494</v>
      </c>
      <c r="C2991">
        <v>79903920</v>
      </c>
      <c r="D2991">
        <v>4</v>
      </c>
      <c r="E2991">
        <v>30848887</v>
      </c>
      <c r="F2991" t="s">
        <v>1362</v>
      </c>
      <c r="G2991" s="1">
        <v>45237</v>
      </c>
      <c r="H2991">
        <v>5415071</v>
      </c>
      <c r="I2991">
        <v>361</v>
      </c>
      <c r="J2991" t="s">
        <v>107</v>
      </c>
      <c r="K2991" t="str">
        <f>IFERROR(IF(AND(VLOOKUP($C2991,Hes!$A:$B, 1, FALSE), $M2991&lt;&gt;" "), "Ingresada", "Falta Ingresar"), " ")</f>
        <v xml:space="preserve"> </v>
      </c>
      <c r="L2991" s="4" t="str">
        <f>IFERROR(VLOOKUP($C2991,Observaciones!$A:$B,2,FALSE)," ")</f>
        <v>XRUT</v>
      </c>
      <c r="M2991" t="s">
        <v>681</v>
      </c>
      <c r="O2991" s="5">
        <v>30848887</v>
      </c>
      <c r="P2991" s="5">
        <v>940942</v>
      </c>
      <c r="Q2991" s="5">
        <v>178779</v>
      </c>
      <c r="R2991" s="5">
        <v>1119721</v>
      </c>
    </row>
    <row r="2992" spans="1:18" x14ac:dyDescent="0.25">
      <c r="F2992" t="s">
        <v>514</v>
      </c>
      <c r="K2992" t="str">
        <f>IFERROR(IF(AND(VLOOKUP($C2992,Hes!$A:$B, 1, FALSE), $M2992&lt;&gt;" "), "Ingresada", "Falta Ingresar"), " ")</f>
        <v xml:space="preserve"> </v>
      </c>
      <c r="L2992" s="4" t="str">
        <f>IFERROR(VLOOKUP($C2992,Observaciones!$A:$B,2,FALSE)," ")</f>
        <v xml:space="preserve"> </v>
      </c>
      <c r="M2992" t="s">
        <v>681</v>
      </c>
      <c r="P2992" s="5">
        <v>2627021</v>
      </c>
      <c r="Q2992" s="5">
        <v>499133</v>
      </c>
      <c r="R2992" s="5">
        <v>3126154</v>
      </c>
    </row>
    <row r="2993" spans="1:18" x14ac:dyDescent="0.25">
      <c r="A2993" t="s">
        <v>503</v>
      </c>
      <c r="B2993" t="s">
        <v>494</v>
      </c>
      <c r="C2993">
        <v>79943600</v>
      </c>
      <c r="D2993">
        <v>1</v>
      </c>
      <c r="E2993">
        <v>30865543</v>
      </c>
      <c r="F2993" t="s">
        <v>1363</v>
      </c>
      <c r="G2993" s="1">
        <v>45238</v>
      </c>
      <c r="H2993">
        <v>5415488</v>
      </c>
      <c r="I2993">
        <v>63</v>
      </c>
      <c r="J2993" t="s">
        <v>170</v>
      </c>
      <c r="K2993" s="8" t="str">
        <f>IFERROR(IF(AND(VLOOKUP($C2993,Hes!$A:$B, 1, FALSE), $M2993&lt;&gt;" "), "Ingresada", "Falta Ingresar"), " ")</f>
        <v>Falta Ingresar</v>
      </c>
      <c r="L2993" s="4" t="s">
        <v>681</v>
      </c>
      <c r="M2993" t="s">
        <v>681</v>
      </c>
      <c r="N2993" s="5" t="s">
        <v>841</v>
      </c>
      <c r="O2993" s="5">
        <v>30865543</v>
      </c>
      <c r="P2993" s="5">
        <v>162356</v>
      </c>
      <c r="Q2993" s="5">
        <v>30848</v>
      </c>
      <c r="R2993" s="5">
        <v>193204</v>
      </c>
    </row>
    <row r="2994" spans="1:18" x14ac:dyDescent="0.25">
      <c r="F2994" t="s">
        <v>495</v>
      </c>
      <c r="K2994" t="str">
        <f>IFERROR(IF(AND(VLOOKUP($C2994,Hes!$A:$B, 1, FALSE), $M2994&lt;&gt;" "), "Ingresada", "Falta Ingresar"), " ")</f>
        <v xml:space="preserve"> </v>
      </c>
      <c r="L2994" s="4" t="str">
        <f>IFERROR(VLOOKUP($C2994,Observaciones!$A:$B,2,FALSE)," ")</f>
        <v xml:space="preserve"> </v>
      </c>
      <c r="M2994" t="s">
        <v>681</v>
      </c>
      <c r="P2994" s="5">
        <v>162356</v>
      </c>
      <c r="Q2994" s="5">
        <v>30848</v>
      </c>
      <c r="R2994" s="5">
        <v>193204</v>
      </c>
    </row>
    <row r="2995" spans="1:18" x14ac:dyDescent="0.25">
      <c r="A2995" t="s">
        <v>1326</v>
      </c>
      <c r="B2995" t="s">
        <v>494</v>
      </c>
      <c r="C2995">
        <v>79947100</v>
      </c>
      <c r="D2995">
        <v>33</v>
      </c>
      <c r="E2995">
        <v>30850025</v>
      </c>
      <c r="F2995" t="s">
        <v>1364</v>
      </c>
      <c r="G2995" s="1">
        <v>45233</v>
      </c>
      <c r="H2995">
        <v>5411648</v>
      </c>
      <c r="I2995">
        <v>81</v>
      </c>
      <c r="J2995" t="s">
        <v>144</v>
      </c>
      <c r="K2995" t="str">
        <f>IFERROR(IF(AND(VLOOKUP($C2995,Hes!$A:$B, 1, FALSE), $M2995&lt;&gt;" "), "Ingresada", "Falta Ingresar"), " ")</f>
        <v xml:space="preserve"> </v>
      </c>
      <c r="L2995" s="4" t="str">
        <f>IFERROR(VLOOKUP($C2995,Observaciones!$A:$B,2,FALSE)," ")</f>
        <v>SEGUN INFORME VENDEDOR, POR GRUPOS CON OC</v>
      </c>
      <c r="M2995" t="s">
        <v>681</v>
      </c>
      <c r="O2995" s="5">
        <v>30850025</v>
      </c>
      <c r="P2995" s="5">
        <v>39225</v>
      </c>
      <c r="Q2995" s="5">
        <v>7453</v>
      </c>
      <c r="R2995" s="5">
        <v>46678</v>
      </c>
    </row>
    <row r="2996" spans="1:18" x14ac:dyDescent="0.25">
      <c r="A2996" t="s">
        <v>1326</v>
      </c>
      <c r="B2996" t="s">
        <v>494</v>
      </c>
      <c r="C2996">
        <v>79947100</v>
      </c>
      <c r="D2996">
        <v>33</v>
      </c>
      <c r="E2996">
        <v>30849373</v>
      </c>
      <c r="F2996" t="s">
        <v>1364</v>
      </c>
      <c r="G2996" s="1">
        <v>45233</v>
      </c>
      <c r="H2996">
        <v>5411727</v>
      </c>
      <c r="I2996">
        <v>81</v>
      </c>
      <c r="J2996" t="s">
        <v>144</v>
      </c>
      <c r="K2996" t="str">
        <f>IFERROR(IF(AND(VLOOKUP($C2996,Hes!$A:$B, 1, FALSE), $M2996&lt;&gt;" "), "Ingresada", "Falta Ingresar"), " ")</f>
        <v xml:space="preserve"> </v>
      </c>
      <c r="L2996" s="4" t="str">
        <f>IFERROR(VLOOKUP($C2996,Observaciones!$A:$B,2,FALSE)," ")</f>
        <v>SEGUN INFORME VENDEDOR, POR GRUPOS CON OC</v>
      </c>
      <c r="M2996" t="s">
        <v>681</v>
      </c>
      <c r="O2996" s="5">
        <v>30849373</v>
      </c>
      <c r="P2996" s="5">
        <v>967933</v>
      </c>
      <c r="Q2996" s="5">
        <v>183907</v>
      </c>
      <c r="R2996" s="5">
        <v>1163554</v>
      </c>
    </row>
    <row r="2997" spans="1:18" x14ac:dyDescent="0.25">
      <c r="A2997" t="s">
        <v>1326</v>
      </c>
      <c r="B2997" t="s">
        <v>494</v>
      </c>
      <c r="C2997">
        <v>79947100</v>
      </c>
      <c r="D2997">
        <v>59</v>
      </c>
      <c r="E2997" t="s">
        <v>1365</v>
      </c>
      <c r="F2997" t="s">
        <v>1364</v>
      </c>
      <c r="G2997" s="1">
        <v>45234</v>
      </c>
      <c r="H2997">
        <v>5411767</v>
      </c>
      <c r="I2997">
        <v>81</v>
      </c>
      <c r="J2997" t="s">
        <v>144</v>
      </c>
      <c r="K2997" t="str">
        <f>IFERROR(IF(AND(VLOOKUP($C2997,Hes!$A:$B, 1, FALSE), $M2997&lt;&gt;" "), "Ingresada", "Falta Ingresar"), " ")</f>
        <v xml:space="preserve"> </v>
      </c>
      <c r="L2997" s="4" t="str">
        <f>IFERROR(VLOOKUP($C2997,Observaciones!$A:$B,2,FALSE)," ")</f>
        <v>SEGUN INFORME VENDEDOR, POR GRUPOS CON OC</v>
      </c>
      <c r="M2997" t="s">
        <v>681</v>
      </c>
      <c r="O2997" s="5">
        <v>30851876</v>
      </c>
      <c r="P2997" s="5">
        <v>298140</v>
      </c>
      <c r="Q2997" s="5">
        <v>56647</v>
      </c>
      <c r="R2997" s="5">
        <v>354787</v>
      </c>
    </row>
    <row r="2998" spans="1:18" x14ac:dyDescent="0.25">
      <c r="A2998" t="s">
        <v>1326</v>
      </c>
      <c r="B2998" t="s">
        <v>494</v>
      </c>
      <c r="C2998">
        <v>79947100</v>
      </c>
      <c r="D2998">
        <v>187</v>
      </c>
      <c r="E2998">
        <v>30845035</v>
      </c>
      <c r="F2998" t="s">
        <v>1364</v>
      </c>
      <c r="G2998" s="1">
        <v>45234</v>
      </c>
      <c r="H2998">
        <v>5411864</v>
      </c>
      <c r="I2998">
        <v>81</v>
      </c>
      <c r="J2998" t="s">
        <v>144</v>
      </c>
      <c r="K2998" t="str">
        <f>IFERROR(IF(AND(VLOOKUP($C2998,Hes!$A:$B, 1, FALSE), $M2998&lt;&gt;" "), "Ingresada", "Falta Ingresar"), " ")</f>
        <v xml:space="preserve"> </v>
      </c>
      <c r="L2998" s="4" t="str">
        <f>IFERROR(VLOOKUP($C2998,Observaciones!$A:$B,2,FALSE)," ")</f>
        <v>SEGUN INFORME VENDEDOR, POR GRUPOS CON OC</v>
      </c>
      <c r="M2998" t="s">
        <v>681</v>
      </c>
      <c r="O2998" s="5">
        <v>30845035</v>
      </c>
      <c r="P2998" s="5">
        <v>75275</v>
      </c>
      <c r="Q2998" s="5">
        <v>14302</v>
      </c>
      <c r="R2998" s="5">
        <v>89577</v>
      </c>
    </row>
    <row r="2999" spans="1:18" x14ac:dyDescent="0.25">
      <c r="A2999" t="s">
        <v>1326</v>
      </c>
      <c r="B2999" t="s">
        <v>494</v>
      </c>
      <c r="C2999">
        <v>79947100</v>
      </c>
      <c r="D2999">
        <v>150</v>
      </c>
      <c r="E2999">
        <v>30846973</v>
      </c>
      <c r="F2999" t="s">
        <v>1364</v>
      </c>
      <c r="G2999" s="1">
        <v>45234</v>
      </c>
      <c r="H2999">
        <v>5411882</v>
      </c>
      <c r="I2999">
        <v>81</v>
      </c>
      <c r="J2999" t="s">
        <v>144</v>
      </c>
      <c r="K2999" t="str">
        <f>IFERROR(IF(AND(VLOOKUP($C2999,Hes!$A:$B, 1, FALSE), $M2999&lt;&gt;" "), "Ingresada", "Falta Ingresar"), " ")</f>
        <v xml:space="preserve"> </v>
      </c>
      <c r="L2999" s="4" t="str">
        <f>IFERROR(VLOOKUP($C2999,Observaciones!$A:$B,2,FALSE)," ")</f>
        <v>SEGUN INFORME VENDEDOR, POR GRUPOS CON OC</v>
      </c>
      <c r="M2999" t="s">
        <v>681</v>
      </c>
      <c r="O2999" s="5">
        <v>30846973</v>
      </c>
      <c r="P2999" s="5">
        <v>229412</v>
      </c>
      <c r="Q2999" s="5">
        <v>43588</v>
      </c>
      <c r="R2999" s="5">
        <v>273000</v>
      </c>
    </row>
    <row r="3000" spans="1:18" x14ac:dyDescent="0.25">
      <c r="A3000" t="s">
        <v>1326</v>
      </c>
      <c r="B3000" t="s">
        <v>494</v>
      </c>
      <c r="C3000">
        <v>79947100</v>
      </c>
      <c r="D3000">
        <v>150</v>
      </c>
      <c r="E3000">
        <v>30846973</v>
      </c>
      <c r="F3000" t="s">
        <v>1364</v>
      </c>
      <c r="G3000" s="1">
        <v>45234</v>
      </c>
      <c r="H3000">
        <v>5411883</v>
      </c>
      <c r="I3000">
        <v>81</v>
      </c>
      <c r="J3000" t="s">
        <v>144</v>
      </c>
      <c r="K3000" t="str">
        <f>IFERROR(IF(AND(VLOOKUP($C3000,Hes!$A:$B, 1, FALSE), $M3000&lt;&gt;" "), "Ingresada", "Falta Ingresar"), " ")</f>
        <v xml:space="preserve"> </v>
      </c>
      <c r="L3000" s="4" t="str">
        <f>IFERROR(VLOOKUP($C3000,Observaciones!$A:$B,2,FALSE)," ")</f>
        <v>SEGUN INFORME VENDEDOR, POR GRUPOS CON OC</v>
      </c>
      <c r="M3000" t="s">
        <v>681</v>
      </c>
      <c r="O3000" s="5">
        <v>30846973</v>
      </c>
      <c r="P3000" s="5">
        <v>332873</v>
      </c>
      <c r="Q3000" s="5">
        <v>63246</v>
      </c>
      <c r="R3000" s="5">
        <v>396119</v>
      </c>
    </row>
    <row r="3001" spans="1:18" x14ac:dyDescent="0.25">
      <c r="A3001" t="s">
        <v>1326</v>
      </c>
      <c r="B3001" t="s">
        <v>494</v>
      </c>
      <c r="C3001">
        <v>79947100</v>
      </c>
      <c r="D3001">
        <v>20</v>
      </c>
      <c r="E3001" t="s">
        <v>1365</v>
      </c>
      <c r="F3001" t="s">
        <v>1364</v>
      </c>
      <c r="G3001" s="1">
        <v>45234</v>
      </c>
      <c r="H3001">
        <v>5412076</v>
      </c>
      <c r="I3001">
        <v>81</v>
      </c>
      <c r="J3001" t="s">
        <v>144</v>
      </c>
      <c r="K3001" t="str">
        <f>IFERROR(IF(AND(VLOOKUP($C3001,Hes!$A:$B, 1, FALSE), $M3001&lt;&gt;" "), "Ingresada", "Falta Ingresar"), " ")</f>
        <v xml:space="preserve"> </v>
      </c>
      <c r="L3001" s="4" t="str">
        <f>IFERROR(VLOOKUP($C3001,Observaciones!$A:$B,2,FALSE)," ")</f>
        <v>SEGUN INFORME VENDEDOR, POR GRUPOS CON OC</v>
      </c>
      <c r="M3001" t="s">
        <v>681</v>
      </c>
      <c r="O3001" s="5">
        <v>30851882</v>
      </c>
      <c r="P3001" s="5">
        <v>28602</v>
      </c>
      <c r="Q3001" s="5">
        <v>5434</v>
      </c>
      <c r="R3001" s="5">
        <v>34036</v>
      </c>
    </row>
    <row r="3002" spans="1:18" x14ac:dyDescent="0.25">
      <c r="A3002" t="s">
        <v>1326</v>
      </c>
      <c r="B3002" t="s">
        <v>494</v>
      </c>
      <c r="C3002">
        <v>79947100</v>
      </c>
      <c r="D3002">
        <v>59</v>
      </c>
      <c r="E3002" t="s">
        <v>1365</v>
      </c>
      <c r="F3002" t="s">
        <v>1364</v>
      </c>
      <c r="G3002" s="1">
        <v>45234</v>
      </c>
      <c r="H3002">
        <v>5412081</v>
      </c>
      <c r="I3002">
        <v>81</v>
      </c>
      <c r="J3002" t="s">
        <v>144</v>
      </c>
      <c r="K3002" t="str">
        <f>IFERROR(IF(AND(VLOOKUP($C3002,Hes!$A:$B, 1, FALSE), $M3002&lt;&gt;" "), "Ingresada", "Falta Ingresar"), " ")</f>
        <v xml:space="preserve"> </v>
      </c>
      <c r="L3002" s="4" t="str">
        <f>IFERROR(VLOOKUP($C3002,Observaciones!$A:$B,2,FALSE)," ")</f>
        <v>SEGUN INFORME VENDEDOR, POR GRUPOS CON OC</v>
      </c>
      <c r="M3002" t="s">
        <v>681</v>
      </c>
      <c r="O3002" s="5">
        <v>30851955</v>
      </c>
      <c r="P3002" s="5">
        <v>54643</v>
      </c>
      <c r="Q3002" s="5">
        <v>10382</v>
      </c>
      <c r="R3002" s="5">
        <v>65025</v>
      </c>
    </row>
    <row r="3003" spans="1:18" x14ac:dyDescent="0.25">
      <c r="A3003" t="s">
        <v>1326</v>
      </c>
      <c r="B3003" t="s">
        <v>494</v>
      </c>
      <c r="C3003">
        <v>79947100</v>
      </c>
      <c r="D3003">
        <v>168</v>
      </c>
      <c r="E3003" t="s">
        <v>1365</v>
      </c>
      <c r="F3003" t="s">
        <v>1364</v>
      </c>
      <c r="G3003" s="1">
        <v>45234</v>
      </c>
      <c r="H3003">
        <v>5412200</v>
      </c>
      <c r="I3003">
        <v>81</v>
      </c>
      <c r="J3003" t="s">
        <v>144</v>
      </c>
      <c r="K3003" t="str">
        <f>IFERROR(IF(AND(VLOOKUP($C3003,Hes!$A:$B, 1, FALSE), $M3003&lt;&gt;" "), "Ingresada", "Falta Ingresar"), " ")</f>
        <v xml:space="preserve"> </v>
      </c>
      <c r="L3003" s="4" t="str">
        <f>IFERROR(VLOOKUP($C3003,Observaciones!$A:$B,2,FALSE)," ")</f>
        <v>SEGUN INFORME VENDEDOR, POR GRUPOS CON OC</v>
      </c>
      <c r="M3003" t="s">
        <v>681</v>
      </c>
      <c r="O3003" s="5">
        <v>30852270</v>
      </c>
      <c r="P3003" s="5">
        <v>556259</v>
      </c>
      <c r="Q3003" s="5">
        <v>105689</v>
      </c>
      <c r="R3003" s="5">
        <v>661948</v>
      </c>
    </row>
    <row r="3004" spans="1:18" x14ac:dyDescent="0.25">
      <c r="A3004" t="s">
        <v>1326</v>
      </c>
      <c r="B3004" t="s">
        <v>494</v>
      </c>
      <c r="C3004">
        <v>79947100</v>
      </c>
      <c r="D3004">
        <v>360</v>
      </c>
      <c r="E3004">
        <v>30849964</v>
      </c>
      <c r="F3004" t="s">
        <v>1364</v>
      </c>
      <c r="G3004" s="1">
        <v>45234</v>
      </c>
      <c r="H3004">
        <v>5412394</v>
      </c>
      <c r="I3004">
        <v>81</v>
      </c>
      <c r="J3004" t="s">
        <v>144</v>
      </c>
      <c r="K3004" t="str">
        <f>IFERROR(IF(AND(VLOOKUP($C3004,Hes!$A:$B, 1, FALSE), $M3004&lt;&gt;" "), "Ingresada", "Falta Ingresar"), " ")</f>
        <v xml:space="preserve"> </v>
      </c>
      <c r="L3004" s="4" t="str">
        <f>IFERROR(VLOOKUP($C3004,Observaciones!$A:$B,2,FALSE)," ")</f>
        <v>SEGUN INFORME VENDEDOR, POR GRUPOS CON OC</v>
      </c>
      <c r="M3004" t="s">
        <v>681</v>
      </c>
      <c r="O3004" s="5">
        <v>30849964</v>
      </c>
      <c r="P3004" s="5">
        <v>356671</v>
      </c>
      <c r="Q3004" s="5">
        <v>67767</v>
      </c>
      <c r="R3004" s="5">
        <v>427557</v>
      </c>
    </row>
    <row r="3005" spans="1:18" x14ac:dyDescent="0.25">
      <c r="A3005" t="s">
        <v>1326</v>
      </c>
      <c r="B3005" t="s">
        <v>494</v>
      </c>
      <c r="C3005">
        <v>79947100</v>
      </c>
      <c r="D3005">
        <v>26</v>
      </c>
      <c r="E3005" t="s">
        <v>1365</v>
      </c>
      <c r="F3005" t="s">
        <v>1364</v>
      </c>
      <c r="G3005" s="1">
        <v>45234</v>
      </c>
      <c r="H3005">
        <v>5412399</v>
      </c>
      <c r="I3005">
        <v>81</v>
      </c>
      <c r="J3005" t="s">
        <v>144</v>
      </c>
      <c r="K3005" t="str">
        <f>IFERROR(IF(AND(VLOOKUP($C3005,Hes!$A:$B, 1, FALSE), $M3005&lt;&gt;" "), "Ingresada", "Falta Ingresar"), " ")</f>
        <v xml:space="preserve"> </v>
      </c>
      <c r="L3005" s="4" t="str">
        <f>IFERROR(VLOOKUP($C3005,Observaciones!$A:$B,2,FALSE)," ")</f>
        <v>SEGUN INFORME VENDEDOR, POR GRUPOS CON OC</v>
      </c>
      <c r="M3005" t="s">
        <v>681</v>
      </c>
      <c r="O3005" s="5">
        <v>30851966</v>
      </c>
      <c r="P3005" s="5">
        <v>492640</v>
      </c>
      <c r="Q3005" s="5">
        <v>93602</v>
      </c>
      <c r="R3005" s="5">
        <v>586242</v>
      </c>
    </row>
    <row r="3006" spans="1:18" x14ac:dyDescent="0.25">
      <c r="A3006" t="s">
        <v>1326</v>
      </c>
      <c r="B3006" t="s">
        <v>494</v>
      </c>
      <c r="C3006">
        <v>79947100</v>
      </c>
      <c r="D3006">
        <v>75</v>
      </c>
      <c r="E3006" t="s">
        <v>1365</v>
      </c>
      <c r="F3006" t="s">
        <v>1364</v>
      </c>
      <c r="G3006" s="1">
        <v>45234</v>
      </c>
      <c r="H3006">
        <v>5412401</v>
      </c>
      <c r="I3006">
        <v>81</v>
      </c>
      <c r="J3006" t="s">
        <v>144</v>
      </c>
      <c r="K3006" t="str">
        <f>IFERROR(IF(AND(VLOOKUP($C3006,Hes!$A:$B, 1, FALSE), $M3006&lt;&gt;" "), "Ingresada", "Falta Ingresar"), " ")</f>
        <v xml:space="preserve"> </v>
      </c>
      <c r="L3006" s="4" t="str">
        <f>IFERROR(VLOOKUP($C3006,Observaciones!$A:$B,2,FALSE)," ")</f>
        <v>SEGUN INFORME VENDEDOR, POR GRUPOS CON OC</v>
      </c>
      <c r="M3006" t="s">
        <v>681</v>
      </c>
      <c r="O3006" s="5">
        <v>30851836</v>
      </c>
      <c r="P3006" s="5">
        <v>597413</v>
      </c>
      <c r="Q3006" s="5">
        <v>113508</v>
      </c>
      <c r="R3006" s="5">
        <v>710921</v>
      </c>
    </row>
    <row r="3007" spans="1:18" x14ac:dyDescent="0.25">
      <c r="A3007" t="s">
        <v>1326</v>
      </c>
      <c r="B3007" t="s">
        <v>494</v>
      </c>
      <c r="C3007">
        <v>79947100</v>
      </c>
      <c r="D3007">
        <v>75</v>
      </c>
      <c r="E3007" t="s">
        <v>1365</v>
      </c>
      <c r="F3007" t="s">
        <v>1364</v>
      </c>
      <c r="G3007" s="1">
        <v>45234</v>
      </c>
      <c r="H3007">
        <v>5412402</v>
      </c>
      <c r="I3007">
        <v>81</v>
      </c>
      <c r="J3007" t="s">
        <v>144</v>
      </c>
      <c r="K3007" t="str">
        <f>IFERROR(IF(AND(VLOOKUP($C3007,Hes!$A:$B, 1, FALSE), $M3007&lt;&gt;" "), "Ingresada", "Falta Ingresar"), " ")</f>
        <v xml:space="preserve"> </v>
      </c>
      <c r="L3007" s="4" t="str">
        <f>IFERROR(VLOOKUP($C3007,Observaciones!$A:$B,2,FALSE)," ")</f>
        <v>SEGUN INFORME VENDEDOR, POR GRUPOS CON OC</v>
      </c>
      <c r="M3007" t="s">
        <v>681</v>
      </c>
      <c r="O3007" s="5">
        <v>30851836</v>
      </c>
      <c r="P3007" s="5">
        <v>88070</v>
      </c>
      <c r="Q3007" s="5">
        <v>16733</v>
      </c>
      <c r="R3007" s="5">
        <v>104803</v>
      </c>
    </row>
    <row r="3008" spans="1:18" x14ac:dyDescent="0.25">
      <c r="A3008" t="s">
        <v>1326</v>
      </c>
      <c r="B3008" t="s">
        <v>494</v>
      </c>
      <c r="C3008">
        <v>79947100</v>
      </c>
      <c r="D3008">
        <v>40</v>
      </c>
      <c r="E3008" t="s">
        <v>1365</v>
      </c>
      <c r="F3008" t="s">
        <v>1364</v>
      </c>
      <c r="G3008" s="1">
        <v>45234</v>
      </c>
      <c r="H3008">
        <v>5412411</v>
      </c>
      <c r="I3008">
        <v>81</v>
      </c>
      <c r="J3008" t="s">
        <v>144</v>
      </c>
      <c r="K3008" t="str">
        <f>IFERROR(IF(AND(VLOOKUP($C3008,Hes!$A:$B, 1, FALSE), $M3008&lt;&gt;" "), "Ingresada", "Falta Ingresar"), " ")</f>
        <v xml:space="preserve"> </v>
      </c>
      <c r="L3008" s="4" t="str">
        <f>IFERROR(VLOOKUP($C3008,Observaciones!$A:$B,2,FALSE)," ")</f>
        <v>SEGUN INFORME VENDEDOR, POR GRUPOS CON OC</v>
      </c>
      <c r="M3008" t="s">
        <v>681</v>
      </c>
      <c r="O3008" s="5">
        <v>30852308</v>
      </c>
      <c r="P3008" s="5">
        <v>82678</v>
      </c>
      <c r="Q3008" s="5">
        <v>15709</v>
      </c>
      <c r="R3008" s="5">
        <v>98387</v>
      </c>
    </row>
    <row r="3009" spans="1:18" x14ac:dyDescent="0.25">
      <c r="A3009" t="s">
        <v>1326</v>
      </c>
      <c r="B3009" t="s">
        <v>494</v>
      </c>
      <c r="C3009">
        <v>79947100</v>
      </c>
      <c r="D3009">
        <v>75</v>
      </c>
      <c r="E3009" t="s">
        <v>1365</v>
      </c>
      <c r="F3009" t="s">
        <v>1364</v>
      </c>
      <c r="G3009" s="1">
        <v>45234</v>
      </c>
      <c r="H3009">
        <v>5412412</v>
      </c>
      <c r="I3009">
        <v>81</v>
      </c>
      <c r="J3009" t="s">
        <v>144</v>
      </c>
      <c r="K3009" t="str">
        <f>IFERROR(IF(AND(VLOOKUP($C3009,Hes!$A:$B, 1, FALSE), $M3009&lt;&gt;" "), "Ingresada", "Falta Ingresar"), " ")</f>
        <v xml:space="preserve"> </v>
      </c>
      <c r="L3009" s="4" t="str">
        <f>IFERROR(VLOOKUP($C3009,Observaciones!$A:$B,2,FALSE)," ")</f>
        <v>SEGUN INFORME VENDEDOR, POR GRUPOS CON OC</v>
      </c>
      <c r="M3009" t="s">
        <v>681</v>
      </c>
      <c r="O3009" s="5">
        <v>30852173</v>
      </c>
      <c r="P3009" s="5">
        <v>1028196</v>
      </c>
      <c r="Q3009" s="5">
        <v>195357</v>
      </c>
      <c r="R3009" s="5">
        <v>1223553</v>
      </c>
    </row>
    <row r="3010" spans="1:18" x14ac:dyDescent="0.25">
      <c r="A3010" t="s">
        <v>1326</v>
      </c>
      <c r="B3010" t="s">
        <v>494</v>
      </c>
      <c r="C3010">
        <v>79947100</v>
      </c>
      <c r="D3010">
        <v>75</v>
      </c>
      <c r="E3010" t="s">
        <v>1365</v>
      </c>
      <c r="F3010" t="s">
        <v>1364</v>
      </c>
      <c r="G3010" s="1">
        <v>45234</v>
      </c>
      <c r="H3010">
        <v>5412413</v>
      </c>
      <c r="I3010">
        <v>81</v>
      </c>
      <c r="J3010" t="s">
        <v>144</v>
      </c>
      <c r="K3010" t="str">
        <f>IFERROR(IF(AND(VLOOKUP($C3010,Hes!$A:$B, 1, FALSE), $M3010&lt;&gt;" "), "Ingresada", "Falta Ingresar"), " ")</f>
        <v xml:space="preserve"> </v>
      </c>
      <c r="L3010" s="4" t="str">
        <f>IFERROR(VLOOKUP($C3010,Observaciones!$A:$B,2,FALSE)," ")</f>
        <v>SEGUN INFORME VENDEDOR, POR GRUPOS CON OC</v>
      </c>
      <c r="M3010" t="s">
        <v>681</v>
      </c>
      <c r="O3010" s="5">
        <v>30852173</v>
      </c>
      <c r="P3010" s="5">
        <v>720923</v>
      </c>
      <c r="Q3010" s="5">
        <v>136975</v>
      </c>
      <c r="R3010" s="5">
        <v>857898</v>
      </c>
    </row>
    <row r="3011" spans="1:18" x14ac:dyDescent="0.25">
      <c r="A3011" t="s">
        <v>1326</v>
      </c>
      <c r="B3011" t="s">
        <v>494</v>
      </c>
      <c r="C3011">
        <v>79947100</v>
      </c>
      <c r="D3011">
        <v>81</v>
      </c>
      <c r="E3011" t="s">
        <v>1365</v>
      </c>
      <c r="F3011" t="s">
        <v>1364</v>
      </c>
      <c r="G3011" s="1">
        <v>45234</v>
      </c>
      <c r="H3011">
        <v>5412414</v>
      </c>
      <c r="I3011">
        <v>81</v>
      </c>
      <c r="J3011" t="s">
        <v>144</v>
      </c>
      <c r="K3011" t="str">
        <f>IFERROR(IF(AND(VLOOKUP($C3011,Hes!$A:$B, 1, FALSE), $M3011&lt;&gt;" "), "Ingresada", "Falta Ingresar"), " ")</f>
        <v xml:space="preserve"> </v>
      </c>
      <c r="L3011" s="4" t="str">
        <f>IFERROR(VLOOKUP($C3011,Observaciones!$A:$B,2,FALSE)," ")</f>
        <v>SEGUN INFORME VENDEDOR, POR GRUPOS CON OC</v>
      </c>
      <c r="M3011" t="s">
        <v>681</v>
      </c>
      <c r="O3011" s="5">
        <v>30852017</v>
      </c>
      <c r="P3011" s="5">
        <v>1049180</v>
      </c>
      <c r="Q3011" s="5">
        <v>199344</v>
      </c>
      <c r="R3011" s="5">
        <v>1248524</v>
      </c>
    </row>
    <row r="3012" spans="1:18" x14ac:dyDescent="0.25">
      <c r="A3012" t="s">
        <v>1326</v>
      </c>
      <c r="B3012" t="s">
        <v>494</v>
      </c>
      <c r="C3012">
        <v>79947100</v>
      </c>
      <c r="D3012">
        <v>81</v>
      </c>
      <c r="E3012" t="s">
        <v>1365</v>
      </c>
      <c r="F3012" t="s">
        <v>1364</v>
      </c>
      <c r="G3012" s="1">
        <v>45234</v>
      </c>
      <c r="H3012">
        <v>5412415</v>
      </c>
      <c r="I3012">
        <v>81</v>
      </c>
      <c r="J3012" t="s">
        <v>144</v>
      </c>
      <c r="K3012" t="str">
        <f>IFERROR(IF(AND(VLOOKUP($C3012,Hes!$A:$B, 1, FALSE), $M3012&lt;&gt;" "), "Ingresada", "Falta Ingresar"), " ")</f>
        <v xml:space="preserve"> </v>
      </c>
      <c r="L3012" s="4" t="str">
        <f>IFERROR(VLOOKUP($C3012,Observaciones!$A:$B,2,FALSE)," ")</f>
        <v>SEGUN INFORME VENDEDOR, POR GRUPOS CON OC</v>
      </c>
      <c r="M3012" t="s">
        <v>681</v>
      </c>
      <c r="O3012" s="5">
        <v>30852017</v>
      </c>
      <c r="P3012" s="5">
        <v>13425</v>
      </c>
      <c r="Q3012" s="5">
        <v>2551</v>
      </c>
      <c r="R3012" s="5">
        <v>15976</v>
      </c>
    </row>
    <row r="3013" spans="1:18" x14ac:dyDescent="0.25">
      <c r="A3013" t="s">
        <v>1326</v>
      </c>
      <c r="B3013" t="s">
        <v>494</v>
      </c>
      <c r="C3013">
        <v>79947100</v>
      </c>
      <c r="D3013">
        <v>213</v>
      </c>
      <c r="E3013">
        <v>30852739</v>
      </c>
      <c r="F3013" t="s">
        <v>1364</v>
      </c>
      <c r="G3013" s="1">
        <v>45236</v>
      </c>
      <c r="H3013">
        <v>5412449</v>
      </c>
      <c r="I3013">
        <v>81</v>
      </c>
      <c r="J3013" t="s">
        <v>144</v>
      </c>
      <c r="K3013" t="str">
        <f>IFERROR(IF(AND(VLOOKUP($C3013,Hes!$A:$B, 1, FALSE), $M3013&lt;&gt;" "), "Ingresada", "Falta Ingresar"), " ")</f>
        <v xml:space="preserve"> </v>
      </c>
      <c r="L3013" s="4" t="str">
        <f>IFERROR(VLOOKUP($C3013,Observaciones!$A:$B,2,FALSE)," ")</f>
        <v>SEGUN INFORME VENDEDOR, POR GRUPOS CON OC</v>
      </c>
      <c r="M3013" t="s">
        <v>681</v>
      </c>
      <c r="O3013" s="5">
        <v>30852739</v>
      </c>
      <c r="P3013" s="5">
        <v>197800</v>
      </c>
      <c r="Q3013" s="5">
        <v>37582</v>
      </c>
      <c r="R3013" s="5">
        <v>237074</v>
      </c>
    </row>
    <row r="3014" spans="1:18" x14ac:dyDescent="0.25">
      <c r="A3014" t="s">
        <v>1326</v>
      </c>
      <c r="B3014" t="s">
        <v>494</v>
      </c>
      <c r="C3014">
        <v>79947100</v>
      </c>
      <c r="D3014">
        <v>141</v>
      </c>
      <c r="E3014" t="s">
        <v>1365</v>
      </c>
      <c r="F3014" t="s">
        <v>1364</v>
      </c>
      <c r="G3014" s="1">
        <v>45234</v>
      </c>
      <c r="H3014">
        <v>5412749</v>
      </c>
      <c r="I3014">
        <v>81</v>
      </c>
      <c r="J3014" t="s">
        <v>144</v>
      </c>
      <c r="K3014" t="str">
        <f>IFERROR(IF(AND(VLOOKUP($C3014,Hes!$A:$B, 1, FALSE), $M3014&lt;&gt;" "), "Ingresada", "Falta Ingresar"), " ")</f>
        <v xml:space="preserve"> </v>
      </c>
      <c r="L3014" s="4" t="str">
        <f>IFERROR(VLOOKUP($C3014,Observaciones!$A:$B,2,FALSE)," ")</f>
        <v>SEGUN INFORME VENDEDOR, POR GRUPOS CON OC</v>
      </c>
      <c r="M3014" t="s">
        <v>681</v>
      </c>
      <c r="O3014" s="5">
        <v>30852211</v>
      </c>
      <c r="P3014" s="5">
        <v>610270</v>
      </c>
      <c r="Q3014" s="5">
        <v>115951</v>
      </c>
      <c r="R3014" s="5">
        <v>726221</v>
      </c>
    </row>
    <row r="3015" spans="1:18" x14ac:dyDescent="0.25">
      <c r="A3015" t="s">
        <v>1326</v>
      </c>
      <c r="B3015" t="s">
        <v>494</v>
      </c>
      <c r="C3015">
        <v>79947100</v>
      </c>
      <c r="D3015">
        <v>141</v>
      </c>
      <c r="E3015" t="s">
        <v>1365</v>
      </c>
      <c r="F3015" t="s">
        <v>1364</v>
      </c>
      <c r="G3015" s="1">
        <v>45234</v>
      </c>
      <c r="H3015">
        <v>5412750</v>
      </c>
      <c r="I3015">
        <v>81</v>
      </c>
      <c r="J3015" t="s">
        <v>144</v>
      </c>
      <c r="K3015" t="str">
        <f>IFERROR(IF(AND(VLOOKUP($C3015,Hes!$A:$B, 1, FALSE), $M3015&lt;&gt;" "), "Ingresada", "Falta Ingresar"), " ")</f>
        <v xml:space="preserve"> </v>
      </c>
      <c r="L3015" s="4" t="str">
        <f>IFERROR(VLOOKUP($C3015,Observaciones!$A:$B,2,FALSE)," ")</f>
        <v>SEGUN INFORME VENDEDOR, POR GRUPOS CON OC</v>
      </c>
      <c r="M3015" t="s">
        <v>681</v>
      </c>
      <c r="O3015" s="5">
        <v>30852211</v>
      </c>
      <c r="P3015" s="5">
        <v>54228</v>
      </c>
      <c r="Q3015" s="5">
        <v>10303</v>
      </c>
      <c r="R3015" s="5">
        <v>64531</v>
      </c>
    </row>
    <row r="3016" spans="1:18" x14ac:dyDescent="0.25">
      <c r="A3016" t="s">
        <v>1326</v>
      </c>
      <c r="B3016" t="s">
        <v>494</v>
      </c>
      <c r="C3016">
        <v>79947100</v>
      </c>
      <c r="D3016">
        <v>365</v>
      </c>
      <c r="E3016">
        <v>30857262</v>
      </c>
      <c r="F3016" t="s">
        <v>1364</v>
      </c>
      <c r="G3016" s="1">
        <v>45237</v>
      </c>
      <c r="H3016">
        <v>5413989</v>
      </c>
      <c r="I3016">
        <v>81</v>
      </c>
      <c r="J3016" t="s">
        <v>144</v>
      </c>
      <c r="K3016" t="str">
        <f>IFERROR(IF(AND(VLOOKUP($C3016,Hes!$A:$B, 1, FALSE), $M3016&lt;&gt;" "), "Ingresada", "Falta Ingresar"), " ")</f>
        <v xml:space="preserve"> </v>
      </c>
      <c r="L3016" s="4" t="str">
        <f>IFERROR(VLOOKUP($C3016,Observaciones!$A:$B,2,FALSE)," ")</f>
        <v>SEGUN INFORME VENDEDOR, POR GRUPOS CON OC</v>
      </c>
      <c r="M3016" t="s">
        <v>681</v>
      </c>
      <c r="O3016" s="5">
        <v>30857262</v>
      </c>
      <c r="P3016" s="5">
        <v>293665</v>
      </c>
      <c r="Q3016" s="5">
        <v>55796</v>
      </c>
      <c r="R3016" s="5">
        <v>349461</v>
      </c>
    </row>
    <row r="3017" spans="1:18" x14ac:dyDescent="0.25">
      <c r="A3017" t="s">
        <v>1326</v>
      </c>
      <c r="B3017" t="s">
        <v>494</v>
      </c>
      <c r="C3017">
        <v>79947100</v>
      </c>
      <c r="D3017">
        <v>341</v>
      </c>
      <c r="E3017">
        <v>30859898</v>
      </c>
      <c r="F3017" t="s">
        <v>1364</v>
      </c>
      <c r="G3017" s="1">
        <v>45237</v>
      </c>
      <c r="H3017">
        <v>5414179</v>
      </c>
      <c r="I3017">
        <v>81</v>
      </c>
      <c r="J3017" t="s">
        <v>144</v>
      </c>
      <c r="K3017" t="str">
        <f>IFERROR(IF(AND(VLOOKUP($C3017,Hes!$A:$B, 1, FALSE), $M3017&lt;&gt;" "), "Ingresada", "Falta Ingresar"), " ")</f>
        <v xml:space="preserve"> </v>
      </c>
      <c r="L3017" s="4" t="str">
        <f>IFERROR(VLOOKUP($C3017,Observaciones!$A:$B,2,FALSE)," ")</f>
        <v>SEGUN INFORME VENDEDOR, POR GRUPOS CON OC</v>
      </c>
      <c r="M3017" t="s">
        <v>681</v>
      </c>
      <c r="O3017" s="5">
        <v>30859898</v>
      </c>
      <c r="P3017" s="5">
        <v>1596194</v>
      </c>
      <c r="Q3017" s="5">
        <v>303277</v>
      </c>
      <c r="R3017" s="5">
        <v>1899471</v>
      </c>
    </row>
    <row r="3018" spans="1:18" x14ac:dyDescent="0.25">
      <c r="A3018" t="s">
        <v>1326</v>
      </c>
      <c r="B3018" t="s">
        <v>494</v>
      </c>
      <c r="C3018">
        <v>79947100</v>
      </c>
      <c r="D3018">
        <v>341</v>
      </c>
      <c r="E3018">
        <v>30859898</v>
      </c>
      <c r="F3018" t="s">
        <v>1364</v>
      </c>
      <c r="G3018" s="1">
        <v>45237</v>
      </c>
      <c r="H3018">
        <v>5414180</v>
      </c>
      <c r="I3018">
        <v>81</v>
      </c>
      <c r="J3018" t="s">
        <v>144</v>
      </c>
      <c r="K3018" t="str">
        <f>IFERROR(IF(AND(VLOOKUP($C3018,Hes!$A:$B, 1, FALSE), $M3018&lt;&gt;" "), "Ingresada", "Falta Ingresar"), " ")</f>
        <v xml:space="preserve"> </v>
      </c>
      <c r="L3018" s="4" t="str">
        <f>IFERROR(VLOOKUP($C3018,Observaciones!$A:$B,2,FALSE)," ")</f>
        <v>SEGUN INFORME VENDEDOR, POR GRUPOS CON OC</v>
      </c>
      <c r="M3018" t="s">
        <v>681</v>
      </c>
      <c r="O3018" s="5">
        <v>30859898</v>
      </c>
      <c r="P3018" s="5">
        <v>682690</v>
      </c>
      <c r="Q3018" s="5">
        <v>129711</v>
      </c>
      <c r="R3018" s="5">
        <v>812401</v>
      </c>
    </row>
    <row r="3019" spans="1:18" x14ac:dyDescent="0.25">
      <c r="A3019" t="s">
        <v>1326</v>
      </c>
      <c r="B3019" t="s">
        <v>494</v>
      </c>
      <c r="C3019">
        <v>79947100</v>
      </c>
      <c r="D3019">
        <v>377</v>
      </c>
      <c r="E3019">
        <v>30862888</v>
      </c>
      <c r="F3019" t="s">
        <v>1364</v>
      </c>
      <c r="G3019" s="1">
        <v>45238</v>
      </c>
      <c r="H3019">
        <v>5415030</v>
      </c>
      <c r="I3019">
        <v>81</v>
      </c>
      <c r="J3019" t="s">
        <v>144</v>
      </c>
      <c r="K3019" t="str">
        <f>IFERROR(IF(AND(VLOOKUP($C3019,Hes!$A:$B, 1, FALSE), $M3019&lt;&gt;" "), "Ingresada", "Falta Ingresar"), " ")</f>
        <v xml:space="preserve"> </v>
      </c>
      <c r="L3019" s="4" t="str">
        <f>IFERROR(VLOOKUP($C3019,Observaciones!$A:$B,2,FALSE)," ")</f>
        <v>SEGUN INFORME VENDEDOR, POR GRUPOS CON OC</v>
      </c>
      <c r="M3019" t="s">
        <v>681</v>
      </c>
      <c r="O3019" s="5">
        <v>30862888</v>
      </c>
      <c r="P3019" s="5">
        <v>325368</v>
      </c>
      <c r="Q3019" s="5">
        <v>61820</v>
      </c>
      <c r="R3019" s="5">
        <v>387188</v>
      </c>
    </row>
    <row r="3020" spans="1:18" x14ac:dyDescent="0.25">
      <c r="A3020" t="s">
        <v>1326</v>
      </c>
      <c r="B3020" t="s">
        <v>494</v>
      </c>
      <c r="C3020">
        <v>79947100</v>
      </c>
      <c r="D3020">
        <v>130</v>
      </c>
      <c r="E3020">
        <v>30863918</v>
      </c>
      <c r="F3020" t="s">
        <v>1364</v>
      </c>
      <c r="G3020" s="1">
        <v>45238</v>
      </c>
      <c r="H3020">
        <v>5415734</v>
      </c>
      <c r="I3020">
        <v>81</v>
      </c>
      <c r="J3020" t="s">
        <v>144</v>
      </c>
      <c r="K3020" t="str">
        <f>IFERROR(IF(AND(VLOOKUP($C3020,Hes!$A:$B, 1, FALSE), $M3020&lt;&gt;" "), "Ingresada", "Falta Ingresar"), " ")</f>
        <v xml:space="preserve"> </v>
      </c>
      <c r="L3020" s="4" t="str">
        <f>IFERROR(VLOOKUP($C3020,Observaciones!$A:$B,2,FALSE)," ")</f>
        <v>SEGUN INFORME VENDEDOR, POR GRUPOS CON OC</v>
      </c>
      <c r="M3020" t="s">
        <v>681</v>
      </c>
      <c r="O3020" s="5">
        <v>30863918</v>
      </c>
      <c r="P3020" s="5">
        <v>446480</v>
      </c>
      <c r="Q3020" s="5">
        <v>84831</v>
      </c>
      <c r="R3020" s="5">
        <v>531311</v>
      </c>
    </row>
    <row r="3021" spans="1:18" x14ac:dyDescent="0.25">
      <c r="A3021" t="s">
        <v>1326</v>
      </c>
      <c r="B3021" t="s">
        <v>494</v>
      </c>
      <c r="C3021">
        <v>79947100</v>
      </c>
      <c r="D3021">
        <v>130</v>
      </c>
      <c r="E3021">
        <v>30863918</v>
      </c>
      <c r="F3021" t="s">
        <v>1364</v>
      </c>
      <c r="G3021" s="1">
        <v>45238</v>
      </c>
      <c r="H3021">
        <v>5415735</v>
      </c>
      <c r="I3021">
        <v>81</v>
      </c>
      <c r="J3021" t="s">
        <v>144</v>
      </c>
      <c r="K3021" t="str">
        <f>IFERROR(IF(AND(VLOOKUP($C3021,Hes!$A:$B, 1, FALSE), $M3021&lt;&gt;" "), "Ingresada", "Falta Ingresar"), " ")</f>
        <v xml:space="preserve"> </v>
      </c>
      <c r="L3021" s="4" t="str">
        <f>IFERROR(VLOOKUP($C3021,Observaciones!$A:$B,2,FALSE)," ")</f>
        <v>SEGUN INFORME VENDEDOR, POR GRUPOS CON OC</v>
      </c>
      <c r="M3021" t="s">
        <v>681</v>
      </c>
      <c r="O3021" s="5">
        <v>30863918</v>
      </c>
      <c r="P3021" s="5">
        <v>97180</v>
      </c>
      <c r="Q3021" s="5">
        <v>18464</v>
      </c>
      <c r="R3021" s="5">
        <v>115644</v>
      </c>
    </row>
    <row r="3022" spans="1:18" x14ac:dyDescent="0.25">
      <c r="F3022" t="s">
        <v>532</v>
      </c>
      <c r="K3022" t="str">
        <f>IFERROR(IF(AND(VLOOKUP($C3022,Hes!$A:$B, 1, FALSE), $M3022&lt;&gt;" "), "Ingresada", "Falta Ingresar"), " ")</f>
        <v xml:space="preserve"> </v>
      </c>
      <c r="L3022" s="4" t="str">
        <f>IFERROR(VLOOKUP($C3022,Observaciones!$A:$B,2,FALSE)," ")</f>
        <v xml:space="preserve"> </v>
      </c>
      <c r="M3022" t="s">
        <v>681</v>
      </c>
      <c r="P3022" s="5">
        <v>11315433</v>
      </c>
      <c r="Q3022" s="5">
        <v>2149929</v>
      </c>
      <c r="R3022" s="5">
        <v>13481887</v>
      </c>
    </row>
    <row r="3023" spans="1:18" x14ac:dyDescent="0.25">
      <c r="A3023" t="s">
        <v>501</v>
      </c>
      <c r="B3023" t="s">
        <v>494</v>
      </c>
      <c r="C3023">
        <v>79950280</v>
      </c>
      <c r="D3023">
        <v>87</v>
      </c>
      <c r="E3023">
        <v>30849735</v>
      </c>
      <c r="F3023" t="s">
        <v>1366</v>
      </c>
      <c r="G3023" s="1">
        <v>45233</v>
      </c>
      <c r="H3023">
        <v>5411465</v>
      </c>
      <c r="I3023">
        <v>272</v>
      </c>
      <c r="J3023" t="s">
        <v>398</v>
      </c>
      <c r="K3023" t="str">
        <f>IFERROR(IF(AND(VLOOKUP($C3023,Hes!$A:$B, 1, FALSE), $M3023&lt;&gt;" "), "Ingresada", "Falta Ingresar"), " ")</f>
        <v xml:space="preserve"> </v>
      </c>
      <c r="L3023" s="4" t="str">
        <f>IFERROR(VLOOKUP($C3023,Observaciones!$A:$B,2,FALSE)," ")</f>
        <v xml:space="preserve"> </v>
      </c>
      <c r="M3023" t="s">
        <v>681</v>
      </c>
      <c r="O3023" s="5">
        <v>30849735</v>
      </c>
      <c r="P3023" s="5">
        <v>65088</v>
      </c>
      <c r="Q3023" s="5">
        <v>12367</v>
      </c>
      <c r="R3023" s="5">
        <v>77455</v>
      </c>
    </row>
    <row r="3024" spans="1:18" x14ac:dyDescent="0.25">
      <c r="A3024" t="s">
        <v>501</v>
      </c>
      <c r="B3024" t="s">
        <v>494</v>
      </c>
      <c r="C3024">
        <v>79950280</v>
      </c>
      <c r="D3024">
        <v>86</v>
      </c>
      <c r="E3024">
        <v>30849655</v>
      </c>
      <c r="F3024" t="s">
        <v>1366</v>
      </c>
      <c r="G3024" s="1">
        <v>45233</v>
      </c>
      <c r="H3024">
        <v>5411495</v>
      </c>
      <c r="I3024">
        <v>272</v>
      </c>
      <c r="J3024" t="s">
        <v>398</v>
      </c>
      <c r="K3024" t="str">
        <f>IFERROR(IF(AND(VLOOKUP($C3024,Hes!$A:$B, 1, FALSE), $M3024&lt;&gt;" "), "Ingresada", "Falta Ingresar"), " ")</f>
        <v xml:space="preserve"> </v>
      </c>
      <c r="L3024" s="4" t="str">
        <f>IFERROR(VLOOKUP($C3024,Observaciones!$A:$B,2,FALSE)," ")</f>
        <v xml:space="preserve"> </v>
      </c>
      <c r="M3024" t="s">
        <v>681</v>
      </c>
      <c r="O3024" s="5">
        <v>30849655</v>
      </c>
      <c r="P3024" s="5">
        <v>69694</v>
      </c>
      <c r="Q3024" s="5">
        <v>13242</v>
      </c>
      <c r="R3024" s="5">
        <v>82936</v>
      </c>
    </row>
    <row r="3025" spans="1:18" x14ac:dyDescent="0.25">
      <c r="A3025" t="s">
        <v>501</v>
      </c>
      <c r="B3025" t="s">
        <v>494</v>
      </c>
      <c r="C3025">
        <v>79950280</v>
      </c>
      <c r="D3025">
        <v>26</v>
      </c>
      <c r="E3025">
        <v>30849766</v>
      </c>
      <c r="F3025" t="s">
        <v>1366</v>
      </c>
      <c r="G3025" s="1">
        <v>45233</v>
      </c>
      <c r="H3025">
        <v>5411684</v>
      </c>
      <c r="I3025">
        <v>272</v>
      </c>
      <c r="J3025" t="s">
        <v>398</v>
      </c>
      <c r="K3025" t="str">
        <f>IFERROR(IF(AND(VLOOKUP($C3025,Hes!$A:$B, 1, FALSE), $M3025&lt;&gt;" "), "Ingresada", "Falta Ingresar"), " ")</f>
        <v xml:space="preserve"> </v>
      </c>
      <c r="L3025" s="4" t="str">
        <f>IFERROR(VLOOKUP($C3025,Observaciones!$A:$B,2,FALSE)," ")</f>
        <v xml:space="preserve"> </v>
      </c>
      <c r="M3025" t="s">
        <v>681</v>
      </c>
      <c r="O3025" s="5">
        <v>30849766</v>
      </c>
      <c r="P3025" s="5">
        <v>68660</v>
      </c>
      <c r="Q3025" s="5">
        <v>13045</v>
      </c>
      <c r="R3025" s="5">
        <v>81705</v>
      </c>
    </row>
    <row r="3026" spans="1:18" x14ac:dyDescent="0.25">
      <c r="A3026" t="s">
        <v>501</v>
      </c>
      <c r="B3026" t="s">
        <v>494</v>
      </c>
      <c r="C3026">
        <v>79950280</v>
      </c>
      <c r="D3026">
        <v>7</v>
      </c>
      <c r="E3026">
        <v>30849344</v>
      </c>
      <c r="F3026" t="s">
        <v>1366</v>
      </c>
      <c r="G3026" s="1">
        <v>45233</v>
      </c>
      <c r="H3026">
        <v>5411707</v>
      </c>
      <c r="I3026">
        <v>272</v>
      </c>
      <c r="J3026" t="s">
        <v>398</v>
      </c>
      <c r="K3026" t="str">
        <f>IFERROR(IF(AND(VLOOKUP($C3026,Hes!$A:$B, 1, FALSE), $M3026&lt;&gt;" "), "Ingresada", "Falta Ingresar"), " ")</f>
        <v xml:space="preserve"> </v>
      </c>
      <c r="L3026" s="4" t="str">
        <f>IFERROR(VLOOKUP($C3026,Observaciones!$A:$B,2,FALSE)," ")</f>
        <v xml:space="preserve"> </v>
      </c>
      <c r="M3026" t="s">
        <v>681</v>
      </c>
      <c r="O3026" s="5">
        <v>30849344</v>
      </c>
      <c r="P3026" s="5">
        <v>61176</v>
      </c>
      <c r="Q3026" s="5">
        <v>11623</v>
      </c>
      <c r="R3026" s="5">
        <v>72799</v>
      </c>
    </row>
    <row r="3027" spans="1:18" x14ac:dyDescent="0.25">
      <c r="A3027" t="s">
        <v>501</v>
      </c>
      <c r="B3027" t="s">
        <v>494</v>
      </c>
      <c r="C3027">
        <v>79950280</v>
      </c>
      <c r="D3027">
        <v>58</v>
      </c>
      <c r="E3027">
        <v>30849292</v>
      </c>
      <c r="F3027" t="s">
        <v>1366</v>
      </c>
      <c r="G3027" s="1">
        <v>45233</v>
      </c>
      <c r="H3027">
        <v>5411712</v>
      </c>
      <c r="I3027">
        <v>272</v>
      </c>
      <c r="J3027" t="s">
        <v>398</v>
      </c>
      <c r="K3027" t="str">
        <f>IFERROR(IF(AND(VLOOKUP($C3027,Hes!$A:$B, 1, FALSE), $M3027&lt;&gt;" "), "Ingresada", "Falta Ingresar"), " ")</f>
        <v xml:space="preserve"> </v>
      </c>
      <c r="L3027" s="4" t="str">
        <f>IFERROR(VLOOKUP($C3027,Observaciones!$A:$B,2,FALSE)," ")</f>
        <v xml:space="preserve"> </v>
      </c>
      <c r="M3027" t="s">
        <v>681</v>
      </c>
      <c r="O3027" s="5">
        <v>30849292</v>
      </c>
      <c r="P3027" s="5">
        <v>61939</v>
      </c>
      <c r="Q3027" s="5">
        <v>11768</v>
      </c>
      <c r="R3027" s="5">
        <v>73707</v>
      </c>
    </row>
    <row r="3028" spans="1:18" x14ac:dyDescent="0.25">
      <c r="A3028" t="s">
        <v>501</v>
      </c>
      <c r="B3028" t="s">
        <v>494</v>
      </c>
      <c r="C3028">
        <v>79950280</v>
      </c>
      <c r="D3028">
        <v>8</v>
      </c>
      <c r="E3028">
        <v>30849652</v>
      </c>
      <c r="F3028" t="s">
        <v>1366</v>
      </c>
      <c r="G3028" s="1">
        <v>45234</v>
      </c>
      <c r="H3028">
        <v>5411911</v>
      </c>
      <c r="I3028">
        <v>272</v>
      </c>
      <c r="J3028" t="s">
        <v>398</v>
      </c>
      <c r="K3028" t="str">
        <f>IFERROR(IF(AND(VLOOKUP($C3028,Hes!$A:$B, 1, FALSE), $M3028&lt;&gt;" "), "Ingresada", "Falta Ingresar"), " ")</f>
        <v xml:space="preserve"> </v>
      </c>
      <c r="L3028" s="4" t="str">
        <f>IFERROR(VLOOKUP($C3028,Observaciones!$A:$B,2,FALSE)," ")</f>
        <v xml:space="preserve"> </v>
      </c>
      <c r="M3028" t="s">
        <v>681</v>
      </c>
      <c r="O3028" s="5">
        <v>30849652</v>
      </c>
      <c r="P3028" s="5">
        <v>68483</v>
      </c>
      <c r="Q3028" s="5">
        <v>13012</v>
      </c>
      <c r="R3028" s="5">
        <v>81495</v>
      </c>
    </row>
    <row r="3029" spans="1:18" x14ac:dyDescent="0.25">
      <c r="A3029" t="s">
        <v>501</v>
      </c>
      <c r="B3029" t="s">
        <v>494</v>
      </c>
      <c r="C3029">
        <v>79950280</v>
      </c>
      <c r="D3029">
        <v>71</v>
      </c>
      <c r="E3029">
        <v>30849659</v>
      </c>
      <c r="F3029" t="s">
        <v>1366</v>
      </c>
      <c r="G3029" s="1">
        <v>45236</v>
      </c>
      <c r="H3029">
        <v>5411968</v>
      </c>
      <c r="I3029">
        <v>272</v>
      </c>
      <c r="J3029" t="s">
        <v>398</v>
      </c>
      <c r="K3029" t="str">
        <f>IFERROR(IF(AND(VLOOKUP($C3029,Hes!$A:$B, 1, FALSE), $M3029&lt;&gt;" "), "Ingresada", "Falta Ingresar"), " ")</f>
        <v xml:space="preserve"> </v>
      </c>
      <c r="L3029" s="4" t="str">
        <f>IFERROR(VLOOKUP($C3029,Observaciones!$A:$B,2,FALSE)," ")</f>
        <v xml:space="preserve"> </v>
      </c>
      <c r="M3029" t="s">
        <v>681</v>
      </c>
      <c r="O3029" s="5">
        <v>30849659</v>
      </c>
      <c r="P3029" s="5">
        <v>69875</v>
      </c>
      <c r="Q3029" s="5">
        <v>13276</v>
      </c>
      <c r="R3029" s="5">
        <v>83151</v>
      </c>
    </row>
    <row r="3030" spans="1:18" x14ac:dyDescent="0.25">
      <c r="A3030" t="s">
        <v>501</v>
      </c>
      <c r="B3030" t="s">
        <v>494</v>
      </c>
      <c r="C3030">
        <v>79950280</v>
      </c>
      <c r="D3030">
        <v>120</v>
      </c>
      <c r="E3030">
        <v>30849284</v>
      </c>
      <c r="F3030" t="s">
        <v>1366</v>
      </c>
      <c r="G3030" s="1">
        <v>45236</v>
      </c>
      <c r="H3030">
        <v>5411972</v>
      </c>
      <c r="I3030">
        <v>272</v>
      </c>
      <c r="J3030" t="s">
        <v>398</v>
      </c>
      <c r="K3030" t="str">
        <f>IFERROR(IF(AND(VLOOKUP($C3030,Hes!$A:$B, 1, FALSE), $M3030&lt;&gt;" "), "Ingresada", "Falta Ingresar"), " ")</f>
        <v xml:space="preserve"> </v>
      </c>
      <c r="L3030" s="4" t="str">
        <f>IFERROR(VLOOKUP($C3030,Observaciones!$A:$B,2,FALSE)," ")</f>
        <v xml:space="preserve"> </v>
      </c>
      <c r="M3030" t="s">
        <v>681</v>
      </c>
      <c r="O3030" s="5">
        <v>30849284</v>
      </c>
      <c r="P3030" s="5">
        <v>49861</v>
      </c>
      <c r="Q3030" s="5">
        <v>9474</v>
      </c>
      <c r="R3030" s="5">
        <v>59335</v>
      </c>
    </row>
    <row r="3031" spans="1:18" x14ac:dyDescent="0.25">
      <c r="A3031" t="s">
        <v>501</v>
      </c>
      <c r="B3031" t="s">
        <v>494</v>
      </c>
      <c r="C3031">
        <v>79950280</v>
      </c>
      <c r="D3031">
        <v>47</v>
      </c>
      <c r="E3031">
        <v>30849653</v>
      </c>
      <c r="F3031" t="s">
        <v>1366</v>
      </c>
      <c r="G3031" s="1">
        <v>45236</v>
      </c>
      <c r="H3031">
        <v>5412027</v>
      </c>
      <c r="I3031">
        <v>272</v>
      </c>
      <c r="J3031" t="s">
        <v>398</v>
      </c>
      <c r="K3031" t="str">
        <f>IFERROR(IF(AND(VLOOKUP($C3031,Hes!$A:$B, 1, FALSE), $M3031&lt;&gt;" "), "Ingresada", "Falta Ingresar"), " ")</f>
        <v xml:space="preserve"> </v>
      </c>
      <c r="L3031" s="4" t="str">
        <f>IFERROR(VLOOKUP($C3031,Observaciones!$A:$B,2,FALSE)," ")</f>
        <v xml:space="preserve"> </v>
      </c>
      <c r="M3031" t="s">
        <v>681</v>
      </c>
      <c r="O3031" s="5">
        <v>30849653</v>
      </c>
      <c r="P3031" s="5">
        <v>67165</v>
      </c>
      <c r="Q3031" s="5">
        <v>12761</v>
      </c>
      <c r="R3031" s="5">
        <v>79926</v>
      </c>
    </row>
    <row r="3032" spans="1:18" x14ac:dyDescent="0.25">
      <c r="A3032" t="s">
        <v>501</v>
      </c>
      <c r="B3032" t="s">
        <v>494</v>
      </c>
      <c r="C3032">
        <v>79950280</v>
      </c>
      <c r="D3032">
        <v>122</v>
      </c>
      <c r="E3032">
        <v>30849282</v>
      </c>
      <c r="F3032" t="s">
        <v>1366</v>
      </c>
      <c r="G3032" s="1">
        <v>45235</v>
      </c>
      <c r="H3032">
        <v>5412139</v>
      </c>
      <c r="I3032">
        <v>272</v>
      </c>
      <c r="J3032" t="s">
        <v>398</v>
      </c>
      <c r="K3032" t="str">
        <f>IFERROR(IF(AND(VLOOKUP($C3032,Hes!$A:$B, 1, FALSE), $M3032&lt;&gt;" "), "Ingresada", "Falta Ingresar"), " ")</f>
        <v xml:space="preserve"> </v>
      </c>
      <c r="L3032" s="4" t="str">
        <f>IFERROR(VLOOKUP($C3032,Observaciones!$A:$B,2,FALSE)," ")</f>
        <v xml:space="preserve"> </v>
      </c>
      <c r="M3032" t="s">
        <v>681</v>
      </c>
      <c r="O3032" s="5">
        <v>30849282</v>
      </c>
      <c r="P3032" s="5">
        <v>48809</v>
      </c>
      <c r="Q3032" s="5">
        <v>9274</v>
      </c>
      <c r="R3032" s="5">
        <v>58083</v>
      </c>
    </row>
    <row r="3033" spans="1:18" x14ac:dyDescent="0.25">
      <c r="A3033" t="s">
        <v>501</v>
      </c>
      <c r="B3033" t="s">
        <v>494</v>
      </c>
      <c r="C3033">
        <v>79950280</v>
      </c>
      <c r="D3033">
        <v>60</v>
      </c>
      <c r="E3033">
        <v>30849361</v>
      </c>
      <c r="F3033" t="s">
        <v>1366</v>
      </c>
      <c r="G3033" s="1">
        <v>45234</v>
      </c>
      <c r="H3033">
        <v>5412203</v>
      </c>
      <c r="I3033">
        <v>272</v>
      </c>
      <c r="J3033" t="s">
        <v>398</v>
      </c>
      <c r="K3033" t="str">
        <f>IFERROR(IF(AND(VLOOKUP($C3033,Hes!$A:$B, 1, FALSE), $M3033&lt;&gt;" "), "Ingresada", "Falta Ingresar"), " ")</f>
        <v xml:space="preserve"> </v>
      </c>
      <c r="L3033" s="4" t="str">
        <f>IFERROR(VLOOKUP($C3033,Observaciones!$A:$B,2,FALSE)," ")</f>
        <v xml:space="preserve"> </v>
      </c>
      <c r="M3033" t="s">
        <v>681</v>
      </c>
      <c r="O3033" s="5">
        <v>30849361</v>
      </c>
      <c r="P3033" s="5">
        <v>64486</v>
      </c>
      <c r="Q3033" s="5">
        <v>12252</v>
      </c>
      <c r="R3033" s="5">
        <v>76738</v>
      </c>
    </row>
    <row r="3034" spans="1:18" x14ac:dyDescent="0.25">
      <c r="A3034" t="s">
        <v>501</v>
      </c>
      <c r="B3034" t="s">
        <v>494</v>
      </c>
      <c r="C3034">
        <v>79950280</v>
      </c>
      <c r="D3034">
        <v>112</v>
      </c>
      <c r="E3034">
        <v>30849281</v>
      </c>
      <c r="F3034" t="s">
        <v>1366</v>
      </c>
      <c r="G3034" s="1">
        <v>45236</v>
      </c>
      <c r="H3034">
        <v>5412210</v>
      </c>
      <c r="I3034">
        <v>272</v>
      </c>
      <c r="J3034" t="s">
        <v>398</v>
      </c>
      <c r="K3034" t="str">
        <f>IFERROR(IF(AND(VLOOKUP($C3034,Hes!$A:$B, 1, FALSE), $M3034&lt;&gt;" "), "Ingresada", "Falta Ingresar"), " ")</f>
        <v xml:space="preserve"> </v>
      </c>
      <c r="L3034" s="4" t="str">
        <f>IFERROR(VLOOKUP($C3034,Observaciones!$A:$B,2,FALSE)," ")</f>
        <v xml:space="preserve"> </v>
      </c>
      <c r="M3034" t="s">
        <v>681</v>
      </c>
      <c r="O3034" s="5">
        <v>30849281</v>
      </c>
      <c r="P3034" s="5">
        <v>37185</v>
      </c>
      <c r="Q3034" s="5">
        <v>7065</v>
      </c>
      <c r="R3034" s="5">
        <v>44250</v>
      </c>
    </row>
    <row r="3035" spans="1:18" x14ac:dyDescent="0.25">
      <c r="A3035" t="s">
        <v>501</v>
      </c>
      <c r="B3035" t="s">
        <v>494</v>
      </c>
      <c r="C3035">
        <v>79950280</v>
      </c>
      <c r="D3035">
        <v>48</v>
      </c>
      <c r="E3035">
        <v>30849663</v>
      </c>
      <c r="F3035" t="s">
        <v>1366</v>
      </c>
      <c r="G3035" s="1">
        <v>45236</v>
      </c>
      <c r="H3035">
        <v>5412257</v>
      </c>
      <c r="I3035">
        <v>272</v>
      </c>
      <c r="J3035" t="s">
        <v>398</v>
      </c>
      <c r="K3035" t="str">
        <f>IFERROR(IF(AND(VLOOKUP($C3035,Hes!$A:$B, 1, FALSE), $M3035&lt;&gt;" "), "Ingresada", "Falta Ingresar"), " ")</f>
        <v xml:space="preserve"> </v>
      </c>
      <c r="L3035" s="4" t="str">
        <f>IFERROR(VLOOKUP($C3035,Observaciones!$A:$B,2,FALSE)," ")</f>
        <v xml:space="preserve"> </v>
      </c>
      <c r="M3035" t="s">
        <v>681</v>
      </c>
      <c r="O3035" s="5">
        <v>30849663</v>
      </c>
      <c r="P3035" s="5">
        <v>68209</v>
      </c>
      <c r="Q3035" s="5">
        <v>12960</v>
      </c>
      <c r="R3035" s="5">
        <v>81169</v>
      </c>
    </row>
    <row r="3036" spans="1:18" x14ac:dyDescent="0.25">
      <c r="A3036" t="s">
        <v>501</v>
      </c>
      <c r="B3036" t="s">
        <v>494</v>
      </c>
      <c r="C3036">
        <v>79950280</v>
      </c>
      <c r="D3036">
        <v>19</v>
      </c>
      <c r="E3036">
        <v>30849759</v>
      </c>
      <c r="F3036" t="s">
        <v>1366</v>
      </c>
      <c r="G3036" s="1">
        <v>45236</v>
      </c>
      <c r="H3036">
        <v>5412372</v>
      </c>
      <c r="I3036">
        <v>272</v>
      </c>
      <c r="J3036" t="s">
        <v>398</v>
      </c>
      <c r="K3036" t="str">
        <f>IFERROR(IF(AND(VLOOKUP($C3036,Hes!$A:$B, 1, FALSE), $M3036&lt;&gt;" "), "Ingresada", "Falta Ingresar"), " ")</f>
        <v xml:space="preserve"> </v>
      </c>
      <c r="L3036" s="4" t="str">
        <f>IFERROR(VLOOKUP($C3036,Observaciones!$A:$B,2,FALSE)," ")</f>
        <v xml:space="preserve"> </v>
      </c>
      <c r="M3036" t="s">
        <v>681</v>
      </c>
      <c r="O3036" s="5">
        <v>30849759</v>
      </c>
      <c r="P3036" s="5">
        <v>61164</v>
      </c>
      <c r="Q3036" s="5">
        <v>11621</v>
      </c>
      <c r="R3036" s="5">
        <v>72785</v>
      </c>
    </row>
    <row r="3037" spans="1:18" x14ac:dyDescent="0.25">
      <c r="A3037" t="s">
        <v>501</v>
      </c>
      <c r="B3037" t="s">
        <v>494</v>
      </c>
      <c r="C3037">
        <v>79950280</v>
      </c>
      <c r="D3037">
        <v>77</v>
      </c>
      <c r="E3037">
        <v>30849285</v>
      </c>
      <c r="F3037" t="s">
        <v>1366</v>
      </c>
      <c r="G3037" s="1">
        <v>45236</v>
      </c>
      <c r="H3037">
        <v>5412435</v>
      </c>
      <c r="I3037">
        <v>272</v>
      </c>
      <c r="J3037" t="s">
        <v>398</v>
      </c>
      <c r="K3037" t="str">
        <f>IFERROR(IF(AND(VLOOKUP($C3037,Hes!$A:$B, 1, FALSE), $M3037&lt;&gt;" "), "Ingresada", "Falta Ingresar"), " ")</f>
        <v xml:space="preserve"> </v>
      </c>
      <c r="L3037" s="4" t="str">
        <f>IFERROR(VLOOKUP($C3037,Observaciones!$A:$B,2,FALSE)," ")</f>
        <v xml:space="preserve"> </v>
      </c>
      <c r="M3037" t="s">
        <v>681</v>
      </c>
      <c r="O3037" s="5">
        <v>30849285</v>
      </c>
      <c r="P3037" s="5">
        <v>35599</v>
      </c>
      <c r="Q3037" s="5">
        <v>6764</v>
      </c>
      <c r="R3037" s="5">
        <v>42363</v>
      </c>
    </row>
    <row r="3038" spans="1:18" x14ac:dyDescent="0.25">
      <c r="A3038" t="s">
        <v>501</v>
      </c>
      <c r="B3038" t="s">
        <v>494</v>
      </c>
      <c r="C3038">
        <v>79950280</v>
      </c>
      <c r="D3038">
        <v>49</v>
      </c>
      <c r="E3038">
        <v>30849288</v>
      </c>
      <c r="F3038" t="s">
        <v>1366</v>
      </c>
      <c r="G3038" s="1">
        <v>45236</v>
      </c>
      <c r="H3038">
        <v>5412576</v>
      </c>
      <c r="I3038">
        <v>272</v>
      </c>
      <c r="J3038" t="s">
        <v>398</v>
      </c>
      <c r="K3038" t="str">
        <f>IFERROR(IF(AND(VLOOKUP($C3038,Hes!$A:$B, 1, FALSE), $M3038&lt;&gt;" "), "Ingresada", "Falta Ingresar"), " ")</f>
        <v xml:space="preserve"> </v>
      </c>
      <c r="L3038" s="4" t="str">
        <f>IFERROR(VLOOKUP($C3038,Observaciones!$A:$B,2,FALSE)," ")</f>
        <v xml:space="preserve"> </v>
      </c>
      <c r="M3038" t="s">
        <v>681</v>
      </c>
      <c r="O3038" s="5">
        <v>30849288</v>
      </c>
      <c r="P3038" s="5">
        <v>66347</v>
      </c>
      <c r="Q3038" s="5">
        <v>12606</v>
      </c>
      <c r="R3038" s="5">
        <v>78953</v>
      </c>
    </row>
    <row r="3039" spans="1:18" x14ac:dyDescent="0.25">
      <c r="A3039" t="s">
        <v>501</v>
      </c>
      <c r="B3039" t="s">
        <v>494</v>
      </c>
      <c r="C3039">
        <v>79950280</v>
      </c>
      <c r="D3039">
        <v>36</v>
      </c>
      <c r="E3039">
        <v>30849643</v>
      </c>
      <c r="F3039" t="s">
        <v>1366</v>
      </c>
      <c r="G3039" s="1">
        <v>45236</v>
      </c>
      <c r="H3039">
        <v>5412698</v>
      </c>
      <c r="I3039">
        <v>272</v>
      </c>
      <c r="J3039" t="s">
        <v>398</v>
      </c>
      <c r="K3039" t="str">
        <f>IFERROR(IF(AND(VLOOKUP($C3039,Hes!$A:$B, 1, FALSE), $M3039&lt;&gt;" "), "Ingresada", "Falta Ingresar"), " ")</f>
        <v xml:space="preserve"> </v>
      </c>
      <c r="L3039" s="4" t="str">
        <f>IFERROR(VLOOKUP($C3039,Observaciones!$A:$B,2,FALSE)," ")</f>
        <v xml:space="preserve"> </v>
      </c>
      <c r="M3039" t="s">
        <v>681</v>
      </c>
      <c r="O3039" s="5">
        <v>30849643</v>
      </c>
      <c r="P3039" s="5">
        <v>58802</v>
      </c>
      <c r="Q3039" s="5">
        <v>11172</v>
      </c>
      <c r="R3039" s="5">
        <v>69974</v>
      </c>
    </row>
    <row r="3040" spans="1:18" x14ac:dyDescent="0.25">
      <c r="A3040" t="s">
        <v>501</v>
      </c>
      <c r="B3040" t="s">
        <v>494</v>
      </c>
      <c r="C3040">
        <v>79950280</v>
      </c>
      <c r="D3040">
        <v>59</v>
      </c>
      <c r="E3040">
        <v>30849337</v>
      </c>
      <c r="F3040" t="s">
        <v>1366</v>
      </c>
      <c r="G3040" s="1">
        <v>45236</v>
      </c>
      <c r="H3040">
        <v>5412701</v>
      </c>
      <c r="I3040">
        <v>272</v>
      </c>
      <c r="J3040" t="s">
        <v>398</v>
      </c>
      <c r="K3040" t="str">
        <f>IFERROR(IF(AND(VLOOKUP($C3040,Hes!$A:$B, 1, FALSE), $M3040&lt;&gt;" "), "Ingresada", "Falta Ingresar"), " ")</f>
        <v xml:space="preserve"> </v>
      </c>
      <c r="L3040" s="4" t="str">
        <f>IFERROR(VLOOKUP($C3040,Observaciones!$A:$B,2,FALSE)," ")</f>
        <v xml:space="preserve"> </v>
      </c>
      <c r="M3040" t="s">
        <v>681</v>
      </c>
      <c r="O3040" s="5">
        <v>30849337</v>
      </c>
      <c r="P3040" s="5">
        <v>59294</v>
      </c>
      <c r="Q3040" s="5">
        <v>11266</v>
      </c>
      <c r="R3040" s="5">
        <v>70560</v>
      </c>
    </row>
    <row r="3041" spans="1:18" x14ac:dyDescent="0.25">
      <c r="A3041" t="s">
        <v>501</v>
      </c>
      <c r="B3041" t="s">
        <v>494</v>
      </c>
      <c r="C3041">
        <v>79950280</v>
      </c>
      <c r="D3041">
        <v>125</v>
      </c>
      <c r="E3041">
        <v>30855051</v>
      </c>
      <c r="F3041" t="s">
        <v>1366</v>
      </c>
      <c r="G3041" s="1">
        <v>45234</v>
      </c>
      <c r="H3041">
        <v>5412753</v>
      </c>
      <c r="I3041">
        <v>272</v>
      </c>
      <c r="J3041" t="s">
        <v>398</v>
      </c>
      <c r="K3041" t="str">
        <f>IFERROR(IF(AND(VLOOKUP($C3041,Hes!$A:$B, 1, FALSE), $M3041&lt;&gt;" "), "Ingresada", "Falta Ingresar"), " ")</f>
        <v xml:space="preserve"> </v>
      </c>
      <c r="L3041" s="4" t="str">
        <f>IFERROR(VLOOKUP($C3041,Observaciones!$A:$B,2,FALSE)," ")</f>
        <v xml:space="preserve"> </v>
      </c>
      <c r="M3041" t="s">
        <v>681</v>
      </c>
      <c r="O3041" s="5">
        <v>30855051</v>
      </c>
      <c r="P3041" s="5">
        <v>45446</v>
      </c>
      <c r="Q3041" s="5">
        <v>8635</v>
      </c>
      <c r="R3041" s="5">
        <v>54081</v>
      </c>
    </row>
    <row r="3042" spans="1:18" x14ac:dyDescent="0.25">
      <c r="A3042" t="s">
        <v>501</v>
      </c>
      <c r="B3042" t="s">
        <v>494</v>
      </c>
      <c r="C3042">
        <v>79950280</v>
      </c>
      <c r="D3042">
        <v>45</v>
      </c>
      <c r="E3042">
        <v>30849753</v>
      </c>
      <c r="F3042" t="s">
        <v>1366</v>
      </c>
      <c r="G3042" s="1">
        <v>45236</v>
      </c>
      <c r="H3042">
        <v>5412808</v>
      </c>
      <c r="I3042">
        <v>272</v>
      </c>
      <c r="J3042" t="s">
        <v>398</v>
      </c>
      <c r="K3042" t="str">
        <f>IFERROR(IF(AND(VLOOKUP($C3042,Hes!$A:$B, 1, FALSE), $M3042&lt;&gt;" "), "Ingresada", "Falta Ingresar"), " ")</f>
        <v xml:space="preserve"> </v>
      </c>
      <c r="L3042" s="4" t="str">
        <f>IFERROR(VLOOKUP($C3042,Observaciones!$A:$B,2,FALSE)," ")</f>
        <v xml:space="preserve"> </v>
      </c>
      <c r="M3042" t="s">
        <v>681</v>
      </c>
      <c r="O3042" s="5">
        <v>30849753</v>
      </c>
      <c r="P3042" s="5">
        <v>58883</v>
      </c>
      <c r="Q3042" s="5">
        <v>11188</v>
      </c>
      <c r="R3042" s="5">
        <v>70071</v>
      </c>
    </row>
    <row r="3043" spans="1:18" x14ac:dyDescent="0.25">
      <c r="A3043" t="s">
        <v>501</v>
      </c>
      <c r="B3043" t="s">
        <v>494</v>
      </c>
      <c r="C3043">
        <v>79950280</v>
      </c>
      <c r="D3043">
        <v>25</v>
      </c>
      <c r="E3043">
        <v>30849669</v>
      </c>
      <c r="F3043" t="s">
        <v>1366</v>
      </c>
      <c r="G3043" s="1">
        <v>45236</v>
      </c>
      <c r="H3043">
        <v>5412826</v>
      </c>
      <c r="I3043">
        <v>272</v>
      </c>
      <c r="J3043" t="s">
        <v>398</v>
      </c>
      <c r="K3043" t="str">
        <f>IFERROR(IF(AND(VLOOKUP($C3043,Hes!$A:$B, 1, FALSE), $M3043&lt;&gt;" "), "Ingresada", "Falta Ingresar"), " ")</f>
        <v xml:space="preserve"> </v>
      </c>
      <c r="L3043" s="4" t="str">
        <f>IFERROR(VLOOKUP($C3043,Observaciones!$A:$B,2,FALSE)," ")</f>
        <v xml:space="preserve"> </v>
      </c>
      <c r="M3043" t="s">
        <v>681</v>
      </c>
      <c r="O3043" s="5">
        <v>30849669</v>
      </c>
      <c r="P3043" s="5">
        <v>69308</v>
      </c>
      <c r="Q3043" s="5">
        <v>13169</v>
      </c>
      <c r="R3043" s="5">
        <v>82477</v>
      </c>
    </row>
    <row r="3044" spans="1:18" x14ac:dyDescent="0.25">
      <c r="A3044" t="s">
        <v>501</v>
      </c>
      <c r="B3044" t="s">
        <v>494</v>
      </c>
      <c r="C3044">
        <v>79950280</v>
      </c>
      <c r="D3044">
        <v>113</v>
      </c>
      <c r="E3044">
        <v>30855053</v>
      </c>
      <c r="F3044" t="s">
        <v>1366</v>
      </c>
      <c r="G3044" s="1">
        <v>45234</v>
      </c>
      <c r="H3044">
        <v>5412854</v>
      </c>
      <c r="I3044">
        <v>272</v>
      </c>
      <c r="J3044" t="s">
        <v>398</v>
      </c>
      <c r="K3044" t="str">
        <f>IFERROR(IF(AND(VLOOKUP($C3044,Hes!$A:$B, 1, FALSE), $M3044&lt;&gt;" "), "Ingresada", "Falta Ingresar"), " ")</f>
        <v xml:space="preserve"> </v>
      </c>
      <c r="L3044" s="4" t="str">
        <f>IFERROR(VLOOKUP($C3044,Observaciones!$A:$B,2,FALSE)," ")</f>
        <v xml:space="preserve"> </v>
      </c>
      <c r="M3044" t="s">
        <v>681</v>
      </c>
      <c r="O3044" s="5">
        <v>30855053</v>
      </c>
      <c r="P3044" s="5">
        <v>38170</v>
      </c>
      <c r="Q3044" s="5">
        <v>7252</v>
      </c>
      <c r="R3044" s="5">
        <v>45422</v>
      </c>
    </row>
    <row r="3045" spans="1:18" x14ac:dyDescent="0.25">
      <c r="A3045" t="s">
        <v>501</v>
      </c>
      <c r="B3045" t="s">
        <v>494</v>
      </c>
      <c r="C3045">
        <v>79950280</v>
      </c>
      <c r="D3045">
        <v>31</v>
      </c>
      <c r="E3045">
        <v>30849661</v>
      </c>
      <c r="F3045" t="s">
        <v>1366</v>
      </c>
      <c r="G3045" s="1">
        <v>45236</v>
      </c>
      <c r="H3045">
        <v>5413217</v>
      </c>
      <c r="I3045">
        <v>272</v>
      </c>
      <c r="J3045" t="s">
        <v>398</v>
      </c>
      <c r="K3045" t="str">
        <f>IFERROR(IF(AND(VLOOKUP($C3045,Hes!$A:$B, 1, FALSE), $M3045&lt;&gt;" "), "Ingresada", "Falta Ingresar"), " ")</f>
        <v xml:space="preserve"> </v>
      </c>
      <c r="L3045" s="4" t="str">
        <f>IFERROR(VLOOKUP($C3045,Observaciones!$A:$B,2,FALSE)," ")</f>
        <v xml:space="preserve"> </v>
      </c>
      <c r="M3045" t="s">
        <v>681</v>
      </c>
      <c r="O3045" s="5">
        <v>30849661</v>
      </c>
      <c r="P3045" s="5">
        <v>63599</v>
      </c>
      <c r="Q3045" s="5">
        <v>12084</v>
      </c>
      <c r="R3045" s="5">
        <v>75683</v>
      </c>
    </row>
    <row r="3046" spans="1:18" x14ac:dyDescent="0.25">
      <c r="A3046" t="s">
        <v>501</v>
      </c>
      <c r="B3046" t="s">
        <v>494</v>
      </c>
      <c r="C3046">
        <v>79950280</v>
      </c>
      <c r="D3046">
        <v>50</v>
      </c>
      <c r="E3046">
        <v>30849762</v>
      </c>
      <c r="F3046" t="s">
        <v>1366</v>
      </c>
      <c r="G3046" s="1">
        <v>45236</v>
      </c>
      <c r="H3046">
        <v>5413481</v>
      </c>
      <c r="I3046">
        <v>272</v>
      </c>
      <c r="J3046" t="s">
        <v>398</v>
      </c>
      <c r="K3046" t="str">
        <f>IFERROR(IF(AND(VLOOKUP($C3046,Hes!$A:$B, 1, FALSE), $M3046&lt;&gt;" "), "Ingresada", "Falta Ingresar"), " ")</f>
        <v xml:space="preserve"> </v>
      </c>
      <c r="L3046" s="4" t="str">
        <f>IFERROR(VLOOKUP($C3046,Observaciones!$A:$B,2,FALSE)," ")</f>
        <v xml:space="preserve"> </v>
      </c>
      <c r="M3046" t="s">
        <v>681</v>
      </c>
      <c r="O3046" s="5">
        <v>30849762</v>
      </c>
      <c r="P3046" s="5">
        <v>69207</v>
      </c>
      <c r="Q3046" s="5">
        <v>13149</v>
      </c>
      <c r="R3046" s="5">
        <v>82356</v>
      </c>
    </row>
    <row r="3047" spans="1:18" x14ac:dyDescent="0.25">
      <c r="A3047" t="s">
        <v>501</v>
      </c>
      <c r="B3047" t="s">
        <v>494</v>
      </c>
      <c r="C3047">
        <v>79950280</v>
      </c>
      <c r="D3047">
        <v>114</v>
      </c>
      <c r="E3047">
        <v>30855057</v>
      </c>
      <c r="F3047" t="s">
        <v>1366</v>
      </c>
      <c r="G3047" s="1">
        <v>45236</v>
      </c>
      <c r="H3047">
        <v>5413484</v>
      </c>
      <c r="I3047">
        <v>272</v>
      </c>
      <c r="J3047" t="s">
        <v>398</v>
      </c>
      <c r="K3047" t="str">
        <f>IFERROR(IF(AND(VLOOKUP($C3047,Hes!$A:$B, 1, FALSE), $M3047&lt;&gt;" "), "Ingresada", "Falta Ingresar"), " ")</f>
        <v xml:space="preserve"> </v>
      </c>
      <c r="L3047" s="4" t="str">
        <f>IFERROR(VLOOKUP($C3047,Observaciones!$A:$B,2,FALSE)," ")</f>
        <v xml:space="preserve"> </v>
      </c>
      <c r="M3047" t="s">
        <v>681</v>
      </c>
      <c r="O3047" s="5">
        <v>30855057</v>
      </c>
      <c r="P3047" s="5">
        <v>47883</v>
      </c>
      <c r="Q3047" s="5">
        <v>9098</v>
      </c>
      <c r="R3047" s="5">
        <v>56981</v>
      </c>
    </row>
    <row r="3048" spans="1:18" x14ac:dyDescent="0.25">
      <c r="A3048" t="s">
        <v>501</v>
      </c>
      <c r="B3048" t="s">
        <v>494</v>
      </c>
      <c r="C3048">
        <v>79950280</v>
      </c>
      <c r="D3048">
        <v>116</v>
      </c>
      <c r="E3048">
        <v>30855659</v>
      </c>
      <c r="F3048" t="s">
        <v>1366</v>
      </c>
      <c r="G3048" s="1">
        <v>45236</v>
      </c>
      <c r="H3048">
        <v>5413667</v>
      </c>
      <c r="I3048">
        <v>272</v>
      </c>
      <c r="J3048" t="s">
        <v>398</v>
      </c>
      <c r="K3048" t="str">
        <f>IFERROR(IF(AND(VLOOKUP($C3048,Hes!$A:$B, 1, FALSE), $M3048&lt;&gt;" "), "Ingresada", "Falta Ingresar"), " ")</f>
        <v xml:space="preserve"> </v>
      </c>
      <c r="L3048" s="4" t="str">
        <f>IFERROR(VLOOKUP($C3048,Observaciones!$A:$B,2,FALSE)," ")</f>
        <v xml:space="preserve"> </v>
      </c>
      <c r="M3048" t="s">
        <v>681</v>
      </c>
      <c r="O3048" s="5">
        <v>30855659</v>
      </c>
      <c r="P3048" s="5">
        <v>41455</v>
      </c>
      <c r="Q3048" s="5">
        <v>7876</v>
      </c>
      <c r="R3048" s="5">
        <v>49331</v>
      </c>
    </row>
    <row r="3049" spans="1:18" x14ac:dyDescent="0.25">
      <c r="A3049" t="s">
        <v>501</v>
      </c>
      <c r="B3049" t="s">
        <v>494</v>
      </c>
      <c r="C3049">
        <v>79950280</v>
      </c>
      <c r="D3049">
        <v>124</v>
      </c>
      <c r="E3049">
        <v>30855048</v>
      </c>
      <c r="F3049" t="s">
        <v>1366</v>
      </c>
      <c r="G3049" s="1">
        <v>45236</v>
      </c>
      <c r="H3049">
        <v>5413782</v>
      </c>
      <c r="I3049">
        <v>272</v>
      </c>
      <c r="J3049" t="s">
        <v>398</v>
      </c>
      <c r="K3049" t="str">
        <f>IFERROR(IF(AND(VLOOKUP($C3049,Hes!$A:$B, 1, FALSE), $M3049&lt;&gt;" "), "Ingresada", "Falta Ingresar"), " ")</f>
        <v xml:space="preserve"> </v>
      </c>
      <c r="L3049" s="4" t="str">
        <f>IFERROR(VLOOKUP($C3049,Observaciones!$A:$B,2,FALSE)," ")</f>
        <v xml:space="preserve"> </v>
      </c>
      <c r="M3049" t="s">
        <v>681</v>
      </c>
      <c r="O3049" s="5">
        <v>30855048</v>
      </c>
      <c r="P3049" s="5">
        <v>49841</v>
      </c>
      <c r="Q3049" s="5">
        <v>9470</v>
      </c>
      <c r="R3049" s="5">
        <v>59311</v>
      </c>
    </row>
    <row r="3050" spans="1:18" x14ac:dyDescent="0.25">
      <c r="A3050" t="s">
        <v>501</v>
      </c>
      <c r="B3050" t="s">
        <v>494</v>
      </c>
      <c r="C3050">
        <v>79950280</v>
      </c>
      <c r="D3050">
        <v>67</v>
      </c>
      <c r="E3050">
        <v>30859094</v>
      </c>
      <c r="F3050" t="s">
        <v>1366</v>
      </c>
      <c r="G3050" s="1">
        <v>45237</v>
      </c>
      <c r="H3050">
        <v>5414006</v>
      </c>
      <c r="I3050">
        <v>272</v>
      </c>
      <c r="J3050" t="s">
        <v>398</v>
      </c>
      <c r="K3050" t="str">
        <f>IFERROR(IF(AND(VLOOKUP($C3050,Hes!$A:$B, 1, FALSE), $M3050&lt;&gt;" "), "Ingresada", "Falta Ingresar"), " ")</f>
        <v xml:space="preserve"> </v>
      </c>
      <c r="L3050" s="4" t="str">
        <f>IFERROR(VLOOKUP($C3050,Observaciones!$A:$B,2,FALSE)," ")</f>
        <v xml:space="preserve"> </v>
      </c>
      <c r="M3050" t="s">
        <v>681</v>
      </c>
      <c r="O3050" s="5">
        <v>30859094</v>
      </c>
      <c r="P3050" s="5">
        <v>58842</v>
      </c>
      <c r="Q3050" s="5">
        <v>11180</v>
      </c>
      <c r="R3050" s="5">
        <v>70022</v>
      </c>
    </row>
    <row r="3051" spans="1:18" x14ac:dyDescent="0.25">
      <c r="A3051" t="s">
        <v>501</v>
      </c>
      <c r="B3051" t="s">
        <v>494</v>
      </c>
      <c r="C3051">
        <v>79950280</v>
      </c>
      <c r="D3051">
        <v>51</v>
      </c>
      <c r="E3051">
        <v>30858698</v>
      </c>
      <c r="F3051" t="s">
        <v>1366</v>
      </c>
      <c r="G3051" s="1">
        <v>45237</v>
      </c>
      <c r="H3051">
        <v>5414047</v>
      </c>
      <c r="I3051">
        <v>272</v>
      </c>
      <c r="J3051" t="s">
        <v>398</v>
      </c>
      <c r="K3051" t="str">
        <f>IFERROR(IF(AND(VLOOKUP($C3051,Hes!$A:$B, 1, FALSE), $M3051&lt;&gt;" "), "Ingresada", "Falta Ingresar"), " ")</f>
        <v xml:space="preserve"> </v>
      </c>
      <c r="L3051" s="4" t="str">
        <f>IFERROR(VLOOKUP($C3051,Observaciones!$A:$B,2,FALSE)," ")</f>
        <v xml:space="preserve"> </v>
      </c>
      <c r="M3051" t="s">
        <v>681</v>
      </c>
      <c r="O3051" s="5">
        <v>30858698</v>
      </c>
      <c r="P3051" s="5">
        <v>53631</v>
      </c>
      <c r="Q3051" s="5">
        <v>10190</v>
      </c>
      <c r="R3051" s="5">
        <v>63821</v>
      </c>
    </row>
    <row r="3052" spans="1:18" x14ac:dyDescent="0.25">
      <c r="A3052" t="s">
        <v>501</v>
      </c>
      <c r="B3052" t="s">
        <v>494</v>
      </c>
      <c r="C3052">
        <v>79950280</v>
      </c>
      <c r="D3052">
        <v>68</v>
      </c>
      <c r="E3052">
        <v>30858983</v>
      </c>
      <c r="F3052" t="s">
        <v>1366</v>
      </c>
      <c r="G3052" s="1">
        <v>45237</v>
      </c>
      <c r="H3052">
        <v>5414067</v>
      </c>
      <c r="I3052">
        <v>272</v>
      </c>
      <c r="J3052" t="s">
        <v>398</v>
      </c>
      <c r="K3052" t="str">
        <f>IFERROR(IF(AND(VLOOKUP($C3052,Hes!$A:$B, 1, FALSE), $M3052&lt;&gt;" "), "Ingresada", "Falta Ingresar"), " ")</f>
        <v xml:space="preserve"> </v>
      </c>
      <c r="L3052" s="4" t="str">
        <f>IFERROR(VLOOKUP($C3052,Observaciones!$A:$B,2,FALSE)," ")</f>
        <v xml:space="preserve"> </v>
      </c>
      <c r="M3052" t="s">
        <v>681</v>
      </c>
      <c r="O3052" s="5">
        <v>30858983</v>
      </c>
      <c r="P3052" s="5">
        <v>61857</v>
      </c>
      <c r="Q3052" s="5">
        <v>11753</v>
      </c>
      <c r="R3052" s="5">
        <v>73610</v>
      </c>
    </row>
    <row r="3053" spans="1:18" x14ac:dyDescent="0.25">
      <c r="A3053" t="s">
        <v>501</v>
      </c>
      <c r="B3053" t="s">
        <v>494</v>
      </c>
      <c r="C3053">
        <v>79950280</v>
      </c>
      <c r="D3053">
        <v>14</v>
      </c>
      <c r="E3053">
        <v>30859075</v>
      </c>
      <c r="F3053" t="s">
        <v>1366</v>
      </c>
      <c r="G3053" s="1">
        <v>45237</v>
      </c>
      <c r="H3053">
        <v>5414071</v>
      </c>
      <c r="I3053">
        <v>272</v>
      </c>
      <c r="J3053" t="s">
        <v>398</v>
      </c>
      <c r="K3053" t="str">
        <f>IFERROR(IF(AND(VLOOKUP($C3053,Hes!$A:$B, 1, FALSE), $M3053&lt;&gt;" "), "Ingresada", "Falta Ingresar"), " ")</f>
        <v xml:space="preserve"> </v>
      </c>
      <c r="L3053" s="4" t="str">
        <f>IFERROR(VLOOKUP($C3053,Observaciones!$A:$B,2,FALSE)," ")</f>
        <v xml:space="preserve"> </v>
      </c>
      <c r="M3053" t="s">
        <v>681</v>
      </c>
      <c r="O3053" s="5">
        <v>30859075</v>
      </c>
      <c r="P3053" s="5">
        <v>59194</v>
      </c>
      <c r="Q3053" s="5">
        <v>11247</v>
      </c>
      <c r="R3053" s="5">
        <v>70441</v>
      </c>
    </row>
    <row r="3054" spans="1:18" x14ac:dyDescent="0.25">
      <c r="A3054" t="s">
        <v>501</v>
      </c>
      <c r="B3054" t="s">
        <v>494</v>
      </c>
      <c r="C3054">
        <v>79950280</v>
      </c>
      <c r="D3054">
        <v>44</v>
      </c>
      <c r="E3054">
        <v>30858506</v>
      </c>
      <c r="F3054" t="s">
        <v>1366</v>
      </c>
      <c r="G3054" s="1">
        <v>45237</v>
      </c>
      <c r="H3054">
        <v>5414078</v>
      </c>
      <c r="I3054">
        <v>272</v>
      </c>
      <c r="J3054" t="s">
        <v>398</v>
      </c>
      <c r="K3054" t="str">
        <f>IFERROR(IF(AND(VLOOKUP($C3054,Hes!$A:$B, 1, FALSE), $M3054&lt;&gt;" "), "Ingresada", "Falta Ingresar"), " ")</f>
        <v xml:space="preserve"> </v>
      </c>
      <c r="L3054" s="4" t="str">
        <f>IFERROR(VLOOKUP($C3054,Observaciones!$A:$B,2,FALSE)," ")</f>
        <v xml:space="preserve"> </v>
      </c>
      <c r="M3054" t="s">
        <v>681</v>
      </c>
      <c r="O3054" s="5">
        <v>30858506</v>
      </c>
      <c r="P3054" s="5">
        <v>64553</v>
      </c>
      <c r="Q3054" s="5">
        <v>12265</v>
      </c>
      <c r="R3054" s="5">
        <v>76818</v>
      </c>
    </row>
    <row r="3055" spans="1:18" x14ac:dyDescent="0.25">
      <c r="A3055" t="s">
        <v>501</v>
      </c>
      <c r="B3055" t="s">
        <v>494</v>
      </c>
      <c r="C3055">
        <v>79950280</v>
      </c>
      <c r="D3055">
        <v>55</v>
      </c>
      <c r="E3055">
        <v>30858726</v>
      </c>
      <c r="F3055" t="s">
        <v>1366</v>
      </c>
      <c r="G3055" s="1">
        <v>45237</v>
      </c>
      <c r="H3055">
        <v>5414085</v>
      </c>
      <c r="I3055">
        <v>272</v>
      </c>
      <c r="J3055" t="s">
        <v>398</v>
      </c>
      <c r="K3055" t="str">
        <f>IFERROR(IF(AND(VLOOKUP($C3055,Hes!$A:$B, 1, FALSE), $M3055&lt;&gt;" "), "Ingresada", "Falta Ingresar"), " ")</f>
        <v xml:space="preserve"> </v>
      </c>
      <c r="L3055" s="4" t="str">
        <f>IFERROR(VLOOKUP($C3055,Observaciones!$A:$B,2,FALSE)," ")</f>
        <v xml:space="preserve"> </v>
      </c>
      <c r="M3055" t="s">
        <v>681</v>
      </c>
      <c r="O3055" s="5">
        <v>30858726</v>
      </c>
      <c r="P3055" s="5">
        <v>52628</v>
      </c>
      <c r="Q3055" s="5">
        <v>9999</v>
      </c>
      <c r="R3055" s="5">
        <v>62627</v>
      </c>
    </row>
    <row r="3056" spans="1:18" x14ac:dyDescent="0.25">
      <c r="A3056" t="s">
        <v>501</v>
      </c>
      <c r="B3056" t="s">
        <v>494</v>
      </c>
      <c r="C3056">
        <v>79950280</v>
      </c>
      <c r="D3056">
        <v>134</v>
      </c>
      <c r="E3056">
        <v>30858525</v>
      </c>
      <c r="F3056" t="s">
        <v>1366</v>
      </c>
      <c r="G3056" s="1">
        <v>45237</v>
      </c>
      <c r="H3056">
        <v>5414086</v>
      </c>
      <c r="I3056">
        <v>272</v>
      </c>
      <c r="J3056" t="s">
        <v>398</v>
      </c>
      <c r="K3056" t="str">
        <f>IFERROR(IF(AND(VLOOKUP($C3056,Hes!$A:$B, 1, FALSE), $M3056&lt;&gt;" "), "Ingresada", "Falta Ingresar"), " ")</f>
        <v xml:space="preserve"> </v>
      </c>
      <c r="L3056" s="4" t="str">
        <f>IFERROR(VLOOKUP($C3056,Observaciones!$A:$B,2,FALSE)," ")</f>
        <v xml:space="preserve"> </v>
      </c>
      <c r="M3056" t="s">
        <v>681</v>
      </c>
      <c r="O3056" s="5">
        <v>30858525</v>
      </c>
      <c r="P3056" s="5">
        <v>49583</v>
      </c>
      <c r="Q3056" s="5">
        <v>9421</v>
      </c>
      <c r="R3056" s="5">
        <v>59004</v>
      </c>
    </row>
    <row r="3057" spans="1:18" x14ac:dyDescent="0.25">
      <c r="A3057" t="s">
        <v>501</v>
      </c>
      <c r="B3057" t="s">
        <v>494</v>
      </c>
      <c r="C3057">
        <v>79950280</v>
      </c>
      <c r="D3057">
        <v>9</v>
      </c>
      <c r="E3057">
        <v>30858957</v>
      </c>
      <c r="F3057" t="s">
        <v>1366</v>
      </c>
      <c r="G3057" s="1">
        <v>45237</v>
      </c>
      <c r="H3057">
        <v>5414091</v>
      </c>
      <c r="I3057">
        <v>272</v>
      </c>
      <c r="J3057" t="s">
        <v>398</v>
      </c>
      <c r="K3057" t="str">
        <f>IFERROR(IF(AND(VLOOKUP($C3057,Hes!$A:$B, 1, FALSE), $M3057&lt;&gt;" "), "Ingresada", "Falta Ingresar"), " ")</f>
        <v xml:space="preserve"> </v>
      </c>
      <c r="L3057" s="4" t="str">
        <f>IFERROR(VLOOKUP($C3057,Observaciones!$A:$B,2,FALSE)," ")</f>
        <v xml:space="preserve"> </v>
      </c>
      <c r="M3057" t="s">
        <v>681</v>
      </c>
      <c r="O3057" s="5">
        <v>30858957</v>
      </c>
      <c r="P3057" s="5">
        <v>59078</v>
      </c>
      <c r="Q3057" s="5">
        <v>11225</v>
      </c>
      <c r="R3057" s="5">
        <v>70303</v>
      </c>
    </row>
    <row r="3058" spans="1:18" x14ac:dyDescent="0.25">
      <c r="A3058" t="s">
        <v>501</v>
      </c>
      <c r="B3058" t="s">
        <v>494</v>
      </c>
      <c r="C3058">
        <v>79950280</v>
      </c>
      <c r="D3058">
        <v>98</v>
      </c>
      <c r="E3058">
        <v>30858503</v>
      </c>
      <c r="F3058" t="s">
        <v>1366</v>
      </c>
      <c r="G3058" s="1">
        <v>45237</v>
      </c>
      <c r="H3058">
        <v>5414108</v>
      </c>
      <c r="I3058">
        <v>272</v>
      </c>
      <c r="J3058" t="s">
        <v>398</v>
      </c>
      <c r="K3058" t="str">
        <f>IFERROR(IF(AND(VLOOKUP($C3058,Hes!$A:$B, 1, FALSE), $M3058&lt;&gt;" "), "Ingresada", "Falta Ingresar"), " ")</f>
        <v xml:space="preserve"> </v>
      </c>
      <c r="L3058" s="4" t="str">
        <f>IFERROR(VLOOKUP($C3058,Observaciones!$A:$B,2,FALSE)," ")</f>
        <v xml:space="preserve"> </v>
      </c>
      <c r="M3058" t="s">
        <v>681</v>
      </c>
      <c r="O3058" s="5">
        <v>30858503</v>
      </c>
      <c r="P3058" s="5">
        <v>56043</v>
      </c>
      <c r="Q3058" s="5">
        <v>10648</v>
      </c>
      <c r="R3058" s="5">
        <v>66691</v>
      </c>
    </row>
    <row r="3059" spans="1:18" x14ac:dyDescent="0.25">
      <c r="A3059" t="s">
        <v>501</v>
      </c>
      <c r="B3059" t="s">
        <v>494</v>
      </c>
      <c r="C3059">
        <v>79950280</v>
      </c>
      <c r="D3059">
        <v>13</v>
      </c>
      <c r="E3059">
        <v>30858569</v>
      </c>
      <c r="F3059" t="s">
        <v>1366</v>
      </c>
      <c r="G3059" s="1">
        <v>45237</v>
      </c>
      <c r="H3059">
        <v>5414130</v>
      </c>
      <c r="I3059">
        <v>272</v>
      </c>
      <c r="J3059" t="s">
        <v>398</v>
      </c>
      <c r="K3059" t="str">
        <f>IFERROR(IF(AND(VLOOKUP($C3059,Hes!$A:$B, 1, FALSE), $M3059&lt;&gt;" "), "Ingresada", "Falta Ingresar"), " ")</f>
        <v xml:space="preserve"> </v>
      </c>
      <c r="L3059" s="4" t="str">
        <f>IFERROR(VLOOKUP($C3059,Observaciones!$A:$B,2,FALSE)," ")</f>
        <v xml:space="preserve"> </v>
      </c>
      <c r="M3059" t="s">
        <v>681</v>
      </c>
      <c r="O3059" s="5">
        <v>30858569</v>
      </c>
      <c r="P3059" s="5">
        <v>56975</v>
      </c>
      <c r="Q3059" s="5">
        <v>10825</v>
      </c>
      <c r="R3059" s="5">
        <v>67800</v>
      </c>
    </row>
    <row r="3060" spans="1:18" x14ac:dyDescent="0.25">
      <c r="A3060" t="s">
        <v>501</v>
      </c>
      <c r="B3060" t="s">
        <v>494</v>
      </c>
      <c r="C3060">
        <v>79950280</v>
      </c>
      <c r="D3060">
        <v>52</v>
      </c>
      <c r="E3060">
        <v>30859298</v>
      </c>
      <c r="F3060" t="s">
        <v>1366</v>
      </c>
      <c r="G3060" s="1">
        <v>45237</v>
      </c>
      <c r="H3060">
        <v>5414158</v>
      </c>
      <c r="I3060">
        <v>272</v>
      </c>
      <c r="J3060" t="s">
        <v>398</v>
      </c>
      <c r="K3060" t="str">
        <f>IFERROR(IF(AND(VLOOKUP($C3060,Hes!$A:$B, 1, FALSE), $M3060&lt;&gt;" "), "Ingresada", "Falta Ingresar"), " ")</f>
        <v xml:space="preserve"> </v>
      </c>
      <c r="L3060" s="4" t="str">
        <f>IFERROR(VLOOKUP($C3060,Observaciones!$A:$B,2,FALSE)," ")</f>
        <v xml:space="preserve"> </v>
      </c>
      <c r="M3060" t="s">
        <v>681</v>
      </c>
      <c r="O3060" s="5">
        <v>30859298</v>
      </c>
      <c r="P3060" s="5">
        <v>57374</v>
      </c>
      <c r="Q3060" s="5">
        <v>10901</v>
      </c>
      <c r="R3060" s="5">
        <v>68275</v>
      </c>
    </row>
    <row r="3061" spans="1:18" x14ac:dyDescent="0.25">
      <c r="A3061" t="s">
        <v>501</v>
      </c>
      <c r="B3061" t="s">
        <v>494</v>
      </c>
      <c r="C3061">
        <v>79950280</v>
      </c>
      <c r="D3061">
        <v>92</v>
      </c>
      <c r="E3061">
        <v>30859114</v>
      </c>
      <c r="F3061" t="s">
        <v>1366</v>
      </c>
      <c r="G3061" s="1">
        <v>45237</v>
      </c>
      <c r="H3061">
        <v>5414163</v>
      </c>
      <c r="I3061">
        <v>272</v>
      </c>
      <c r="J3061" t="s">
        <v>398</v>
      </c>
      <c r="K3061" t="str">
        <f>IFERROR(IF(AND(VLOOKUP($C3061,Hes!$A:$B, 1, FALSE), $M3061&lt;&gt;" "), "Ingresada", "Falta Ingresar"), " ")</f>
        <v xml:space="preserve"> </v>
      </c>
      <c r="L3061" s="4" t="str">
        <f>IFERROR(VLOOKUP($C3061,Observaciones!$A:$B,2,FALSE)," ")</f>
        <v xml:space="preserve"> </v>
      </c>
      <c r="M3061" t="s">
        <v>681</v>
      </c>
      <c r="O3061" s="5">
        <v>30859114</v>
      </c>
      <c r="P3061" s="5">
        <v>63465</v>
      </c>
      <c r="Q3061" s="5">
        <v>12058</v>
      </c>
      <c r="R3061" s="5">
        <v>75523</v>
      </c>
    </row>
    <row r="3062" spans="1:18" x14ac:dyDescent="0.25">
      <c r="A3062" t="s">
        <v>501</v>
      </c>
      <c r="B3062" t="s">
        <v>494</v>
      </c>
      <c r="C3062">
        <v>79950280</v>
      </c>
      <c r="D3062">
        <v>43</v>
      </c>
      <c r="E3062">
        <v>30858524</v>
      </c>
      <c r="F3062" t="s">
        <v>1366</v>
      </c>
      <c r="G3062" s="1">
        <v>45237</v>
      </c>
      <c r="H3062">
        <v>5414164</v>
      </c>
      <c r="I3062">
        <v>272</v>
      </c>
      <c r="J3062" t="s">
        <v>398</v>
      </c>
      <c r="K3062" t="str">
        <f>IFERROR(IF(AND(VLOOKUP($C3062,Hes!$A:$B, 1, FALSE), $M3062&lt;&gt;" "), "Ingresada", "Falta Ingresar"), " ")</f>
        <v xml:space="preserve"> </v>
      </c>
      <c r="L3062" s="4" t="str">
        <f>IFERROR(VLOOKUP($C3062,Observaciones!$A:$B,2,FALSE)," ")</f>
        <v xml:space="preserve"> </v>
      </c>
      <c r="M3062" t="s">
        <v>681</v>
      </c>
      <c r="O3062" s="5">
        <v>30858524</v>
      </c>
      <c r="P3062" s="5">
        <v>69959</v>
      </c>
      <c r="Q3062" s="5">
        <v>13292</v>
      </c>
      <c r="R3062" s="5">
        <v>83251</v>
      </c>
    </row>
    <row r="3063" spans="1:18" x14ac:dyDescent="0.25">
      <c r="A3063" t="s">
        <v>501</v>
      </c>
      <c r="B3063" t="s">
        <v>494</v>
      </c>
      <c r="C3063">
        <v>79950280</v>
      </c>
      <c r="D3063">
        <v>38</v>
      </c>
      <c r="E3063">
        <v>30859124</v>
      </c>
      <c r="F3063" t="s">
        <v>1366</v>
      </c>
      <c r="G3063" s="1">
        <v>45237</v>
      </c>
      <c r="H3063">
        <v>5414178</v>
      </c>
      <c r="I3063">
        <v>272</v>
      </c>
      <c r="J3063" t="s">
        <v>398</v>
      </c>
      <c r="K3063" t="str">
        <f>IFERROR(IF(AND(VLOOKUP($C3063,Hes!$A:$B, 1, FALSE), $M3063&lt;&gt;" "), "Ingresada", "Falta Ingresar"), " ")</f>
        <v xml:space="preserve"> </v>
      </c>
      <c r="L3063" s="4" t="str">
        <f>IFERROR(VLOOKUP($C3063,Observaciones!$A:$B,2,FALSE)," ")</f>
        <v xml:space="preserve"> </v>
      </c>
      <c r="M3063" t="s">
        <v>681</v>
      </c>
      <c r="O3063" s="5">
        <v>30859124</v>
      </c>
      <c r="P3063" s="5">
        <v>67237</v>
      </c>
      <c r="Q3063" s="5">
        <v>12775</v>
      </c>
      <c r="R3063" s="5">
        <v>80012</v>
      </c>
    </row>
    <row r="3064" spans="1:18" x14ac:dyDescent="0.25">
      <c r="A3064" t="s">
        <v>501</v>
      </c>
      <c r="B3064" t="s">
        <v>494</v>
      </c>
      <c r="C3064">
        <v>79950280</v>
      </c>
      <c r="D3064">
        <v>63</v>
      </c>
      <c r="E3064">
        <v>30859061</v>
      </c>
      <c r="F3064" t="s">
        <v>1366</v>
      </c>
      <c r="G3064" s="1">
        <v>45237</v>
      </c>
      <c r="H3064">
        <v>5414202</v>
      </c>
      <c r="I3064">
        <v>272</v>
      </c>
      <c r="J3064" t="s">
        <v>398</v>
      </c>
      <c r="K3064" t="str">
        <f>IFERROR(IF(AND(VLOOKUP($C3064,Hes!$A:$B, 1, FALSE), $M3064&lt;&gt;" "), "Ingresada", "Falta Ingresar"), " ")</f>
        <v xml:space="preserve"> </v>
      </c>
      <c r="L3064" s="4" t="str">
        <f>IFERROR(VLOOKUP($C3064,Observaciones!$A:$B,2,FALSE)," ")</f>
        <v xml:space="preserve"> </v>
      </c>
      <c r="M3064" t="s">
        <v>681</v>
      </c>
      <c r="O3064" s="5">
        <v>30859061</v>
      </c>
      <c r="P3064" s="5">
        <v>63217</v>
      </c>
      <c r="Q3064" s="5">
        <v>12011</v>
      </c>
      <c r="R3064" s="5">
        <v>75228</v>
      </c>
    </row>
    <row r="3065" spans="1:18" x14ac:dyDescent="0.25">
      <c r="A3065" t="s">
        <v>501</v>
      </c>
      <c r="B3065" t="s">
        <v>494</v>
      </c>
      <c r="C3065">
        <v>79950280</v>
      </c>
      <c r="D3065">
        <v>2</v>
      </c>
      <c r="E3065">
        <v>30858968</v>
      </c>
      <c r="F3065" t="s">
        <v>1366</v>
      </c>
      <c r="G3065" s="1">
        <v>45237</v>
      </c>
      <c r="H3065">
        <v>5414263</v>
      </c>
      <c r="I3065">
        <v>272</v>
      </c>
      <c r="J3065" t="s">
        <v>398</v>
      </c>
      <c r="K3065" t="str">
        <f>IFERROR(IF(AND(VLOOKUP($C3065,Hes!$A:$B, 1, FALSE), $M3065&lt;&gt;" "), "Ingresada", "Falta Ingresar"), " ")</f>
        <v xml:space="preserve"> </v>
      </c>
      <c r="L3065" s="4" t="str">
        <f>IFERROR(VLOOKUP($C3065,Observaciones!$A:$B,2,FALSE)," ")</f>
        <v xml:space="preserve"> </v>
      </c>
      <c r="M3065" t="s">
        <v>681</v>
      </c>
      <c r="O3065" s="5">
        <v>30858968</v>
      </c>
      <c r="P3065" s="5">
        <v>52553</v>
      </c>
      <c r="Q3065" s="5">
        <v>9985</v>
      </c>
      <c r="R3065" s="5">
        <v>62538</v>
      </c>
    </row>
    <row r="3066" spans="1:18" x14ac:dyDescent="0.25">
      <c r="A3066" t="s">
        <v>501</v>
      </c>
      <c r="B3066" t="s">
        <v>494</v>
      </c>
      <c r="C3066">
        <v>79950280</v>
      </c>
      <c r="D3066">
        <v>141</v>
      </c>
      <c r="E3066">
        <v>30858656</v>
      </c>
      <c r="F3066" t="s">
        <v>1366</v>
      </c>
      <c r="G3066" s="1">
        <v>45237</v>
      </c>
      <c r="H3066">
        <v>5414298</v>
      </c>
      <c r="I3066">
        <v>272</v>
      </c>
      <c r="J3066" t="s">
        <v>398</v>
      </c>
      <c r="K3066" t="str">
        <f>IFERROR(IF(AND(VLOOKUP($C3066,Hes!$A:$B, 1, FALSE), $M3066&lt;&gt;" "), "Ingresada", "Falta Ingresar"), " ")</f>
        <v xml:space="preserve"> </v>
      </c>
      <c r="L3066" s="4" t="str">
        <f>IFERROR(VLOOKUP($C3066,Observaciones!$A:$B,2,FALSE)," ")</f>
        <v xml:space="preserve"> </v>
      </c>
      <c r="M3066" t="s">
        <v>681</v>
      </c>
      <c r="O3066" s="5">
        <v>30858656</v>
      </c>
      <c r="P3066" s="5">
        <v>54137</v>
      </c>
      <c r="Q3066" s="5">
        <v>10286</v>
      </c>
      <c r="R3066" s="5">
        <v>64423</v>
      </c>
    </row>
    <row r="3067" spans="1:18" x14ac:dyDescent="0.25">
      <c r="A3067" t="s">
        <v>501</v>
      </c>
      <c r="B3067" t="s">
        <v>494</v>
      </c>
      <c r="C3067">
        <v>79950280</v>
      </c>
      <c r="D3067">
        <v>75</v>
      </c>
      <c r="E3067">
        <v>30858942</v>
      </c>
      <c r="F3067" t="s">
        <v>1366</v>
      </c>
      <c r="G3067" s="1">
        <v>45237</v>
      </c>
      <c r="H3067">
        <v>5414440</v>
      </c>
      <c r="I3067">
        <v>272</v>
      </c>
      <c r="J3067" t="s">
        <v>398</v>
      </c>
      <c r="K3067" t="str">
        <f>IFERROR(IF(AND(VLOOKUP($C3067,Hes!$A:$B, 1, FALSE), $M3067&lt;&gt;" "), "Ingresada", "Falta Ingresar"), " ")</f>
        <v xml:space="preserve"> </v>
      </c>
      <c r="L3067" s="4" t="str">
        <f>IFERROR(VLOOKUP($C3067,Observaciones!$A:$B,2,FALSE)," ")</f>
        <v xml:space="preserve"> </v>
      </c>
      <c r="M3067" t="s">
        <v>681</v>
      </c>
      <c r="O3067" s="5">
        <v>30858942</v>
      </c>
      <c r="P3067" s="5">
        <v>61164</v>
      </c>
      <c r="Q3067" s="5">
        <v>11621</v>
      </c>
      <c r="R3067" s="5">
        <v>72785</v>
      </c>
    </row>
    <row r="3068" spans="1:18" x14ac:dyDescent="0.25">
      <c r="A3068" t="s">
        <v>501</v>
      </c>
      <c r="B3068" t="s">
        <v>494</v>
      </c>
      <c r="C3068">
        <v>79950280</v>
      </c>
      <c r="D3068">
        <v>64</v>
      </c>
      <c r="E3068">
        <v>30858548</v>
      </c>
      <c r="F3068" t="s">
        <v>1366</v>
      </c>
      <c r="G3068" s="1">
        <v>45237</v>
      </c>
      <c r="H3068">
        <v>5414517</v>
      </c>
      <c r="I3068">
        <v>272</v>
      </c>
      <c r="J3068" t="s">
        <v>398</v>
      </c>
      <c r="K3068" t="str">
        <f>IFERROR(IF(AND(VLOOKUP($C3068,Hes!$A:$B, 1, FALSE), $M3068&lt;&gt;" "), "Ingresada", "Falta Ingresar"), " ")</f>
        <v xml:space="preserve"> </v>
      </c>
      <c r="L3068" s="4" t="str">
        <f>IFERROR(VLOOKUP($C3068,Observaciones!$A:$B,2,FALSE)," ")</f>
        <v xml:space="preserve"> </v>
      </c>
      <c r="M3068" t="s">
        <v>681</v>
      </c>
      <c r="O3068" s="5">
        <v>30858548</v>
      </c>
      <c r="P3068" s="5">
        <v>55891</v>
      </c>
      <c r="Q3068" s="5">
        <v>10619</v>
      </c>
      <c r="R3068" s="5">
        <v>66510</v>
      </c>
    </row>
    <row r="3069" spans="1:18" x14ac:dyDescent="0.25">
      <c r="A3069" t="s">
        <v>501</v>
      </c>
      <c r="B3069" t="s">
        <v>494</v>
      </c>
      <c r="C3069">
        <v>79950280</v>
      </c>
      <c r="D3069">
        <v>117</v>
      </c>
      <c r="E3069">
        <v>30858511</v>
      </c>
      <c r="F3069" t="s">
        <v>1366</v>
      </c>
      <c r="G3069" s="1">
        <v>45238</v>
      </c>
      <c r="H3069">
        <v>5414530</v>
      </c>
      <c r="I3069">
        <v>272</v>
      </c>
      <c r="J3069" t="s">
        <v>398</v>
      </c>
      <c r="K3069" t="str">
        <f>IFERROR(IF(AND(VLOOKUP($C3069,Hes!$A:$B, 1, FALSE), $M3069&lt;&gt;" "), "Ingresada", "Falta Ingresar"), " ")</f>
        <v xml:space="preserve"> </v>
      </c>
      <c r="L3069" s="4" t="str">
        <f>IFERROR(VLOOKUP($C3069,Observaciones!$A:$B,2,FALSE)," ")</f>
        <v xml:space="preserve"> </v>
      </c>
      <c r="M3069" t="s">
        <v>681</v>
      </c>
      <c r="O3069" s="5">
        <v>30858511</v>
      </c>
      <c r="P3069" s="5">
        <v>49954</v>
      </c>
      <c r="Q3069" s="5">
        <v>9491</v>
      </c>
      <c r="R3069" s="5">
        <v>59445</v>
      </c>
    </row>
    <row r="3070" spans="1:18" x14ac:dyDescent="0.25">
      <c r="A3070" t="s">
        <v>501</v>
      </c>
      <c r="B3070" t="s">
        <v>494</v>
      </c>
      <c r="C3070">
        <v>79950280</v>
      </c>
      <c r="D3070">
        <v>69</v>
      </c>
      <c r="E3070">
        <v>30858644</v>
      </c>
      <c r="F3070" t="s">
        <v>1366</v>
      </c>
      <c r="G3070" s="1">
        <v>45238</v>
      </c>
      <c r="H3070">
        <v>5414534</v>
      </c>
      <c r="I3070">
        <v>272</v>
      </c>
      <c r="J3070" t="s">
        <v>398</v>
      </c>
      <c r="K3070" t="str">
        <f>IFERROR(IF(AND(VLOOKUP($C3070,Hes!$A:$B, 1, FALSE), $M3070&lt;&gt;" "), "Ingresada", "Falta Ingresar"), " ")</f>
        <v xml:space="preserve"> </v>
      </c>
      <c r="L3070" s="4" t="str">
        <f>IFERROR(VLOOKUP($C3070,Observaciones!$A:$B,2,FALSE)," ")</f>
        <v xml:space="preserve"> </v>
      </c>
      <c r="M3070" t="s">
        <v>681</v>
      </c>
      <c r="O3070" s="5">
        <v>30858644</v>
      </c>
      <c r="P3070" s="5">
        <v>63783</v>
      </c>
      <c r="Q3070" s="5">
        <v>12119</v>
      </c>
      <c r="R3070" s="5">
        <v>75902</v>
      </c>
    </row>
    <row r="3071" spans="1:18" x14ac:dyDescent="0.25">
      <c r="A3071" t="s">
        <v>501</v>
      </c>
      <c r="B3071" t="s">
        <v>494</v>
      </c>
      <c r="C3071">
        <v>79950280</v>
      </c>
      <c r="D3071">
        <v>6</v>
      </c>
      <c r="E3071">
        <v>30858593</v>
      </c>
      <c r="F3071" t="s">
        <v>1366</v>
      </c>
      <c r="G3071" s="1">
        <v>45238</v>
      </c>
      <c r="H3071">
        <v>5414543</v>
      </c>
      <c r="I3071">
        <v>272</v>
      </c>
      <c r="J3071" t="s">
        <v>398</v>
      </c>
      <c r="K3071" t="str">
        <f>IFERROR(IF(AND(VLOOKUP($C3071,Hes!$A:$B, 1, FALSE), $M3071&lt;&gt;" "), "Ingresada", "Falta Ingresar"), " ")</f>
        <v xml:space="preserve"> </v>
      </c>
      <c r="L3071" s="4" t="str">
        <f>IFERROR(VLOOKUP($C3071,Observaciones!$A:$B,2,FALSE)," ")</f>
        <v xml:space="preserve"> </v>
      </c>
      <c r="M3071" t="s">
        <v>681</v>
      </c>
      <c r="O3071" s="5">
        <v>30858593</v>
      </c>
      <c r="P3071" s="5">
        <v>55115</v>
      </c>
      <c r="Q3071" s="5">
        <v>10472</v>
      </c>
      <c r="R3071" s="5">
        <v>65587</v>
      </c>
    </row>
    <row r="3072" spans="1:18" x14ac:dyDescent="0.25">
      <c r="A3072" t="s">
        <v>501</v>
      </c>
      <c r="B3072" t="s">
        <v>494</v>
      </c>
      <c r="C3072">
        <v>79950280</v>
      </c>
      <c r="D3072">
        <v>15</v>
      </c>
      <c r="E3072">
        <v>30858710</v>
      </c>
      <c r="F3072" t="s">
        <v>1366</v>
      </c>
      <c r="G3072" s="1">
        <v>45238</v>
      </c>
      <c r="H3072">
        <v>5414609</v>
      </c>
      <c r="I3072">
        <v>272</v>
      </c>
      <c r="J3072" t="s">
        <v>398</v>
      </c>
      <c r="K3072" t="str">
        <f>IFERROR(IF(AND(VLOOKUP($C3072,Hes!$A:$B, 1, FALSE), $M3072&lt;&gt;" "), "Ingresada", "Falta Ingresar"), " ")</f>
        <v xml:space="preserve"> </v>
      </c>
      <c r="L3072" s="4" t="str">
        <f>IFERROR(VLOOKUP($C3072,Observaciones!$A:$B,2,FALSE)," ")</f>
        <v xml:space="preserve"> </v>
      </c>
      <c r="M3072" t="s">
        <v>681</v>
      </c>
      <c r="O3072" s="5">
        <v>30858710</v>
      </c>
      <c r="P3072" s="5">
        <v>50032</v>
      </c>
      <c r="Q3072" s="5">
        <v>9506</v>
      </c>
      <c r="R3072" s="5">
        <v>59538</v>
      </c>
    </row>
    <row r="3073" spans="1:18" x14ac:dyDescent="0.25">
      <c r="A3073" t="s">
        <v>501</v>
      </c>
      <c r="B3073" t="s">
        <v>494</v>
      </c>
      <c r="C3073">
        <v>79950280</v>
      </c>
      <c r="D3073">
        <v>40</v>
      </c>
      <c r="E3073">
        <v>30858527</v>
      </c>
      <c r="F3073" t="s">
        <v>1366</v>
      </c>
      <c r="G3073" s="1">
        <v>45238</v>
      </c>
      <c r="H3073">
        <v>5414656</v>
      </c>
      <c r="I3073">
        <v>272</v>
      </c>
      <c r="J3073" t="s">
        <v>398</v>
      </c>
      <c r="K3073" t="str">
        <f>IFERROR(IF(AND(VLOOKUP($C3073,Hes!$A:$B, 1, FALSE), $M3073&lt;&gt;" "), "Ingresada", "Falta Ingresar"), " ")</f>
        <v xml:space="preserve"> </v>
      </c>
      <c r="L3073" s="4" t="str">
        <f>IFERROR(VLOOKUP($C3073,Observaciones!$A:$B,2,FALSE)," ")</f>
        <v xml:space="preserve"> </v>
      </c>
      <c r="M3073" t="s">
        <v>681</v>
      </c>
      <c r="O3073" s="5">
        <v>30858527</v>
      </c>
      <c r="P3073" s="5">
        <v>58649</v>
      </c>
      <c r="Q3073" s="5">
        <v>11143</v>
      </c>
      <c r="R3073" s="5">
        <v>69792</v>
      </c>
    </row>
    <row r="3074" spans="1:18" x14ac:dyDescent="0.25">
      <c r="A3074" t="s">
        <v>501</v>
      </c>
      <c r="B3074" t="s">
        <v>494</v>
      </c>
      <c r="C3074">
        <v>79950280</v>
      </c>
      <c r="D3074">
        <v>5</v>
      </c>
      <c r="E3074">
        <v>30858629</v>
      </c>
      <c r="F3074" t="s">
        <v>1366</v>
      </c>
      <c r="G3074" s="1">
        <v>45238</v>
      </c>
      <c r="H3074">
        <v>5414716</v>
      </c>
      <c r="I3074">
        <v>272</v>
      </c>
      <c r="J3074" t="s">
        <v>398</v>
      </c>
      <c r="K3074" t="str">
        <f>IFERROR(IF(AND(VLOOKUP($C3074,Hes!$A:$B, 1, FALSE), $M3074&lt;&gt;" "), "Ingresada", "Falta Ingresar"), " ")</f>
        <v xml:space="preserve"> </v>
      </c>
      <c r="L3074" s="4" t="str">
        <f>IFERROR(VLOOKUP($C3074,Observaciones!$A:$B,2,FALSE)," ")</f>
        <v xml:space="preserve"> </v>
      </c>
      <c r="M3074" t="s">
        <v>681</v>
      </c>
      <c r="O3074" s="5">
        <v>30858629</v>
      </c>
      <c r="P3074" s="5">
        <v>59918</v>
      </c>
      <c r="Q3074" s="5">
        <v>11384</v>
      </c>
      <c r="R3074" s="5">
        <v>71302</v>
      </c>
    </row>
    <row r="3075" spans="1:18" x14ac:dyDescent="0.25">
      <c r="A3075" t="s">
        <v>501</v>
      </c>
      <c r="B3075" t="s">
        <v>494</v>
      </c>
      <c r="C3075">
        <v>79950280</v>
      </c>
      <c r="D3075">
        <v>11</v>
      </c>
      <c r="E3075">
        <v>30858919</v>
      </c>
      <c r="F3075" t="s">
        <v>1366</v>
      </c>
      <c r="G3075" s="1">
        <v>45237</v>
      </c>
      <c r="H3075">
        <v>5414737</v>
      </c>
      <c r="I3075">
        <v>272</v>
      </c>
      <c r="J3075" t="s">
        <v>398</v>
      </c>
      <c r="K3075" t="str">
        <f>IFERROR(IF(AND(VLOOKUP($C3075,Hes!$A:$B, 1, FALSE), $M3075&lt;&gt;" "), "Ingresada", "Falta Ingresar"), " ")</f>
        <v xml:space="preserve"> </v>
      </c>
      <c r="L3075" s="4" t="str">
        <f>IFERROR(VLOOKUP($C3075,Observaciones!$A:$B,2,FALSE)," ")</f>
        <v xml:space="preserve"> </v>
      </c>
      <c r="M3075" t="s">
        <v>681</v>
      </c>
      <c r="O3075" s="5">
        <v>30858919</v>
      </c>
      <c r="P3075" s="5">
        <v>58957</v>
      </c>
      <c r="Q3075" s="5">
        <v>11202</v>
      </c>
      <c r="R3075" s="5">
        <v>70159</v>
      </c>
    </row>
    <row r="3076" spans="1:18" x14ac:dyDescent="0.25">
      <c r="A3076" t="s">
        <v>501</v>
      </c>
      <c r="B3076" t="s">
        <v>494</v>
      </c>
      <c r="C3076">
        <v>79950280</v>
      </c>
      <c r="D3076">
        <v>144</v>
      </c>
      <c r="E3076">
        <v>30858682</v>
      </c>
      <c r="F3076" t="s">
        <v>1366</v>
      </c>
      <c r="G3076" s="1">
        <v>45237</v>
      </c>
      <c r="H3076">
        <v>5414738</v>
      </c>
      <c r="I3076">
        <v>272</v>
      </c>
      <c r="J3076" t="s">
        <v>398</v>
      </c>
      <c r="K3076" t="str">
        <f>IFERROR(IF(AND(VLOOKUP($C3076,Hes!$A:$B, 1, FALSE), $M3076&lt;&gt;" "), "Ingresada", "Falta Ingresar"), " ")</f>
        <v xml:space="preserve"> </v>
      </c>
      <c r="L3076" s="4" t="str">
        <f>IFERROR(VLOOKUP($C3076,Observaciones!$A:$B,2,FALSE)," ")</f>
        <v xml:space="preserve"> </v>
      </c>
      <c r="M3076" t="s">
        <v>681</v>
      </c>
      <c r="O3076" s="5">
        <v>30858682</v>
      </c>
      <c r="P3076" s="5">
        <v>62132</v>
      </c>
      <c r="Q3076" s="5">
        <v>11805</v>
      </c>
      <c r="R3076" s="5">
        <v>73937</v>
      </c>
    </row>
    <row r="3077" spans="1:18" x14ac:dyDescent="0.25">
      <c r="A3077" t="s">
        <v>501</v>
      </c>
      <c r="B3077" t="s">
        <v>494</v>
      </c>
      <c r="C3077">
        <v>79950280</v>
      </c>
      <c r="D3077">
        <v>91</v>
      </c>
      <c r="E3077">
        <v>30858607</v>
      </c>
      <c r="F3077" t="s">
        <v>1366</v>
      </c>
      <c r="G3077" s="1">
        <v>45238</v>
      </c>
      <c r="H3077">
        <v>5414825</v>
      </c>
      <c r="I3077">
        <v>272</v>
      </c>
      <c r="J3077" t="s">
        <v>398</v>
      </c>
      <c r="K3077" t="str">
        <f>IFERROR(IF(AND(VLOOKUP($C3077,Hes!$A:$B, 1, FALSE), $M3077&lt;&gt;" "), "Ingresada", "Falta Ingresar"), " ")</f>
        <v xml:space="preserve"> </v>
      </c>
      <c r="L3077" s="4" t="str">
        <f>IFERROR(VLOOKUP($C3077,Observaciones!$A:$B,2,FALSE)," ")</f>
        <v xml:space="preserve"> </v>
      </c>
      <c r="M3077" t="s">
        <v>681</v>
      </c>
      <c r="O3077" s="5">
        <v>30858607</v>
      </c>
      <c r="P3077" s="5">
        <v>58741</v>
      </c>
      <c r="Q3077" s="5">
        <v>11161</v>
      </c>
      <c r="R3077" s="5">
        <v>69902</v>
      </c>
    </row>
    <row r="3078" spans="1:18" x14ac:dyDescent="0.25">
      <c r="A3078" t="s">
        <v>501</v>
      </c>
      <c r="B3078" t="s">
        <v>494</v>
      </c>
      <c r="C3078">
        <v>79950280</v>
      </c>
      <c r="D3078">
        <v>85</v>
      </c>
      <c r="E3078">
        <v>30858601</v>
      </c>
      <c r="F3078" t="s">
        <v>1366</v>
      </c>
      <c r="G3078" s="1">
        <v>45238</v>
      </c>
      <c r="H3078">
        <v>5414834</v>
      </c>
      <c r="I3078">
        <v>272</v>
      </c>
      <c r="J3078" t="s">
        <v>398</v>
      </c>
      <c r="K3078" t="str">
        <f>IFERROR(IF(AND(VLOOKUP($C3078,Hes!$A:$B, 1, FALSE), $M3078&lt;&gt;" "), "Ingresada", "Falta Ingresar"), " ")</f>
        <v xml:space="preserve"> </v>
      </c>
      <c r="L3078" s="4" t="str">
        <f>IFERROR(VLOOKUP($C3078,Observaciones!$A:$B,2,FALSE)," ")</f>
        <v xml:space="preserve"> </v>
      </c>
      <c r="M3078" t="s">
        <v>681</v>
      </c>
      <c r="O3078" s="5">
        <v>30858601</v>
      </c>
      <c r="P3078" s="5">
        <v>65949</v>
      </c>
      <c r="Q3078" s="5">
        <v>12530</v>
      </c>
      <c r="R3078" s="5">
        <v>78479</v>
      </c>
    </row>
    <row r="3079" spans="1:18" x14ac:dyDescent="0.25">
      <c r="A3079" t="s">
        <v>501</v>
      </c>
      <c r="B3079" t="s">
        <v>494</v>
      </c>
      <c r="C3079">
        <v>79950280</v>
      </c>
      <c r="D3079">
        <v>118</v>
      </c>
      <c r="E3079">
        <v>30858510</v>
      </c>
      <c r="F3079" t="s">
        <v>1366</v>
      </c>
      <c r="G3079" s="1">
        <v>45238</v>
      </c>
      <c r="H3079">
        <v>5414887</v>
      </c>
      <c r="I3079">
        <v>272</v>
      </c>
      <c r="J3079" t="s">
        <v>398</v>
      </c>
      <c r="K3079" t="str">
        <f>IFERROR(IF(AND(VLOOKUP($C3079,Hes!$A:$B, 1, FALSE), $M3079&lt;&gt;" "), "Ingresada", "Falta Ingresar"), " ")</f>
        <v xml:space="preserve"> </v>
      </c>
      <c r="L3079" s="4" t="str">
        <f>IFERROR(VLOOKUP($C3079,Observaciones!$A:$B,2,FALSE)," ")</f>
        <v xml:space="preserve"> </v>
      </c>
      <c r="M3079" t="s">
        <v>681</v>
      </c>
      <c r="O3079" s="5">
        <v>30858510</v>
      </c>
      <c r="P3079" s="5">
        <v>48819</v>
      </c>
      <c r="Q3079" s="5">
        <v>9276</v>
      </c>
      <c r="R3079" s="5">
        <v>58095</v>
      </c>
    </row>
    <row r="3080" spans="1:18" x14ac:dyDescent="0.25">
      <c r="A3080" t="s">
        <v>501</v>
      </c>
      <c r="B3080" t="s">
        <v>494</v>
      </c>
      <c r="C3080">
        <v>79950280</v>
      </c>
      <c r="D3080">
        <v>34</v>
      </c>
      <c r="E3080">
        <v>30859030</v>
      </c>
      <c r="F3080" t="s">
        <v>1366</v>
      </c>
      <c r="G3080" s="1">
        <v>45238</v>
      </c>
      <c r="H3080">
        <v>5414929</v>
      </c>
      <c r="I3080">
        <v>272</v>
      </c>
      <c r="J3080" t="s">
        <v>398</v>
      </c>
      <c r="K3080" t="str">
        <f>IFERROR(IF(AND(VLOOKUP($C3080,Hes!$A:$B, 1, FALSE), $M3080&lt;&gt;" "), "Ingresada", "Falta Ingresar"), " ")</f>
        <v xml:space="preserve"> </v>
      </c>
      <c r="L3080" s="4" t="str">
        <f>IFERROR(VLOOKUP($C3080,Observaciones!$A:$B,2,FALSE)," ")</f>
        <v xml:space="preserve"> </v>
      </c>
      <c r="M3080" t="s">
        <v>681</v>
      </c>
      <c r="O3080" s="5">
        <v>30859030</v>
      </c>
      <c r="P3080" s="5">
        <v>60603</v>
      </c>
      <c r="Q3080" s="5">
        <v>11515</v>
      </c>
      <c r="R3080" s="5">
        <v>72118</v>
      </c>
    </row>
    <row r="3081" spans="1:18" x14ac:dyDescent="0.25">
      <c r="A3081" t="s">
        <v>501</v>
      </c>
      <c r="B3081" t="s">
        <v>494</v>
      </c>
      <c r="C3081">
        <v>79950280</v>
      </c>
      <c r="D3081">
        <v>97</v>
      </c>
      <c r="E3081">
        <v>30858519</v>
      </c>
      <c r="F3081" t="s">
        <v>1366</v>
      </c>
      <c r="G3081" s="1">
        <v>45238</v>
      </c>
      <c r="H3081">
        <v>5414933</v>
      </c>
      <c r="I3081">
        <v>272</v>
      </c>
      <c r="J3081" t="s">
        <v>398</v>
      </c>
      <c r="K3081" t="str">
        <f>IFERROR(IF(AND(VLOOKUP($C3081,Hes!$A:$B, 1, FALSE), $M3081&lt;&gt;" "), "Ingresada", "Falta Ingresar"), " ")</f>
        <v xml:space="preserve"> </v>
      </c>
      <c r="L3081" s="4" t="str">
        <f>IFERROR(VLOOKUP($C3081,Observaciones!$A:$B,2,FALSE)," ")</f>
        <v xml:space="preserve"> </v>
      </c>
      <c r="M3081" t="s">
        <v>681</v>
      </c>
      <c r="O3081" s="5">
        <v>30858519</v>
      </c>
      <c r="P3081" s="5">
        <v>59803</v>
      </c>
      <c r="Q3081" s="5">
        <v>11363</v>
      </c>
      <c r="R3081" s="5">
        <v>71166</v>
      </c>
    </row>
    <row r="3082" spans="1:18" x14ac:dyDescent="0.25">
      <c r="A3082" t="s">
        <v>501</v>
      </c>
      <c r="B3082" t="s">
        <v>494</v>
      </c>
      <c r="C3082">
        <v>79950280</v>
      </c>
      <c r="D3082">
        <v>62</v>
      </c>
      <c r="E3082">
        <v>30858672</v>
      </c>
      <c r="F3082" t="s">
        <v>1366</v>
      </c>
      <c r="G3082" s="1">
        <v>45238</v>
      </c>
      <c r="H3082">
        <v>5415014</v>
      </c>
      <c r="I3082">
        <v>272</v>
      </c>
      <c r="J3082" t="s">
        <v>398</v>
      </c>
      <c r="K3082" t="str">
        <f>IFERROR(IF(AND(VLOOKUP($C3082,Hes!$A:$B, 1, FALSE), $M3082&lt;&gt;" "), "Ingresada", "Falta Ingresar"), " ")</f>
        <v xml:space="preserve"> </v>
      </c>
      <c r="L3082" s="4" t="str">
        <f>IFERROR(VLOOKUP($C3082,Observaciones!$A:$B,2,FALSE)," ")</f>
        <v xml:space="preserve"> </v>
      </c>
      <c r="M3082" t="s">
        <v>681</v>
      </c>
      <c r="O3082" s="5">
        <v>30858672</v>
      </c>
      <c r="P3082" s="5">
        <v>63253</v>
      </c>
      <c r="Q3082" s="5">
        <v>12018</v>
      </c>
      <c r="R3082" s="5">
        <v>75271</v>
      </c>
    </row>
    <row r="3083" spans="1:18" x14ac:dyDescent="0.25">
      <c r="A3083" t="s">
        <v>501</v>
      </c>
      <c r="B3083" t="s">
        <v>494</v>
      </c>
      <c r="C3083">
        <v>79950280</v>
      </c>
      <c r="D3083">
        <v>17</v>
      </c>
      <c r="E3083">
        <v>30858930</v>
      </c>
      <c r="F3083" t="s">
        <v>1366</v>
      </c>
      <c r="G3083" s="1">
        <v>45238</v>
      </c>
      <c r="H3083">
        <v>5415048</v>
      </c>
      <c r="I3083">
        <v>272</v>
      </c>
      <c r="J3083" t="s">
        <v>398</v>
      </c>
      <c r="K3083" t="str">
        <f>IFERROR(IF(AND(VLOOKUP($C3083,Hes!$A:$B, 1, FALSE), $M3083&lt;&gt;" "), "Ingresada", "Falta Ingresar"), " ")</f>
        <v xml:space="preserve"> </v>
      </c>
      <c r="L3083" s="4" t="str">
        <f>IFERROR(VLOOKUP($C3083,Observaciones!$A:$B,2,FALSE)," ")</f>
        <v xml:space="preserve"> </v>
      </c>
      <c r="M3083" t="s">
        <v>681</v>
      </c>
      <c r="O3083" s="5">
        <v>30858930</v>
      </c>
      <c r="P3083" s="5">
        <v>55951</v>
      </c>
      <c r="Q3083" s="5">
        <v>10631</v>
      </c>
      <c r="R3083" s="5">
        <v>66582</v>
      </c>
    </row>
    <row r="3084" spans="1:18" x14ac:dyDescent="0.25">
      <c r="A3084" t="s">
        <v>501</v>
      </c>
      <c r="B3084" t="s">
        <v>494</v>
      </c>
      <c r="C3084">
        <v>79950280</v>
      </c>
      <c r="D3084">
        <v>30</v>
      </c>
      <c r="E3084">
        <v>30858521</v>
      </c>
      <c r="F3084" t="s">
        <v>1366</v>
      </c>
      <c r="G3084" s="1">
        <v>45237</v>
      </c>
      <c r="H3084">
        <v>5415269</v>
      </c>
      <c r="I3084">
        <v>272</v>
      </c>
      <c r="J3084" t="s">
        <v>398</v>
      </c>
      <c r="K3084" t="str">
        <f>IFERROR(IF(AND(VLOOKUP($C3084,Hes!$A:$B, 1, FALSE), $M3084&lt;&gt;" "), "Ingresada", "Falta Ingresar"), " ")</f>
        <v xml:space="preserve"> </v>
      </c>
      <c r="L3084" s="4" t="str">
        <f>IFERROR(VLOOKUP($C3084,Observaciones!$A:$B,2,FALSE)," ")</f>
        <v xml:space="preserve"> </v>
      </c>
      <c r="M3084" t="s">
        <v>681</v>
      </c>
      <c r="O3084" s="5">
        <v>30858521</v>
      </c>
      <c r="P3084" s="5">
        <v>79968</v>
      </c>
      <c r="Q3084" s="5">
        <v>15194</v>
      </c>
      <c r="R3084" s="5">
        <v>95162</v>
      </c>
    </row>
    <row r="3085" spans="1:18" x14ac:dyDescent="0.25">
      <c r="A3085" t="s">
        <v>501</v>
      </c>
      <c r="B3085" t="s">
        <v>494</v>
      </c>
      <c r="C3085">
        <v>79950280</v>
      </c>
      <c r="D3085">
        <v>115</v>
      </c>
      <c r="E3085">
        <v>30864327</v>
      </c>
      <c r="F3085" t="s">
        <v>1366</v>
      </c>
      <c r="G3085" s="1">
        <v>45237</v>
      </c>
      <c r="H3085">
        <v>5415285</v>
      </c>
      <c r="I3085">
        <v>272</v>
      </c>
      <c r="J3085" t="s">
        <v>398</v>
      </c>
      <c r="K3085" t="str">
        <f>IFERROR(IF(AND(VLOOKUP($C3085,Hes!$A:$B, 1, FALSE), $M3085&lt;&gt;" "), "Ingresada", "Falta Ingresar"), " ")</f>
        <v xml:space="preserve"> </v>
      </c>
      <c r="L3085" s="4" t="str">
        <f>IFERROR(VLOOKUP($C3085,Observaciones!$A:$B,2,FALSE)," ")</f>
        <v xml:space="preserve"> </v>
      </c>
      <c r="M3085" t="s">
        <v>681</v>
      </c>
      <c r="O3085" s="5">
        <v>30864327</v>
      </c>
      <c r="P3085" s="5">
        <v>46764</v>
      </c>
      <c r="Q3085" s="5">
        <v>8885</v>
      </c>
      <c r="R3085" s="5">
        <v>55649</v>
      </c>
    </row>
    <row r="3086" spans="1:18" x14ac:dyDescent="0.25">
      <c r="A3086" t="s">
        <v>501</v>
      </c>
      <c r="B3086" t="s">
        <v>494</v>
      </c>
      <c r="C3086">
        <v>79950280</v>
      </c>
      <c r="D3086">
        <v>20</v>
      </c>
      <c r="E3086">
        <v>30864080</v>
      </c>
      <c r="F3086" t="s">
        <v>1366</v>
      </c>
      <c r="G3086" s="1">
        <v>45238</v>
      </c>
      <c r="H3086">
        <v>5415363</v>
      </c>
      <c r="I3086">
        <v>272</v>
      </c>
      <c r="J3086" t="s">
        <v>398</v>
      </c>
      <c r="K3086" t="str">
        <f>IFERROR(IF(AND(VLOOKUP($C3086,Hes!$A:$B, 1, FALSE), $M3086&lt;&gt;" "), "Ingresada", "Falta Ingresar"), " ")</f>
        <v xml:space="preserve"> </v>
      </c>
      <c r="L3086" s="4" t="str">
        <f>IFERROR(VLOOKUP($C3086,Observaciones!$A:$B,2,FALSE)," ")</f>
        <v xml:space="preserve"> </v>
      </c>
      <c r="M3086" t="s">
        <v>681</v>
      </c>
      <c r="O3086" s="5">
        <v>30864080</v>
      </c>
      <c r="P3086" s="5">
        <v>63817</v>
      </c>
      <c r="Q3086" s="5">
        <v>12125</v>
      </c>
      <c r="R3086" s="5">
        <v>75942</v>
      </c>
    </row>
    <row r="3087" spans="1:18" x14ac:dyDescent="0.25">
      <c r="A3087" t="s">
        <v>501</v>
      </c>
      <c r="B3087" t="s">
        <v>494</v>
      </c>
      <c r="C3087">
        <v>79950280</v>
      </c>
      <c r="D3087">
        <v>121</v>
      </c>
      <c r="E3087">
        <v>30864102</v>
      </c>
      <c r="F3087" t="s">
        <v>1366</v>
      </c>
      <c r="G3087" s="1">
        <v>45238</v>
      </c>
      <c r="H3087">
        <v>5415366</v>
      </c>
      <c r="I3087">
        <v>272</v>
      </c>
      <c r="J3087" t="s">
        <v>398</v>
      </c>
      <c r="K3087" t="str">
        <f>IFERROR(IF(AND(VLOOKUP($C3087,Hes!$A:$B, 1, FALSE), $M3087&lt;&gt;" "), "Ingresada", "Falta Ingresar"), " ")</f>
        <v xml:space="preserve"> </v>
      </c>
      <c r="L3087" s="4" t="str">
        <f>IFERROR(VLOOKUP($C3087,Observaciones!$A:$B,2,FALSE)," ")</f>
        <v xml:space="preserve"> </v>
      </c>
      <c r="M3087" t="s">
        <v>681</v>
      </c>
      <c r="O3087" s="5">
        <v>30864102</v>
      </c>
      <c r="P3087" s="5">
        <v>32807</v>
      </c>
      <c r="Q3087" s="5">
        <v>6233</v>
      </c>
      <c r="R3087" s="5">
        <v>39040</v>
      </c>
    </row>
    <row r="3088" spans="1:18" x14ac:dyDescent="0.25">
      <c r="A3088" t="s">
        <v>501</v>
      </c>
      <c r="B3088" t="s">
        <v>494</v>
      </c>
      <c r="C3088">
        <v>79950280</v>
      </c>
      <c r="D3088">
        <v>84</v>
      </c>
      <c r="E3088">
        <v>30864124</v>
      </c>
      <c r="F3088" t="s">
        <v>1366</v>
      </c>
      <c r="G3088" s="1">
        <v>45238</v>
      </c>
      <c r="H3088">
        <v>5415384</v>
      </c>
      <c r="I3088">
        <v>272</v>
      </c>
      <c r="J3088" t="s">
        <v>398</v>
      </c>
      <c r="K3088" t="str">
        <f>IFERROR(IF(AND(VLOOKUP($C3088,Hes!$A:$B, 1, FALSE), $M3088&lt;&gt;" "), "Ingresada", "Falta Ingresar"), " ")</f>
        <v xml:space="preserve"> </v>
      </c>
      <c r="L3088" s="4" t="str">
        <f>IFERROR(VLOOKUP($C3088,Observaciones!$A:$B,2,FALSE)," ")</f>
        <v xml:space="preserve"> </v>
      </c>
      <c r="M3088" t="s">
        <v>681</v>
      </c>
      <c r="O3088" s="5">
        <v>30864124</v>
      </c>
      <c r="P3088" s="5">
        <v>64598</v>
      </c>
      <c r="Q3088" s="5">
        <v>12274</v>
      </c>
      <c r="R3088" s="5">
        <v>76872</v>
      </c>
    </row>
    <row r="3089" spans="1:18" x14ac:dyDescent="0.25">
      <c r="F3089" t="s">
        <v>1367</v>
      </c>
      <c r="K3089" t="str">
        <f>IFERROR(IF(AND(VLOOKUP($C3089,Hes!$A:$B, 1, FALSE), $M3089&lt;&gt;" "), "Ingresada", "Falta Ingresar"), " ")</f>
        <v xml:space="preserve"> </v>
      </c>
      <c r="L3089" s="4" t="str">
        <f>IFERROR(VLOOKUP($C3089,Observaciones!$A:$B,2,FALSE)," ")</f>
        <v xml:space="preserve"> </v>
      </c>
      <c r="M3089" t="s">
        <v>681</v>
      </c>
      <c r="P3089" s="5">
        <v>3842622</v>
      </c>
      <c r="Q3089" s="5">
        <v>730097</v>
      </c>
      <c r="R3089" s="5">
        <v>4572719</v>
      </c>
    </row>
    <row r="3090" spans="1:18" x14ac:dyDescent="0.25">
      <c r="A3090" t="s">
        <v>522</v>
      </c>
      <c r="B3090" t="s">
        <v>494</v>
      </c>
      <c r="C3090">
        <v>79953050</v>
      </c>
      <c r="D3090">
        <v>157</v>
      </c>
      <c r="E3090">
        <v>30852888</v>
      </c>
      <c r="F3090" t="s">
        <v>1368</v>
      </c>
      <c r="G3090" s="1">
        <v>45236</v>
      </c>
      <c r="H3090">
        <v>5412264</v>
      </c>
      <c r="I3090">
        <v>420</v>
      </c>
      <c r="J3090" t="s">
        <v>265</v>
      </c>
      <c r="K3090" t="str">
        <f>IFERROR(IF(AND(VLOOKUP($C3090,Hes!$A:$B, 1, FALSE), $M3090&lt;&gt;" "), "Ingresada", "Falta Ingresar"), " ")</f>
        <v xml:space="preserve"> </v>
      </c>
      <c r="L3090" s="4" t="s">
        <v>681</v>
      </c>
      <c r="M3090" t="s">
        <v>681</v>
      </c>
      <c r="O3090" s="5">
        <v>30852888</v>
      </c>
      <c r="P3090" s="5">
        <v>44900</v>
      </c>
      <c r="Q3090" s="5">
        <v>8531</v>
      </c>
      <c r="R3090" s="5">
        <v>53431</v>
      </c>
    </row>
    <row r="3091" spans="1:18" x14ac:dyDescent="0.25">
      <c r="A3091" t="s">
        <v>522</v>
      </c>
      <c r="B3091" t="s">
        <v>494</v>
      </c>
      <c r="C3091">
        <v>79953050</v>
      </c>
      <c r="D3091">
        <v>99</v>
      </c>
      <c r="E3091">
        <v>30850154</v>
      </c>
      <c r="F3091" t="s">
        <v>1368</v>
      </c>
      <c r="G3091" s="1">
        <v>45236</v>
      </c>
      <c r="H3091">
        <v>5413230</v>
      </c>
      <c r="I3091">
        <v>420</v>
      </c>
      <c r="J3091" t="s">
        <v>265</v>
      </c>
      <c r="K3091" t="str">
        <f>IFERROR(IF(AND(VLOOKUP($C3091,Hes!$A:$B, 1, FALSE), $M3091&lt;&gt;" "), "Ingresada", "Falta Ingresar"), " ")</f>
        <v xml:space="preserve"> </v>
      </c>
      <c r="L3091" s="4" t="s">
        <v>681</v>
      </c>
      <c r="M3091" t="s">
        <v>681</v>
      </c>
      <c r="O3091" s="5">
        <v>30850154</v>
      </c>
      <c r="P3091" s="5">
        <v>22773</v>
      </c>
      <c r="Q3091" s="5">
        <v>4327</v>
      </c>
      <c r="R3091" s="5">
        <v>27100</v>
      </c>
    </row>
    <row r="3092" spans="1:18" x14ac:dyDescent="0.25">
      <c r="A3092" t="s">
        <v>522</v>
      </c>
      <c r="B3092" t="s">
        <v>494</v>
      </c>
      <c r="C3092">
        <v>79953050</v>
      </c>
      <c r="D3092">
        <v>38</v>
      </c>
      <c r="E3092">
        <v>30859508</v>
      </c>
      <c r="F3092" t="s">
        <v>1368</v>
      </c>
      <c r="G3092" s="1">
        <v>45237</v>
      </c>
      <c r="H3092">
        <v>5414206</v>
      </c>
      <c r="I3092">
        <v>420</v>
      </c>
      <c r="J3092" t="s">
        <v>265</v>
      </c>
      <c r="K3092" t="str">
        <f>IFERROR(IF(AND(VLOOKUP($C3092,Hes!$A:$B, 1, FALSE), $M3092&lt;&gt;" "), "Ingresada", "Falta Ingresar"), " ")</f>
        <v xml:space="preserve"> </v>
      </c>
      <c r="L3092" s="4" t="s">
        <v>681</v>
      </c>
      <c r="M3092" t="s">
        <v>681</v>
      </c>
      <c r="O3092" s="5">
        <v>30859508</v>
      </c>
      <c r="P3092" s="5">
        <v>75146</v>
      </c>
      <c r="Q3092" s="5">
        <v>14278</v>
      </c>
      <c r="R3092" s="5">
        <v>90049</v>
      </c>
    </row>
    <row r="3093" spans="1:18" x14ac:dyDescent="0.25">
      <c r="A3093" t="s">
        <v>522</v>
      </c>
      <c r="B3093" t="s">
        <v>494</v>
      </c>
      <c r="C3093">
        <v>79953050</v>
      </c>
      <c r="D3093">
        <v>193</v>
      </c>
      <c r="E3093">
        <v>30861907</v>
      </c>
      <c r="F3093" t="s">
        <v>1368</v>
      </c>
      <c r="G3093" s="1">
        <v>45237</v>
      </c>
      <c r="H3093">
        <v>5414475</v>
      </c>
      <c r="I3093">
        <v>420</v>
      </c>
      <c r="J3093" t="s">
        <v>265</v>
      </c>
      <c r="K3093" t="str">
        <f>IFERROR(IF(AND(VLOOKUP($C3093,Hes!$A:$B, 1, FALSE), $M3093&lt;&gt;" "), "Ingresada", "Falta Ingresar"), " ")</f>
        <v xml:space="preserve"> </v>
      </c>
      <c r="L3093" s="4" t="s">
        <v>681</v>
      </c>
      <c r="M3093" t="s">
        <v>681</v>
      </c>
      <c r="O3093" s="5">
        <v>30861907</v>
      </c>
      <c r="P3093" s="5">
        <v>35659</v>
      </c>
      <c r="Q3093" s="5">
        <v>6775</v>
      </c>
      <c r="R3093" s="5">
        <v>42434</v>
      </c>
    </row>
    <row r="3094" spans="1:18" x14ac:dyDescent="0.25">
      <c r="A3094" t="s">
        <v>522</v>
      </c>
      <c r="B3094" t="s">
        <v>494</v>
      </c>
      <c r="C3094">
        <v>79953050</v>
      </c>
      <c r="D3094">
        <v>174</v>
      </c>
      <c r="E3094">
        <v>30865068</v>
      </c>
      <c r="F3094" t="s">
        <v>1368</v>
      </c>
      <c r="G3094" s="1">
        <v>45238</v>
      </c>
      <c r="H3094">
        <v>5415697</v>
      </c>
      <c r="I3094">
        <v>420</v>
      </c>
      <c r="J3094" t="s">
        <v>265</v>
      </c>
      <c r="K3094" t="str">
        <f>IFERROR(IF(AND(VLOOKUP($C3094,Hes!$A:$B, 1, FALSE), $M3094&lt;&gt;" "), "Ingresada", "Falta Ingresar"), " ")</f>
        <v xml:space="preserve"> </v>
      </c>
      <c r="L3094" s="4" t="s">
        <v>681</v>
      </c>
      <c r="M3094" t="s">
        <v>681</v>
      </c>
      <c r="O3094" s="5">
        <v>30865068</v>
      </c>
      <c r="P3094" s="5">
        <v>70327</v>
      </c>
      <c r="Q3094" s="5">
        <v>13362</v>
      </c>
      <c r="R3094" s="5">
        <v>83689</v>
      </c>
    </row>
    <row r="3095" spans="1:18" x14ac:dyDescent="0.25">
      <c r="F3095" t="s">
        <v>499</v>
      </c>
      <c r="K3095" t="str">
        <f>IFERROR(IF(AND(VLOOKUP($C3095,Hes!$A:$B, 1, FALSE), $M3095&lt;&gt;" "), "Ingresada", "Falta Ingresar"), " ")</f>
        <v xml:space="preserve"> </v>
      </c>
      <c r="L3095" s="4" t="str">
        <f>IFERROR(VLOOKUP($C3095,Observaciones!$A:$B,2,FALSE)," ")</f>
        <v xml:space="preserve"> </v>
      </c>
      <c r="M3095" t="s">
        <v>681</v>
      </c>
      <c r="P3095" s="5">
        <v>248805</v>
      </c>
      <c r="Q3095" s="5">
        <v>47273</v>
      </c>
      <c r="R3095" s="5">
        <v>296703</v>
      </c>
    </row>
    <row r="3096" spans="1:18" x14ac:dyDescent="0.25">
      <c r="A3096" t="s">
        <v>496</v>
      </c>
      <c r="B3096" t="s">
        <v>509</v>
      </c>
      <c r="C3096">
        <v>79963260</v>
      </c>
      <c r="D3096">
        <v>0</v>
      </c>
      <c r="E3096" t="s">
        <v>1369</v>
      </c>
      <c r="F3096" t="s">
        <v>1370</v>
      </c>
      <c r="G3096" s="1">
        <v>45237</v>
      </c>
      <c r="H3096">
        <v>5414167</v>
      </c>
      <c r="I3096">
        <v>108</v>
      </c>
      <c r="J3096" t="s">
        <v>196</v>
      </c>
      <c r="K3096" t="str">
        <f>IFERROR(IF(AND(VLOOKUP($C3096,Hes!$A:$B, 1, FALSE), $M3096&lt;&gt;" "), "Ingresada", "Falta Ingresar"), " ")</f>
        <v xml:space="preserve"> </v>
      </c>
      <c r="L3096" s="4" t="str">
        <f>IFERROR(VLOOKUP($C3096,Observaciones!$A:$B,2,FALSE)," ")</f>
        <v>XOC Y CC</v>
      </c>
      <c r="M3096" t="s">
        <v>681</v>
      </c>
      <c r="O3096" s="5">
        <v>30851833</v>
      </c>
      <c r="P3096" s="5">
        <v>203915</v>
      </c>
      <c r="Q3096" s="5">
        <v>38744</v>
      </c>
      <c r="R3096" s="5">
        <v>242659</v>
      </c>
    </row>
    <row r="3097" spans="1:18" x14ac:dyDescent="0.25">
      <c r="A3097" t="s">
        <v>496</v>
      </c>
      <c r="B3097" t="s">
        <v>509</v>
      </c>
      <c r="C3097">
        <v>79963260</v>
      </c>
      <c r="D3097">
        <v>0</v>
      </c>
      <c r="E3097" t="s">
        <v>1371</v>
      </c>
      <c r="F3097" t="s">
        <v>1370</v>
      </c>
      <c r="G3097" s="1">
        <v>45237</v>
      </c>
      <c r="H3097">
        <v>5414203</v>
      </c>
      <c r="I3097">
        <v>108</v>
      </c>
      <c r="J3097" t="s">
        <v>196</v>
      </c>
      <c r="K3097" t="str">
        <f>IFERROR(IF(AND(VLOOKUP($C3097,Hes!$A:$B, 1, FALSE), $M3097&lt;&gt;" "), "Ingresada", "Falta Ingresar"), " ")</f>
        <v xml:space="preserve"> </v>
      </c>
      <c r="L3097" s="4" t="str">
        <f>IFERROR(VLOOKUP($C3097,Observaciones!$A:$B,2,FALSE)," ")</f>
        <v>XOC Y CC</v>
      </c>
      <c r="M3097" t="s">
        <v>681</v>
      </c>
      <c r="O3097" s="5">
        <v>30852261</v>
      </c>
      <c r="P3097" s="5">
        <v>136240</v>
      </c>
      <c r="Q3097" s="5">
        <v>25886</v>
      </c>
      <c r="R3097" s="5">
        <v>162126</v>
      </c>
    </row>
    <row r="3098" spans="1:18" x14ac:dyDescent="0.25">
      <c r="A3098" t="s">
        <v>496</v>
      </c>
      <c r="B3098" t="s">
        <v>509</v>
      </c>
      <c r="C3098">
        <v>79963260</v>
      </c>
      <c r="D3098">
        <v>0</v>
      </c>
      <c r="E3098" t="s">
        <v>1372</v>
      </c>
      <c r="F3098" t="s">
        <v>1370</v>
      </c>
      <c r="G3098" s="1">
        <v>45237</v>
      </c>
      <c r="H3098">
        <v>5414291</v>
      </c>
      <c r="I3098">
        <v>108</v>
      </c>
      <c r="J3098" t="s">
        <v>196</v>
      </c>
      <c r="K3098" t="str">
        <f>IFERROR(IF(AND(VLOOKUP($C3098,Hes!$A:$B, 1, FALSE), $M3098&lt;&gt;" "), "Ingresada", "Falta Ingresar"), " ")</f>
        <v xml:space="preserve"> </v>
      </c>
      <c r="L3098" s="4" t="str">
        <f>IFERROR(VLOOKUP($C3098,Observaciones!$A:$B,2,FALSE)," ")</f>
        <v>XOC Y CC</v>
      </c>
      <c r="M3098" t="s">
        <v>681</v>
      </c>
      <c r="O3098" s="5">
        <v>30852362</v>
      </c>
      <c r="P3098" s="5">
        <v>15510</v>
      </c>
      <c r="Q3098" s="5">
        <v>2947</v>
      </c>
      <c r="R3098" s="5">
        <v>18457</v>
      </c>
    </row>
    <row r="3099" spans="1:18" x14ac:dyDescent="0.25">
      <c r="F3099" t="s">
        <v>500</v>
      </c>
      <c r="K3099" t="str">
        <f>IFERROR(IF(AND(VLOOKUP($C3099,Hes!$A:$B, 1, FALSE), $M3099&lt;&gt;" "), "Ingresada", "Falta Ingresar"), " ")</f>
        <v xml:space="preserve"> </v>
      </c>
      <c r="L3099" s="4" t="str">
        <f>IFERROR(VLOOKUP($C3099,Observaciones!$A:$B,2,FALSE)," ")</f>
        <v xml:space="preserve"> </v>
      </c>
      <c r="M3099" t="s">
        <v>681</v>
      </c>
      <c r="P3099" s="5">
        <v>355665</v>
      </c>
      <c r="Q3099" s="5">
        <v>67577</v>
      </c>
      <c r="R3099" s="5">
        <v>423242</v>
      </c>
    </row>
    <row r="3100" spans="1:18" x14ac:dyDescent="0.25">
      <c r="A3100" t="s">
        <v>496</v>
      </c>
      <c r="B3100" t="s">
        <v>508</v>
      </c>
      <c r="C3100">
        <v>79989330</v>
      </c>
      <c r="D3100">
        <v>0</v>
      </c>
      <c r="E3100">
        <v>5267</v>
      </c>
      <c r="F3100" t="s">
        <v>1373</v>
      </c>
      <c r="G3100" s="1">
        <v>45236</v>
      </c>
      <c r="H3100">
        <v>5413226</v>
      </c>
      <c r="I3100">
        <v>136</v>
      </c>
      <c r="J3100" t="s">
        <v>313</v>
      </c>
      <c r="K3100" t="str">
        <f>IFERROR(IF(AND(VLOOKUP($C3100,Hes!$A:$B, 1, FALSE), $M3100&lt;&gt;" "), "Ingresada", "Falta Ingresar"), " ")</f>
        <v xml:space="preserve"> </v>
      </c>
      <c r="L3100" s="4" t="s">
        <v>681</v>
      </c>
      <c r="M3100" t="s">
        <v>681</v>
      </c>
      <c r="O3100" s="5">
        <v>30833272</v>
      </c>
      <c r="P3100" s="5">
        <v>55800</v>
      </c>
      <c r="Q3100" s="5">
        <v>10602</v>
      </c>
      <c r="R3100" s="5">
        <v>66402</v>
      </c>
    </row>
    <row r="3101" spans="1:18" x14ac:dyDescent="0.25">
      <c r="A3101" t="s">
        <v>496</v>
      </c>
      <c r="B3101" t="s">
        <v>508</v>
      </c>
      <c r="C3101">
        <v>79989330</v>
      </c>
      <c r="D3101">
        <v>0</v>
      </c>
      <c r="E3101">
        <v>5266</v>
      </c>
      <c r="F3101" t="s">
        <v>1373</v>
      </c>
      <c r="G3101" s="1">
        <v>45236</v>
      </c>
      <c r="H3101">
        <v>5413277</v>
      </c>
      <c r="I3101">
        <v>136</v>
      </c>
      <c r="J3101" t="s">
        <v>313</v>
      </c>
      <c r="K3101" t="str">
        <f>IFERROR(IF(AND(VLOOKUP($C3101,Hes!$A:$B, 1, FALSE), $M3101&lt;&gt;" "), "Ingresada", "Falta Ingresar"), " ")</f>
        <v xml:space="preserve"> </v>
      </c>
      <c r="L3101" s="4" t="s">
        <v>681</v>
      </c>
      <c r="M3101" t="s">
        <v>681</v>
      </c>
      <c r="O3101" s="5">
        <v>30833336</v>
      </c>
      <c r="P3101" s="5">
        <v>16720</v>
      </c>
      <c r="Q3101" s="5">
        <v>3177</v>
      </c>
      <c r="R3101" s="5">
        <v>19897</v>
      </c>
    </row>
    <row r="3102" spans="1:18" x14ac:dyDescent="0.25">
      <c r="A3102" t="s">
        <v>496</v>
      </c>
      <c r="B3102" t="s">
        <v>508</v>
      </c>
      <c r="C3102">
        <v>79989330</v>
      </c>
      <c r="D3102">
        <v>0</v>
      </c>
      <c r="E3102">
        <v>5265</v>
      </c>
      <c r="F3102" t="s">
        <v>1373</v>
      </c>
      <c r="G3102" s="1">
        <v>45236</v>
      </c>
      <c r="H3102">
        <v>5413306</v>
      </c>
      <c r="I3102">
        <v>136</v>
      </c>
      <c r="J3102" t="s">
        <v>313</v>
      </c>
      <c r="K3102" t="str">
        <f>IFERROR(IF(AND(VLOOKUP($C3102,Hes!$A:$B, 1, FALSE), $M3102&lt;&gt;" "), "Ingresada", "Falta Ingresar"), " ")</f>
        <v xml:space="preserve"> </v>
      </c>
      <c r="L3102" s="4" t="s">
        <v>681</v>
      </c>
      <c r="M3102" t="s">
        <v>681</v>
      </c>
      <c r="O3102" s="5">
        <v>30833330</v>
      </c>
      <c r="P3102" s="5">
        <v>75050</v>
      </c>
      <c r="Q3102" s="5">
        <v>14260</v>
      </c>
      <c r="R3102" s="5">
        <v>89310</v>
      </c>
    </row>
    <row r="3103" spans="1:18" x14ac:dyDescent="0.25">
      <c r="A3103" t="s">
        <v>496</v>
      </c>
      <c r="B3103" t="s">
        <v>508</v>
      </c>
      <c r="C3103">
        <v>79989330</v>
      </c>
      <c r="D3103">
        <v>0</v>
      </c>
      <c r="E3103">
        <v>5262</v>
      </c>
      <c r="F3103" t="s">
        <v>1373</v>
      </c>
      <c r="G3103" s="1">
        <v>45236</v>
      </c>
      <c r="H3103">
        <v>5413455</v>
      </c>
      <c r="I3103">
        <v>136</v>
      </c>
      <c r="J3103" t="s">
        <v>313</v>
      </c>
      <c r="K3103" t="str">
        <f>IFERROR(IF(AND(VLOOKUP($C3103,Hes!$A:$B, 1, FALSE), $M3103&lt;&gt;" "), "Ingresada", "Falta Ingresar"), " ")</f>
        <v xml:space="preserve"> </v>
      </c>
      <c r="L3103" s="4" t="s">
        <v>681</v>
      </c>
      <c r="M3103" t="s">
        <v>681</v>
      </c>
      <c r="O3103" s="5">
        <v>30833324</v>
      </c>
      <c r="P3103" s="5">
        <v>48384</v>
      </c>
      <c r="Q3103" s="5">
        <v>9193</v>
      </c>
      <c r="R3103" s="5">
        <v>57577</v>
      </c>
    </row>
    <row r="3104" spans="1:18" x14ac:dyDescent="0.25">
      <c r="A3104" t="s">
        <v>496</v>
      </c>
      <c r="B3104" t="s">
        <v>508</v>
      </c>
      <c r="C3104">
        <v>79989330</v>
      </c>
      <c r="D3104">
        <v>0</v>
      </c>
      <c r="E3104">
        <v>5259</v>
      </c>
      <c r="F3104" t="s">
        <v>1373</v>
      </c>
      <c r="G3104" s="1">
        <v>45236</v>
      </c>
      <c r="H3104">
        <v>5413507</v>
      </c>
      <c r="I3104">
        <v>136</v>
      </c>
      <c r="J3104" t="s">
        <v>313</v>
      </c>
      <c r="K3104" t="str">
        <f>IFERROR(IF(AND(VLOOKUP($C3104,Hes!$A:$B, 1, FALSE), $M3104&lt;&gt;" "), "Ingresada", "Falta Ingresar"), " ")</f>
        <v xml:space="preserve"> </v>
      </c>
      <c r="L3104" s="4" t="s">
        <v>681</v>
      </c>
      <c r="M3104" t="s">
        <v>681</v>
      </c>
      <c r="O3104" s="5">
        <v>30833289</v>
      </c>
      <c r="P3104" s="5">
        <v>159740</v>
      </c>
      <c r="Q3104" s="5">
        <v>30351</v>
      </c>
      <c r="R3104" s="5">
        <v>190091</v>
      </c>
    </row>
    <row r="3105" spans="1:18" x14ac:dyDescent="0.25">
      <c r="A3105" t="s">
        <v>496</v>
      </c>
      <c r="B3105" t="s">
        <v>508</v>
      </c>
      <c r="C3105">
        <v>79989330</v>
      </c>
      <c r="D3105">
        <v>0</v>
      </c>
      <c r="E3105">
        <v>5258</v>
      </c>
      <c r="F3105" t="s">
        <v>1373</v>
      </c>
      <c r="G3105" s="1">
        <v>45236</v>
      </c>
      <c r="H3105">
        <v>5413564</v>
      </c>
      <c r="I3105">
        <v>136</v>
      </c>
      <c r="J3105" t="s">
        <v>313</v>
      </c>
      <c r="K3105" t="str">
        <f>IFERROR(IF(AND(VLOOKUP($C3105,Hes!$A:$B, 1, FALSE), $M3105&lt;&gt;" "), "Ingresada", "Falta Ingresar"), " ")</f>
        <v xml:space="preserve"> </v>
      </c>
      <c r="L3105" s="4" t="s">
        <v>681</v>
      </c>
      <c r="M3105" t="s">
        <v>681</v>
      </c>
      <c r="O3105" s="5">
        <v>30833279</v>
      </c>
      <c r="P3105" s="5">
        <v>71350</v>
      </c>
      <c r="Q3105" s="5">
        <v>13557</v>
      </c>
      <c r="R3105" s="5">
        <v>84907</v>
      </c>
    </row>
    <row r="3106" spans="1:18" x14ac:dyDescent="0.25">
      <c r="F3106" t="s">
        <v>523</v>
      </c>
      <c r="K3106" t="str">
        <f>IFERROR(IF(AND(VLOOKUP($C3106,Hes!$A:$B, 1, FALSE), $M3106&lt;&gt;" "), "Ingresada", "Falta Ingresar"), " ")</f>
        <v xml:space="preserve"> </v>
      </c>
      <c r="L3106" s="4" t="str">
        <f>IFERROR(VLOOKUP($C3106,Observaciones!$A:$B,2,FALSE)," ")</f>
        <v xml:space="preserve"> </v>
      </c>
      <c r="M3106" t="s">
        <v>681</v>
      </c>
      <c r="P3106" s="5">
        <v>427044</v>
      </c>
      <c r="Q3106" s="5">
        <v>81140</v>
      </c>
      <c r="R3106" s="5">
        <v>508184</v>
      </c>
    </row>
    <row r="3107" spans="1:18" x14ac:dyDescent="0.25">
      <c r="A3107" t="s">
        <v>503</v>
      </c>
      <c r="B3107" t="s">
        <v>494</v>
      </c>
      <c r="C3107">
        <v>79996010</v>
      </c>
      <c r="D3107">
        <v>0</v>
      </c>
      <c r="E3107">
        <v>4400004338</v>
      </c>
      <c r="F3107" t="s">
        <v>1374</v>
      </c>
      <c r="G3107" s="1">
        <v>45238</v>
      </c>
      <c r="H3107">
        <v>5415179</v>
      </c>
      <c r="I3107">
        <v>193</v>
      </c>
      <c r="J3107" t="s">
        <v>346</v>
      </c>
      <c r="K3107" t="str">
        <f>IFERROR(IF(AND(VLOOKUP($C3107,Hes!$A:$B, 1, FALSE), $M3107&lt;&gt;" "), "Ingresada", "Falta Ingresar"), " ")</f>
        <v xml:space="preserve"> </v>
      </c>
      <c r="L3107" s="4" t="str">
        <f>IFERROR(VLOOKUP($C3107,Observaciones!$A:$B,2,FALSE)," ")</f>
        <v xml:space="preserve"> </v>
      </c>
      <c r="M3107" t="s">
        <v>681</v>
      </c>
      <c r="O3107" s="5">
        <v>30855662</v>
      </c>
      <c r="P3107" s="5">
        <v>1029865</v>
      </c>
      <c r="Q3107" s="5">
        <v>195674</v>
      </c>
      <c r="R3107" s="5">
        <v>1304207</v>
      </c>
    </row>
    <row r="3108" spans="1:18" x14ac:dyDescent="0.25">
      <c r="F3108" t="s">
        <v>495</v>
      </c>
      <c r="K3108" t="str">
        <f>IFERROR(IF(AND(VLOOKUP($C3108,Hes!$A:$B, 1, FALSE), $M3108&lt;&gt;" "), "Ingresada", "Falta Ingresar"), " ")</f>
        <v xml:space="preserve"> </v>
      </c>
      <c r="L3108" s="4" t="str">
        <f>IFERROR(VLOOKUP($C3108,Observaciones!$A:$B,2,FALSE)," ")</f>
        <v xml:space="preserve"> </v>
      </c>
      <c r="M3108" t="s">
        <v>681</v>
      </c>
      <c r="P3108" s="5">
        <v>1029865</v>
      </c>
      <c r="Q3108" s="5">
        <v>195674</v>
      </c>
      <c r="R3108" s="5">
        <v>1304207</v>
      </c>
    </row>
    <row r="3109" spans="1:18" x14ac:dyDescent="0.25">
      <c r="A3109" t="s">
        <v>496</v>
      </c>
      <c r="B3109" t="s">
        <v>494</v>
      </c>
      <c r="C3109">
        <v>80043600</v>
      </c>
      <c r="D3109">
        <v>2</v>
      </c>
      <c r="E3109">
        <v>4982497386</v>
      </c>
      <c r="F3109" t="s">
        <v>1375</v>
      </c>
      <c r="G3109" s="1">
        <v>45232</v>
      </c>
      <c r="H3109">
        <v>5410913</v>
      </c>
      <c r="I3109">
        <v>96</v>
      </c>
      <c r="J3109" t="s">
        <v>140</v>
      </c>
      <c r="K3109" t="str">
        <f>IFERROR(IF(AND(VLOOKUP($C3109,Hes!$A:$B, 1, FALSE), $M3109&lt;&gt;" "), "Ingresada", "Falta Ingresar"), " ")</f>
        <v xml:space="preserve"> </v>
      </c>
      <c r="L3109" s="4" t="str">
        <f>IFERROR(VLOOKUP($C3109,Observaciones!$A:$B,2,FALSE)," ")</f>
        <v xml:space="preserve"> </v>
      </c>
      <c r="M3109" t="s">
        <v>681</v>
      </c>
      <c r="O3109" s="5">
        <v>30846409</v>
      </c>
      <c r="P3109" s="5">
        <v>232020</v>
      </c>
      <c r="Q3109" s="5">
        <v>44084</v>
      </c>
      <c r="R3109" s="5">
        <v>276104</v>
      </c>
    </row>
    <row r="3110" spans="1:18" x14ac:dyDescent="0.25">
      <c r="A3110" t="s">
        <v>496</v>
      </c>
      <c r="B3110" t="s">
        <v>494</v>
      </c>
      <c r="C3110">
        <v>80043600</v>
      </c>
      <c r="D3110">
        <v>2</v>
      </c>
      <c r="E3110">
        <v>4982383192</v>
      </c>
      <c r="F3110" t="s">
        <v>1375</v>
      </c>
      <c r="G3110" s="1">
        <v>45233</v>
      </c>
      <c r="H3110">
        <v>5411624</v>
      </c>
      <c r="I3110">
        <v>96</v>
      </c>
      <c r="J3110" t="s">
        <v>140</v>
      </c>
      <c r="K3110" t="str">
        <f>IFERROR(IF(AND(VLOOKUP($C3110,Hes!$A:$B, 1, FALSE), $M3110&lt;&gt;" "), "Ingresada", "Falta Ingresar"), " ")</f>
        <v xml:space="preserve"> </v>
      </c>
      <c r="L3110" s="4" t="str">
        <f>IFERROR(VLOOKUP($C3110,Observaciones!$A:$B,2,FALSE)," ")</f>
        <v xml:space="preserve"> </v>
      </c>
      <c r="M3110" t="s">
        <v>681</v>
      </c>
      <c r="O3110" s="5">
        <v>30834820</v>
      </c>
      <c r="P3110" s="5">
        <v>83200</v>
      </c>
      <c r="Q3110" s="5">
        <v>15808</v>
      </c>
      <c r="R3110" s="5">
        <v>99008</v>
      </c>
    </row>
    <row r="3111" spans="1:18" x14ac:dyDescent="0.25">
      <c r="F3111" t="s">
        <v>497</v>
      </c>
      <c r="K3111" t="str">
        <f>IFERROR(IF(AND(VLOOKUP($C3111,Hes!$A:$B, 1, FALSE), $M3111&lt;&gt;" "), "Ingresada", "Falta Ingresar"), " ")</f>
        <v xml:space="preserve"> </v>
      </c>
      <c r="L3111" s="4" t="str">
        <f>IFERROR(VLOOKUP($C3111,Observaciones!$A:$B,2,FALSE)," ")</f>
        <v xml:space="preserve"> </v>
      </c>
      <c r="M3111" t="s">
        <v>681</v>
      </c>
      <c r="P3111" s="5">
        <v>315220</v>
      </c>
      <c r="Q3111" s="5">
        <v>59892</v>
      </c>
      <c r="R3111" s="5">
        <v>375112</v>
      </c>
    </row>
    <row r="3112" spans="1:18" x14ac:dyDescent="0.25">
      <c r="A3112" t="s">
        <v>522</v>
      </c>
      <c r="B3112" t="s">
        <v>494</v>
      </c>
      <c r="C3112">
        <v>80228400</v>
      </c>
      <c r="D3112">
        <v>3</v>
      </c>
      <c r="E3112">
        <v>30853519</v>
      </c>
      <c r="F3112" t="s">
        <v>1376</v>
      </c>
      <c r="G3112" s="1">
        <v>45236</v>
      </c>
      <c r="H3112">
        <v>5413517</v>
      </c>
      <c r="I3112">
        <v>52</v>
      </c>
      <c r="J3112" t="s">
        <v>311</v>
      </c>
      <c r="K3112" t="str">
        <f>IFERROR(IF(AND(VLOOKUP($C3112,Hes!$A:$B, 1, FALSE), $M3112&lt;&gt;" "), "Ingresada", "Falta Ingresar"), " ")</f>
        <v xml:space="preserve"> </v>
      </c>
      <c r="L3112" s="4" t="s">
        <v>681</v>
      </c>
      <c r="M3112" t="s">
        <v>681</v>
      </c>
      <c r="O3112" s="5">
        <v>30853519</v>
      </c>
      <c r="P3112" s="5">
        <v>98602</v>
      </c>
      <c r="Q3112" s="5">
        <v>18734</v>
      </c>
      <c r="R3112" s="5">
        <v>117336</v>
      </c>
    </row>
    <row r="3113" spans="1:18" x14ac:dyDescent="0.25">
      <c r="A3113" t="s">
        <v>522</v>
      </c>
      <c r="B3113" t="s">
        <v>494</v>
      </c>
      <c r="C3113">
        <v>80228400</v>
      </c>
      <c r="D3113">
        <v>2</v>
      </c>
      <c r="E3113">
        <v>30858703</v>
      </c>
      <c r="F3113" t="s">
        <v>1376</v>
      </c>
      <c r="G3113" s="1">
        <v>45237</v>
      </c>
      <c r="H3113">
        <v>5414257</v>
      </c>
      <c r="I3113">
        <v>52</v>
      </c>
      <c r="J3113" t="s">
        <v>311</v>
      </c>
      <c r="K3113" t="str">
        <f>IFERROR(IF(AND(VLOOKUP($C3113,Hes!$A:$B, 1, FALSE), $M3113&lt;&gt;" "), "Ingresada", "Falta Ingresar"), " ")</f>
        <v xml:space="preserve"> </v>
      </c>
      <c r="L3113" s="4" t="s">
        <v>681</v>
      </c>
      <c r="M3113" t="s">
        <v>681</v>
      </c>
      <c r="O3113" s="5">
        <v>30858703</v>
      </c>
      <c r="P3113" s="5">
        <v>28873</v>
      </c>
      <c r="Q3113" s="5">
        <v>5486</v>
      </c>
      <c r="R3113" s="5">
        <v>34359</v>
      </c>
    </row>
    <row r="3114" spans="1:18" x14ac:dyDescent="0.25">
      <c r="F3114" t="s">
        <v>497</v>
      </c>
      <c r="K3114" t="str">
        <f>IFERROR(IF(AND(VLOOKUP($C3114,Hes!$A:$B, 1, FALSE), $M3114&lt;&gt;" "), "Ingresada", "Falta Ingresar"), " ")</f>
        <v xml:space="preserve"> </v>
      </c>
      <c r="L3114" s="4" t="str">
        <f>IFERROR(VLOOKUP($C3114,Observaciones!$A:$B,2,FALSE)," ")</f>
        <v xml:space="preserve"> </v>
      </c>
      <c r="M3114" t="s">
        <v>681</v>
      </c>
      <c r="P3114" s="5">
        <v>127475</v>
      </c>
      <c r="Q3114" s="5">
        <v>24220</v>
      </c>
      <c r="R3114" s="5">
        <v>151695</v>
      </c>
    </row>
    <row r="3115" spans="1:18" x14ac:dyDescent="0.25">
      <c r="A3115" t="s">
        <v>496</v>
      </c>
      <c r="B3115" t="s">
        <v>494</v>
      </c>
      <c r="C3115">
        <v>80276200</v>
      </c>
      <c r="D3115">
        <v>0</v>
      </c>
      <c r="E3115">
        <v>4500012674</v>
      </c>
      <c r="F3115" t="s">
        <v>1377</v>
      </c>
      <c r="G3115" s="1">
        <v>45232</v>
      </c>
      <c r="H3115">
        <v>5410704</v>
      </c>
      <c r="I3115">
        <v>81</v>
      </c>
      <c r="J3115" t="s">
        <v>144</v>
      </c>
      <c r="K3115" t="str">
        <f>IFERROR(IF(AND(VLOOKUP($C3115,Hes!$A:$B, 1, FALSE), $M3115&lt;&gt;" "), "Ingresada", "Falta Ingresar"), " ")</f>
        <v xml:space="preserve"> </v>
      </c>
      <c r="L3115" s="4" t="s">
        <v>681</v>
      </c>
      <c r="M3115" t="s">
        <v>681</v>
      </c>
      <c r="O3115" s="5">
        <v>30816573</v>
      </c>
      <c r="P3115" s="5">
        <v>168000</v>
      </c>
      <c r="Q3115" s="5">
        <v>31920</v>
      </c>
      <c r="R3115" s="5">
        <v>199920</v>
      </c>
    </row>
    <row r="3116" spans="1:18" x14ac:dyDescent="0.25">
      <c r="F3116" t="s">
        <v>495</v>
      </c>
      <c r="K3116" t="str">
        <f>IFERROR(IF(AND(VLOOKUP($C3116,Hes!$A:$B, 1, FALSE), $M3116&lt;&gt;" "), "Ingresada", "Falta Ingresar"), " ")</f>
        <v xml:space="preserve"> </v>
      </c>
      <c r="L3116" s="4" t="str">
        <f>IFERROR(VLOOKUP($C3116,Observaciones!$A:$B,2,FALSE)," ")</f>
        <v xml:space="preserve"> </v>
      </c>
      <c r="M3116" t="s">
        <v>681</v>
      </c>
      <c r="P3116" s="5">
        <v>168000</v>
      </c>
      <c r="Q3116" s="5">
        <v>31920</v>
      </c>
      <c r="R3116" s="5">
        <v>199920</v>
      </c>
    </row>
    <row r="3117" spans="1:18" x14ac:dyDescent="0.25">
      <c r="A3117" t="s">
        <v>522</v>
      </c>
      <c r="B3117" t="s">
        <v>494</v>
      </c>
      <c r="C3117">
        <v>80314700</v>
      </c>
      <c r="D3117">
        <v>4382</v>
      </c>
      <c r="E3117">
        <v>30844837</v>
      </c>
      <c r="F3117" t="s">
        <v>1378</v>
      </c>
      <c r="G3117" s="1">
        <v>45231</v>
      </c>
      <c r="H3117">
        <v>5410827</v>
      </c>
      <c r="I3117">
        <v>52</v>
      </c>
      <c r="J3117" t="s">
        <v>311</v>
      </c>
      <c r="K3117" t="str">
        <f>IFERROR(IF(AND(VLOOKUP($C3117,Hes!$A:$B, 1, FALSE), $M3117&lt;&gt;" "), "Ingresada", "Falta Ingresar"), " ")</f>
        <v xml:space="preserve"> </v>
      </c>
      <c r="L3117" s="4" t="s">
        <v>681</v>
      </c>
      <c r="M3117" t="s">
        <v>681</v>
      </c>
      <c r="O3117" s="5">
        <v>30844837</v>
      </c>
      <c r="P3117" s="5">
        <v>29906</v>
      </c>
      <c r="Q3117" s="5">
        <v>5682</v>
      </c>
      <c r="R3117" s="5">
        <v>35588</v>
      </c>
    </row>
    <row r="3118" spans="1:18" x14ac:dyDescent="0.25">
      <c r="A3118" t="s">
        <v>522</v>
      </c>
      <c r="B3118" t="s">
        <v>494</v>
      </c>
      <c r="C3118">
        <v>80314700</v>
      </c>
      <c r="D3118">
        <v>123</v>
      </c>
      <c r="E3118">
        <v>30853044</v>
      </c>
      <c r="F3118" t="s">
        <v>1378</v>
      </c>
      <c r="G3118" s="1">
        <v>45236</v>
      </c>
      <c r="H3118">
        <v>5412294</v>
      </c>
      <c r="I3118">
        <v>52</v>
      </c>
      <c r="J3118" t="s">
        <v>311</v>
      </c>
      <c r="K3118" t="str">
        <f>IFERROR(IF(AND(VLOOKUP($C3118,Hes!$A:$B, 1, FALSE), $M3118&lt;&gt;" "), "Ingresada", "Falta Ingresar"), " ")</f>
        <v xml:space="preserve"> </v>
      </c>
      <c r="L3118" s="4" t="s">
        <v>681</v>
      </c>
      <c r="M3118" t="s">
        <v>681</v>
      </c>
      <c r="O3118" s="5">
        <v>30853044</v>
      </c>
      <c r="P3118" s="5">
        <v>33202</v>
      </c>
      <c r="Q3118" s="5">
        <v>6308</v>
      </c>
      <c r="R3118" s="5">
        <v>39510</v>
      </c>
    </row>
    <row r="3119" spans="1:18" x14ac:dyDescent="0.25">
      <c r="A3119" t="s">
        <v>522</v>
      </c>
      <c r="B3119" t="s">
        <v>494</v>
      </c>
      <c r="C3119">
        <v>80314700</v>
      </c>
      <c r="D3119">
        <v>87</v>
      </c>
      <c r="E3119">
        <v>30854345</v>
      </c>
      <c r="F3119" t="s">
        <v>1378</v>
      </c>
      <c r="G3119" s="1">
        <v>45236</v>
      </c>
      <c r="H3119">
        <v>5412842</v>
      </c>
      <c r="I3119">
        <v>52</v>
      </c>
      <c r="J3119" t="s">
        <v>311</v>
      </c>
      <c r="K3119" t="str">
        <f>IFERROR(IF(AND(VLOOKUP($C3119,Hes!$A:$B, 1, FALSE), $M3119&lt;&gt;" "), "Ingresada", "Falta Ingresar"), " ")</f>
        <v xml:space="preserve"> </v>
      </c>
      <c r="L3119" s="4" t="s">
        <v>681</v>
      </c>
      <c r="M3119" t="s">
        <v>681</v>
      </c>
      <c r="O3119" s="5">
        <v>30854345</v>
      </c>
      <c r="P3119" s="5">
        <v>47285</v>
      </c>
      <c r="Q3119" s="5">
        <v>8984</v>
      </c>
      <c r="R3119" s="5">
        <v>56269</v>
      </c>
    </row>
    <row r="3120" spans="1:18" x14ac:dyDescent="0.25">
      <c r="A3120" t="s">
        <v>522</v>
      </c>
      <c r="B3120" t="s">
        <v>494</v>
      </c>
      <c r="C3120">
        <v>80314700</v>
      </c>
      <c r="D3120">
        <v>213</v>
      </c>
      <c r="E3120">
        <v>30853031</v>
      </c>
      <c r="F3120" t="s">
        <v>1378</v>
      </c>
      <c r="G3120" s="1">
        <v>45236</v>
      </c>
      <c r="H3120">
        <v>5412874</v>
      </c>
      <c r="I3120">
        <v>52</v>
      </c>
      <c r="J3120" t="s">
        <v>311</v>
      </c>
      <c r="K3120" t="str">
        <f>IFERROR(IF(AND(VLOOKUP($C3120,Hes!$A:$B, 1, FALSE), $M3120&lt;&gt;" "), "Ingresada", "Falta Ingresar"), " ")</f>
        <v xml:space="preserve"> </v>
      </c>
      <c r="L3120" s="4" t="s">
        <v>681</v>
      </c>
      <c r="M3120" t="s">
        <v>681</v>
      </c>
      <c r="O3120" s="5">
        <v>30853031</v>
      </c>
      <c r="P3120" s="5">
        <v>41136</v>
      </c>
      <c r="Q3120" s="5">
        <v>7816</v>
      </c>
      <c r="R3120" s="5">
        <v>48952</v>
      </c>
    </row>
    <row r="3121" spans="1:18" x14ac:dyDescent="0.25">
      <c r="A3121" t="s">
        <v>522</v>
      </c>
      <c r="B3121" t="s">
        <v>494</v>
      </c>
      <c r="C3121">
        <v>80314700</v>
      </c>
      <c r="D3121">
        <v>62</v>
      </c>
      <c r="E3121">
        <v>30852059</v>
      </c>
      <c r="F3121" t="s">
        <v>1378</v>
      </c>
      <c r="G3121" s="1">
        <v>45236</v>
      </c>
      <c r="H3121">
        <v>5413408</v>
      </c>
      <c r="I3121">
        <v>52</v>
      </c>
      <c r="J3121" t="s">
        <v>311</v>
      </c>
      <c r="K3121" t="str">
        <f>IFERROR(IF(AND(VLOOKUP($C3121,Hes!$A:$B, 1, FALSE), $M3121&lt;&gt;" "), "Ingresada", "Falta Ingresar"), " ")</f>
        <v xml:space="preserve"> </v>
      </c>
      <c r="L3121" s="4" t="s">
        <v>681</v>
      </c>
      <c r="M3121" t="s">
        <v>681</v>
      </c>
      <c r="O3121" s="5">
        <v>30852059</v>
      </c>
      <c r="P3121" s="5">
        <v>62808</v>
      </c>
      <c r="Q3121" s="5">
        <v>11934</v>
      </c>
      <c r="R3121" s="5">
        <v>74742</v>
      </c>
    </row>
    <row r="3122" spans="1:18" x14ac:dyDescent="0.25">
      <c r="A3122" t="s">
        <v>522</v>
      </c>
      <c r="B3122" t="s">
        <v>494</v>
      </c>
      <c r="C3122">
        <v>80314700</v>
      </c>
      <c r="D3122">
        <v>208</v>
      </c>
      <c r="E3122">
        <v>30859633</v>
      </c>
      <c r="F3122" t="s">
        <v>1378</v>
      </c>
      <c r="G3122" s="1">
        <v>45237</v>
      </c>
      <c r="H3122">
        <v>5414181</v>
      </c>
      <c r="I3122">
        <v>52</v>
      </c>
      <c r="J3122" t="s">
        <v>311</v>
      </c>
      <c r="K3122" t="str">
        <f>IFERROR(IF(AND(VLOOKUP($C3122,Hes!$A:$B, 1, FALSE), $M3122&lt;&gt;" "), "Ingresada", "Falta Ingresar"), " ")</f>
        <v xml:space="preserve"> </v>
      </c>
      <c r="L3122" s="4" t="s">
        <v>681</v>
      </c>
      <c r="M3122" t="s">
        <v>681</v>
      </c>
      <c r="O3122" s="5">
        <v>30859633</v>
      </c>
      <c r="P3122" s="5">
        <v>89494</v>
      </c>
      <c r="Q3122" s="5">
        <v>17004</v>
      </c>
      <c r="R3122" s="5">
        <v>106498</v>
      </c>
    </row>
    <row r="3123" spans="1:18" x14ac:dyDescent="0.25">
      <c r="A3123" t="s">
        <v>522</v>
      </c>
      <c r="B3123" t="s">
        <v>494</v>
      </c>
      <c r="C3123">
        <v>80314700</v>
      </c>
      <c r="D3123">
        <v>4383</v>
      </c>
      <c r="E3123">
        <v>30862711</v>
      </c>
      <c r="F3123" t="s">
        <v>1378</v>
      </c>
      <c r="G3123" s="1">
        <v>45237</v>
      </c>
      <c r="H3123">
        <v>5414900</v>
      </c>
      <c r="I3123">
        <v>52</v>
      </c>
      <c r="J3123" t="s">
        <v>311</v>
      </c>
      <c r="K3123" t="str">
        <f>IFERROR(IF(AND(VLOOKUP($C3123,Hes!$A:$B, 1, FALSE), $M3123&lt;&gt;" "), "Ingresada", "Falta Ingresar"), " ")</f>
        <v xml:space="preserve"> </v>
      </c>
      <c r="L3123" s="4" t="s">
        <v>681</v>
      </c>
      <c r="M3123" t="s">
        <v>681</v>
      </c>
      <c r="O3123" s="5">
        <v>30862711</v>
      </c>
      <c r="P3123" s="5">
        <v>29951</v>
      </c>
      <c r="Q3123" s="5">
        <v>5691</v>
      </c>
      <c r="R3123" s="5">
        <v>35642</v>
      </c>
    </row>
    <row r="3124" spans="1:18" x14ac:dyDescent="0.25">
      <c r="A3124" t="s">
        <v>522</v>
      </c>
      <c r="B3124" t="s">
        <v>494</v>
      </c>
      <c r="C3124">
        <v>80314700</v>
      </c>
      <c r="D3124">
        <v>4375</v>
      </c>
      <c r="E3124">
        <v>30862703</v>
      </c>
      <c r="F3124" t="s">
        <v>1378</v>
      </c>
      <c r="G3124" s="1">
        <v>45238</v>
      </c>
      <c r="H3124">
        <v>5415036</v>
      </c>
      <c r="I3124">
        <v>52</v>
      </c>
      <c r="J3124" t="s">
        <v>311</v>
      </c>
      <c r="K3124" t="str">
        <f>IFERROR(IF(AND(VLOOKUP($C3124,Hes!$A:$B, 1, FALSE), $M3124&lt;&gt;" "), "Ingresada", "Falta Ingresar"), " ")</f>
        <v xml:space="preserve"> </v>
      </c>
      <c r="L3124" s="4" t="s">
        <v>681</v>
      </c>
      <c r="M3124" t="s">
        <v>681</v>
      </c>
      <c r="O3124" s="5">
        <v>30862703</v>
      </c>
      <c r="P3124" s="5">
        <v>29632</v>
      </c>
      <c r="Q3124" s="5">
        <v>5630</v>
      </c>
      <c r="R3124" s="5">
        <v>35262</v>
      </c>
    </row>
    <row r="3125" spans="1:18" x14ac:dyDescent="0.25">
      <c r="A3125" t="s">
        <v>522</v>
      </c>
      <c r="B3125" t="s">
        <v>494</v>
      </c>
      <c r="C3125">
        <v>80314700</v>
      </c>
      <c r="D3125">
        <v>8</v>
      </c>
      <c r="E3125">
        <v>30863485</v>
      </c>
      <c r="F3125" t="s">
        <v>1378</v>
      </c>
      <c r="G3125" s="1">
        <v>45238</v>
      </c>
      <c r="H3125">
        <v>5415602</v>
      </c>
      <c r="I3125">
        <v>52</v>
      </c>
      <c r="J3125" t="s">
        <v>311</v>
      </c>
      <c r="K3125" t="str">
        <f>IFERROR(IF(AND(VLOOKUP($C3125,Hes!$A:$B, 1, FALSE), $M3125&lt;&gt;" "), "Ingresada", "Falta Ingresar"), " ")</f>
        <v xml:space="preserve"> </v>
      </c>
      <c r="L3125" s="4" t="s">
        <v>681</v>
      </c>
      <c r="M3125" t="s">
        <v>681</v>
      </c>
      <c r="O3125" s="5">
        <v>30863485</v>
      </c>
      <c r="P3125" s="5">
        <v>51741</v>
      </c>
      <c r="Q3125" s="5">
        <v>9831</v>
      </c>
      <c r="R3125" s="5">
        <v>61572</v>
      </c>
    </row>
    <row r="3126" spans="1:18" x14ac:dyDescent="0.25">
      <c r="F3126" t="s">
        <v>514</v>
      </c>
      <c r="K3126" t="str">
        <f>IFERROR(IF(AND(VLOOKUP($C3126,Hes!$A:$B, 1, FALSE), $M3126&lt;&gt;" "), "Ingresada", "Falta Ingresar"), " ")</f>
        <v xml:space="preserve"> </v>
      </c>
      <c r="L3126" s="4" t="str">
        <f>IFERROR(VLOOKUP($C3126,Observaciones!$A:$B,2,FALSE)," ")</f>
        <v xml:space="preserve"> </v>
      </c>
      <c r="M3126" t="s">
        <v>681</v>
      </c>
      <c r="P3126" s="5">
        <v>415155</v>
      </c>
      <c r="Q3126" s="5">
        <v>78880</v>
      </c>
      <c r="R3126" s="5">
        <v>494035</v>
      </c>
    </row>
    <row r="3127" spans="1:18" x14ac:dyDescent="0.25">
      <c r="A3127" t="s">
        <v>501</v>
      </c>
      <c r="B3127" t="s">
        <v>494</v>
      </c>
      <c r="C3127">
        <v>80326500</v>
      </c>
      <c r="D3127">
        <v>19</v>
      </c>
      <c r="E3127">
        <v>30854589</v>
      </c>
      <c r="F3127" t="s">
        <v>1379</v>
      </c>
      <c r="G3127" s="1">
        <v>45236</v>
      </c>
      <c r="H3127">
        <v>5412767</v>
      </c>
      <c r="I3127">
        <v>392</v>
      </c>
      <c r="J3127" t="s">
        <v>228</v>
      </c>
      <c r="K3127" t="str">
        <f>IFERROR(IF(AND(VLOOKUP($C3127,Hes!$A:$B, 1, FALSE), $M3127&lt;&gt;" "), "Ingresada", "Falta Ingresar"), " ")</f>
        <v xml:space="preserve"> </v>
      </c>
      <c r="L3127" s="4" t="str">
        <f>IFERROR(VLOOKUP($C3127,Observaciones!$A:$B,2,FALSE)," ")</f>
        <v xml:space="preserve"> </v>
      </c>
      <c r="M3127" t="s">
        <v>681</v>
      </c>
      <c r="O3127" s="5">
        <v>30855647</v>
      </c>
      <c r="P3127" s="5">
        <v>22436</v>
      </c>
      <c r="Q3127" s="5">
        <v>4263</v>
      </c>
      <c r="R3127" s="5">
        <v>26699</v>
      </c>
    </row>
    <row r="3128" spans="1:18" x14ac:dyDescent="0.25">
      <c r="A3128" t="s">
        <v>501</v>
      </c>
      <c r="B3128" t="s">
        <v>494</v>
      </c>
      <c r="C3128">
        <v>80326500</v>
      </c>
      <c r="D3128">
        <v>19</v>
      </c>
      <c r="E3128">
        <v>30854589</v>
      </c>
      <c r="F3128" t="s">
        <v>1379</v>
      </c>
      <c r="G3128" s="1">
        <v>45236</v>
      </c>
      <c r="H3128">
        <v>5412832</v>
      </c>
      <c r="I3128">
        <v>392</v>
      </c>
      <c r="J3128" t="s">
        <v>228</v>
      </c>
      <c r="K3128" t="str">
        <f>IFERROR(IF(AND(VLOOKUP($C3128,Hes!$A:$B, 1, FALSE), $M3128&lt;&gt;" "), "Ingresada", "Falta Ingresar"), " ")</f>
        <v xml:space="preserve"> </v>
      </c>
      <c r="L3128" s="4" t="str">
        <f>IFERROR(VLOOKUP($C3128,Observaciones!$A:$B,2,FALSE)," ")</f>
        <v xml:space="preserve"> </v>
      </c>
      <c r="M3128" t="s">
        <v>681</v>
      </c>
      <c r="O3128" s="5">
        <v>30854589</v>
      </c>
      <c r="P3128" s="5">
        <v>303417</v>
      </c>
      <c r="Q3128" s="5">
        <v>57649</v>
      </c>
      <c r="R3128" s="5">
        <v>361066</v>
      </c>
    </row>
    <row r="3129" spans="1:18" x14ac:dyDescent="0.25">
      <c r="A3129" t="s">
        <v>501</v>
      </c>
      <c r="B3129" t="s">
        <v>494</v>
      </c>
      <c r="C3129">
        <v>80326500</v>
      </c>
      <c r="D3129">
        <v>6</v>
      </c>
      <c r="E3129">
        <v>30859304</v>
      </c>
      <c r="F3129" t="s">
        <v>1379</v>
      </c>
      <c r="G3129" s="1">
        <v>45237</v>
      </c>
      <c r="H3129">
        <v>5414300</v>
      </c>
      <c r="I3129">
        <v>392</v>
      </c>
      <c r="J3129" t="s">
        <v>228</v>
      </c>
      <c r="K3129" t="str">
        <f>IFERROR(IF(AND(VLOOKUP($C3129,Hes!$A:$B, 1, FALSE), $M3129&lt;&gt;" "), "Ingresada", "Falta Ingresar"), " ")</f>
        <v xml:space="preserve"> </v>
      </c>
      <c r="L3129" s="4" t="str">
        <f>IFERROR(VLOOKUP($C3129,Observaciones!$A:$B,2,FALSE)," ")</f>
        <v xml:space="preserve"> </v>
      </c>
      <c r="M3129" t="s">
        <v>681</v>
      </c>
      <c r="O3129" s="5">
        <v>30859304</v>
      </c>
      <c r="P3129" s="5">
        <v>43164</v>
      </c>
      <c r="Q3129" s="5">
        <v>8201</v>
      </c>
      <c r="R3129" s="5">
        <v>51365</v>
      </c>
    </row>
    <row r="3130" spans="1:18" x14ac:dyDescent="0.25">
      <c r="F3130" t="s">
        <v>500</v>
      </c>
      <c r="K3130" t="str">
        <f>IFERROR(IF(AND(VLOOKUP($C3130,Hes!$A:$B, 1, FALSE), $M3130&lt;&gt;" "), "Ingresada", "Falta Ingresar"), " ")</f>
        <v xml:space="preserve"> </v>
      </c>
      <c r="L3130" s="4" t="str">
        <f>IFERROR(VLOOKUP($C3130,Observaciones!$A:$B,2,FALSE)," ")</f>
        <v xml:space="preserve"> </v>
      </c>
      <c r="M3130" t="s">
        <v>681</v>
      </c>
      <c r="P3130" s="5">
        <v>369017</v>
      </c>
      <c r="Q3130" s="5">
        <v>70113</v>
      </c>
      <c r="R3130" s="5">
        <v>439130</v>
      </c>
    </row>
    <row r="3131" spans="1:18" x14ac:dyDescent="0.25">
      <c r="A3131" t="s">
        <v>501</v>
      </c>
      <c r="B3131" t="s">
        <v>494</v>
      </c>
      <c r="C3131">
        <v>80403100</v>
      </c>
      <c r="D3131">
        <v>0</v>
      </c>
      <c r="E3131" t="s">
        <v>1380</v>
      </c>
      <c r="F3131" t="s">
        <v>1381</v>
      </c>
      <c r="G3131" s="1">
        <v>45236</v>
      </c>
      <c r="H3131">
        <v>5413462</v>
      </c>
      <c r="I3131">
        <v>25</v>
      </c>
      <c r="J3131" t="s">
        <v>323</v>
      </c>
      <c r="K3131" t="str">
        <f>IFERROR(IF(AND(VLOOKUP($C3131,Hes!$A:$B, 1, FALSE), $M3131&lt;&gt;" "), "Ingresada", "Falta Ingresar"), " ")</f>
        <v xml:space="preserve"> </v>
      </c>
      <c r="L3131" s="4" t="str">
        <f>IFERROR(VLOOKUP($C3131,Observaciones!$A:$B,2,FALSE)," ")</f>
        <v xml:space="preserve"> </v>
      </c>
      <c r="M3131" t="s">
        <v>681</v>
      </c>
      <c r="O3131" s="5">
        <v>30853508</v>
      </c>
      <c r="P3131" s="5">
        <v>408812</v>
      </c>
      <c r="Q3131" s="5">
        <v>77674</v>
      </c>
      <c r="R3131" s="5">
        <v>486486</v>
      </c>
    </row>
    <row r="3132" spans="1:18" x14ac:dyDescent="0.25">
      <c r="A3132" t="s">
        <v>501</v>
      </c>
      <c r="B3132" t="s">
        <v>494</v>
      </c>
      <c r="C3132">
        <v>80403100</v>
      </c>
      <c r="D3132">
        <v>0</v>
      </c>
      <c r="E3132">
        <v>41101</v>
      </c>
      <c r="F3132" t="s">
        <v>1381</v>
      </c>
      <c r="G3132" s="1">
        <v>45237</v>
      </c>
      <c r="H3132">
        <v>5414414</v>
      </c>
      <c r="I3132">
        <v>25</v>
      </c>
      <c r="J3132" t="s">
        <v>323</v>
      </c>
      <c r="K3132" t="str">
        <f>IFERROR(IF(AND(VLOOKUP($C3132,Hes!$A:$B, 1, FALSE), $M3132&lt;&gt;" "), "Ingresada", "Falta Ingresar"), " ")</f>
        <v xml:space="preserve"> </v>
      </c>
      <c r="L3132" s="4" t="str">
        <f>IFERROR(VLOOKUP($C3132,Observaciones!$A:$B,2,FALSE)," ")</f>
        <v xml:space="preserve"> </v>
      </c>
      <c r="M3132" t="s">
        <v>681</v>
      </c>
      <c r="O3132" s="5">
        <v>30861750</v>
      </c>
      <c r="P3132" s="5">
        <v>9375</v>
      </c>
      <c r="Q3132" s="5">
        <v>1781</v>
      </c>
      <c r="R3132" s="5">
        <v>11156</v>
      </c>
    </row>
    <row r="3133" spans="1:18" x14ac:dyDescent="0.25">
      <c r="F3133" t="s">
        <v>497</v>
      </c>
      <c r="K3133" t="str">
        <f>IFERROR(IF(AND(VLOOKUP($C3133,Hes!$A:$B, 1, FALSE), $M3133&lt;&gt;" "), "Ingresada", "Falta Ingresar"), " ")</f>
        <v xml:space="preserve"> </v>
      </c>
      <c r="L3133" s="4" t="str">
        <f>IFERROR(VLOOKUP($C3133,Observaciones!$A:$B,2,FALSE)," ")</f>
        <v xml:space="preserve"> </v>
      </c>
      <c r="M3133" t="s">
        <v>681</v>
      </c>
      <c r="P3133" s="5">
        <v>418187</v>
      </c>
      <c r="Q3133" s="5">
        <v>79455</v>
      </c>
      <c r="R3133" s="5">
        <v>497642</v>
      </c>
    </row>
    <row r="3134" spans="1:18" x14ac:dyDescent="0.25">
      <c r="A3134" t="s">
        <v>513</v>
      </c>
      <c r="B3134" t="s">
        <v>494</v>
      </c>
      <c r="C3134">
        <v>80482100</v>
      </c>
      <c r="D3134">
        <v>18</v>
      </c>
      <c r="E3134">
        <v>30860752</v>
      </c>
      <c r="F3134" t="s">
        <v>1382</v>
      </c>
      <c r="G3134" s="1">
        <v>45237</v>
      </c>
      <c r="H3134">
        <v>5414450</v>
      </c>
      <c r="I3134">
        <v>364</v>
      </c>
      <c r="J3134" t="s">
        <v>194</v>
      </c>
      <c r="K3134" t="str">
        <f>IFERROR(IF(AND(VLOOKUP($C3134,Hes!$A:$B, 1, FALSE), $M3134&lt;&gt;" "), "Ingresada", "Falta Ingresar"), " ")</f>
        <v xml:space="preserve"> </v>
      </c>
      <c r="L3134" s="4" t="s">
        <v>681</v>
      </c>
      <c r="M3134" t="s">
        <v>681</v>
      </c>
      <c r="O3134" s="5">
        <v>30860752</v>
      </c>
      <c r="P3134" s="5">
        <v>37885</v>
      </c>
      <c r="Q3134" s="5">
        <v>7198</v>
      </c>
      <c r="R3134" s="5">
        <v>45083</v>
      </c>
    </row>
    <row r="3135" spans="1:18" x14ac:dyDescent="0.25">
      <c r="F3135" t="s">
        <v>495</v>
      </c>
      <c r="K3135" t="str">
        <f>IFERROR(IF(AND(VLOOKUP($C3135,Hes!$A:$B, 1, FALSE), $M3135&lt;&gt;" "), "Ingresada", "Falta Ingresar"), " ")</f>
        <v xml:space="preserve"> </v>
      </c>
      <c r="L3135" s="4" t="str">
        <f>IFERROR(VLOOKUP($C3135,Observaciones!$A:$B,2,FALSE)," ")</f>
        <v xml:space="preserve"> </v>
      </c>
      <c r="M3135" t="s">
        <v>681</v>
      </c>
      <c r="P3135" s="5">
        <v>37885</v>
      </c>
      <c r="Q3135" s="5">
        <v>7198</v>
      </c>
      <c r="R3135" s="5">
        <v>45083</v>
      </c>
    </row>
    <row r="3136" spans="1:18" x14ac:dyDescent="0.25">
      <c r="A3136" t="s">
        <v>503</v>
      </c>
      <c r="B3136" t="s">
        <v>509</v>
      </c>
      <c r="C3136">
        <v>80536800</v>
      </c>
      <c r="D3136">
        <v>20</v>
      </c>
      <c r="E3136" t="s">
        <v>1383</v>
      </c>
      <c r="F3136" t="s">
        <v>1384</v>
      </c>
      <c r="G3136" s="1">
        <v>45237</v>
      </c>
      <c r="H3136">
        <v>5414048</v>
      </c>
      <c r="I3136">
        <v>461</v>
      </c>
      <c r="J3136" t="s">
        <v>259</v>
      </c>
      <c r="K3136" t="str">
        <f>IFERROR(IF(AND(VLOOKUP($C3136,Hes!$A:$B, 1, FALSE), $M3136&lt;&gt;" "), "Ingresada", "Falta Ingresar"), " ")</f>
        <v xml:space="preserve"> </v>
      </c>
      <c r="L3136" s="4" t="s">
        <v>681</v>
      </c>
      <c r="M3136" t="s">
        <v>681</v>
      </c>
      <c r="O3136" s="5">
        <v>30852797</v>
      </c>
      <c r="P3136" s="5">
        <v>165038</v>
      </c>
      <c r="Q3136" s="5">
        <v>31357</v>
      </c>
      <c r="R3136" s="5">
        <v>196395</v>
      </c>
    </row>
    <row r="3137" spans="1:18" x14ac:dyDescent="0.25">
      <c r="F3137" t="s">
        <v>495</v>
      </c>
      <c r="K3137" t="str">
        <f>IFERROR(IF(AND(VLOOKUP($C3137,Hes!$A:$B, 1, FALSE), $M3137&lt;&gt;" "), "Ingresada", "Falta Ingresar"), " ")</f>
        <v xml:space="preserve"> </v>
      </c>
      <c r="L3137" s="4" t="str">
        <f>IFERROR(VLOOKUP($C3137,Observaciones!$A:$B,2,FALSE)," ")</f>
        <v xml:space="preserve"> </v>
      </c>
      <c r="M3137" t="s">
        <v>681</v>
      </c>
      <c r="P3137" s="5">
        <v>165038</v>
      </c>
      <c r="Q3137" s="5">
        <v>31357</v>
      </c>
      <c r="R3137" s="5">
        <v>196395</v>
      </c>
    </row>
    <row r="3138" spans="1:18" x14ac:dyDescent="0.25">
      <c r="A3138" t="s">
        <v>503</v>
      </c>
      <c r="B3138" t="s">
        <v>494</v>
      </c>
      <c r="C3138">
        <v>80571500</v>
      </c>
      <c r="D3138">
        <v>128</v>
      </c>
      <c r="E3138">
        <v>184329</v>
      </c>
      <c r="F3138" t="s">
        <v>1385</v>
      </c>
      <c r="G3138" s="1">
        <v>45238</v>
      </c>
      <c r="H3138">
        <v>5415692</v>
      </c>
      <c r="I3138">
        <v>16</v>
      </c>
      <c r="J3138" t="s">
        <v>330</v>
      </c>
      <c r="K3138" t="str">
        <f>IFERROR(IF(AND(VLOOKUP($C3138,Hes!$A:$B, 1, FALSE), $M3138&lt;&gt;" "), "Ingresada", "Falta Ingresar"), " ")</f>
        <v xml:space="preserve"> </v>
      </c>
      <c r="L3138" s="4" t="str">
        <f>IFERROR(VLOOKUP($C3138,Observaciones!$A:$B,2,FALSE)," ")</f>
        <v xml:space="preserve"> </v>
      </c>
      <c r="M3138" t="s">
        <v>681</v>
      </c>
      <c r="O3138" s="5">
        <v>30865732</v>
      </c>
      <c r="P3138" s="5">
        <v>193658</v>
      </c>
      <c r="Q3138" s="5">
        <v>36795</v>
      </c>
      <c r="R3138" s="5">
        <v>230453</v>
      </c>
    </row>
    <row r="3139" spans="1:18" x14ac:dyDescent="0.25">
      <c r="F3139" t="s">
        <v>495</v>
      </c>
      <c r="K3139" t="str">
        <f>IFERROR(IF(AND(VLOOKUP($C3139,Hes!$A:$B, 1, FALSE), $M3139&lt;&gt;" "), "Ingresada", "Falta Ingresar"), " ")</f>
        <v xml:space="preserve"> </v>
      </c>
      <c r="L3139" s="4" t="str">
        <f>IFERROR(VLOOKUP($C3139,Observaciones!$A:$B,2,FALSE)," ")</f>
        <v xml:space="preserve"> </v>
      </c>
      <c r="M3139" t="s">
        <v>681</v>
      </c>
      <c r="P3139" s="5">
        <v>193658</v>
      </c>
      <c r="Q3139" s="5">
        <v>36795</v>
      </c>
      <c r="R3139" s="5">
        <v>230453</v>
      </c>
    </row>
    <row r="3140" spans="1:18" x14ac:dyDescent="0.25">
      <c r="A3140" t="s">
        <v>513</v>
      </c>
      <c r="B3140" t="s">
        <v>508</v>
      </c>
      <c r="C3140">
        <v>80830500</v>
      </c>
      <c r="D3140">
        <v>7</v>
      </c>
      <c r="E3140">
        <v>30854697</v>
      </c>
      <c r="F3140" t="s">
        <v>1386</v>
      </c>
      <c r="G3140" s="1">
        <v>45236</v>
      </c>
      <c r="H3140">
        <v>5413740</v>
      </c>
      <c r="I3140">
        <v>431</v>
      </c>
      <c r="J3140" t="s">
        <v>354</v>
      </c>
      <c r="K3140" t="str">
        <f>IFERROR(IF(AND(VLOOKUP($C3140,Hes!$A:$B, 1, FALSE), $M3140&lt;&gt;" "), "Ingresada", "Falta Ingresar"), " ")</f>
        <v xml:space="preserve"> </v>
      </c>
      <c r="L3140" s="4" t="s">
        <v>681</v>
      </c>
      <c r="M3140" t="s">
        <v>681</v>
      </c>
      <c r="O3140" s="5">
        <v>30854697</v>
      </c>
      <c r="P3140" s="5">
        <v>487425</v>
      </c>
      <c r="Q3140" s="5">
        <v>92611</v>
      </c>
      <c r="R3140" s="5">
        <v>580036</v>
      </c>
    </row>
    <row r="3141" spans="1:18" x14ac:dyDescent="0.25">
      <c r="F3141" t="s">
        <v>495</v>
      </c>
      <c r="K3141" t="str">
        <f>IFERROR(IF(AND(VLOOKUP($C3141,Hes!$A:$B, 1, FALSE), $M3141&lt;&gt;" "), "Ingresada", "Falta Ingresar"), " ")</f>
        <v xml:space="preserve"> </v>
      </c>
      <c r="L3141" s="4" t="str">
        <f>IFERROR(VLOOKUP($C3141,Observaciones!$A:$B,2,FALSE)," ")</f>
        <v xml:space="preserve"> </v>
      </c>
      <c r="M3141" t="s">
        <v>681</v>
      </c>
      <c r="P3141" s="5">
        <v>487425</v>
      </c>
      <c r="Q3141" s="5">
        <v>92611</v>
      </c>
      <c r="R3141" s="5">
        <v>580036</v>
      </c>
    </row>
    <row r="3142" spans="1:18" x14ac:dyDescent="0.25">
      <c r="A3142" t="s">
        <v>503</v>
      </c>
      <c r="B3142" t="s">
        <v>494</v>
      </c>
      <c r="C3142">
        <v>80889200</v>
      </c>
      <c r="D3142">
        <v>118</v>
      </c>
      <c r="E3142">
        <v>4101144614</v>
      </c>
      <c r="F3142" t="s">
        <v>1387</v>
      </c>
      <c r="G3142" s="1">
        <v>45232</v>
      </c>
      <c r="H3142">
        <v>5411032</v>
      </c>
      <c r="I3142">
        <v>114</v>
      </c>
      <c r="J3142" t="s">
        <v>182</v>
      </c>
      <c r="K3142" t="str">
        <f>IFERROR(IF(AND(VLOOKUP($C3142,Hes!$A:$B, 1, FALSE), $M3142&lt;&gt;" "), "Ingresada", "Falta Ingresar"), " ")</f>
        <v xml:space="preserve"> </v>
      </c>
      <c r="L3142" s="4" t="s">
        <v>681</v>
      </c>
      <c r="M3142" t="s">
        <v>681</v>
      </c>
      <c r="O3142" s="5">
        <v>30835493</v>
      </c>
      <c r="P3142" s="5">
        <v>92690</v>
      </c>
      <c r="Q3142" s="5">
        <v>17611</v>
      </c>
      <c r="R3142" s="5">
        <v>110301</v>
      </c>
    </row>
    <row r="3143" spans="1:18" x14ac:dyDescent="0.25">
      <c r="A3143" t="s">
        <v>503</v>
      </c>
      <c r="B3143" t="s">
        <v>494</v>
      </c>
      <c r="C3143">
        <v>80889200</v>
      </c>
      <c r="D3143">
        <v>3</v>
      </c>
      <c r="E3143">
        <v>4101144613</v>
      </c>
      <c r="F3143" t="s">
        <v>1387</v>
      </c>
      <c r="G3143" s="1">
        <v>45233</v>
      </c>
      <c r="H3143">
        <v>5411620</v>
      </c>
      <c r="I3143">
        <v>114</v>
      </c>
      <c r="J3143" t="s">
        <v>182</v>
      </c>
      <c r="K3143" t="str">
        <f>IFERROR(IF(AND(VLOOKUP($C3143,Hes!$A:$B, 1, FALSE), $M3143&lt;&gt;" "), "Ingresada", "Falta Ingresar"), " ")</f>
        <v xml:space="preserve"> </v>
      </c>
      <c r="L3143" s="4" t="s">
        <v>681</v>
      </c>
      <c r="M3143" t="s">
        <v>681</v>
      </c>
      <c r="O3143" s="5">
        <v>30837246</v>
      </c>
      <c r="P3143" s="5">
        <v>173770</v>
      </c>
      <c r="Q3143" s="5">
        <v>33016</v>
      </c>
      <c r="R3143" s="5">
        <v>206786</v>
      </c>
    </row>
    <row r="3144" spans="1:18" x14ac:dyDescent="0.25">
      <c r="A3144" t="s">
        <v>503</v>
      </c>
      <c r="B3144" t="s">
        <v>494</v>
      </c>
      <c r="C3144">
        <v>80889200</v>
      </c>
      <c r="D3144">
        <v>1</v>
      </c>
      <c r="E3144">
        <v>4101146629</v>
      </c>
      <c r="F3144" t="s">
        <v>1387</v>
      </c>
      <c r="G3144" s="1">
        <v>45236</v>
      </c>
      <c r="H3144">
        <v>5413192</v>
      </c>
      <c r="I3144">
        <v>114</v>
      </c>
      <c r="J3144" t="s">
        <v>182</v>
      </c>
      <c r="K3144" t="str">
        <f>IFERROR(IF(AND(VLOOKUP($C3144,Hes!$A:$B, 1, FALSE), $M3144&lt;&gt;" "), "Ingresada", "Falta Ingresar"), " ")</f>
        <v xml:space="preserve"> </v>
      </c>
      <c r="L3144" s="4" t="s">
        <v>681</v>
      </c>
      <c r="M3144" t="s">
        <v>681</v>
      </c>
      <c r="O3144" s="5">
        <v>30852251</v>
      </c>
      <c r="P3144" s="5">
        <v>168566</v>
      </c>
      <c r="Q3144" s="5">
        <v>32028</v>
      </c>
      <c r="R3144" s="5">
        <v>200594</v>
      </c>
    </row>
    <row r="3145" spans="1:18" x14ac:dyDescent="0.25">
      <c r="A3145" t="s">
        <v>503</v>
      </c>
      <c r="B3145" t="s">
        <v>494</v>
      </c>
      <c r="C3145">
        <v>80889200</v>
      </c>
      <c r="D3145">
        <v>104</v>
      </c>
      <c r="E3145">
        <v>4101147483</v>
      </c>
      <c r="F3145" t="s">
        <v>1387</v>
      </c>
      <c r="G3145" s="1">
        <v>45236</v>
      </c>
      <c r="H3145">
        <v>5413760</v>
      </c>
      <c r="I3145">
        <v>114</v>
      </c>
      <c r="J3145" t="s">
        <v>182</v>
      </c>
      <c r="K3145" t="str">
        <f>IFERROR(IF(AND(VLOOKUP($C3145,Hes!$A:$B, 1, FALSE), $M3145&lt;&gt;" "), "Ingresada", "Falta Ingresar"), " ")</f>
        <v xml:space="preserve"> </v>
      </c>
      <c r="L3145" s="4" t="s">
        <v>681</v>
      </c>
      <c r="M3145" t="s">
        <v>681</v>
      </c>
      <c r="O3145" s="5">
        <v>30856744</v>
      </c>
      <c r="P3145" s="5">
        <v>124996</v>
      </c>
      <c r="Q3145" s="5">
        <v>23749</v>
      </c>
      <c r="R3145" s="5">
        <v>148745</v>
      </c>
    </row>
    <row r="3146" spans="1:18" x14ac:dyDescent="0.25">
      <c r="A3146" t="s">
        <v>503</v>
      </c>
      <c r="B3146" t="s">
        <v>494</v>
      </c>
      <c r="C3146">
        <v>80889200</v>
      </c>
      <c r="D3146">
        <v>118</v>
      </c>
      <c r="E3146">
        <v>4101148892</v>
      </c>
      <c r="F3146" t="s">
        <v>1387</v>
      </c>
      <c r="G3146" s="1">
        <v>45238</v>
      </c>
      <c r="H3146">
        <v>5414962</v>
      </c>
      <c r="I3146">
        <v>114</v>
      </c>
      <c r="J3146" t="s">
        <v>182</v>
      </c>
      <c r="K3146" t="str">
        <f>IFERROR(IF(AND(VLOOKUP($C3146,Hes!$A:$B, 1, FALSE), $M3146&lt;&gt;" "), "Ingresada", "Falta Ingresar"), " ")</f>
        <v xml:space="preserve"> </v>
      </c>
      <c r="L3146" s="4" t="s">
        <v>681</v>
      </c>
      <c r="M3146" t="s">
        <v>681</v>
      </c>
      <c r="O3146" s="5">
        <v>30770421</v>
      </c>
      <c r="P3146" s="5">
        <v>28153</v>
      </c>
      <c r="Q3146" s="5">
        <v>5349</v>
      </c>
      <c r="R3146" s="5">
        <v>33502</v>
      </c>
    </row>
    <row r="3147" spans="1:18" x14ac:dyDescent="0.25">
      <c r="A3147" t="s">
        <v>503</v>
      </c>
      <c r="B3147" t="s">
        <v>494</v>
      </c>
      <c r="C3147">
        <v>80889200</v>
      </c>
      <c r="D3147">
        <v>3</v>
      </c>
      <c r="E3147">
        <v>4101148884</v>
      </c>
      <c r="F3147" t="s">
        <v>1387</v>
      </c>
      <c r="G3147" s="1">
        <v>45238</v>
      </c>
      <c r="H3147">
        <v>5414970</v>
      </c>
      <c r="I3147">
        <v>114</v>
      </c>
      <c r="J3147" t="s">
        <v>182</v>
      </c>
      <c r="K3147" t="str">
        <f>IFERROR(IF(AND(VLOOKUP($C3147,Hes!$A:$B, 1, FALSE), $M3147&lt;&gt;" "), "Ingresada", "Falta Ingresar"), " ")</f>
        <v xml:space="preserve"> </v>
      </c>
      <c r="L3147" s="4" t="s">
        <v>681</v>
      </c>
      <c r="M3147" t="s">
        <v>681</v>
      </c>
      <c r="O3147" s="5">
        <v>30815983</v>
      </c>
      <c r="P3147" s="5">
        <v>131064</v>
      </c>
      <c r="Q3147" s="5">
        <v>24902</v>
      </c>
      <c r="R3147" s="5">
        <v>155966</v>
      </c>
    </row>
    <row r="3148" spans="1:18" x14ac:dyDescent="0.25">
      <c r="A3148" t="s">
        <v>503</v>
      </c>
      <c r="B3148" t="s">
        <v>494</v>
      </c>
      <c r="C3148">
        <v>80889200</v>
      </c>
      <c r="D3148">
        <v>118</v>
      </c>
      <c r="E3148">
        <v>4101149382</v>
      </c>
      <c r="F3148" t="s">
        <v>1387</v>
      </c>
      <c r="G3148" s="1">
        <v>45238</v>
      </c>
      <c r="H3148">
        <v>5415422</v>
      </c>
      <c r="I3148">
        <v>114</v>
      </c>
      <c r="J3148" t="s">
        <v>182</v>
      </c>
      <c r="K3148" t="str">
        <f>IFERROR(IF(AND(VLOOKUP($C3148,Hes!$A:$B, 1, FALSE), $M3148&lt;&gt;" "), "Ingresada", "Falta Ingresar"), " ")</f>
        <v xml:space="preserve"> </v>
      </c>
      <c r="L3148" s="4" t="s">
        <v>681</v>
      </c>
      <c r="M3148" t="s">
        <v>681</v>
      </c>
      <c r="O3148" s="5">
        <v>30864385</v>
      </c>
      <c r="P3148" s="5">
        <v>307094</v>
      </c>
      <c r="Q3148" s="5">
        <v>58348</v>
      </c>
      <c r="R3148" s="5">
        <v>365442</v>
      </c>
    </row>
    <row r="3149" spans="1:18" x14ac:dyDescent="0.25">
      <c r="A3149" t="s">
        <v>503</v>
      </c>
      <c r="B3149" t="s">
        <v>494</v>
      </c>
      <c r="C3149">
        <v>80889200</v>
      </c>
      <c r="D3149">
        <v>3</v>
      </c>
      <c r="E3149">
        <v>4101149352</v>
      </c>
      <c r="F3149" t="s">
        <v>1387</v>
      </c>
      <c r="G3149" s="1">
        <v>45238</v>
      </c>
      <c r="H3149">
        <v>5415532</v>
      </c>
      <c r="I3149">
        <v>114</v>
      </c>
      <c r="J3149" t="s">
        <v>182</v>
      </c>
      <c r="K3149" t="str">
        <f>IFERROR(IF(AND(VLOOKUP($C3149,Hes!$A:$B, 1, FALSE), $M3149&lt;&gt;" "), "Ingresada", "Falta Ingresar"), " ")</f>
        <v xml:space="preserve"> </v>
      </c>
      <c r="L3149" s="4" t="s">
        <v>681</v>
      </c>
      <c r="M3149" t="s">
        <v>681</v>
      </c>
      <c r="O3149" s="5">
        <v>30864349</v>
      </c>
      <c r="P3149" s="5">
        <v>8664</v>
      </c>
      <c r="Q3149" s="5">
        <v>1646</v>
      </c>
      <c r="R3149" s="5">
        <v>10310</v>
      </c>
    </row>
    <row r="3150" spans="1:18" x14ac:dyDescent="0.25">
      <c r="A3150" t="s">
        <v>503</v>
      </c>
      <c r="B3150" t="s">
        <v>494</v>
      </c>
      <c r="C3150">
        <v>80889200</v>
      </c>
      <c r="D3150">
        <v>118</v>
      </c>
      <c r="E3150">
        <v>4101150370</v>
      </c>
      <c r="F3150" t="s">
        <v>1387</v>
      </c>
      <c r="G3150" s="1">
        <v>45238</v>
      </c>
      <c r="H3150">
        <v>5415570</v>
      </c>
      <c r="I3150">
        <v>114</v>
      </c>
      <c r="J3150" t="s">
        <v>182</v>
      </c>
      <c r="K3150" t="str">
        <f>IFERROR(IF(AND(VLOOKUP($C3150,Hes!$A:$B, 1, FALSE), $M3150&lt;&gt;" "), "Ingresada", "Falta Ingresar"), " ")</f>
        <v xml:space="preserve"> </v>
      </c>
      <c r="L3150" s="4" t="s">
        <v>681</v>
      </c>
      <c r="M3150" t="s">
        <v>681</v>
      </c>
      <c r="O3150" s="5">
        <v>30864414</v>
      </c>
      <c r="P3150" s="5">
        <v>59202</v>
      </c>
      <c r="Q3150" s="5">
        <v>11248</v>
      </c>
      <c r="R3150" s="5">
        <v>70450</v>
      </c>
    </row>
    <row r="3151" spans="1:18" x14ac:dyDescent="0.25">
      <c r="A3151" t="s">
        <v>503</v>
      </c>
      <c r="B3151" t="s">
        <v>494</v>
      </c>
      <c r="C3151">
        <v>80889200</v>
      </c>
      <c r="D3151">
        <v>118</v>
      </c>
      <c r="E3151">
        <v>4101148861</v>
      </c>
      <c r="F3151" t="s">
        <v>1387</v>
      </c>
      <c r="G3151" s="1">
        <v>45238</v>
      </c>
      <c r="H3151">
        <v>5415662</v>
      </c>
      <c r="I3151">
        <v>114</v>
      </c>
      <c r="J3151" t="s">
        <v>182</v>
      </c>
      <c r="K3151" t="str">
        <f>IFERROR(IF(AND(VLOOKUP($C3151,Hes!$A:$B, 1, FALSE), $M3151&lt;&gt;" "), "Ingresada", "Falta Ingresar"), " ")</f>
        <v xml:space="preserve"> </v>
      </c>
      <c r="L3151" s="4" t="s">
        <v>681</v>
      </c>
      <c r="M3151" t="s">
        <v>681</v>
      </c>
      <c r="O3151" s="5">
        <v>30666845</v>
      </c>
      <c r="P3151" s="5">
        <v>224337</v>
      </c>
      <c r="Q3151" s="5">
        <v>42624</v>
      </c>
      <c r="R3151" s="5">
        <v>266961</v>
      </c>
    </row>
    <row r="3152" spans="1:18" x14ac:dyDescent="0.25">
      <c r="F3152" t="s">
        <v>533</v>
      </c>
      <c r="K3152" t="str">
        <f>IFERROR(IF(AND(VLOOKUP($C3152,Hes!$A:$B, 1, FALSE), $M3152&lt;&gt;" "), "Ingresada", "Falta Ingresar"), " ")</f>
        <v xml:space="preserve"> </v>
      </c>
      <c r="L3152" s="4" t="str">
        <f>IFERROR(VLOOKUP($C3152,Observaciones!$A:$B,2,FALSE)," ")</f>
        <v xml:space="preserve"> </v>
      </c>
      <c r="M3152" t="s">
        <v>681</v>
      </c>
      <c r="P3152" s="5">
        <v>1318536</v>
      </c>
      <c r="Q3152" s="5">
        <v>250521</v>
      </c>
      <c r="R3152" s="5">
        <v>1569057</v>
      </c>
    </row>
    <row r="3153" spans="1:18" x14ac:dyDescent="0.25">
      <c r="A3153" t="s">
        <v>496</v>
      </c>
      <c r="B3153" t="s">
        <v>494</v>
      </c>
      <c r="C3153">
        <v>81148200</v>
      </c>
      <c r="D3153">
        <v>72</v>
      </c>
      <c r="E3153">
        <v>30856709</v>
      </c>
      <c r="F3153" t="s">
        <v>589</v>
      </c>
      <c r="G3153" s="1">
        <v>45237</v>
      </c>
      <c r="H3153">
        <v>5413992</v>
      </c>
      <c r="I3153">
        <v>132</v>
      </c>
      <c r="J3153" t="s">
        <v>416</v>
      </c>
      <c r="K3153" s="8" t="str">
        <f>IFERROR(IF(AND(VLOOKUP($C3153,Hes!$A:$B, 1, FALSE), $M3153&lt;&gt;" "), "Ingresada", "Falta Ingresar"), " ")</f>
        <v>Falta Ingresar</v>
      </c>
      <c r="L3153" s="4" t="str">
        <f>IFERROR(VLOOKUP($C3153,Observaciones!$A:$B,2,FALSE)," ")</f>
        <v>XOC Y CC</v>
      </c>
      <c r="M3153" t="s">
        <v>681</v>
      </c>
      <c r="O3153" s="5">
        <v>30856709</v>
      </c>
      <c r="P3153" s="5">
        <v>130167</v>
      </c>
      <c r="Q3153" s="5">
        <v>24732</v>
      </c>
      <c r="R3153" s="5">
        <v>154899</v>
      </c>
    </row>
    <row r="3154" spans="1:18" x14ac:dyDescent="0.25">
      <c r="A3154" t="s">
        <v>496</v>
      </c>
      <c r="B3154" t="s">
        <v>494</v>
      </c>
      <c r="C3154">
        <v>81148200</v>
      </c>
      <c r="D3154">
        <v>22</v>
      </c>
      <c r="E3154">
        <v>30862936</v>
      </c>
      <c r="F3154" t="s">
        <v>589</v>
      </c>
      <c r="G3154" s="1">
        <v>45237</v>
      </c>
      <c r="H3154">
        <v>5414741</v>
      </c>
      <c r="I3154">
        <v>132</v>
      </c>
      <c r="J3154" t="s">
        <v>416</v>
      </c>
      <c r="K3154" s="8" t="str">
        <f>IFERROR(IF(AND(VLOOKUP($C3154,Hes!$A:$B, 1, FALSE), $M3154&lt;&gt;" "), "Ingresada", "Falta Ingresar"), " ")</f>
        <v>Falta Ingresar</v>
      </c>
      <c r="L3154" s="4" t="str">
        <f>IFERROR(VLOOKUP($C3154,Observaciones!$A:$B,2,FALSE)," ")</f>
        <v>XOC Y CC</v>
      </c>
      <c r="M3154" t="s">
        <v>681</v>
      </c>
      <c r="O3154" s="5">
        <v>30862936</v>
      </c>
      <c r="P3154" s="5">
        <v>34508</v>
      </c>
      <c r="Q3154" s="5">
        <v>6557</v>
      </c>
      <c r="R3154" s="5">
        <v>41065</v>
      </c>
    </row>
    <row r="3155" spans="1:18" x14ac:dyDescent="0.25">
      <c r="A3155" t="s">
        <v>496</v>
      </c>
      <c r="B3155" t="s">
        <v>494</v>
      </c>
      <c r="C3155">
        <v>81148200</v>
      </c>
      <c r="D3155">
        <v>5</v>
      </c>
      <c r="E3155">
        <v>30861558</v>
      </c>
      <c r="F3155" t="s">
        <v>589</v>
      </c>
      <c r="G3155" s="1">
        <v>45237</v>
      </c>
      <c r="H3155">
        <v>5414844</v>
      </c>
      <c r="I3155">
        <v>132</v>
      </c>
      <c r="J3155" t="s">
        <v>416</v>
      </c>
      <c r="K3155" s="8" t="str">
        <f>IFERROR(IF(AND(VLOOKUP($C3155,Hes!$A:$B, 1, FALSE), $M3155&lt;&gt;" "), "Ingresada", "Falta Ingresar"), " ")</f>
        <v>Falta Ingresar</v>
      </c>
      <c r="L3155" s="4" t="str">
        <f>IFERROR(VLOOKUP($C3155,Observaciones!$A:$B,2,FALSE)," ")</f>
        <v>XOC Y CC</v>
      </c>
      <c r="M3155" t="s">
        <v>681</v>
      </c>
      <c r="O3155" s="5">
        <v>30861558</v>
      </c>
      <c r="P3155" s="5">
        <v>122642</v>
      </c>
      <c r="Q3155" s="5">
        <v>23302</v>
      </c>
      <c r="R3155" s="5">
        <v>145944</v>
      </c>
    </row>
    <row r="3156" spans="1:18" x14ac:dyDescent="0.25">
      <c r="A3156" t="s">
        <v>496</v>
      </c>
      <c r="B3156" t="s">
        <v>494</v>
      </c>
      <c r="C3156">
        <v>81148200</v>
      </c>
      <c r="D3156">
        <v>30</v>
      </c>
      <c r="E3156">
        <v>30861408</v>
      </c>
      <c r="F3156" t="s">
        <v>589</v>
      </c>
      <c r="G3156" s="1">
        <v>45237</v>
      </c>
      <c r="H3156">
        <v>5414846</v>
      </c>
      <c r="I3156">
        <v>132</v>
      </c>
      <c r="J3156" t="s">
        <v>416</v>
      </c>
      <c r="K3156" s="8" t="str">
        <f>IFERROR(IF(AND(VLOOKUP($C3156,Hes!$A:$B, 1, FALSE), $M3156&lt;&gt;" "), "Ingresada", "Falta Ingresar"), " ")</f>
        <v>Falta Ingresar</v>
      </c>
      <c r="L3156" s="4" t="str">
        <f>IFERROR(VLOOKUP($C3156,Observaciones!$A:$B,2,FALSE)," ")</f>
        <v>XOC Y CC</v>
      </c>
      <c r="M3156" t="s">
        <v>681</v>
      </c>
      <c r="O3156" s="5">
        <v>30861408</v>
      </c>
      <c r="P3156" s="5">
        <v>236151</v>
      </c>
      <c r="Q3156" s="5">
        <v>44869</v>
      </c>
      <c r="R3156" s="5">
        <v>281020</v>
      </c>
    </row>
    <row r="3157" spans="1:18" x14ac:dyDescent="0.25">
      <c r="A3157" t="s">
        <v>496</v>
      </c>
      <c r="B3157" t="s">
        <v>494</v>
      </c>
      <c r="C3157">
        <v>81148200</v>
      </c>
      <c r="D3157">
        <v>28</v>
      </c>
      <c r="E3157">
        <v>30862861</v>
      </c>
      <c r="F3157" t="s">
        <v>589</v>
      </c>
      <c r="G3157" s="1">
        <v>45238</v>
      </c>
      <c r="H3157">
        <v>5415027</v>
      </c>
      <c r="I3157">
        <v>132</v>
      </c>
      <c r="J3157" t="s">
        <v>416</v>
      </c>
      <c r="K3157" s="8" t="str">
        <f>IFERROR(IF(AND(VLOOKUP($C3157,Hes!$A:$B, 1, FALSE), $M3157&lt;&gt;" "), "Ingresada", "Falta Ingresar"), " ")</f>
        <v>Falta Ingresar</v>
      </c>
      <c r="L3157" s="4" t="str">
        <f>IFERROR(VLOOKUP($C3157,Observaciones!$A:$B,2,FALSE)," ")</f>
        <v>XOC Y CC</v>
      </c>
      <c r="M3157" t="s">
        <v>681</v>
      </c>
      <c r="O3157" s="5">
        <v>30862861</v>
      </c>
      <c r="P3157" s="5">
        <v>35022</v>
      </c>
      <c r="Q3157" s="5">
        <v>6654</v>
      </c>
      <c r="R3157" s="5">
        <v>41676</v>
      </c>
    </row>
    <row r="3158" spans="1:18" x14ac:dyDescent="0.25">
      <c r="A3158" t="s">
        <v>496</v>
      </c>
      <c r="B3158" t="s">
        <v>494</v>
      </c>
      <c r="C3158">
        <v>81148200</v>
      </c>
      <c r="D3158">
        <v>11</v>
      </c>
      <c r="E3158">
        <v>30862913</v>
      </c>
      <c r="F3158" t="s">
        <v>589</v>
      </c>
      <c r="G3158" s="1">
        <v>45238</v>
      </c>
      <c r="H3158">
        <v>5415061</v>
      </c>
      <c r="I3158">
        <v>132</v>
      </c>
      <c r="J3158" t="s">
        <v>416</v>
      </c>
      <c r="K3158" s="8" t="str">
        <f>IFERROR(IF(AND(VLOOKUP($C3158,Hes!$A:$B, 1, FALSE), $M3158&lt;&gt;" "), "Ingresada", "Falta Ingresar"), " ")</f>
        <v>Falta Ingresar</v>
      </c>
      <c r="L3158" s="4" t="str">
        <f>IFERROR(VLOOKUP($C3158,Observaciones!$A:$B,2,FALSE)," ")</f>
        <v>XOC Y CC</v>
      </c>
      <c r="M3158" t="s">
        <v>681</v>
      </c>
      <c r="O3158" s="5">
        <v>30862913</v>
      </c>
      <c r="P3158" s="5">
        <v>66006</v>
      </c>
      <c r="Q3158" s="5">
        <v>12541</v>
      </c>
      <c r="R3158" s="5">
        <v>78547</v>
      </c>
    </row>
    <row r="3159" spans="1:18" x14ac:dyDescent="0.25">
      <c r="A3159" t="s">
        <v>496</v>
      </c>
      <c r="B3159" t="s">
        <v>494</v>
      </c>
      <c r="C3159">
        <v>81148200</v>
      </c>
      <c r="D3159">
        <v>29</v>
      </c>
      <c r="E3159">
        <v>30863467</v>
      </c>
      <c r="F3159" t="s">
        <v>589</v>
      </c>
      <c r="G3159" s="1">
        <v>45238</v>
      </c>
      <c r="H3159">
        <v>5415135</v>
      </c>
      <c r="I3159">
        <v>132</v>
      </c>
      <c r="J3159" t="s">
        <v>416</v>
      </c>
      <c r="K3159" s="8" t="str">
        <f>IFERROR(IF(AND(VLOOKUP($C3159,Hes!$A:$B, 1, FALSE), $M3159&lt;&gt;" "), "Ingresada", "Falta Ingresar"), " ")</f>
        <v>Falta Ingresar</v>
      </c>
      <c r="L3159" s="4" t="str">
        <f>IFERROR(VLOOKUP($C3159,Observaciones!$A:$B,2,FALSE)," ")</f>
        <v>XOC Y CC</v>
      </c>
      <c r="M3159" t="s">
        <v>681</v>
      </c>
      <c r="O3159" s="5">
        <v>30863467</v>
      </c>
      <c r="P3159" s="5">
        <v>194137</v>
      </c>
      <c r="Q3159" s="5">
        <v>36886</v>
      </c>
      <c r="R3159" s="5">
        <v>231023</v>
      </c>
    </row>
    <row r="3160" spans="1:18" x14ac:dyDescent="0.25">
      <c r="A3160" t="s">
        <v>496</v>
      </c>
      <c r="B3160" t="s">
        <v>494</v>
      </c>
      <c r="C3160">
        <v>81148200</v>
      </c>
      <c r="D3160">
        <v>76</v>
      </c>
      <c r="E3160">
        <v>30863562</v>
      </c>
      <c r="F3160" t="s">
        <v>589</v>
      </c>
      <c r="G3160" s="1">
        <v>45238</v>
      </c>
      <c r="H3160">
        <v>5415303</v>
      </c>
      <c r="I3160">
        <v>132</v>
      </c>
      <c r="J3160" t="s">
        <v>416</v>
      </c>
      <c r="K3160" s="8" t="str">
        <f>IFERROR(IF(AND(VLOOKUP($C3160,Hes!$A:$B, 1, FALSE), $M3160&lt;&gt;" "), "Ingresada", "Falta Ingresar"), " ")</f>
        <v>Falta Ingresar</v>
      </c>
      <c r="L3160" s="4" t="str">
        <f>IFERROR(VLOOKUP($C3160,Observaciones!$A:$B,2,FALSE)," ")</f>
        <v>XOC Y CC</v>
      </c>
      <c r="M3160" t="s">
        <v>681</v>
      </c>
      <c r="O3160" s="5">
        <v>30863562</v>
      </c>
      <c r="P3160" s="5">
        <v>94519</v>
      </c>
      <c r="Q3160" s="5">
        <v>17959</v>
      </c>
      <c r="R3160" s="5">
        <v>112478</v>
      </c>
    </row>
    <row r="3161" spans="1:18" x14ac:dyDescent="0.25">
      <c r="F3161" t="s">
        <v>511</v>
      </c>
      <c r="K3161" t="str">
        <f>IFERROR(IF(AND(VLOOKUP($C3161,Hes!$A:$B, 1, FALSE), $M3161&lt;&gt;" "), "Ingresada", "Falta Ingresar"), " ")</f>
        <v xml:space="preserve"> </v>
      </c>
      <c r="L3161" s="4" t="str">
        <f>IFERROR(VLOOKUP($C3161,Observaciones!$A:$B,2,FALSE)," ")</f>
        <v xml:space="preserve"> </v>
      </c>
      <c r="M3161" t="s">
        <v>681</v>
      </c>
      <c r="P3161" s="5">
        <v>913152</v>
      </c>
      <c r="Q3161" s="5">
        <v>173500</v>
      </c>
      <c r="R3161" s="5">
        <v>1086652</v>
      </c>
    </row>
    <row r="3162" spans="1:18" x14ac:dyDescent="0.25">
      <c r="A3162" t="s">
        <v>496</v>
      </c>
      <c r="B3162" t="s">
        <v>494</v>
      </c>
      <c r="C3162">
        <v>81185000</v>
      </c>
      <c r="D3162">
        <v>6</v>
      </c>
      <c r="E3162">
        <v>23018297</v>
      </c>
      <c r="F3162" t="s">
        <v>1388</v>
      </c>
      <c r="G3162" s="1">
        <v>45232</v>
      </c>
      <c r="H3162">
        <v>5411191</v>
      </c>
      <c r="I3162">
        <v>181</v>
      </c>
      <c r="J3162" t="s">
        <v>206</v>
      </c>
      <c r="K3162" t="str">
        <f>IFERROR(IF(AND(VLOOKUP($C3162,Hes!$A:$B, 1, FALSE), $M3162&lt;&gt;" "), "Ingresada", "Falta Ingresar"), " ")</f>
        <v xml:space="preserve"> </v>
      </c>
      <c r="L3162" s="4" t="str">
        <f>IFERROR(VLOOKUP($C3162,Observaciones!$A:$B,2,FALSE)," ")</f>
        <v>XOC Y CC</v>
      </c>
      <c r="M3162" t="s">
        <v>681</v>
      </c>
      <c r="O3162" s="5">
        <v>30848267</v>
      </c>
      <c r="P3162" s="5">
        <v>115718</v>
      </c>
      <c r="Q3162" s="5">
        <v>21986</v>
      </c>
      <c r="R3162" s="5">
        <v>137704</v>
      </c>
    </row>
    <row r="3163" spans="1:18" x14ac:dyDescent="0.25">
      <c r="A3163" t="s">
        <v>496</v>
      </c>
      <c r="B3163" t="s">
        <v>494</v>
      </c>
      <c r="C3163">
        <v>81185000</v>
      </c>
      <c r="D3163">
        <v>7</v>
      </c>
      <c r="E3163">
        <v>23018755</v>
      </c>
      <c r="F3163" t="s">
        <v>1388</v>
      </c>
      <c r="G3163" s="1">
        <v>45234</v>
      </c>
      <c r="H3163">
        <v>5411760</v>
      </c>
      <c r="I3163">
        <v>181</v>
      </c>
      <c r="J3163" t="s">
        <v>206</v>
      </c>
      <c r="K3163" t="str">
        <f>IFERROR(IF(AND(VLOOKUP($C3163,Hes!$A:$B, 1, FALSE), $M3163&lt;&gt;" "), "Ingresada", "Falta Ingresar"), " ")</f>
        <v xml:space="preserve"> </v>
      </c>
      <c r="L3163" s="4" t="str">
        <f>IFERROR(VLOOKUP($C3163,Observaciones!$A:$B,2,FALSE)," ")</f>
        <v>XOC Y CC</v>
      </c>
      <c r="M3163" t="s">
        <v>681</v>
      </c>
      <c r="O3163" s="5">
        <v>30845403</v>
      </c>
      <c r="P3163" s="5">
        <v>148314</v>
      </c>
      <c r="Q3163" s="5">
        <v>28180</v>
      </c>
      <c r="R3163" s="5">
        <v>176494</v>
      </c>
    </row>
    <row r="3164" spans="1:18" x14ac:dyDescent="0.25">
      <c r="A3164" t="s">
        <v>496</v>
      </c>
      <c r="B3164" t="s">
        <v>494</v>
      </c>
      <c r="C3164">
        <v>81185000</v>
      </c>
      <c r="D3164">
        <v>7</v>
      </c>
      <c r="E3164">
        <v>23018764</v>
      </c>
      <c r="F3164" t="s">
        <v>1388</v>
      </c>
      <c r="G3164" s="1">
        <v>45234</v>
      </c>
      <c r="H3164">
        <v>5411762</v>
      </c>
      <c r="I3164">
        <v>181</v>
      </c>
      <c r="J3164" t="s">
        <v>206</v>
      </c>
      <c r="K3164" t="str">
        <f>IFERROR(IF(AND(VLOOKUP($C3164,Hes!$A:$B, 1, FALSE), $M3164&lt;&gt;" "), "Ingresada", "Falta Ingresar"), " ")</f>
        <v xml:space="preserve"> </v>
      </c>
      <c r="L3164" s="4" t="str">
        <f>IFERROR(VLOOKUP($C3164,Observaciones!$A:$B,2,FALSE)," ")</f>
        <v>XOC Y CC</v>
      </c>
      <c r="M3164" t="s">
        <v>681</v>
      </c>
      <c r="O3164" s="5">
        <v>30848661</v>
      </c>
      <c r="P3164" s="5">
        <v>360706</v>
      </c>
      <c r="Q3164" s="5">
        <v>68534</v>
      </c>
      <c r="R3164" s="5">
        <v>429240</v>
      </c>
    </row>
    <row r="3165" spans="1:18" x14ac:dyDescent="0.25">
      <c r="A3165" t="s">
        <v>496</v>
      </c>
      <c r="B3165" t="s">
        <v>494</v>
      </c>
      <c r="C3165">
        <v>81185000</v>
      </c>
      <c r="D3165">
        <v>6</v>
      </c>
      <c r="E3165">
        <v>23018414</v>
      </c>
      <c r="F3165" t="s">
        <v>1388</v>
      </c>
      <c r="G3165" s="1">
        <v>45236</v>
      </c>
      <c r="H3165">
        <v>5413282</v>
      </c>
      <c r="I3165">
        <v>181</v>
      </c>
      <c r="J3165" t="s">
        <v>206</v>
      </c>
      <c r="K3165" t="str">
        <f>IFERROR(IF(AND(VLOOKUP($C3165,Hes!$A:$B, 1, FALSE), $M3165&lt;&gt;" "), "Ingresada", "Falta Ingresar"), " ")</f>
        <v xml:space="preserve"> </v>
      </c>
      <c r="L3165" s="4" t="str">
        <f>IFERROR(VLOOKUP($C3165,Observaciones!$A:$B,2,FALSE)," ")</f>
        <v>XOC Y CC</v>
      </c>
      <c r="M3165" t="s">
        <v>681</v>
      </c>
      <c r="O3165" s="5">
        <v>30857229</v>
      </c>
      <c r="P3165" s="5">
        <v>21966</v>
      </c>
      <c r="Q3165" s="5">
        <v>4174</v>
      </c>
      <c r="R3165" s="5">
        <v>26140</v>
      </c>
    </row>
    <row r="3166" spans="1:18" x14ac:dyDescent="0.25">
      <c r="F3166" t="s">
        <v>498</v>
      </c>
      <c r="K3166" t="str">
        <f>IFERROR(IF(AND(VLOOKUP($C3166,Hes!$A:$B, 1, FALSE), $M3166&lt;&gt;" "), "Ingresada", "Falta Ingresar"), " ")</f>
        <v xml:space="preserve"> </v>
      </c>
      <c r="L3166" s="4" t="str">
        <f>IFERROR(VLOOKUP($C3166,Observaciones!$A:$B,2,FALSE)," ")</f>
        <v xml:space="preserve"> </v>
      </c>
      <c r="M3166" t="s">
        <v>681</v>
      </c>
      <c r="P3166" s="5">
        <v>646704</v>
      </c>
      <c r="Q3166" s="5">
        <v>122874</v>
      </c>
      <c r="R3166" s="5">
        <v>769578</v>
      </c>
    </row>
    <row r="3167" spans="1:18" x14ac:dyDescent="0.25">
      <c r="A3167" t="s">
        <v>503</v>
      </c>
      <c r="B3167" t="s">
        <v>494</v>
      </c>
      <c r="C3167">
        <v>81242500</v>
      </c>
      <c r="D3167">
        <v>23</v>
      </c>
      <c r="E3167">
        <v>30857924</v>
      </c>
      <c r="F3167" t="s">
        <v>1389</v>
      </c>
      <c r="G3167" s="1">
        <v>45236</v>
      </c>
      <c r="H3167">
        <v>5413644</v>
      </c>
      <c r="I3167">
        <v>176</v>
      </c>
      <c r="J3167" t="s">
        <v>158</v>
      </c>
      <c r="K3167" t="str">
        <f>IFERROR(IF(AND(VLOOKUP($C3167,Hes!$A:$B, 1, FALSE), $M3167&lt;&gt;" "), "Ingresada", "Falta Ingresar"), " ")</f>
        <v xml:space="preserve"> </v>
      </c>
      <c r="L3167" s="4" t="str">
        <f>IFERROR(VLOOKUP($C3167,Observaciones!$A:$B,2,FALSE)," ")</f>
        <v>MANUAL XOC Y CC INDIVIDUAL</v>
      </c>
      <c r="M3167" t="s">
        <v>681</v>
      </c>
      <c r="O3167" s="5">
        <v>30857924</v>
      </c>
      <c r="P3167" s="5">
        <v>199429</v>
      </c>
      <c r="Q3167" s="5">
        <v>37892</v>
      </c>
      <c r="R3167" s="5">
        <v>237321</v>
      </c>
    </row>
    <row r="3168" spans="1:18" x14ac:dyDescent="0.25">
      <c r="F3168" t="s">
        <v>495</v>
      </c>
      <c r="K3168" t="str">
        <f>IFERROR(IF(AND(VLOOKUP($C3168,Hes!$A:$B, 1, FALSE), $M3168&lt;&gt;" "), "Ingresada", "Falta Ingresar"), " ")</f>
        <v xml:space="preserve"> </v>
      </c>
      <c r="L3168" s="4" t="str">
        <f>IFERROR(VLOOKUP($C3168,Observaciones!$A:$B,2,FALSE)," ")</f>
        <v xml:space="preserve"> </v>
      </c>
      <c r="M3168" t="s">
        <v>681</v>
      </c>
      <c r="P3168" s="5">
        <v>199429</v>
      </c>
      <c r="Q3168" s="5">
        <v>37892</v>
      </c>
      <c r="R3168" s="5">
        <v>237321</v>
      </c>
    </row>
    <row r="3169" spans="1:18" x14ac:dyDescent="0.25">
      <c r="A3169" t="s">
        <v>503</v>
      </c>
      <c r="B3169" t="s">
        <v>494</v>
      </c>
      <c r="C3169">
        <v>81290800</v>
      </c>
      <c r="D3169">
        <v>30</v>
      </c>
      <c r="E3169">
        <v>30845865</v>
      </c>
      <c r="F3169" t="s">
        <v>1390</v>
      </c>
      <c r="G3169" s="1">
        <v>45231</v>
      </c>
      <c r="H3169">
        <v>5410668</v>
      </c>
      <c r="I3169">
        <v>52</v>
      </c>
      <c r="J3169" t="s">
        <v>311</v>
      </c>
      <c r="K3169" t="str">
        <f>IFERROR(IF(AND(VLOOKUP($C3169,Hes!$A:$B, 1, FALSE), $M3169&lt;&gt;" "), "Ingresada", "Falta Ingresar"), " ")</f>
        <v xml:space="preserve"> </v>
      </c>
      <c r="L3169" s="4" t="s">
        <v>681</v>
      </c>
      <c r="M3169" t="s">
        <v>681</v>
      </c>
      <c r="O3169" s="5">
        <v>30845865</v>
      </c>
      <c r="P3169" s="5">
        <v>46572</v>
      </c>
      <c r="Q3169" s="5">
        <v>8849</v>
      </c>
      <c r="R3169" s="5">
        <v>55421</v>
      </c>
    </row>
    <row r="3170" spans="1:18" x14ac:dyDescent="0.25">
      <c r="A3170" t="s">
        <v>503</v>
      </c>
      <c r="B3170" t="s">
        <v>494</v>
      </c>
      <c r="C3170">
        <v>81290800</v>
      </c>
      <c r="D3170">
        <v>38</v>
      </c>
      <c r="E3170">
        <v>30858287</v>
      </c>
      <c r="F3170" t="s">
        <v>1390</v>
      </c>
      <c r="G3170" s="1">
        <v>45237</v>
      </c>
      <c r="H3170">
        <v>5413967</v>
      </c>
      <c r="I3170">
        <v>52</v>
      </c>
      <c r="J3170" t="s">
        <v>311</v>
      </c>
      <c r="K3170" t="str">
        <f>IFERROR(IF(AND(VLOOKUP($C3170,Hes!$A:$B, 1, FALSE), $M3170&lt;&gt;" "), "Ingresada", "Falta Ingresar"), " ")</f>
        <v xml:space="preserve"> </v>
      </c>
      <c r="L3170" s="4" t="s">
        <v>681</v>
      </c>
      <c r="M3170" t="s">
        <v>681</v>
      </c>
      <c r="O3170" s="5">
        <v>30858287</v>
      </c>
      <c r="P3170" s="5">
        <v>108114</v>
      </c>
      <c r="Q3170" s="5">
        <v>20542</v>
      </c>
      <c r="R3170" s="5">
        <v>128656</v>
      </c>
    </row>
    <row r="3171" spans="1:18" x14ac:dyDescent="0.25">
      <c r="A3171" t="s">
        <v>503</v>
      </c>
      <c r="B3171" t="s">
        <v>494</v>
      </c>
      <c r="C3171">
        <v>81290800</v>
      </c>
      <c r="D3171">
        <v>68</v>
      </c>
      <c r="E3171">
        <v>30858283</v>
      </c>
      <c r="F3171" t="s">
        <v>1390</v>
      </c>
      <c r="G3171" s="1">
        <v>45237</v>
      </c>
      <c r="H3171">
        <v>5414009</v>
      </c>
      <c r="I3171">
        <v>52</v>
      </c>
      <c r="J3171" t="s">
        <v>311</v>
      </c>
      <c r="K3171" t="str">
        <f>IFERROR(IF(AND(VLOOKUP($C3171,Hes!$A:$B, 1, FALSE), $M3171&lt;&gt;" "), "Ingresada", "Falta Ingresar"), " ")</f>
        <v xml:space="preserve"> </v>
      </c>
      <c r="L3171" s="4" t="s">
        <v>681</v>
      </c>
      <c r="M3171" t="s">
        <v>681</v>
      </c>
      <c r="O3171" s="5">
        <v>30858283</v>
      </c>
      <c r="P3171" s="5">
        <v>102647</v>
      </c>
      <c r="Q3171" s="5">
        <v>19503</v>
      </c>
      <c r="R3171" s="5">
        <v>122150</v>
      </c>
    </row>
    <row r="3172" spans="1:18" x14ac:dyDescent="0.25">
      <c r="A3172" t="s">
        <v>503</v>
      </c>
      <c r="B3172" t="s">
        <v>494</v>
      </c>
      <c r="C3172">
        <v>81290800</v>
      </c>
      <c r="D3172">
        <v>3</v>
      </c>
      <c r="E3172">
        <v>30858284</v>
      </c>
      <c r="F3172" t="s">
        <v>1390</v>
      </c>
      <c r="G3172" s="1">
        <v>45238</v>
      </c>
      <c r="H3172">
        <v>5414531</v>
      </c>
      <c r="I3172">
        <v>52</v>
      </c>
      <c r="J3172" t="s">
        <v>311</v>
      </c>
      <c r="K3172" t="str">
        <f>IFERROR(IF(AND(VLOOKUP($C3172,Hes!$A:$B, 1, FALSE), $M3172&lt;&gt;" "), "Ingresada", "Falta Ingresar"), " ")</f>
        <v xml:space="preserve"> </v>
      </c>
      <c r="L3172" s="4" t="s">
        <v>681</v>
      </c>
      <c r="M3172" t="s">
        <v>681</v>
      </c>
      <c r="O3172" s="5">
        <v>30858284</v>
      </c>
      <c r="P3172" s="5">
        <v>117832</v>
      </c>
      <c r="Q3172" s="5">
        <v>22388</v>
      </c>
      <c r="R3172" s="5">
        <v>140220</v>
      </c>
    </row>
    <row r="3173" spans="1:18" x14ac:dyDescent="0.25">
      <c r="A3173" t="s">
        <v>503</v>
      </c>
      <c r="B3173" t="s">
        <v>494</v>
      </c>
      <c r="C3173">
        <v>81290800</v>
      </c>
      <c r="D3173">
        <v>41</v>
      </c>
      <c r="E3173">
        <v>30858286</v>
      </c>
      <c r="F3173" t="s">
        <v>1390</v>
      </c>
      <c r="G3173" s="1">
        <v>45238</v>
      </c>
      <c r="H3173">
        <v>5414611</v>
      </c>
      <c r="I3173">
        <v>52</v>
      </c>
      <c r="J3173" t="s">
        <v>311</v>
      </c>
      <c r="K3173" t="str">
        <f>IFERROR(IF(AND(VLOOKUP($C3173,Hes!$A:$B, 1, FALSE), $M3173&lt;&gt;" "), "Ingresada", "Falta Ingresar"), " ")</f>
        <v xml:space="preserve"> </v>
      </c>
      <c r="L3173" s="4" t="s">
        <v>681</v>
      </c>
      <c r="M3173" t="s">
        <v>681</v>
      </c>
      <c r="O3173" s="5">
        <v>30858286</v>
      </c>
      <c r="P3173" s="5">
        <v>115014</v>
      </c>
      <c r="Q3173" s="5">
        <v>21853</v>
      </c>
      <c r="R3173" s="5">
        <v>136867</v>
      </c>
    </row>
    <row r="3174" spans="1:18" x14ac:dyDescent="0.25">
      <c r="A3174" t="s">
        <v>503</v>
      </c>
      <c r="B3174" t="s">
        <v>494</v>
      </c>
      <c r="C3174">
        <v>81290800</v>
      </c>
      <c r="D3174">
        <v>8</v>
      </c>
      <c r="E3174">
        <v>30858281</v>
      </c>
      <c r="F3174" t="s">
        <v>1390</v>
      </c>
      <c r="G3174" s="1">
        <v>45238</v>
      </c>
      <c r="H3174">
        <v>5414671</v>
      </c>
      <c r="I3174">
        <v>52</v>
      </c>
      <c r="J3174" t="s">
        <v>311</v>
      </c>
      <c r="K3174" t="str">
        <f>IFERROR(IF(AND(VLOOKUP($C3174,Hes!$A:$B, 1, FALSE), $M3174&lt;&gt;" "), "Ingresada", "Falta Ingresar"), " ")</f>
        <v xml:space="preserve"> </v>
      </c>
      <c r="L3174" s="4" t="s">
        <v>681</v>
      </c>
      <c r="M3174" t="s">
        <v>681</v>
      </c>
      <c r="O3174" s="5">
        <v>30858281</v>
      </c>
      <c r="P3174" s="5">
        <v>143960</v>
      </c>
      <c r="Q3174" s="5">
        <v>27352</v>
      </c>
      <c r="R3174" s="5">
        <v>171312</v>
      </c>
    </row>
    <row r="3175" spans="1:18" x14ac:dyDescent="0.25">
      <c r="A3175" t="s">
        <v>503</v>
      </c>
      <c r="B3175" t="s">
        <v>494</v>
      </c>
      <c r="C3175">
        <v>81290800</v>
      </c>
      <c r="D3175">
        <v>23</v>
      </c>
      <c r="E3175">
        <v>30858285</v>
      </c>
      <c r="F3175" t="s">
        <v>1390</v>
      </c>
      <c r="G3175" s="1">
        <v>45237</v>
      </c>
      <c r="H3175">
        <v>5414728</v>
      </c>
      <c r="I3175">
        <v>52</v>
      </c>
      <c r="J3175" t="s">
        <v>311</v>
      </c>
      <c r="K3175" t="str">
        <f>IFERROR(IF(AND(VLOOKUP($C3175,Hes!$A:$B, 1, FALSE), $M3175&lt;&gt;" "), "Ingresada", "Falta Ingresar"), " ")</f>
        <v xml:space="preserve"> </v>
      </c>
      <c r="L3175" s="4" t="s">
        <v>681</v>
      </c>
      <c r="M3175" t="s">
        <v>681</v>
      </c>
      <c r="O3175" s="5">
        <v>30858285</v>
      </c>
      <c r="P3175" s="5">
        <v>139724</v>
      </c>
      <c r="Q3175" s="5">
        <v>26548</v>
      </c>
      <c r="R3175" s="5">
        <v>166272</v>
      </c>
    </row>
    <row r="3176" spans="1:18" x14ac:dyDescent="0.25">
      <c r="A3176" t="s">
        <v>503</v>
      </c>
      <c r="B3176" t="s">
        <v>494</v>
      </c>
      <c r="C3176">
        <v>81290800</v>
      </c>
      <c r="D3176">
        <v>55</v>
      </c>
      <c r="E3176">
        <v>30858282</v>
      </c>
      <c r="F3176" t="s">
        <v>1390</v>
      </c>
      <c r="G3176" s="1">
        <v>45238</v>
      </c>
      <c r="H3176">
        <v>5414832</v>
      </c>
      <c r="I3176">
        <v>52</v>
      </c>
      <c r="J3176" t="s">
        <v>311</v>
      </c>
      <c r="K3176" t="str">
        <f>IFERROR(IF(AND(VLOOKUP($C3176,Hes!$A:$B, 1, FALSE), $M3176&lt;&gt;" "), "Ingresada", "Falta Ingresar"), " ")</f>
        <v xml:space="preserve"> </v>
      </c>
      <c r="L3176" s="4" t="s">
        <v>681</v>
      </c>
      <c r="M3176" t="s">
        <v>681</v>
      </c>
      <c r="O3176" s="5">
        <v>30858282</v>
      </c>
      <c r="P3176" s="5">
        <v>63674</v>
      </c>
      <c r="Q3176" s="5">
        <v>12098</v>
      </c>
      <c r="R3176" s="5">
        <v>75772</v>
      </c>
    </row>
    <row r="3177" spans="1:18" x14ac:dyDescent="0.25">
      <c r="F3177" t="s">
        <v>511</v>
      </c>
      <c r="K3177" t="str">
        <f>IFERROR(IF(AND(VLOOKUP($C3177,Hes!$A:$B, 1, FALSE), $M3177&lt;&gt;" "), "Ingresada", "Falta Ingresar"), " ")</f>
        <v xml:space="preserve"> </v>
      </c>
      <c r="L3177" s="4" t="str">
        <f>IFERROR(VLOOKUP($C3177,Observaciones!$A:$B,2,FALSE)," ")</f>
        <v xml:space="preserve"> </v>
      </c>
      <c r="M3177" t="s">
        <v>681</v>
      </c>
      <c r="P3177" s="5">
        <v>837537</v>
      </c>
      <c r="Q3177" s="5">
        <v>159133</v>
      </c>
      <c r="R3177" s="5">
        <v>996670</v>
      </c>
    </row>
    <row r="3178" spans="1:18" x14ac:dyDescent="0.25">
      <c r="A3178" t="s">
        <v>501</v>
      </c>
      <c r="B3178" t="s">
        <v>509</v>
      </c>
      <c r="C3178">
        <v>81450600</v>
      </c>
      <c r="D3178">
        <v>14</v>
      </c>
      <c r="E3178" t="s">
        <v>1391</v>
      </c>
      <c r="F3178" t="s">
        <v>1392</v>
      </c>
      <c r="G3178" s="1">
        <v>45236</v>
      </c>
      <c r="H3178">
        <v>5413496</v>
      </c>
      <c r="I3178">
        <v>81</v>
      </c>
      <c r="J3178" t="s">
        <v>144</v>
      </c>
      <c r="K3178" t="str">
        <f>IFERROR(IF(AND(VLOOKUP($C3178,Hes!$A:$B, 1, FALSE), $M3178&lt;&gt;" "), "Ingresada", "Falta Ingresar"), " ")</f>
        <v xml:space="preserve"> </v>
      </c>
      <c r="L3178" s="4" t="str">
        <f>IFERROR(VLOOKUP($C3178,Observaciones!$A:$B,2,FALSE)," ")</f>
        <v xml:space="preserve"> </v>
      </c>
      <c r="M3178" t="s">
        <v>681</v>
      </c>
      <c r="O3178" s="5">
        <v>30844063</v>
      </c>
      <c r="P3178" s="5">
        <v>40659</v>
      </c>
      <c r="Q3178" s="5">
        <v>7725</v>
      </c>
      <c r="R3178" s="5">
        <v>48384</v>
      </c>
    </row>
    <row r="3179" spans="1:18" x14ac:dyDescent="0.25">
      <c r="A3179" t="s">
        <v>501</v>
      </c>
      <c r="B3179" t="s">
        <v>509</v>
      </c>
      <c r="C3179">
        <v>81450600</v>
      </c>
      <c r="D3179">
        <v>14</v>
      </c>
      <c r="E3179" t="s">
        <v>1393</v>
      </c>
      <c r="F3179" t="s">
        <v>1392</v>
      </c>
      <c r="G3179" s="1">
        <v>45236</v>
      </c>
      <c r="H3179">
        <v>5413836</v>
      </c>
      <c r="I3179">
        <v>81</v>
      </c>
      <c r="J3179" t="s">
        <v>144</v>
      </c>
      <c r="K3179" t="str">
        <f>IFERROR(IF(AND(VLOOKUP($C3179,Hes!$A:$B, 1, FALSE), $M3179&lt;&gt;" "), "Ingresada", "Falta Ingresar"), " ")</f>
        <v xml:space="preserve"> </v>
      </c>
      <c r="L3179" s="4" t="str">
        <f>IFERROR(VLOOKUP($C3179,Observaciones!$A:$B,2,FALSE)," ")</f>
        <v xml:space="preserve"> </v>
      </c>
      <c r="M3179" t="s">
        <v>681</v>
      </c>
      <c r="O3179" s="5">
        <v>30844090</v>
      </c>
      <c r="P3179" s="5">
        <v>242715</v>
      </c>
      <c r="Q3179" s="5">
        <v>46116</v>
      </c>
      <c r="R3179" s="5">
        <v>288831</v>
      </c>
    </row>
    <row r="3180" spans="1:18" x14ac:dyDescent="0.25">
      <c r="A3180" t="s">
        <v>501</v>
      </c>
      <c r="B3180" t="s">
        <v>509</v>
      </c>
      <c r="C3180">
        <v>81450600</v>
      </c>
      <c r="D3180">
        <v>60</v>
      </c>
      <c r="E3180" t="s">
        <v>1394</v>
      </c>
      <c r="F3180" t="s">
        <v>1392</v>
      </c>
      <c r="G3180" s="1">
        <v>45237</v>
      </c>
      <c r="H3180">
        <v>5414393</v>
      </c>
      <c r="I3180">
        <v>81</v>
      </c>
      <c r="J3180" t="s">
        <v>144</v>
      </c>
      <c r="K3180" t="str">
        <f>IFERROR(IF(AND(VLOOKUP($C3180,Hes!$A:$B, 1, FALSE), $M3180&lt;&gt;" "), "Ingresada", "Falta Ingresar"), " ")</f>
        <v xml:space="preserve"> </v>
      </c>
      <c r="L3180" s="4" t="str">
        <f>IFERROR(VLOOKUP($C3180,Observaciones!$A:$B,2,FALSE)," ")</f>
        <v xml:space="preserve"> </v>
      </c>
      <c r="M3180" t="s">
        <v>681</v>
      </c>
      <c r="O3180" s="5">
        <v>30860841</v>
      </c>
      <c r="P3180" s="5">
        <v>137600</v>
      </c>
      <c r="Q3180" s="5">
        <v>26144</v>
      </c>
      <c r="R3180" s="5">
        <v>163744</v>
      </c>
    </row>
    <row r="3181" spans="1:18" x14ac:dyDescent="0.25">
      <c r="A3181" t="s">
        <v>501</v>
      </c>
      <c r="B3181" t="s">
        <v>509</v>
      </c>
      <c r="C3181">
        <v>81450600</v>
      </c>
      <c r="D3181">
        <v>0</v>
      </c>
      <c r="E3181" t="s">
        <v>1395</v>
      </c>
      <c r="F3181" t="s">
        <v>1392</v>
      </c>
      <c r="G3181" s="1">
        <v>45238</v>
      </c>
      <c r="H3181">
        <v>5415462</v>
      </c>
      <c r="I3181">
        <v>81</v>
      </c>
      <c r="J3181" t="s">
        <v>144</v>
      </c>
      <c r="K3181" t="str">
        <f>IFERROR(IF(AND(VLOOKUP($C3181,Hes!$A:$B, 1, FALSE), $M3181&lt;&gt;" "), "Ingresada", "Falta Ingresar"), " ")</f>
        <v xml:space="preserve"> </v>
      </c>
      <c r="L3181" s="4" t="str">
        <f>IFERROR(VLOOKUP($C3181,Observaciones!$A:$B,2,FALSE)," ")</f>
        <v xml:space="preserve"> </v>
      </c>
      <c r="M3181" t="s">
        <v>681</v>
      </c>
      <c r="O3181" s="5">
        <v>30863230</v>
      </c>
      <c r="P3181" s="5">
        <v>327252</v>
      </c>
      <c r="Q3181" s="5">
        <v>62178</v>
      </c>
      <c r="R3181" s="5">
        <v>389430</v>
      </c>
    </row>
    <row r="3182" spans="1:18" x14ac:dyDescent="0.25">
      <c r="A3182" t="s">
        <v>501</v>
      </c>
      <c r="B3182" t="s">
        <v>509</v>
      </c>
      <c r="C3182">
        <v>81450600</v>
      </c>
      <c r="D3182">
        <v>15</v>
      </c>
      <c r="E3182">
        <v>30862951</v>
      </c>
      <c r="F3182" t="s">
        <v>1392</v>
      </c>
      <c r="G3182" s="1">
        <v>45238</v>
      </c>
      <c r="H3182">
        <v>5415638</v>
      </c>
      <c r="I3182">
        <v>81</v>
      </c>
      <c r="J3182" t="s">
        <v>144</v>
      </c>
      <c r="K3182" t="str">
        <f>IFERROR(IF(AND(VLOOKUP($C3182,Hes!$A:$B, 1, FALSE), $M3182&lt;&gt;" "), "Ingresada", "Falta Ingresar"), " ")</f>
        <v xml:space="preserve"> </v>
      </c>
      <c r="L3182" s="4" t="str">
        <f>IFERROR(VLOOKUP($C3182,Observaciones!$A:$B,2,FALSE)," ")</f>
        <v xml:space="preserve"> </v>
      </c>
      <c r="M3182" t="s">
        <v>681</v>
      </c>
      <c r="O3182" s="5">
        <v>30862951</v>
      </c>
      <c r="P3182" s="5">
        <v>138865</v>
      </c>
      <c r="Q3182" s="5">
        <v>26384</v>
      </c>
      <c r="R3182" s="5">
        <v>165249</v>
      </c>
    </row>
    <row r="3183" spans="1:18" x14ac:dyDescent="0.25">
      <c r="F3183" t="s">
        <v>499</v>
      </c>
      <c r="K3183" t="str">
        <f>IFERROR(IF(AND(VLOOKUP($C3183,Hes!$A:$B, 1, FALSE), $M3183&lt;&gt;" "), "Ingresada", "Falta Ingresar"), " ")</f>
        <v xml:space="preserve"> </v>
      </c>
      <c r="L3183" s="4" t="str">
        <f>IFERROR(VLOOKUP($C3183,Observaciones!$A:$B,2,FALSE)," ")</f>
        <v xml:space="preserve"> </v>
      </c>
      <c r="M3183" t="s">
        <v>681</v>
      </c>
      <c r="P3183" s="5">
        <v>887091</v>
      </c>
      <c r="Q3183" s="5">
        <v>168547</v>
      </c>
      <c r="R3183" s="5">
        <v>1055638</v>
      </c>
    </row>
    <row r="3184" spans="1:18" x14ac:dyDescent="0.25">
      <c r="A3184" t="s">
        <v>512</v>
      </c>
      <c r="B3184" t="s">
        <v>494</v>
      </c>
      <c r="C3184">
        <v>81458500</v>
      </c>
      <c r="D3184">
        <v>0</v>
      </c>
      <c r="E3184">
        <v>30843395</v>
      </c>
      <c r="F3184" t="s">
        <v>590</v>
      </c>
      <c r="G3184" s="1">
        <v>45232</v>
      </c>
      <c r="H3184">
        <v>5410719</v>
      </c>
      <c r="I3184">
        <v>134</v>
      </c>
      <c r="J3184" t="s">
        <v>208</v>
      </c>
      <c r="K3184" s="8" t="str">
        <f>IFERROR(IF(AND(VLOOKUP($C3184,Hes!$A:$B, 1, FALSE), $M3184&lt;&gt;" "), "Ingresada", "Falta Ingresar"), " ")</f>
        <v>Falta Ingresar</v>
      </c>
      <c r="L3184" s="4" t="str">
        <f>IFERROR(VLOOKUP($C3184,Observaciones!$A:$B,2,FALSE)," ")</f>
        <v xml:space="preserve"> </v>
      </c>
      <c r="M3184" t="s">
        <v>681</v>
      </c>
      <c r="N3184" s="5" t="s">
        <v>841</v>
      </c>
      <c r="O3184" s="5">
        <v>30845668</v>
      </c>
      <c r="P3184" s="5">
        <v>37375</v>
      </c>
      <c r="Q3184" s="5">
        <v>7101</v>
      </c>
      <c r="R3184" s="5">
        <v>44476</v>
      </c>
    </row>
    <row r="3185" spans="1:18" x14ac:dyDescent="0.25">
      <c r="A3185" t="s">
        <v>512</v>
      </c>
      <c r="B3185" t="s">
        <v>494</v>
      </c>
      <c r="C3185">
        <v>81458500</v>
      </c>
      <c r="D3185">
        <v>9</v>
      </c>
      <c r="E3185">
        <v>30843039</v>
      </c>
      <c r="F3185" t="s">
        <v>590</v>
      </c>
      <c r="G3185" s="1">
        <v>45232</v>
      </c>
      <c r="H3185">
        <v>5410757</v>
      </c>
      <c r="I3185">
        <v>134</v>
      </c>
      <c r="J3185" t="s">
        <v>208</v>
      </c>
      <c r="K3185" s="8" t="str">
        <f>IFERROR(IF(AND(VLOOKUP($C3185,Hes!$A:$B, 1, FALSE), $M3185&lt;&gt;" "), "Ingresada", "Falta Ingresar"), " ")</f>
        <v>Falta Ingresar</v>
      </c>
      <c r="L3185" s="4" t="str">
        <f>IFERROR(VLOOKUP($C3185,Observaciones!$A:$B,2,FALSE)," ")</f>
        <v xml:space="preserve"> </v>
      </c>
      <c r="M3185" t="s">
        <v>681</v>
      </c>
      <c r="N3185" s="5" t="s">
        <v>841</v>
      </c>
      <c r="O3185" s="5">
        <v>30845624</v>
      </c>
      <c r="P3185" s="5">
        <v>196166</v>
      </c>
      <c r="Q3185" s="5">
        <v>37272</v>
      </c>
      <c r="R3185" s="5">
        <v>233438</v>
      </c>
    </row>
    <row r="3186" spans="1:18" x14ac:dyDescent="0.25">
      <c r="A3186" t="s">
        <v>512</v>
      </c>
      <c r="B3186" t="s">
        <v>494</v>
      </c>
      <c r="C3186">
        <v>81458500</v>
      </c>
      <c r="D3186">
        <v>52</v>
      </c>
      <c r="E3186" t="s">
        <v>1396</v>
      </c>
      <c r="F3186" t="s">
        <v>590</v>
      </c>
      <c r="G3186" s="1">
        <v>45234</v>
      </c>
      <c r="H3186">
        <v>5411810</v>
      </c>
      <c r="I3186">
        <v>134</v>
      </c>
      <c r="J3186" t="s">
        <v>208</v>
      </c>
      <c r="K3186" s="8" t="str">
        <f>IFERROR(IF(AND(VLOOKUP($C3186,Hes!$A:$B, 1, FALSE), $M3186&lt;&gt;" "), "Ingresada", "Falta Ingresar"), " ")</f>
        <v>Falta Ingresar</v>
      </c>
      <c r="L3186" s="4" t="str">
        <f>IFERROR(VLOOKUP($C3186,Observaciones!$A:$B,2,FALSE)," ")</f>
        <v xml:space="preserve"> </v>
      </c>
      <c r="M3186" t="s">
        <v>681</v>
      </c>
      <c r="N3186" s="5" t="s">
        <v>841</v>
      </c>
      <c r="O3186" s="5">
        <v>30845697</v>
      </c>
      <c r="P3186" s="5">
        <v>244655</v>
      </c>
      <c r="Q3186" s="5">
        <v>46484</v>
      </c>
      <c r="R3186" s="5">
        <v>291139</v>
      </c>
    </row>
    <row r="3187" spans="1:18" x14ac:dyDescent="0.25">
      <c r="A3187" t="s">
        <v>512</v>
      </c>
      <c r="B3187" t="s">
        <v>494</v>
      </c>
      <c r="C3187">
        <v>81458500</v>
      </c>
      <c r="D3187">
        <v>52</v>
      </c>
      <c r="E3187" t="s">
        <v>1396</v>
      </c>
      <c r="F3187" t="s">
        <v>590</v>
      </c>
      <c r="G3187" s="1">
        <v>45234</v>
      </c>
      <c r="H3187">
        <v>5411811</v>
      </c>
      <c r="I3187">
        <v>134</v>
      </c>
      <c r="J3187" t="s">
        <v>208</v>
      </c>
      <c r="K3187" s="8" t="str">
        <f>IFERROR(IF(AND(VLOOKUP($C3187,Hes!$A:$B, 1, FALSE), $M3187&lt;&gt;" "), "Ingresada", "Falta Ingresar"), " ")</f>
        <v>Falta Ingresar</v>
      </c>
      <c r="L3187" s="4" t="str">
        <f>IFERROR(VLOOKUP($C3187,Observaciones!$A:$B,2,FALSE)," ")</f>
        <v xml:space="preserve"> </v>
      </c>
      <c r="M3187" t="s">
        <v>681</v>
      </c>
      <c r="N3187" s="5" t="s">
        <v>841</v>
      </c>
      <c r="O3187" s="5">
        <v>30845697</v>
      </c>
      <c r="P3187" s="5">
        <v>107078</v>
      </c>
      <c r="Q3187" s="5">
        <v>20345</v>
      </c>
      <c r="R3187" s="5">
        <v>127423</v>
      </c>
    </row>
    <row r="3188" spans="1:18" x14ac:dyDescent="0.25">
      <c r="F3188" t="s">
        <v>498</v>
      </c>
      <c r="K3188" t="str">
        <f>IFERROR(IF(AND(VLOOKUP($C3188,Hes!$A:$B, 1, FALSE), $M3188&lt;&gt;" "), "Ingresada", "Falta Ingresar"), " ")</f>
        <v xml:space="preserve"> </v>
      </c>
      <c r="L3188" s="4" t="str">
        <f>IFERROR(VLOOKUP($C3188,Observaciones!$A:$B,2,FALSE)," ")</f>
        <v xml:space="preserve"> </v>
      </c>
      <c r="M3188" t="s">
        <v>681</v>
      </c>
      <c r="P3188" s="5">
        <v>585274</v>
      </c>
      <c r="Q3188" s="5">
        <v>111202</v>
      </c>
      <c r="R3188" s="5">
        <v>696476</v>
      </c>
    </row>
    <row r="3189" spans="1:18" x14ac:dyDescent="0.25">
      <c r="A3189" t="s">
        <v>512</v>
      </c>
      <c r="B3189" t="s">
        <v>494</v>
      </c>
      <c r="C3189">
        <v>81537600</v>
      </c>
      <c r="D3189">
        <v>359</v>
      </c>
      <c r="E3189">
        <v>30848878</v>
      </c>
      <c r="F3189" t="s">
        <v>1397</v>
      </c>
      <c r="G3189" s="1">
        <v>45232</v>
      </c>
      <c r="H3189">
        <v>5411220</v>
      </c>
      <c r="I3189">
        <v>50</v>
      </c>
      <c r="J3189" t="s">
        <v>376</v>
      </c>
      <c r="K3189" t="str">
        <f>IFERROR(IF(AND(VLOOKUP($C3189,Hes!$A:$B, 1, FALSE), $M3189&lt;&gt;" "), "Ingresada", "Falta Ingresar"), " ")</f>
        <v xml:space="preserve"> </v>
      </c>
      <c r="L3189" s="4" t="str">
        <f>IFERROR(VLOOKUP($C3189,Observaciones!$A:$B,2,FALSE)," ")</f>
        <v>XRUT</v>
      </c>
      <c r="M3189" t="s">
        <v>681</v>
      </c>
      <c r="O3189" s="5">
        <v>30848878</v>
      </c>
      <c r="P3189" s="5">
        <v>61421</v>
      </c>
      <c r="Q3189" s="5">
        <v>11670</v>
      </c>
      <c r="R3189" s="5">
        <v>73091</v>
      </c>
    </row>
    <row r="3190" spans="1:18" x14ac:dyDescent="0.25">
      <c r="A3190" t="s">
        <v>512</v>
      </c>
      <c r="B3190" t="s">
        <v>494</v>
      </c>
      <c r="C3190">
        <v>81537600</v>
      </c>
      <c r="D3190">
        <v>804</v>
      </c>
      <c r="E3190">
        <v>30848880</v>
      </c>
      <c r="F3190" t="s">
        <v>1397</v>
      </c>
      <c r="G3190" s="1">
        <v>45233</v>
      </c>
      <c r="H3190">
        <v>5411261</v>
      </c>
      <c r="I3190">
        <v>50</v>
      </c>
      <c r="J3190" t="s">
        <v>376</v>
      </c>
      <c r="K3190" t="str">
        <f>IFERROR(IF(AND(VLOOKUP($C3190,Hes!$A:$B, 1, FALSE), $M3190&lt;&gt;" "), "Ingresada", "Falta Ingresar"), " ")</f>
        <v xml:space="preserve"> </v>
      </c>
      <c r="L3190" s="4" t="str">
        <f>IFERROR(VLOOKUP($C3190,Observaciones!$A:$B,2,FALSE)," ")</f>
        <v>XRUT</v>
      </c>
      <c r="M3190" t="s">
        <v>681</v>
      </c>
      <c r="O3190" s="5">
        <v>30848880</v>
      </c>
      <c r="P3190" s="5">
        <v>16777</v>
      </c>
      <c r="Q3190" s="5">
        <v>3188</v>
      </c>
      <c r="R3190" s="5">
        <v>19965</v>
      </c>
    </row>
    <row r="3191" spans="1:18" x14ac:dyDescent="0.25">
      <c r="A3191" t="s">
        <v>512</v>
      </c>
      <c r="B3191" t="s">
        <v>494</v>
      </c>
      <c r="C3191">
        <v>81537600</v>
      </c>
      <c r="D3191">
        <v>798</v>
      </c>
      <c r="E3191">
        <v>30848932</v>
      </c>
      <c r="F3191" t="s">
        <v>1397</v>
      </c>
      <c r="G3191" s="1">
        <v>45233</v>
      </c>
      <c r="H3191">
        <v>5411337</v>
      </c>
      <c r="I3191">
        <v>50</v>
      </c>
      <c r="J3191" t="s">
        <v>376</v>
      </c>
      <c r="K3191" t="str">
        <f>IFERROR(IF(AND(VLOOKUP($C3191,Hes!$A:$B, 1, FALSE), $M3191&lt;&gt;" "), "Ingresada", "Falta Ingresar"), " ")</f>
        <v xml:space="preserve"> </v>
      </c>
      <c r="L3191" s="4" t="str">
        <f>IFERROR(VLOOKUP($C3191,Observaciones!$A:$B,2,FALSE)," ")</f>
        <v>XRUT</v>
      </c>
      <c r="M3191" t="s">
        <v>681</v>
      </c>
      <c r="O3191" s="5">
        <v>30848932</v>
      </c>
      <c r="P3191" s="5">
        <v>49388</v>
      </c>
      <c r="Q3191" s="5">
        <v>9384</v>
      </c>
      <c r="R3191" s="5">
        <v>58772</v>
      </c>
    </row>
    <row r="3192" spans="1:18" x14ac:dyDescent="0.25">
      <c r="A3192" t="s">
        <v>512</v>
      </c>
      <c r="B3192" t="s">
        <v>494</v>
      </c>
      <c r="C3192">
        <v>81537600</v>
      </c>
      <c r="D3192">
        <v>495</v>
      </c>
      <c r="E3192">
        <v>30849690</v>
      </c>
      <c r="F3192" t="s">
        <v>1397</v>
      </c>
      <c r="G3192" s="1">
        <v>45233</v>
      </c>
      <c r="H3192">
        <v>5411410</v>
      </c>
      <c r="I3192">
        <v>50</v>
      </c>
      <c r="J3192" t="s">
        <v>376</v>
      </c>
      <c r="K3192" t="str">
        <f>IFERROR(IF(AND(VLOOKUP($C3192,Hes!$A:$B, 1, FALSE), $M3192&lt;&gt;" "), "Ingresada", "Falta Ingresar"), " ")</f>
        <v xml:space="preserve"> </v>
      </c>
      <c r="L3192" s="4" t="str">
        <f>IFERROR(VLOOKUP($C3192,Observaciones!$A:$B,2,FALSE)," ")</f>
        <v>XRUT</v>
      </c>
      <c r="M3192" t="s">
        <v>681</v>
      </c>
      <c r="O3192" s="5">
        <v>30849690</v>
      </c>
      <c r="P3192" s="5">
        <v>52574</v>
      </c>
      <c r="Q3192" s="5">
        <v>9989</v>
      </c>
      <c r="R3192" s="5">
        <v>62563</v>
      </c>
    </row>
    <row r="3193" spans="1:18" x14ac:dyDescent="0.25">
      <c r="A3193" t="s">
        <v>512</v>
      </c>
      <c r="B3193" t="s">
        <v>494</v>
      </c>
      <c r="C3193">
        <v>81537600</v>
      </c>
      <c r="D3193">
        <v>235</v>
      </c>
      <c r="E3193">
        <v>30849797</v>
      </c>
      <c r="F3193" t="s">
        <v>1397</v>
      </c>
      <c r="G3193" s="1">
        <v>45233</v>
      </c>
      <c r="H3193">
        <v>5411456</v>
      </c>
      <c r="I3193">
        <v>50</v>
      </c>
      <c r="J3193" t="s">
        <v>376</v>
      </c>
      <c r="K3193" t="str">
        <f>IFERROR(IF(AND(VLOOKUP($C3193,Hes!$A:$B, 1, FALSE), $M3193&lt;&gt;" "), "Ingresada", "Falta Ingresar"), " ")</f>
        <v xml:space="preserve"> </v>
      </c>
      <c r="L3193" s="4" t="str">
        <f>IFERROR(VLOOKUP($C3193,Observaciones!$A:$B,2,FALSE)," ")</f>
        <v>XRUT</v>
      </c>
      <c r="M3193" t="s">
        <v>681</v>
      </c>
      <c r="O3193" s="5">
        <v>30849797</v>
      </c>
      <c r="P3193" s="5">
        <v>41466</v>
      </c>
      <c r="Q3193" s="5">
        <v>7879</v>
      </c>
      <c r="R3193" s="5">
        <v>49345</v>
      </c>
    </row>
    <row r="3194" spans="1:18" x14ac:dyDescent="0.25">
      <c r="A3194" t="s">
        <v>512</v>
      </c>
      <c r="B3194" t="s">
        <v>494</v>
      </c>
      <c r="C3194">
        <v>81537600</v>
      </c>
      <c r="D3194">
        <v>417</v>
      </c>
      <c r="E3194">
        <v>30850619</v>
      </c>
      <c r="F3194" t="s">
        <v>1397</v>
      </c>
      <c r="G3194" s="1">
        <v>45233</v>
      </c>
      <c r="H3194">
        <v>5411477</v>
      </c>
      <c r="I3194">
        <v>50</v>
      </c>
      <c r="J3194" t="s">
        <v>376</v>
      </c>
      <c r="K3194" t="str">
        <f>IFERROR(IF(AND(VLOOKUP($C3194,Hes!$A:$B, 1, FALSE), $M3194&lt;&gt;" "), "Ingresada", "Falta Ingresar"), " ")</f>
        <v xml:space="preserve"> </v>
      </c>
      <c r="L3194" s="4" t="str">
        <f>IFERROR(VLOOKUP($C3194,Observaciones!$A:$B,2,FALSE)," ")</f>
        <v>XRUT</v>
      </c>
      <c r="M3194" t="s">
        <v>681</v>
      </c>
      <c r="O3194" s="5">
        <v>30850619</v>
      </c>
      <c r="P3194" s="5">
        <v>43387</v>
      </c>
      <c r="Q3194" s="5">
        <v>8244</v>
      </c>
      <c r="R3194" s="5">
        <v>51631</v>
      </c>
    </row>
    <row r="3195" spans="1:18" x14ac:dyDescent="0.25">
      <c r="A3195" t="s">
        <v>512</v>
      </c>
      <c r="B3195" t="s">
        <v>494</v>
      </c>
      <c r="C3195">
        <v>81537600</v>
      </c>
      <c r="D3195">
        <v>399</v>
      </c>
      <c r="E3195">
        <v>30849949</v>
      </c>
      <c r="F3195" t="s">
        <v>1397</v>
      </c>
      <c r="G3195" s="1">
        <v>45233</v>
      </c>
      <c r="H3195">
        <v>5411578</v>
      </c>
      <c r="I3195">
        <v>50</v>
      </c>
      <c r="J3195" t="s">
        <v>376</v>
      </c>
      <c r="K3195" t="str">
        <f>IFERROR(IF(AND(VLOOKUP($C3195,Hes!$A:$B, 1, FALSE), $M3195&lt;&gt;" "), "Ingresada", "Falta Ingresar"), " ")</f>
        <v xml:space="preserve"> </v>
      </c>
      <c r="L3195" s="4" t="str">
        <f>IFERROR(VLOOKUP($C3195,Observaciones!$A:$B,2,FALSE)," ")</f>
        <v>XRUT</v>
      </c>
      <c r="M3195" t="s">
        <v>681</v>
      </c>
      <c r="O3195" s="5">
        <v>30849949</v>
      </c>
      <c r="P3195" s="5">
        <v>26140</v>
      </c>
      <c r="Q3195" s="5">
        <v>4967</v>
      </c>
      <c r="R3195" s="5">
        <v>31107</v>
      </c>
    </row>
    <row r="3196" spans="1:18" x14ac:dyDescent="0.25">
      <c r="A3196" t="s">
        <v>512</v>
      </c>
      <c r="B3196" t="s">
        <v>494</v>
      </c>
      <c r="C3196">
        <v>81537600</v>
      </c>
      <c r="D3196">
        <v>322</v>
      </c>
      <c r="E3196">
        <v>30849986</v>
      </c>
      <c r="F3196" t="s">
        <v>1397</v>
      </c>
      <c r="G3196" s="1">
        <v>45233</v>
      </c>
      <c r="H3196">
        <v>5411612</v>
      </c>
      <c r="I3196">
        <v>50</v>
      </c>
      <c r="J3196" t="s">
        <v>376</v>
      </c>
      <c r="K3196" t="str">
        <f>IFERROR(IF(AND(VLOOKUP($C3196,Hes!$A:$B, 1, FALSE), $M3196&lt;&gt;" "), "Ingresada", "Falta Ingresar"), " ")</f>
        <v xml:space="preserve"> </v>
      </c>
      <c r="L3196" s="4" t="str">
        <f>IFERROR(VLOOKUP($C3196,Observaciones!$A:$B,2,FALSE)," ")</f>
        <v>XRUT</v>
      </c>
      <c r="M3196" t="s">
        <v>681</v>
      </c>
      <c r="O3196" s="5">
        <v>30849986</v>
      </c>
      <c r="P3196" s="5">
        <v>49677</v>
      </c>
      <c r="Q3196" s="5">
        <v>9439</v>
      </c>
      <c r="R3196" s="5">
        <v>59116</v>
      </c>
    </row>
    <row r="3197" spans="1:18" x14ac:dyDescent="0.25">
      <c r="A3197" t="s">
        <v>512</v>
      </c>
      <c r="B3197" t="s">
        <v>494</v>
      </c>
      <c r="C3197">
        <v>81537600</v>
      </c>
      <c r="D3197">
        <v>424</v>
      </c>
      <c r="E3197">
        <v>30850527</v>
      </c>
      <c r="F3197" t="s">
        <v>1397</v>
      </c>
      <c r="G3197" s="1">
        <v>45233</v>
      </c>
      <c r="H3197">
        <v>5411639</v>
      </c>
      <c r="I3197">
        <v>50</v>
      </c>
      <c r="J3197" t="s">
        <v>376</v>
      </c>
      <c r="K3197" t="str">
        <f>IFERROR(IF(AND(VLOOKUP($C3197,Hes!$A:$B, 1, FALSE), $M3197&lt;&gt;" "), "Ingresada", "Falta Ingresar"), " ")</f>
        <v xml:space="preserve"> </v>
      </c>
      <c r="L3197" s="4" t="str">
        <f>IFERROR(VLOOKUP($C3197,Observaciones!$A:$B,2,FALSE)," ")</f>
        <v>XRUT</v>
      </c>
      <c r="M3197" t="s">
        <v>681</v>
      </c>
      <c r="O3197" s="5">
        <v>30850527</v>
      </c>
      <c r="P3197" s="5">
        <v>405210</v>
      </c>
      <c r="Q3197" s="5">
        <v>76990</v>
      </c>
      <c r="R3197" s="5">
        <v>482200</v>
      </c>
    </row>
    <row r="3198" spans="1:18" x14ac:dyDescent="0.25">
      <c r="A3198" t="s">
        <v>512</v>
      </c>
      <c r="B3198" t="s">
        <v>494</v>
      </c>
      <c r="C3198">
        <v>81537600</v>
      </c>
      <c r="D3198">
        <v>605</v>
      </c>
      <c r="E3198">
        <v>30851089</v>
      </c>
      <c r="F3198" t="s">
        <v>1397</v>
      </c>
      <c r="G3198" s="1">
        <v>45233</v>
      </c>
      <c r="H3198">
        <v>5411691</v>
      </c>
      <c r="I3198">
        <v>50</v>
      </c>
      <c r="J3198" t="s">
        <v>376</v>
      </c>
      <c r="K3198" t="str">
        <f>IFERROR(IF(AND(VLOOKUP($C3198,Hes!$A:$B, 1, FALSE), $M3198&lt;&gt;" "), "Ingresada", "Falta Ingresar"), " ")</f>
        <v xml:space="preserve"> </v>
      </c>
      <c r="L3198" s="4" t="str">
        <f>IFERROR(VLOOKUP($C3198,Observaciones!$A:$B,2,FALSE)," ")</f>
        <v>XRUT</v>
      </c>
      <c r="M3198" t="s">
        <v>681</v>
      </c>
      <c r="O3198" s="5">
        <v>30851089</v>
      </c>
      <c r="P3198" s="5">
        <v>45362</v>
      </c>
      <c r="Q3198" s="5">
        <v>8619</v>
      </c>
      <c r="R3198" s="5">
        <v>53981</v>
      </c>
    </row>
    <row r="3199" spans="1:18" x14ac:dyDescent="0.25">
      <c r="A3199" t="s">
        <v>512</v>
      </c>
      <c r="B3199" t="s">
        <v>494</v>
      </c>
      <c r="C3199">
        <v>81537600</v>
      </c>
      <c r="D3199">
        <v>388</v>
      </c>
      <c r="E3199">
        <v>30851847</v>
      </c>
      <c r="F3199" t="s">
        <v>1397</v>
      </c>
      <c r="G3199" s="1">
        <v>45233</v>
      </c>
      <c r="H3199">
        <v>5411738</v>
      </c>
      <c r="I3199">
        <v>50</v>
      </c>
      <c r="J3199" t="s">
        <v>376</v>
      </c>
      <c r="K3199" t="str">
        <f>IFERROR(IF(AND(VLOOKUP($C3199,Hes!$A:$B, 1, FALSE), $M3199&lt;&gt;" "), "Ingresada", "Falta Ingresar"), " ")</f>
        <v xml:space="preserve"> </v>
      </c>
      <c r="L3199" s="4" t="str">
        <f>IFERROR(VLOOKUP($C3199,Observaciones!$A:$B,2,FALSE)," ")</f>
        <v>XRUT</v>
      </c>
      <c r="M3199" t="s">
        <v>681</v>
      </c>
      <c r="O3199" s="5">
        <v>30851847</v>
      </c>
      <c r="P3199" s="5">
        <v>59991</v>
      </c>
      <c r="Q3199" s="5">
        <v>11398</v>
      </c>
      <c r="R3199" s="5">
        <v>71389</v>
      </c>
    </row>
    <row r="3200" spans="1:18" x14ac:dyDescent="0.25">
      <c r="A3200" t="s">
        <v>512</v>
      </c>
      <c r="B3200" t="s">
        <v>494</v>
      </c>
      <c r="C3200">
        <v>81537600</v>
      </c>
      <c r="D3200">
        <v>408</v>
      </c>
      <c r="E3200">
        <v>30851178</v>
      </c>
      <c r="F3200" t="s">
        <v>1397</v>
      </c>
      <c r="G3200" s="1">
        <v>45233</v>
      </c>
      <c r="H3200">
        <v>5411741</v>
      </c>
      <c r="I3200">
        <v>50</v>
      </c>
      <c r="J3200" t="s">
        <v>376</v>
      </c>
      <c r="K3200" t="str">
        <f>IFERROR(IF(AND(VLOOKUP($C3200,Hes!$A:$B, 1, FALSE), $M3200&lt;&gt;" "), "Ingresada", "Falta Ingresar"), " ")</f>
        <v xml:space="preserve"> </v>
      </c>
      <c r="L3200" s="4" t="str">
        <f>IFERROR(VLOOKUP($C3200,Observaciones!$A:$B,2,FALSE)," ")</f>
        <v>XRUT</v>
      </c>
      <c r="M3200" t="s">
        <v>681</v>
      </c>
      <c r="O3200" s="5">
        <v>30851178</v>
      </c>
      <c r="P3200" s="5">
        <v>121796</v>
      </c>
      <c r="Q3200" s="5">
        <v>23141</v>
      </c>
      <c r="R3200" s="5">
        <v>144937</v>
      </c>
    </row>
    <row r="3201" spans="1:18" x14ac:dyDescent="0.25">
      <c r="A3201" t="s">
        <v>512</v>
      </c>
      <c r="B3201" t="s">
        <v>494</v>
      </c>
      <c r="C3201">
        <v>81537600</v>
      </c>
      <c r="D3201">
        <v>769</v>
      </c>
      <c r="E3201">
        <v>30849595</v>
      </c>
      <c r="F3201" t="s">
        <v>1397</v>
      </c>
      <c r="G3201" s="1">
        <v>45234</v>
      </c>
      <c r="H3201">
        <v>5411902</v>
      </c>
      <c r="I3201">
        <v>50</v>
      </c>
      <c r="J3201" t="s">
        <v>376</v>
      </c>
      <c r="K3201" t="str">
        <f>IFERROR(IF(AND(VLOOKUP($C3201,Hes!$A:$B, 1, FALSE), $M3201&lt;&gt;" "), "Ingresada", "Falta Ingresar"), " ")</f>
        <v xml:space="preserve"> </v>
      </c>
      <c r="L3201" s="4" t="str">
        <f>IFERROR(VLOOKUP($C3201,Observaciones!$A:$B,2,FALSE)," ")</f>
        <v>XRUT</v>
      </c>
      <c r="M3201" t="s">
        <v>681</v>
      </c>
      <c r="O3201" s="5">
        <v>30849595</v>
      </c>
      <c r="P3201" s="5">
        <v>39204</v>
      </c>
      <c r="Q3201" s="5">
        <v>7449</v>
      </c>
      <c r="R3201" s="5">
        <v>46653</v>
      </c>
    </row>
    <row r="3202" spans="1:18" x14ac:dyDescent="0.25">
      <c r="A3202" t="s">
        <v>512</v>
      </c>
      <c r="B3202" t="s">
        <v>494</v>
      </c>
      <c r="C3202">
        <v>81537600</v>
      </c>
      <c r="D3202">
        <v>491</v>
      </c>
      <c r="E3202">
        <v>30848934</v>
      </c>
      <c r="F3202" t="s">
        <v>1397</v>
      </c>
      <c r="G3202" s="1">
        <v>45236</v>
      </c>
      <c r="H3202">
        <v>5411924</v>
      </c>
      <c r="I3202">
        <v>50</v>
      </c>
      <c r="J3202" t="s">
        <v>376</v>
      </c>
      <c r="K3202" t="str">
        <f>IFERROR(IF(AND(VLOOKUP($C3202,Hes!$A:$B, 1, FALSE), $M3202&lt;&gt;" "), "Ingresada", "Falta Ingresar"), " ")</f>
        <v xml:space="preserve"> </v>
      </c>
      <c r="L3202" s="4" t="str">
        <f>IFERROR(VLOOKUP($C3202,Observaciones!$A:$B,2,FALSE)," ")</f>
        <v>XRUT</v>
      </c>
      <c r="M3202" t="s">
        <v>681</v>
      </c>
      <c r="O3202" s="5">
        <v>30848934</v>
      </c>
      <c r="P3202" s="5">
        <v>48655</v>
      </c>
      <c r="Q3202" s="5">
        <v>9244</v>
      </c>
      <c r="R3202" s="5">
        <v>57899</v>
      </c>
    </row>
    <row r="3203" spans="1:18" x14ac:dyDescent="0.25">
      <c r="A3203" t="s">
        <v>512</v>
      </c>
      <c r="B3203" t="s">
        <v>494</v>
      </c>
      <c r="C3203">
        <v>81537600</v>
      </c>
      <c r="D3203">
        <v>726</v>
      </c>
      <c r="E3203">
        <v>30848883</v>
      </c>
      <c r="F3203" t="s">
        <v>1397</v>
      </c>
      <c r="G3203" s="1">
        <v>45236</v>
      </c>
      <c r="H3203">
        <v>5411956</v>
      </c>
      <c r="I3203">
        <v>50</v>
      </c>
      <c r="J3203" t="s">
        <v>376</v>
      </c>
      <c r="K3203" t="str">
        <f>IFERROR(IF(AND(VLOOKUP($C3203,Hes!$A:$B, 1, FALSE), $M3203&lt;&gt;" "), "Ingresada", "Falta Ingresar"), " ")</f>
        <v xml:space="preserve"> </v>
      </c>
      <c r="L3203" s="4" t="str">
        <f>IFERROR(VLOOKUP($C3203,Observaciones!$A:$B,2,FALSE)," ")</f>
        <v>XRUT</v>
      </c>
      <c r="M3203" t="s">
        <v>681</v>
      </c>
      <c r="O3203" s="5">
        <v>30848883</v>
      </c>
      <c r="P3203" s="5">
        <v>61904</v>
      </c>
      <c r="Q3203" s="5">
        <v>11762</v>
      </c>
      <c r="R3203" s="5">
        <v>73666</v>
      </c>
    </row>
    <row r="3204" spans="1:18" x14ac:dyDescent="0.25">
      <c r="A3204" t="s">
        <v>512</v>
      </c>
      <c r="B3204" t="s">
        <v>494</v>
      </c>
      <c r="C3204">
        <v>81537600</v>
      </c>
      <c r="D3204">
        <v>723</v>
      </c>
      <c r="E3204">
        <v>30848918</v>
      </c>
      <c r="F3204" t="s">
        <v>1397</v>
      </c>
      <c r="G3204" s="1">
        <v>45236</v>
      </c>
      <c r="H3204">
        <v>5411965</v>
      </c>
      <c r="I3204">
        <v>50</v>
      </c>
      <c r="J3204" t="s">
        <v>376</v>
      </c>
      <c r="K3204" t="str">
        <f>IFERROR(IF(AND(VLOOKUP($C3204,Hes!$A:$B, 1, FALSE), $M3204&lt;&gt;" "), "Ingresada", "Falta Ingresar"), " ")</f>
        <v xml:space="preserve"> </v>
      </c>
      <c r="L3204" s="4" t="str">
        <f>IFERROR(VLOOKUP($C3204,Observaciones!$A:$B,2,FALSE)," ")</f>
        <v>XRUT</v>
      </c>
      <c r="M3204" t="s">
        <v>681</v>
      </c>
      <c r="O3204" s="5">
        <v>30848918</v>
      </c>
      <c r="P3204" s="5">
        <v>121417</v>
      </c>
      <c r="Q3204" s="5">
        <v>23069</v>
      </c>
      <c r="R3204" s="5">
        <v>144486</v>
      </c>
    </row>
    <row r="3205" spans="1:18" x14ac:dyDescent="0.25">
      <c r="A3205" t="s">
        <v>512</v>
      </c>
      <c r="B3205" t="s">
        <v>494</v>
      </c>
      <c r="C3205">
        <v>81537600</v>
      </c>
      <c r="D3205">
        <v>293</v>
      </c>
      <c r="E3205">
        <v>30848892</v>
      </c>
      <c r="F3205" t="s">
        <v>1397</v>
      </c>
      <c r="G3205" s="1">
        <v>45236</v>
      </c>
      <c r="H3205">
        <v>5411966</v>
      </c>
      <c r="I3205">
        <v>50</v>
      </c>
      <c r="J3205" t="s">
        <v>376</v>
      </c>
      <c r="K3205" t="str">
        <f>IFERROR(IF(AND(VLOOKUP($C3205,Hes!$A:$B, 1, FALSE), $M3205&lt;&gt;" "), "Ingresada", "Falta Ingresar"), " ")</f>
        <v xml:space="preserve"> </v>
      </c>
      <c r="L3205" s="4" t="str">
        <f>IFERROR(VLOOKUP($C3205,Observaciones!$A:$B,2,FALSE)," ")</f>
        <v>XRUT</v>
      </c>
      <c r="M3205" t="s">
        <v>681</v>
      </c>
      <c r="O3205" s="5">
        <v>30848892</v>
      </c>
      <c r="P3205" s="5">
        <v>40731</v>
      </c>
      <c r="Q3205" s="5">
        <v>7739</v>
      </c>
      <c r="R3205" s="5">
        <v>48470</v>
      </c>
    </row>
    <row r="3206" spans="1:18" x14ac:dyDescent="0.25">
      <c r="A3206" t="s">
        <v>512</v>
      </c>
      <c r="B3206" t="s">
        <v>494</v>
      </c>
      <c r="C3206">
        <v>81537600</v>
      </c>
      <c r="D3206">
        <v>294</v>
      </c>
      <c r="E3206">
        <v>30850106</v>
      </c>
      <c r="F3206" t="s">
        <v>1397</v>
      </c>
      <c r="G3206" s="1">
        <v>45236</v>
      </c>
      <c r="H3206">
        <v>5411967</v>
      </c>
      <c r="I3206">
        <v>50</v>
      </c>
      <c r="J3206" t="s">
        <v>376</v>
      </c>
      <c r="K3206" t="str">
        <f>IFERROR(IF(AND(VLOOKUP($C3206,Hes!$A:$B, 1, FALSE), $M3206&lt;&gt;" "), "Ingresada", "Falta Ingresar"), " ")</f>
        <v xml:space="preserve"> </v>
      </c>
      <c r="L3206" s="4" t="str">
        <f>IFERROR(VLOOKUP($C3206,Observaciones!$A:$B,2,FALSE)," ")</f>
        <v>XRUT</v>
      </c>
      <c r="M3206" t="s">
        <v>681</v>
      </c>
      <c r="O3206" s="5">
        <v>30850106</v>
      </c>
      <c r="P3206" s="5">
        <v>49458</v>
      </c>
      <c r="Q3206" s="5">
        <v>9397</v>
      </c>
      <c r="R3206" s="5">
        <v>58855</v>
      </c>
    </row>
    <row r="3207" spans="1:18" x14ac:dyDescent="0.25">
      <c r="A3207" t="s">
        <v>512</v>
      </c>
      <c r="B3207" t="s">
        <v>494</v>
      </c>
      <c r="C3207">
        <v>81537600</v>
      </c>
      <c r="D3207">
        <v>752</v>
      </c>
      <c r="E3207">
        <v>30848912</v>
      </c>
      <c r="F3207" t="s">
        <v>1397</v>
      </c>
      <c r="G3207" s="1">
        <v>45236</v>
      </c>
      <c r="H3207">
        <v>5411973</v>
      </c>
      <c r="I3207">
        <v>50</v>
      </c>
      <c r="J3207" t="s">
        <v>376</v>
      </c>
      <c r="K3207" t="str">
        <f>IFERROR(IF(AND(VLOOKUP($C3207,Hes!$A:$B, 1, FALSE), $M3207&lt;&gt;" "), "Ingresada", "Falta Ingresar"), " ")</f>
        <v xml:space="preserve"> </v>
      </c>
      <c r="L3207" s="4" t="str">
        <f>IFERROR(VLOOKUP($C3207,Observaciones!$A:$B,2,FALSE)," ")</f>
        <v>XRUT</v>
      </c>
      <c r="M3207" t="s">
        <v>681</v>
      </c>
      <c r="O3207" s="5">
        <v>30848912</v>
      </c>
      <c r="P3207" s="5">
        <v>61624</v>
      </c>
      <c r="Q3207" s="5">
        <v>11709</v>
      </c>
      <c r="R3207" s="5">
        <v>73333</v>
      </c>
    </row>
    <row r="3208" spans="1:18" x14ac:dyDescent="0.25">
      <c r="A3208" t="s">
        <v>512</v>
      </c>
      <c r="B3208" t="s">
        <v>494</v>
      </c>
      <c r="C3208">
        <v>81537600</v>
      </c>
      <c r="D3208">
        <v>16</v>
      </c>
      <c r="E3208">
        <v>30851628</v>
      </c>
      <c r="F3208" t="s">
        <v>1397</v>
      </c>
      <c r="G3208" s="1">
        <v>45236</v>
      </c>
      <c r="H3208">
        <v>5411988</v>
      </c>
      <c r="I3208">
        <v>50</v>
      </c>
      <c r="J3208" t="s">
        <v>376</v>
      </c>
      <c r="K3208" t="str">
        <f>IFERROR(IF(AND(VLOOKUP($C3208,Hes!$A:$B, 1, FALSE), $M3208&lt;&gt;" "), "Ingresada", "Falta Ingresar"), " ")</f>
        <v xml:space="preserve"> </v>
      </c>
      <c r="L3208" s="4" t="str">
        <f>IFERROR(VLOOKUP($C3208,Observaciones!$A:$B,2,FALSE)," ")</f>
        <v>XRUT</v>
      </c>
      <c r="M3208" t="s">
        <v>681</v>
      </c>
      <c r="O3208" s="5">
        <v>30851628</v>
      </c>
      <c r="P3208" s="5">
        <v>49031</v>
      </c>
      <c r="Q3208" s="5">
        <v>9316</v>
      </c>
      <c r="R3208" s="5">
        <v>58347</v>
      </c>
    </row>
    <row r="3209" spans="1:18" x14ac:dyDescent="0.25">
      <c r="A3209" t="s">
        <v>512</v>
      </c>
      <c r="B3209" t="s">
        <v>494</v>
      </c>
      <c r="C3209">
        <v>81537600</v>
      </c>
      <c r="D3209">
        <v>434</v>
      </c>
      <c r="E3209">
        <v>30850774</v>
      </c>
      <c r="F3209" t="s">
        <v>1397</v>
      </c>
      <c r="G3209" s="1">
        <v>45236</v>
      </c>
      <c r="H3209">
        <v>5411989</v>
      </c>
      <c r="I3209">
        <v>50</v>
      </c>
      <c r="J3209" t="s">
        <v>376</v>
      </c>
      <c r="K3209" t="str">
        <f>IFERROR(IF(AND(VLOOKUP($C3209,Hes!$A:$B, 1, FALSE), $M3209&lt;&gt;" "), "Ingresada", "Falta Ingresar"), " ")</f>
        <v xml:space="preserve"> </v>
      </c>
      <c r="L3209" s="4" t="str">
        <f>IFERROR(VLOOKUP($C3209,Observaciones!$A:$B,2,FALSE)," ")</f>
        <v>XRUT</v>
      </c>
      <c r="M3209" t="s">
        <v>681</v>
      </c>
      <c r="O3209" s="5">
        <v>30850774</v>
      </c>
      <c r="P3209" s="5">
        <v>44735</v>
      </c>
      <c r="Q3209" s="5">
        <v>8500</v>
      </c>
      <c r="R3209" s="5">
        <v>53235</v>
      </c>
    </row>
    <row r="3210" spans="1:18" x14ac:dyDescent="0.25">
      <c r="A3210" t="s">
        <v>512</v>
      </c>
      <c r="B3210" t="s">
        <v>494</v>
      </c>
      <c r="C3210">
        <v>81537600</v>
      </c>
      <c r="D3210">
        <v>702</v>
      </c>
      <c r="E3210">
        <v>30795165</v>
      </c>
      <c r="F3210" t="s">
        <v>1397</v>
      </c>
      <c r="G3210" s="1">
        <v>45236</v>
      </c>
      <c r="H3210">
        <v>5411991</v>
      </c>
      <c r="I3210">
        <v>50</v>
      </c>
      <c r="J3210" t="s">
        <v>376</v>
      </c>
      <c r="K3210" t="str">
        <f>IFERROR(IF(AND(VLOOKUP($C3210,Hes!$A:$B, 1, FALSE), $M3210&lt;&gt;" "), "Ingresada", "Falta Ingresar"), " ")</f>
        <v xml:space="preserve"> </v>
      </c>
      <c r="L3210" s="4" t="str">
        <f>IFERROR(VLOOKUP($C3210,Observaciones!$A:$B,2,FALSE)," ")</f>
        <v>XRUT</v>
      </c>
      <c r="M3210" t="s">
        <v>681</v>
      </c>
      <c r="O3210" s="5">
        <v>30795166</v>
      </c>
      <c r="P3210" s="5">
        <v>4470</v>
      </c>
      <c r="Q3210" s="5">
        <v>849</v>
      </c>
      <c r="R3210" s="5">
        <v>5319</v>
      </c>
    </row>
    <row r="3211" spans="1:18" x14ac:dyDescent="0.25">
      <c r="A3211" t="s">
        <v>512</v>
      </c>
      <c r="B3211" t="s">
        <v>494</v>
      </c>
      <c r="C3211">
        <v>81537600</v>
      </c>
      <c r="D3211">
        <v>371</v>
      </c>
      <c r="E3211">
        <v>30850597</v>
      </c>
      <c r="F3211" t="s">
        <v>1397</v>
      </c>
      <c r="G3211" s="1">
        <v>45236</v>
      </c>
      <c r="H3211">
        <v>5412003</v>
      </c>
      <c r="I3211">
        <v>50</v>
      </c>
      <c r="J3211" t="s">
        <v>376</v>
      </c>
      <c r="K3211" t="str">
        <f>IFERROR(IF(AND(VLOOKUP($C3211,Hes!$A:$B, 1, FALSE), $M3211&lt;&gt;" "), "Ingresada", "Falta Ingresar"), " ")</f>
        <v xml:space="preserve"> </v>
      </c>
      <c r="L3211" s="4" t="str">
        <f>IFERROR(VLOOKUP($C3211,Observaciones!$A:$B,2,FALSE)," ")</f>
        <v>XRUT</v>
      </c>
      <c r="M3211" t="s">
        <v>681</v>
      </c>
      <c r="O3211" s="5">
        <v>30850597</v>
      </c>
      <c r="P3211" s="5">
        <v>51946</v>
      </c>
      <c r="Q3211" s="5">
        <v>9870</v>
      </c>
      <c r="R3211" s="5">
        <v>61816</v>
      </c>
    </row>
    <row r="3212" spans="1:18" x14ac:dyDescent="0.25">
      <c r="A3212" t="s">
        <v>512</v>
      </c>
      <c r="B3212" t="s">
        <v>494</v>
      </c>
      <c r="C3212">
        <v>81537600</v>
      </c>
      <c r="D3212">
        <v>440</v>
      </c>
      <c r="E3212">
        <v>30850892</v>
      </c>
      <c r="F3212" t="s">
        <v>1397</v>
      </c>
      <c r="G3212" s="1">
        <v>45236</v>
      </c>
      <c r="H3212">
        <v>5412023</v>
      </c>
      <c r="I3212">
        <v>50</v>
      </c>
      <c r="J3212" t="s">
        <v>376</v>
      </c>
      <c r="K3212" t="str">
        <f>IFERROR(IF(AND(VLOOKUP($C3212,Hes!$A:$B, 1, FALSE), $M3212&lt;&gt;" "), "Ingresada", "Falta Ingresar"), " ")</f>
        <v xml:space="preserve"> </v>
      </c>
      <c r="L3212" s="4" t="str">
        <f>IFERROR(VLOOKUP($C3212,Observaciones!$A:$B,2,FALSE)," ")</f>
        <v>XRUT</v>
      </c>
      <c r="M3212" t="s">
        <v>681</v>
      </c>
      <c r="O3212" s="5">
        <v>30850892</v>
      </c>
      <c r="P3212" s="5">
        <v>43426</v>
      </c>
      <c r="Q3212" s="5">
        <v>8251</v>
      </c>
      <c r="R3212" s="5">
        <v>51677</v>
      </c>
    </row>
    <row r="3213" spans="1:18" x14ac:dyDescent="0.25">
      <c r="A3213" t="s">
        <v>512</v>
      </c>
      <c r="B3213" t="s">
        <v>494</v>
      </c>
      <c r="C3213">
        <v>81537600</v>
      </c>
      <c r="D3213">
        <v>476</v>
      </c>
      <c r="E3213">
        <v>30850137</v>
      </c>
      <c r="F3213" t="s">
        <v>1397</v>
      </c>
      <c r="G3213" s="1">
        <v>45236</v>
      </c>
      <c r="H3213">
        <v>5412025</v>
      </c>
      <c r="I3213">
        <v>50</v>
      </c>
      <c r="J3213" t="s">
        <v>376</v>
      </c>
      <c r="K3213" t="str">
        <f>IFERROR(IF(AND(VLOOKUP($C3213,Hes!$A:$B, 1, FALSE), $M3213&lt;&gt;" "), "Ingresada", "Falta Ingresar"), " ")</f>
        <v xml:space="preserve"> </v>
      </c>
      <c r="L3213" s="4" t="str">
        <f>IFERROR(VLOOKUP($C3213,Observaciones!$A:$B,2,FALSE)," ")</f>
        <v>XRUT</v>
      </c>
      <c r="M3213" t="s">
        <v>681</v>
      </c>
      <c r="O3213" s="5">
        <v>30850137</v>
      </c>
      <c r="P3213" s="5">
        <v>44269</v>
      </c>
      <c r="Q3213" s="5">
        <v>8411</v>
      </c>
      <c r="R3213" s="5">
        <v>52680</v>
      </c>
    </row>
    <row r="3214" spans="1:18" x14ac:dyDescent="0.25">
      <c r="A3214" t="s">
        <v>512</v>
      </c>
      <c r="B3214" t="s">
        <v>494</v>
      </c>
      <c r="C3214">
        <v>81537600</v>
      </c>
      <c r="D3214">
        <v>403</v>
      </c>
      <c r="E3214">
        <v>30850609</v>
      </c>
      <c r="F3214" t="s">
        <v>1397</v>
      </c>
      <c r="G3214" s="1">
        <v>45236</v>
      </c>
      <c r="H3214">
        <v>5412051</v>
      </c>
      <c r="I3214">
        <v>50</v>
      </c>
      <c r="J3214" t="s">
        <v>376</v>
      </c>
      <c r="K3214" t="str">
        <f>IFERROR(IF(AND(VLOOKUP($C3214,Hes!$A:$B, 1, FALSE), $M3214&lt;&gt;" "), "Ingresada", "Falta Ingresar"), " ")</f>
        <v xml:space="preserve"> </v>
      </c>
      <c r="L3214" s="4" t="str">
        <f>IFERROR(VLOOKUP($C3214,Observaciones!$A:$B,2,FALSE)," ")</f>
        <v>XRUT</v>
      </c>
      <c r="M3214" t="s">
        <v>681</v>
      </c>
      <c r="O3214" s="5">
        <v>30850609</v>
      </c>
      <c r="P3214" s="5">
        <v>37190</v>
      </c>
      <c r="Q3214" s="5">
        <v>7066</v>
      </c>
      <c r="R3214" s="5">
        <v>44256</v>
      </c>
    </row>
    <row r="3215" spans="1:18" x14ac:dyDescent="0.25">
      <c r="A3215" t="s">
        <v>512</v>
      </c>
      <c r="B3215" t="s">
        <v>494</v>
      </c>
      <c r="C3215">
        <v>81537600</v>
      </c>
      <c r="D3215">
        <v>483</v>
      </c>
      <c r="E3215">
        <v>30851590</v>
      </c>
      <c r="F3215" t="s">
        <v>1397</v>
      </c>
      <c r="G3215" s="1">
        <v>45234</v>
      </c>
      <c r="H3215">
        <v>5412078</v>
      </c>
      <c r="I3215">
        <v>50</v>
      </c>
      <c r="J3215" t="s">
        <v>376</v>
      </c>
      <c r="K3215" t="str">
        <f>IFERROR(IF(AND(VLOOKUP($C3215,Hes!$A:$B, 1, FALSE), $M3215&lt;&gt;" "), "Ingresada", "Falta Ingresar"), " ")</f>
        <v xml:space="preserve"> </v>
      </c>
      <c r="L3215" s="4" t="str">
        <f>IFERROR(VLOOKUP($C3215,Observaciones!$A:$B,2,FALSE)," ")</f>
        <v>XRUT</v>
      </c>
      <c r="M3215" t="s">
        <v>681</v>
      </c>
      <c r="O3215" s="5">
        <v>30851590</v>
      </c>
      <c r="P3215" s="5">
        <v>48113</v>
      </c>
      <c r="Q3215" s="5">
        <v>9141</v>
      </c>
      <c r="R3215" s="5">
        <v>57254</v>
      </c>
    </row>
    <row r="3216" spans="1:18" x14ac:dyDescent="0.25">
      <c r="A3216" t="s">
        <v>512</v>
      </c>
      <c r="B3216" t="s">
        <v>494</v>
      </c>
      <c r="C3216">
        <v>81537600</v>
      </c>
      <c r="D3216">
        <v>216</v>
      </c>
      <c r="E3216">
        <v>30852134</v>
      </c>
      <c r="F3216" t="s">
        <v>1397</v>
      </c>
      <c r="G3216" s="1">
        <v>45236</v>
      </c>
      <c r="H3216">
        <v>5412088</v>
      </c>
      <c r="I3216">
        <v>50</v>
      </c>
      <c r="J3216" t="s">
        <v>376</v>
      </c>
      <c r="K3216" t="str">
        <f>IFERROR(IF(AND(VLOOKUP($C3216,Hes!$A:$B, 1, FALSE), $M3216&lt;&gt;" "), "Ingresada", "Falta Ingresar"), " ")</f>
        <v xml:space="preserve"> </v>
      </c>
      <c r="L3216" s="4" t="str">
        <f>IFERROR(VLOOKUP($C3216,Observaciones!$A:$B,2,FALSE)," ")</f>
        <v>XRUT</v>
      </c>
      <c r="M3216" t="s">
        <v>681</v>
      </c>
      <c r="O3216" s="5">
        <v>30852134</v>
      </c>
      <c r="P3216" s="5">
        <v>108475</v>
      </c>
      <c r="Q3216" s="5">
        <v>20610</v>
      </c>
      <c r="R3216" s="5">
        <v>129085</v>
      </c>
    </row>
    <row r="3217" spans="1:18" x14ac:dyDescent="0.25">
      <c r="A3217" t="s">
        <v>512</v>
      </c>
      <c r="B3217" t="s">
        <v>494</v>
      </c>
      <c r="C3217">
        <v>81537600</v>
      </c>
      <c r="D3217">
        <v>608</v>
      </c>
      <c r="E3217">
        <v>30848935</v>
      </c>
      <c r="F3217" t="s">
        <v>1397</v>
      </c>
      <c r="G3217" s="1">
        <v>45236</v>
      </c>
      <c r="H3217">
        <v>5412096</v>
      </c>
      <c r="I3217">
        <v>50</v>
      </c>
      <c r="J3217" t="s">
        <v>376</v>
      </c>
      <c r="K3217" t="str">
        <f>IFERROR(IF(AND(VLOOKUP($C3217,Hes!$A:$B, 1, FALSE), $M3217&lt;&gt;" "), "Ingresada", "Falta Ingresar"), " ")</f>
        <v xml:space="preserve"> </v>
      </c>
      <c r="L3217" s="4" t="str">
        <f>IFERROR(VLOOKUP($C3217,Observaciones!$A:$B,2,FALSE)," ")</f>
        <v>XRUT</v>
      </c>
      <c r="M3217" t="s">
        <v>681</v>
      </c>
      <c r="O3217" s="5">
        <v>30848935</v>
      </c>
      <c r="P3217" s="5">
        <v>48889</v>
      </c>
      <c r="Q3217" s="5">
        <v>9289</v>
      </c>
      <c r="R3217" s="5">
        <v>58178</v>
      </c>
    </row>
    <row r="3218" spans="1:18" x14ac:dyDescent="0.25">
      <c r="A3218" t="s">
        <v>512</v>
      </c>
      <c r="B3218" t="s">
        <v>494</v>
      </c>
      <c r="C3218">
        <v>81537600</v>
      </c>
      <c r="D3218">
        <v>468</v>
      </c>
      <c r="E3218">
        <v>30851656</v>
      </c>
      <c r="F3218" t="s">
        <v>1397</v>
      </c>
      <c r="G3218" s="1">
        <v>45236</v>
      </c>
      <c r="H3218">
        <v>5412097</v>
      </c>
      <c r="I3218">
        <v>50</v>
      </c>
      <c r="J3218" t="s">
        <v>376</v>
      </c>
      <c r="K3218" t="str">
        <f>IFERROR(IF(AND(VLOOKUP($C3218,Hes!$A:$B, 1, FALSE), $M3218&lt;&gt;" "), "Ingresada", "Falta Ingresar"), " ")</f>
        <v xml:space="preserve"> </v>
      </c>
      <c r="L3218" s="4" t="str">
        <f>IFERROR(VLOOKUP($C3218,Observaciones!$A:$B,2,FALSE)," ")</f>
        <v>XRUT</v>
      </c>
      <c r="M3218" t="s">
        <v>681</v>
      </c>
      <c r="O3218" s="5">
        <v>30851656</v>
      </c>
      <c r="P3218" s="5">
        <v>49094</v>
      </c>
      <c r="Q3218" s="5">
        <v>9328</v>
      </c>
      <c r="R3218" s="5">
        <v>58422</v>
      </c>
    </row>
    <row r="3219" spans="1:18" x14ac:dyDescent="0.25">
      <c r="A3219" t="s">
        <v>512</v>
      </c>
      <c r="B3219" t="s">
        <v>494</v>
      </c>
      <c r="C3219">
        <v>81537600</v>
      </c>
      <c r="D3219">
        <v>470</v>
      </c>
      <c r="E3219">
        <v>30851801</v>
      </c>
      <c r="F3219" t="s">
        <v>1397</v>
      </c>
      <c r="G3219" s="1">
        <v>45236</v>
      </c>
      <c r="H3219">
        <v>5412099</v>
      </c>
      <c r="I3219">
        <v>50</v>
      </c>
      <c r="J3219" t="s">
        <v>376</v>
      </c>
      <c r="K3219" t="str">
        <f>IFERROR(IF(AND(VLOOKUP($C3219,Hes!$A:$B, 1, FALSE), $M3219&lt;&gt;" "), "Ingresada", "Falta Ingresar"), " ")</f>
        <v xml:space="preserve"> </v>
      </c>
      <c r="L3219" s="4" t="str">
        <f>IFERROR(VLOOKUP($C3219,Observaciones!$A:$B,2,FALSE)," ")</f>
        <v>XRUT</v>
      </c>
      <c r="M3219" t="s">
        <v>681</v>
      </c>
      <c r="O3219" s="5">
        <v>30851801</v>
      </c>
      <c r="P3219" s="5">
        <v>43555</v>
      </c>
      <c r="Q3219" s="5">
        <v>8275</v>
      </c>
      <c r="R3219" s="5">
        <v>51830</v>
      </c>
    </row>
    <row r="3220" spans="1:18" x14ac:dyDescent="0.25">
      <c r="A3220" t="s">
        <v>512</v>
      </c>
      <c r="B3220" t="s">
        <v>494</v>
      </c>
      <c r="C3220">
        <v>81537600</v>
      </c>
      <c r="D3220">
        <v>18</v>
      </c>
      <c r="E3220">
        <v>30852106</v>
      </c>
      <c r="F3220" t="s">
        <v>1397</v>
      </c>
      <c r="G3220" s="1">
        <v>45236</v>
      </c>
      <c r="H3220">
        <v>5412142</v>
      </c>
      <c r="I3220">
        <v>50</v>
      </c>
      <c r="J3220" t="s">
        <v>376</v>
      </c>
      <c r="K3220" t="str">
        <f>IFERROR(IF(AND(VLOOKUP($C3220,Hes!$A:$B, 1, FALSE), $M3220&lt;&gt;" "), "Ingresada", "Falta Ingresar"), " ")</f>
        <v xml:space="preserve"> </v>
      </c>
      <c r="L3220" s="4" t="str">
        <f>IFERROR(VLOOKUP($C3220,Observaciones!$A:$B,2,FALSE)," ")</f>
        <v>XRUT</v>
      </c>
      <c r="M3220" t="s">
        <v>681</v>
      </c>
      <c r="O3220" s="5">
        <v>30852106</v>
      </c>
      <c r="P3220" s="5">
        <v>48802</v>
      </c>
      <c r="Q3220" s="5">
        <v>9272</v>
      </c>
      <c r="R3220" s="5">
        <v>58074</v>
      </c>
    </row>
    <row r="3221" spans="1:18" x14ac:dyDescent="0.25">
      <c r="A3221" t="s">
        <v>512</v>
      </c>
      <c r="B3221" t="s">
        <v>494</v>
      </c>
      <c r="C3221">
        <v>81537600</v>
      </c>
      <c r="D3221">
        <v>443</v>
      </c>
      <c r="E3221">
        <v>30852521</v>
      </c>
      <c r="F3221" t="s">
        <v>1397</v>
      </c>
      <c r="G3221" s="1">
        <v>45236</v>
      </c>
      <c r="H3221">
        <v>5412152</v>
      </c>
      <c r="I3221">
        <v>50</v>
      </c>
      <c r="J3221" t="s">
        <v>376</v>
      </c>
      <c r="K3221" t="str">
        <f>IFERROR(IF(AND(VLOOKUP($C3221,Hes!$A:$B, 1, FALSE), $M3221&lt;&gt;" "), "Ingresada", "Falta Ingresar"), " ")</f>
        <v xml:space="preserve"> </v>
      </c>
      <c r="L3221" s="4" t="str">
        <f>IFERROR(VLOOKUP($C3221,Observaciones!$A:$B,2,FALSE)," ")</f>
        <v>XRUT</v>
      </c>
      <c r="M3221" t="s">
        <v>681</v>
      </c>
      <c r="O3221" s="5">
        <v>30852521</v>
      </c>
      <c r="P3221" s="5">
        <v>45669</v>
      </c>
      <c r="Q3221" s="5">
        <v>8677</v>
      </c>
      <c r="R3221" s="5">
        <v>54346</v>
      </c>
    </row>
    <row r="3222" spans="1:18" x14ac:dyDescent="0.25">
      <c r="A3222" t="s">
        <v>512</v>
      </c>
      <c r="B3222" t="s">
        <v>494</v>
      </c>
      <c r="C3222">
        <v>81537600</v>
      </c>
      <c r="D3222">
        <v>140</v>
      </c>
      <c r="E3222">
        <v>30853008</v>
      </c>
      <c r="F3222" t="s">
        <v>1397</v>
      </c>
      <c r="G3222" s="1">
        <v>45234</v>
      </c>
      <c r="H3222">
        <v>5412176</v>
      </c>
      <c r="I3222">
        <v>50</v>
      </c>
      <c r="J3222" t="s">
        <v>376</v>
      </c>
      <c r="K3222" t="str">
        <f>IFERROR(IF(AND(VLOOKUP($C3222,Hes!$A:$B, 1, FALSE), $M3222&lt;&gt;" "), "Ingresada", "Falta Ingresar"), " ")</f>
        <v xml:space="preserve"> </v>
      </c>
      <c r="L3222" s="4" t="str">
        <f>IFERROR(VLOOKUP($C3222,Observaciones!$A:$B,2,FALSE)," ")</f>
        <v>XRUT</v>
      </c>
      <c r="M3222" t="s">
        <v>681</v>
      </c>
      <c r="O3222" s="5">
        <v>30853008</v>
      </c>
      <c r="P3222" s="5">
        <v>74830</v>
      </c>
      <c r="Q3222" s="5">
        <v>14218</v>
      </c>
      <c r="R3222" s="5">
        <v>89048</v>
      </c>
    </row>
    <row r="3223" spans="1:18" x14ac:dyDescent="0.25">
      <c r="A3223" t="s">
        <v>512</v>
      </c>
      <c r="B3223" t="s">
        <v>494</v>
      </c>
      <c r="C3223">
        <v>81537600</v>
      </c>
      <c r="D3223">
        <v>358</v>
      </c>
      <c r="E3223">
        <v>30852280</v>
      </c>
      <c r="F3223" t="s">
        <v>1397</v>
      </c>
      <c r="G3223" s="1">
        <v>45236</v>
      </c>
      <c r="H3223">
        <v>5412179</v>
      </c>
      <c r="I3223">
        <v>50</v>
      </c>
      <c r="J3223" t="s">
        <v>376</v>
      </c>
      <c r="K3223" t="str">
        <f>IFERROR(IF(AND(VLOOKUP($C3223,Hes!$A:$B, 1, FALSE), $M3223&lt;&gt;" "), "Ingresada", "Falta Ingresar"), " ")</f>
        <v xml:space="preserve"> </v>
      </c>
      <c r="L3223" s="4" t="str">
        <f>IFERROR(VLOOKUP($C3223,Observaciones!$A:$B,2,FALSE)," ")</f>
        <v>XRUT</v>
      </c>
      <c r="M3223" t="s">
        <v>681</v>
      </c>
      <c r="O3223" s="5">
        <v>30852280</v>
      </c>
      <c r="P3223" s="5">
        <v>48639</v>
      </c>
      <c r="Q3223" s="5">
        <v>9241</v>
      </c>
      <c r="R3223" s="5">
        <v>57880</v>
      </c>
    </row>
    <row r="3224" spans="1:18" x14ac:dyDescent="0.25">
      <c r="A3224" t="s">
        <v>512</v>
      </c>
      <c r="B3224" t="s">
        <v>494</v>
      </c>
      <c r="C3224">
        <v>81537600</v>
      </c>
      <c r="D3224">
        <v>419</v>
      </c>
      <c r="E3224">
        <v>30849955</v>
      </c>
      <c r="F3224" t="s">
        <v>1397</v>
      </c>
      <c r="G3224" s="1">
        <v>45236</v>
      </c>
      <c r="H3224">
        <v>5412183</v>
      </c>
      <c r="I3224">
        <v>50</v>
      </c>
      <c r="J3224" t="s">
        <v>376</v>
      </c>
      <c r="K3224" t="str">
        <f>IFERROR(IF(AND(VLOOKUP($C3224,Hes!$A:$B, 1, FALSE), $M3224&lt;&gt;" "), "Ingresada", "Falta Ingresar"), " ")</f>
        <v xml:space="preserve"> </v>
      </c>
      <c r="L3224" s="4" t="str">
        <f>IFERROR(VLOOKUP($C3224,Observaciones!$A:$B,2,FALSE)," ")</f>
        <v>XRUT</v>
      </c>
      <c r="M3224" t="s">
        <v>681</v>
      </c>
      <c r="O3224" s="5">
        <v>30849955</v>
      </c>
      <c r="P3224" s="5">
        <v>46812</v>
      </c>
      <c r="Q3224" s="5">
        <v>8894</v>
      </c>
      <c r="R3224" s="5">
        <v>55706</v>
      </c>
    </row>
    <row r="3225" spans="1:18" x14ac:dyDescent="0.25">
      <c r="A3225" t="s">
        <v>512</v>
      </c>
      <c r="B3225" t="s">
        <v>494</v>
      </c>
      <c r="C3225">
        <v>81537600</v>
      </c>
      <c r="D3225">
        <v>355</v>
      </c>
      <c r="E3225">
        <v>30852982</v>
      </c>
      <c r="F3225" t="s">
        <v>1397</v>
      </c>
      <c r="G3225" s="1">
        <v>45236</v>
      </c>
      <c r="H3225">
        <v>5412246</v>
      </c>
      <c r="I3225">
        <v>50</v>
      </c>
      <c r="J3225" t="s">
        <v>376</v>
      </c>
      <c r="K3225" t="str">
        <f>IFERROR(IF(AND(VLOOKUP($C3225,Hes!$A:$B, 1, FALSE), $M3225&lt;&gt;" "), "Ingresada", "Falta Ingresar"), " ")</f>
        <v xml:space="preserve"> </v>
      </c>
      <c r="L3225" s="4" t="str">
        <f>IFERROR(VLOOKUP($C3225,Observaciones!$A:$B,2,FALSE)," ")</f>
        <v>XRUT</v>
      </c>
      <c r="M3225" t="s">
        <v>681</v>
      </c>
      <c r="O3225" s="5">
        <v>30852982</v>
      </c>
      <c r="P3225" s="5">
        <v>47675</v>
      </c>
      <c r="Q3225" s="5">
        <v>9058</v>
      </c>
      <c r="R3225" s="5">
        <v>56733</v>
      </c>
    </row>
    <row r="3226" spans="1:18" x14ac:dyDescent="0.25">
      <c r="A3226" t="s">
        <v>512</v>
      </c>
      <c r="B3226" t="s">
        <v>494</v>
      </c>
      <c r="C3226">
        <v>81537600</v>
      </c>
      <c r="D3226">
        <v>485</v>
      </c>
      <c r="E3226">
        <v>30852397</v>
      </c>
      <c r="F3226" t="s">
        <v>1397</v>
      </c>
      <c r="G3226" s="1">
        <v>45236</v>
      </c>
      <c r="H3226">
        <v>5412253</v>
      </c>
      <c r="I3226">
        <v>50</v>
      </c>
      <c r="J3226" t="s">
        <v>376</v>
      </c>
      <c r="K3226" t="str">
        <f>IFERROR(IF(AND(VLOOKUP($C3226,Hes!$A:$B, 1, FALSE), $M3226&lt;&gt;" "), "Ingresada", "Falta Ingresar"), " ")</f>
        <v xml:space="preserve"> </v>
      </c>
      <c r="L3226" s="4" t="str">
        <f>IFERROR(VLOOKUP($C3226,Observaciones!$A:$B,2,FALSE)," ")</f>
        <v>XRUT</v>
      </c>
      <c r="M3226" t="s">
        <v>681</v>
      </c>
      <c r="O3226" s="5">
        <v>30852397</v>
      </c>
      <c r="P3226" s="5">
        <v>62250</v>
      </c>
      <c r="Q3226" s="5">
        <v>11828</v>
      </c>
      <c r="R3226" s="5">
        <v>74078</v>
      </c>
    </row>
    <row r="3227" spans="1:18" x14ac:dyDescent="0.25">
      <c r="A3227" t="s">
        <v>512</v>
      </c>
      <c r="B3227" t="s">
        <v>494</v>
      </c>
      <c r="C3227">
        <v>81537600</v>
      </c>
      <c r="D3227">
        <v>701</v>
      </c>
      <c r="E3227">
        <v>30853312</v>
      </c>
      <c r="F3227" t="s">
        <v>1397</v>
      </c>
      <c r="G3227" s="1">
        <v>45235</v>
      </c>
      <c r="H3227">
        <v>5412285</v>
      </c>
      <c r="I3227">
        <v>50</v>
      </c>
      <c r="J3227" t="s">
        <v>376</v>
      </c>
      <c r="K3227" t="str">
        <f>IFERROR(IF(AND(VLOOKUP($C3227,Hes!$A:$B, 1, FALSE), $M3227&lt;&gt;" "), "Ingresada", "Falta Ingresar"), " ")</f>
        <v xml:space="preserve"> </v>
      </c>
      <c r="L3227" s="4" t="str">
        <f>IFERROR(VLOOKUP($C3227,Observaciones!$A:$B,2,FALSE)," ")</f>
        <v>XRUT</v>
      </c>
      <c r="M3227" t="s">
        <v>681</v>
      </c>
      <c r="O3227" s="5">
        <v>30853312</v>
      </c>
      <c r="P3227" s="5">
        <v>49323</v>
      </c>
      <c r="Q3227" s="5">
        <v>9371</v>
      </c>
      <c r="R3227" s="5">
        <v>58694</v>
      </c>
    </row>
    <row r="3228" spans="1:18" x14ac:dyDescent="0.25">
      <c r="A3228" t="s">
        <v>512</v>
      </c>
      <c r="B3228" t="s">
        <v>494</v>
      </c>
      <c r="C3228">
        <v>81537600</v>
      </c>
      <c r="D3228">
        <v>707</v>
      </c>
      <c r="E3228">
        <v>30853329</v>
      </c>
      <c r="F3228" t="s">
        <v>1397</v>
      </c>
      <c r="G3228" s="1">
        <v>45236</v>
      </c>
      <c r="H3228">
        <v>5412300</v>
      </c>
      <c r="I3228">
        <v>50</v>
      </c>
      <c r="J3228" t="s">
        <v>376</v>
      </c>
      <c r="K3228" t="str">
        <f>IFERROR(IF(AND(VLOOKUP($C3228,Hes!$A:$B, 1, FALSE), $M3228&lt;&gt;" "), "Ingresada", "Falta Ingresar"), " ")</f>
        <v xml:space="preserve"> </v>
      </c>
      <c r="L3228" s="4" t="str">
        <f>IFERROR(VLOOKUP($C3228,Observaciones!$A:$B,2,FALSE)," ")</f>
        <v>XRUT</v>
      </c>
      <c r="M3228" t="s">
        <v>681</v>
      </c>
      <c r="O3228" s="5">
        <v>30853329</v>
      </c>
      <c r="P3228" s="5">
        <v>101881</v>
      </c>
      <c r="Q3228" s="5">
        <v>19357</v>
      </c>
      <c r="R3228" s="5">
        <v>121238</v>
      </c>
    </row>
    <row r="3229" spans="1:18" x14ac:dyDescent="0.25">
      <c r="A3229" t="s">
        <v>512</v>
      </c>
      <c r="B3229" t="s">
        <v>494</v>
      </c>
      <c r="C3229">
        <v>81537600</v>
      </c>
      <c r="D3229">
        <v>10</v>
      </c>
      <c r="E3229">
        <v>30851680</v>
      </c>
      <c r="F3229" t="s">
        <v>1397</v>
      </c>
      <c r="G3229" s="1">
        <v>45236</v>
      </c>
      <c r="H3229">
        <v>5412359</v>
      </c>
      <c r="I3229">
        <v>50</v>
      </c>
      <c r="J3229" t="s">
        <v>376</v>
      </c>
      <c r="K3229" t="str">
        <f>IFERROR(IF(AND(VLOOKUP($C3229,Hes!$A:$B, 1, FALSE), $M3229&lt;&gt;" "), "Ingresada", "Falta Ingresar"), " ")</f>
        <v xml:space="preserve"> </v>
      </c>
      <c r="L3229" s="4" t="str">
        <f>IFERROR(VLOOKUP($C3229,Observaciones!$A:$B,2,FALSE)," ")</f>
        <v>XRUT</v>
      </c>
      <c r="M3229" t="s">
        <v>681</v>
      </c>
      <c r="O3229" s="5">
        <v>30851680</v>
      </c>
      <c r="P3229" s="5">
        <v>75090</v>
      </c>
      <c r="Q3229" s="5">
        <v>14267</v>
      </c>
      <c r="R3229" s="5">
        <v>89357</v>
      </c>
    </row>
    <row r="3230" spans="1:18" x14ac:dyDescent="0.25">
      <c r="A3230" t="s">
        <v>512</v>
      </c>
      <c r="B3230" t="s">
        <v>494</v>
      </c>
      <c r="C3230">
        <v>81537600</v>
      </c>
      <c r="D3230">
        <v>784</v>
      </c>
      <c r="E3230">
        <v>30851658</v>
      </c>
      <c r="F3230" t="s">
        <v>1397</v>
      </c>
      <c r="G3230" s="1">
        <v>45236</v>
      </c>
      <c r="H3230">
        <v>5412417</v>
      </c>
      <c r="I3230">
        <v>50</v>
      </c>
      <c r="J3230" t="s">
        <v>376</v>
      </c>
      <c r="K3230" t="str">
        <f>IFERROR(IF(AND(VLOOKUP($C3230,Hes!$A:$B, 1, FALSE), $M3230&lt;&gt;" "), "Ingresada", "Falta Ingresar"), " ")</f>
        <v xml:space="preserve"> </v>
      </c>
      <c r="L3230" s="4" t="str">
        <f>IFERROR(VLOOKUP($C3230,Observaciones!$A:$B,2,FALSE)," ")</f>
        <v>XRUT</v>
      </c>
      <c r="M3230" t="s">
        <v>681</v>
      </c>
      <c r="O3230" s="5">
        <v>30851658</v>
      </c>
      <c r="P3230" s="5">
        <v>33813</v>
      </c>
      <c r="Q3230" s="5">
        <v>6424</v>
      </c>
      <c r="R3230" s="5">
        <v>40237</v>
      </c>
    </row>
    <row r="3231" spans="1:18" x14ac:dyDescent="0.25">
      <c r="A3231" t="s">
        <v>512</v>
      </c>
      <c r="B3231" t="s">
        <v>494</v>
      </c>
      <c r="C3231">
        <v>81537600</v>
      </c>
      <c r="D3231">
        <v>316</v>
      </c>
      <c r="E3231">
        <v>30854033</v>
      </c>
      <c r="F3231" t="s">
        <v>1397</v>
      </c>
      <c r="G3231" s="1">
        <v>45236</v>
      </c>
      <c r="H3231">
        <v>5412448</v>
      </c>
      <c r="I3231">
        <v>5</v>
      </c>
      <c r="J3231" t="s">
        <v>374</v>
      </c>
      <c r="K3231" t="str">
        <f>IFERROR(IF(AND(VLOOKUP($C3231,Hes!$A:$B, 1, FALSE), $M3231&lt;&gt;" "), "Ingresada", "Falta Ingresar"), " ")</f>
        <v xml:space="preserve"> </v>
      </c>
      <c r="L3231" s="4" t="str">
        <f>IFERROR(VLOOKUP($C3231,Observaciones!$A:$B,2,FALSE)," ")</f>
        <v>XRUT</v>
      </c>
      <c r="M3231" t="s">
        <v>681</v>
      </c>
      <c r="O3231" s="5">
        <v>30854033</v>
      </c>
      <c r="P3231" s="5">
        <v>23310</v>
      </c>
      <c r="Q3231" s="5">
        <v>4429</v>
      </c>
      <c r="R3231" s="5">
        <v>27739</v>
      </c>
    </row>
    <row r="3232" spans="1:18" x14ac:dyDescent="0.25">
      <c r="A3232" t="s">
        <v>512</v>
      </c>
      <c r="B3232" t="s">
        <v>494</v>
      </c>
      <c r="C3232">
        <v>81537600</v>
      </c>
      <c r="D3232">
        <v>244</v>
      </c>
      <c r="E3232">
        <v>30853664</v>
      </c>
      <c r="F3232" t="s">
        <v>1397</v>
      </c>
      <c r="G3232" s="1">
        <v>45234</v>
      </c>
      <c r="H3232">
        <v>5412543</v>
      </c>
      <c r="I3232">
        <v>5</v>
      </c>
      <c r="J3232" t="s">
        <v>374</v>
      </c>
      <c r="K3232" t="str">
        <f>IFERROR(IF(AND(VLOOKUP($C3232,Hes!$A:$B, 1, FALSE), $M3232&lt;&gt;" "), "Ingresada", "Falta Ingresar"), " ")</f>
        <v xml:space="preserve"> </v>
      </c>
      <c r="L3232" s="4" t="str">
        <f>IFERROR(VLOOKUP($C3232,Observaciones!$A:$B,2,FALSE)," ")</f>
        <v>XRUT</v>
      </c>
      <c r="M3232" t="s">
        <v>681</v>
      </c>
      <c r="O3232" s="5">
        <v>30853664</v>
      </c>
      <c r="P3232" s="5">
        <v>84942</v>
      </c>
      <c r="Q3232" s="5">
        <v>16139</v>
      </c>
      <c r="R3232" s="5">
        <v>101081</v>
      </c>
    </row>
    <row r="3233" spans="1:18" x14ac:dyDescent="0.25">
      <c r="A3233" t="s">
        <v>512</v>
      </c>
      <c r="B3233" t="s">
        <v>494</v>
      </c>
      <c r="C3233">
        <v>81537600</v>
      </c>
      <c r="D3233">
        <v>373</v>
      </c>
      <c r="E3233">
        <v>30854302</v>
      </c>
      <c r="F3233" t="s">
        <v>1397</v>
      </c>
      <c r="G3233" s="1">
        <v>45234</v>
      </c>
      <c r="H3233">
        <v>5412600</v>
      </c>
      <c r="I3233">
        <v>5</v>
      </c>
      <c r="J3233" t="s">
        <v>374</v>
      </c>
      <c r="K3233" t="str">
        <f>IFERROR(IF(AND(VLOOKUP($C3233,Hes!$A:$B, 1, FALSE), $M3233&lt;&gt;" "), "Ingresada", "Falta Ingresar"), " ")</f>
        <v xml:space="preserve"> </v>
      </c>
      <c r="L3233" s="4" t="str">
        <f>IFERROR(VLOOKUP($C3233,Observaciones!$A:$B,2,FALSE)," ")</f>
        <v>XRUT</v>
      </c>
      <c r="M3233" t="s">
        <v>681</v>
      </c>
      <c r="O3233" s="5">
        <v>30854302</v>
      </c>
      <c r="P3233" s="5">
        <v>46800</v>
      </c>
      <c r="Q3233" s="5">
        <v>8892</v>
      </c>
      <c r="R3233" s="5">
        <v>55692</v>
      </c>
    </row>
    <row r="3234" spans="1:18" x14ac:dyDescent="0.25">
      <c r="A3234" t="s">
        <v>512</v>
      </c>
      <c r="B3234" t="s">
        <v>494</v>
      </c>
      <c r="C3234">
        <v>81537600</v>
      </c>
      <c r="D3234">
        <v>709</v>
      </c>
      <c r="E3234">
        <v>30853995</v>
      </c>
      <c r="F3234" t="s">
        <v>1397</v>
      </c>
      <c r="G3234" s="1">
        <v>45236</v>
      </c>
      <c r="H3234">
        <v>5412692</v>
      </c>
      <c r="I3234">
        <v>5</v>
      </c>
      <c r="J3234" t="s">
        <v>374</v>
      </c>
      <c r="K3234" t="str">
        <f>IFERROR(IF(AND(VLOOKUP($C3234,Hes!$A:$B, 1, FALSE), $M3234&lt;&gt;" "), "Ingresada", "Falta Ingresar"), " ")</f>
        <v xml:space="preserve"> </v>
      </c>
      <c r="L3234" s="4" t="str">
        <f>IFERROR(VLOOKUP($C3234,Observaciones!$A:$B,2,FALSE)," ")</f>
        <v>XRUT</v>
      </c>
      <c r="M3234" t="s">
        <v>681</v>
      </c>
      <c r="O3234" s="5">
        <v>30853995</v>
      </c>
      <c r="P3234" s="5">
        <v>64768</v>
      </c>
      <c r="Q3234" s="5">
        <v>12306</v>
      </c>
      <c r="R3234" s="5">
        <v>77074</v>
      </c>
    </row>
    <row r="3235" spans="1:18" x14ac:dyDescent="0.25">
      <c r="A3235" t="s">
        <v>512</v>
      </c>
      <c r="B3235" t="s">
        <v>494</v>
      </c>
      <c r="C3235">
        <v>81537600</v>
      </c>
      <c r="D3235">
        <v>262</v>
      </c>
      <c r="E3235">
        <v>30852224</v>
      </c>
      <c r="F3235" t="s">
        <v>1397</v>
      </c>
      <c r="G3235" s="1">
        <v>45236</v>
      </c>
      <c r="H3235">
        <v>5412706</v>
      </c>
      <c r="I3235">
        <v>50</v>
      </c>
      <c r="J3235" t="s">
        <v>376</v>
      </c>
      <c r="K3235" t="str">
        <f>IFERROR(IF(AND(VLOOKUP($C3235,Hes!$A:$B, 1, FALSE), $M3235&lt;&gt;" "), "Ingresada", "Falta Ingresar"), " ")</f>
        <v xml:space="preserve"> </v>
      </c>
      <c r="L3235" s="4" t="str">
        <f>IFERROR(VLOOKUP($C3235,Observaciones!$A:$B,2,FALSE)," ")</f>
        <v>XRUT</v>
      </c>
      <c r="M3235" t="s">
        <v>681</v>
      </c>
      <c r="O3235" s="5">
        <v>30852224</v>
      </c>
      <c r="P3235" s="5">
        <v>49022</v>
      </c>
      <c r="Q3235" s="5">
        <v>9314</v>
      </c>
      <c r="R3235" s="5">
        <v>58336</v>
      </c>
    </row>
    <row r="3236" spans="1:18" x14ac:dyDescent="0.25">
      <c r="A3236" t="s">
        <v>512</v>
      </c>
      <c r="B3236" t="s">
        <v>494</v>
      </c>
      <c r="C3236">
        <v>81537600</v>
      </c>
      <c r="D3236">
        <v>499</v>
      </c>
      <c r="E3236">
        <v>30854947</v>
      </c>
      <c r="F3236" t="s">
        <v>1397</v>
      </c>
      <c r="G3236" s="1">
        <v>45236</v>
      </c>
      <c r="H3236">
        <v>5412755</v>
      </c>
      <c r="I3236">
        <v>5</v>
      </c>
      <c r="J3236" t="s">
        <v>374</v>
      </c>
      <c r="K3236" t="str">
        <f>IFERROR(IF(AND(VLOOKUP($C3236,Hes!$A:$B, 1, FALSE), $M3236&lt;&gt;" "), "Ingresada", "Falta Ingresar"), " ")</f>
        <v xml:space="preserve"> </v>
      </c>
      <c r="L3236" s="4" t="str">
        <f>IFERROR(VLOOKUP($C3236,Observaciones!$A:$B,2,FALSE)," ")</f>
        <v>XRUT</v>
      </c>
      <c r="M3236" t="s">
        <v>681</v>
      </c>
      <c r="O3236" s="5">
        <v>30854947</v>
      </c>
      <c r="P3236" s="5">
        <v>28976</v>
      </c>
      <c r="Q3236" s="5">
        <v>5505</v>
      </c>
      <c r="R3236" s="5">
        <v>34481</v>
      </c>
    </row>
    <row r="3237" spans="1:18" x14ac:dyDescent="0.25">
      <c r="A3237" t="s">
        <v>512</v>
      </c>
      <c r="B3237" t="s">
        <v>494</v>
      </c>
      <c r="C3237">
        <v>81537600</v>
      </c>
      <c r="D3237">
        <v>735</v>
      </c>
      <c r="E3237">
        <v>30852151</v>
      </c>
      <c r="F3237" t="s">
        <v>1397</v>
      </c>
      <c r="G3237" s="1">
        <v>45236</v>
      </c>
      <c r="H3237">
        <v>5412757</v>
      </c>
      <c r="I3237">
        <v>50</v>
      </c>
      <c r="J3237" t="s">
        <v>376</v>
      </c>
      <c r="K3237" t="str">
        <f>IFERROR(IF(AND(VLOOKUP($C3237,Hes!$A:$B, 1, FALSE), $M3237&lt;&gt;" "), "Ingresada", "Falta Ingresar"), " ")</f>
        <v xml:space="preserve"> </v>
      </c>
      <c r="L3237" s="4" t="str">
        <f>IFERROR(VLOOKUP($C3237,Observaciones!$A:$B,2,FALSE)," ")</f>
        <v>XRUT</v>
      </c>
      <c r="M3237" t="s">
        <v>681</v>
      </c>
      <c r="O3237" s="5">
        <v>30854339</v>
      </c>
      <c r="P3237" s="5">
        <v>49366</v>
      </c>
      <c r="Q3237" s="5">
        <v>9380</v>
      </c>
      <c r="R3237" s="5">
        <v>58746</v>
      </c>
    </row>
    <row r="3238" spans="1:18" x14ac:dyDescent="0.25">
      <c r="A3238" t="s">
        <v>512</v>
      </c>
      <c r="B3238" t="s">
        <v>494</v>
      </c>
      <c r="C3238">
        <v>81537600</v>
      </c>
      <c r="D3238">
        <v>724</v>
      </c>
      <c r="E3238">
        <v>30854723</v>
      </c>
      <c r="F3238" t="s">
        <v>1397</v>
      </c>
      <c r="G3238" s="1">
        <v>45236</v>
      </c>
      <c r="H3238">
        <v>5412763</v>
      </c>
      <c r="I3238">
        <v>5</v>
      </c>
      <c r="J3238" t="s">
        <v>374</v>
      </c>
      <c r="K3238" t="str">
        <f>IFERROR(IF(AND(VLOOKUP($C3238,Hes!$A:$B, 1, FALSE), $M3238&lt;&gt;" "), "Ingresada", "Falta Ingresar"), " ")</f>
        <v xml:space="preserve"> </v>
      </c>
      <c r="L3238" s="4" t="str">
        <f>IFERROR(VLOOKUP($C3238,Observaciones!$A:$B,2,FALSE)," ")</f>
        <v>XRUT</v>
      </c>
      <c r="M3238" t="s">
        <v>681</v>
      </c>
      <c r="O3238" s="5">
        <v>30854723</v>
      </c>
      <c r="P3238" s="5">
        <v>21493</v>
      </c>
      <c r="Q3238" s="5">
        <v>4084</v>
      </c>
      <c r="R3238" s="5">
        <v>25577</v>
      </c>
    </row>
    <row r="3239" spans="1:18" x14ac:dyDescent="0.25">
      <c r="A3239" t="s">
        <v>512</v>
      </c>
      <c r="B3239" t="s">
        <v>494</v>
      </c>
      <c r="C3239">
        <v>81537600</v>
      </c>
      <c r="D3239">
        <v>383</v>
      </c>
      <c r="E3239">
        <v>30854997</v>
      </c>
      <c r="F3239" t="s">
        <v>1397</v>
      </c>
      <c r="G3239" s="1">
        <v>45236</v>
      </c>
      <c r="H3239">
        <v>5412768</v>
      </c>
      <c r="I3239">
        <v>5</v>
      </c>
      <c r="J3239" t="s">
        <v>374</v>
      </c>
      <c r="K3239" t="str">
        <f>IFERROR(IF(AND(VLOOKUP($C3239,Hes!$A:$B, 1, FALSE), $M3239&lt;&gt;" "), "Ingresada", "Falta Ingresar"), " ")</f>
        <v xml:space="preserve"> </v>
      </c>
      <c r="L3239" s="4" t="str">
        <f>IFERROR(VLOOKUP($C3239,Observaciones!$A:$B,2,FALSE)," ")</f>
        <v>XRUT</v>
      </c>
      <c r="M3239" t="s">
        <v>681</v>
      </c>
      <c r="O3239" s="5">
        <v>30854997</v>
      </c>
      <c r="P3239" s="5">
        <v>49028</v>
      </c>
      <c r="Q3239" s="5">
        <v>9315</v>
      </c>
      <c r="R3239" s="5">
        <v>58343</v>
      </c>
    </row>
    <row r="3240" spans="1:18" x14ac:dyDescent="0.25">
      <c r="A3240" t="s">
        <v>512</v>
      </c>
      <c r="B3240" t="s">
        <v>494</v>
      </c>
      <c r="C3240">
        <v>81537600</v>
      </c>
      <c r="D3240">
        <v>791</v>
      </c>
      <c r="E3240">
        <v>30854891</v>
      </c>
      <c r="F3240" t="s">
        <v>1397</v>
      </c>
      <c r="G3240" s="1">
        <v>45236</v>
      </c>
      <c r="H3240">
        <v>5412775</v>
      </c>
      <c r="I3240">
        <v>5</v>
      </c>
      <c r="J3240" t="s">
        <v>374</v>
      </c>
      <c r="K3240" t="str">
        <f>IFERROR(IF(AND(VLOOKUP($C3240,Hes!$A:$B, 1, FALSE), $M3240&lt;&gt;" "), "Ingresada", "Falta Ingresar"), " ")</f>
        <v xml:space="preserve"> </v>
      </c>
      <c r="L3240" s="4" t="str">
        <f>IFERROR(VLOOKUP($C3240,Observaciones!$A:$B,2,FALSE)," ")</f>
        <v>XRUT</v>
      </c>
      <c r="M3240" t="s">
        <v>681</v>
      </c>
      <c r="O3240" s="5">
        <v>30854891</v>
      </c>
      <c r="P3240" s="5">
        <v>40307</v>
      </c>
      <c r="Q3240" s="5">
        <v>7658</v>
      </c>
      <c r="R3240" s="5">
        <v>47965</v>
      </c>
    </row>
    <row r="3241" spans="1:18" x14ac:dyDescent="0.25">
      <c r="A3241" t="s">
        <v>512</v>
      </c>
      <c r="B3241" t="s">
        <v>494</v>
      </c>
      <c r="C3241">
        <v>81537600</v>
      </c>
      <c r="D3241">
        <v>380</v>
      </c>
      <c r="E3241">
        <v>30854944</v>
      </c>
      <c r="F3241" t="s">
        <v>1397</v>
      </c>
      <c r="G3241" s="1">
        <v>45236</v>
      </c>
      <c r="H3241">
        <v>5412777</v>
      </c>
      <c r="I3241">
        <v>5</v>
      </c>
      <c r="J3241" t="s">
        <v>374</v>
      </c>
      <c r="K3241" t="str">
        <f>IFERROR(IF(AND(VLOOKUP($C3241,Hes!$A:$B, 1, FALSE), $M3241&lt;&gt;" "), "Ingresada", "Falta Ingresar"), " ")</f>
        <v xml:space="preserve"> </v>
      </c>
      <c r="L3241" s="4" t="str">
        <f>IFERROR(VLOOKUP($C3241,Observaciones!$A:$B,2,FALSE)," ")</f>
        <v>XRUT</v>
      </c>
      <c r="M3241" t="s">
        <v>681</v>
      </c>
      <c r="O3241" s="5">
        <v>30854944</v>
      </c>
      <c r="P3241" s="5">
        <v>48622</v>
      </c>
      <c r="Q3241" s="5">
        <v>9238</v>
      </c>
      <c r="R3241" s="5">
        <v>57860</v>
      </c>
    </row>
    <row r="3242" spans="1:18" x14ac:dyDescent="0.25">
      <c r="A3242" t="s">
        <v>512</v>
      </c>
      <c r="B3242" t="s">
        <v>494</v>
      </c>
      <c r="C3242">
        <v>81537600</v>
      </c>
      <c r="D3242">
        <v>711</v>
      </c>
      <c r="E3242">
        <v>30853454</v>
      </c>
      <c r="F3242" t="s">
        <v>1397</v>
      </c>
      <c r="G3242" s="1">
        <v>45236</v>
      </c>
      <c r="H3242">
        <v>5412788</v>
      </c>
      <c r="I3242">
        <v>5</v>
      </c>
      <c r="J3242" t="s">
        <v>374</v>
      </c>
      <c r="K3242" t="str">
        <f>IFERROR(IF(AND(VLOOKUP($C3242,Hes!$A:$B, 1, FALSE), $M3242&lt;&gt;" "), "Ingresada", "Falta Ingresar"), " ")</f>
        <v xml:space="preserve"> </v>
      </c>
      <c r="L3242" s="4" t="str">
        <f>IFERROR(VLOOKUP($C3242,Observaciones!$A:$B,2,FALSE)," ")</f>
        <v>XRUT</v>
      </c>
      <c r="M3242" t="s">
        <v>681</v>
      </c>
      <c r="O3242" s="5">
        <v>30853454</v>
      </c>
      <c r="P3242" s="5">
        <v>43508</v>
      </c>
      <c r="Q3242" s="5">
        <v>8267</v>
      </c>
      <c r="R3242" s="5">
        <v>51775</v>
      </c>
    </row>
    <row r="3243" spans="1:18" x14ac:dyDescent="0.25">
      <c r="A3243" t="s">
        <v>512</v>
      </c>
      <c r="B3243" t="s">
        <v>494</v>
      </c>
      <c r="C3243">
        <v>81537600</v>
      </c>
      <c r="D3243">
        <v>805</v>
      </c>
      <c r="E3243">
        <v>30856111</v>
      </c>
      <c r="F3243" t="s">
        <v>1397</v>
      </c>
      <c r="G3243" s="1">
        <v>45236</v>
      </c>
      <c r="H3243">
        <v>5413095</v>
      </c>
      <c r="I3243">
        <v>5</v>
      </c>
      <c r="J3243" t="s">
        <v>374</v>
      </c>
      <c r="K3243" t="str">
        <f>IFERROR(IF(AND(VLOOKUP($C3243,Hes!$A:$B, 1, FALSE), $M3243&lt;&gt;" "), "Ingresada", "Falta Ingresar"), " ")</f>
        <v xml:space="preserve"> </v>
      </c>
      <c r="L3243" s="4" t="str">
        <f>IFERROR(VLOOKUP($C3243,Observaciones!$A:$B,2,FALSE)," ")</f>
        <v>XRUT</v>
      </c>
      <c r="M3243" t="s">
        <v>681</v>
      </c>
      <c r="O3243" s="5">
        <v>30856111</v>
      </c>
      <c r="P3243" s="5">
        <v>49205</v>
      </c>
      <c r="Q3243" s="5">
        <v>9349</v>
      </c>
      <c r="R3243" s="5">
        <v>58554</v>
      </c>
    </row>
    <row r="3244" spans="1:18" x14ac:dyDescent="0.25">
      <c r="A3244" t="s">
        <v>512</v>
      </c>
      <c r="B3244" t="s">
        <v>494</v>
      </c>
      <c r="C3244">
        <v>81537600</v>
      </c>
      <c r="D3244">
        <v>347</v>
      </c>
      <c r="E3244">
        <v>30852227</v>
      </c>
      <c r="F3244" t="s">
        <v>1397</v>
      </c>
      <c r="G3244" s="1">
        <v>45236</v>
      </c>
      <c r="H3244">
        <v>5413129</v>
      </c>
      <c r="I3244">
        <v>50</v>
      </c>
      <c r="J3244" t="s">
        <v>376</v>
      </c>
      <c r="K3244" t="str">
        <f>IFERROR(IF(AND(VLOOKUP($C3244,Hes!$A:$B, 1, FALSE), $M3244&lt;&gt;" "), "Ingresada", "Falta Ingresar"), " ")</f>
        <v xml:space="preserve"> </v>
      </c>
      <c r="L3244" s="4" t="str">
        <f>IFERROR(VLOOKUP($C3244,Observaciones!$A:$B,2,FALSE)," ")</f>
        <v>XRUT</v>
      </c>
      <c r="M3244" t="s">
        <v>681</v>
      </c>
      <c r="O3244" s="5">
        <v>30852227</v>
      </c>
      <c r="P3244" s="5">
        <v>63050</v>
      </c>
      <c r="Q3244" s="5">
        <v>11980</v>
      </c>
      <c r="R3244" s="5">
        <v>75030</v>
      </c>
    </row>
    <row r="3245" spans="1:18" x14ac:dyDescent="0.25">
      <c r="A3245" t="s">
        <v>512</v>
      </c>
      <c r="B3245" t="s">
        <v>494</v>
      </c>
      <c r="C3245">
        <v>81537600</v>
      </c>
      <c r="D3245">
        <v>275</v>
      </c>
      <c r="E3245">
        <v>30856585</v>
      </c>
      <c r="F3245" t="s">
        <v>1397</v>
      </c>
      <c r="G3245" s="1">
        <v>45236</v>
      </c>
      <c r="H3245">
        <v>5413162</v>
      </c>
      <c r="I3245">
        <v>5</v>
      </c>
      <c r="J3245" t="s">
        <v>374</v>
      </c>
      <c r="K3245" t="str">
        <f>IFERROR(IF(AND(VLOOKUP($C3245,Hes!$A:$B, 1, FALSE), $M3245&lt;&gt;" "), "Ingresada", "Falta Ingresar"), " ")</f>
        <v xml:space="preserve"> </v>
      </c>
      <c r="L3245" s="4" t="str">
        <f>IFERROR(VLOOKUP($C3245,Observaciones!$A:$B,2,FALSE)," ")</f>
        <v>XRUT</v>
      </c>
      <c r="M3245" t="s">
        <v>681</v>
      </c>
      <c r="O3245" s="5">
        <v>30856585</v>
      </c>
      <c r="P3245" s="5">
        <v>38512</v>
      </c>
      <c r="Q3245" s="5">
        <v>7317</v>
      </c>
      <c r="R3245" s="5">
        <v>45829</v>
      </c>
    </row>
    <row r="3246" spans="1:18" x14ac:dyDescent="0.25">
      <c r="A3246" t="s">
        <v>512</v>
      </c>
      <c r="B3246" t="s">
        <v>494</v>
      </c>
      <c r="C3246">
        <v>81537600</v>
      </c>
      <c r="D3246">
        <v>601</v>
      </c>
      <c r="E3246">
        <v>30857180</v>
      </c>
      <c r="F3246" t="s">
        <v>1397</v>
      </c>
      <c r="G3246" s="1">
        <v>45236</v>
      </c>
      <c r="H3246">
        <v>5413235</v>
      </c>
      <c r="I3246">
        <v>5</v>
      </c>
      <c r="J3246" t="s">
        <v>374</v>
      </c>
      <c r="K3246" t="str">
        <f>IFERROR(IF(AND(VLOOKUP($C3246,Hes!$A:$B, 1, FALSE), $M3246&lt;&gt;" "), "Ingresada", "Falta Ingresar"), " ")</f>
        <v xml:space="preserve"> </v>
      </c>
      <c r="L3246" s="4" t="str">
        <f>IFERROR(VLOOKUP($C3246,Observaciones!$A:$B,2,FALSE)," ")</f>
        <v>XRUT</v>
      </c>
      <c r="M3246" t="s">
        <v>681</v>
      </c>
      <c r="O3246" s="5">
        <v>30857180</v>
      </c>
      <c r="P3246" s="5">
        <v>11480</v>
      </c>
      <c r="Q3246" s="5">
        <v>2181</v>
      </c>
      <c r="R3246" s="5">
        <v>13661</v>
      </c>
    </row>
    <row r="3247" spans="1:18" x14ac:dyDescent="0.25">
      <c r="A3247" t="s">
        <v>512</v>
      </c>
      <c r="B3247" t="s">
        <v>494</v>
      </c>
      <c r="C3247">
        <v>81537600</v>
      </c>
      <c r="D3247">
        <v>253</v>
      </c>
      <c r="E3247">
        <v>30856518</v>
      </c>
      <c r="F3247" t="s">
        <v>1397</v>
      </c>
      <c r="G3247" s="1">
        <v>45236</v>
      </c>
      <c r="H3247">
        <v>5413240</v>
      </c>
      <c r="I3247">
        <v>5</v>
      </c>
      <c r="J3247" t="s">
        <v>374</v>
      </c>
      <c r="K3247" t="str">
        <f>IFERROR(IF(AND(VLOOKUP($C3247,Hes!$A:$B, 1, FALSE), $M3247&lt;&gt;" "), "Ingresada", "Falta Ingresar"), " ")</f>
        <v xml:space="preserve"> </v>
      </c>
      <c r="L3247" s="4" t="str">
        <f>IFERROR(VLOOKUP($C3247,Observaciones!$A:$B,2,FALSE)," ")</f>
        <v>XRUT</v>
      </c>
      <c r="M3247" t="s">
        <v>681</v>
      </c>
      <c r="O3247" s="5">
        <v>30856518</v>
      </c>
      <c r="P3247" s="5">
        <v>49274</v>
      </c>
      <c r="Q3247" s="5">
        <v>9362</v>
      </c>
      <c r="R3247" s="5">
        <v>58636</v>
      </c>
    </row>
    <row r="3248" spans="1:18" x14ac:dyDescent="0.25">
      <c r="A3248" t="s">
        <v>512</v>
      </c>
      <c r="B3248" t="s">
        <v>494</v>
      </c>
      <c r="C3248">
        <v>81537600</v>
      </c>
      <c r="D3248">
        <v>751</v>
      </c>
      <c r="E3248">
        <v>30855193</v>
      </c>
      <c r="F3248" t="s">
        <v>1397</v>
      </c>
      <c r="G3248" s="1">
        <v>45236</v>
      </c>
      <c r="H3248">
        <v>5413247</v>
      </c>
      <c r="I3248">
        <v>5</v>
      </c>
      <c r="J3248" t="s">
        <v>374</v>
      </c>
      <c r="K3248" t="str">
        <f>IFERROR(IF(AND(VLOOKUP($C3248,Hes!$A:$B, 1, FALSE), $M3248&lt;&gt;" "), "Ingresada", "Falta Ingresar"), " ")</f>
        <v xml:space="preserve"> </v>
      </c>
      <c r="L3248" s="4" t="str">
        <f>IFERROR(VLOOKUP($C3248,Observaciones!$A:$B,2,FALSE)," ")</f>
        <v>XRUT</v>
      </c>
      <c r="M3248" t="s">
        <v>681</v>
      </c>
      <c r="O3248" s="5">
        <v>30855193</v>
      </c>
      <c r="P3248" s="5">
        <v>36860</v>
      </c>
      <c r="Q3248" s="5">
        <v>7003</v>
      </c>
      <c r="R3248" s="5">
        <v>43863</v>
      </c>
    </row>
    <row r="3249" spans="1:18" x14ac:dyDescent="0.25">
      <c r="A3249" t="s">
        <v>512</v>
      </c>
      <c r="B3249" t="s">
        <v>494</v>
      </c>
      <c r="C3249">
        <v>81537600</v>
      </c>
      <c r="D3249">
        <v>799</v>
      </c>
      <c r="E3249">
        <v>30857096</v>
      </c>
      <c r="F3249" t="s">
        <v>1397</v>
      </c>
      <c r="G3249" s="1">
        <v>45236</v>
      </c>
      <c r="H3249">
        <v>5413362</v>
      </c>
      <c r="I3249">
        <v>5</v>
      </c>
      <c r="J3249" t="s">
        <v>374</v>
      </c>
      <c r="K3249" t="str">
        <f>IFERROR(IF(AND(VLOOKUP($C3249,Hes!$A:$B, 1, FALSE), $M3249&lt;&gt;" "), "Ingresada", "Falta Ingresar"), " ")</f>
        <v xml:space="preserve"> </v>
      </c>
      <c r="L3249" s="4" t="str">
        <f>IFERROR(VLOOKUP($C3249,Observaciones!$A:$B,2,FALSE)," ")</f>
        <v>XRUT</v>
      </c>
      <c r="M3249" t="s">
        <v>681</v>
      </c>
      <c r="O3249" s="5">
        <v>30857096</v>
      </c>
      <c r="P3249" s="5">
        <v>49329</v>
      </c>
      <c r="Q3249" s="5">
        <v>9373</v>
      </c>
      <c r="R3249" s="5">
        <v>58702</v>
      </c>
    </row>
    <row r="3250" spans="1:18" x14ac:dyDescent="0.25">
      <c r="A3250" t="s">
        <v>512</v>
      </c>
      <c r="B3250" t="s">
        <v>494</v>
      </c>
      <c r="C3250">
        <v>81537600</v>
      </c>
      <c r="D3250">
        <v>765</v>
      </c>
      <c r="E3250">
        <v>30856878</v>
      </c>
      <c r="F3250" t="s">
        <v>1397</v>
      </c>
      <c r="G3250" s="1">
        <v>45236</v>
      </c>
      <c r="H3250">
        <v>5413364</v>
      </c>
      <c r="I3250">
        <v>5</v>
      </c>
      <c r="J3250" t="s">
        <v>374</v>
      </c>
      <c r="K3250" t="str">
        <f>IFERROR(IF(AND(VLOOKUP($C3250,Hes!$A:$B, 1, FALSE), $M3250&lt;&gt;" "), "Ingresada", "Falta Ingresar"), " ")</f>
        <v xml:space="preserve"> </v>
      </c>
      <c r="L3250" s="4" t="str">
        <f>IFERROR(VLOOKUP($C3250,Observaciones!$A:$B,2,FALSE)," ")</f>
        <v>XRUT</v>
      </c>
      <c r="M3250" t="s">
        <v>681</v>
      </c>
      <c r="O3250" s="5">
        <v>30856878</v>
      </c>
      <c r="P3250" s="5">
        <v>49393</v>
      </c>
      <c r="Q3250" s="5">
        <v>9385</v>
      </c>
      <c r="R3250" s="5">
        <v>58778</v>
      </c>
    </row>
    <row r="3251" spans="1:18" x14ac:dyDescent="0.25">
      <c r="A3251" t="s">
        <v>512</v>
      </c>
      <c r="B3251" t="s">
        <v>494</v>
      </c>
      <c r="C3251">
        <v>81537600</v>
      </c>
      <c r="D3251">
        <v>502</v>
      </c>
      <c r="E3251">
        <v>30856331</v>
      </c>
      <c r="F3251" t="s">
        <v>1397</v>
      </c>
      <c r="G3251" s="1">
        <v>45236</v>
      </c>
      <c r="H3251">
        <v>5413365</v>
      </c>
      <c r="I3251">
        <v>5</v>
      </c>
      <c r="J3251" t="s">
        <v>374</v>
      </c>
      <c r="K3251" t="str">
        <f>IFERROR(IF(AND(VLOOKUP($C3251,Hes!$A:$B, 1, FALSE), $M3251&lt;&gt;" "), "Ingresada", "Falta Ingresar"), " ")</f>
        <v xml:space="preserve"> </v>
      </c>
      <c r="L3251" s="4" t="str">
        <f>IFERROR(VLOOKUP($C3251,Observaciones!$A:$B,2,FALSE)," ")</f>
        <v>XRUT</v>
      </c>
      <c r="M3251" t="s">
        <v>681</v>
      </c>
      <c r="O3251" s="5">
        <v>30856331</v>
      </c>
      <c r="P3251" s="5">
        <v>49272</v>
      </c>
      <c r="Q3251" s="5">
        <v>9362</v>
      </c>
      <c r="R3251" s="5">
        <v>58634</v>
      </c>
    </row>
    <row r="3252" spans="1:18" x14ac:dyDescent="0.25">
      <c r="A3252" t="s">
        <v>512</v>
      </c>
      <c r="B3252" t="s">
        <v>494</v>
      </c>
      <c r="C3252">
        <v>81537600</v>
      </c>
      <c r="D3252">
        <v>285</v>
      </c>
      <c r="E3252">
        <v>30857965</v>
      </c>
      <c r="F3252" t="s">
        <v>1397</v>
      </c>
      <c r="G3252" s="1">
        <v>45236</v>
      </c>
      <c r="H3252">
        <v>5413902</v>
      </c>
      <c r="I3252">
        <v>5</v>
      </c>
      <c r="J3252" t="s">
        <v>374</v>
      </c>
      <c r="K3252" t="str">
        <f>IFERROR(IF(AND(VLOOKUP($C3252,Hes!$A:$B, 1, FALSE), $M3252&lt;&gt;" "), "Ingresada", "Falta Ingresar"), " ")</f>
        <v xml:space="preserve"> </v>
      </c>
      <c r="L3252" s="4" t="str">
        <f>IFERROR(VLOOKUP($C3252,Observaciones!$A:$B,2,FALSE)," ")</f>
        <v>XRUT</v>
      </c>
      <c r="M3252" t="s">
        <v>681</v>
      </c>
      <c r="O3252" s="5">
        <v>30857965</v>
      </c>
      <c r="P3252" s="5">
        <v>40425</v>
      </c>
      <c r="Q3252" s="5">
        <v>7681</v>
      </c>
      <c r="R3252" s="5">
        <v>48106</v>
      </c>
    </row>
    <row r="3253" spans="1:18" x14ac:dyDescent="0.25">
      <c r="A3253" t="s">
        <v>512</v>
      </c>
      <c r="B3253" t="s">
        <v>494</v>
      </c>
      <c r="C3253">
        <v>81537600</v>
      </c>
      <c r="D3253">
        <v>336</v>
      </c>
      <c r="E3253">
        <v>30858103</v>
      </c>
      <c r="F3253" t="s">
        <v>1397</v>
      </c>
      <c r="G3253" s="1">
        <v>45237</v>
      </c>
      <c r="H3253">
        <v>5413928</v>
      </c>
      <c r="I3253">
        <v>5</v>
      </c>
      <c r="J3253" t="s">
        <v>374</v>
      </c>
      <c r="K3253" t="str">
        <f>IFERROR(IF(AND(VLOOKUP($C3253,Hes!$A:$B, 1, FALSE), $M3253&lt;&gt;" "), "Ingresada", "Falta Ingresar"), " ")</f>
        <v xml:space="preserve"> </v>
      </c>
      <c r="L3253" s="4" t="str">
        <f>IFERROR(VLOOKUP($C3253,Observaciones!$A:$B,2,FALSE)," ")</f>
        <v>XRUT</v>
      </c>
      <c r="M3253" t="s">
        <v>681</v>
      </c>
      <c r="O3253" s="5">
        <v>30858103</v>
      </c>
      <c r="P3253" s="5">
        <v>47865</v>
      </c>
      <c r="Q3253" s="5">
        <v>9094</v>
      </c>
      <c r="R3253" s="5">
        <v>56959</v>
      </c>
    </row>
    <row r="3254" spans="1:18" x14ac:dyDescent="0.25">
      <c r="A3254" t="s">
        <v>512</v>
      </c>
      <c r="B3254" t="s">
        <v>494</v>
      </c>
      <c r="C3254">
        <v>81537600</v>
      </c>
      <c r="D3254">
        <v>794</v>
      </c>
      <c r="E3254">
        <v>30858257</v>
      </c>
      <c r="F3254" t="s">
        <v>1397</v>
      </c>
      <c r="G3254" s="1">
        <v>45237</v>
      </c>
      <c r="H3254">
        <v>5413931</v>
      </c>
      <c r="I3254">
        <v>5</v>
      </c>
      <c r="J3254" t="s">
        <v>374</v>
      </c>
      <c r="K3254" t="str">
        <f>IFERROR(IF(AND(VLOOKUP($C3254,Hes!$A:$B, 1, FALSE), $M3254&lt;&gt;" "), "Ingresada", "Falta Ingresar"), " ")</f>
        <v xml:space="preserve"> </v>
      </c>
      <c r="L3254" s="4" t="str">
        <f>IFERROR(VLOOKUP($C3254,Observaciones!$A:$B,2,FALSE)," ")</f>
        <v>XRUT</v>
      </c>
      <c r="M3254" t="s">
        <v>681</v>
      </c>
      <c r="O3254" s="5">
        <v>30858257</v>
      </c>
      <c r="P3254" s="5">
        <v>10128</v>
      </c>
      <c r="Q3254" s="5">
        <v>1924</v>
      </c>
      <c r="R3254" s="5">
        <v>12052</v>
      </c>
    </row>
    <row r="3255" spans="1:18" x14ac:dyDescent="0.25">
      <c r="A3255" t="s">
        <v>512</v>
      </c>
      <c r="B3255" t="s">
        <v>494</v>
      </c>
      <c r="C3255">
        <v>81537600</v>
      </c>
      <c r="D3255">
        <v>785</v>
      </c>
      <c r="E3255">
        <v>30858140</v>
      </c>
      <c r="F3255" t="s">
        <v>1397</v>
      </c>
      <c r="G3255" s="1">
        <v>45237</v>
      </c>
      <c r="H3255">
        <v>5413940</v>
      </c>
      <c r="I3255">
        <v>5</v>
      </c>
      <c r="J3255" t="s">
        <v>374</v>
      </c>
      <c r="K3255" t="str">
        <f>IFERROR(IF(AND(VLOOKUP($C3255,Hes!$A:$B, 1, FALSE), $M3255&lt;&gt;" "), "Ingresada", "Falta Ingresar"), " ")</f>
        <v xml:space="preserve"> </v>
      </c>
      <c r="L3255" s="4" t="str">
        <f>IFERROR(VLOOKUP($C3255,Observaciones!$A:$B,2,FALSE)," ")</f>
        <v>XRUT</v>
      </c>
      <c r="M3255" t="s">
        <v>681</v>
      </c>
      <c r="O3255" s="5">
        <v>30858140</v>
      </c>
      <c r="P3255" s="5">
        <v>49303</v>
      </c>
      <c r="Q3255" s="5">
        <v>9368</v>
      </c>
      <c r="R3255" s="5">
        <v>58671</v>
      </c>
    </row>
    <row r="3256" spans="1:18" x14ac:dyDescent="0.25">
      <c r="A3256" t="s">
        <v>512</v>
      </c>
      <c r="B3256" t="s">
        <v>494</v>
      </c>
      <c r="C3256">
        <v>81537600</v>
      </c>
      <c r="D3256">
        <v>400</v>
      </c>
      <c r="E3256">
        <v>30858176</v>
      </c>
      <c r="F3256" t="s">
        <v>1397</v>
      </c>
      <c r="G3256" s="1">
        <v>45237</v>
      </c>
      <c r="H3256">
        <v>5413941</v>
      </c>
      <c r="I3256">
        <v>5</v>
      </c>
      <c r="J3256" t="s">
        <v>374</v>
      </c>
      <c r="K3256" t="str">
        <f>IFERROR(IF(AND(VLOOKUP($C3256,Hes!$A:$B, 1, FALSE), $M3256&lt;&gt;" "), "Ingresada", "Falta Ingresar"), " ")</f>
        <v xml:space="preserve"> </v>
      </c>
      <c r="L3256" s="4" t="str">
        <f>IFERROR(VLOOKUP($C3256,Observaciones!$A:$B,2,FALSE)," ")</f>
        <v>XRUT</v>
      </c>
      <c r="M3256" t="s">
        <v>681</v>
      </c>
      <c r="O3256" s="5">
        <v>30858176</v>
      </c>
      <c r="P3256" s="5">
        <v>77136</v>
      </c>
      <c r="Q3256" s="5">
        <v>14656</v>
      </c>
      <c r="R3256" s="5">
        <v>91792</v>
      </c>
    </row>
    <row r="3257" spans="1:18" x14ac:dyDescent="0.25">
      <c r="A3257" t="s">
        <v>512</v>
      </c>
      <c r="B3257" t="s">
        <v>494</v>
      </c>
      <c r="C3257">
        <v>81537600</v>
      </c>
      <c r="D3257">
        <v>1005</v>
      </c>
      <c r="E3257">
        <v>30858117</v>
      </c>
      <c r="F3257" t="s">
        <v>1397</v>
      </c>
      <c r="G3257" s="1">
        <v>45237</v>
      </c>
      <c r="H3257">
        <v>5413944</v>
      </c>
      <c r="I3257">
        <v>5</v>
      </c>
      <c r="J3257" t="s">
        <v>374</v>
      </c>
      <c r="K3257" t="str">
        <f>IFERROR(IF(AND(VLOOKUP($C3257,Hes!$A:$B, 1, FALSE), $M3257&lt;&gt;" "), "Ingresada", "Falta Ingresar"), " ")</f>
        <v xml:space="preserve"> </v>
      </c>
      <c r="L3257" s="4" t="str">
        <f>IFERROR(VLOOKUP($C3257,Observaciones!$A:$B,2,FALSE)," ")</f>
        <v>XRUT</v>
      </c>
      <c r="M3257" t="s">
        <v>681</v>
      </c>
      <c r="O3257" s="5">
        <v>30858117</v>
      </c>
      <c r="P3257" s="5">
        <v>63788</v>
      </c>
      <c r="Q3257" s="5">
        <v>12120</v>
      </c>
      <c r="R3257" s="5">
        <v>75908</v>
      </c>
    </row>
    <row r="3258" spans="1:18" x14ac:dyDescent="0.25">
      <c r="A3258" t="s">
        <v>512</v>
      </c>
      <c r="B3258" t="s">
        <v>494</v>
      </c>
      <c r="C3258">
        <v>81537600</v>
      </c>
      <c r="D3258">
        <v>398</v>
      </c>
      <c r="E3258">
        <v>30858207</v>
      </c>
      <c r="F3258" t="s">
        <v>1397</v>
      </c>
      <c r="G3258" s="1">
        <v>45237</v>
      </c>
      <c r="H3258">
        <v>5413946</v>
      </c>
      <c r="I3258">
        <v>5</v>
      </c>
      <c r="J3258" t="s">
        <v>374</v>
      </c>
      <c r="K3258" t="str">
        <f>IFERROR(IF(AND(VLOOKUP($C3258,Hes!$A:$B, 1, FALSE), $M3258&lt;&gt;" "), "Ingresada", "Falta Ingresar"), " ")</f>
        <v xml:space="preserve"> </v>
      </c>
      <c r="L3258" s="4" t="str">
        <f>IFERROR(VLOOKUP($C3258,Observaciones!$A:$B,2,FALSE)," ")</f>
        <v>XRUT</v>
      </c>
      <c r="M3258" t="s">
        <v>681</v>
      </c>
      <c r="O3258" s="5">
        <v>30858207</v>
      </c>
      <c r="P3258" s="5">
        <v>78175</v>
      </c>
      <c r="Q3258" s="5">
        <v>14853</v>
      </c>
      <c r="R3258" s="5">
        <v>93028</v>
      </c>
    </row>
    <row r="3259" spans="1:18" x14ac:dyDescent="0.25">
      <c r="A3259" t="s">
        <v>512</v>
      </c>
      <c r="B3259" t="s">
        <v>494</v>
      </c>
      <c r="C3259">
        <v>81537600</v>
      </c>
      <c r="D3259">
        <v>827</v>
      </c>
      <c r="E3259">
        <v>30858118</v>
      </c>
      <c r="F3259" t="s">
        <v>1397</v>
      </c>
      <c r="G3259" s="1">
        <v>45237</v>
      </c>
      <c r="H3259">
        <v>5413948</v>
      </c>
      <c r="I3259">
        <v>5</v>
      </c>
      <c r="J3259" t="s">
        <v>374</v>
      </c>
      <c r="K3259" t="str">
        <f>IFERROR(IF(AND(VLOOKUP($C3259,Hes!$A:$B, 1, FALSE), $M3259&lt;&gt;" "), "Ingresada", "Falta Ingresar"), " ")</f>
        <v xml:space="preserve"> </v>
      </c>
      <c r="L3259" s="4" t="str">
        <f>IFERROR(VLOOKUP($C3259,Observaciones!$A:$B,2,FALSE)," ")</f>
        <v>XRUT</v>
      </c>
      <c r="M3259" t="s">
        <v>681</v>
      </c>
      <c r="O3259" s="5">
        <v>30858118</v>
      </c>
      <c r="P3259" s="5">
        <v>39576</v>
      </c>
      <c r="Q3259" s="5">
        <v>7519</v>
      </c>
      <c r="R3259" s="5">
        <v>47095</v>
      </c>
    </row>
    <row r="3260" spans="1:18" x14ac:dyDescent="0.25">
      <c r="A3260" t="s">
        <v>512</v>
      </c>
      <c r="B3260" t="s">
        <v>494</v>
      </c>
      <c r="C3260">
        <v>81537600</v>
      </c>
      <c r="D3260">
        <v>261</v>
      </c>
      <c r="E3260">
        <v>30858179</v>
      </c>
      <c r="F3260" t="s">
        <v>1397</v>
      </c>
      <c r="G3260" s="1">
        <v>45237</v>
      </c>
      <c r="H3260">
        <v>5413949</v>
      </c>
      <c r="I3260">
        <v>5</v>
      </c>
      <c r="J3260" t="s">
        <v>374</v>
      </c>
      <c r="K3260" t="str">
        <f>IFERROR(IF(AND(VLOOKUP($C3260,Hes!$A:$B, 1, FALSE), $M3260&lt;&gt;" "), "Ingresada", "Falta Ingresar"), " ")</f>
        <v xml:space="preserve"> </v>
      </c>
      <c r="L3260" s="4" t="str">
        <f>IFERROR(VLOOKUP($C3260,Observaciones!$A:$B,2,FALSE)," ")</f>
        <v>XRUT</v>
      </c>
      <c r="M3260" t="s">
        <v>681</v>
      </c>
      <c r="O3260" s="5">
        <v>30858179</v>
      </c>
      <c r="P3260" s="5">
        <v>52719</v>
      </c>
      <c r="Q3260" s="5">
        <v>10017</v>
      </c>
      <c r="R3260" s="5">
        <v>62736</v>
      </c>
    </row>
    <row r="3261" spans="1:18" x14ac:dyDescent="0.25">
      <c r="A3261" t="s">
        <v>512</v>
      </c>
      <c r="B3261" t="s">
        <v>494</v>
      </c>
      <c r="C3261">
        <v>81537600</v>
      </c>
      <c r="D3261">
        <v>1032</v>
      </c>
      <c r="E3261">
        <v>30858258</v>
      </c>
      <c r="F3261" t="s">
        <v>1397</v>
      </c>
      <c r="G3261" s="1">
        <v>45237</v>
      </c>
      <c r="H3261">
        <v>5413955</v>
      </c>
      <c r="I3261">
        <v>5</v>
      </c>
      <c r="J3261" t="s">
        <v>374</v>
      </c>
      <c r="K3261" t="str">
        <f>IFERROR(IF(AND(VLOOKUP($C3261,Hes!$A:$B, 1, FALSE), $M3261&lt;&gt;" "), "Ingresada", "Falta Ingresar"), " ")</f>
        <v xml:space="preserve"> </v>
      </c>
      <c r="L3261" s="4" t="str">
        <f>IFERROR(VLOOKUP($C3261,Observaciones!$A:$B,2,FALSE)," ")</f>
        <v>XRUT</v>
      </c>
      <c r="M3261" t="s">
        <v>681</v>
      </c>
      <c r="O3261" s="5">
        <v>30858258</v>
      </c>
      <c r="P3261" s="5">
        <v>128278</v>
      </c>
      <c r="Q3261" s="5">
        <v>24373</v>
      </c>
      <c r="R3261" s="5">
        <v>152651</v>
      </c>
    </row>
    <row r="3262" spans="1:18" x14ac:dyDescent="0.25">
      <c r="A3262" t="s">
        <v>512</v>
      </c>
      <c r="B3262" t="s">
        <v>494</v>
      </c>
      <c r="C3262">
        <v>81537600</v>
      </c>
      <c r="D3262">
        <v>794</v>
      </c>
      <c r="E3262">
        <v>30858256</v>
      </c>
      <c r="F3262" t="s">
        <v>1397</v>
      </c>
      <c r="G3262" s="1">
        <v>45237</v>
      </c>
      <c r="H3262">
        <v>5413966</v>
      </c>
      <c r="I3262">
        <v>5</v>
      </c>
      <c r="J3262" t="s">
        <v>374</v>
      </c>
      <c r="K3262" t="str">
        <f>IFERROR(IF(AND(VLOOKUP($C3262,Hes!$A:$B, 1, FALSE), $M3262&lt;&gt;" "), "Ingresada", "Falta Ingresar"), " ")</f>
        <v xml:space="preserve"> </v>
      </c>
      <c r="L3262" s="4" t="str">
        <f>IFERROR(VLOOKUP($C3262,Observaciones!$A:$B,2,FALSE)," ")</f>
        <v>XRUT</v>
      </c>
      <c r="M3262" t="s">
        <v>681</v>
      </c>
      <c r="O3262" s="5">
        <v>30858256</v>
      </c>
      <c r="P3262" s="5">
        <v>38977</v>
      </c>
      <c r="Q3262" s="5">
        <v>7406</v>
      </c>
      <c r="R3262" s="5">
        <v>46383</v>
      </c>
    </row>
    <row r="3263" spans="1:18" x14ac:dyDescent="0.25">
      <c r="A3263" t="s">
        <v>512</v>
      </c>
      <c r="B3263" t="s">
        <v>494</v>
      </c>
      <c r="C3263">
        <v>81537600</v>
      </c>
      <c r="D3263">
        <v>327</v>
      </c>
      <c r="E3263">
        <v>30858273</v>
      </c>
      <c r="F3263" t="s">
        <v>1397</v>
      </c>
      <c r="G3263" s="1">
        <v>45237</v>
      </c>
      <c r="H3263">
        <v>5413976</v>
      </c>
      <c r="I3263">
        <v>5</v>
      </c>
      <c r="J3263" t="s">
        <v>374</v>
      </c>
      <c r="K3263" t="str">
        <f>IFERROR(IF(AND(VLOOKUP($C3263,Hes!$A:$B, 1, FALSE), $M3263&lt;&gt;" "), "Ingresada", "Falta Ingresar"), " ")</f>
        <v xml:space="preserve"> </v>
      </c>
      <c r="L3263" s="4" t="str">
        <f>IFERROR(VLOOKUP($C3263,Observaciones!$A:$B,2,FALSE)," ")</f>
        <v>XRUT</v>
      </c>
      <c r="M3263" t="s">
        <v>681</v>
      </c>
      <c r="O3263" s="5">
        <v>30858273</v>
      </c>
      <c r="P3263" s="5">
        <v>24296</v>
      </c>
      <c r="Q3263" s="5">
        <v>4616</v>
      </c>
      <c r="R3263" s="5">
        <v>28912</v>
      </c>
    </row>
    <row r="3264" spans="1:18" x14ac:dyDescent="0.25">
      <c r="A3264" t="s">
        <v>512</v>
      </c>
      <c r="B3264" t="s">
        <v>494</v>
      </c>
      <c r="C3264">
        <v>81537600</v>
      </c>
      <c r="D3264">
        <v>1047</v>
      </c>
      <c r="E3264">
        <v>30859155</v>
      </c>
      <c r="F3264" t="s">
        <v>1397</v>
      </c>
      <c r="G3264" s="1">
        <v>45237</v>
      </c>
      <c r="H3264">
        <v>5414028</v>
      </c>
      <c r="I3264">
        <v>5</v>
      </c>
      <c r="J3264" t="s">
        <v>374</v>
      </c>
      <c r="K3264" t="str">
        <f>IFERROR(IF(AND(VLOOKUP($C3264,Hes!$A:$B, 1, FALSE), $M3264&lt;&gt;" "), "Ingresada", "Falta Ingresar"), " ")</f>
        <v xml:space="preserve"> </v>
      </c>
      <c r="L3264" s="4" t="str">
        <f>IFERROR(VLOOKUP($C3264,Observaciones!$A:$B,2,FALSE)," ")</f>
        <v>XRUT</v>
      </c>
      <c r="M3264" t="s">
        <v>681</v>
      </c>
      <c r="O3264" s="5">
        <v>30859155</v>
      </c>
      <c r="P3264" s="5">
        <v>106102</v>
      </c>
      <c r="Q3264" s="5">
        <v>20159</v>
      </c>
      <c r="R3264" s="5">
        <v>126261</v>
      </c>
    </row>
    <row r="3265" spans="1:18" x14ac:dyDescent="0.25">
      <c r="A3265" t="s">
        <v>512</v>
      </c>
      <c r="B3265" t="s">
        <v>494</v>
      </c>
      <c r="C3265">
        <v>81537600</v>
      </c>
      <c r="D3265">
        <v>359</v>
      </c>
      <c r="E3265">
        <v>30859240</v>
      </c>
      <c r="F3265" t="s">
        <v>1397</v>
      </c>
      <c r="G3265" s="1">
        <v>45237</v>
      </c>
      <c r="H3265">
        <v>5414030</v>
      </c>
      <c r="I3265">
        <v>5</v>
      </c>
      <c r="J3265" t="s">
        <v>374</v>
      </c>
      <c r="K3265" t="str">
        <f>IFERROR(IF(AND(VLOOKUP($C3265,Hes!$A:$B, 1, FALSE), $M3265&lt;&gt;" "), "Ingresada", "Falta Ingresar"), " ")</f>
        <v xml:space="preserve"> </v>
      </c>
      <c r="L3265" s="4" t="str">
        <f>IFERROR(VLOOKUP($C3265,Observaciones!$A:$B,2,FALSE)," ")</f>
        <v>XRUT</v>
      </c>
      <c r="M3265" t="s">
        <v>681</v>
      </c>
      <c r="O3265" s="5">
        <v>30859240</v>
      </c>
      <c r="P3265" s="5">
        <v>12225</v>
      </c>
      <c r="Q3265" s="5">
        <v>2323</v>
      </c>
      <c r="R3265" s="5">
        <v>14548</v>
      </c>
    </row>
    <row r="3266" spans="1:18" x14ac:dyDescent="0.25">
      <c r="A3266" t="s">
        <v>512</v>
      </c>
      <c r="B3266" t="s">
        <v>494</v>
      </c>
      <c r="C3266">
        <v>81537600</v>
      </c>
      <c r="D3266">
        <v>735</v>
      </c>
      <c r="E3266">
        <v>30859791</v>
      </c>
      <c r="F3266" t="s">
        <v>1397</v>
      </c>
      <c r="G3266" s="1">
        <v>45237</v>
      </c>
      <c r="H3266">
        <v>5414035</v>
      </c>
      <c r="I3266">
        <v>5</v>
      </c>
      <c r="J3266" t="s">
        <v>374</v>
      </c>
      <c r="K3266" t="str">
        <f>IFERROR(IF(AND(VLOOKUP($C3266,Hes!$A:$B, 1, FALSE), $M3266&lt;&gt;" "), "Ingresada", "Falta Ingresar"), " ")</f>
        <v xml:space="preserve"> </v>
      </c>
      <c r="L3266" s="4" t="str">
        <f>IFERROR(VLOOKUP($C3266,Observaciones!$A:$B,2,FALSE)," ")</f>
        <v>XRUT</v>
      </c>
      <c r="M3266" t="s">
        <v>681</v>
      </c>
      <c r="O3266" s="5">
        <v>30859791</v>
      </c>
      <c r="P3266" s="5">
        <v>46968</v>
      </c>
      <c r="Q3266" s="5">
        <v>8924</v>
      </c>
      <c r="R3266" s="5">
        <v>55892</v>
      </c>
    </row>
    <row r="3267" spans="1:18" x14ac:dyDescent="0.25">
      <c r="A3267" t="s">
        <v>512</v>
      </c>
      <c r="B3267" t="s">
        <v>494</v>
      </c>
      <c r="C3267">
        <v>81537600</v>
      </c>
      <c r="D3267">
        <v>429</v>
      </c>
      <c r="E3267">
        <v>30858349</v>
      </c>
      <c r="F3267" t="s">
        <v>1397</v>
      </c>
      <c r="G3267" s="1">
        <v>45237</v>
      </c>
      <c r="H3267">
        <v>5414038</v>
      </c>
      <c r="I3267">
        <v>5</v>
      </c>
      <c r="J3267" t="s">
        <v>374</v>
      </c>
      <c r="K3267" t="str">
        <f>IFERROR(IF(AND(VLOOKUP($C3267,Hes!$A:$B, 1, FALSE), $M3267&lt;&gt;" "), "Ingresada", "Falta Ingresar"), " ")</f>
        <v xml:space="preserve"> </v>
      </c>
      <c r="L3267" s="4" t="str">
        <f>IFERROR(VLOOKUP($C3267,Observaciones!$A:$B,2,FALSE)," ")</f>
        <v>XRUT</v>
      </c>
      <c r="M3267" t="s">
        <v>681</v>
      </c>
      <c r="O3267" s="5">
        <v>30858349</v>
      </c>
      <c r="P3267" s="5">
        <v>48222</v>
      </c>
      <c r="Q3267" s="5">
        <v>9162</v>
      </c>
      <c r="R3267" s="5">
        <v>57384</v>
      </c>
    </row>
    <row r="3268" spans="1:18" x14ac:dyDescent="0.25">
      <c r="A3268" t="s">
        <v>512</v>
      </c>
      <c r="B3268" t="s">
        <v>494</v>
      </c>
      <c r="C3268">
        <v>81537600</v>
      </c>
      <c r="D3268">
        <v>603</v>
      </c>
      <c r="E3268">
        <v>30858944</v>
      </c>
      <c r="F3268" t="s">
        <v>1397</v>
      </c>
      <c r="G3268" s="1">
        <v>45237</v>
      </c>
      <c r="H3268">
        <v>5414042</v>
      </c>
      <c r="I3268">
        <v>5</v>
      </c>
      <c r="J3268" t="s">
        <v>374</v>
      </c>
      <c r="K3268" t="str">
        <f>IFERROR(IF(AND(VLOOKUP($C3268,Hes!$A:$B, 1, FALSE), $M3268&lt;&gt;" "), "Ingresada", "Falta Ingresar"), " ")</f>
        <v xml:space="preserve"> </v>
      </c>
      <c r="L3268" s="4" t="str">
        <f>IFERROR(VLOOKUP($C3268,Observaciones!$A:$B,2,FALSE)," ")</f>
        <v>XRUT</v>
      </c>
      <c r="M3268" t="s">
        <v>681</v>
      </c>
      <c r="O3268" s="5">
        <v>30858944</v>
      </c>
      <c r="P3268" s="5">
        <v>49145</v>
      </c>
      <c r="Q3268" s="5">
        <v>9338</v>
      </c>
      <c r="R3268" s="5">
        <v>58483</v>
      </c>
    </row>
    <row r="3269" spans="1:18" x14ac:dyDescent="0.25">
      <c r="A3269" t="s">
        <v>512</v>
      </c>
      <c r="B3269" t="s">
        <v>494</v>
      </c>
      <c r="C3269">
        <v>81537600</v>
      </c>
      <c r="D3269">
        <v>473</v>
      </c>
      <c r="E3269">
        <v>30858235</v>
      </c>
      <c r="F3269" t="s">
        <v>1397</v>
      </c>
      <c r="G3269" s="1">
        <v>45237</v>
      </c>
      <c r="H3269">
        <v>5414058</v>
      </c>
      <c r="I3269">
        <v>5</v>
      </c>
      <c r="J3269" t="s">
        <v>374</v>
      </c>
      <c r="K3269" t="str">
        <f>IFERROR(IF(AND(VLOOKUP($C3269,Hes!$A:$B, 1, FALSE), $M3269&lt;&gt;" "), "Ingresada", "Falta Ingresar"), " ")</f>
        <v xml:space="preserve"> </v>
      </c>
      <c r="L3269" s="4" t="str">
        <f>IFERROR(VLOOKUP($C3269,Observaciones!$A:$B,2,FALSE)," ")</f>
        <v>XRUT</v>
      </c>
      <c r="M3269" t="s">
        <v>681</v>
      </c>
      <c r="O3269" s="5">
        <v>30858235</v>
      </c>
      <c r="P3269" s="5">
        <v>79661</v>
      </c>
      <c r="Q3269" s="5">
        <v>15136</v>
      </c>
      <c r="R3269" s="5">
        <v>94797</v>
      </c>
    </row>
    <row r="3270" spans="1:18" x14ac:dyDescent="0.25">
      <c r="A3270" t="s">
        <v>512</v>
      </c>
      <c r="B3270" t="s">
        <v>494</v>
      </c>
      <c r="C3270">
        <v>81537600</v>
      </c>
      <c r="D3270">
        <v>830</v>
      </c>
      <c r="E3270">
        <v>30858194</v>
      </c>
      <c r="F3270" t="s">
        <v>1397</v>
      </c>
      <c r="G3270" s="1">
        <v>45237</v>
      </c>
      <c r="H3270">
        <v>5414065</v>
      </c>
      <c r="I3270">
        <v>5</v>
      </c>
      <c r="J3270" t="s">
        <v>374</v>
      </c>
      <c r="K3270" t="str">
        <f>IFERROR(IF(AND(VLOOKUP($C3270,Hes!$A:$B, 1, FALSE), $M3270&lt;&gt;" "), "Ingresada", "Falta Ingresar"), " ")</f>
        <v xml:space="preserve"> </v>
      </c>
      <c r="L3270" s="4" t="str">
        <f>IFERROR(VLOOKUP($C3270,Observaciones!$A:$B,2,FALSE)," ")</f>
        <v>XRUT</v>
      </c>
      <c r="M3270" t="s">
        <v>681</v>
      </c>
      <c r="O3270" s="5">
        <v>30858194</v>
      </c>
      <c r="P3270" s="5">
        <v>49813</v>
      </c>
      <c r="Q3270" s="5">
        <v>9464</v>
      </c>
      <c r="R3270" s="5">
        <v>59277</v>
      </c>
    </row>
    <row r="3271" spans="1:18" x14ac:dyDescent="0.25">
      <c r="A3271" t="s">
        <v>512</v>
      </c>
      <c r="B3271" t="s">
        <v>494</v>
      </c>
      <c r="C3271">
        <v>81537600</v>
      </c>
      <c r="D3271">
        <v>3</v>
      </c>
      <c r="E3271">
        <v>30858161</v>
      </c>
      <c r="F3271" t="s">
        <v>1397</v>
      </c>
      <c r="G3271" s="1">
        <v>45237</v>
      </c>
      <c r="H3271">
        <v>5414084</v>
      </c>
      <c r="I3271">
        <v>5</v>
      </c>
      <c r="J3271" t="s">
        <v>374</v>
      </c>
      <c r="K3271" t="str">
        <f>IFERROR(IF(AND(VLOOKUP($C3271,Hes!$A:$B, 1, FALSE), $M3271&lt;&gt;" "), "Ingresada", "Falta Ingresar"), " ")</f>
        <v xml:space="preserve"> </v>
      </c>
      <c r="L3271" s="4" t="str">
        <f>IFERROR(VLOOKUP($C3271,Observaciones!$A:$B,2,FALSE)," ")</f>
        <v>XRUT</v>
      </c>
      <c r="M3271" t="s">
        <v>681</v>
      </c>
      <c r="O3271" s="5">
        <v>30858161</v>
      </c>
      <c r="P3271" s="5">
        <v>50410</v>
      </c>
      <c r="Q3271" s="5">
        <v>9578</v>
      </c>
      <c r="R3271" s="5">
        <v>59988</v>
      </c>
    </row>
    <row r="3272" spans="1:18" x14ac:dyDescent="0.25">
      <c r="A3272" t="s">
        <v>512</v>
      </c>
      <c r="B3272" t="s">
        <v>494</v>
      </c>
      <c r="C3272">
        <v>81537600</v>
      </c>
      <c r="D3272">
        <v>453</v>
      </c>
      <c r="E3272">
        <v>30858155</v>
      </c>
      <c r="F3272" t="s">
        <v>1397</v>
      </c>
      <c r="G3272" s="1">
        <v>45237</v>
      </c>
      <c r="H3272">
        <v>5414101</v>
      </c>
      <c r="I3272">
        <v>5</v>
      </c>
      <c r="J3272" t="s">
        <v>374</v>
      </c>
      <c r="K3272" t="str">
        <f>IFERROR(IF(AND(VLOOKUP($C3272,Hes!$A:$B, 1, FALSE), $M3272&lt;&gt;" "), "Ingresada", "Falta Ingresar"), " ")</f>
        <v xml:space="preserve"> </v>
      </c>
      <c r="L3272" s="4" t="str">
        <f>IFERROR(VLOOKUP($C3272,Observaciones!$A:$B,2,FALSE)," ")</f>
        <v>XRUT</v>
      </c>
      <c r="M3272" t="s">
        <v>681</v>
      </c>
      <c r="O3272" s="5">
        <v>30858155</v>
      </c>
      <c r="P3272" s="5">
        <v>49367</v>
      </c>
      <c r="Q3272" s="5">
        <v>9380</v>
      </c>
      <c r="R3272" s="5">
        <v>58747</v>
      </c>
    </row>
    <row r="3273" spans="1:18" x14ac:dyDescent="0.25">
      <c r="A3273" t="s">
        <v>512</v>
      </c>
      <c r="B3273" t="s">
        <v>494</v>
      </c>
      <c r="C3273">
        <v>81537600</v>
      </c>
      <c r="D3273">
        <v>1047</v>
      </c>
      <c r="E3273">
        <v>30859107</v>
      </c>
      <c r="F3273" t="s">
        <v>1397</v>
      </c>
      <c r="G3273" s="1">
        <v>45237</v>
      </c>
      <c r="H3273">
        <v>5414205</v>
      </c>
      <c r="I3273">
        <v>5</v>
      </c>
      <c r="J3273" t="s">
        <v>374</v>
      </c>
      <c r="K3273" t="str">
        <f>IFERROR(IF(AND(VLOOKUP($C3273,Hes!$A:$B, 1, FALSE), $M3273&lt;&gt;" "), "Ingresada", "Falta Ingresar"), " ")</f>
        <v xml:space="preserve"> </v>
      </c>
      <c r="L3273" s="4" t="str">
        <f>IFERROR(VLOOKUP($C3273,Observaciones!$A:$B,2,FALSE)," ")</f>
        <v>XRUT</v>
      </c>
      <c r="M3273" t="s">
        <v>681</v>
      </c>
      <c r="O3273" s="5">
        <v>30859107</v>
      </c>
      <c r="P3273" s="5">
        <v>458649</v>
      </c>
      <c r="Q3273" s="5">
        <v>87143</v>
      </c>
      <c r="R3273" s="5">
        <v>545792</v>
      </c>
    </row>
    <row r="3274" spans="1:18" x14ac:dyDescent="0.25">
      <c r="A3274" t="s">
        <v>512</v>
      </c>
      <c r="B3274" t="s">
        <v>494</v>
      </c>
      <c r="C3274">
        <v>81537600</v>
      </c>
      <c r="D3274">
        <v>265</v>
      </c>
      <c r="E3274">
        <v>30860594</v>
      </c>
      <c r="F3274" t="s">
        <v>1397</v>
      </c>
      <c r="G3274" s="1">
        <v>45237</v>
      </c>
      <c r="H3274">
        <v>5414233</v>
      </c>
      <c r="I3274">
        <v>5</v>
      </c>
      <c r="J3274" t="s">
        <v>374</v>
      </c>
      <c r="K3274" t="str">
        <f>IFERROR(IF(AND(VLOOKUP($C3274,Hes!$A:$B, 1, FALSE), $M3274&lt;&gt;" "), "Ingresada", "Falta Ingresar"), " ")</f>
        <v xml:space="preserve"> </v>
      </c>
      <c r="L3274" s="4" t="str">
        <f>IFERROR(VLOOKUP($C3274,Observaciones!$A:$B,2,FALSE)," ")</f>
        <v>XRUT</v>
      </c>
      <c r="M3274" t="s">
        <v>681</v>
      </c>
      <c r="O3274" s="5">
        <v>30860594</v>
      </c>
      <c r="P3274" s="5">
        <v>180550</v>
      </c>
      <c r="Q3274" s="5">
        <v>34305</v>
      </c>
      <c r="R3274" s="5">
        <v>214855</v>
      </c>
    </row>
    <row r="3275" spans="1:18" x14ac:dyDescent="0.25">
      <c r="A3275" t="s">
        <v>512</v>
      </c>
      <c r="B3275" t="s">
        <v>494</v>
      </c>
      <c r="C3275">
        <v>81537600</v>
      </c>
      <c r="D3275">
        <v>444</v>
      </c>
      <c r="E3275">
        <v>30860560</v>
      </c>
      <c r="F3275" t="s">
        <v>1397</v>
      </c>
      <c r="G3275" s="1">
        <v>45237</v>
      </c>
      <c r="H3275">
        <v>5414256</v>
      </c>
      <c r="I3275">
        <v>5</v>
      </c>
      <c r="J3275" t="s">
        <v>374</v>
      </c>
      <c r="K3275" t="str">
        <f>IFERROR(IF(AND(VLOOKUP($C3275,Hes!$A:$B, 1, FALSE), $M3275&lt;&gt;" "), "Ingresada", "Falta Ingresar"), " ")</f>
        <v xml:space="preserve"> </v>
      </c>
      <c r="L3275" s="4" t="str">
        <f>IFERROR(VLOOKUP($C3275,Observaciones!$A:$B,2,FALSE)," ")</f>
        <v>XRUT</v>
      </c>
      <c r="M3275" t="s">
        <v>681</v>
      </c>
      <c r="O3275" s="5">
        <v>30860560</v>
      </c>
      <c r="P3275" s="5">
        <v>31181</v>
      </c>
      <c r="Q3275" s="5">
        <v>5924</v>
      </c>
      <c r="R3275" s="5">
        <v>37105</v>
      </c>
    </row>
    <row r="3276" spans="1:18" x14ac:dyDescent="0.25">
      <c r="A3276" t="s">
        <v>512</v>
      </c>
      <c r="B3276" t="s">
        <v>494</v>
      </c>
      <c r="C3276">
        <v>81537600</v>
      </c>
      <c r="D3276">
        <v>1049</v>
      </c>
      <c r="E3276">
        <v>30860984</v>
      </c>
      <c r="F3276" t="s">
        <v>1397</v>
      </c>
      <c r="G3276" s="1">
        <v>45237</v>
      </c>
      <c r="H3276">
        <v>5414316</v>
      </c>
      <c r="I3276">
        <v>5</v>
      </c>
      <c r="J3276" t="s">
        <v>374</v>
      </c>
      <c r="K3276" t="str">
        <f>IFERROR(IF(AND(VLOOKUP($C3276,Hes!$A:$B, 1, FALSE), $M3276&lt;&gt;" "), "Ingresada", "Falta Ingresar"), " ")</f>
        <v xml:space="preserve"> </v>
      </c>
      <c r="L3276" s="4" t="str">
        <f>IFERROR(VLOOKUP($C3276,Observaciones!$A:$B,2,FALSE)," ")</f>
        <v>XRUT</v>
      </c>
      <c r="M3276" t="s">
        <v>681</v>
      </c>
      <c r="O3276" s="5">
        <v>30860984</v>
      </c>
      <c r="P3276" s="5">
        <v>100440</v>
      </c>
      <c r="Q3276" s="5">
        <v>19084</v>
      </c>
      <c r="R3276" s="5">
        <v>119524</v>
      </c>
    </row>
    <row r="3277" spans="1:18" x14ac:dyDescent="0.25">
      <c r="A3277" t="s">
        <v>512</v>
      </c>
      <c r="B3277" t="s">
        <v>494</v>
      </c>
      <c r="C3277">
        <v>81537600</v>
      </c>
      <c r="D3277">
        <v>226</v>
      </c>
      <c r="E3277">
        <v>30860491</v>
      </c>
      <c r="F3277" t="s">
        <v>1397</v>
      </c>
      <c r="G3277" s="1">
        <v>45237</v>
      </c>
      <c r="H3277">
        <v>5414318</v>
      </c>
      <c r="I3277">
        <v>5</v>
      </c>
      <c r="J3277" t="s">
        <v>374</v>
      </c>
      <c r="K3277" t="str">
        <f>IFERROR(IF(AND(VLOOKUP($C3277,Hes!$A:$B, 1, FALSE), $M3277&lt;&gt;" "), "Ingresada", "Falta Ingresar"), " ")</f>
        <v xml:space="preserve"> </v>
      </c>
      <c r="L3277" s="4" t="str">
        <f>IFERROR(VLOOKUP($C3277,Observaciones!$A:$B,2,FALSE)," ")</f>
        <v>XRUT</v>
      </c>
      <c r="M3277" t="s">
        <v>681</v>
      </c>
      <c r="O3277" s="5">
        <v>30860491</v>
      </c>
      <c r="P3277" s="5">
        <v>194554</v>
      </c>
      <c r="Q3277" s="5">
        <v>36965</v>
      </c>
      <c r="R3277" s="5">
        <v>231519</v>
      </c>
    </row>
    <row r="3278" spans="1:18" x14ac:dyDescent="0.25">
      <c r="A3278" t="s">
        <v>512</v>
      </c>
      <c r="B3278" t="s">
        <v>494</v>
      </c>
      <c r="C3278">
        <v>81537600</v>
      </c>
      <c r="D3278">
        <v>1049</v>
      </c>
      <c r="E3278">
        <v>30860965</v>
      </c>
      <c r="F3278" t="s">
        <v>1397</v>
      </c>
      <c r="G3278" s="1">
        <v>45237</v>
      </c>
      <c r="H3278">
        <v>5414323</v>
      </c>
      <c r="I3278">
        <v>5</v>
      </c>
      <c r="J3278" t="s">
        <v>374</v>
      </c>
      <c r="K3278" t="str">
        <f>IFERROR(IF(AND(VLOOKUP($C3278,Hes!$A:$B, 1, FALSE), $M3278&lt;&gt;" "), "Ingresada", "Falta Ingresar"), " ")</f>
        <v xml:space="preserve"> </v>
      </c>
      <c r="L3278" s="4" t="str">
        <f>IFERROR(VLOOKUP($C3278,Observaciones!$A:$B,2,FALSE)," ")</f>
        <v>XRUT</v>
      </c>
      <c r="M3278" t="s">
        <v>681</v>
      </c>
      <c r="O3278" s="5">
        <v>30860965</v>
      </c>
      <c r="P3278" s="5">
        <v>71280</v>
      </c>
      <c r="Q3278" s="5">
        <v>13543</v>
      </c>
      <c r="R3278" s="5">
        <v>84823</v>
      </c>
    </row>
    <row r="3279" spans="1:18" x14ac:dyDescent="0.25">
      <c r="A3279" t="s">
        <v>512</v>
      </c>
      <c r="B3279" t="s">
        <v>494</v>
      </c>
      <c r="C3279">
        <v>81537600</v>
      </c>
      <c r="D3279">
        <v>444</v>
      </c>
      <c r="E3279">
        <v>30861734</v>
      </c>
      <c r="F3279" t="s">
        <v>1397</v>
      </c>
      <c r="G3279" s="1">
        <v>45237</v>
      </c>
      <c r="H3279">
        <v>5414369</v>
      </c>
      <c r="I3279">
        <v>5</v>
      </c>
      <c r="J3279" t="s">
        <v>374</v>
      </c>
      <c r="K3279" t="str">
        <f>IFERROR(IF(AND(VLOOKUP($C3279,Hes!$A:$B, 1, FALSE), $M3279&lt;&gt;" "), "Ingresada", "Falta Ingresar"), " ")</f>
        <v xml:space="preserve"> </v>
      </c>
      <c r="L3279" s="4" t="str">
        <f>IFERROR(VLOOKUP($C3279,Observaciones!$A:$B,2,FALSE)," ")</f>
        <v>XRUT</v>
      </c>
      <c r="M3279" t="s">
        <v>681</v>
      </c>
      <c r="O3279" s="5">
        <v>30861734</v>
      </c>
      <c r="P3279" s="5">
        <v>15470</v>
      </c>
      <c r="Q3279" s="5">
        <v>2939</v>
      </c>
      <c r="R3279" s="5">
        <v>18409</v>
      </c>
    </row>
    <row r="3280" spans="1:18" x14ac:dyDescent="0.25">
      <c r="A3280" t="s">
        <v>512</v>
      </c>
      <c r="B3280" t="s">
        <v>494</v>
      </c>
      <c r="C3280">
        <v>81537600</v>
      </c>
      <c r="D3280">
        <v>1045</v>
      </c>
      <c r="E3280">
        <v>30860831</v>
      </c>
      <c r="F3280" t="s">
        <v>1397</v>
      </c>
      <c r="G3280" s="1">
        <v>45237</v>
      </c>
      <c r="H3280">
        <v>5414386</v>
      </c>
      <c r="I3280">
        <v>5</v>
      </c>
      <c r="J3280" t="s">
        <v>374</v>
      </c>
      <c r="K3280" t="str">
        <f>IFERROR(IF(AND(VLOOKUP($C3280,Hes!$A:$B, 1, FALSE), $M3280&lt;&gt;" "), "Ingresada", "Falta Ingresar"), " ")</f>
        <v xml:space="preserve"> </v>
      </c>
      <c r="L3280" s="4" t="str">
        <f>IFERROR(VLOOKUP($C3280,Observaciones!$A:$B,2,FALSE)," ")</f>
        <v>XRUT</v>
      </c>
      <c r="M3280" t="s">
        <v>681</v>
      </c>
      <c r="O3280" s="5">
        <v>30860831</v>
      </c>
      <c r="P3280" s="5">
        <v>39993</v>
      </c>
      <c r="Q3280" s="5">
        <v>7599</v>
      </c>
      <c r="R3280" s="5">
        <v>47592</v>
      </c>
    </row>
    <row r="3281" spans="1:18" x14ac:dyDescent="0.25">
      <c r="A3281" t="s">
        <v>512</v>
      </c>
      <c r="B3281" t="s">
        <v>494</v>
      </c>
      <c r="C3281">
        <v>81537600</v>
      </c>
      <c r="D3281">
        <v>601</v>
      </c>
      <c r="E3281">
        <v>30860772</v>
      </c>
      <c r="F3281" t="s">
        <v>1397</v>
      </c>
      <c r="G3281" s="1">
        <v>45237</v>
      </c>
      <c r="H3281">
        <v>5414453</v>
      </c>
      <c r="I3281">
        <v>5</v>
      </c>
      <c r="J3281" t="s">
        <v>374</v>
      </c>
      <c r="K3281" t="str">
        <f>IFERROR(IF(AND(VLOOKUP($C3281,Hes!$A:$B, 1, FALSE), $M3281&lt;&gt;" "), "Ingresada", "Falta Ingresar"), " ")</f>
        <v xml:space="preserve"> </v>
      </c>
      <c r="L3281" s="4" t="str">
        <f>IFERROR(VLOOKUP($C3281,Observaciones!$A:$B,2,FALSE)," ")</f>
        <v>XRUT</v>
      </c>
      <c r="M3281" t="s">
        <v>681</v>
      </c>
      <c r="O3281" s="5">
        <v>30860772</v>
      </c>
      <c r="P3281" s="5">
        <v>15033</v>
      </c>
      <c r="Q3281" s="5">
        <v>2856</v>
      </c>
      <c r="R3281" s="5">
        <v>17889</v>
      </c>
    </row>
    <row r="3282" spans="1:18" x14ac:dyDescent="0.25">
      <c r="A3282" t="s">
        <v>512</v>
      </c>
      <c r="B3282" t="s">
        <v>494</v>
      </c>
      <c r="C3282">
        <v>81537600</v>
      </c>
      <c r="D3282">
        <v>823</v>
      </c>
      <c r="E3282">
        <v>30861932</v>
      </c>
      <c r="F3282" t="s">
        <v>1397</v>
      </c>
      <c r="G3282" s="1">
        <v>45237</v>
      </c>
      <c r="H3282">
        <v>5414502</v>
      </c>
      <c r="I3282">
        <v>5</v>
      </c>
      <c r="J3282" t="s">
        <v>374</v>
      </c>
      <c r="K3282" t="str">
        <f>IFERROR(IF(AND(VLOOKUP($C3282,Hes!$A:$B, 1, FALSE), $M3282&lt;&gt;" "), "Ingresada", "Falta Ingresar"), " ")</f>
        <v xml:space="preserve"> </v>
      </c>
      <c r="L3282" s="4" t="str">
        <f>IFERROR(VLOOKUP($C3282,Observaciones!$A:$B,2,FALSE)," ")</f>
        <v>XRUT</v>
      </c>
      <c r="M3282" t="s">
        <v>681</v>
      </c>
      <c r="O3282" s="5">
        <v>30861932</v>
      </c>
      <c r="P3282" s="5">
        <v>87850</v>
      </c>
      <c r="Q3282" s="5">
        <v>16692</v>
      </c>
      <c r="R3282" s="5">
        <v>104542</v>
      </c>
    </row>
    <row r="3283" spans="1:18" x14ac:dyDescent="0.25">
      <c r="A3283" t="s">
        <v>512</v>
      </c>
      <c r="B3283" t="s">
        <v>494</v>
      </c>
      <c r="C3283">
        <v>81537600</v>
      </c>
      <c r="D3283">
        <v>6114</v>
      </c>
      <c r="E3283">
        <v>30862123</v>
      </c>
      <c r="F3283" t="s">
        <v>1397</v>
      </c>
      <c r="G3283" s="1">
        <v>45237</v>
      </c>
      <c r="H3283">
        <v>5414515</v>
      </c>
      <c r="I3283">
        <v>5</v>
      </c>
      <c r="J3283" t="s">
        <v>374</v>
      </c>
      <c r="K3283" t="str">
        <f>IFERROR(IF(AND(VLOOKUP($C3283,Hes!$A:$B, 1, FALSE), $M3283&lt;&gt;" "), "Ingresada", "Falta Ingresar"), " ")</f>
        <v xml:space="preserve"> </v>
      </c>
      <c r="L3283" s="4" t="str">
        <f>IFERROR(VLOOKUP($C3283,Observaciones!$A:$B,2,FALSE)," ")</f>
        <v>XRUT</v>
      </c>
      <c r="M3283" t="s">
        <v>681</v>
      </c>
      <c r="O3283" s="5">
        <v>30862123</v>
      </c>
      <c r="P3283" s="5">
        <v>39878</v>
      </c>
      <c r="Q3283" s="5">
        <v>7577</v>
      </c>
      <c r="R3283" s="5">
        <v>47455</v>
      </c>
    </row>
    <row r="3284" spans="1:18" x14ac:dyDescent="0.25">
      <c r="A3284" t="s">
        <v>512</v>
      </c>
      <c r="B3284" t="s">
        <v>494</v>
      </c>
      <c r="C3284">
        <v>81537600</v>
      </c>
      <c r="D3284">
        <v>729</v>
      </c>
      <c r="E3284">
        <v>30862290</v>
      </c>
      <c r="F3284" t="s">
        <v>1397</v>
      </c>
      <c r="G3284" s="1">
        <v>45238</v>
      </c>
      <c r="H3284">
        <v>5414525</v>
      </c>
      <c r="I3284">
        <v>5</v>
      </c>
      <c r="J3284" t="s">
        <v>374</v>
      </c>
      <c r="K3284" t="str">
        <f>IFERROR(IF(AND(VLOOKUP($C3284,Hes!$A:$B, 1, FALSE), $M3284&lt;&gt;" "), "Ingresada", "Falta Ingresar"), " ")</f>
        <v xml:space="preserve"> </v>
      </c>
      <c r="L3284" s="4" t="str">
        <f>IFERROR(VLOOKUP($C3284,Observaciones!$A:$B,2,FALSE)," ")</f>
        <v>XRUT</v>
      </c>
      <c r="M3284" t="s">
        <v>681</v>
      </c>
      <c r="O3284" s="5">
        <v>30862290</v>
      </c>
      <c r="P3284" s="5">
        <v>49176</v>
      </c>
      <c r="Q3284" s="5">
        <v>9343</v>
      </c>
      <c r="R3284" s="5">
        <v>58519</v>
      </c>
    </row>
    <row r="3285" spans="1:18" x14ac:dyDescent="0.25">
      <c r="A3285" t="s">
        <v>512</v>
      </c>
      <c r="B3285" t="s">
        <v>494</v>
      </c>
      <c r="C3285">
        <v>81537600</v>
      </c>
      <c r="D3285">
        <v>707</v>
      </c>
      <c r="E3285">
        <v>30856497</v>
      </c>
      <c r="F3285" t="s">
        <v>1397</v>
      </c>
      <c r="G3285" s="1">
        <v>45238</v>
      </c>
      <c r="H3285">
        <v>5414561</v>
      </c>
      <c r="I3285">
        <v>5</v>
      </c>
      <c r="J3285" t="s">
        <v>374</v>
      </c>
      <c r="K3285" t="str">
        <f>IFERROR(IF(AND(VLOOKUP($C3285,Hes!$A:$B, 1, FALSE), $M3285&lt;&gt;" "), "Ingresada", "Falta Ingresar"), " ")</f>
        <v xml:space="preserve"> </v>
      </c>
      <c r="L3285" s="4" t="str">
        <f>IFERROR(VLOOKUP($C3285,Observaciones!$A:$B,2,FALSE)," ")</f>
        <v>XRUT</v>
      </c>
      <c r="M3285" t="s">
        <v>681</v>
      </c>
      <c r="O3285" s="5">
        <v>30856497</v>
      </c>
      <c r="P3285" s="5">
        <v>87692</v>
      </c>
      <c r="Q3285" s="5">
        <v>16661</v>
      </c>
      <c r="R3285" s="5">
        <v>104353</v>
      </c>
    </row>
    <row r="3286" spans="1:18" x14ac:dyDescent="0.25">
      <c r="A3286" t="s">
        <v>512</v>
      </c>
      <c r="B3286" t="s">
        <v>494</v>
      </c>
      <c r="C3286">
        <v>81537600</v>
      </c>
      <c r="D3286">
        <v>820</v>
      </c>
      <c r="E3286">
        <v>30858247</v>
      </c>
      <c r="F3286" t="s">
        <v>1397</v>
      </c>
      <c r="G3286" s="1">
        <v>45238</v>
      </c>
      <c r="H3286">
        <v>5414567</v>
      </c>
      <c r="I3286">
        <v>5</v>
      </c>
      <c r="J3286" t="s">
        <v>374</v>
      </c>
      <c r="K3286" t="str">
        <f>IFERROR(IF(AND(VLOOKUP($C3286,Hes!$A:$B, 1, FALSE), $M3286&lt;&gt;" "), "Ingresada", "Falta Ingresar"), " ")</f>
        <v xml:space="preserve"> </v>
      </c>
      <c r="L3286" s="4" t="str">
        <f>IFERROR(VLOOKUP($C3286,Observaciones!$A:$B,2,FALSE)," ")</f>
        <v>XRUT</v>
      </c>
      <c r="M3286" t="s">
        <v>681</v>
      </c>
      <c r="O3286" s="5">
        <v>30858247</v>
      </c>
      <c r="P3286" s="5">
        <v>88454</v>
      </c>
      <c r="Q3286" s="5">
        <v>16806</v>
      </c>
      <c r="R3286" s="5">
        <v>105260</v>
      </c>
    </row>
    <row r="3287" spans="1:18" x14ac:dyDescent="0.25">
      <c r="A3287" t="s">
        <v>512</v>
      </c>
      <c r="B3287" t="s">
        <v>494</v>
      </c>
      <c r="C3287">
        <v>81537600</v>
      </c>
      <c r="D3287">
        <v>2</v>
      </c>
      <c r="E3287">
        <v>30858133</v>
      </c>
      <c r="F3287" t="s">
        <v>1397</v>
      </c>
      <c r="G3287" s="1">
        <v>45238</v>
      </c>
      <c r="H3287">
        <v>5414568</v>
      </c>
      <c r="I3287">
        <v>5</v>
      </c>
      <c r="J3287" t="s">
        <v>374</v>
      </c>
      <c r="K3287" t="str">
        <f>IFERROR(IF(AND(VLOOKUP($C3287,Hes!$A:$B, 1, FALSE), $M3287&lt;&gt;" "), "Ingresada", "Falta Ingresar"), " ")</f>
        <v xml:space="preserve"> </v>
      </c>
      <c r="L3287" s="4" t="str">
        <f>IFERROR(VLOOKUP($C3287,Observaciones!$A:$B,2,FALSE)," ")</f>
        <v>XRUT</v>
      </c>
      <c r="M3287" t="s">
        <v>681</v>
      </c>
      <c r="O3287" s="5">
        <v>30858133</v>
      </c>
      <c r="P3287" s="5">
        <v>22393</v>
      </c>
      <c r="Q3287" s="5">
        <v>4255</v>
      </c>
      <c r="R3287" s="5">
        <v>26648</v>
      </c>
    </row>
    <row r="3288" spans="1:18" x14ac:dyDescent="0.25">
      <c r="A3288" t="s">
        <v>512</v>
      </c>
      <c r="B3288" t="s">
        <v>494</v>
      </c>
      <c r="C3288">
        <v>81537600</v>
      </c>
      <c r="D3288">
        <v>437</v>
      </c>
      <c r="E3288">
        <v>30857164</v>
      </c>
      <c r="F3288" t="s">
        <v>1397</v>
      </c>
      <c r="G3288" s="1">
        <v>45238</v>
      </c>
      <c r="H3288">
        <v>5414575</v>
      </c>
      <c r="I3288">
        <v>5</v>
      </c>
      <c r="J3288" t="s">
        <v>374</v>
      </c>
      <c r="K3288" t="str">
        <f>IFERROR(IF(AND(VLOOKUP($C3288,Hes!$A:$B, 1, FALSE), $M3288&lt;&gt;" "), "Ingresada", "Falta Ingresar"), " ")</f>
        <v xml:space="preserve"> </v>
      </c>
      <c r="L3288" s="4" t="str">
        <f>IFERROR(VLOOKUP($C3288,Observaciones!$A:$B,2,FALSE)," ")</f>
        <v>XRUT</v>
      </c>
      <c r="M3288" t="s">
        <v>681</v>
      </c>
      <c r="O3288" s="5">
        <v>30857164</v>
      </c>
      <c r="P3288" s="5">
        <v>55181</v>
      </c>
      <c r="Q3288" s="5">
        <v>10484</v>
      </c>
      <c r="R3288" s="5">
        <v>65665</v>
      </c>
    </row>
    <row r="3289" spans="1:18" x14ac:dyDescent="0.25">
      <c r="A3289" t="s">
        <v>512</v>
      </c>
      <c r="B3289" t="s">
        <v>494</v>
      </c>
      <c r="C3289">
        <v>81537600</v>
      </c>
      <c r="D3289">
        <v>370</v>
      </c>
      <c r="E3289">
        <v>30858231</v>
      </c>
      <c r="F3289" t="s">
        <v>1397</v>
      </c>
      <c r="G3289" s="1">
        <v>45238</v>
      </c>
      <c r="H3289">
        <v>5414580</v>
      </c>
      <c r="I3289">
        <v>5</v>
      </c>
      <c r="J3289" t="s">
        <v>374</v>
      </c>
      <c r="K3289" t="str">
        <f>IFERROR(IF(AND(VLOOKUP($C3289,Hes!$A:$B, 1, FALSE), $M3289&lt;&gt;" "), "Ingresada", "Falta Ingresar"), " ")</f>
        <v xml:space="preserve"> </v>
      </c>
      <c r="L3289" s="4" t="str">
        <f>IFERROR(VLOOKUP($C3289,Observaciones!$A:$B,2,FALSE)," ")</f>
        <v>XRUT</v>
      </c>
      <c r="M3289" t="s">
        <v>681</v>
      </c>
      <c r="O3289" s="5">
        <v>30858231</v>
      </c>
      <c r="P3289" s="5">
        <v>63334</v>
      </c>
      <c r="Q3289" s="5">
        <v>12033</v>
      </c>
      <c r="R3289" s="5">
        <v>75367</v>
      </c>
    </row>
    <row r="3290" spans="1:18" x14ac:dyDescent="0.25">
      <c r="A3290" t="s">
        <v>512</v>
      </c>
      <c r="B3290" t="s">
        <v>494</v>
      </c>
      <c r="C3290">
        <v>81537600</v>
      </c>
      <c r="D3290">
        <v>737</v>
      </c>
      <c r="E3290">
        <v>30858642</v>
      </c>
      <c r="F3290" t="s">
        <v>1397</v>
      </c>
      <c r="G3290" s="1">
        <v>45238</v>
      </c>
      <c r="H3290">
        <v>5414612</v>
      </c>
      <c r="I3290">
        <v>5</v>
      </c>
      <c r="J3290" t="s">
        <v>374</v>
      </c>
      <c r="K3290" t="str">
        <f>IFERROR(IF(AND(VLOOKUP($C3290,Hes!$A:$B, 1, FALSE), $M3290&lt;&gt;" "), "Ingresada", "Falta Ingresar"), " ")</f>
        <v xml:space="preserve"> </v>
      </c>
      <c r="L3290" s="4" t="str">
        <f>IFERROR(VLOOKUP($C3290,Observaciones!$A:$B,2,FALSE)," ")</f>
        <v>XRUT</v>
      </c>
      <c r="M3290" t="s">
        <v>681</v>
      </c>
      <c r="O3290" s="5">
        <v>30858642</v>
      </c>
      <c r="P3290" s="5">
        <v>49194</v>
      </c>
      <c r="Q3290" s="5">
        <v>9347</v>
      </c>
      <c r="R3290" s="5">
        <v>58541</v>
      </c>
    </row>
    <row r="3291" spans="1:18" x14ac:dyDescent="0.25">
      <c r="A3291" t="s">
        <v>512</v>
      </c>
      <c r="B3291" t="s">
        <v>494</v>
      </c>
      <c r="C3291">
        <v>81537600</v>
      </c>
      <c r="D3291">
        <v>438</v>
      </c>
      <c r="E3291">
        <v>30857647</v>
      </c>
      <c r="F3291" t="s">
        <v>1397</v>
      </c>
      <c r="G3291" s="1">
        <v>45238</v>
      </c>
      <c r="H3291">
        <v>5414632</v>
      </c>
      <c r="I3291">
        <v>5</v>
      </c>
      <c r="J3291" t="s">
        <v>374</v>
      </c>
      <c r="K3291" t="str">
        <f>IFERROR(IF(AND(VLOOKUP($C3291,Hes!$A:$B, 1, FALSE), $M3291&lt;&gt;" "), "Ingresada", "Falta Ingresar"), " ")</f>
        <v xml:space="preserve"> </v>
      </c>
      <c r="L3291" s="4" t="str">
        <f>IFERROR(VLOOKUP($C3291,Observaciones!$A:$B,2,FALSE)," ")</f>
        <v>XRUT</v>
      </c>
      <c r="M3291" t="s">
        <v>681</v>
      </c>
      <c r="O3291" s="5">
        <v>30857647</v>
      </c>
      <c r="P3291" s="5">
        <v>27524</v>
      </c>
      <c r="Q3291" s="5">
        <v>5230</v>
      </c>
      <c r="R3291" s="5">
        <v>32754</v>
      </c>
    </row>
    <row r="3292" spans="1:18" x14ac:dyDescent="0.25">
      <c r="A3292" t="s">
        <v>512</v>
      </c>
      <c r="B3292" t="s">
        <v>494</v>
      </c>
      <c r="C3292">
        <v>81537600</v>
      </c>
      <c r="D3292">
        <v>505</v>
      </c>
      <c r="E3292">
        <v>30859600</v>
      </c>
      <c r="F3292" t="s">
        <v>1397</v>
      </c>
      <c r="G3292" s="1">
        <v>45238</v>
      </c>
      <c r="H3292">
        <v>5414641</v>
      </c>
      <c r="I3292">
        <v>5</v>
      </c>
      <c r="J3292" t="s">
        <v>374</v>
      </c>
      <c r="K3292" t="str">
        <f>IFERROR(IF(AND(VLOOKUP($C3292,Hes!$A:$B, 1, FALSE), $M3292&lt;&gt;" "), "Ingresada", "Falta Ingresar"), " ")</f>
        <v xml:space="preserve"> </v>
      </c>
      <c r="L3292" s="4" t="str">
        <f>IFERROR(VLOOKUP($C3292,Observaciones!$A:$B,2,FALSE)," ")</f>
        <v>XRUT</v>
      </c>
      <c r="M3292" t="s">
        <v>681</v>
      </c>
      <c r="O3292" s="5">
        <v>30859600</v>
      </c>
      <c r="P3292" s="5">
        <v>50652</v>
      </c>
      <c r="Q3292" s="5">
        <v>9624</v>
      </c>
      <c r="R3292" s="5">
        <v>60276</v>
      </c>
    </row>
    <row r="3293" spans="1:18" x14ac:dyDescent="0.25">
      <c r="A3293" t="s">
        <v>512</v>
      </c>
      <c r="B3293" t="s">
        <v>494</v>
      </c>
      <c r="C3293">
        <v>81537600</v>
      </c>
      <c r="D3293">
        <v>822</v>
      </c>
      <c r="E3293">
        <v>30860302</v>
      </c>
      <c r="F3293" t="s">
        <v>1397</v>
      </c>
      <c r="G3293" s="1">
        <v>45238</v>
      </c>
      <c r="H3293">
        <v>5414663</v>
      </c>
      <c r="I3293">
        <v>5</v>
      </c>
      <c r="J3293" t="s">
        <v>374</v>
      </c>
      <c r="K3293" t="str">
        <f>IFERROR(IF(AND(VLOOKUP($C3293,Hes!$A:$B, 1, FALSE), $M3293&lt;&gt;" "), "Ingresada", "Falta Ingresar"), " ")</f>
        <v xml:space="preserve"> </v>
      </c>
      <c r="L3293" s="4" t="str">
        <f>IFERROR(VLOOKUP($C3293,Observaciones!$A:$B,2,FALSE)," ")</f>
        <v>XRUT</v>
      </c>
      <c r="M3293" t="s">
        <v>681</v>
      </c>
      <c r="O3293" s="5">
        <v>30860302</v>
      </c>
      <c r="P3293" s="5">
        <v>44037</v>
      </c>
      <c r="Q3293" s="5">
        <v>8367</v>
      </c>
      <c r="R3293" s="5">
        <v>52404</v>
      </c>
    </row>
    <row r="3294" spans="1:18" x14ac:dyDescent="0.25">
      <c r="A3294" t="s">
        <v>512</v>
      </c>
      <c r="B3294" t="s">
        <v>494</v>
      </c>
      <c r="C3294">
        <v>81537600</v>
      </c>
      <c r="D3294">
        <v>467</v>
      </c>
      <c r="E3294">
        <v>30858157</v>
      </c>
      <c r="F3294" t="s">
        <v>1397</v>
      </c>
      <c r="G3294" s="1">
        <v>45238</v>
      </c>
      <c r="H3294">
        <v>5414665</v>
      </c>
      <c r="I3294">
        <v>5</v>
      </c>
      <c r="J3294" t="s">
        <v>374</v>
      </c>
      <c r="K3294" t="str">
        <f>IFERROR(IF(AND(VLOOKUP($C3294,Hes!$A:$B, 1, FALSE), $M3294&lt;&gt;" "), "Ingresada", "Falta Ingresar"), " ")</f>
        <v xml:space="preserve"> </v>
      </c>
      <c r="L3294" s="4" t="str">
        <f>IFERROR(VLOOKUP($C3294,Observaciones!$A:$B,2,FALSE)," ")</f>
        <v>XRUT</v>
      </c>
      <c r="M3294" t="s">
        <v>681</v>
      </c>
      <c r="O3294" s="5">
        <v>30858157</v>
      </c>
      <c r="P3294" s="5">
        <v>40647</v>
      </c>
      <c r="Q3294" s="5">
        <v>7723</v>
      </c>
      <c r="R3294" s="5">
        <v>48370</v>
      </c>
    </row>
    <row r="3295" spans="1:18" x14ac:dyDescent="0.25">
      <c r="A3295" t="s">
        <v>512</v>
      </c>
      <c r="B3295" t="s">
        <v>494</v>
      </c>
      <c r="C3295">
        <v>81537600</v>
      </c>
      <c r="D3295">
        <v>403</v>
      </c>
      <c r="E3295">
        <v>30858159</v>
      </c>
      <c r="F3295" t="s">
        <v>1397</v>
      </c>
      <c r="G3295" s="1">
        <v>45238</v>
      </c>
      <c r="H3295">
        <v>5414704</v>
      </c>
      <c r="I3295">
        <v>5</v>
      </c>
      <c r="J3295" t="s">
        <v>374</v>
      </c>
      <c r="K3295" t="str">
        <f>IFERROR(IF(AND(VLOOKUP($C3295,Hes!$A:$B, 1, FALSE), $M3295&lt;&gt;" "), "Ingresada", "Falta Ingresar"), " ")</f>
        <v xml:space="preserve"> </v>
      </c>
      <c r="L3295" s="4" t="str">
        <f>IFERROR(VLOOKUP($C3295,Observaciones!$A:$B,2,FALSE)," ")</f>
        <v>XRUT</v>
      </c>
      <c r="M3295" t="s">
        <v>681</v>
      </c>
      <c r="O3295" s="5">
        <v>30858159</v>
      </c>
      <c r="P3295" s="5">
        <v>30035</v>
      </c>
      <c r="Q3295" s="5">
        <v>5707</v>
      </c>
      <c r="R3295" s="5">
        <v>35742</v>
      </c>
    </row>
    <row r="3296" spans="1:18" x14ac:dyDescent="0.25">
      <c r="A3296" t="s">
        <v>512</v>
      </c>
      <c r="B3296" t="s">
        <v>494</v>
      </c>
      <c r="C3296">
        <v>81537600</v>
      </c>
      <c r="D3296">
        <v>208</v>
      </c>
      <c r="E3296">
        <v>30859710</v>
      </c>
      <c r="F3296" t="s">
        <v>1397</v>
      </c>
      <c r="G3296" s="1">
        <v>45238</v>
      </c>
      <c r="H3296">
        <v>5414712</v>
      </c>
      <c r="I3296">
        <v>5</v>
      </c>
      <c r="J3296" t="s">
        <v>374</v>
      </c>
      <c r="K3296" t="str">
        <f>IFERROR(IF(AND(VLOOKUP($C3296,Hes!$A:$B, 1, FALSE), $M3296&lt;&gt;" "), "Ingresada", "Falta Ingresar"), " ")</f>
        <v xml:space="preserve"> </v>
      </c>
      <c r="L3296" s="4" t="str">
        <f>IFERROR(VLOOKUP($C3296,Observaciones!$A:$B,2,FALSE)," ")</f>
        <v>XRUT</v>
      </c>
      <c r="M3296" t="s">
        <v>681</v>
      </c>
      <c r="O3296" s="5">
        <v>30859710</v>
      </c>
      <c r="P3296" s="5">
        <v>44416</v>
      </c>
      <c r="Q3296" s="5">
        <v>8439</v>
      </c>
      <c r="R3296" s="5">
        <v>52855</v>
      </c>
    </row>
    <row r="3297" spans="1:18" x14ac:dyDescent="0.25">
      <c r="A3297" t="s">
        <v>512</v>
      </c>
      <c r="B3297" t="s">
        <v>494</v>
      </c>
      <c r="C3297">
        <v>81537600</v>
      </c>
      <c r="D3297">
        <v>462</v>
      </c>
      <c r="E3297">
        <v>30863141</v>
      </c>
      <c r="F3297" t="s">
        <v>1397</v>
      </c>
      <c r="G3297" s="1">
        <v>45238</v>
      </c>
      <c r="H3297">
        <v>5414746</v>
      </c>
      <c r="I3297">
        <v>5</v>
      </c>
      <c r="J3297" t="s">
        <v>374</v>
      </c>
      <c r="K3297" t="str">
        <f>IFERROR(IF(AND(VLOOKUP($C3297,Hes!$A:$B, 1, FALSE), $M3297&lt;&gt;" "), "Ingresada", "Falta Ingresar"), " ")</f>
        <v xml:space="preserve"> </v>
      </c>
      <c r="L3297" s="4" t="str">
        <f>IFERROR(VLOOKUP($C3297,Observaciones!$A:$B,2,FALSE)," ")</f>
        <v>XRUT</v>
      </c>
      <c r="M3297" t="s">
        <v>681</v>
      </c>
      <c r="O3297" s="5">
        <v>30863141</v>
      </c>
      <c r="P3297" s="5">
        <v>47225</v>
      </c>
      <c r="Q3297" s="5">
        <v>8973</v>
      </c>
      <c r="R3297" s="5">
        <v>56198</v>
      </c>
    </row>
    <row r="3298" spans="1:18" x14ac:dyDescent="0.25">
      <c r="A3298" t="s">
        <v>512</v>
      </c>
      <c r="B3298" t="s">
        <v>494</v>
      </c>
      <c r="C3298">
        <v>81537600</v>
      </c>
      <c r="D3298">
        <v>272</v>
      </c>
      <c r="E3298">
        <v>30861091</v>
      </c>
      <c r="F3298" t="s">
        <v>1397</v>
      </c>
      <c r="G3298" s="1">
        <v>45238</v>
      </c>
      <c r="H3298">
        <v>5414748</v>
      </c>
      <c r="I3298">
        <v>5</v>
      </c>
      <c r="J3298" t="s">
        <v>374</v>
      </c>
      <c r="K3298" t="str">
        <f>IFERROR(IF(AND(VLOOKUP($C3298,Hes!$A:$B, 1, FALSE), $M3298&lt;&gt;" "), "Ingresada", "Falta Ingresar"), " ")</f>
        <v xml:space="preserve"> </v>
      </c>
      <c r="L3298" s="4" t="str">
        <f>IFERROR(VLOOKUP($C3298,Observaciones!$A:$B,2,FALSE)," ")</f>
        <v>XRUT</v>
      </c>
      <c r="M3298" t="s">
        <v>681</v>
      </c>
      <c r="O3298" s="5">
        <v>30861091</v>
      </c>
      <c r="P3298" s="5">
        <v>378441</v>
      </c>
      <c r="Q3298" s="5">
        <v>71904</v>
      </c>
      <c r="R3298" s="5">
        <v>450345</v>
      </c>
    </row>
    <row r="3299" spans="1:18" x14ac:dyDescent="0.25">
      <c r="A3299" t="s">
        <v>512</v>
      </c>
      <c r="B3299" t="s">
        <v>494</v>
      </c>
      <c r="C3299">
        <v>81537600</v>
      </c>
      <c r="D3299">
        <v>1049</v>
      </c>
      <c r="E3299">
        <v>30862131</v>
      </c>
      <c r="F3299" t="s">
        <v>1397</v>
      </c>
      <c r="G3299" s="1">
        <v>45238</v>
      </c>
      <c r="H3299">
        <v>5414964</v>
      </c>
      <c r="I3299">
        <v>5</v>
      </c>
      <c r="J3299" t="s">
        <v>374</v>
      </c>
      <c r="K3299" t="str">
        <f>IFERROR(IF(AND(VLOOKUP($C3299,Hes!$A:$B, 1, FALSE), $M3299&lt;&gt;" "), "Ingresada", "Falta Ingresar"), " ")</f>
        <v xml:space="preserve"> </v>
      </c>
      <c r="L3299" s="4" t="str">
        <f>IFERROR(VLOOKUP($C3299,Observaciones!$A:$B,2,FALSE)," ")</f>
        <v>XRUT</v>
      </c>
      <c r="M3299" t="s">
        <v>681</v>
      </c>
      <c r="O3299" s="5">
        <v>30862131</v>
      </c>
      <c r="P3299" s="5">
        <v>25016</v>
      </c>
      <c r="Q3299" s="5">
        <v>4753</v>
      </c>
      <c r="R3299" s="5">
        <v>29769</v>
      </c>
    </row>
    <row r="3300" spans="1:18" x14ac:dyDescent="0.25">
      <c r="A3300" t="s">
        <v>512</v>
      </c>
      <c r="B3300" t="s">
        <v>494</v>
      </c>
      <c r="C3300">
        <v>81537600</v>
      </c>
      <c r="D3300">
        <v>357</v>
      </c>
      <c r="E3300">
        <v>30862261</v>
      </c>
      <c r="F3300" t="s">
        <v>1397</v>
      </c>
      <c r="G3300" s="1">
        <v>45238</v>
      </c>
      <c r="H3300">
        <v>5414983</v>
      </c>
      <c r="I3300">
        <v>5</v>
      </c>
      <c r="J3300" t="s">
        <v>374</v>
      </c>
      <c r="K3300" t="str">
        <f>IFERROR(IF(AND(VLOOKUP($C3300,Hes!$A:$B, 1, FALSE), $M3300&lt;&gt;" "), "Ingresada", "Falta Ingresar"), " ")</f>
        <v xml:space="preserve"> </v>
      </c>
      <c r="L3300" s="4" t="str">
        <f>IFERROR(VLOOKUP($C3300,Observaciones!$A:$B,2,FALSE)," ")</f>
        <v>XRUT</v>
      </c>
      <c r="M3300" t="s">
        <v>681</v>
      </c>
      <c r="O3300" s="5">
        <v>30862261</v>
      </c>
      <c r="P3300" s="5">
        <v>47906</v>
      </c>
      <c r="Q3300" s="5">
        <v>9102</v>
      </c>
      <c r="R3300" s="5">
        <v>57008</v>
      </c>
    </row>
    <row r="3301" spans="1:18" x14ac:dyDescent="0.25">
      <c r="A3301" t="s">
        <v>512</v>
      </c>
      <c r="B3301" t="s">
        <v>494</v>
      </c>
      <c r="C3301">
        <v>81537600</v>
      </c>
      <c r="D3301">
        <v>812</v>
      </c>
      <c r="E3301">
        <v>30863134</v>
      </c>
      <c r="F3301" t="s">
        <v>1397</v>
      </c>
      <c r="G3301" s="1">
        <v>45238</v>
      </c>
      <c r="H3301">
        <v>5415085</v>
      </c>
      <c r="I3301">
        <v>5</v>
      </c>
      <c r="J3301" t="s">
        <v>374</v>
      </c>
      <c r="K3301" t="str">
        <f>IFERROR(IF(AND(VLOOKUP($C3301,Hes!$A:$B, 1, FALSE), $M3301&lt;&gt;" "), "Ingresada", "Falta Ingresar"), " ")</f>
        <v xml:space="preserve"> </v>
      </c>
      <c r="L3301" s="4" t="str">
        <f>IFERROR(VLOOKUP($C3301,Observaciones!$A:$B,2,FALSE)," ")</f>
        <v>XRUT</v>
      </c>
      <c r="M3301" t="s">
        <v>681</v>
      </c>
      <c r="O3301" s="5">
        <v>30863134</v>
      </c>
      <c r="P3301" s="5">
        <v>49367</v>
      </c>
      <c r="Q3301" s="5">
        <v>9380</v>
      </c>
      <c r="R3301" s="5">
        <v>58747</v>
      </c>
    </row>
    <row r="3302" spans="1:18" x14ac:dyDescent="0.25">
      <c r="A3302" t="s">
        <v>512</v>
      </c>
      <c r="B3302" t="s">
        <v>494</v>
      </c>
      <c r="C3302">
        <v>81537600</v>
      </c>
      <c r="D3302">
        <v>824</v>
      </c>
      <c r="E3302">
        <v>30859489</v>
      </c>
      <c r="F3302" t="s">
        <v>1397</v>
      </c>
      <c r="G3302" s="1">
        <v>45238</v>
      </c>
      <c r="H3302">
        <v>5415101</v>
      </c>
      <c r="I3302">
        <v>5</v>
      </c>
      <c r="J3302" t="s">
        <v>374</v>
      </c>
      <c r="K3302" t="str">
        <f>IFERROR(IF(AND(VLOOKUP($C3302,Hes!$A:$B, 1, FALSE), $M3302&lt;&gt;" "), "Ingresada", "Falta Ingresar"), " ")</f>
        <v xml:space="preserve"> </v>
      </c>
      <c r="L3302" s="4" t="str">
        <f>IFERROR(VLOOKUP($C3302,Observaciones!$A:$B,2,FALSE)," ")</f>
        <v>XRUT</v>
      </c>
      <c r="M3302" t="s">
        <v>681</v>
      </c>
      <c r="O3302" s="5">
        <v>30859489</v>
      </c>
      <c r="P3302" s="5">
        <v>83383</v>
      </c>
      <c r="Q3302" s="5">
        <v>15843</v>
      </c>
      <c r="R3302" s="5">
        <v>99226</v>
      </c>
    </row>
    <row r="3303" spans="1:18" x14ac:dyDescent="0.25">
      <c r="A3303" t="s">
        <v>512</v>
      </c>
      <c r="B3303" t="s">
        <v>494</v>
      </c>
      <c r="C3303">
        <v>81537600</v>
      </c>
      <c r="D3303">
        <v>809</v>
      </c>
      <c r="E3303">
        <v>30864381</v>
      </c>
      <c r="F3303" t="s">
        <v>1397</v>
      </c>
      <c r="G3303" s="1">
        <v>45238</v>
      </c>
      <c r="H3303">
        <v>5415134</v>
      </c>
      <c r="I3303">
        <v>5</v>
      </c>
      <c r="J3303" t="s">
        <v>374</v>
      </c>
      <c r="K3303" t="str">
        <f>IFERROR(IF(AND(VLOOKUP($C3303,Hes!$A:$B, 1, FALSE), $M3303&lt;&gt;" "), "Ingresada", "Falta Ingresar"), " ")</f>
        <v xml:space="preserve"> </v>
      </c>
      <c r="L3303" s="4" t="str">
        <f>IFERROR(VLOOKUP($C3303,Observaciones!$A:$B,2,FALSE)," ")</f>
        <v>XRUT</v>
      </c>
      <c r="M3303" t="s">
        <v>681</v>
      </c>
      <c r="O3303" s="5">
        <v>30864381</v>
      </c>
      <c r="P3303" s="5">
        <v>40964</v>
      </c>
      <c r="Q3303" s="5">
        <v>7783</v>
      </c>
      <c r="R3303" s="5">
        <v>48747</v>
      </c>
    </row>
    <row r="3304" spans="1:18" x14ac:dyDescent="0.25">
      <c r="A3304" t="s">
        <v>512</v>
      </c>
      <c r="B3304" t="s">
        <v>494</v>
      </c>
      <c r="C3304">
        <v>81537600</v>
      </c>
      <c r="D3304">
        <v>135</v>
      </c>
      <c r="E3304">
        <v>30863903</v>
      </c>
      <c r="F3304" t="s">
        <v>1397</v>
      </c>
      <c r="G3304" s="1">
        <v>45238</v>
      </c>
      <c r="H3304">
        <v>5415163</v>
      </c>
      <c r="I3304">
        <v>5</v>
      </c>
      <c r="J3304" t="s">
        <v>374</v>
      </c>
      <c r="K3304" t="str">
        <f>IFERROR(IF(AND(VLOOKUP($C3304,Hes!$A:$B, 1, FALSE), $M3304&lt;&gt;" "), "Ingresada", "Falta Ingresar"), " ")</f>
        <v xml:space="preserve"> </v>
      </c>
      <c r="L3304" s="4" t="str">
        <f>IFERROR(VLOOKUP($C3304,Observaciones!$A:$B,2,FALSE)," ")</f>
        <v>XRUT</v>
      </c>
      <c r="M3304" t="s">
        <v>681</v>
      </c>
      <c r="O3304" s="5">
        <v>30863903</v>
      </c>
      <c r="P3304" s="5">
        <v>106185</v>
      </c>
      <c r="Q3304" s="5">
        <v>20175</v>
      </c>
      <c r="R3304" s="5">
        <v>126360</v>
      </c>
    </row>
    <row r="3305" spans="1:18" x14ac:dyDescent="0.25">
      <c r="A3305" t="s">
        <v>512</v>
      </c>
      <c r="B3305" t="s">
        <v>494</v>
      </c>
      <c r="C3305">
        <v>81537600</v>
      </c>
      <c r="D3305">
        <v>786</v>
      </c>
      <c r="E3305">
        <v>30863454</v>
      </c>
      <c r="F3305" t="s">
        <v>1397</v>
      </c>
      <c r="G3305" s="1">
        <v>45238</v>
      </c>
      <c r="H3305">
        <v>5415184</v>
      </c>
      <c r="I3305">
        <v>5</v>
      </c>
      <c r="J3305" t="s">
        <v>374</v>
      </c>
      <c r="K3305" t="str">
        <f>IFERROR(IF(AND(VLOOKUP($C3305,Hes!$A:$B, 1, FALSE), $M3305&lt;&gt;" "), "Ingresada", "Falta Ingresar"), " ")</f>
        <v xml:space="preserve"> </v>
      </c>
      <c r="L3305" s="4" t="str">
        <f>IFERROR(VLOOKUP($C3305,Observaciones!$A:$B,2,FALSE)," ")</f>
        <v>XRUT</v>
      </c>
      <c r="M3305" t="s">
        <v>681</v>
      </c>
      <c r="O3305" s="5">
        <v>30863454</v>
      </c>
      <c r="P3305" s="5">
        <v>49042</v>
      </c>
      <c r="Q3305" s="5">
        <v>9318</v>
      </c>
      <c r="R3305" s="5">
        <v>58360</v>
      </c>
    </row>
    <row r="3306" spans="1:18" x14ac:dyDescent="0.25">
      <c r="A3306" t="s">
        <v>512</v>
      </c>
      <c r="B3306" t="s">
        <v>494</v>
      </c>
      <c r="C3306">
        <v>81537600</v>
      </c>
      <c r="D3306">
        <v>1050</v>
      </c>
      <c r="E3306">
        <v>30863272</v>
      </c>
      <c r="F3306" t="s">
        <v>1397</v>
      </c>
      <c r="G3306" s="1">
        <v>45238</v>
      </c>
      <c r="H3306">
        <v>5415194</v>
      </c>
      <c r="I3306">
        <v>5</v>
      </c>
      <c r="J3306" t="s">
        <v>374</v>
      </c>
      <c r="K3306" t="str">
        <f>IFERROR(IF(AND(VLOOKUP($C3306,Hes!$A:$B, 1, FALSE), $M3306&lt;&gt;" "), "Ingresada", "Falta Ingresar"), " ")</f>
        <v xml:space="preserve"> </v>
      </c>
      <c r="L3306" s="4" t="str">
        <f>IFERROR(VLOOKUP($C3306,Observaciones!$A:$B,2,FALSE)," ")</f>
        <v>XRUT</v>
      </c>
      <c r="M3306" t="s">
        <v>681</v>
      </c>
      <c r="O3306" s="5">
        <v>30863272</v>
      </c>
      <c r="P3306" s="5">
        <v>305755</v>
      </c>
      <c r="Q3306" s="5">
        <v>58093</v>
      </c>
      <c r="R3306" s="5">
        <v>363848</v>
      </c>
    </row>
    <row r="3307" spans="1:18" x14ac:dyDescent="0.25">
      <c r="A3307" t="s">
        <v>512</v>
      </c>
      <c r="B3307" t="s">
        <v>494</v>
      </c>
      <c r="C3307">
        <v>81537600</v>
      </c>
      <c r="D3307">
        <v>1049</v>
      </c>
      <c r="E3307">
        <v>30863233</v>
      </c>
      <c r="F3307" t="s">
        <v>1397</v>
      </c>
      <c r="G3307" s="1">
        <v>45238</v>
      </c>
      <c r="H3307">
        <v>5415206</v>
      </c>
      <c r="I3307">
        <v>5</v>
      </c>
      <c r="J3307" t="s">
        <v>374</v>
      </c>
      <c r="K3307" t="str">
        <f>IFERROR(IF(AND(VLOOKUP($C3307,Hes!$A:$B, 1, FALSE), $M3307&lt;&gt;" "), "Ingresada", "Falta Ingresar"), " ")</f>
        <v xml:space="preserve"> </v>
      </c>
      <c r="L3307" s="4" t="str">
        <f>IFERROR(VLOOKUP($C3307,Observaciones!$A:$B,2,FALSE)," ")</f>
        <v>XRUT</v>
      </c>
      <c r="M3307" t="s">
        <v>681</v>
      </c>
      <c r="O3307" s="5">
        <v>30863233</v>
      </c>
      <c r="P3307" s="5">
        <v>172929</v>
      </c>
      <c r="Q3307" s="5">
        <v>32857</v>
      </c>
      <c r="R3307" s="5">
        <v>205786</v>
      </c>
    </row>
    <row r="3308" spans="1:18" x14ac:dyDescent="0.25">
      <c r="A3308" t="s">
        <v>512</v>
      </c>
      <c r="B3308" t="s">
        <v>494</v>
      </c>
      <c r="C3308">
        <v>81537600</v>
      </c>
      <c r="D3308">
        <v>720</v>
      </c>
      <c r="E3308">
        <v>30864306</v>
      </c>
      <c r="F3308" t="s">
        <v>1397</v>
      </c>
      <c r="G3308" s="1">
        <v>45238</v>
      </c>
      <c r="H3308">
        <v>5415216</v>
      </c>
      <c r="I3308">
        <v>5</v>
      </c>
      <c r="J3308" t="s">
        <v>374</v>
      </c>
      <c r="K3308" t="str">
        <f>IFERROR(IF(AND(VLOOKUP($C3308,Hes!$A:$B, 1, FALSE), $M3308&lt;&gt;" "), "Ingresada", "Falta Ingresar"), " ")</f>
        <v xml:space="preserve"> </v>
      </c>
      <c r="L3308" s="4" t="str">
        <f>IFERROR(VLOOKUP($C3308,Observaciones!$A:$B,2,FALSE)," ")</f>
        <v>XRUT</v>
      </c>
      <c r="M3308" t="s">
        <v>681</v>
      </c>
      <c r="O3308" s="5">
        <v>30864306</v>
      </c>
      <c r="P3308" s="5">
        <v>101644</v>
      </c>
      <c r="Q3308" s="5">
        <v>19312</v>
      </c>
      <c r="R3308" s="5">
        <v>120956</v>
      </c>
    </row>
    <row r="3309" spans="1:18" x14ac:dyDescent="0.25">
      <c r="A3309" t="s">
        <v>512</v>
      </c>
      <c r="B3309" t="s">
        <v>494</v>
      </c>
      <c r="C3309">
        <v>81537600</v>
      </c>
      <c r="D3309">
        <v>255</v>
      </c>
      <c r="E3309">
        <v>30863242</v>
      </c>
      <c r="F3309" t="s">
        <v>1397</v>
      </c>
      <c r="G3309" s="1">
        <v>45237</v>
      </c>
      <c r="H3309">
        <v>5415275</v>
      </c>
      <c r="I3309">
        <v>5</v>
      </c>
      <c r="J3309" t="s">
        <v>374</v>
      </c>
      <c r="K3309" t="str">
        <f>IFERROR(IF(AND(VLOOKUP($C3309,Hes!$A:$B, 1, FALSE), $M3309&lt;&gt;" "), "Ingresada", "Falta Ingresar"), " ")</f>
        <v xml:space="preserve"> </v>
      </c>
      <c r="L3309" s="4" t="str">
        <f>IFERROR(VLOOKUP($C3309,Observaciones!$A:$B,2,FALSE)," ")</f>
        <v>XRUT</v>
      </c>
      <c r="M3309" t="s">
        <v>681</v>
      </c>
      <c r="O3309" s="5">
        <v>30863242</v>
      </c>
      <c r="P3309" s="5">
        <v>47102</v>
      </c>
      <c r="Q3309" s="5">
        <v>8949</v>
      </c>
      <c r="R3309" s="5">
        <v>56051</v>
      </c>
    </row>
    <row r="3310" spans="1:18" x14ac:dyDescent="0.25">
      <c r="A3310" t="s">
        <v>512</v>
      </c>
      <c r="B3310" t="s">
        <v>494</v>
      </c>
      <c r="C3310">
        <v>81537600</v>
      </c>
      <c r="D3310">
        <v>401</v>
      </c>
      <c r="E3310">
        <v>30864691</v>
      </c>
      <c r="F3310" t="s">
        <v>1397</v>
      </c>
      <c r="G3310" s="1">
        <v>45238</v>
      </c>
      <c r="H3310">
        <v>5415298</v>
      </c>
      <c r="I3310">
        <v>5</v>
      </c>
      <c r="J3310" t="s">
        <v>374</v>
      </c>
      <c r="K3310" t="str">
        <f>IFERROR(IF(AND(VLOOKUP($C3310,Hes!$A:$B, 1, FALSE), $M3310&lt;&gt;" "), "Ingresada", "Falta Ingresar"), " ")</f>
        <v xml:space="preserve"> </v>
      </c>
      <c r="L3310" s="4" t="str">
        <f>IFERROR(VLOOKUP($C3310,Observaciones!$A:$B,2,FALSE)," ")</f>
        <v>XRUT</v>
      </c>
      <c r="M3310" t="s">
        <v>681</v>
      </c>
      <c r="O3310" s="5">
        <v>30864691</v>
      </c>
      <c r="P3310" s="5">
        <v>49756</v>
      </c>
      <c r="Q3310" s="5">
        <v>9454</v>
      </c>
      <c r="R3310" s="5">
        <v>59210</v>
      </c>
    </row>
    <row r="3311" spans="1:18" x14ac:dyDescent="0.25">
      <c r="A3311" t="s">
        <v>512</v>
      </c>
      <c r="B3311" t="s">
        <v>494</v>
      </c>
      <c r="C3311">
        <v>81537600</v>
      </c>
      <c r="D3311">
        <v>1073</v>
      </c>
      <c r="E3311">
        <v>30864802</v>
      </c>
      <c r="F3311" t="s">
        <v>1397</v>
      </c>
      <c r="G3311" s="1">
        <v>45238</v>
      </c>
      <c r="H3311">
        <v>5415305</v>
      </c>
      <c r="I3311">
        <v>5</v>
      </c>
      <c r="J3311" t="s">
        <v>374</v>
      </c>
      <c r="K3311" t="str">
        <f>IFERROR(IF(AND(VLOOKUP($C3311,Hes!$A:$B, 1, FALSE), $M3311&lt;&gt;" "), "Ingresada", "Falta Ingresar"), " ")</f>
        <v xml:space="preserve"> </v>
      </c>
      <c r="L3311" s="4" t="str">
        <f>IFERROR(VLOOKUP($C3311,Observaciones!$A:$B,2,FALSE)," ")</f>
        <v>XRUT</v>
      </c>
      <c r="M3311" t="s">
        <v>681</v>
      </c>
      <c r="O3311" s="5">
        <v>30864802</v>
      </c>
      <c r="P3311" s="5">
        <v>32577</v>
      </c>
      <c r="Q3311" s="5">
        <v>6190</v>
      </c>
      <c r="R3311" s="5">
        <v>38767</v>
      </c>
    </row>
    <row r="3312" spans="1:18" x14ac:dyDescent="0.25">
      <c r="A3312" t="s">
        <v>512</v>
      </c>
      <c r="B3312" t="s">
        <v>494</v>
      </c>
      <c r="C3312">
        <v>81537600</v>
      </c>
      <c r="D3312">
        <v>725</v>
      </c>
      <c r="E3312">
        <v>30856328</v>
      </c>
      <c r="F3312" t="s">
        <v>1397</v>
      </c>
      <c r="G3312" s="1">
        <v>45238</v>
      </c>
      <c r="H3312">
        <v>5415328</v>
      </c>
      <c r="I3312">
        <v>5</v>
      </c>
      <c r="J3312" t="s">
        <v>374</v>
      </c>
      <c r="K3312" t="str">
        <f>IFERROR(IF(AND(VLOOKUP($C3312,Hes!$A:$B, 1, FALSE), $M3312&lt;&gt;" "), "Ingresada", "Falta Ingresar"), " ")</f>
        <v xml:space="preserve"> </v>
      </c>
      <c r="L3312" s="4" t="str">
        <f>IFERROR(VLOOKUP($C3312,Observaciones!$A:$B,2,FALSE)," ")</f>
        <v>XRUT</v>
      </c>
      <c r="M3312" t="s">
        <v>681</v>
      </c>
      <c r="O3312" s="5">
        <v>30856328</v>
      </c>
      <c r="P3312" s="5">
        <v>52591</v>
      </c>
      <c r="Q3312" s="5">
        <v>9992</v>
      </c>
      <c r="R3312" s="5">
        <v>62583</v>
      </c>
    </row>
    <row r="3313" spans="1:18" x14ac:dyDescent="0.25">
      <c r="A3313" t="s">
        <v>512</v>
      </c>
      <c r="B3313" t="s">
        <v>494</v>
      </c>
      <c r="C3313">
        <v>81537600</v>
      </c>
      <c r="D3313">
        <v>728</v>
      </c>
      <c r="E3313">
        <v>30858127</v>
      </c>
      <c r="F3313" t="s">
        <v>1397</v>
      </c>
      <c r="G3313" s="1">
        <v>45238</v>
      </c>
      <c r="H3313">
        <v>5415330</v>
      </c>
      <c r="I3313">
        <v>5</v>
      </c>
      <c r="J3313" t="s">
        <v>374</v>
      </c>
      <c r="K3313" t="str">
        <f>IFERROR(IF(AND(VLOOKUP($C3313,Hes!$A:$B, 1, FALSE), $M3313&lt;&gt;" "), "Ingresada", "Falta Ingresar"), " ")</f>
        <v xml:space="preserve"> </v>
      </c>
      <c r="L3313" s="4" t="str">
        <f>IFERROR(VLOOKUP($C3313,Observaciones!$A:$B,2,FALSE)," ")</f>
        <v>XRUT</v>
      </c>
      <c r="M3313" t="s">
        <v>681</v>
      </c>
      <c r="O3313" s="5">
        <v>30858127</v>
      </c>
      <c r="P3313" s="5">
        <v>47710</v>
      </c>
      <c r="Q3313" s="5">
        <v>9065</v>
      </c>
      <c r="R3313" s="5">
        <v>56775</v>
      </c>
    </row>
    <row r="3314" spans="1:18" x14ac:dyDescent="0.25">
      <c r="A3314" t="s">
        <v>512</v>
      </c>
      <c r="B3314" t="s">
        <v>494</v>
      </c>
      <c r="C3314">
        <v>81537600</v>
      </c>
      <c r="D3314">
        <v>722</v>
      </c>
      <c r="E3314">
        <v>30858143</v>
      </c>
      <c r="F3314" t="s">
        <v>1397</v>
      </c>
      <c r="G3314" s="1">
        <v>45238</v>
      </c>
      <c r="H3314">
        <v>5415331</v>
      </c>
      <c r="I3314">
        <v>5</v>
      </c>
      <c r="J3314" t="s">
        <v>374</v>
      </c>
      <c r="K3314" t="str">
        <f>IFERROR(IF(AND(VLOOKUP($C3314,Hes!$A:$B, 1, FALSE), $M3314&lt;&gt;" "), "Ingresada", "Falta Ingresar"), " ")</f>
        <v xml:space="preserve"> </v>
      </c>
      <c r="L3314" s="4" t="str">
        <f>IFERROR(VLOOKUP($C3314,Observaciones!$A:$B,2,FALSE)," ")</f>
        <v>XRUT</v>
      </c>
      <c r="M3314" t="s">
        <v>681</v>
      </c>
      <c r="O3314" s="5">
        <v>30858143</v>
      </c>
      <c r="P3314" s="5">
        <v>59555</v>
      </c>
      <c r="Q3314" s="5">
        <v>11315</v>
      </c>
      <c r="R3314" s="5">
        <v>70870</v>
      </c>
    </row>
    <row r="3315" spans="1:18" x14ac:dyDescent="0.25">
      <c r="A3315" t="s">
        <v>512</v>
      </c>
      <c r="B3315" t="s">
        <v>494</v>
      </c>
      <c r="C3315">
        <v>81537600</v>
      </c>
      <c r="D3315">
        <v>451</v>
      </c>
      <c r="E3315">
        <v>30864292</v>
      </c>
      <c r="F3315" t="s">
        <v>1397</v>
      </c>
      <c r="G3315" s="1">
        <v>45238</v>
      </c>
      <c r="H3315">
        <v>5415348</v>
      </c>
      <c r="I3315">
        <v>5</v>
      </c>
      <c r="J3315" t="s">
        <v>374</v>
      </c>
      <c r="K3315" t="str">
        <f>IFERROR(IF(AND(VLOOKUP($C3315,Hes!$A:$B, 1, FALSE), $M3315&lt;&gt;" "), "Ingresada", "Falta Ingresar"), " ")</f>
        <v xml:space="preserve"> </v>
      </c>
      <c r="L3315" s="4" t="str">
        <f>IFERROR(VLOOKUP($C3315,Observaciones!$A:$B,2,FALSE)," ")</f>
        <v>XRUT</v>
      </c>
      <c r="M3315" t="s">
        <v>681</v>
      </c>
      <c r="O3315" s="5">
        <v>30864292</v>
      </c>
      <c r="P3315" s="5">
        <v>42703</v>
      </c>
      <c r="Q3315" s="5">
        <v>8114</v>
      </c>
      <c r="R3315" s="5">
        <v>50817</v>
      </c>
    </row>
    <row r="3316" spans="1:18" x14ac:dyDescent="0.25">
      <c r="A3316" t="s">
        <v>512</v>
      </c>
      <c r="B3316" t="s">
        <v>494</v>
      </c>
      <c r="C3316">
        <v>81537600</v>
      </c>
      <c r="D3316">
        <v>324</v>
      </c>
      <c r="E3316">
        <v>30864002</v>
      </c>
      <c r="F3316" t="s">
        <v>1397</v>
      </c>
      <c r="G3316" s="1">
        <v>45238</v>
      </c>
      <c r="H3316">
        <v>5415394</v>
      </c>
      <c r="I3316">
        <v>5</v>
      </c>
      <c r="J3316" t="s">
        <v>374</v>
      </c>
      <c r="K3316" t="str">
        <f>IFERROR(IF(AND(VLOOKUP($C3316,Hes!$A:$B, 1, FALSE), $M3316&lt;&gt;" "), "Ingresada", "Falta Ingresar"), " ")</f>
        <v xml:space="preserve"> </v>
      </c>
      <c r="L3316" s="4" t="str">
        <f>IFERROR(VLOOKUP($C3316,Observaciones!$A:$B,2,FALSE)," ")</f>
        <v>XRUT</v>
      </c>
      <c r="M3316" t="s">
        <v>681</v>
      </c>
      <c r="O3316" s="5">
        <v>30864002</v>
      </c>
      <c r="P3316" s="5">
        <v>48326</v>
      </c>
      <c r="Q3316" s="5">
        <v>9182</v>
      </c>
      <c r="R3316" s="5">
        <v>57508</v>
      </c>
    </row>
    <row r="3317" spans="1:18" x14ac:dyDescent="0.25">
      <c r="A3317" t="s">
        <v>512</v>
      </c>
      <c r="B3317" t="s">
        <v>494</v>
      </c>
      <c r="C3317">
        <v>81537600</v>
      </c>
      <c r="D3317">
        <v>249</v>
      </c>
      <c r="E3317">
        <v>30864315</v>
      </c>
      <c r="F3317" t="s">
        <v>1397</v>
      </c>
      <c r="G3317" s="1">
        <v>45238</v>
      </c>
      <c r="H3317">
        <v>5415424</v>
      </c>
      <c r="I3317">
        <v>5</v>
      </c>
      <c r="J3317" t="s">
        <v>374</v>
      </c>
      <c r="K3317" t="str">
        <f>IFERROR(IF(AND(VLOOKUP($C3317,Hes!$A:$B, 1, FALSE), $M3317&lt;&gt;" "), "Ingresada", "Falta Ingresar"), " ")</f>
        <v xml:space="preserve"> </v>
      </c>
      <c r="L3317" s="4" t="str">
        <f>IFERROR(VLOOKUP($C3317,Observaciones!$A:$B,2,FALSE)," ")</f>
        <v>XRUT</v>
      </c>
      <c r="M3317" t="s">
        <v>681</v>
      </c>
      <c r="O3317" s="5">
        <v>30864315</v>
      </c>
      <c r="P3317" s="5">
        <v>47201</v>
      </c>
      <c r="Q3317" s="5">
        <v>8968</v>
      </c>
      <c r="R3317" s="5">
        <v>56169</v>
      </c>
    </row>
    <row r="3318" spans="1:18" x14ac:dyDescent="0.25">
      <c r="A3318" t="s">
        <v>512</v>
      </c>
      <c r="B3318" t="s">
        <v>494</v>
      </c>
      <c r="C3318">
        <v>81537600</v>
      </c>
      <c r="D3318">
        <v>296</v>
      </c>
      <c r="E3318">
        <v>30863924</v>
      </c>
      <c r="F3318" t="s">
        <v>1397</v>
      </c>
      <c r="G3318" s="1">
        <v>45238</v>
      </c>
      <c r="H3318">
        <v>5415426</v>
      </c>
      <c r="I3318">
        <v>5</v>
      </c>
      <c r="J3318" t="s">
        <v>374</v>
      </c>
      <c r="K3318" t="str">
        <f>IFERROR(IF(AND(VLOOKUP($C3318,Hes!$A:$B, 1, FALSE), $M3318&lt;&gt;" "), "Ingresada", "Falta Ingresar"), " ")</f>
        <v xml:space="preserve"> </v>
      </c>
      <c r="L3318" s="4" t="str">
        <f>IFERROR(VLOOKUP($C3318,Observaciones!$A:$B,2,FALSE)," ")</f>
        <v>XRUT</v>
      </c>
      <c r="M3318" t="s">
        <v>681</v>
      </c>
      <c r="O3318" s="5">
        <v>30863924</v>
      </c>
      <c r="P3318" s="5">
        <v>350400</v>
      </c>
      <c r="Q3318" s="5">
        <v>66576</v>
      </c>
      <c r="R3318" s="5">
        <v>416976</v>
      </c>
    </row>
    <row r="3319" spans="1:18" x14ac:dyDescent="0.25">
      <c r="A3319" t="s">
        <v>512</v>
      </c>
      <c r="B3319" t="s">
        <v>494</v>
      </c>
      <c r="C3319">
        <v>81537600</v>
      </c>
      <c r="D3319">
        <v>320</v>
      </c>
      <c r="E3319">
        <v>30865739</v>
      </c>
      <c r="F3319" t="s">
        <v>1397</v>
      </c>
      <c r="G3319" s="1">
        <v>45238</v>
      </c>
      <c r="H3319">
        <v>5415471</v>
      </c>
      <c r="I3319">
        <v>5</v>
      </c>
      <c r="J3319" t="s">
        <v>374</v>
      </c>
      <c r="K3319" t="str">
        <f>IFERROR(IF(AND(VLOOKUP($C3319,Hes!$A:$B, 1, FALSE), $M3319&lt;&gt;" "), "Ingresada", "Falta Ingresar"), " ")</f>
        <v xml:space="preserve"> </v>
      </c>
      <c r="L3319" s="4" t="str">
        <f>IFERROR(VLOOKUP($C3319,Observaciones!$A:$B,2,FALSE)," ")</f>
        <v>XRUT</v>
      </c>
      <c r="M3319" t="s">
        <v>681</v>
      </c>
      <c r="O3319" s="5">
        <v>30865739</v>
      </c>
      <c r="P3319" s="5">
        <v>80093</v>
      </c>
      <c r="Q3319" s="5">
        <v>15218</v>
      </c>
      <c r="R3319" s="5">
        <v>95311</v>
      </c>
    </row>
    <row r="3320" spans="1:18" x14ac:dyDescent="0.25">
      <c r="A3320" t="s">
        <v>512</v>
      </c>
      <c r="B3320" t="s">
        <v>494</v>
      </c>
      <c r="C3320">
        <v>81537600</v>
      </c>
      <c r="D3320">
        <v>810</v>
      </c>
      <c r="E3320">
        <v>30865196</v>
      </c>
      <c r="F3320" t="s">
        <v>1397</v>
      </c>
      <c r="G3320" s="1">
        <v>45238</v>
      </c>
      <c r="H3320">
        <v>5415489</v>
      </c>
      <c r="I3320">
        <v>5</v>
      </c>
      <c r="J3320" t="s">
        <v>374</v>
      </c>
      <c r="K3320" t="str">
        <f>IFERROR(IF(AND(VLOOKUP($C3320,Hes!$A:$B, 1, FALSE), $M3320&lt;&gt;" "), "Ingresada", "Falta Ingresar"), " ")</f>
        <v xml:space="preserve"> </v>
      </c>
      <c r="L3320" s="4" t="str">
        <f>IFERROR(VLOOKUP($C3320,Observaciones!$A:$B,2,FALSE)," ")</f>
        <v>XRUT</v>
      </c>
      <c r="M3320" t="s">
        <v>681</v>
      </c>
      <c r="O3320" s="5">
        <v>30865196</v>
      </c>
      <c r="P3320" s="5">
        <v>24753</v>
      </c>
      <c r="Q3320" s="5">
        <v>4703</v>
      </c>
      <c r="R3320" s="5">
        <v>29456</v>
      </c>
    </row>
    <row r="3321" spans="1:18" x14ac:dyDescent="0.25">
      <c r="A3321" t="s">
        <v>512</v>
      </c>
      <c r="B3321" t="s">
        <v>494</v>
      </c>
      <c r="C3321">
        <v>81537600</v>
      </c>
      <c r="D3321">
        <v>446</v>
      </c>
      <c r="E3321">
        <v>30864400</v>
      </c>
      <c r="F3321" t="s">
        <v>1397</v>
      </c>
      <c r="G3321" s="1">
        <v>45238</v>
      </c>
      <c r="H3321">
        <v>5415589</v>
      </c>
      <c r="I3321">
        <v>5</v>
      </c>
      <c r="J3321" t="s">
        <v>374</v>
      </c>
      <c r="K3321" t="str">
        <f>IFERROR(IF(AND(VLOOKUP($C3321,Hes!$A:$B, 1, FALSE), $M3321&lt;&gt;" "), "Ingresada", "Falta Ingresar"), " ")</f>
        <v xml:space="preserve"> </v>
      </c>
      <c r="L3321" s="4" t="str">
        <f>IFERROR(VLOOKUP($C3321,Observaciones!$A:$B,2,FALSE)," ")</f>
        <v>XRUT</v>
      </c>
      <c r="M3321" t="s">
        <v>681</v>
      </c>
      <c r="O3321" s="5">
        <v>30864400</v>
      </c>
      <c r="P3321" s="5">
        <v>92587</v>
      </c>
      <c r="Q3321" s="5">
        <v>17592</v>
      </c>
      <c r="R3321" s="5">
        <v>110179</v>
      </c>
    </row>
    <row r="3322" spans="1:18" x14ac:dyDescent="0.25">
      <c r="F3322" t="s">
        <v>1398</v>
      </c>
      <c r="K3322" t="str">
        <f>IFERROR(IF(AND(VLOOKUP($C3322,Hes!$A:$B, 1, FALSE), $M3322&lt;&gt;" "), "Ingresada", "Falta Ingresar"), " ")</f>
        <v xml:space="preserve"> </v>
      </c>
      <c r="L3322" s="4" t="str">
        <f>IFERROR(VLOOKUP($C3322,Observaciones!$A:$B,2,FALSE)," ")</f>
        <v xml:space="preserve"> </v>
      </c>
      <c r="M3322" t="s">
        <v>681</v>
      </c>
      <c r="P3322" s="5">
        <v>8964079</v>
      </c>
      <c r="Q3322" s="5">
        <v>1703177</v>
      </c>
      <c r="R3322" s="5">
        <v>10667256</v>
      </c>
    </row>
    <row r="3323" spans="1:18" x14ac:dyDescent="0.25">
      <c r="A3323" t="s">
        <v>1399</v>
      </c>
      <c r="B3323" t="s">
        <v>494</v>
      </c>
      <c r="C3323">
        <v>81689800</v>
      </c>
      <c r="D3323">
        <v>29</v>
      </c>
      <c r="E3323">
        <v>30845025</v>
      </c>
      <c r="F3323" t="s">
        <v>1400</v>
      </c>
      <c r="G3323" s="1">
        <v>45231</v>
      </c>
      <c r="H3323">
        <v>5410590</v>
      </c>
      <c r="I3323">
        <v>108</v>
      </c>
      <c r="J3323" t="s">
        <v>196</v>
      </c>
      <c r="K3323" t="str">
        <f>IFERROR(IF(AND(VLOOKUP($C3323,Hes!$A:$B, 1, FALSE), $M3323&lt;&gt;" "), "Ingresada", "Falta Ingresar"), " ")</f>
        <v xml:space="preserve"> </v>
      </c>
      <c r="L3323" s="4" t="str">
        <f>IFERROR(VLOOKUP($C3323,Observaciones!$A:$B,2,FALSE)," ")</f>
        <v xml:space="preserve"> </v>
      </c>
      <c r="M3323" t="s">
        <v>681</v>
      </c>
      <c r="O3323" s="5">
        <v>30845025</v>
      </c>
      <c r="P3323" s="5">
        <v>30756</v>
      </c>
      <c r="Q3323" s="5">
        <v>5844</v>
      </c>
      <c r="R3323" s="5">
        <v>36600</v>
      </c>
    </row>
    <row r="3324" spans="1:18" x14ac:dyDescent="0.25">
      <c r="A3324" t="s">
        <v>1399</v>
      </c>
      <c r="B3324" t="s">
        <v>494</v>
      </c>
      <c r="C3324">
        <v>81689800</v>
      </c>
      <c r="D3324">
        <v>0</v>
      </c>
      <c r="E3324">
        <v>157107</v>
      </c>
      <c r="F3324" t="s">
        <v>1400</v>
      </c>
      <c r="G3324" s="1">
        <v>45233</v>
      </c>
      <c r="H3324">
        <v>5411355</v>
      </c>
      <c r="I3324">
        <v>108</v>
      </c>
      <c r="J3324" t="s">
        <v>196</v>
      </c>
      <c r="K3324" t="str">
        <f>IFERROR(IF(AND(VLOOKUP($C3324,Hes!$A:$B, 1, FALSE), $M3324&lt;&gt;" "), "Ingresada", "Falta Ingresar"), " ")</f>
        <v xml:space="preserve"> </v>
      </c>
      <c r="L3324" s="4" t="str">
        <f>IFERROR(VLOOKUP($C3324,Observaciones!$A:$B,2,FALSE)," ")</f>
        <v xml:space="preserve"> </v>
      </c>
      <c r="M3324" t="s">
        <v>681</v>
      </c>
      <c r="O3324" s="5">
        <v>30848742</v>
      </c>
      <c r="P3324" s="5">
        <v>265316</v>
      </c>
      <c r="Q3324" s="5">
        <v>50410</v>
      </c>
      <c r="R3324" s="5">
        <v>315726</v>
      </c>
    </row>
    <row r="3325" spans="1:18" x14ac:dyDescent="0.25">
      <c r="A3325" t="s">
        <v>1399</v>
      </c>
      <c r="B3325" t="s">
        <v>494</v>
      </c>
      <c r="C3325">
        <v>81689800</v>
      </c>
      <c r="D3325">
        <v>0</v>
      </c>
      <c r="E3325">
        <v>157107</v>
      </c>
      <c r="F3325" t="s">
        <v>1400</v>
      </c>
      <c r="G3325" s="1">
        <v>45233</v>
      </c>
      <c r="H3325">
        <v>5411356</v>
      </c>
      <c r="I3325">
        <v>108</v>
      </c>
      <c r="J3325" t="s">
        <v>196</v>
      </c>
      <c r="K3325" t="str">
        <f>IFERROR(IF(AND(VLOOKUP($C3325,Hes!$A:$B, 1, FALSE), $M3325&lt;&gt;" "), "Ingresada", "Falta Ingresar"), " ")</f>
        <v xml:space="preserve"> </v>
      </c>
      <c r="L3325" s="4" t="str">
        <f>IFERROR(VLOOKUP($C3325,Observaciones!$A:$B,2,FALSE)," ")</f>
        <v xml:space="preserve"> </v>
      </c>
      <c r="M3325" t="s">
        <v>681</v>
      </c>
      <c r="O3325" s="5">
        <v>30848742</v>
      </c>
      <c r="P3325" s="5">
        <v>169106</v>
      </c>
      <c r="Q3325" s="5">
        <v>32130</v>
      </c>
      <c r="R3325" s="5">
        <v>201236</v>
      </c>
    </row>
    <row r="3326" spans="1:18" x14ac:dyDescent="0.25">
      <c r="A3326" t="s">
        <v>1399</v>
      </c>
      <c r="B3326" t="s">
        <v>494</v>
      </c>
      <c r="C3326">
        <v>81689800</v>
      </c>
      <c r="D3326">
        <v>6</v>
      </c>
      <c r="E3326">
        <v>30849601</v>
      </c>
      <c r="F3326" t="s">
        <v>1400</v>
      </c>
      <c r="G3326" s="1">
        <v>45233</v>
      </c>
      <c r="H3326">
        <v>5411407</v>
      </c>
      <c r="I3326">
        <v>108</v>
      </c>
      <c r="J3326" t="s">
        <v>196</v>
      </c>
      <c r="K3326" t="str">
        <f>IFERROR(IF(AND(VLOOKUP($C3326,Hes!$A:$B, 1, FALSE), $M3326&lt;&gt;" "), "Ingresada", "Falta Ingresar"), " ")</f>
        <v xml:space="preserve"> </v>
      </c>
      <c r="L3326" s="4" t="str">
        <f>IFERROR(VLOOKUP($C3326,Observaciones!$A:$B,2,FALSE)," ")</f>
        <v xml:space="preserve"> </v>
      </c>
      <c r="M3326" t="s">
        <v>681</v>
      </c>
      <c r="O3326" s="5">
        <v>30849601</v>
      </c>
      <c r="P3326" s="5">
        <v>30971</v>
      </c>
      <c r="Q3326" s="5">
        <v>5884</v>
      </c>
      <c r="R3326" s="5">
        <v>36855</v>
      </c>
    </row>
    <row r="3327" spans="1:18" x14ac:dyDescent="0.25">
      <c r="A3327" t="s">
        <v>1399</v>
      </c>
      <c r="B3327" t="s">
        <v>494</v>
      </c>
      <c r="C3327">
        <v>81689800</v>
      </c>
      <c r="D3327">
        <v>17</v>
      </c>
      <c r="E3327">
        <v>30842464</v>
      </c>
      <c r="F3327" t="s">
        <v>1400</v>
      </c>
      <c r="G3327" s="1">
        <v>45236</v>
      </c>
      <c r="H3327">
        <v>5411923</v>
      </c>
      <c r="I3327">
        <v>108</v>
      </c>
      <c r="J3327" t="s">
        <v>196</v>
      </c>
      <c r="K3327" t="str">
        <f>IFERROR(IF(AND(VLOOKUP($C3327,Hes!$A:$B, 1, FALSE), $M3327&lt;&gt;" "), "Ingresada", "Falta Ingresar"), " ")</f>
        <v xml:space="preserve"> </v>
      </c>
      <c r="L3327" s="4" t="str">
        <f>IFERROR(VLOOKUP($C3327,Observaciones!$A:$B,2,FALSE)," ")</f>
        <v xml:space="preserve"> </v>
      </c>
      <c r="M3327" t="s">
        <v>681</v>
      </c>
      <c r="O3327" s="5">
        <v>30842464</v>
      </c>
      <c r="P3327" s="5">
        <v>96308</v>
      </c>
      <c r="Q3327" s="5">
        <v>18299</v>
      </c>
      <c r="R3327" s="5">
        <v>114607</v>
      </c>
    </row>
    <row r="3328" spans="1:18" x14ac:dyDescent="0.25">
      <c r="A3328" t="s">
        <v>1399</v>
      </c>
      <c r="B3328" t="s">
        <v>494</v>
      </c>
      <c r="C3328">
        <v>81689800</v>
      </c>
      <c r="D3328">
        <v>19</v>
      </c>
      <c r="E3328">
        <v>30850231</v>
      </c>
      <c r="F3328" t="s">
        <v>1400</v>
      </c>
      <c r="G3328" s="1">
        <v>45236</v>
      </c>
      <c r="H3328">
        <v>5412147</v>
      </c>
      <c r="I3328">
        <v>108</v>
      </c>
      <c r="J3328" t="s">
        <v>196</v>
      </c>
      <c r="K3328" t="str">
        <f>IFERROR(IF(AND(VLOOKUP($C3328,Hes!$A:$B, 1, FALSE), $M3328&lt;&gt;" "), "Ingresada", "Falta Ingresar"), " ")</f>
        <v xml:space="preserve"> </v>
      </c>
      <c r="L3328" s="4" t="str">
        <f>IFERROR(VLOOKUP($C3328,Observaciones!$A:$B,2,FALSE)," ")</f>
        <v xml:space="preserve"> </v>
      </c>
      <c r="M3328" t="s">
        <v>681</v>
      </c>
      <c r="O3328" s="5">
        <v>30850231</v>
      </c>
      <c r="P3328" s="5">
        <v>92646</v>
      </c>
      <c r="Q3328" s="5">
        <v>17603</v>
      </c>
      <c r="R3328" s="5">
        <v>110249</v>
      </c>
    </row>
    <row r="3329" spans="1:18" x14ac:dyDescent="0.25">
      <c r="A3329" t="s">
        <v>1399</v>
      </c>
      <c r="B3329" t="s">
        <v>494</v>
      </c>
      <c r="C3329">
        <v>81689800</v>
      </c>
      <c r="D3329">
        <v>113</v>
      </c>
      <c r="E3329">
        <v>30851084</v>
      </c>
      <c r="F3329" t="s">
        <v>1400</v>
      </c>
      <c r="G3329" s="1">
        <v>45236</v>
      </c>
      <c r="H3329">
        <v>5412348</v>
      </c>
      <c r="I3329">
        <v>108</v>
      </c>
      <c r="J3329" t="s">
        <v>196</v>
      </c>
      <c r="K3329" t="str">
        <f>IFERROR(IF(AND(VLOOKUP($C3329,Hes!$A:$B, 1, FALSE), $M3329&lt;&gt;" "), "Ingresada", "Falta Ingresar"), " ")</f>
        <v xml:space="preserve"> </v>
      </c>
      <c r="L3329" s="4" t="str">
        <f>IFERROR(VLOOKUP($C3329,Observaciones!$A:$B,2,FALSE)," ")</f>
        <v xml:space="preserve"> </v>
      </c>
      <c r="M3329" t="s">
        <v>681</v>
      </c>
      <c r="O3329" s="5">
        <v>30851084</v>
      </c>
      <c r="P3329" s="5">
        <v>567026</v>
      </c>
      <c r="Q3329" s="5">
        <v>107735</v>
      </c>
      <c r="R3329" s="5">
        <v>674761</v>
      </c>
    </row>
    <row r="3330" spans="1:18" x14ac:dyDescent="0.25">
      <c r="A3330" t="s">
        <v>1399</v>
      </c>
      <c r="B3330" t="s">
        <v>494</v>
      </c>
      <c r="C3330">
        <v>81689800</v>
      </c>
      <c r="D3330">
        <v>35</v>
      </c>
      <c r="E3330">
        <v>30852369</v>
      </c>
      <c r="F3330" t="s">
        <v>1400</v>
      </c>
      <c r="G3330" s="1">
        <v>45236</v>
      </c>
      <c r="H3330">
        <v>5412708</v>
      </c>
      <c r="I3330">
        <v>108</v>
      </c>
      <c r="J3330" t="s">
        <v>196</v>
      </c>
      <c r="K3330" t="str">
        <f>IFERROR(IF(AND(VLOOKUP($C3330,Hes!$A:$B, 1, FALSE), $M3330&lt;&gt;" "), "Ingresada", "Falta Ingresar"), " ")</f>
        <v xml:space="preserve"> </v>
      </c>
      <c r="L3330" s="4" t="str">
        <f>IFERROR(VLOOKUP($C3330,Observaciones!$A:$B,2,FALSE)," ")</f>
        <v xml:space="preserve"> </v>
      </c>
      <c r="M3330" t="s">
        <v>681</v>
      </c>
      <c r="O3330" s="5">
        <v>30852369</v>
      </c>
      <c r="P3330" s="5">
        <v>59685</v>
      </c>
      <c r="Q3330" s="5">
        <v>11340</v>
      </c>
      <c r="R3330" s="5">
        <v>71025</v>
      </c>
    </row>
    <row r="3331" spans="1:18" x14ac:dyDescent="0.25">
      <c r="A3331" t="s">
        <v>1399</v>
      </c>
      <c r="B3331" t="s">
        <v>494</v>
      </c>
      <c r="C3331">
        <v>81689800</v>
      </c>
      <c r="D3331">
        <v>36</v>
      </c>
      <c r="E3331">
        <v>30854057</v>
      </c>
      <c r="F3331" t="s">
        <v>1400</v>
      </c>
      <c r="G3331" s="1">
        <v>45236</v>
      </c>
      <c r="H3331">
        <v>5413206</v>
      </c>
      <c r="I3331">
        <v>108</v>
      </c>
      <c r="J3331" t="s">
        <v>196</v>
      </c>
      <c r="K3331" t="str">
        <f>IFERROR(IF(AND(VLOOKUP($C3331,Hes!$A:$B, 1, FALSE), $M3331&lt;&gt;" "), "Ingresada", "Falta Ingresar"), " ")</f>
        <v xml:space="preserve"> </v>
      </c>
      <c r="L3331" s="4" t="str">
        <f>IFERROR(VLOOKUP($C3331,Observaciones!$A:$B,2,FALSE)," ")</f>
        <v xml:space="preserve"> </v>
      </c>
      <c r="M3331" t="s">
        <v>681</v>
      </c>
      <c r="O3331" s="5">
        <v>30854057</v>
      </c>
      <c r="P3331" s="5">
        <v>119167</v>
      </c>
      <c r="Q3331" s="5">
        <v>22642</v>
      </c>
      <c r="R3331" s="5">
        <v>141809</v>
      </c>
    </row>
    <row r="3332" spans="1:18" x14ac:dyDescent="0.25">
      <c r="A3332" t="s">
        <v>1399</v>
      </c>
      <c r="B3332" t="s">
        <v>494</v>
      </c>
      <c r="C3332">
        <v>81689800</v>
      </c>
      <c r="D3332">
        <v>18</v>
      </c>
      <c r="E3332">
        <v>30858267</v>
      </c>
      <c r="F3332" t="s">
        <v>1400</v>
      </c>
      <c r="G3332" s="1">
        <v>45237</v>
      </c>
      <c r="H3332">
        <v>5414192</v>
      </c>
      <c r="I3332">
        <v>108</v>
      </c>
      <c r="J3332" t="s">
        <v>196</v>
      </c>
      <c r="K3332" t="str">
        <f>IFERROR(IF(AND(VLOOKUP($C3332,Hes!$A:$B, 1, FALSE), $M3332&lt;&gt;" "), "Ingresada", "Falta Ingresar"), " ")</f>
        <v xml:space="preserve"> </v>
      </c>
      <c r="L3332" s="4" t="str">
        <f>IFERROR(VLOOKUP($C3332,Observaciones!$A:$B,2,FALSE)," ")</f>
        <v xml:space="preserve"> </v>
      </c>
      <c r="M3332" t="s">
        <v>681</v>
      </c>
      <c r="O3332" s="5">
        <v>30858267</v>
      </c>
      <c r="P3332" s="5">
        <v>74398</v>
      </c>
      <c r="Q3332" s="5">
        <v>14136</v>
      </c>
      <c r="R3332" s="5">
        <v>88534</v>
      </c>
    </row>
    <row r="3333" spans="1:18" x14ac:dyDescent="0.25">
      <c r="A3333" t="s">
        <v>1399</v>
      </c>
      <c r="B3333" t="s">
        <v>494</v>
      </c>
      <c r="C3333">
        <v>81689800</v>
      </c>
      <c r="D3333">
        <v>40</v>
      </c>
      <c r="E3333">
        <v>30865740</v>
      </c>
      <c r="F3333" t="s">
        <v>1400</v>
      </c>
      <c r="G3333" s="1">
        <v>45238</v>
      </c>
      <c r="H3333">
        <v>5415763</v>
      </c>
      <c r="I3333">
        <v>108</v>
      </c>
      <c r="J3333" t="s">
        <v>196</v>
      </c>
      <c r="K3333" t="str">
        <f>IFERROR(IF(AND(VLOOKUP($C3333,Hes!$A:$B, 1, FALSE), $M3333&lt;&gt;" "), "Ingresada", "Falta Ingresar"), " ")</f>
        <v xml:space="preserve"> </v>
      </c>
      <c r="L3333" s="4" t="str">
        <f>IFERROR(VLOOKUP($C3333,Observaciones!$A:$B,2,FALSE)," ")</f>
        <v xml:space="preserve"> </v>
      </c>
      <c r="M3333" t="s">
        <v>681</v>
      </c>
      <c r="O3333" s="5">
        <v>30865740</v>
      </c>
      <c r="P3333" s="5">
        <v>41028</v>
      </c>
      <c r="Q3333" s="5">
        <v>7795</v>
      </c>
      <c r="R3333" s="5">
        <v>48823</v>
      </c>
    </row>
    <row r="3334" spans="1:18" x14ac:dyDescent="0.25">
      <c r="F3334" t="s">
        <v>510</v>
      </c>
      <c r="K3334" t="str">
        <f>IFERROR(IF(AND(VLOOKUP($C3334,Hes!$A:$B, 1, FALSE), $M3334&lt;&gt;" "), "Ingresada", "Falta Ingresar"), " ")</f>
        <v xml:space="preserve"> </v>
      </c>
      <c r="L3334" s="4" t="str">
        <f>IFERROR(VLOOKUP($C3334,Observaciones!$A:$B,2,FALSE)," ")</f>
        <v xml:space="preserve"> </v>
      </c>
      <c r="M3334" t="s">
        <v>681</v>
      </c>
      <c r="P3334" s="5">
        <v>1546407</v>
      </c>
      <c r="Q3334" s="5">
        <v>293818</v>
      </c>
      <c r="R3334" s="5">
        <v>1840225</v>
      </c>
    </row>
    <row r="3335" spans="1:18" x14ac:dyDescent="0.25">
      <c r="A3335" t="s">
        <v>496</v>
      </c>
      <c r="B3335" t="s">
        <v>494</v>
      </c>
      <c r="C3335">
        <v>81698900</v>
      </c>
      <c r="D3335">
        <v>388</v>
      </c>
      <c r="E3335" t="s">
        <v>1401</v>
      </c>
      <c r="F3335" t="s">
        <v>591</v>
      </c>
      <c r="G3335" s="1">
        <v>45232</v>
      </c>
      <c r="H3335">
        <v>5411099</v>
      </c>
      <c r="I3335">
        <v>357</v>
      </c>
      <c r="J3335" t="s">
        <v>299</v>
      </c>
      <c r="K3335" s="7" t="str">
        <f>IFERROR(IF(AND(VLOOKUP($C3335,Hes!$A:$B, 1, FALSE), $M3335&lt;&gt;" "), "Ingresada", "Falta Ingresar"), " ")</f>
        <v>Ingresada</v>
      </c>
      <c r="L3335" s="4" t="str">
        <f>IFERROR(VLOOKUP($C3335,Observaciones!$A:$B,2,FALSE)," ")</f>
        <v>XOC Y CC</v>
      </c>
      <c r="M3335">
        <v>95504</v>
      </c>
      <c r="N3335" s="5" t="s">
        <v>841</v>
      </c>
      <c r="O3335" s="5">
        <v>30838656</v>
      </c>
      <c r="P3335" s="5">
        <v>30019</v>
      </c>
      <c r="Q3335" s="5">
        <v>5704</v>
      </c>
      <c r="R3335" s="5">
        <v>35723</v>
      </c>
    </row>
    <row r="3336" spans="1:18" x14ac:dyDescent="0.25">
      <c r="A3336" t="s">
        <v>496</v>
      </c>
      <c r="B3336" t="s">
        <v>494</v>
      </c>
      <c r="C3336">
        <v>81698900</v>
      </c>
      <c r="D3336">
        <v>809</v>
      </c>
      <c r="E3336" t="s">
        <v>1402</v>
      </c>
      <c r="F3336" t="s">
        <v>591</v>
      </c>
      <c r="G3336" s="1">
        <v>45232</v>
      </c>
      <c r="H3336">
        <v>5411159</v>
      </c>
      <c r="I3336">
        <v>357</v>
      </c>
      <c r="J3336" t="s">
        <v>299</v>
      </c>
      <c r="K3336" s="8" t="str">
        <f>IFERROR(IF(AND(VLOOKUP($C3336,Hes!$A:$B, 1, FALSE), $M3336&lt;&gt;" "), "Ingresada", "Falta Ingresar"), " ")</f>
        <v>Falta Ingresar</v>
      </c>
      <c r="L3336" s="4" t="str">
        <f>IFERROR(VLOOKUP($C3336,Observaciones!$A:$B,2,FALSE)," ")</f>
        <v>XOC Y CC</v>
      </c>
      <c r="M3336" t="s">
        <v>681</v>
      </c>
      <c r="N3336" s="5" t="s">
        <v>841</v>
      </c>
      <c r="O3336" s="5">
        <v>30783364</v>
      </c>
      <c r="P3336" s="5">
        <v>113217</v>
      </c>
      <c r="Q3336" s="5">
        <v>21511</v>
      </c>
      <c r="R3336" s="5">
        <v>134728</v>
      </c>
    </row>
    <row r="3337" spans="1:18" x14ac:dyDescent="0.25">
      <c r="A3337" t="s">
        <v>496</v>
      </c>
      <c r="B3337" t="s">
        <v>494</v>
      </c>
      <c r="C3337">
        <v>81698900</v>
      </c>
      <c r="D3337">
        <v>809</v>
      </c>
      <c r="E3337" t="s">
        <v>1403</v>
      </c>
      <c r="F3337" t="s">
        <v>591</v>
      </c>
      <c r="G3337" s="1">
        <v>45232</v>
      </c>
      <c r="H3337">
        <v>5411186</v>
      </c>
      <c r="I3337">
        <v>357</v>
      </c>
      <c r="J3337" t="s">
        <v>299</v>
      </c>
      <c r="K3337" s="8" t="str">
        <f>IFERROR(IF(AND(VLOOKUP($C3337,Hes!$A:$B, 1, FALSE), $M3337&lt;&gt;" "), "Ingresada", "Falta Ingresar"), " ")</f>
        <v>Falta Ingresar</v>
      </c>
      <c r="L3337" s="4" t="str">
        <f>IFERROR(VLOOKUP($C3337,Observaciones!$A:$B,2,FALSE)," ")</f>
        <v>XOC Y CC</v>
      </c>
      <c r="M3337" t="s">
        <v>681</v>
      </c>
      <c r="N3337" s="5" t="s">
        <v>841</v>
      </c>
      <c r="O3337" s="5">
        <v>30848231</v>
      </c>
      <c r="P3337" s="5">
        <v>168239</v>
      </c>
      <c r="Q3337" s="5">
        <v>31965</v>
      </c>
      <c r="R3337" s="5">
        <v>200204</v>
      </c>
    </row>
    <row r="3338" spans="1:18" x14ac:dyDescent="0.25">
      <c r="A3338" t="s">
        <v>496</v>
      </c>
      <c r="B3338" t="s">
        <v>494</v>
      </c>
      <c r="C3338">
        <v>81698900</v>
      </c>
      <c r="D3338">
        <v>2701</v>
      </c>
      <c r="E3338" t="s">
        <v>1404</v>
      </c>
      <c r="F3338" t="s">
        <v>591</v>
      </c>
      <c r="G3338" s="1">
        <v>45232</v>
      </c>
      <c r="H3338">
        <v>5411197</v>
      </c>
      <c r="I3338">
        <v>357</v>
      </c>
      <c r="J3338" t="s">
        <v>299</v>
      </c>
      <c r="K3338" s="7" t="str">
        <f>IFERROR(IF(AND(VLOOKUP($C3338,Hes!$A:$B, 1, FALSE), $M3338&lt;&gt;" "), "Ingresada", "Falta Ingresar"), " ")</f>
        <v>Ingresada</v>
      </c>
      <c r="L3338" s="4" t="str">
        <f>IFERROR(VLOOKUP($C3338,Observaciones!$A:$B,2,FALSE)," ")</f>
        <v>XOC Y CC</v>
      </c>
      <c r="M3338">
        <v>94622</v>
      </c>
      <c r="N3338" s="5" t="s">
        <v>841</v>
      </c>
      <c r="O3338" s="5">
        <v>30811491</v>
      </c>
      <c r="P3338" s="5">
        <v>169878</v>
      </c>
      <c r="Q3338" s="5">
        <v>32277</v>
      </c>
      <c r="R3338" s="5">
        <v>202155</v>
      </c>
    </row>
    <row r="3339" spans="1:18" x14ac:dyDescent="0.25">
      <c r="A3339" t="s">
        <v>496</v>
      </c>
      <c r="B3339" t="s">
        <v>494</v>
      </c>
      <c r="C3339">
        <v>81698900</v>
      </c>
      <c r="D3339">
        <v>56</v>
      </c>
      <c r="E3339" t="s">
        <v>1405</v>
      </c>
      <c r="F3339" t="s">
        <v>591</v>
      </c>
      <c r="G3339" s="1">
        <v>45232</v>
      </c>
      <c r="H3339">
        <v>5411198</v>
      </c>
      <c r="I3339">
        <v>357</v>
      </c>
      <c r="J3339" t="s">
        <v>299</v>
      </c>
      <c r="K3339" s="8" t="str">
        <f>IFERROR(IF(AND(VLOOKUP($C3339,Hes!$A:$B, 1, FALSE), $M3339&lt;&gt;" "), "Ingresada", "Falta Ingresar"), " ")</f>
        <v>Falta Ingresar</v>
      </c>
      <c r="L3339" s="4" t="str">
        <f>IFERROR(VLOOKUP($C3339,Observaciones!$A:$B,2,FALSE)," ")</f>
        <v>XOC Y CC</v>
      </c>
      <c r="M3339" t="s">
        <v>681</v>
      </c>
      <c r="N3339" s="5" t="s">
        <v>841</v>
      </c>
      <c r="O3339" s="5">
        <v>30804178</v>
      </c>
      <c r="P3339" s="5">
        <v>285720</v>
      </c>
      <c r="Q3339" s="5">
        <v>54287</v>
      </c>
      <c r="R3339" s="5">
        <v>340007</v>
      </c>
    </row>
    <row r="3340" spans="1:18" x14ac:dyDescent="0.25">
      <c r="A3340" t="s">
        <v>496</v>
      </c>
      <c r="B3340" t="s">
        <v>494</v>
      </c>
      <c r="C3340">
        <v>81698900</v>
      </c>
      <c r="D3340">
        <v>8</v>
      </c>
      <c r="E3340" t="s">
        <v>1406</v>
      </c>
      <c r="F3340" t="s">
        <v>591</v>
      </c>
      <c r="G3340" s="1">
        <v>45232</v>
      </c>
      <c r="H3340">
        <v>5411213</v>
      </c>
      <c r="I3340">
        <v>357</v>
      </c>
      <c r="J3340" t="s">
        <v>299</v>
      </c>
      <c r="K3340" s="7" t="str">
        <f>IFERROR(IF(AND(VLOOKUP($C3340,Hes!$A:$B, 1, FALSE), $M3340&lt;&gt;" "), "Ingresada", "Falta Ingresar"), " ")</f>
        <v>Ingresada</v>
      </c>
      <c r="L3340" s="4" t="str">
        <f>IFERROR(VLOOKUP($C3340,Observaciones!$A:$B,2,FALSE)," ")</f>
        <v>XOC Y CC</v>
      </c>
      <c r="M3340">
        <v>94981</v>
      </c>
      <c r="N3340" s="5" t="s">
        <v>841</v>
      </c>
      <c r="O3340" s="5">
        <v>30841236</v>
      </c>
      <c r="P3340" s="5">
        <v>399863</v>
      </c>
      <c r="Q3340" s="5">
        <v>75974</v>
      </c>
      <c r="R3340" s="5">
        <v>475837</v>
      </c>
    </row>
    <row r="3341" spans="1:18" x14ac:dyDescent="0.25">
      <c r="A3341" t="s">
        <v>496</v>
      </c>
      <c r="B3341" t="s">
        <v>494</v>
      </c>
      <c r="C3341">
        <v>81698900</v>
      </c>
      <c r="D3341">
        <v>3007</v>
      </c>
      <c r="E3341" t="s">
        <v>1407</v>
      </c>
      <c r="F3341" t="s">
        <v>591</v>
      </c>
      <c r="G3341" s="1">
        <v>45233</v>
      </c>
      <c r="H3341">
        <v>5411259</v>
      </c>
      <c r="I3341">
        <v>357</v>
      </c>
      <c r="J3341" t="s">
        <v>299</v>
      </c>
      <c r="K3341" s="8" t="str">
        <f>IFERROR(IF(AND(VLOOKUP($C3341,Hes!$A:$B, 1, FALSE), $M3341&lt;&gt;" "), "Ingresada", "Falta Ingresar"), " ")</f>
        <v>Falta Ingresar</v>
      </c>
      <c r="L3341" s="4" t="str">
        <f>IFERROR(VLOOKUP($C3341,Observaciones!$A:$B,2,FALSE)," ")</f>
        <v>XOC Y CC</v>
      </c>
      <c r="M3341" t="s">
        <v>681</v>
      </c>
      <c r="N3341" s="5" t="s">
        <v>841</v>
      </c>
      <c r="O3341" s="5">
        <v>30830757</v>
      </c>
      <c r="P3341" s="5">
        <v>362952</v>
      </c>
      <c r="Q3341" s="5">
        <v>68961</v>
      </c>
      <c r="R3341" s="5">
        <v>431913</v>
      </c>
    </row>
    <row r="3342" spans="1:18" x14ac:dyDescent="0.25">
      <c r="A3342" t="s">
        <v>496</v>
      </c>
      <c r="B3342" t="s">
        <v>494</v>
      </c>
      <c r="C3342">
        <v>81698900</v>
      </c>
      <c r="D3342">
        <v>210</v>
      </c>
      <c r="E3342" t="s">
        <v>1408</v>
      </c>
      <c r="F3342" t="s">
        <v>591</v>
      </c>
      <c r="G3342" s="1">
        <v>45233</v>
      </c>
      <c r="H3342">
        <v>5411267</v>
      </c>
      <c r="I3342">
        <v>357</v>
      </c>
      <c r="J3342" t="s">
        <v>299</v>
      </c>
      <c r="K3342" s="7" t="str">
        <f>IFERROR(IF(AND(VLOOKUP($C3342,Hes!$A:$B, 1, FALSE), $M3342&lt;&gt;" "), "Ingresada", "Falta Ingresar"), " ")</f>
        <v>Ingresada</v>
      </c>
      <c r="L3342" s="4" t="str">
        <f>IFERROR(VLOOKUP($C3342,Observaciones!$A:$B,2,FALSE)," ")</f>
        <v>XOC Y CC</v>
      </c>
      <c r="M3342">
        <v>95547</v>
      </c>
      <c r="N3342" s="5" t="s">
        <v>841</v>
      </c>
      <c r="O3342" s="5">
        <v>30828828</v>
      </c>
      <c r="P3342" s="5">
        <v>65256</v>
      </c>
      <c r="Q3342" s="5">
        <v>12399</v>
      </c>
      <c r="R3342" s="5">
        <v>77655</v>
      </c>
    </row>
    <row r="3343" spans="1:18" x14ac:dyDescent="0.25">
      <c r="A3343" t="s">
        <v>496</v>
      </c>
      <c r="B3343" t="s">
        <v>494</v>
      </c>
      <c r="C3343">
        <v>81698900</v>
      </c>
      <c r="D3343">
        <v>132</v>
      </c>
      <c r="E3343" t="s">
        <v>1409</v>
      </c>
      <c r="F3343" t="s">
        <v>591</v>
      </c>
      <c r="G3343" s="1">
        <v>45233</v>
      </c>
      <c r="H3343">
        <v>5411275</v>
      </c>
      <c r="I3343">
        <v>357</v>
      </c>
      <c r="J3343" t="s">
        <v>299</v>
      </c>
      <c r="K3343" s="8" t="str">
        <f>IFERROR(IF(AND(VLOOKUP($C3343,Hes!$A:$B, 1, FALSE), $M3343&lt;&gt;" "), "Ingresada", "Falta Ingresar"), " ")</f>
        <v>Falta Ingresar</v>
      </c>
      <c r="L3343" s="4" t="str">
        <f>IFERROR(VLOOKUP($C3343,Observaciones!$A:$B,2,FALSE)," ")</f>
        <v>XOC Y CC</v>
      </c>
      <c r="M3343" t="s">
        <v>681</v>
      </c>
      <c r="N3343" s="5" t="s">
        <v>841</v>
      </c>
      <c r="O3343" s="5">
        <v>30848505</v>
      </c>
      <c r="P3343" s="5">
        <v>44416</v>
      </c>
      <c r="Q3343" s="5">
        <v>8439</v>
      </c>
      <c r="R3343" s="5">
        <v>52855</v>
      </c>
    </row>
    <row r="3344" spans="1:18" x14ac:dyDescent="0.25">
      <c r="A3344" t="s">
        <v>496</v>
      </c>
      <c r="B3344" t="s">
        <v>494</v>
      </c>
      <c r="C3344">
        <v>81698900</v>
      </c>
      <c r="D3344">
        <v>208</v>
      </c>
      <c r="E3344" t="s">
        <v>1410</v>
      </c>
      <c r="F3344" t="s">
        <v>591</v>
      </c>
      <c r="G3344" s="1">
        <v>45233</v>
      </c>
      <c r="H3344">
        <v>5411276</v>
      </c>
      <c r="I3344">
        <v>357</v>
      </c>
      <c r="J3344" t="s">
        <v>299</v>
      </c>
      <c r="K3344" s="7" t="str">
        <f>IFERROR(IF(AND(VLOOKUP($C3344,Hes!$A:$B, 1, FALSE), $M3344&lt;&gt;" "), "Ingresada", "Falta Ingresar"), " ")</f>
        <v>Ingresada</v>
      </c>
      <c r="L3344" s="4" t="str">
        <f>IFERROR(VLOOKUP($C3344,Observaciones!$A:$B,2,FALSE)," ")</f>
        <v>XOC Y CC</v>
      </c>
      <c r="M3344">
        <v>95542</v>
      </c>
      <c r="N3344" s="5" t="s">
        <v>841</v>
      </c>
      <c r="O3344" s="5">
        <v>30801037</v>
      </c>
      <c r="P3344" s="5">
        <v>23665</v>
      </c>
      <c r="Q3344" s="5">
        <v>4496</v>
      </c>
      <c r="R3344" s="5">
        <v>28161</v>
      </c>
    </row>
    <row r="3345" spans="1:18" x14ac:dyDescent="0.25">
      <c r="A3345" t="s">
        <v>496</v>
      </c>
      <c r="B3345" t="s">
        <v>494</v>
      </c>
      <c r="C3345">
        <v>81698900</v>
      </c>
      <c r="D3345">
        <v>3006</v>
      </c>
      <c r="E3345" t="s">
        <v>1411</v>
      </c>
      <c r="F3345" t="s">
        <v>591</v>
      </c>
      <c r="G3345" s="1">
        <v>45233</v>
      </c>
      <c r="H3345">
        <v>5411323</v>
      </c>
      <c r="I3345">
        <v>357</v>
      </c>
      <c r="J3345" t="s">
        <v>299</v>
      </c>
      <c r="K3345" s="8" t="str">
        <f>IFERROR(IF(AND(VLOOKUP($C3345,Hes!$A:$B, 1, FALSE), $M3345&lt;&gt;" "), "Ingresada", "Falta Ingresar"), " ")</f>
        <v>Falta Ingresar</v>
      </c>
      <c r="L3345" s="4" t="str">
        <f>IFERROR(VLOOKUP($C3345,Observaciones!$A:$B,2,FALSE)," ")</f>
        <v>XOC Y CC</v>
      </c>
      <c r="M3345" t="s">
        <v>681</v>
      </c>
      <c r="N3345" s="5" t="s">
        <v>841</v>
      </c>
      <c r="O3345" s="5">
        <v>30826504</v>
      </c>
      <c r="P3345" s="5">
        <v>34590</v>
      </c>
      <c r="Q3345" s="5">
        <v>6572</v>
      </c>
      <c r="R3345" s="5">
        <v>41162</v>
      </c>
    </row>
    <row r="3346" spans="1:18" x14ac:dyDescent="0.25">
      <c r="A3346" t="s">
        <v>496</v>
      </c>
      <c r="B3346" t="s">
        <v>494</v>
      </c>
      <c r="C3346">
        <v>81698900</v>
      </c>
      <c r="D3346">
        <v>21</v>
      </c>
      <c r="E3346" t="s">
        <v>1412</v>
      </c>
      <c r="F3346" t="s">
        <v>591</v>
      </c>
      <c r="G3346" s="1">
        <v>45233</v>
      </c>
      <c r="H3346">
        <v>5411359</v>
      </c>
      <c r="I3346">
        <v>357</v>
      </c>
      <c r="J3346" t="s">
        <v>299</v>
      </c>
      <c r="K3346" s="8" t="str">
        <f>IFERROR(IF(AND(VLOOKUP($C3346,Hes!$A:$B, 1, FALSE), $M3346&lt;&gt;" "), "Ingresada", "Falta Ingresar"), " ")</f>
        <v>Falta Ingresar</v>
      </c>
      <c r="L3346" s="4" t="str">
        <f>IFERROR(VLOOKUP($C3346,Observaciones!$A:$B,2,FALSE)," ")</f>
        <v>XOC Y CC</v>
      </c>
      <c r="M3346" t="s">
        <v>681</v>
      </c>
      <c r="N3346" s="5" t="s">
        <v>841</v>
      </c>
      <c r="O3346" s="5">
        <v>30834523</v>
      </c>
      <c r="P3346" s="5">
        <v>16345</v>
      </c>
      <c r="Q3346" s="5">
        <v>3106</v>
      </c>
      <c r="R3346" s="5">
        <v>19451</v>
      </c>
    </row>
    <row r="3347" spans="1:18" x14ac:dyDescent="0.25">
      <c r="A3347" t="s">
        <v>496</v>
      </c>
      <c r="B3347" t="s">
        <v>494</v>
      </c>
      <c r="C3347">
        <v>81698900</v>
      </c>
      <c r="D3347">
        <v>9043</v>
      </c>
      <c r="E3347" t="s">
        <v>1413</v>
      </c>
      <c r="F3347" t="s">
        <v>591</v>
      </c>
      <c r="G3347" s="1">
        <v>45233</v>
      </c>
      <c r="H3347">
        <v>5411364</v>
      </c>
      <c r="I3347">
        <v>357</v>
      </c>
      <c r="J3347" t="s">
        <v>299</v>
      </c>
      <c r="K3347" s="8" t="str">
        <f>IFERROR(IF(AND(VLOOKUP($C3347,Hes!$A:$B, 1, FALSE), $M3347&lt;&gt;" "), "Ingresada", "Falta Ingresar"), " ")</f>
        <v>Falta Ingresar</v>
      </c>
      <c r="L3347" s="4" t="str">
        <f>IFERROR(VLOOKUP($C3347,Observaciones!$A:$B,2,FALSE)," ")</f>
        <v>XOC Y CC</v>
      </c>
      <c r="M3347" t="s">
        <v>681</v>
      </c>
      <c r="N3347" s="5" t="s">
        <v>841</v>
      </c>
      <c r="O3347" s="5">
        <v>30819310</v>
      </c>
      <c r="P3347" s="5">
        <v>19824</v>
      </c>
      <c r="Q3347" s="5">
        <v>3767</v>
      </c>
      <c r="R3347" s="5">
        <v>23591</v>
      </c>
    </row>
    <row r="3348" spans="1:18" x14ac:dyDescent="0.25">
      <c r="A3348" t="s">
        <v>496</v>
      </c>
      <c r="B3348" t="s">
        <v>494</v>
      </c>
      <c r="C3348">
        <v>81698900</v>
      </c>
      <c r="D3348">
        <v>187</v>
      </c>
      <c r="E3348" t="s">
        <v>1414</v>
      </c>
      <c r="F3348" t="s">
        <v>591</v>
      </c>
      <c r="G3348" s="1">
        <v>45233</v>
      </c>
      <c r="H3348">
        <v>5411371</v>
      </c>
      <c r="I3348">
        <v>357</v>
      </c>
      <c r="J3348" t="s">
        <v>299</v>
      </c>
      <c r="K3348" s="7" t="str">
        <f>IFERROR(IF(AND(VLOOKUP($C3348,Hes!$A:$B, 1, FALSE), $M3348&lt;&gt;" "), "Ingresada", "Falta Ingresar"), " ")</f>
        <v>Ingresada</v>
      </c>
      <c r="L3348" s="4" t="str">
        <f>IFERROR(VLOOKUP($C3348,Observaciones!$A:$B,2,FALSE)," ")</f>
        <v>XOC Y CC</v>
      </c>
      <c r="M3348">
        <v>95549</v>
      </c>
      <c r="N3348" s="5" t="s">
        <v>841</v>
      </c>
      <c r="O3348" s="5">
        <v>30830620</v>
      </c>
      <c r="P3348" s="5">
        <v>42490</v>
      </c>
      <c r="Q3348" s="5">
        <v>8073</v>
      </c>
      <c r="R3348" s="5">
        <v>54812</v>
      </c>
    </row>
    <row r="3349" spans="1:18" x14ac:dyDescent="0.25">
      <c r="A3349" t="s">
        <v>496</v>
      </c>
      <c r="B3349" t="s">
        <v>494</v>
      </c>
      <c r="C3349">
        <v>81698900</v>
      </c>
      <c r="D3349">
        <v>9044</v>
      </c>
      <c r="E3349" t="s">
        <v>1415</v>
      </c>
      <c r="F3349" t="s">
        <v>591</v>
      </c>
      <c r="G3349" s="1">
        <v>45233</v>
      </c>
      <c r="H3349">
        <v>5411372</v>
      </c>
      <c r="I3349">
        <v>348</v>
      </c>
      <c r="J3349" t="s">
        <v>293</v>
      </c>
      <c r="K3349" s="7" t="str">
        <f>IFERROR(IF(AND(VLOOKUP($C3349,Hes!$A:$B, 1, FALSE), $M3349&lt;&gt;" "), "Ingresada", "Falta Ingresar"), " ")</f>
        <v>Ingresada</v>
      </c>
      <c r="L3349" s="4" t="str">
        <f>IFERROR(VLOOKUP($C3349,Observaciones!$A:$B,2,FALSE)," ")</f>
        <v>XOC Y CC</v>
      </c>
      <c r="M3349">
        <v>95583</v>
      </c>
      <c r="N3349" s="5" t="s">
        <v>841</v>
      </c>
      <c r="O3349" s="5">
        <v>30848462</v>
      </c>
      <c r="P3349" s="5">
        <v>70026</v>
      </c>
      <c r="Q3349" s="5">
        <v>13305</v>
      </c>
      <c r="R3349" s="5">
        <v>83331</v>
      </c>
    </row>
    <row r="3350" spans="1:18" x14ac:dyDescent="0.25">
      <c r="A3350" t="s">
        <v>496</v>
      </c>
      <c r="B3350" t="s">
        <v>494</v>
      </c>
      <c r="C3350">
        <v>81698900</v>
      </c>
      <c r="D3350">
        <v>187</v>
      </c>
      <c r="E3350" t="s">
        <v>1416</v>
      </c>
      <c r="F3350" t="s">
        <v>591</v>
      </c>
      <c r="G3350" s="1">
        <v>45233</v>
      </c>
      <c r="H3350">
        <v>5411395</v>
      </c>
      <c r="I3350">
        <v>357</v>
      </c>
      <c r="J3350" t="s">
        <v>299</v>
      </c>
      <c r="K3350" s="7" t="str">
        <f>IFERROR(IF(AND(VLOOKUP($C3350,Hes!$A:$B, 1, FALSE), $M3350&lt;&gt;" "), "Ingresada", "Falta Ingresar"), " ")</f>
        <v>Ingresada</v>
      </c>
      <c r="L3350" s="4" t="str">
        <f>IFERROR(VLOOKUP($C3350,Observaciones!$A:$B,2,FALSE)," ")</f>
        <v>XOC Y CC</v>
      </c>
      <c r="M3350">
        <v>95543</v>
      </c>
      <c r="N3350" s="5" t="s">
        <v>841</v>
      </c>
      <c r="O3350" s="5">
        <v>30830631</v>
      </c>
      <c r="P3350" s="5">
        <v>49770</v>
      </c>
      <c r="Q3350" s="5">
        <v>9456</v>
      </c>
      <c r="R3350" s="5">
        <v>59226</v>
      </c>
    </row>
    <row r="3351" spans="1:18" x14ac:dyDescent="0.25">
      <c r="A3351" t="s">
        <v>496</v>
      </c>
      <c r="B3351" t="s">
        <v>494</v>
      </c>
      <c r="C3351">
        <v>81698900</v>
      </c>
      <c r="D3351">
        <v>3605</v>
      </c>
      <c r="E3351" t="s">
        <v>1417</v>
      </c>
      <c r="F3351" t="s">
        <v>591</v>
      </c>
      <c r="G3351" s="1">
        <v>45233</v>
      </c>
      <c r="H3351">
        <v>5411398</v>
      </c>
      <c r="I3351">
        <v>357</v>
      </c>
      <c r="J3351" t="s">
        <v>299</v>
      </c>
      <c r="K3351" s="8" t="str">
        <f>IFERROR(IF(AND(VLOOKUP($C3351,Hes!$A:$B, 1, FALSE), $M3351&lt;&gt;" "), "Ingresada", "Falta Ingresar"), " ")</f>
        <v>Falta Ingresar</v>
      </c>
      <c r="L3351" s="4" t="str">
        <f>IFERROR(VLOOKUP($C3351,Observaciones!$A:$B,2,FALSE)," ")</f>
        <v>XOC Y CC</v>
      </c>
      <c r="M3351" t="s">
        <v>681</v>
      </c>
      <c r="N3351" s="5" t="s">
        <v>841</v>
      </c>
      <c r="O3351" s="5">
        <v>30848063</v>
      </c>
      <c r="P3351" s="5">
        <v>16760</v>
      </c>
      <c r="Q3351" s="5">
        <v>3184</v>
      </c>
      <c r="R3351" s="5">
        <v>21620</v>
      </c>
    </row>
    <row r="3352" spans="1:18" x14ac:dyDescent="0.25">
      <c r="A3352" t="s">
        <v>496</v>
      </c>
      <c r="B3352" t="s">
        <v>494</v>
      </c>
      <c r="C3352">
        <v>81698900</v>
      </c>
      <c r="D3352">
        <v>2220</v>
      </c>
      <c r="E3352" t="s">
        <v>1418</v>
      </c>
      <c r="F3352" t="s">
        <v>591</v>
      </c>
      <c r="G3352" s="1">
        <v>45233</v>
      </c>
      <c r="H3352">
        <v>5411400</v>
      </c>
      <c r="I3352">
        <v>357</v>
      </c>
      <c r="J3352" t="s">
        <v>299</v>
      </c>
      <c r="K3352" s="8" t="str">
        <f>IFERROR(IF(AND(VLOOKUP($C3352,Hes!$A:$B, 1, FALSE), $M3352&lt;&gt;" "), "Ingresada", "Falta Ingresar"), " ")</f>
        <v>Falta Ingresar</v>
      </c>
      <c r="L3352" s="4" t="str">
        <f>IFERROR(VLOOKUP($C3352,Observaciones!$A:$B,2,FALSE)," ")</f>
        <v>XOC Y CC</v>
      </c>
      <c r="M3352" t="s">
        <v>681</v>
      </c>
      <c r="N3352" s="5" t="s">
        <v>841</v>
      </c>
      <c r="O3352" s="5">
        <v>30825439</v>
      </c>
      <c r="P3352" s="5">
        <v>49322</v>
      </c>
      <c r="Q3352" s="5">
        <v>9371</v>
      </c>
      <c r="R3352" s="5">
        <v>58693</v>
      </c>
    </row>
    <row r="3353" spans="1:18" x14ac:dyDescent="0.25">
      <c r="A3353" t="s">
        <v>496</v>
      </c>
      <c r="B3353" t="s">
        <v>494</v>
      </c>
      <c r="C3353">
        <v>81698900</v>
      </c>
      <c r="D3353">
        <v>7224</v>
      </c>
      <c r="E3353" t="s">
        <v>1419</v>
      </c>
      <c r="F3353" t="s">
        <v>591</v>
      </c>
      <c r="G3353" s="1">
        <v>45233</v>
      </c>
      <c r="H3353">
        <v>5411423</v>
      </c>
      <c r="I3353">
        <v>357</v>
      </c>
      <c r="J3353" t="s">
        <v>299</v>
      </c>
      <c r="K3353" s="7" t="str">
        <f>IFERROR(IF(AND(VLOOKUP($C3353,Hes!$A:$B, 1, FALSE), $M3353&lt;&gt;" "), "Ingresada", "Falta Ingresar"), " ")</f>
        <v>Ingresada</v>
      </c>
      <c r="L3353" s="4" t="str">
        <f>IFERROR(VLOOKUP($C3353,Observaciones!$A:$B,2,FALSE)," ")</f>
        <v>XOC Y CC</v>
      </c>
      <c r="M3353">
        <v>95423</v>
      </c>
      <c r="N3353" s="5" t="s">
        <v>841</v>
      </c>
      <c r="O3353" s="5">
        <v>30849625</v>
      </c>
      <c r="P3353" s="5">
        <v>110689</v>
      </c>
      <c r="Q3353" s="5">
        <v>21031</v>
      </c>
      <c r="R3353" s="5">
        <v>131720</v>
      </c>
    </row>
    <row r="3354" spans="1:18" x14ac:dyDescent="0.25">
      <c r="A3354" t="s">
        <v>496</v>
      </c>
      <c r="B3354" t="s">
        <v>494</v>
      </c>
      <c r="C3354">
        <v>81698900</v>
      </c>
      <c r="D3354">
        <v>7037</v>
      </c>
      <c r="E3354" t="s">
        <v>1420</v>
      </c>
      <c r="F3354" t="s">
        <v>591</v>
      </c>
      <c r="G3354" s="1">
        <v>45233</v>
      </c>
      <c r="H3354">
        <v>5411437</v>
      </c>
      <c r="I3354">
        <v>357</v>
      </c>
      <c r="J3354" t="s">
        <v>299</v>
      </c>
      <c r="K3354" s="8" t="str">
        <f>IFERROR(IF(AND(VLOOKUP($C3354,Hes!$A:$B, 1, FALSE), $M3354&lt;&gt;" "), "Ingresada", "Falta Ingresar"), " ")</f>
        <v>Falta Ingresar</v>
      </c>
      <c r="L3354" s="4" t="str">
        <f>IFERROR(VLOOKUP($C3354,Observaciones!$A:$B,2,FALSE)," ")</f>
        <v>XOC Y CC</v>
      </c>
      <c r="M3354" t="s">
        <v>681</v>
      </c>
      <c r="N3354" s="5" t="s">
        <v>841</v>
      </c>
      <c r="O3354" s="5">
        <v>30827822</v>
      </c>
      <c r="P3354" s="5">
        <v>77266</v>
      </c>
      <c r="Q3354" s="5">
        <v>14681</v>
      </c>
      <c r="R3354" s="5">
        <v>91947</v>
      </c>
    </row>
    <row r="3355" spans="1:18" x14ac:dyDescent="0.25">
      <c r="A3355" t="s">
        <v>496</v>
      </c>
      <c r="B3355" t="s">
        <v>494</v>
      </c>
      <c r="C3355">
        <v>81698900</v>
      </c>
      <c r="D3355">
        <v>120</v>
      </c>
      <c r="E3355" t="s">
        <v>1421</v>
      </c>
      <c r="F3355" t="s">
        <v>591</v>
      </c>
      <c r="G3355" s="1">
        <v>45233</v>
      </c>
      <c r="H3355">
        <v>5411444</v>
      </c>
      <c r="I3355">
        <v>348</v>
      </c>
      <c r="J3355" t="s">
        <v>293</v>
      </c>
      <c r="K3355" s="8" t="str">
        <f>IFERROR(IF(AND(VLOOKUP($C3355,Hes!$A:$B, 1, FALSE), $M3355&lt;&gt;" "), "Ingresada", "Falta Ingresar"), " ")</f>
        <v>Falta Ingresar</v>
      </c>
      <c r="L3355" s="4" t="str">
        <f>IFERROR(VLOOKUP($C3355,Observaciones!$A:$B,2,FALSE)," ")</f>
        <v>XOC Y CC</v>
      </c>
      <c r="M3355" t="s">
        <v>681</v>
      </c>
      <c r="N3355" s="5" t="s">
        <v>841</v>
      </c>
      <c r="O3355" s="5">
        <v>30848351</v>
      </c>
      <c r="P3355" s="5">
        <v>232097</v>
      </c>
      <c r="Q3355" s="5">
        <v>44098</v>
      </c>
      <c r="R3355" s="5">
        <v>276195</v>
      </c>
    </row>
    <row r="3356" spans="1:18" x14ac:dyDescent="0.25">
      <c r="A3356" t="s">
        <v>496</v>
      </c>
      <c r="B3356" t="s">
        <v>494</v>
      </c>
      <c r="C3356">
        <v>81698900</v>
      </c>
      <c r="D3356">
        <v>205</v>
      </c>
      <c r="E3356" t="s">
        <v>1422</v>
      </c>
      <c r="F3356" t="s">
        <v>591</v>
      </c>
      <c r="G3356" s="1">
        <v>45233</v>
      </c>
      <c r="H3356">
        <v>5411460</v>
      </c>
      <c r="I3356">
        <v>357</v>
      </c>
      <c r="J3356" t="s">
        <v>299</v>
      </c>
      <c r="K3356" s="8" t="str">
        <f>IFERROR(IF(AND(VLOOKUP($C3356,Hes!$A:$B, 1, FALSE), $M3356&lt;&gt;" "), "Ingresada", "Falta Ingresar"), " ")</f>
        <v>Falta Ingresar</v>
      </c>
      <c r="L3356" s="4" t="str">
        <f>IFERROR(VLOOKUP($C3356,Observaciones!$A:$B,2,FALSE)," ")</f>
        <v>XOC Y CC</v>
      </c>
      <c r="M3356" t="s">
        <v>681</v>
      </c>
      <c r="N3356" s="5" t="s">
        <v>841</v>
      </c>
      <c r="O3356" s="5">
        <v>30849877</v>
      </c>
      <c r="P3356" s="5">
        <v>37289</v>
      </c>
      <c r="Q3356" s="5">
        <v>7085</v>
      </c>
      <c r="R3356" s="5">
        <v>44374</v>
      </c>
    </row>
    <row r="3357" spans="1:18" x14ac:dyDescent="0.25">
      <c r="A3357" t="s">
        <v>496</v>
      </c>
      <c r="B3357" t="s">
        <v>494</v>
      </c>
      <c r="C3357">
        <v>81698900</v>
      </c>
      <c r="D3357">
        <v>61</v>
      </c>
      <c r="E3357" t="s">
        <v>1423</v>
      </c>
      <c r="F3357" t="s">
        <v>591</v>
      </c>
      <c r="G3357" s="1">
        <v>45233</v>
      </c>
      <c r="H3357">
        <v>5411575</v>
      </c>
      <c r="I3357">
        <v>357</v>
      </c>
      <c r="J3357" t="s">
        <v>299</v>
      </c>
      <c r="K3357" s="7" t="str">
        <f>IFERROR(IF(AND(VLOOKUP($C3357,Hes!$A:$B, 1, FALSE), $M3357&lt;&gt;" "), "Ingresada", "Falta Ingresar"), " ")</f>
        <v>Ingresada</v>
      </c>
      <c r="L3357" s="4" t="str">
        <f>IFERROR(VLOOKUP($C3357,Observaciones!$A:$B,2,FALSE)," ")</f>
        <v>XOC Y CC</v>
      </c>
      <c r="M3357">
        <v>95402</v>
      </c>
      <c r="N3357" s="5" t="s">
        <v>841</v>
      </c>
      <c r="O3357" s="5">
        <v>30825418</v>
      </c>
      <c r="P3357" s="5">
        <v>529607</v>
      </c>
      <c r="Q3357" s="5">
        <v>100625</v>
      </c>
      <c r="R3357" s="5">
        <v>630232</v>
      </c>
    </row>
    <row r="3358" spans="1:18" x14ac:dyDescent="0.25">
      <c r="A3358" t="s">
        <v>496</v>
      </c>
      <c r="B3358" t="s">
        <v>494</v>
      </c>
      <c r="C3358">
        <v>81698900</v>
      </c>
      <c r="D3358">
        <v>3591</v>
      </c>
      <c r="E3358" t="s">
        <v>1424</v>
      </c>
      <c r="F3358" t="s">
        <v>591</v>
      </c>
      <c r="G3358" s="1">
        <v>45233</v>
      </c>
      <c r="H3358">
        <v>5411587</v>
      </c>
      <c r="I3358">
        <v>357</v>
      </c>
      <c r="J3358" t="s">
        <v>299</v>
      </c>
      <c r="K3358" s="8" t="str">
        <f>IFERROR(IF(AND(VLOOKUP($C3358,Hes!$A:$B, 1, FALSE), $M3358&lt;&gt;" "), "Ingresada", "Falta Ingresar"), " ")</f>
        <v>Falta Ingresar</v>
      </c>
      <c r="L3358" s="4" t="str">
        <f>IFERROR(VLOOKUP($C3358,Observaciones!$A:$B,2,FALSE)," ")</f>
        <v>XOC Y CC</v>
      </c>
      <c r="M3358" t="s">
        <v>681</v>
      </c>
      <c r="N3358" s="5" t="s">
        <v>841</v>
      </c>
      <c r="O3358" s="5">
        <v>30840578</v>
      </c>
      <c r="P3358" s="5">
        <v>6570</v>
      </c>
      <c r="Q3358" s="5">
        <v>1248</v>
      </c>
      <c r="R3358" s="5">
        <v>8475</v>
      </c>
    </row>
    <row r="3359" spans="1:18" x14ac:dyDescent="0.25">
      <c r="A3359" t="s">
        <v>496</v>
      </c>
      <c r="B3359" t="s">
        <v>494</v>
      </c>
      <c r="C3359">
        <v>81698900</v>
      </c>
      <c r="D3359">
        <v>149</v>
      </c>
      <c r="E3359" t="s">
        <v>1425</v>
      </c>
      <c r="F3359" t="s">
        <v>591</v>
      </c>
      <c r="G3359" s="1">
        <v>45233</v>
      </c>
      <c r="H3359">
        <v>5411593</v>
      </c>
      <c r="I3359">
        <v>357</v>
      </c>
      <c r="J3359" t="s">
        <v>299</v>
      </c>
      <c r="K3359" s="8" t="str">
        <f>IFERROR(IF(AND(VLOOKUP($C3359,Hes!$A:$B, 1, FALSE), $M3359&lt;&gt;" "), "Ingresada", "Falta Ingresar"), " ")</f>
        <v>Falta Ingresar</v>
      </c>
      <c r="L3359" s="4" t="str">
        <f>IFERROR(VLOOKUP($C3359,Observaciones!$A:$B,2,FALSE)," ")</f>
        <v>XOC Y CC</v>
      </c>
      <c r="M3359" t="s">
        <v>681</v>
      </c>
      <c r="N3359" s="5" t="s">
        <v>841</v>
      </c>
      <c r="O3359" s="5">
        <v>30785971</v>
      </c>
      <c r="P3359" s="5">
        <v>540758</v>
      </c>
      <c r="Q3359" s="5">
        <v>102744</v>
      </c>
      <c r="R3359" s="5">
        <v>643502</v>
      </c>
    </row>
    <row r="3360" spans="1:18" x14ac:dyDescent="0.25">
      <c r="A3360" t="s">
        <v>496</v>
      </c>
      <c r="B3360" t="s">
        <v>494</v>
      </c>
      <c r="C3360">
        <v>81698900</v>
      </c>
      <c r="D3360">
        <v>7219</v>
      </c>
      <c r="E3360" t="s">
        <v>1426</v>
      </c>
      <c r="F3360" t="s">
        <v>591</v>
      </c>
      <c r="G3360" s="1">
        <v>45233</v>
      </c>
      <c r="H3360">
        <v>5411594</v>
      </c>
      <c r="I3360">
        <v>357</v>
      </c>
      <c r="J3360" t="s">
        <v>299</v>
      </c>
      <c r="K3360" s="7" t="str">
        <f>IFERROR(IF(AND(VLOOKUP($C3360,Hes!$A:$B, 1, FALSE), $M3360&lt;&gt;" "), "Ingresada", "Falta Ingresar"), " ")</f>
        <v>Ingresada</v>
      </c>
      <c r="L3360" s="4" t="str">
        <f>IFERROR(VLOOKUP($C3360,Observaciones!$A:$B,2,FALSE)," ")</f>
        <v>XOC Y CC</v>
      </c>
      <c r="M3360">
        <v>95502</v>
      </c>
      <c r="N3360" s="5" t="s">
        <v>841</v>
      </c>
      <c r="O3360" s="5">
        <v>30849744</v>
      </c>
      <c r="P3360" s="5">
        <v>5000</v>
      </c>
      <c r="Q3360" s="5">
        <v>950</v>
      </c>
      <c r="R3360" s="5">
        <v>5950</v>
      </c>
    </row>
    <row r="3361" spans="1:18" x14ac:dyDescent="0.25">
      <c r="A3361" t="s">
        <v>496</v>
      </c>
      <c r="B3361" t="s">
        <v>494</v>
      </c>
      <c r="C3361">
        <v>81698900</v>
      </c>
      <c r="D3361">
        <v>46</v>
      </c>
      <c r="E3361" t="s">
        <v>1427</v>
      </c>
      <c r="F3361" t="s">
        <v>591</v>
      </c>
      <c r="G3361" s="1">
        <v>45233</v>
      </c>
      <c r="H3361">
        <v>5411603</v>
      </c>
      <c r="I3361">
        <v>357</v>
      </c>
      <c r="J3361" t="s">
        <v>299</v>
      </c>
      <c r="K3361" s="8" t="str">
        <f>IFERROR(IF(AND(VLOOKUP($C3361,Hes!$A:$B, 1, FALSE), $M3361&lt;&gt;" "), "Ingresada", "Falta Ingresar"), " ")</f>
        <v>Falta Ingresar</v>
      </c>
      <c r="L3361" s="4" t="str">
        <f>IFERROR(VLOOKUP($C3361,Observaciones!$A:$B,2,FALSE)," ")</f>
        <v>XOC Y CC</v>
      </c>
      <c r="M3361" t="s">
        <v>681</v>
      </c>
      <c r="N3361" s="5" t="s">
        <v>841</v>
      </c>
      <c r="O3361" s="5">
        <v>30850388</v>
      </c>
      <c r="P3361" s="5">
        <v>170560</v>
      </c>
      <c r="Q3361" s="5">
        <v>32406</v>
      </c>
      <c r="R3361" s="5">
        <v>202966</v>
      </c>
    </row>
    <row r="3362" spans="1:18" x14ac:dyDescent="0.25">
      <c r="A3362" t="s">
        <v>496</v>
      </c>
      <c r="B3362" t="s">
        <v>494</v>
      </c>
      <c r="C3362">
        <v>81698900</v>
      </c>
      <c r="D3362">
        <v>91</v>
      </c>
      <c r="E3362" t="s">
        <v>1428</v>
      </c>
      <c r="F3362" t="s">
        <v>591</v>
      </c>
      <c r="G3362" s="1">
        <v>45233</v>
      </c>
      <c r="H3362">
        <v>5411613</v>
      </c>
      <c r="I3362">
        <v>357</v>
      </c>
      <c r="J3362" t="s">
        <v>299</v>
      </c>
      <c r="K3362" s="8" t="str">
        <f>IFERROR(IF(AND(VLOOKUP($C3362,Hes!$A:$B, 1, FALSE), $M3362&lt;&gt;" "), "Ingresada", "Falta Ingresar"), " ")</f>
        <v>Falta Ingresar</v>
      </c>
      <c r="L3362" s="4" t="str">
        <f>IFERROR(VLOOKUP($C3362,Observaciones!$A:$B,2,FALSE)," ")</f>
        <v>XOC Y CC</v>
      </c>
      <c r="M3362" t="s">
        <v>681</v>
      </c>
      <c r="N3362" s="5" t="s">
        <v>841</v>
      </c>
      <c r="O3362" s="5">
        <v>30850461</v>
      </c>
      <c r="P3362" s="5">
        <v>86450</v>
      </c>
      <c r="Q3362" s="5">
        <v>16426</v>
      </c>
      <c r="R3362" s="5">
        <v>102876</v>
      </c>
    </row>
    <row r="3363" spans="1:18" x14ac:dyDescent="0.25">
      <c r="A3363" t="s">
        <v>496</v>
      </c>
      <c r="B3363" t="s">
        <v>494</v>
      </c>
      <c r="C3363">
        <v>81698900</v>
      </c>
      <c r="D3363">
        <v>9175</v>
      </c>
      <c r="E3363" t="s">
        <v>1429</v>
      </c>
      <c r="F3363" t="s">
        <v>591</v>
      </c>
      <c r="G3363" s="1">
        <v>45233</v>
      </c>
      <c r="H3363">
        <v>5411616</v>
      </c>
      <c r="I3363">
        <v>348</v>
      </c>
      <c r="J3363" t="s">
        <v>293</v>
      </c>
      <c r="K3363" s="8" t="str">
        <f>IFERROR(IF(AND(VLOOKUP($C3363,Hes!$A:$B, 1, FALSE), $M3363&lt;&gt;" "), "Ingresada", "Falta Ingresar"), " ")</f>
        <v>Falta Ingresar</v>
      </c>
      <c r="L3363" s="4" t="str">
        <f>IFERROR(VLOOKUP($C3363,Observaciones!$A:$B,2,FALSE)," ")</f>
        <v>XOC Y CC</v>
      </c>
      <c r="M3363" t="s">
        <v>681</v>
      </c>
      <c r="N3363" s="5" t="s">
        <v>841</v>
      </c>
      <c r="O3363" s="5">
        <v>30849871</v>
      </c>
      <c r="P3363" s="5">
        <v>41594</v>
      </c>
      <c r="Q3363" s="5">
        <v>7903</v>
      </c>
      <c r="R3363" s="5">
        <v>49497</v>
      </c>
    </row>
    <row r="3364" spans="1:18" x14ac:dyDescent="0.25">
      <c r="A3364" t="s">
        <v>496</v>
      </c>
      <c r="B3364" t="s">
        <v>494</v>
      </c>
      <c r="C3364">
        <v>81698900</v>
      </c>
      <c r="D3364">
        <v>3007</v>
      </c>
      <c r="E3364" t="s">
        <v>1430</v>
      </c>
      <c r="F3364" t="s">
        <v>591</v>
      </c>
      <c r="G3364" s="1">
        <v>45233</v>
      </c>
      <c r="H3364">
        <v>5411641</v>
      </c>
      <c r="I3364">
        <v>357</v>
      </c>
      <c r="J3364" t="s">
        <v>299</v>
      </c>
      <c r="K3364" s="7" t="str">
        <f>IFERROR(IF(AND(VLOOKUP($C3364,Hes!$A:$B, 1, FALSE), $M3364&lt;&gt;" "), "Ingresada", "Falta Ingresar"), " ")</f>
        <v>Ingresada</v>
      </c>
      <c r="L3364" s="4" t="str">
        <f>IFERROR(VLOOKUP($C3364,Observaciones!$A:$B,2,FALSE)," ")</f>
        <v>XOC Y CC</v>
      </c>
      <c r="M3364">
        <v>95534</v>
      </c>
      <c r="N3364" s="5" t="s">
        <v>841</v>
      </c>
      <c r="O3364" s="5">
        <v>30838657</v>
      </c>
      <c r="P3364" s="5">
        <v>70025</v>
      </c>
      <c r="Q3364" s="5">
        <v>13305</v>
      </c>
      <c r="R3364" s="5">
        <v>83330</v>
      </c>
    </row>
    <row r="3365" spans="1:18" x14ac:dyDescent="0.25">
      <c r="A3365" t="s">
        <v>496</v>
      </c>
      <c r="B3365" t="s">
        <v>494</v>
      </c>
      <c r="C3365">
        <v>81698900</v>
      </c>
      <c r="D3365">
        <v>7037</v>
      </c>
      <c r="E3365" t="s">
        <v>1431</v>
      </c>
      <c r="F3365" t="s">
        <v>591</v>
      </c>
      <c r="G3365" s="1">
        <v>45233</v>
      </c>
      <c r="H3365">
        <v>5411644</v>
      </c>
      <c r="I3365">
        <v>357</v>
      </c>
      <c r="J3365" t="s">
        <v>299</v>
      </c>
      <c r="K3365" s="7" t="str">
        <f>IFERROR(IF(AND(VLOOKUP($C3365,Hes!$A:$B, 1, FALSE), $M3365&lt;&gt;" "), "Ingresada", "Falta Ingresar"), " ")</f>
        <v>Ingresada</v>
      </c>
      <c r="L3365" s="4" t="str">
        <f>IFERROR(VLOOKUP($C3365,Observaciones!$A:$B,2,FALSE)," ")</f>
        <v>XOC Y CC</v>
      </c>
      <c r="M3365">
        <v>95787</v>
      </c>
      <c r="N3365" s="5" t="s">
        <v>841</v>
      </c>
      <c r="O3365" s="5">
        <v>30827821</v>
      </c>
      <c r="P3365" s="5">
        <v>42234</v>
      </c>
      <c r="Q3365" s="5">
        <v>8024</v>
      </c>
      <c r="R3365" s="5">
        <v>52117</v>
      </c>
    </row>
    <row r="3366" spans="1:18" x14ac:dyDescent="0.25">
      <c r="A3366" t="s">
        <v>496</v>
      </c>
      <c r="B3366" t="s">
        <v>494</v>
      </c>
      <c r="C3366">
        <v>81698900</v>
      </c>
      <c r="D3366">
        <v>1023</v>
      </c>
      <c r="E3366" t="s">
        <v>1432</v>
      </c>
      <c r="F3366" t="s">
        <v>591</v>
      </c>
      <c r="G3366" s="1">
        <v>45233</v>
      </c>
      <c r="H3366">
        <v>5411662</v>
      </c>
      <c r="I3366">
        <v>357</v>
      </c>
      <c r="J3366" t="s">
        <v>299</v>
      </c>
      <c r="K3366" s="8" t="str">
        <f>IFERROR(IF(AND(VLOOKUP($C3366,Hes!$A:$B, 1, FALSE), $M3366&lt;&gt;" "), "Ingresada", "Falta Ingresar"), " ")</f>
        <v>Falta Ingresar</v>
      </c>
      <c r="L3366" s="4" t="str">
        <f>IFERROR(VLOOKUP($C3366,Observaciones!$A:$B,2,FALSE)," ")</f>
        <v>XOC Y CC</v>
      </c>
      <c r="M3366" t="s">
        <v>681</v>
      </c>
      <c r="N3366" s="5" t="s">
        <v>841</v>
      </c>
      <c r="O3366" s="5">
        <v>30851233</v>
      </c>
      <c r="P3366" s="5">
        <v>90235</v>
      </c>
      <c r="Q3366" s="5">
        <v>17145</v>
      </c>
      <c r="R3366" s="5">
        <v>107380</v>
      </c>
    </row>
    <row r="3367" spans="1:18" x14ac:dyDescent="0.25">
      <c r="A3367" t="s">
        <v>496</v>
      </c>
      <c r="B3367" t="s">
        <v>494</v>
      </c>
      <c r="C3367">
        <v>81698900</v>
      </c>
      <c r="D3367">
        <v>2701</v>
      </c>
      <c r="E3367" t="s">
        <v>1433</v>
      </c>
      <c r="F3367" t="s">
        <v>591</v>
      </c>
      <c r="G3367" s="1">
        <v>45233</v>
      </c>
      <c r="H3367">
        <v>5411688</v>
      </c>
      <c r="I3367">
        <v>357</v>
      </c>
      <c r="J3367" t="s">
        <v>299</v>
      </c>
      <c r="K3367" s="7" t="str">
        <f>IFERROR(IF(AND(VLOOKUP($C3367,Hes!$A:$B, 1, FALSE), $M3367&lt;&gt;" "), "Ingresada", "Falta Ingresar"), " ")</f>
        <v>Ingresada</v>
      </c>
      <c r="L3367" s="4" t="str">
        <f>IFERROR(VLOOKUP($C3367,Observaciones!$A:$B,2,FALSE)," ")</f>
        <v>XOC Y CC</v>
      </c>
      <c r="M3367">
        <v>95815</v>
      </c>
      <c r="N3367" s="5" t="s">
        <v>841</v>
      </c>
      <c r="O3367" s="5">
        <v>30827225</v>
      </c>
      <c r="P3367" s="5">
        <v>89488</v>
      </c>
      <c r="Q3367" s="5">
        <v>17003</v>
      </c>
      <c r="R3367" s="5">
        <v>106491</v>
      </c>
    </row>
    <row r="3368" spans="1:18" x14ac:dyDescent="0.25">
      <c r="A3368" t="s">
        <v>496</v>
      </c>
      <c r="B3368" t="s">
        <v>494</v>
      </c>
      <c r="C3368">
        <v>81698900</v>
      </c>
      <c r="D3368">
        <v>98</v>
      </c>
      <c r="E3368" t="s">
        <v>1434</v>
      </c>
      <c r="F3368" t="s">
        <v>591</v>
      </c>
      <c r="G3368" s="1">
        <v>45233</v>
      </c>
      <c r="H3368">
        <v>5411941</v>
      </c>
      <c r="I3368">
        <v>357</v>
      </c>
      <c r="J3368" t="s">
        <v>299</v>
      </c>
      <c r="K3368" s="8" t="str">
        <f>IFERROR(IF(AND(VLOOKUP($C3368,Hes!$A:$B, 1, FALSE), $M3368&lt;&gt;" "), "Ingresada", "Falta Ingresar"), " ")</f>
        <v>Falta Ingresar</v>
      </c>
      <c r="L3368" s="4" t="str">
        <f>IFERROR(VLOOKUP($C3368,Observaciones!$A:$B,2,FALSE)," ")</f>
        <v>XOC Y CC</v>
      </c>
      <c r="M3368" t="s">
        <v>681</v>
      </c>
      <c r="N3368" s="5" t="s">
        <v>841</v>
      </c>
      <c r="O3368" s="5">
        <v>30840041</v>
      </c>
      <c r="P3368" s="5">
        <v>327882</v>
      </c>
      <c r="Q3368" s="5">
        <v>62298</v>
      </c>
      <c r="R3368" s="5">
        <v>390180</v>
      </c>
    </row>
    <row r="3369" spans="1:18" x14ac:dyDescent="0.25">
      <c r="A3369" t="s">
        <v>496</v>
      </c>
      <c r="B3369" t="s">
        <v>494</v>
      </c>
      <c r="C3369">
        <v>81698900</v>
      </c>
      <c r="D3369">
        <v>9103</v>
      </c>
      <c r="E3369" t="s">
        <v>1435</v>
      </c>
      <c r="F3369" t="s">
        <v>591</v>
      </c>
      <c r="G3369" s="1">
        <v>45233</v>
      </c>
      <c r="H3369">
        <v>5412198</v>
      </c>
      <c r="I3369">
        <v>348</v>
      </c>
      <c r="J3369" t="s">
        <v>293</v>
      </c>
      <c r="K3369" s="8" t="str">
        <f>IFERROR(IF(AND(VLOOKUP($C3369,Hes!$A:$B, 1, FALSE), $M3369&lt;&gt;" "), "Ingresada", "Falta Ingresar"), " ")</f>
        <v>Falta Ingresar</v>
      </c>
      <c r="L3369" s="4" t="str">
        <f>IFERROR(VLOOKUP($C3369,Observaciones!$A:$B,2,FALSE)," ")</f>
        <v>XOC Y CC</v>
      </c>
      <c r="M3369" t="s">
        <v>681</v>
      </c>
      <c r="N3369" s="5" t="s">
        <v>841</v>
      </c>
      <c r="O3369" s="5">
        <v>30850994</v>
      </c>
      <c r="P3369" s="5">
        <v>49954</v>
      </c>
      <c r="Q3369" s="5">
        <v>9491</v>
      </c>
      <c r="R3369" s="5">
        <v>59445</v>
      </c>
    </row>
    <row r="3370" spans="1:18" x14ac:dyDescent="0.25">
      <c r="A3370" t="s">
        <v>496</v>
      </c>
      <c r="B3370" t="s">
        <v>494</v>
      </c>
      <c r="C3370">
        <v>81698900</v>
      </c>
      <c r="D3370">
        <v>162</v>
      </c>
      <c r="E3370" t="s">
        <v>1436</v>
      </c>
      <c r="F3370" t="s">
        <v>591</v>
      </c>
      <c r="G3370" s="1">
        <v>45236</v>
      </c>
      <c r="H3370">
        <v>5412335</v>
      </c>
      <c r="I3370">
        <v>357</v>
      </c>
      <c r="J3370" t="s">
        <v>299</v>
      </c>
      <c r="K3370" s="8" t="str">
        <f>IFERROR(IF(AND(VLOOKUP($C3370,Hes!$A:$B, 1, FALSE), $M3370&lt;&gt;" "), "Ingresada", "Falta Ingresar"), " ")</f>
        <v>Falta Ingresar</v>
      </c>
      <c r="L3370" s="4" t="str">
        <f>IFERROR(VLOOKUP($C3370,Observaciones!$A:$B,2,FALSE)," ")</f>
        <v>XOC Y CC</v>
      </c>
      <c r="M3370" t="s">
        <v>681</v>
      </c>
      <c r="N3370" s="5" t="s">
        <v>841</v>
      </c>
      <c r="O3370" s="5">
        <v>30843905</v>
      </c>
      <c r="P3370" s="5">
        <v>147929</v>
      </c>
      <c r="Q3370" s="5">
        <v>28107</v>
      </c>
      <c r="R3370" s="5">
        <v>176036</v>
      </c>
    </row>
    <row r="3371" spans="1:18" x14ac:dyDescent="0.25">
      <c r="A3371" t="s">
        <v>496</v>
      </c>
      <c r="B3371" t="s">
        <v>494</v>
      </c>
      <c r="C3371">
        <v>81698900</v>
      </c>
      <c r="D3371">
        <v>7219</v>
      </c>
      <c r="E3371" t="s">
        <v>1437</v>
      </c>
      <c r="F3371" t="s">
        <v>591</v>
      </c>
      <c r="G3371" s="1">
        <v>45236</v>
      </c>
      <c r="H3371">
        <v>5412370</v>
      </c>
      <c r="I3371">
        <v>357</v>
      </c>
      <c r="J3371" t="s">
        <v>299</v>
      </c>
      <c r="K3371" s="8" t="str">
        <f>IFERROR(IF(AND(VLOOKUP($C3371,Hes!$A:$B, 1, FALSE), $M3371&lt;&gt;" "), "Ingresada", "Falta Ingresar"), " ")</f>
        <v>Falta Ingresar</v>
      </c>
      <c r="L3371" s="4" t="str">
        <f>IFERROR(VLOOKUP($C3371,Observaciones!$A:$B,2,FALSE)," ")</f>
        <v>XOC Y CC</v>
      </c>
      <c r="M3371" t="s">
        <v>681</v>
      </c>
      <c r="N3371" s="5" t="s">
        <v>841</v>
      </c>
      <c r="O3371" s="5">
        <v>30846260</v>
      </c>
      <c r="P3371" s="5">
        <v>27140</v>
      </c>
      <c r="Q3371" s="5">
        <v>5157</v>
      </c>
      <c r="R3371" s="5">
        <v>32297</v>
      </c>
    </row>
    <row r="3372" spans="1:18" x14ac:dyDescent="0.25">
      <c r="A3372" t="s">
        <v>496</v>
      </c>
      <c r="B3372" t="s">
        <v>494</v>
      </c>
      <c r="C3372">
        <v>81698900</v>
      </c>
      <c r="D3372">
        <v>7003</v>
      </c>
      <c r="E3372" t="s">
        <v>1438</v>
      </c>
      <c r="F3372" t="s">
        <v>591</v>
      </c>
      <c r="G3372" s="1">
        <v>45236</v>
      </c>
      <c r="H3372">
        <v>5412427</v>
      </c>
      <c r="I3372">
        <v>357</v>
      </c>
      <c r="J3372" t="s">
        <v>299</v>
      </c>
      <c r="K3372" s="8" t="str">
        <f>IFERROR(IF(AND(VLOOKUP($C3372,Hes!$A:$B, 1, FALSE), $M3372&lt;&gt;" "), "Ingresada", "Falta Ingresar"), " ")</f>
        <v>Falta Ingresar</v>
      </c>
      <c r="L3372" s="4" t="str">
        <f>IFERROR(VLOOKUP($C3372,Observaciones!$A:$B,2,FALSE)," ")</f>
        <v>XOC Y CC</v>
      </c>
      <c r="M3372" t="s">
        <v>681</v>
      </c>
      <c r="N3372" s="5" t="s">
        <v>841</v>
      </c>
      <c r="O3372" s="5">
        <v>30851564</v>
      </c>
      <c r="P3372" s="5">
        <v>123315</v>
      </c>
      <c r="Q3372" s="5">
        <v>23430</v>
      </c>
      <c r="R3372" s="5">
        <v>154046</v>
      </c>
    </row>
    <row r="3373" spans="1:18" x14ac:dyDescent="0.25">
      <c r="A3373" t="s">
        <v>496</v>
      </c>
      <c r="B3373" t="s">
        <v>494</v>
      </c>
      <c r="C3373">
        <v>81698900</v>
      </c>
      <c r="D3373">
        <v>7037</v>
      </c>
      <c r="E3373" t="s">
        <v>1439</v>
      </c>
      <c r="F3373" t="s">
        <v>591</v>
      </c>
      <c r="G3373" s="1">
        <v>45236</v>
      </c>
      <c r="H3373">
        <v>5412443</v>
      </c>
      <c r="I3373">
        <v>357</v>
      </c>
      <c r="J3373" t="s">
        <v>299</v>
      </c>
      <c r="K3373" s="7" t="str">
        <f>IFERROR(IF(AND(VLOOKUP($C3373,Hes!$A:$B, 1, FALSE), $M3373&lt;&gt;" "), "Ingresada", "Falta Ingresar"), " ")</f>
        <v>Ingresada</v>
      </c>
      <c r="L3373" s="4" t="str">
        <f>IFERROR(VLOOKUP($C3373,Observaciones!$A:$B,2,FALSE)," ")</f>
        <v>XOC Y CC</v>
      </c>
      <c r="M3373">
        <v>95801</v>
      </c>
      <c r="N3373" s="5" t="s">
        <v>841</v>
      </c>
      <c r="O3373" s="5">
        <v>30827820</v>
      </c>
      <c r="P3373" s="5">
        <v>46538</v>
      </c>
      <c r="Q3373" s="5">
        <v>8842</v>
      </c>
      <c r="R3373" s="5">
        <v>55380</v>
      </c>
    </row>
    <row r="3374" spans="1:18" x14ac:dyDescent="0.25">
      <c r="A3374" t="s">
        <v>496</v>
      </c>
      <c r="B3374" t="s">
        <v>494</v>
      </c>
      <c r="C3374">
        <v>81698900</v>
      </c>
      <c r="D3374">
        <v>208</v>
      </c>
      <c r="E3374" t="s">
        <v>1440</v>
      </c>
      <c r="F3374" t="s">
        <v>591</v>
      </c>
      <c r="G3374" s="1">
        <v>45236</v>
      </c>
      <c r="H3374">
        <v>5413062</v>
      </c>
      <c r="I3374">
        <v>357</v>
      </c>
      <c r="J3374" t="s">
        <v>299</v>
      </c>
      <c r="K3374" s="8" t="str">
        <f>IFERROR(IF(AND(VLOOKUP($C3374,Hes!$A:$B, 1, FALSE), $M3374&lt;&gt;" "), "Ingresada", "Falta Ingresar"), " ")</f>
        <v>Falta Ingresar</v>
      </c>
      <c r="L3374" s="4" t="str">
        <f>IFERROR(VLOOKUP($C3374,Observaciones!$A:$B,2,FALSE)," ")</f>
        <v>XOC Y CC</v>
      </c>
      <c r="M3374" t="s">
        <v>681</v>
      </c>
      <c r="N3374" s="5" t="s">
        <v>841</v>
      </c>
      <c r="O3374" s="5">
        <v>30800986</v>
      </c>
      <c r="P3374" s="5">
        <v>167954</v>
      </c>
      <c r="Q3374" s="5">
        <v>31911</v>
      </c>
      <c r="R3374" s="5">
        <v>199865</v>
      </c>
    </row>
    <row r="3375" spans="1:18" x14ac:dyDescent="0.25">
      <c r="A3375" t="s">
        <v>496</v>
      </c>
      <c r="B3375" t="s">
        <v>494</v>
      </c>
      <c r="C3375">
        <v>81698900</v>
      </c>
      <c r="D3375">
        <v>4043</v>
      </c>
      <c r="E3375" t="s">
        <v>1441</v>
      </c>
      <c r="F3375" t="s">
        <v>591</v>
      </c>
      <c r="G3375" s="1">
        <v>45236</v>
      </c>
      <c r="H3375">
        <v>5413177</v>
      </c>
      <c r="I3375">
        <v>357</v>
      </c>
      <c r="J3375" t="s">
        <v>299</v>
      </c>
      <c r="K3375" s="8" t="str">
        <f>IFERROR(IF(AND(VLOOKUP($C3375,Hes!$A:$B, 1, FALSE), $M3375&lt;&gt;" "), "Ingresada", "Falta Ingresar"), " ")</f>
        <v>Falta Ingresar</v>
      </c>
      <c r="L3375" s="4" t="str">
        <f>IFERROR(VLOOKUP($C3375,Observaciones!$A:$B,2,FALSE)," ")</f>
        <v>XOC Y CC</v>
      </c>
      <c r="M3375" t="s">
        <v>681</v>
      </c>
      <c r="N3375" s="5" t="s">
        <v>841</v>
      </c>
      <c r="O3375" s="5">
        <v>30836372</v>
      </c>
      <c r="P3375" s="5">
        <v>728600</v>
      </c>
      <c r="Q3375" s="5">
        <v>138434</v>
      </c>
      <c r="R3375" s="5">
        <v>867034</v>
      </c>
    </row>
    <row r="3376" spans="1:18" x14ac:dyDescent="0.25">
      <c r="A3376" t="s">
        <v>496</v>
      </c>
      <c r="B3376" t="s">
        <v>494</v>
      </c>
      <c r="C3376">
        <v>81698900</v>
      </c>
      <c r="D3376">
        <v>7003</v>
      </c>
      <c r="E3376" t="s">
        <v>1442</v>
      </c>
      <c r="F3376" t="s">
        <v>591</v>
      </c>
      <c r="G3376" s="1">
        <v>45236</v>
      </c>
      <c r="H3376">
        <v>5413201</v>
      </c>
      <c r="I3376">
        <v>357</v>
      </c>
      <c r="J3376" t="s">
        <v>299</v>
      </c>
      <c r="K3376" s="8" t="str">
        <f>IFERROR(IF(AND(VLOOKUP($C3376,Hes!$A:$B, 1, FALSE), $M3376&lt;&gt;" "), "Ingresada", "Falta Ingresar"), " ")</f>
        <v>Falta Ingresar</v>
      </c>
      <c r="L3376" s="4" t="str">
        <f>IFERROR(VLOOKUP($C3376,Observaciones!$A:$B,2,FALSE)," ")</f>
        <v>XOC Y CC</v>
      </c>
      <c r="M3376" t="s">
        <v>681</v>
      </c>
      <c r="N3376" s="5" t="s">
        <v>841</v>
      </c>
      <c r="O3376" s="5">
        <v>30851297</v>
      </c>
      <c r="P3376" s="5">
        <v>38807</v>
      </c>
      <c r="Q3376" s="5">
        <v>7373</v>
      </c>
      <c r="R3376" s="5">
        <v>46180</v>
      </c>
    </row>
    <row r="3377" spans="1:18" x14ac:dyDescent="0.25">
      <c r="A3377" t="s">
        <v>496</v>
      </c>
      <c r="B3377" t="s">
        <v>494</v>
      </c>
      <c r="C3377">
        <v>81698900</v>
      </c>
      <c r="D3377">
        <v>904</v>
      </c>
      <c r="E3377" t="s">
        <v>1443</v>
      </c>
      <c r="F3377" t="s">
        <v>591</v>
      </c>
      <c r="G3377" s="1">
        <v>45236</v>
      </c>
      <c r="H3377">
        <v>5413309</v>
      </c>
      <c r="I3377">
        <v>348</v>
      </c>
      <c r="J3377" t="s">
        <v>293</v>
      </c>
      <c r="K3377" s="7" t="str">
        <f>IFERROR(IF(AND(VLOOKUP($C3377,Hes!$A:$B, 1, FALSE), $M3377&lt;&gt;" "), "Ingresada", "Falta Ingresar"), " ")</f>
        <v>Ingresada</v>
      </c>
      <c r="L3377" s="4" t="str">
        <f>IFERROR(VLOOKUP($C3377,Observaciones!$A:$B,2,FALSE)," ")</f>
        <v>XOC Y CC</v>
      </c>
      <c r="M3377">
        <v>95910</v>
      </c>
      <c r="N3377" s="5" t="s">
        <v>841</v>
      </c>
      <c r="O3377" s="5">
        <v>30852750</v>
      </c>
      <c r="P3377" s="5">
        <v>47941</v>
      </c>
      <c r="Q3377" s="5">
        <v>9109</v>
      </c>
      <c r="R3377" s="5">
        <v>57050</v>
      </c>
    </row>
    <row r="3378" spans="1:18" x14ac:dyDescent="0.25">
      <c r="A3378" t="s">
        <v>496</v>
      </c>
      <c r="B3378" t="s">
        <v>494</v>
      </c>
      <c r="C3378">
        <v>81698900</v>
      </c>
      <c r="D3378">
        <v>4015</v>
      </c>
      <c r="E3378" t="s">
        <v>1444</v>
      </c>
      <c r="F3378" t="s">
        <v>591</v>
      </c>
      <c r="G3378" s="1">
        <v>45236</v>
      </c>
      <c r="H3378">
        <v>5413310</v>
      </c>
      <c r="I3378">
        <v>357</v>
      </c>
      <c r="J3378" t="s">
        <v>299</v>
      </c>
      <c r="K3378" s="8" t="str">
        <f>IFERROR(IF(AND(VLOOKUP($C3378,Hes!$A:$B, 1, FALSE), $M3378&lt;&gt;" "), "Ingresada", "Falta Ingresar"), " ")</f>
        <v>Falta Ingresar</v>
      </c>
      <c r="L3378" s="4" t="str">
        <f>IFERROR(VLOOKUP($C3378,Observaciones!$A:$B,2,FALSE)," ")</f>
        <v>XOC Y CC</v>
      </c>
      <c r="M3378" t="s">
        <v>681</v>
      </c>
      <c r="N3378" s="5" t="s">
        <v>841</v>
      </c>
      <c r="O3378" s="5">
        <v>30852923</v>
      </c>
      <c r="P3378" s="5">
        <v>50223</v>
      </c>
      <c r="Q3378" s="5">
        <v>9542</v>
      </c>
      <c r="R3378" s="5">
        <v>59765</v>
      </c>
    </row>
    <row r="3379" spans="1:18" x14ac:dyDescent="0.25">
      <c r="A3379" t="s">
        <v>496</v>
      </c>
      <c r="B3379" t="s">
        <v>494</v>
      </c>
      <c r="C3379">
        <v>81698900</v>
      </c>
      <c r="D3379">
        <v>9028</v>
      </c>
      <c r="E3379" t="s">
        <v>1445</v>
      </c>
      <c r="F3379" t="s">
        <v>591</v>
      </c>
      <c r="G3379" s="1">
        <v>45236</v>
      </c>
      <c r="H3379">
        <v>5413372</v>
      </c>
      <c r="I3379">
        <v>348</v>
      </c>
      <c r="J3379" t="s">
        <v>293</v>
      </c>
      <c r="K3379" s="8" t="str">
        <f>IFERROR(IF(AND(VLOOKUP($C3379,Hes!$A:$B, 1, FALSE), $M3379&lt;&gt;" "), "Ingresada", "Falta Ingresar"), " ")</f>
        <v>Falta Ingresar</v>
      </c>
      <c r="L3379" s="4" t="str">
        <f>IFERROR(VLOOKUP($C3379,Observaciones!$A:$B,2,FALSE)," ")</f>
        <v>XOC Y CC</v>
      </c>
      <c r="M3379" t="s">
        <v>681</v>
      </c>
      <c r="N3379" s="5" t="s">
        <v>841</v>
      </c>
      <c r="O3379" s="5">
        <v>30854190</v>
      </c>
      <c r="P3379" s="5">
        <v>22650</v>
      </c>
      <c r="Q3379" s="5">
        <v>4304</v>
      </c>
      <c r="R3379" s="5">
        <v>26954</v>
      </c>
    </row>
    <row r="3380" spans="1:18" x14ac:dyDescent="0.25">
      <c r="A3380" t="s">
        <v>496</v>
      </c>
      <c r="B3380" t="s">
        <v>494</v>
      </c>
      <c r="C3380">
        <v>81698900</v>
      </c>
      <c r="D3380">
        <v>215</v>
      </c>
      <c r="E3380" t="s">
        <v>1446</v>
      </c>
      <c r="F3380" t="s">
        <v>591</v>
      </c>
      <c r="G3380" s="1">
        <v>45236</v>
      </c>
      <c r="H3380">
        <v>5413478</v>
      </c>
      <c r="I3380">
        <v>357</v>
      </c>
      <c r="J3380" t="s">
        <v>299</v>
      </c>
      <c r="K3380" s="8" t="str">
        <f>IFERROR(IF(AND(VLOOKUP($C3380,Hes!$A:$B, 1, FALSE), $M3380&lt;&gt;" "), "Ingresada", "Falta Ingresar"), " ")</f>
        <v>Falta Ingresar</v>
      </c>
      <c r="L3380" s="4" t="str">
        <f>IFERROR(VLOOKUP($C3380,Observaciones!$A:$B,2,FALSE)," ")</f>
        <v>XOC Y CC</v>
      </c>
      <c r="M3380" t="s">
        <v>681</v>
      </c>
      <c r="N3380" s="5" t="s">
        <v>841</v>
      </c>
      <c r="O3380" s="5">
        <v>30854264</v>
      </c>
      <c r="P3380" s="5">
        <v>112303</v>
      </c>
      <c r="Q3380" s="5">
        <v>21338</v>
      </c>
      <c r="R3380" s="5">
        <v>133641</v>
      </c>
    </row>
    <row r="3381" spans="1:18" x14ac:dyDescent="0.25">
      <c r="A3381" t="s">
        <v>496</v>
      </c>
      <c r="B3381" t="s">
        <v>494</v>
      </c>
      <c r="C3381">
        <v>81698900</v>
      </c>
      <c r="D3381">
        <v>94</v>
      </c>
      <c r="E3381" t="s">
        <v>1447</v>
      </c>
      <c r="F3381" t="s">
        <v>591</v>
      </c>
      <c r="G3381" s="1">
        <v>45236</v>
      </c>
      <c r="H3381">
        <v>5413479</v>
      </c>
      <c r="I3381">
        <v>357</v>
      </c>
      <c r="J3381" t="s">
        <v>299</v>
      </c>
      <c r="K3381" s="8" t="str">
        <f>IFERROR(IF(AND(VLOOKUP($C3381,Hes!$A:$B, 1, FALSE), $M3381&lt;&gt;" "), "Ingresada", "Falta Ingresar"), " ")</f>
        <v>Falta Ingresar</v>
      </c>
      <c r="L3381" s="4" t="str">
        <f>IFERROR(VLOOKUP($C3381,Observaciones!$A:$B,2,FALSE)," ")</f>
        <v>XOC Y CC</v>
      </c>
      <c r="M3381" t="s">
        <v>681</v>
      </c>
      <c r="N3381" s="5" t="s">
        <v>841</v>
      </c>
      <c r="O3381" s="5">
        <v>30831428</v>
      </c>
      <c r="P3381" s="5">
        <v>66928</v>
      </c>
      <c r="Q3381" s="5">
        <v>12716</v>
      </c>
      <c r="R3381" s="5">
        <v>79644</v>
      </c>
    </row>
    <row r="3382" spans="1:18" x14ac:dyDescent="0.25">
      <c r="A3382" t="s">
        <v>496</v>
      </c>
      <c r="B3382" t="s">
        <v>494</v>
      </c>
      <c r="C3382">
        <v>81698900</v>
      </c>
      <c r="D3382">
        <v>210</v>
      </c>
      <c r="E3382" t="s">
        <v>1448</v>
      </c>
      <c r="F3382" t="s">
        <v>591</v>
      </c>
      <c r="G3382" s="1">
        <v>45236</v>
      </c>
      <c r="H3382">
        <v>5413485</v>
      </c>
      <c r="I3382">
        <v>357</v>
      </c>
      <c r="J3382" t="s">
        <v>299</v>
      </c>
      <c r="K3382" s="8" t="str">
        <f>IFERROR(IF(AND(VLOOKUP($C3382,Hes!$A:$B, 1, FALSE), $M3382&lt;&gt;" "), "Ingresada", "Falta Ingresar"), " ")</f>
        <v>Falta Ingresar</v>
      </c>
      <c r="L3382" s="4" t="str">
        <f>IFERROR(VLOOKUP($C3382,Observaciones!$A:$B,2,FALSE)," ")</f>
        <v>XOC Y CC</v>
      </c>
      <c r="M3382" t="s">
        <v>681</v>
      </c>
      <c r="N3382" s="5" t="s">
        <v>841</v>
      </c>
      <c r="O3382" s="5">
        <v>30849462</v>
      </c>
      <c r="P3382" s="5">
        <v>166709</v>
      </c>
      <c r="Q3382" s="5">
        <v>31675</v>
      </c>
      <c r="R3382" s="5">
        <v>198384</v>
      </c>
    </row>
    <row r="3383" spans="1:18" x14ac:dyDescent="0.25">
      <c r="A3383" t="s">
        <v>496</v>
      </c>
      <c r="B3383" t="s">
        <v>494</v>
      </c>
      <c r="C3383">
        <v>81698900</v>
      </c>
      <c r="D3383">
        <v>3611</v>
      </c>
      <c r="E3383" t="s">
        <v>1449</v>
      </c>
      <c r="F3383" t="s">
        <v>591</v>
      </c>
      <c r="G3383" s="1">
        <v>45236</v>
      </c>
      <c r="H3383">
        <v>5413511</v>
      </c>
      <c r="I3383">
        <v>357</v>
      </c>
      <c r="J3383" t="s">
        <v>299</v>
      </c>
      <c r="K3383" s="8" t="str">
        <f>IFERROR(IF(AND(VLOOKUP($C3383,Hes!$A:$B, 1, FALSE), $M3383&lt;&gt;" "), "Ingresada", "Falta Ingresar"), " ")</f>
        <v>Falta Ingresar</v>
      </c>
      <c r="L3383" s="4" t="str">
        <f>IFERROR(VLOOKUP($C3383,Observaciones!$A:$B,2,FALSE)," ")</f>
        <v>XOC Y CC</v>
      </c>
      <c r="M3383" t="s">
        <v>681</v>
      </c>
      <c r="N3383" s="5" t="s">
        <v>841</v>
      </c>
      <c r="O3383" s="5">
        <v>30852635</v>
      </c>
      <c r="P3383" s="5">
        <v>38136</v>
      </c>
      <c r="Q3383" s="5">
        <v>7246</v>
      </c>
      <c r="R3383" s="5">
        <v>45382</v>
      </c>
    </row>
    <row r="3384" spans="1:18" x14ac:dyDescent="0.25">
      <c r="A3384" t="s">
        <v>496</v>
      </c>
      <c r="B3384" t="s">
        <v>494</v>
      </c>
      <c r="C3384">
        <v>81698900</v>
      </c>
      <c r="D3384">
        <v>352</v>
      </c>
      <c r="E3384" t="s">
        <v>1450</v>
      </c>
      <c r="F3384" t="s">
        <v>591</v>
      </c>
      <c r="G3384" s="1">
        <v>45236</v>
      </c>
      <c r="H3384">
        <v>5413697</v>
      </c>
      <c r="I3384">
        <v>357</v>
      </c>
      <c r="J3384" t="s">
        <v>299</v>
      </c>
      <c r="K3384" s="8" t="str">
        <f>IFERROR(IF(AND(VLOOKUP($C3384,Hes!$A:$B, 1, FALSE), $M3384&lt;&gt;" "), "Ingresada", "Falta Ingresar"), " ")</f>
        <v>Falta Ingresar</v>
      </c>
      <c r="L3384" s="4" t="str">
        <f>IFERROR(VLOOKUP($C3384,Observaciones!$A:$B,2,FALSE)," ")</f>
        <v>XOC Y CC</v>
      </c>
      <c r="M3384" t="s">
        <v>681</v>
      </c>
      <c r="N3384" s="5" t="s">
        <v>841</v>
      </c>
      <c r="O3384" s="5">
        <v>30850177</v>
      </c>
      <c r="P3384" s="5">
        <v>101193</v>
      </c>
      <c r="Q3384" s="5">
        <v>19227</v>
      </c>
      <c r="R3384" s="5">
        <v>120420</v>
      </c>
    </row>
    <row r="3385" spans="1:18" x14ac:dyDescent="0.25">
      <c r="A3385" t="s">
        <v>496</v>
      </c>
      <c r="B3385" t="s">
        <v>494</v>
      </c>
      <c r="C3385">
        <v>81698900</v>
      </c>
      <c r="D3385">
        <v>9175</v>
      </c>
      <c r="E3385" t="s">
        <v>1451</v>
      </c>
      <c r="F3385" t="s">
        <v>591</v>
      </c>
      <c r="G3385" s="1">
        <v>45237</v>
      </c>
      <c r="H3385">
        <v>5414324</v>
      </c>
      <c r="I3385">
        <v>348</v>
      </c>
      <c r="J3385" t="s">
        <v>293</v>
      </c>
      <c r="K3385" s="8" t="str">
        <f>IFERROR(IF(AND(VLOOKUP($C3385,Hes!$A:$B, 1, FALSE), $M3385&lt;&gt;" "), "Ingresada", "Falta Ingresar"), " ")</f>
        <v>Falta Ingresar</v>
      </c>
      <c r="L3385" s="4" t="str">
        <f>IFERROR(VLOOKUP($C3385,Observaciones!$A:$B,2,FALSE)," ")</f>
        <v>XOC Y CC</v>
      </c>
      <c r="M3385" t="s">
        <v>681</v>
      </c>
      <c r="N3385" s="5" t="s">
        <v>841</v>
      </c>
      <c r="O3385" s="5">
        <v>30861518</v>
      </c>
      <c r="P3385" s="5">
        <v>3156</v>
      </c>
      <c r="Q3385" s="5">
        <v>600</v>
      </c>
      <c r="R3385" s="5">
        <v>3756</v>
      </c>
    </row>
    <row r="3386" spans="1:18" x14ac:dyDescent="0.25">
      <c r="A3386" t="s">
        <v>496</v>
      </c>
      <c r="B3386" t="s">
        <v>494</v>
      </c>
      <c r="C3386">
        <v>81698900</v>
      </c>
      <c r="D3386">
        <v>149</v>
      </c>
      <c r="E3386" t="s">
        <v>1452</v>
      </c>
      <c r="F3386" t="s">
        <v>591</v>
      </c>
      <c r="G3386" s="1">
        <v>45237</v>
      </c>
      <c r="H3386">
        <v>5414389</v>
      </c>
      <c r="I3386">
        <v>357</v>
      </c>
      <c r="J3386" t="s">
        <v>299</v>
      </c>
      <c r="K3386" s="8" t="str">
        <f>IFERROR(IF(AND(VLOOKUP($C3386,Hes!$A:$B, 1, FALSE), $M3386&lt;&gt;" "), "Ingresada", "Falta Ingresar"), " ")</f>
        <v>Falta Ingresar</v>
      </c>
      <c r="L3386" s="4" t="str">
        <f>IFERROR(VLOOKUP($C3386,Observaciones!$A:$B,2,FALSE)," ")</f>
        <v>XOC Y CC</v>
      </c>
      <c r="M3386" t="s">
        <v>681</v>
      </c>
      <c r="N3386" s="5" t="s">
        <v>841</v>
      </c>
      <c r="O3386" s="5">
        <v>30860636</v>
      </c>
      <c r="P3386" s="5">
        <v>240868</v>
      </c>
      <c r="Q3386" s="5">
        <v>45765</v>
      </c>
      <c r="R3386" s="5">
        <v>286633</v>
      </c>
    </row>
    <row r="3387" spans="1:18" x14ac:dyDescent="0.25">
      <c r="A3387" t="s">
        <v>496</v>
      </c>
      <c r="B3387" t="s">
        <v>494</v>
      </c>
      <c r="C3387">
        <v>81698900</v>
      </c>
      <c r="D3387">
        <v>215</v>
      </c>
      <c r="E3387" t="s">
        <v>1453</v>
      </c>
      <c r="F3387" t="s">
        <v>591</v>
      </c>
      <c r="G3387" s="1">
        <v>45237</v>
      </c>
      <c r="H3387">
        <v>5414429</v>
      </c>
      <c r="I3387">
        <v>357</v>
      </c>
      <c r="J3387" t="s">
        <v>299</v>
      </c>
      <c r="K3387" s="8" t="str">
        <f>IFERROR(IF(AND(VLOOKUP($C3387,Hes!$A:$B, 1, FALSE), $M3387&lt;&gt;" "), "Ingresada", "Falta Ingresar"), " ")</f>
        <v>Falta Ingresar</v>
      </c>
      <c r="L3387" s="4" t="str">
        <f>IFERROR(VLOOKUP($C3387,Observaciones!$A:$B,2,FALSE)," ")</f>
        <v>XOC Y CC</v>
      </c>
      <c r="M3387" t="s">
        <v>681</v>
      </c>
      <c r="N3387" s="5" t="s">
        <v>841</v>
      </c>
      <c r="O3387" s="5">
        <v>30857205</v>
      </c>
      <c r="P3387" s="5">
        <v>89213</v>
      </c>
      <c r="Q3387" s="5">
        <v>16950</v>
      </c>
      <c r="R3387" s="5">
        <v>106163</v>
      </c>
    </row>
    <row r="3388" spans="1:18" x14ac:dyDescent="0.25">
      <c r="A3388" t="s">
        <v>496</v>
      </c>
      <c r="B3388" t="s">
        <v>494</v>
      </c>
      <c r="C3388">
        <v>81698900</v>
      </c>
      <c r="D3388">
        <v>708</v>
      </c>
      <c r="E3388" t="s">
        <v>1454</v>
      </c>
      <c r="F3388" t="s">
        <v>591</v>
      </c>
      <c r="G3388" s="1">
        <v>45237</v>
      </c>
      <c r="H3388">
        <v>5414446</v>
      </c>
      <c r="I3388">
        <v>357</v>
      </c>
      <c r="J3388" t="s">
        <v>299</v>
      </c>
      <c r="K3388" s="8" t="str">
        <f>IFERROR(IF(AND(VLOOKUP($C3388,Hes!$A:$B, 1, FALSE), $M3388&lt;&gt;" "), "Ingresada", "Falta Ingresar"), " ")</f>
        <v>Falta Ingresar</v>
      </c>
      <c r="L3388" s="4" t="str">
        <f>IFERROR(VLOOKUP($C3388,Observaciones!$A:$B,2,FALSE)," ")</f>
        <v>XOC Y CC</v>
      </c>
      <c r="M3388" t="s">
        <v>681</v>
      </c>
      <c r="N3388" s="5" t="s">
        <v>841</v>
      </c>
      <c r="O3388" s="5">
        <v>30860782</v>
      </c>
      <c r="P3388" s="5">
        <v>123753</v>
      </c>
      <c r="Q3388" s="5">
        <v>23513</v>
      </c>
      <c r="R3388" s="5">
        <v>147266</v>
      </c>
    </row>
    <row r="3389" spans="1:18" x14ac:dyDescent="0.25">
      <c r="A3389" t="s">
        <v>496</v>
      </c>
      <c r="B3389" t="s">
        <v>494</v>
      </c>
      <c r="C3389">
        <v>81698900</v>
      </c>
      <c r="D3389">
        <v>3007</v>
      </c>
      <c r="E3389" t="s">
        <v>1455</v>
      </c>
      <c r="F3389" t="s">
        <v>591</v>
      </c>
      <c r="G3389" s="1">
        <v>45237</v>
      </c>
      <c r="H3389">
        <v>5414459</v>
      </c>
      <c r="I3389">
        <v>357</v>
      </c>
      <c r="J3389" t="s">
        <v>299</v>
      </c>
      <c r="K3389" s="8" t="str">
        <f>IFERROR(IF(AND(VLOOKUP($C3389,Hes!$A:$B, 1, FALSE), $M3389&lt;&gt;" "), "Ingresada", "Falta Ingresar"), " ")</f>
        <v>Falta Ingresar</v>
      </c>
      <c r="L3389" s="4" t="str">
        <f>IFERROR(VLOOKUP($C3389,Observaciones!$A:$B,2,FALSE)," ")</f>
        <v>XOC Y CC</v>
      </c>
      <c r="M3389" t="s">
        <v>681</v>
      </c>
      <c r="N3389" s="5" t="s">
        <v>841</v>
      </c>
      <c r="O3389" s="5">
        <v>30860967</v>
      </c>
      <c r="P3389" s="5">
        <v>91699</v>
      </c>
      <c r="Q3389" s="5">
        <v>17423</v>
      </c>
      <c r="R3389" s="5">
        <v>109122</v>
      </c>
    </row>
    <row r="3390" spans="1:18" x14ac:dyDescent="0.25">
      <c r="A3390" t="s">
        <v>496</v>
      </c>
      <c r="B3390" t="s">
        <v>494</v>
      </c>
      <c r="C3390">
        <v>81698900</v>
      </c>
      <c r="D3390">
        <v>122</v>
      </c>
      <c r="E3390" t="s">
        <v>1456</v>
      </c>
      <c r="F3390" t="s">
        <v>591</v>
      </c>
      <c r="G3390" s="1">
        <v>45238</v>
      </c>
      <c r="H3390">
        <v>5414927</v>
      </c>
      <c r="I3390">
        <v>357</v>
      </c>
      <c r="J3390" t="s">
        <v>299</v>
      </c>
      <c r="K3390" s="8" t="str">
        <f>IFERROR(IF(AND(VLOOKUP($C3390,Hes!$A:$B, 1, FALSE), $M3390&lt;&gt;" "), "Ingresada", "Falta Ingresar"), " ")</f>
        <v>Falta Ingresar</v>
      </c>
      <c r="L3390" s="4" t="str">
        <f>IFERROR(VLOOKUP($C3390,Observaciones!$A:$B,2,FALSE)," ")</f>
        <v>XOC Y CC</v>
      </c>
      <c r="M3390" t="s">
        <v>681</v>
      </c>
      <c r="N3390" s="5" t="s">
        <v>841</v>
      </c>
      <c r="O3390" s="5">
        <v>30861511</v>
      </c>
      <c r="P3390" s="5">
        <v>43936</v>
      </c>
      <c r="Q3390" s="5">
        <v>8348</v>
      </c>
      <c r="R3390" s="5">
        <v>52284</v>
      </c>
    </row>
    <row r="3391" spans="1:18" x14ac:dyDescent="0.25">
      <c r="A3391" t="s">
        <v>496</v>
      </c>
      <c r="B3391" t="s">
        <v>494</v>
      </c>
      <c r="C3391">
        <v>81698900</v>
      </c>
      <c r="D3391">
        <v>7002</v>
      </c>
      <c r="E3391" t="s">
        <v>1457</v>
      </c>
      <c r="F3391" t="s">
        <v>591</v>
      </c>
      <c r="G3391" s="1">
        <v>45238</v>
      </c>
      <c r="H3391">
        <v>5414961</v>
      </c>
      <c r="I3391">
        <v>357</v>
      </c>
      <c r="J3391" t="s">
        <v>299</v>
      </c>
      <c r="K3391" s="8" t="str">
        <f>IFERROR(IF(AND(VLOOKUP($C3391,Hes!$A:$B, 1, FALSE), $M3391&lt;&gt;" "), "Ingresada", "Falta Ingresar"), " ")</f>
        <v>Falta Ingresar</v>
      </c>
      <c r="L3391" s="4" t="str">
        <f>IFERROR(VLOOKUP($C3391,Observaciones!$A:$B,2,FALSE)," ")</f>
        <v>XOC Y CC</v>
      </c>
      <c r="M3391" t="s">
        <v>681</v>
      </c>
      <c r="N3391" s="5" t="s">
        <v>841</v>
      </c>
      <c r="O3391" s="5">
        <v>30849971</v>
      </c>
      <c r="P3391" s="5">
        <v>61798</v>
      </c>
      <c r="Q3391" s="5">
        <v>11742</v>
      </c>
      <c r="R3391" s="5">
        <v>73540</v>
      </c>
    </row>
    <row r="3392" spans="1:18" x14ac:dyDescent="0.25">
      <c r="A3392" t="s">
        <v>496</v>
      </c>
      <c r="B3392" t="s">
        <v>494</v>
      </c>
      <c r="C3392">
        <v>81698900</v>
      </c>
      <c r="D3392">
        <v>9037</v>
      </c>
      <c r="E3392" t="s">
        <v>1458</v>
      </c>
      <c r="F3392" t="s">
        <v>591</v>
      </c>
      <c r="G3392" s="1">
        <v>45238</v>
      </c>
      <c r="H3392">
        <v>5414969</v>
      </c>
      <c r="I3392">
        <v>348</v>
      </c>
      <c r="J3392" t="s">
        <v>293</v>
      </c>
      <c r="K3392" s="8" t="str">
        <f>IFERROR(IF(AND(VLOOKUP($C3392,Hes!$A:$B, 1, FALSE), $M3392&lt;&gt;" "), "Ingresada", "Falta Ingresar"), " ")</f>
        <v>Falta Ingresar</v>
      </c>
      <c r="L3392" s="4" t="str">
        <f>IFERROR(VLOOKUP($C3392,Observaciones!$A:$B,2,FALSE)," ")</f>
        <v>XOC Y CC</v>
      </c>
      <c r="M3392" t="s">
        <v>681</v>
      </c>
      <c r="N3392" s="5" t="s">
        <v>841</v>
      </c>
      <c r="O3392" s="5">
        <v>30863026</v>
      </c>
      <c r="P3392" s="5">
        <v>66420</v>
      </c>
      <c r="Q3392" s="5">
        <v>12620</v>
      </c>
      <c r="R3392" s="5">
        <v>79040</v>
      </c>
    </row>
    <row r="3393" spans="1:18" x14ac:dyDescent="0.25">
      <c r="A3393" t="s">
        <v>496</v>
      </c>
      <c r="B3393" t="s">
        <v>494</v>
      </c>
      <c r="C3393">
        <v>81698900</v>
      </c>
      <c r="D3393">
        <v>1004</v>
      </c>
      <c r="E3393" t="s">
        <v>1459</v>
      </c>
      <c r="F3393" t="s">
        <v>591</v>
      </c>
      <c r="G3393" s="1">
        <v>45237</v>
      </c>
      <c r="H3393">
        <v>5415274</v>
      </c>
      <c r="I3393">
        <v>357</v>
      </c>
      <c r="J3393" t="s">
        <v>299</v>
      </c>
      <c r="K3393" s="8" t="str">
        <f>IFERROR(IF(AND(VLOOKUP($C3393,Hes!$A:$B, 1, FALSE), $M3393&lt;&gt;" "), "Ingresada", "Falta Ingresar"), " ")</f>
        <v>Falta Ingresar</v>
      </c>
      <c r="L3393" s="4" t="str">
        <f>IFERROR(VLOOKUP($C3393,Observaciones!$A:$B,2,FALSE)," ")</f>
        <v>XOC Y CC</v>
      </c>
      <c r="M3393" t="s">
        <v>681</v>
      </c>
      <c r="N3393" s="5" t="s">
        <v>841</v>
      </c>
      <c r="O3393" s="5">
        <v>30863218</v>
      </c>
      <c r="P3393" s="5">
        <v>76560</v>
      </c>
      <c r="Q3393" s="5">
        <v>14546</v>
      </c>
      <c r="R3393" s="5">
        <v>91106</v>
      </c>
    </row>
    <row r="3394" spans="1:18" x14ac:dyDescent="0.25">
      <c r="A3394" t="s">
        <v>496</v>
      </c>
      <c r="B3394" t="s">
        <v>494</v>
      </c>
      <c r="C3394">
        <v>81698900</v>
      </c>
      <c r="D3394">
        <v>2705</v>
      </c>
      <c r="E3394" t="s">
        <v>1460</v>
      </c>
      <c r="F3394" t="s">
        <v>591</v>
      </c>
      <c r="G3394" s="1">
        <v>45238</v>
      </c>
      <c r="H3394">
        <v>5415432</v>
      </c>
      <c r="I3394">
        <v>357</v>
      </c>
      <c r="J3394" t="s">
        <v>299</v>
      </c>
      <c r="K3394" s="8" t="str">
        <f>IFERROR(IF(AND(VLOOKUP($C3394,Hes!$A:$B, 1, FALSE), $M3394&lt;&gt;" "), "Ingresada", "Falta Ingresar"), " ")</f>
        <v>Falta Ingresar</v>
      </c>
      <c r="L3394" s="4" t="str">
        <f>IFERROR(VLOOKUP($C3394,Observaciones!$A:$B,2,FALSE)," ")</f>
        <v>XOC Y CC</v>
      </c>
      <c r="M3394" t="s">
        <v>681</v>
      </c>
      <c r="N3394" s="5" t="s">
        <v>841</v>
      </c>
      <c r="O3394" s="5">
        <v>30861600</v>
      </c>
      <c r="P3394" s="5">
        <v>237508</v>
      </c>
      <c r="Q3394" s="5">
        <v>45127</v>
      </c>
      <c r="R3394" s="5">
        <v>282635</v>
      </c>
    </row>
    <row r="3395" spans="1:18" x14ac:dyDescent="0.25">
      <c r="A3395" t="s">
        <v>496</v>
      </c>
      <c r="B3395" t="s">
        <v>494</v>
      </c>
      <c r="C3395">
        <v>81698900</v>
      </c>
      <c r="D3395">
        <v>180</v>
      </c>
      <c r="E3395" t="s">
        <v>1461</v>
      </c>
      <c r="F3395" t="s">
        <v>591</v>
      </c>
      <c r="G3395" s="1">
        <v>45238</v>
      </c>
      <c r="H3395">
        <v>5415466</v>
      </c>
      <c r="I3395">
        <v>357</v>
      </c>
      <c r="J3395" t="s">
        <v>299</v>
      </c>
      <c r="K3395" s="8" t="str">
        <f>IFERROR(IF(AND(VLOOKUP($C3395,Hes!$A:$B, 1, FALSE), $M3395&lt;&gt;" "), "Ingresada", "Falta Ingresar"), " ")</f>
        <v>Falta Ingresar</v>
      </c>
      <c r="L3395" s="4" t="str">
        <f>IFERROR(VLOOKUP($C3395,Observaciones!$A:$B,2,FALSE)," ")</f>
        <v>XOC Y CC</v>
      </c>
      <c r="M3395" t="s">
        <v>681</v>
      </c>
      <c r="N3395" s="5" t="s">
        <v>841</v>
      </c>
      <c r="O3395" s="5">
        <v>30863452</v>
      </c>
      <c r="P3395" s="5">
        <v>144543</v>
      </c>
      <c r="Q3395" s="5">
        <v>27463</v>
      </c>
      <c r="R3395" s="5">
        <v>172006</v>
      </c>
    </row>
    <row r="3396" spans="1:18" x14ac:dyDescent="0.25">
      <c r="A3396" t="s">
        <v>496</v>
      </c>
      <c r="B3396" t="s">
        <v>494</v>
      </c>
      <c r="C3396">
        <v>81698900</v>
      </c>
      <c r="D3396">
        <v>7219</v>
      </c>
      <c r="E3396" t="s">
        <v>1462</v>
      </c>
      <c r="F3396" t="s">
        <v>591</v>
      </c>
      <c r="G3396" s="1">
        <v>45238</v>
      </c>
      <c r="H3396">
        <v>5415761</v>
      </c>
      <c r="I3396">
        <v>357</v>
      </c>
      <c r="J3396" t="s">
        <v>299</v>
      </c>
      <c r="K3396" s="8" t="str">
        <f>IFERROR(IF(AND(VLOOKUP($C3396,Hes!$A:$B, 1, FALSE), $M3396&lt;&gt;" "), "Ingresada", "Falta Ingresar"), " ")</f>
        <v>Falta Ingresar</v>
      </c>
      <c r="L3396" s="4" t="str">
        <f>IFERROR(VLOOKUP($C3396,Observaciones!$A:$B,2,FALSE)," ")</f>
        <v>XOC Y CC</v>
      </c>
      <c r="M3396" t="s">
        <v>681</v>
      </c>
      <c r="N3396" s="5" t="s">
        <v>841</v>
      </c>
      <c r="O3396" s="5">
        <v>30865611</v>
      </c>
      <c r="P3396" s="5">
        <v>74940</v>
      </c>
      <c r="Q3396" s="5">
        <v>14239</v>
      </c>
      <c r="R3396" s="5">
        <v>89179</v>
      </c>
    </row>
    <row r="3397" spans="1:18" x14ac:dyDescent="0.25">
      <c r="A3397" t="s">
        <v>496</v>
      </c>
      <c r="B3397" t="s">
        <v>494</v>
      </c>
      <c r="C3397">
        <v>81698900</v>
      </c>
      <c r="D3397">
        <v>1011</v>
      </c>
      <c r="E3397" t="s">
        <v>1463</v>
      </c>
      <c r="F3397" t="s">
        <v>591</v>
      </c>
      <c r="G3397" s="1">
        <v>45238</v>
      </c>
      <c r="H3397">
        <v>5415786</v>
      </c>
      <c r="I3397">
        <v>357</v>
      </c>
      <c r="J3397" t="s">
        <v>299</v>
      </c>
      <c r="K3397" s="8" t="str">
        <f>IFERROR(IF(AND(VLOOKUP($C3397,Hes!$A:$B, 1, FALSE), $M3397&lt;&gt;" "), "Ingresada", "Falta Ingresar"), " ")</f>
        <v>Falta Ingresar</v>
      </c>
      <c r="L3397" s="4" t="str">
        <f>IFERROR(VLOOKUP($C3397,Observaciones!$A:$B,2,FALSE)," ")</f>
        <v>XOC Y CC</v>
      </c>
      <c r="M3397" t="s">
        <v>681</v>
      </c>
      <c r="N3397" s="5" t="s">
        <v>841</v>
      </c>
      <c r="O3397" s="5">
        <v>30863241</v>
      </c>
      <c r="P3397" s="5">
        <v>302210</v>
      </c>
      <c r="Q3397" s="5">
        <v>57420</v>
      </c>
      <c r="R3397" s="5">
        <v>360516</v>
      </c>
    </row>
    <row r="3398" spans="1:18" x14ac:dyDescent="0.25">
      <c r="F3398" t="s">
        <v>1464</v>
      </c>
      <c r="K3398" t="str">
        <f>IFERROR(IF(AND(VLOOKUP($C3398,Hes!$A:$B, 1, FALSE), $M3398&lt;&gt;" "), "Ingresada", "Falta Ingresar"), " ")</f>
        <v xml:space="preserve"> </v>
      </c>
      <c r="L3398" s="4" t="str">
        <f>IFERROR(VLOOKUP($C3398,Observaciones!$A:$B,2,FALSE)," ")</f>
        <v xml:space="preserve"> </v>
      </c>
      <c r="M3398" t="s">
        <v>681</v>
      </c>
      <c r="P3398" s="5">
        <v>7913020</v>
      </c>
      <c r="Q3398" s="5">
        <v>1503477</v>
      </c>
      <c r="R3398" s="5">
        <v>9433125</v>
      </c>
    </row>
    <row r="3399" spans="1:18" x14ac:dyDescent="0.25">
      <c r="A3399" t="s">
        <v>3</v>
      </c>
      <c r="B3399" t="s">
        <v>494</v>
      </c>
      <c r="C3399">
        <v>81873700</v>
      </c>
      <c r="D3399">
        <v>9</v>
      </c>
      <c r="E3399">
        <v>30865687</v>
      </c>
      <c r="F3399" t="s">
        <v>1465</v>
      </c>
      <c r="G3399" s="1">
        <v>45238</v>
      </c>
      <c r="H3399">
        <v>5415494</v>
      </c>
      <c r="I3399">
        <v>176</v>
      </c>
      <c r="J3399" t="s">
        <v>158</v>
      </c>
      <c r="K3399" s="8" t="str">
        <f>IFERROR(IF(AND(VLOOKUP($C3399,Hes!$A:$B, 1, FALSE), $M3399&lt;&gt;" "), "Ingresada", "Falta Ingresar"), " ")</f>
        <v>Falta Ingresar</v>
      </c>
      <c r="L3399" s="4" t="str">
        <f>IFERROR(VLOOKUP($C3399,Observaciones!$A:$B,2,FALSE)," ")</f>
        <v xml:space="preserve"> </v>
      </c>
      <c r="M3399" t="s">
        <v>681</v>
      </c>
      <c r="N3399" s="5" t="s">
        <v>841</v>
      </c>
      <c r="O3399" s="5">
        <v>30865687</v>
      </c>
      <c r="P3399" s="5">
        <v>37979</v>
      </c>
      <c r="Q3399" s="5">
        <v>7216</v>
      </c>
      <c r="R3399" s="5">
        <v>45195</v>
      </c>
    </row>
    <row r="3400" spans="1:18" x14ac:dyDescent="0.25">
      <c r="A3400" t="s">
        <v>3</v>
      </c>
      <c r="B3400" t="s">
        <v>494</v>
      </c>
      <c r="C3400">
        <v>81873700</v>
      </c>
      <c r="D3400">
        <v>2</v>
      </c>
      <c r="E3400">
        <v>30865852</v>
      </c>
      <c r="F3400" t="s">
        <v>1465</v>
      </c>
      <c r="G3400" s="1">
        <v>45238</v>
      </c>
      <c r="H3400">
        <v>5415804</v>
      </c>
      <c r="I3400">
        <v>176</v>
      </c>
      <c r="J3400" t="s">
        <v>158</v>
      </c>
      <c r="K3400" s="8" t="str">
        <f>IFERROR(IF(AND(VLOOKUP($C3400,Hes!$A:$B, 1, FALSE), $M3400&lt;&gt;" "), "Ingresada", "Falta Ingresar"), " ")</f>
        <v>Falta Ingresar</v>
      </c>
      <c r="L3400" s="4" t="str">
        <f>IFERROR(VLOOKUP($C3400,Observaciones!$A:$B,2,FALSE)," ")</f>
        <v xml:space="preserve"> </v>
      </c>
      <c r="M3400" t="s">
        <v>681</v>
      </c>
      <c r="N3400" s="5" t="s">
        <v>841</v>
      </c>
      <c r="O3400" s="5">
        <v>30865852</v>
      </c>
      <c r="P3400" s="5">
        <v>37131</v>
      </c>
      <c r="Q3400" s="5">
        <v>7055</v>
      </c>
      <c r="R3400" s="5">
        <v>44186</v>
      </c>
    </row>
    <row r="3401" spans="1:18" x14ac:dyDescent="0.25">
      <c r="F3401" t="s">
        <v>497</v>
      </c>
      <c r="K3401" t="str">
        <f>IFERROR(IF(AND(VLOOKUP($C3401,Hes!$A:$B, 1, FALSE), $M3401&lt;&gt;" "), "Ingresada", "Falta Ingresar"), " ")</f>
        <v xml:space="preserve"> </v>
      </c>
      <c r="L3401" s="4" t="str">
        <f>IFERROR(VLOOKUP($C3401,Observaciones!$A:$B,2,FALSE)," ")</f>
        <v xml:space="preserve"> </v>
      </c>
      <c r="M3401" t="s">
        <v>681</v>
      </c>
      <c r="P3401" s="5">
        <v>75110</v>
      </c>
      <c r="Q3401" s="5">
        <v>14271</v>
      </c>
      <c r="R3401" s="5">
        <v>89381</v>
      </c>
    </row>
    <row r="3402" spans="1:18" x14ac:dyDescent="0.25">
      <c r="A3402" t="s">
        <v>503</v>
      </c>
      <c r="B3402" t="s">
        <v>509</v>
      </c>
      <c r="C3402">
        <v>82262600</v>
      </c>
      <c r="D3402">
        <v>20</v>
      </c>
      <c r="E3402">
        <v>4500003776</v>
      </c>
      <c r="F3402" t="s">
        <v>1466</v>
      </c>
      <c r="G3402" s="1">
        <v>45236</v>
      </c>
      <c r="H3402">
        <v>5411947</v>
      </c>
      <c r="I3402">
        <v>37</v>
      </c>
      <c r="J3402" t="s">
        <v>156</v>
      </c>
      <c r="K3402" t="str">
        <f>IFERROR(IF(AND(VLOOKUP($C3402,Hes!$A:$B, 1, FALSE), $M3402&lt;&gt;" "), "Ingresada", "Falta Ingresar"), " ")</f>
        <v xml:space="preserve"> </v>
      </c>
      <c r="L3402" s="4" t="s">
        <v>681</v>
      </c>
      <c r="M3402" t="s">
        <v>681</v>
      </c>
      <c r="O3402" s="5">
        <v>30838416</v>
      </c>
      <c r="P3402" s="5">
        <v>23864</v>
      </c>
      <c r="Q3402" s="5">
        <v>4534</v>
      </c>
      <c r="R3402" s="5">
        <v>28398</v>
      </c>
    </row>
    <row r="3403" spans="1:18" x14ac:dyDescent="0.25">
      <c r="F3403" t="s">
        <v>495</v>
      </c>
      <c r="K3403" t="str">
        <f>IFERROR(IF(AND(VLOOKUP($C3403,Hes!$A:$B, 1, FALSE), $M3403&lt;&gt;" "), "Ingresada", "Falta Ingresar"), " ")</f>
        <v xml:space="preserve"> </v>
      </c>
      <c r="L3403" s="4" t="str">
        <f>IFERROR(VLOOKUP($C3403,Observaciones!$A:$B,2,FALSE)," ")</f>
        <v xml:space="preserve"> </v>
      </c>
      <c r="M3403" t="s">
        <v>681</v>
      </c>
      <c r="P3403" s="5">
        <v>23864</v>
      </c>
      <c r="Q3403" s="5">
        <v>4534</v>
      </c>
      <c r="R3403" s="5">
        <v>28398</v>
      </c>
    </row>
    <row r="3404" spans="1:18" x14ac:dyDescent="0.25">
      <c r="A3404" t="s">
        <v>496</v>
      </c>
      <c r="B3404" t="s">
        <v>494</v>
      </c>
      <c r="C3404">
        <v>82366700</v>
      </c>
      <c r="D3404">
        <v>3</v>
      </c>
      <c r="E3404">
        <v>4500827578</v>
      </c>
      <c r="F3404" t="s">
        <v>1467</v>
      </c>
      <c r="G3404" s="1">
        <v>45232</v>
      </c>
      <c r="H3404">
        <v>5410914</v>
      </c>
      <c r="I3404">
        <v>41</v>
      </c>
      <c r="J3404" t="s">
        <v>307</v>
      </c>
      <c r="K3404" t="str">
        <f>IFERROR(IF(AND(VLOOKUP($C3404,Hes!$A:$B, 1, FALSE), $M3404&lt;&gt;" "), "Ingresada", "Falta Ingresar"), " ")</f>
        <v xml:space="preserve"> </v>
      </c>
      <c r="L3404" s="4" t="str">
        <f>IFERROR(VLOOKUP($C3404,Observaciones!$A:$B,2,FALSE)," ")</f>
        <v>XOC Y CC</v>
      </c>
      <c r="M3404" t="s">
        <v>681</v>
      </c>
      <c r="O3404" s="5">
        <v>30846129</v>
      </c>
      <c r="P3404" s="5">
        <v>319485</v>
      </c>
      <c r="Q3404" s="5">
        <v>60702</v>
      </c>
      <c r="R3404" s="5">
        <v>380187</v>
      </c>
    </row>
    <row r="3405" spans="1:18" x14ac:dyDescent="0.25">
      <c r="A3405" t="s">
        <v>496</v>
      </c>
      <c r="B3405" t="s">
        <v>494</v>
      </c>
      <c r="C3405">
        <v>82366700</v>
      </c>
      <c r="D3405">
        <v>3</v>
      </c>
      <c r="E3405">
        <v>4500827163</v>
      </c>
      <c r="F3405" t="s">
        <v>1467</v>
      </c>
      <c r="G3405" s="1">
        <v>45232</v>
      </c>
      <c r="H3405">
        <v>5410917</v>
      </c>
      <c r="I3405">
        <v>41</v>
      </c>
      <c r="J3405" t="s">
        <v>307</v>
      </c>
      <c r="K3405" t="str">
        <f>IFERROR(IF(AND(VLOOKUP($C3405,Hes!$A:$B, 1, FALSE), $M3405&lt;&gt;" "), "Ingresada", "Falta Ingresar"), " ")</f>
        <v xml:space="preserve"> </v>
      </c>
      <c r="L3405" s="4" t="str">
        <f>IFERROR(VLOOKUP($C3405,Observaciones!$A:$B,2,FALSE)," ")</f>
        <v>XOC Y CC</v>
      </c>
      <c r="M3405" t="s">
        <v>681</v>
      </c>
      <c r="O3405" s="5">
        <v>30846830</v>
      </c>
      <c r="P3405" s="5">
        <v>555800</v>
      </c>
      <c r="Q3405" s="5">
        <v>105602</v>
      </c>
      <c r="R3405" s="5">
        <v>661402</v>
      </c>
    </row>
    <row r="3406" spans="1:18" x14ac:dyDescent="0.25">
      <c r="A3406" t="s">
        <v>496</v>
      </c>
      <c r="B3406" t="s">
        <v>494</v>
      </c>
      <c r="C3406">
        <v>82366700</v>
      </c>
      <c r="D3406">
        <v>0</v>
      </c>
      <c r="E3406">
        <v>4500824410</v>
      </c>
      <c r="F3406" t="s">
        <v>1467</v>
      </c>
      <c r="G3406" s="1">
        <v>45233</v>
      </c>
      <c r="H3406">
        <v>5411346</v>
      </c>
      <c r="I3406">
        <v>41</v>
      </c>
      <c r="J3406" t="s">
        <v>307</v>
      </c>
      <c r="K3406" t="str">
        <f>IFERROR(IF(AND(VLOOKUP($C3406,Hes!$A:$B, 1, FALSE), $M3406&lt;&gt;" "), "Ingresada", "Falta Ingresar"), " ")</f>
        <v xml:space="preserve"> </v>
      </c>
      <c r="L3406" s="4" t="str">
        <f>IFERROR(VLOOKUP($C3406,Observaciones!$A:$B,2,FALSE)," ")</f>
        <v>XOC Y CC</v>
      </c>
      <c r="M3406" t="s">
        <v>681</v>
      </c>
      <c r="O3406" s="5">
        <v>30848650</v>
      </c>
      <c r="P3406" s="5">
        <v>274134</v>
      </c>
      <c r="Q3406" s="5">
        <v>52085</v>
      </c>
      <c r="R3406" s="5">
        <v>326219</v>
      </c>
    </row>
    <row r="3407" spans="1:18" x14ac:dyDescent="0.25">
      <c r="A3407" t="s">
        <v>496</v>
      </c>
      <c r="B3407" t="s">
        <v>494</v>
      </c>
      <c r="C3407">
        <v>82366700</v>
      </c>
      <c r="D3407">
        <v>0</v>
      </c>
      <c r="E3407">
        <v>4500806544</v>
      </c>
      <c r="F3407" t="s">
        <v>1467</v>
      </c>
      <c r="G3407" s="1">
        <v>45236</v>
      </c>
      <c r="H3407">
        <v>5413007</v>
      </c>
      <c r="I3407">
        <v>41</v>
      </c>
      <c r="J3407" t="s">
        <v>307</v>
      </c>
      <c r="K3407" t="str">
        <f>IFERROR(IF(AND(VLOOKUP($C3407,Hes!$A:$B, 1, FALSE), $M3407&lt;&gt;" "), "Ingresada", "Falta Ingresar"), " ")</f>
        <v xml:space="preserve"> </v>
      </c>
      <c r="L3407" s="4" t="str">
        <f>IFERROR(VLOOKUP($C3407,Observaciones!$A:$B,2,FALSE)," ")</f>
        <v>XOC Y CC</v>
      </c>
      <c r="M3407" t="s">
        <v>681</v>
      </c>
      <c r="O3407" s="5">
        <v>30854781</v>
      </c>
      <c r="P3407" s="5">
        <v>399000</v>
      </c>
      <c r="Q3407" s="5">
        <v>75810</v>
      </c>
      <c r="R3407" s="5">
        <v>474810</v>
      </c>
    </row>
    <row r="3408" spans="1:18" x14ac:dyDescent="0.25">
      <c r="A3408" t="s">
        <v>496</v>
      </c>
      <c r="B3408" t="s">
        <v>494</v>
      </c>
      <c r="C3408">
        <v>82366700</v>
      </c>
      <c r="D3408">
        <v>0</v>
      </c>
      <c r="E3408">
        <v>4500826925</v>
      </c>
      <c r="F3408" t="s">
        <v>1467</v>
      </c>
      <c r="G3408" s="1">
        <v>45236</v>
      </c>
      <c r="H3408">
        <v>5413358</v>
      </c>
      <c r="I3408">
        <v>41</v>
      </c>
      <c r="J3408" t="s">
        <v>307</v>
      </c>
      <c r="K3408" t="str">
        <f>IFERROR(IF(AND(VLOOKUP($C3408,Hes!$A:$B, 1, FALSE), $M3408&lt;&gt;" "), "Ingresada", "Falta Ingresar"), " ")</f>
        <v xml:space="preserve"> </v>
      </c>
      <c r="L3408" s="4" t="str">
        <f>IFERROR(VLOOKUP($C3408,Observaciones!$A:$B,2,FALSE)," ")</f>
        <v>XOC Y CC</v>
      </c>
      <c r="M3408" t="s">
        <v>681</v>
      </c>
      <c r="O3408" s="5">
        <v>30854537</v>
      </c>
      <c r="P3408" s="5">
        <v>28552</v>
      </c>
      <c r="Q3408" s="5">
        <v>5425</v>
      </c>
      <c r="R3408" s="5">
        <v>33977</v>
      </c>
    </row>
    <row r="3409" spans="1:18" x14ac:dyDescent="0.25">
      <c r="A3409" t="s">
        <v>496</v>
      </c>
      <c r="B3409" t="s">
        <v>494</v>
      </c>
      <c r="C3409">
        <v>82366700</v>
      </c>
      <c r="D3409">
        <v>0</v>
      </c>
      <c r="E3409">
        <v>4500828147</v>
      </c>
      <c r="F3409" t="s">
        <v>1467</v>
      </c>
      <c r="G3409" s="1">
        <v>45238</v>
      </c>
      <c r="H3409">
        <v>5414909</v>
      </c>
      <c r="I3409">
        <v>41</v>
      </c>
      <c r="J3409" t="s">
        <v>307</v>
      </c>
      <c r="K3409" t="str">
        <f>IFERROR(IF(AND(VLOOKUP($C3409,Hes!$A:$B, 1, FALSE), $M3409&lt;&gt;" "), "Ingresada", "Falta Ingresar"), " ")</f>
        <v xml:space="preserve"> </v>
      </c>
      <c r="L3409" s="4" t="str">
        <f>IFERROR(VLOOKUP($C3409,Observaciones!$A:$B,2,FALSE)," ")</f>
        <v>XOC Y CC</v>
      </c>
      <c r="M3409" t="s">
        <v>681</v>
      </c>
      <c r="O3409" s="5">
        <v>30853564</v>
      </c>
      <c r="P3409" s="5">
        <v>49960</v>
      </c>
      <c r="Q3409" s="5">
        <v>9492</v>
      </c>
      <c r="R3409" s="5">
        <v>59452</v>
      </c>
    </row>
    <row r="3410" spans="1:18" x14ac:dyDescent="0.25">
      <c r="F3410" t="s">
        <v>523</v>
      </c>
      <c r="K3410" t="str">
        <f>IFERROR(IF(AND(VLOOKUP($C3410,Hes!$A:$B, 1, FALSE), $M3410&lt;&gt;" "), "Ingresada", "Falta Ingresar"), " ")</f>
        <v xml:space="preserve"> </v>
      </c>
      <c r="L3410" s="4" t="str">
        <f>IFERROR(VLOOKUP($C3410,Observaciones!$A:$B,2,FALSE)," ")</f>
        <v xml:space="preserve"> </v>
      </c>
      <c r="M3410" t="s">
        <v>681</v>
      </c>
      <c r="P3410" s="5">
        <v>1626931</v>
      </c>
      <c r="Q3410" s="5">
        <v>309116</v>
      </c>
      <c r="R3410" s="5">
        <v>1936047</v>
      </c>
    </row>
    <row r="3411" spans="1:18" x14ac:dyDescent="0.25">
      <c r="A3411" t="s">
        <v>501</v>
      </c>
      <c r="B3411" t="s">
        <v>494</v>
      </c>
      <c r="C3411">
        <v>82431300</v>
      </c>
      <c r="D3411">
        <v>0</v>
      </c>
      <c r="E3411" t="s">
        <v>1468</v>
      </c>
      <c r="F3411" t="s">
        <v>1469</v>
      </c>
      <c r="G3411" s="1">
        <v>45232</v>
      </c>
      <c r="H3411">
        <v>5411125</v>
      </c>
      <c r="I3411">
        <v>392</v>
      </c>
      <c r="J3411" t="s">
        <v>228</v>
      </c>
      <c r="K3411" t="str">
        <f>IFERROR(IF(AND(VLOOKUP($C3411,Hes!$A:$B, 1, FALSE), $M3411&lt;&gt;" "), "Ingresada", "Falta Ingresar"), " ")</f>
        <v xml:space="preserve"> </v>
      </c>
      <c r="L3411" s="4" t="str">
        <f>IFERROR(VLOOKUP($C3411,Observaciones!$A:$B,2,FALSE)," ")</f>
        <v xml:space="preserve"> </v>
      </c>
      <c r="M3411" t="s">
        <v>681</v>
      </c>
      <c r="O3411" s="5">
        <v>30845382</v>
      </c>
      <c r="P3411" s="5">
        <v>253023</v>
      </c>
      <c r="Q3411" s="5">
        <v>48074</v>
      </c>
      <c r="R3411" s="5">
        <v>301097</v>
      </c>
    </row>
    <row r="3412" spans="1:18" x14ac:dyDescent="0.25">
      <c r="A3412" t="s">
        <v>501</v>
      </c>
      <c r="B3412" t="s">
        <v>494</v>
      </c>
      <c r="C3412">
        <v>82431300</v>
      </c>
      <c r="D3412">
        <v>0</v>
      </c>
      <c r="E3412" t="s">
        <v>1468</v>
      </c>
      <c r="F3412" t="s">
        <v>1469</v>
      </c>
      <c r="G3412" s="1">
        <v>45236</v>
      </c>
      <c r="H3412">
        <v>5412388</v>
      </c>
      <c r="I3412">
        <v>392</v>
      </c>
      <c r="J3412" t="s">
        <v>228</v>
      </c>
      <c r="K3412" t="str">
        <f>IFERROR(IF(AND(VLOOKUP($C3412,Hes!$A:$B, 1, FALSE), $M3412&lt;&gt;" "), "Ingresada", "Falta Ingresar"), " ")</f>
        <v xml:space="preserve"> </v>
      </c>
      <c r="L3412" s="4" t="str">
        <f>IFERROR(VLOOKUP($C3412,Observaciones!$A:$B,2,FALSE)," ")</f>
        <v xml:space="preserve"> </v>
      </c>
      <c r="M3412" t="s">
        <v>681</v>
      </c>
      <c r="O3412" s="5">
        <v>30847489</v>
      </c>
      <c r="P3412" s="5">
        <v>710422</v>
      </c>
      <c r="Q3412" s="5">
        <v>134980</v>
      </c>
      <c r="R3412" s="5">
        <v>845402</v>
      </c>
    </row>
    <row r="3413" spans="1:18" x14ac:dyDescent="0.25">
      <c r="A3413" t="s">
        <v>501</v>
      </c>
      <c r="B3413" t="s">
        <v>494</v>
      </c>
      <c r="C3413">
        <v>82431300</v>
      </c>
      <c r="D3413">
        <v>0</v>
      </c>
      <c r="E3413" t="s">
        <v>1468</v>
      </c>
      <c r="F3413" t="s">
        <v>1469</v>
      </c>
      <c r="G3413" s="1">
        <v>45237</v>
      </c>
      <c r="H3413">
        <v>5414097</v>
      </c>
      <c r="I3413">
        <v>392</v>
      </c>
      <c r="J3413" t="s">
        <v>228</v>
      </c>
      <c r="K3413" t="str">
        <f>IFERROR(IF(AND(VLOOKUP($C3413,Hes!$A:$B, 1, FALSE), $M3413&lt;&gt;" "), "Ingresada", "Falta Ingresar"), " ")</f>
        <v xml:space="preserve"> </v>
      </c>
      <c r="L3413" s="4" t="str">
        <f>IFERROR(VLOOKUP($C3413,Observaciones!$A:$B,2,FALSE)," ")</f>
        <v xml:space="preserve"> </v>
      </c>
      <c r="M3413" t="s">
        <v>681</v>
      </c>
      <c r="O3413" s="5">
        <v>30857476</v>
      </c>
      <c r="P3413" s="5">
        <v>149387</v>
      </c>
      <c r="Q3413" s="5">
        <v>28384</v>
      </c>
      <c r="R3413" s="5">
        <v>177771</v>
      </c>
    </row>
    <row r="3414" spans="1:18" x14ac:dyDescent="0.25">
      <c r="A3414" t="s">
        <v>501</v>
      </c>
      <c r="B3414" t="s">
        <v>494</v>
      </c>
      <c r="C3414">
        <v>82431300</v>
      </c>
      <c r="D3414">
        <v>0</v>
      </c>
      <c r="E3414" t="s">
        <v>1468</v>
      </c>
      <c r="F3414" t="s">
        <v>1469</v>
      </c>
      <c r="G3414" s="1">
        <v>45238</v>
      </c>
      <c r="H3414">
        <v>5414979</v>
      </c>
      <c r="I3414">
        <v>392</v>
      </c>
      <c r="J3414" t="s">
        <v>228</v>
      </c>
      <c r="K3414" t="str">
        <f>IFERROR(IF(AND(VLOOKUP($C3414,Hes!$A:$B, 1, FALSE), $M3414&lt;&gt;" "), "Ingresada", "Falta Ingresar"), " ")</f>
        <v xml:space="preserve"> </v>
      </c>
      <c r="L3414" s="4" t="str">
        <f>IFERROR(VLOOKUP($C3414,Observaciones!$A:$B,2,FALSE)," ")</f>
        <v xml:space="preserve"> </v>
      </c>
      <c r="M3414" t="s">
        <v>681</v>
      </c>
      <c r="O3414" s="5">
        <v>30861432</v>
      </c>
      <c r="P3414" s="5">
        <v>37340</v>
      </c>
      <c r="Q3414" s="5">
        <v>7095</v>
      </c>
      <c r="R3414" s="5">
        <v>44435</v>
      </c>
    </row>
    <row r="3415" spans="1:18" x14ac:dyDescent="0.25">
      <c r="F3415" t="s">
        <v>498</v>
      </c>
      <c r="K3415" t="str">
        <f>IFERROR(IF(AND(VLOOKUP($C3415,Hes!$A:$B, 1, FALSE), $M3415&lt;&gt;" "), "Ingresada", "Falta Ingresar"), " ")</f>
        <v xml:space="preserve"> </v>
      </c>
      <c r="L3415" s="4" t="str">
        <f>IFERROR(VLOOKUP($C3415,Observaciones!$A:$B,2,FALSE)," ")</f>
        <v xml:space="preserve"> </v>
      </c>
      <c r="M3415" t="s">
        <v>681</v>
      </c>
      <c r="P3415" s="5">
        <v>1150172</v>
      </c>
      <c r="Q3415" s="5">
        <v>218533</v>
      </c>
      <c r="R3415" s="5">
        <v>1368705</v>
      </c>
    </row>
    <row r="3416" spans="1:18" x14ac:dyDescent="0.25">
      <c r="A3416" t="s">
        <v>496</v>
      </c>
      <c r="B3416" t="s">
        <v>494</v>
      </c>
      <c r="C3416">
        <v>82648400</v>
      </c>
      <c r="D3416">
        <v>9</v>
      </c>
      <c r="E3416">
        <v>92991</v>
      </c>
      <c r="F3416" t="s">
        <v>1470</v>
      </c>
      <c r="G3416" s="1">
        <v>45232</v>
      </c>
      <c r="H3416">
        <v>5410741</v>
      </c>
      <c r="I3416">
        <v>348</v>
      </c>
      <c r="J3416" t="s">
        <v>293</v>
      </c>
      <c r="K3416" t="str">
        <f>IFERROR(IF(AND(VLOOKUP($C3416,Hes!$A:$B, 1, FALSE), $M3416&lt;&gt;" "), "Ingresada", "Falta Ingresar"), " ")</f>
        <v xml:space="preserve"> </v>
      </c>
      <c r="L3416" s="4" t="s">
        <v>681</v>
      </c>
      <c r="M3416" t="s">
        <v>681</v>
      </c>
      <c r="O3416" s="5">
        <v>30845089</v>
      </c>
      <c r="P3416" s="5">
        <v>25200</v>
      </c>
      <c r="Q3416" s="5">
        <v>4788</v>
      </c>
      <c r="R3416" s="5">
        <v>29988</v>
      </c>
    </row>
    <row r="3417" spans="1:18" x14ac:dyDescent="0.25">
      <c r="A3417" t="s">
        <v>496</v>
      </c>
      <c r="B3417" t="s">
        <v>494</v>
      </c>
      <c r="C3417">
        <v>82648400</v>
      </c>
      <c r="D3417">
        <v>19</v>
      </c>
      <c r="E3417">
        <v>93006</v>
      </c>
      <c r="F3417" t="s">
        <v>1470</v>
      </c>
      <c r="G3417" s="1">
        <v>45232</v>
      </c>
      <c r="H3417">
        <v>5410768</v>
      </c>
      <c r="I3417">
        <v>348</v>
      </c>
      <c r="J3417" t="s">
        <v>293</v>
      </c>
      <c r="K3417" t="str">
        <f>IFERROR(IF(AND(VLOOKUP($C3417,Hes!$A:$B, 1, FALSE), $M3417&lt;&gt;" "), "Ingresada", "Falta Ingresar"), " ")</f>
        <v xml:space="preserve"> </v>
      </c>
      <c r="L3417" s="4" t="s">
        <v>681</v>
      </c>
      <c r="M3417" t="s">
        <v>681</v>
      </c>
      <c r="O3417" s="5">
        <v>30845599</v>
      </c>
      <c r="P3417" s="5">
        <v>156990</v>
      </c>
      <c r="Q3417" s="5">
        <v>29828</v>
      </c>
      <c r="R3417" s="5">
        <v>186818</v>
      </c>
    </row>
    <row r="3418" spans="1:18" x14ac:dyDescent="0.25">
      <c r="A3418" t="s">
        <v>496</v>
      </c>
      <c r="B3418" t="s">
        <v>494</v>
      </c>
      <c r="C3418">
        <v>82648400</v>
      </c>
      <c r="D3418">
        <v>11</v>
      </c>
      <c r="E3418">
        <v>92992</v>
      </c>
      <c r="F3418" t="s">
        <v>1470</v>
      </c>
      <c r="G3418" s="1">
        <v>45232</v>
      </c>
      <c r="H3418">
        <v>5410821</v>
      </c>
      <c r="I3418">
        <v>348</v>
      </c>
      <c r="J3418" t="s">
        <v>293</v>
      </c>
      <c r="K3418" t="str">
        <f>IFERROR(IF(AND(VLOOKUP($C3418,Hes!$A:$B, 1, FALSE), $M3418&lt;&gt;" "), "Ingresada", "Falta Ingresar"), " ")</f>
        <v xml:space="preserve"> </v>
      </c>
      <c r="L3418" s="4" t="s">
        <v>681</v>
      </c>
      <c r="M3418" t="s">
        <v>681</v>
      </c>
      <c r="O3418" s="5">
        <v>30845084</v>
      </c>
      <c r="P3418" s="5">
        <v>138325</v>
      </c>
      <c r="Q3418" s="5">
        <v>26282</v>
      </c>
      <c r="R3418" s="5">
        <v>164607</v>
      </c>
    </row>
    <row r="3419" spans="1:18" x14ac:dyDescent="0.25">
      <c r="A3419" t="s">
        <v>496</v>
      </c>
      <c r="B3419" t="s">
        <v>494</v>
      </c>
      <c r="C3419">
        <v>82648400</v>
      </c>
      <c r="D3419">
        <v>13</v>
      </c>
      <c r="E3419">
        <v>92938</v>
      </c>
      <c r="F3419" t="s">
        <v>1470</v>
      </c>
      <c r="G3419" s="1">
        <v>45232</v>
      </c>
      <c r="H3419">
        <v>5410939</v>
      </c>
      <c r="I3419">
        <v>348</v>
      </c>
      <c r="J3419" t="s">
        <v>293</v>
      </c>
      <c r="K3419" t="str">
        <f>IFERROR(IF(AND(VLOOKUP($C3419,Hes!$A:$B, 1, FALSE), $M3419&lt;&gt;" "), "Ingresada", "Falta Ingresar"), " ")</f>
        <v xml:space="preserve"> </v>
      </c>
      <c r="L3419" s="4" t="s">
        <v>681</v>
      </c>
      <c r="M3419" t="s">
        <v>681</v>
      </c>
      <c r="O3419" s="5">
        <v>30846883</v>
      </c>
      <c r="P3419" s="5">
        <v>898000</v>
      </c>
      <c r="Q3419" s="5">
        <v>170620</v>
      </c>
      <c r="R3419" s="5">
        <v>1068620</v>
      </c>
    </row>
    <row r="3420" spans="1:18" x14ac:dyDescent="0.25">
      <c r="A3420" t="s">
        <v>496</v>
      </c>
      <c r="B3420" t="s">
        <v>494</v>
      </c>
      <c r="C3420">
        <v>82648400</v>
      </c>
      <c r="D3420">
        <v>9</v>
      </c>
      <c r="E3420">
        <v>93022</v>
      </c>
      <c r="F3420" t="s">
        <v>1470</v>
      </c>
      <c r="G3420" s="1">
        <v>45232</v>
      </c>
      <c r="H3420">
        <v>5410958</v>
      </c>
      <c r="I3420">
        <v>348</v>
      </c>
      <c r="J3420" t="s">
        <v>293</v>
      </c>
      <c r="K3420" t="str">
        <f>IFERROR(IF(AND(VLOOKUP($C3420,Hes!$A:$B, 1, FALSE), $M3420&lt;&gt;" "), "Ingresada", "Falta Ingresar"), " ")</f>
        <v xml:space="preserve"> </v>
      </c>
      <c r="L3420" s="4" t="s">
        <v>681</v>
      </c>
      <c r="M3420" t="s">
        <v>681</v>
      </c>
      <c r="O3420" s="5">
        <v>30846173</v>
      </c>
      <c r="P3420" s="5">
        <v>193704</v>
      </c>
      <c r="Q3420" s="5">
        <v>36804</v>
      </c>
      <c r="R3420" s="5">
        <v>230508</v>
      </c>
    </row>
    <row r="3421" spans="1:18" x14ac:dyDescent="0.25">
      <c r="A3421" t="s">
        <v>496</v>
      </c>
      <c r="B3421" t="s">
        <v>494</v>
      </c>
      <c r="C3421">
        <v>82648400</v>
      </c>
      <c r="D3421">
        <v>11</v>
      </c>
      <c r="E3421">
        <v>93018</v>
      </c>
      <c r="F3421" t="s">
        <v>1470</v>
      </c>
      <c r="G3421" s="1">
        <v>45232</v>
      </c>
      <c r="H3421">
        <v>5410959</v>
      </c>
      <c r="I3421">
        <v>348</v>
      </c>
      <c r="J3421" t="s">
        <v>293</v>
      </c>
      <c r="K3421" t="str">
        <f>IFERROR(IF(AND(VLOOKUP($C3421,Hes!$A:$B, 1, FALSE), $M3421&lt;&gt;" "), "Ingresada", "Falta Ingresar"), " ")</f>
        <v xml:space="preserve"> </v>
      </c>
      <c r="L3421" s="4" t="s">
        <v>681</v>
      </c>
      <c r="M3421" t="s">
        <v>681</v>
      </c>
      <c r="O3421" s="5">
        <v>30846108</v>
      </c>
      <c r="P3421" s="5">
        <v>15703</v>
      </c>
      <c r="Q3421" s="5">
        <v>2984</v>
      </c>
      <c r="R3421" s="5">
        <v>18782</v>
      </c>
    </row>
    <row r="3422" spans="1:18" x14ac:dyDescent="0.25">
      <c r="A3422" t="s">
        <v>496</v>
      </c>
      <c r="B3422" t="s">
        <v>494</v>
      </c>
      <c r="C3422">
        <v>82648400</v>
      </c>
      <c r="D3422">
        <v>21</v>
      </c>
      <c r="E3422">
        <v>93009</v>
      </c>
      <c r="F3422" t="s">
        <v>1470</v>
      </c>
      <c r="G3422" s="1">
        <v>45232</v>
      </c>
      <c r="H3422">
        <v>5410960</v>
      </c>
      <c r="I3422">
        <v>348</v>
      </c>
      <c r="J3422" t="s">
        <v>293</v>
      </c>
      <c r="K3422" t="str">
        <f>IFERROR(IF(AND(VLOOKUP($C3422,Hes!$A:$B, 1, FALSE), $M3422&lt;&gt;" "), "Ingresada", "Falta Ingresar"), " ")</f>
        <v xml:space="preserve"> </v>
      </c>
      <c r="L3422" s="4" t="s">
        <v>681</v>
      </c>
      <c r="M3422" t="s">
        <v>681</v>
      </c>
      <c r="O3422" s="5">
        <v>30845673</v>
      </c>
      <c r="P3422" s="5">
        <v>16522</v>
      </c>
      <c r="Q3422" s="5">
        <v>3139</v>
      </c>
      <c r="R3422" s="5">
        <v>19661</v>
      </c>
    </row>
    <row r="3423" spans="1:18" x14ac:dyDescent="0.25">
      <c r="A3423" t="s">
        <v>496</v>
      </c>
      <c r="B3423" t="s">
        <v>494</v>
      </c>
      <c r="C3423">
        <v>82648400</v>
      </c>
      <c r="D3423">
        <v>12</v>
      </c>
      <c r="E3423">
        <v>93070</v>
      </c>
      <c r="F3423" t="s">
        <v>1470</v>
      </c>
      <c r="G3423" s="1">
        <v>45232</v>
      </c>
      <c r="H3423">
        <v>5410966</v>
      </c>
      <c r="I3423">
        <v>348</v>
      </c>
      <c r="J3423" t="s">
        <v>293</v>
      </c>
      <c r="K3423" t="str">
        <f>IFERROR(IF(AND(VLOOKUP($C3423,Hes!$A:$B, 1, FALSE), $M3423&lt;&gt;" "), "Ingresada", "Falta Ingresar"), " ")</f>
        <v xml:space="preserve"> </v>
      </c>
      <c r="L3423" s="4" t="s">
        <v>681</v>
      </c>
      <c r="M3423" t="s">
        <v>681</v>
      </c>
      <c r="O3423" s="5">
        <v>30847203</v>
      </c>
      <c r="P3423" s="5">
        <v>176316</v>
      </c>
      <c r="Q3423" s="5">
        <v>33500</v>
      </c>
      <c r="R3423" s="5">
        <v>209816</v>
      </c>
    </row>
    <row r="3424" spans="1:18" x14ac:dyDescent="0.25">
      <c r="A3424" t="s">
        <v>496</v>
      </c>
      <c r="B3424" t="s">
        <v>494</v>
      </c>
      <c r="C3424">
        <v>82648400</v>
      </c>
      <c r="D3424">
        <v>9</v>
      </c>
      <c r="E3424">
        <v>93072</v>
      </c>
      <c r="F3424" t="s">
        <v>1470</v>
      </c>
      <c r="G3424" s="1">
        <v>45232</v>
      </c>
      <c r="H3424">
        <v>5411055</v>
      </c>
      <c r="I3424">
        <v>348</v>
      </c>
      <c r="J3424" t="s">
        <v>293</v>
      </c>
      <c r="K3424" t="str">
        <f>IFERROR(IF(AND(VLOOKUP($C3424,Hes!$A:$B, 1, FALSE), $M3424&lt;&gt;" "), "Ingresada", "Falta Ingresar"), " ")</f>
        <v xml:space="preserve"> </v>
      </c>
      <c r="L3424" s="4" t="s">
        <v>681</v>
      </c>
      <c r="M3424" t="s">
        <v>681</v>
      </c>
      <c r="O3424" s="5">
        <v>30847224</v>
      </c>
      <c r="P3424" s="5">
        <v>23832</v>
      </c>
      <c r="Q3424" s="5">
        <v>4528</v>
      </c>
      <c r="R3424" s="5">
        <v>28360</v>
      </c>
    </row>
    <row r="3425" spans="1:18" x14ac:dyDescent="0.25">
      <c r="A3425" t="s">
        <v>496</v>
      </c>
      <c r="B3425" t="s">
        <v>494</v>
      </c>
      <c r="C3425">
        <v>82648400</v>
      </c>
      <c r="D3425">
        <v>2</v>
      </c>
      <c r="E3425">
        <v>93005</v>
      </c>
      <c r="F3425" t="s">
        <v>1470</v>
      </c>
      <c r="G3425" s="1">
        <v>45232</v>
      </c>
      <c r="H3425">
        <v>5411143</v>
      </c>
      <c r="I3425">
        <v>348</v>
      </c>
      <c r="J3425" t="s">
        <v>293</v>
      </c>
      <c r="K3425" t="str">
        <f>IFERROR(IF(AND(VLOOKUP($C3425,Hes!$A:$B, 1, FALSE), $M3425&lt;&gt;" "), "Ingresada", "Falta Ingresar"), " ")</f>
        <v xml:space="preserve"> </v>
      </c>
      <c r="L3425" s="4" t="s">
        <v>681</v>
      </c>
      <c r="M3425" t="s">
        <v>681</v>
      </c>
      <c r="O3425" s="5">
        <v>30845595</v>
      </c>
      <c r="P3425" s="5">
        <v>34400</v>
      </c>
      <c r="Q3425" s="5">
        <v>6536</v>
      </c>
      <c r="R3425" s="5">
        <v>40936</v>
      </c>
    </row>
    <row r="3426" spans="1:18" x14ac:dyDescent="0.25">
      <c r="A3426" t="s">
        <v>496</v>
      </c>
      <c r="B3426" t="s">
        <v>494</v>
      </c>
      <c r="C3426">
        <v>82648400</v>
      </c>
      <c r="D3426">
        <v>10</v>
      </c>
      <c r="E3426">
        <v>93004</v>
      </c>
      <c r="F3426" t="s">
        <v>1470</v>
      </c>
      <c r="G3426" s="1">
        <v>45232</v>
      </c>
      <c r="H3426">
        <v>5411151</v>
      </c>
      <c r="I3426">
        <v>348</v>
      </c>
      <c r="J3426" t="s">
        <v>293</v>
      </c>
      <c r="K3426" t="str">
        <f>IFERROR(IF(AND(VLOOKUP($C3426,Hes!$A:$B, 1, FALSE), $M3426&lt;&gt;" "), "Ingresada", "Falta Ingresar"), " ")</f>
        <v xml:space="preserve"> </v>
      </c>
      <c r="L3426" s="4" t="s">
        <v>681</v>
      </c>
      <c r="M3426" t="s">
        <v>681</v>
      </c>
      <c r="O3426" s="5">
        <v>30845618</v>
      </c>
      <c r="P3426" s="5">
        <v>1076325</v>
      </c>
      <c r="Q3426" s="5">
        <v>204502</v>
      </c>
      <c r="R3426" s="5">
        <v>1281997</v>
      </c>
    </row>
    <row r="3427" spans="1:18" x14ac:dyDescent="0.25">
      <c r="A3427" t="s">
        <v>496</v>
      </c>
      <c r="B3427" t="s">
        <v>494</v>
      </c>
      <c r="C3427">
        <v>82648400</v>
      </c>
      <c r="D3427">
        <v>15</v>
      </c>
      <c r="E3427">
        <v>93028</v>
      </c>
      <c r="F3427" t="s">
        <v>1470</v>
      </c>
      <c r="G3427" s="1">
        <v>45232</v>
      </c>
      <c r="H3427">
        <v>5411152</v>
      </c>
      <c r="I3427">
        <v>348</v>
      </c>
      <c r="J3427" t="s">
        <v>293</v>
      </c>
      <c r="K3427" t="str">
        <f>IFERROR(IF(AND(VLOOKUP($C3427,Hes!$A:$B, 1, FALSE), $M3427&lt;&gt;" "), "Ingresada", "Falta Ingresar"), " ")</f>
        <v xml:space="preserve"> </v>
      </c>
      <c r="L3427" s="4" t="s">
        <v>681</v>
      </c>
      <c r="M3427" t="s">
        <v>681</v>
      </c>
      <c r="O3427" s="5">
        <v>30846141</v>
      </c>
      <c r="P3427" s="5">
        <v>104064</v>
      </c>
      <c r="Q3427" s="5">
        <v>19772</v>
      </c>
      <c r="R3427" s="5">
        <v>123836</v>
      </c>
    </row>
    <row r="3428" spans="1:18" x14ac:dyDescent="0.25">
      <c r="A3428" t="s">
        <v>496</v>
      </c>
      <c r="B3428" t="s">
        <v>494</v>
      </c>
      <c r="C3428">
        <v>82648400</v>
      </c>
      <c r="D3428">
        <v>8</v>
      </c>
      <c r="E3428">
        <v>93010</v>
      </c>
      <c r="F3428" t="s">
        <v>1470</v>
      </c>
      <c r="G3428" s="1">
        <v>45232</v>
      </c>
      <c r="H3428">
        <v>5411170</v>
      </c>
      <c r="I3428">
        <v>348</v>
      </c>
      <c r="J3428" t="s">
        <v>293</v>
      </c>
      <c r="K3428" t="str">
        <f>IFERROR(IF(AND(VLOOKUP($C3428,Hes!$A:$B, 1, FALSE), $M3428&lt;&gt;" "), "Ingresada", "Falta Ingresar"), " ")</f>
        <v xml:space="preserve"> </v>
      </c>
      <c r="L3428" s="4" t="s">
        <v>681</v>
      </c>
      <c r="M3428" t="s">
        <v>681</v>
      </c>
      <c r="O3428" s="5">
        <v>30845681</v>
      </c>
      <c r="P3428" s="5">
        <v>320931</v>
      </c>
      <c r="Q3428" s="5">
        <v>60977</v>
      </c>
      <c r="R3428" s="5">
        <v>381908</v>
      </c>
    </row>
    <row r="3429" spans="1:18" x14ac:dyDescent="0.25">
      <c r="A3429" t="s">
        <v>496</v>
      </c>
      <c r="B3429" t="s">
        <v>494</v>
      </c>
      <c r="C3429">
        <v>82648400</v>
      </c>
      <c r="D3429">
        <v>15</v>
      </c>
      <c r="E3429">
        <v>93026</v>
      </c>
      <c r="F3429" t="s">
        <v>1470</v>
      </c>
      <c r="G3429" s="1">
        <v>45233</v>
      </c>
      <c r="H3429">
        <v>5411249</v>
      </c>
      <c r="I3429">
        <v>348</v>
      </c>
      <c r="J3429" t="s">
        <v>293</v>
      </c>
      <c r="K3429" t="str">
        <f>IFERROR(IF(AND(VLOOKUP($C3429,Hes!$A:$B, 1, FALSE), $M3429&lt;&gt;" "), "Ingresada", "Falta Ingresar"), " ")</f>
        <v xml:space="preserve"> </v>
      </c>
      <c r="L3429" s="4" t="s">
        <v>681</v>
      </c>
      <c r="M3429" t="s">
        <v>681</v>
      </c>
      <c r="O3429" s="5">
        <v>30846062</v>
      </c>
      <c r="P3429" s="5">
        <v>16315</v>
      </c>
      <c r="Q3429" s="5">
        <v>3100</v>
      </c>
      <c r="R3429" s="5">
        <v>19415</v>
      </c>
    </row>
    <row r="3430" spans="1:18" x14ac:dyDescent="0.25">
      <c r="A3430" t="s">
        <v>496</v>
      </c>
      <c r="B3430" t="s">
        <v>494</v>
      </c>
      <c r="C3430">
        <v>82648400</v>
      </c>
      <c r="D3430">
        <v>15</v>
      </c>
      <c r="E3430">
        <v>93027</v>
      </c>
      <c r="F3430" t="s">
        <v>1470</v>
      </c>
      <c r="G3430" s="1">
        <v>45233</v>
      </c>
      <c r="H3430">
        <v>5411269</v>
      </c>
      <c r="I3430">
        <v>348</v>
      </c>
      <c r="J3430" t="s">
        <v>293</v>
      </c>
      <c r="K3430" t="str">
        <f>IFERROR(IF(AND(VLOOKUP($C3430,Hes!$A:$B, 1, FALSE), $M3430&lt;&gt;" "), "Ingresada", "Falta Ingresar"), " ")</f>
        <v xml:space="preserve"> </v>
      </c>
      <c r="L3430" s="4" t="s">
        <v>681</v>
      </c>
      <c r="M3430" t="s">
        <v>681</v>
      </c>
      <c r="O3430" s="5">
        <v>30846076</v>
      </c>
      <c r="P3430" s="5">
        <v>139690</v>
      </c>
      <c r="Q3430" s="5">
        <v>26541</v>
      </c>
      <c r="R3430" s="5">
        <v>167941</v>
      </c>
    </row>
    <row r="3431" spans="1:18" x14ac:dyDescent="0.25">
      <c r="A3431" t="s">
        <v>496</v>
      </c>
      <c r="B3431" t="s">
        <v>494</v>
      </c>
      <c r="C3431">
        <v>82648400</v>
      </c>
      <c r="D3431">
        <v>16</v>
      </c>
      <c r="E3431">
        <v>93109</v>
      </c>
      <c r="F3431" t="s">
        <v>1470</v>
      </c>
      <c r="G3431" s="1">
        <v>45233</v>
      </c>
      <c r="H3431">
        <v>5411385</v>
      </c>
      <c r="I3431">
        <v>348</v>
      </c>
      <c r="J3431" t="s">
        <v>293</v>
      </c>
      <c r="K3431" t="str">
        <f>IFERROR(IF(AND(VLOOKUP($C3431,Hes!$A:$B, 1, FALSE), $M3431&lt;&gt;" "), "Ingresada", "Falta Ingresar"), " ")</f>
        <v xml:space="preserve"> </v>
      </c>
      <c r="L3431" s="4" t="s">
        <v>681</v>
      </c>
      <c r="M3431" t="s">
        <v>681</v>
      </c>
      <c r="O3431" s="5">
        <v>30850087</v>
      </c>
      <c r="P3431" s="5">
        <v>27500</v>
      </c>
      <c r="Q3431" s="5">
        <v>5225</v>
      </c>
      <c r="R3431" s="5">
        <v>32725</v>
      </c>
    </row>
    <row r="3432" spans="1:18" x14ac:dyDescent="0.25">
      <c r="A3432" t="s">
        <v>496</v>
      </c>
      <c r="B3432" t="s">
        <v>494</v>
      </c>
      <c r="C3432">
        <v>82648400</v>
      </c>
      <c r="D3432">
        <v>15</v>
      </c>
      <c r="E3432">
        <v>93023</v>
      </c>
      <c r="F3432" t="s">
        <v>1470</v>
      </c>
      <c r="G3432" s="1">
        <v>45233</v>
      </c>
      <c r="H3432">
        <v>5411387</v>
      </c>
      <c r="I3432">
        <v>348</v>
      </c>
      <c r="J3432" t="s">
        <v>293</v>
      </c>
      <c r="K3432" t="str">
        <f>IFERROR(IF(AND(VLOOKUP($C3432,Hes!$A:$B, 1, FALSE), $M3432&lt;&gt;" "), "Ingresada", "Falta Ingresar"), " ")</f>
        <v xml:space="preserve"> </v>
      </c>
      <c r="L3432" s="4" t="s">
        <v>681</v>
      </c>
      <c r="M3432" t="s">
        <v>681</v>
      </c>
      <c r="O3432" s="5">
        <v>30846033</v>
      </c>
      <c r="P3432" s="5">
        <v>180017</v>
      </c>
      <c r="Q3432" s="5">
        <v>34203</v>
      </c>
      <c r="R3432" s="5">
        <v>214220</v>
      </c>
    </row>
    <row r="3433" spans="1:18" x14ac:dyDescent="0.25">
      <c r="A3433" t="s">
        <v>496</v>
      </c>
      <c r="B3433" t="s">
        <v>494</v>
      </c>
      <c r="C3433">
        <v>82648400</v>
      </c>
      <c r="D3433">
        <v>10</v>
      </c>
      <c r="E3433">
        <v>93001</v>
      </c>
      <c r="F3433" t="s">
        <v>1470</v>
      </c>
      <c r="G3433" s="1">
        <v>45233</v>
      </c>
      <c r="H3433">
        <v>5411388</v>
      </c>
      <c r="I3433">
        <v>348</v>
      </c>
      <c r="J3433" t="s">
        <v>293</v>
      </c>
      <c r="K3433" t="str">
        <f>IFERROR(IF(AND(VLOOKUP($C3433,Hes!$A:$B, 1, FALSE), $M3433&lt;&gt;" "), "Ingresada", "Falta Ingresar"), " ")</f>
        <v xml:space="preserve"> </v>
      </c>
      <c r="L3433" s="4" t="s">
        <v>681</v>
      </c>
      <c r="M3433" t="s">
        <v>681</v>
      </c>
      <c r="O3433" s="5">
        <v>30845794</v>
      </c>
      <c r="P3433" s="5">
        <v>960463</v>
      </c>
      <c r="Q3433" s="5">
        <v>182488</v>
      </c>
      <c r="R3433" s="5">
        <v>1142951</v>
      </c>
    </row>
    <row r="3434" spans="1:18" x14ac:dyDescent="0.25">
      <c r="A3434" t="s">
        <v>496</v>
      </c>
      <c r="B3434" t="s">
        <v>494</v>
      </c>
      <c r="C3434">
        <v>82648400</v>
      </c>
      <c r="D3434">
        <v>12</v>
      </c>
      <c r="E3434">
        <v>92805</v>
      </c>
      <c r="F3434" t="s">
        <v>1470</v>
      </c>
      <c r="G3434" s="1">
        <v>45233</v>
      </c>
      <c r="H3434">
        <v>5411392</v>
      </c>
      <c r="I3434">
        <v>348</v>
      </c>
      <c r="J3434" t="s">
        <v>293</v>
      </c>
      <c r="K3434" t="str">
        <f>IFERROR(IF(AND(VLOOKUP($C3434,Hes!$A:$B, 1, FALSE), $M3434&lt;&gt;" "), "Ingresada", "Falta Ingresar"), " ")</f>
        <v xml:space="preserve"> </v>
      </c>
      <c r="L3434" s="4" t="s">
        <v>681</v>
      </c>
      <c r="M3434" t="s">
        <v>681</v>
      </c>
      <c r="O3434" s="5">
        <v>30832457</v>
      </c>
      <c r="P3434" s="5">
        <v>194000</v>
      </c>
      <c r="Q3434" s="5">
        <v>36860</v>
      </c>
      <c r="R3434" s="5">
        <v>230860</v>
      </c>
    </row>
    <row r="3435" spans="1:18" x14ac:dyDescent="0.25">
      <c r="A3435" t="s">
        <v>496</v>
      </c>
      <c r="B3435" t="s">
        <v>494</v>
      </c>
      <c r="C3435">
        <v>82648400</v>
      </c>
      <c r="D3435">
        <v>21</v>
      </c>
      <c r="E3435">
        <v>93017</v>
      </c>
      <c r="F3435" t="s">
        <v>1470</v>
      </c>
      <c r="G3435" s="1">
        <v>45233</v>
      </c>
      <c r="H3435">
        <v>5411581</v>
      </c>
      <c r="I3435">
        <v>348</v>
      </c>
      <c r="J3435" t="s">
        <v>293</v>
      </c>
      <c r="K3435" t="str">
        <f>IFERROR(IF(AND(VLOOKUP($C3435,Hes!$A:$B, 1, FALSE), $M3435&lt;&gt;" "), "Ingresada", "Falta Ingresar"), " ")</f>
        <v xml:space="preserve"> </v>
      </c>
      <c r="L3435" s="4" t="s">
        <v>681</v>
      </c>
      <c r="M3435" t="s">
        <v>681</v>
      </c>
      <c r="O3435" s="5">
        <v>30846164</v>
      </c>
      <c r="P3435" s="5">
        <v>6252</v>
      </c>
      <c r="Q3435" s="5">
        <v>1188</v>
      </c>
      <c r="R3435" s="5">
        <v>7440</v>
      </c>
    </row>
    <row r="3436" spans="1:18" x14ac:dyDescent="0.25">
      <c r="A3436" t="s">
        <v>496</v>
      </c>
      <c r="B3436" t="s">
        <v>494</v>
      </c>
      <c r="C3436">
        <v>82648400</v>
      </c>
      <c r="D3436">
        <v>17</v>
      </c>
      <c r="E3436">
        <v>23020</v>
      </c>
      <c r="F3436" t="s">
        <v>1470</v>
      </c>
      <c r="G3436" s="1">
        <v>45233</v>
      </c>
      <c r="H3436">
        <v>5411629</v>
      </c>
      <c r="I3436">
        <v>348</v>
      </c>
      <c r="J3436" t="s">
        <v>293</v>
      </c>
      <c r="K3436" t="str">
        <f>IFERROR(IF(AND(VLOOKUP($C3436,Hes!$A:$B, 1, FALSE), $M3436&lt;&gt;" "), "Ingresada", "Falta Ingresar"), " ")</f>
        <v xml:space="preserve"> </v>
      </c>
      <c r="L3436" s="4" t="s">
        <v>681</v>
      </c>
      <c r="M3436" t="s">
        <v>681</v>
      </c>
      <c r="O3436" s="5">
        <v>30846126</v>
      </c>
      <c r="P3436" s="5">
        <v>7731</v>
      </c>
      <c r="Q3436" s="5">
        <v>1469</v>
      </c>
      <c r="R3436" s="5">
        <v>9200</v>
      </c>
    </row>
    <row r="3437" spans="1:18" x14ac:dyDescent="0.25">
      <c r="A3437" t="s">
        <v>496</v>
      </c>
      <c r="B3437" t="s">
        <v>494</v>
      </c>
      <c r="C3437">
        <v>82648400</v>
      </c>
      <c r="D3437">
        <v>19</v>
      </c>
      <c r="E3437">
        <v>93108</v>
      </c>
      <c r="F3437" t="s">
        <v>1470</v>
      </c>
      <c r="G3437" s="1">
        <v>45236</v>
      </c>
      <c r="H3437">
        <v>5412366</v>
      </c>
      <c r="I3437">
        <v>348</v>
      </c>
      <c r="J3437" t="s">
        <v>293</v>
      </c>
      <c r="K3437" t="str">
        <f>IFERROR(IF(AND(VLOOKUP($C3437,Hes!$A:$B, 1, FALSE), $M3437&lt;&gt;" "), "Ingresada", "Falta Ingresar"), " ")</f>
        <v xml:space="preserve"> </v>
      </c>
      <c r="L3437" s="4" t="s">
        <v>681</v>
      </c>
      <c r="M3437" t="s">
        <v>681</v>
      </c>
      <c r="O3437" s="5">
        <v>30853685</v>
      </c>
      <c r="P3437" s="5">
        <v>46200</v>
      </c>
      <c r="Q3437" s="5">
        <v>8778</v>
      </c>
      <c r="R3437" s="5">
        <v>54978</v>
      </c>
    </row>
    <row r="3438" spans="1:18" x14ac:dyDescent="0.25">
      <c r="A3438" t="s">
        <v>496</v>
      </c>
      <c r="B3438" t="s">
        <v>494</v>
      </c>
      <c r="C3438">
        <v>82648400</v>
      </c>
      <c r="D3438">
        <v>17</v>
      </c>
      <c r="E3438">
        <v>93131</v>
      </c>
      <c r="F3438" t="s">
        <v>1470</v>
      </c>
      <c r="G3438" s="1">
        <v>45236</v>
      </c>
      <c r="H3438">
        <v>5412438</v>
      </c>
      <c r="I3438">
        <v>348</v>
      </c>
      <c r="J3438" t="s">
        <v>293</v>
      </c>
      <c r="K3438" t="str">
        <f>IFERROR(IF(AND(VLOOKUP($C3438,Hes!$A:$B, 1, FALSE), $M3438&lt;&gt;" "), "Ingresada", "Falta Ingresar"), " ")</f>
        <v xml:space="preserve"> </v>
      </c>
      <c r="L3438" s="4" t="s">
        <v>681</v>
      </c>
      <c r="M3438" t="s">
        <v>681</v>
      </c>
      <c r="O3438" s="5">
        <v>30853633</v>
      </c>
      <c r="P3438" s="5">
        <v>89018</v>
      </c>
      <c r="Q3438" s="5">
        <v>16913</v>
      </c>
      <c r="R3438" s="5">
        <v>105931</v>
      </c>
    </row>
    <row r="3439" spans="1:18" x14ac:dyDescent="0.25">
      <c r="A3439" t="s">
        <v>496</v>
      </c>
      <c r="B3439" t="s">
        <v>494</v>
      </c>
      <c r="C3439">
        <v>82648400</v>
      </c>
      <c r="D3439">
        <v>17</v>
      </c>
      <c r="E3439">
        <v>93144</v>
      </c>
      <c r="F3439" t="s">
        <v>1470</v>
      </c>
      <c r="G3439" s="1">
        <v>45236</v>
      </c>
      <c r="H3439">
        <v>5412791</v>
      </c>
      <c r="I3439">
        <v>348</v>
      </c>
      <c r="J3439" t="s">
        <v>293</v>
      </c>
      <c r="K3439" t="str">
        <f>IFERROR(IF(AND(VLOOKUP($C3439,Hes!$A:$B, 1, FALSE), $M3439&lt;&gt;" "), "Ingresada", "Falta Ingresar"), " ")</f>
        <v xml:space="preserve"> </v>
      </c>
      <c r="L3439" s="4" t="s">
        <v>681</v>
      </c>
      <c r="M3439" t="s">
        <v>681</v>
      </c>
      <c r="O3439" s="5">
        <v>30852979</v>
      </c>
      <c r="P3439" s="5">
        <v>221988</v>
      </c>
      <c r="Q3439" s="5">
        <v>42178</v>
      </c>
      <c r="R3439" s="5">
        <v>264166</v>
      </c>
    </row>
    <row r="3440" spans="1:18" x14ac:dyDescent="0.25">
      <c r="A3440" t="s">
        <v>496</v>
      </c>
      <c r="B3440" t="s">
        <v>494</v>
      </c>
      <c r="C3440">
        <v>82648400</v>
      </c>
      <c r="D3440">
        <v>13</v>
      </c>
      <c r="E3440">
        <v>92938</v>
      </c>
      <c r="F3440" t="s">
        <v>1470</v>
      </c>
      <c r="G3440" s="1">
        <v>45236</v>
      </c>
      <c r="H3440">
        <v>5413203</v>
      </c>
      <c r="I3440">
        <v>348</v>
      </c>
      <c r="J3440" t="s">
        <v>293</v>
      </c>
      <c r="K3440" t="str">
        <f>IFERROR(IF(AND(VLOOKUP($C3440,Hes!$A:$B, 1, FALSE), $M3440&lt;&gt;" "), "Ingresada", "Falta Ingresar"), " ")</f>
        <v xml:space="preserve"> </v>
      </c>
      <c r="L3440" s="4" t="s">
        <v>681</v>
      </c>
      <c r="M3440" t="s">
        <v>681</v>
      </c>
      <c r="O3440" s="5">
        <v>30857021</v>
      </c>
      <c r="P3440" s="5">
        <v>841600</v>
      </c>
      <c r="Q3440" s="5">
        <v>159904</v>
      </c>
      <c r="R3440" s="5">
        <v>1001504</v>
      </c>
    </row>
    <row r="3441" spans="1:18" x14ac:dyDescent="0.25">
      <c r="A3441" t="s">
        <v>496</v>
      </c>
      <c r="B3441" t="s">
        <v>494</v>
      </c>
      <c r="C3441">
        <v>82648400</v>
      </c>
      <c r="D3441">
        <v>10</v>
      </c>
      <c r="E3441">
        <v>93141</v>
      </c>
      <c r="F3441" t="s">
        <v>1470</v>
      </c>
      <c r="G3441" s="1">
        <v>45236</v>
      </c>
      <c r="H3441">
        <v>5413248</v>
      </c>
      <c r="I3441">
        <v>348</v>
      </c>
      <c r="J3441" t="s">
        <v>293</v>
      </c>
      <c r="K3441" t="str">
        <f>IFERROR(IF(AND(VLOOKUP($C3441,Hes!$A:$B, 1, FALSE), $M3441&lt;&gt;" "), "Ingresada", "Falta Ingresar"), " ")</f>
        <v xml:space="preserve"> </v>
      </c>
      <c r="L3441" s="4" t="s">
        <v>681</v>
      </c>
      <c r="M3441" t="s">
        <v>681</v>
      </c>
      <c r="O3441" s="5">
        <v>30857061</v>
      </c>
      <c r="P3441" s="5">
        <v>841600</v>
      </c>
      <c r="Q3441" s="5">
        <v>159904</v>
      </c>
      <c r="R3441" s="5">
        <v>1001504</v>
      </c>
    </row>
    <row r="3442" spans="1:18" x14ac:dyDescent="0.25">
      <c r="A3442" t="s">
        <v>496</v>
      </c>
      <c r="B3442" t="s">
        <v>494</v>
      </c>
      <c r="C3442">
        <v>82648400</v>
      </c>
      <c r="D3442">
        <v>17</v>
      </c>
      <c r="E3442">
        <v>93025</v>
      </c>
      <c r="F3442" t="s">
        <v>1470</v>
      </c>
      <c r="G3442" s="1">
        <v>45236</v>
      </c>
      <c r="H3442">
        <v>5413279</v>
      </c>
      <c r="I3442">
        <v>348</v>
      </c>
      <c r="J3442" t="s">
        <v>293</v>
      </c>
      <c r="K3442" t="str">
        <f>IFERROR(IF(AND(VLOOKUP($C3442,Hes!$A:$B, 1, FALSE), $M3442&lt;&gt;" "), "Ingresada", "Falta Ingresar"), " ")</f>
        <v xml:space="preserve"> </v>
      </c>
      <c r="L3442" s="4" t="s">
        <v>681</v>
      </c>
      <c r="M3442" t="s">
        <v>681</v>
      </c>
      <c r="O3442" s="5">
        <v>30857008</v>
      </c>
      <c r="P3442" s="5">
        <v>210400</v>
      </c>
      <c r="Q3442" s="5">
        <v>39976</v>
      </c>
      <c r="R3442" s="5">
        <v>250376</v>
      </c>
    </row>
    <row r="3443" spans="1:18" x14ac:dyDescent="0.25">
      <c r="A3443" t="s">
        <v>496</v>
      </c>
      <c r="B3443" t="s">
        <v>494</v>
      </c>
      <c r="C3443">
        <v>82648400</v>
      </c>
      <c r="D3443">
        <v>10</v>
      </c>
      <c r="E3443">
        <v>93142</v>
      </c>
      <c r="F3443" t="s">
        <v>1470</v>
      </c>
      <c r="G3443" s="1">
        <v>45236</v>
      </c>
      <c r="H3443">
        <v>5413432</v>
      </c>
      <c r="I3443">
        <v>348</v>
      </c>
      <c r="J3443" t="s">
        <v>293</v>
      </c>
      <c r="K3443" t="str">
        <f>IFERROR(IF(AND(VLOOKUP($C3443,Hes!$A:$B, 1, FALSE), $M3443&lt;&gt;" "), "Ingresada", "Falta Ingresar"), " ")</f>
        <v xml:space="preserve"> </v>
      </c>
      <c r="L3443" s="4" t="s">
        <v>681</v>
      </c>
      <c r="M3443" t="s">
        <v>681</v>
      </c>
      <c r="O3443" s="5">
        <v>30852911</v>
      </c>
      <c r="P3443" s="5">
        <v>414810</v>
      </c>
      <c r="Q3443" s="5">
        <v>78814</v>
      </c>
      <c r="R3443" s="5">
        <v>493624</v>
      </c>
    </row>
    <row r="3444" spans="1:18" x14ac:dyDescent="0.25">
      <c r="A3444" t="s">
        <v>496</v>
      </c>
      <c r="B3444" t="s">
        <v>494</v>
      </c>
      <c r="C3444">
        <v>82648400</v>
      </c>
      <c r="D3444">
        <v>5</v>
      </c>
      <c r="E3444">
        <v>93150</v>
      </c>
      <c r="F3444" t="s">
        <v>1470</v>
      </c>
      <c r="G3444" s="1">
        <v>45236</v>
      </c>
      <c r="H3444">
        <v>5413808</v>
      </c>
      <c r="I3444">
        <v>348</v>
      </c>
      <c r="J3444" t="s">
        <v>293</v>
      </c>
      <c r="K3444" t="str">
        <f>IFERROR(IF(AND(VLOOKUP($C3444,Hes!$A:$B, 1, FALSE), $M3444&lt;&gt;" "), "Ingresada", "Falta Ingresar"), " ")</f>
        <v xml:space="preserve"> </v>
      </c>
      <c r="L3444" s="4" t="s">
        <v>681</v>
      </c>
      <c r="M3444" t="s">
        <v>681</v>
      </c>
      <c r="O3444" s="5">
        <v>30854278</v>
      </c>
      <c r="P3444" s="5">
        <v>18576</v>
      </c>
      <c r="Q3444" s="5">
        <v>3529</v>
      </c>
      <c r="R3444" s="5">
        <v>22105</v>
      </c>
    </row>
    <row r="3445" spans="1:18" x14ac:dyDescent="0.25">
      <c r="A3445" t="s">
        <v>496</v>
      </c>
      <c r="B3445" t="s">
        <v>494</v>
      </c>
      <c r="C3445">
        <v>82648400</v>
      </c>
      <c r="D3445">
        <v>21</v>
      </c>
      <c r="E3445">
        <v>93206</v>
      </c>
      <c r="F3445" t="s">
        <v>1470</v>
      </c>
      <c r="G3445" s="1">
        <v>45237</v>
      </c>
      <c r="H3445">
        <v>5413998</v>
      </c>
      <c r="I3445">
        <v>348</v>
      </c>
      <c r="J3445" t="s">
        <v>293</v>
      </c>
      <c r="K3445" t="str">
        <f>IFERROR(IF(AND(VLOOKUP($C3445,Hes!$A:$B, 1, FALSE), $M3445&lt;&gt;" "), "Ingresada", "Falta Ingresar"), " ")</f>
        <v xml:space="preserve"> </v>
      </c>
      <c r="L3445" s="4" t="s">
        <v>681</v>
      </c>
      <c r="M3445" t="s">
        <v>681</v>
      </c>
      <c r="O3445" s="5">
        <v>30858799</v>
      </c>
      <c r="P3445" s="5">
        <v>252480</v>
      </c>
      <c r="Q3445" s="5">
        <v>47971</v>
      </c>
      <c r="R3445" s="5">
        <v>300451</v>
      </c>
    </row>
    <row r="3446" spans="1:18" x14ac:dyDescent="0.25">
      <c r="A3446" t="s">
        <v>496</v>
      </c>
      <c r="B3446" t="s">
        <v>494</v>
      </c>
      <c r="C3446">
        <v>82648400</v>
      </c>
      <c r="D3446">
        <v>52</v>
      </c>
      <c r="E3446">
        <v>93190</v>
      </c>
      <c r="F3446" t="s">
        <v>1470</v>
      </c>
      <c r="G3446" s="1">
        <v>45237</v>
      </c>
      <c r="H3446">
        <v>5413999</v>
      </c>
      <c r="I3446">
        <v>348</v>
      </c>
      <c r="J3446" t="s">
        <v>293</v>
      </c>
      <c r="K3446" t="str">
        <f>IFERROR(IF(AND(VLOOKUP($C3446,Hes!$A:$B, 1, FALSE), $M3446&lt;&gt;" "), "Ingresada", "Falta Ingresar"), " ")</f>
        <v xml:space="preserve"> </v>
      </c>
      <c r="L3446" s="4" t="s">
        <v>681</v>
      </c>
      <c r="M3446" t="s">
        <v>681</v>
      </c>
      <c r="O3446" s="5">
        <v>30858929</v>
      </c>
      <c r="P3446" s="5">
        <v>471340</v>
      </c>
      <c r="Q3446" s="5">
        <v>89555</v>
      </c>
      <c r="R3446" s="5">
        <v>560895</v>
      </c>
    </row>
    <row r="3447" spans="1:18" x14ac:dyDescent="0.25">
      <c r="A3447" t="s">
        <v>496</v>
      </c>
      <c r="B3447" t="s">
        <v>494</v>
      </c>
      <c r="C3447">
        <v>82648400</v>
      </c>
      <c r="D3447">
        <v>12</v>
      </c>
      <c r="E3447">
        <v>93189</v>
      </c>
      <c r="F3447" t="s">
        <v>1470</v>
      </c>
      <c r="G3447" s="1">
        <v>45237</v>
      </c>
      <c r="H3447">
        <v>5414010</v>
      </c>
      <c r="I3447">
        <v>348</v>
      </c>
      <c r="J3447" t="s">
        <v>293</v>
      </c>
      <c r="K3447" t="str">
        <f>IFERROR(IF(AND(VLOOKUP($C3447,Hes!$A:$B, 1, FALSE), $M3447&lt;&gt;" "), "Ingresada", "Falta Ingresar"), " ")</f>
        <v xml:space="preserve"> </v>
      </c>
      <c r="L3447" s="4" t="s">
        <v>681</v>
      </c>
      <c r="M3447" t="s">
        <v>681</v>
      </c>
      <c r="O3447" s="5">
        <v>30858994</v>
      </c>
      <c r="P3447" s="5">
        <v>100140</v>
      </c>
      <c r="Q3447" s="5">
        <v>19027</v>
      </c>
      <c r="R3447" s="5">
        <v>119167</v>
      </c>
    </row>
    <row r="3448" spans="1:18" x14ac:dyDescent="0.25">
      <c r="A3448" t="s">
        <v>496</v>
      </c>
      <c r="B3448" t="s">
        <v>494</v>
      </c>
      <c r="C3448">
        <v>82648400</v>
      </c>
      <c r="D3448">
        <v>14</v>
      </c>
      <c r="E3448">
        <v>93200</v>
      </c>
      <c r="F3448" t="s">
        <v>1470</v>
      </c>
      <c r="G3448" s="1">
        <v>45237</v>
      </c>
      <c r="H3448">
        <v>5414012</v>
      </c>
      <c r="I3448">
        <v>348</v>
      </c>
      <c r="J3448" t="s">
        <v>293</v>
      </c>
      <c r="K3448" t="str">
        <f>IFERROR(IF(AND(VLOOKUP($C3448,Hes!$A:$B, 1, FALSE), $M3448&lt;&gt;" "), "Ingresada", "Falta Ingresar"), " ")</f>
        <v xml:space="preserve"> </v>
      </c>
      <c r="L3448" s="4" t="s">
        <v>681</v>
      </c>
      <c r="M3448" t="s">
        <v>681</v>
      </c>
      <c r="O3448" s="5">
        <v>30858832</v>
      </c>
      <c r="P3448" s="5">
        <v>129344</v>
      </c>
      <c r="Q3448" s="5">
        <v>24575</v>
      </c>
      <c r="R3448" s="5">
        <v>153919</v>
      </c>
    </row>
    <row r="3449" spans="1:18" x14ac:dyDescent="0.25">
      <c r="A3449" t="s">
        <v>496</v>
      </c>
      <c r="B3449" t="s">
        <v>494</v>
      </c>
      <c r="C3449">
        <v>82648400</v>
      </c>
      <c r="D3449">
        <v>15</v>
      </c>
      <c r="E3449">
        <v>93184</v>
      </c>
      <c r="F3449" t="s">
        <v>1470</v>
      </c>
      <c r="G3449" s="1">
        <v>45237</v>
      </c>
      <c r="H3449">
        <v>5414016</v>
      </c>
      <c r="I3449">
        <v>348</v>
      </c>
      <c r="J3449" t="s">
        <v>293</v>
      </c>
      <c r="K3449" t="str">
        <f>IFERROR(IF(AND(VLOOKUP($C3449,Hes!$A:$B, 1, FALSE), $M3449&lt;&gt;" "), "Ingresada", "Falta Ingresar"), " ")</f>
        <v xml:space="preserve"> </v>
      </c>
      <c r="L3449" s="4" t="s">
        <v>681</v>
      </c>
      <c r="M3449" t="s">
        <v>681</v>
      </c>
      <c r="O3449" s="5">
        <v>30859001</v>
      </c>
      <c r="P3449" s="5">
        <v>156000</v>
      </c>
      <c r="Q3449" s="5">
        <v>29640</v>
      </c>
      <c r="R3449" s="5">
        <v>185640</v>
      </c>
    </row>
    <row r="3450" spans="1:18" x14ac:dyDescent="0.25">
      <c r="A3450" t="s">
        <v>496</v>
      </c>
      <c r="B3450" t="s">
        <v>494</v>
      </c>
      <c r="C3450">
        <v>82648400</v>
      </c>
      <c r="D3450">
        <v>12</v>
      </c>
      <c r="E3450">
        <v>93187</v>
      </c>
      <c r="F3450" t="s">
        <v>1470</v>
      </c>
      <c r="G3450" s="1">
        <v>45237</v>
      </c>
      <c r="H3450">
        <v>5414073</v>
      </c>
      <c r="I3450">
        <v>348</v>
      </c>
      <c r="J3450" t="s">
        <v>293</v>
      </c>
      <c r="K3450" t="str">
        <f>IFERROR(IF(AND(VLOOKUP($C3450,Hes!$A:$B, 1, FALSE), $M3450&lt;&gt;" "), "Ingresada", "Falta Ingresar"), " ")</f>
        <v xml:space="preserve"> </v>
      </c>
      <c r="L3450" s="4" t="s">
        <v>681</v>
      </c>
      <c r="M3450" t="s">
        <v>681</v>
      </c>
      <c r="O3450" s="5">
        <v>30858937</v>
      </c>
      <c r="P3450" s="5">
        <v>56176</v>
      </c>
      <c r="Q3450" s="5">
        <v>10673</v>
      </c>
      <c r="R3450" s="5">
        <v>74393</v>
      </c>
    </row>
    <row r="3451" spans="1:18" x14ac:dyDescent="0.25">
      <c r="A3451" t="s">
        <v>496</v>
      </c>
      <c r="B3451" t="s">
        <v>494</v>
      </c>
      <c r="C3451">
        <v>82648400</v>
      </c>
      <c r="D3451">
        <v>12</v>
      </c>
      <c r="E3451">
        <v>93209</v>
      </c>
      <c r="F3451" t="s">
        <v>1470</v>
      </c>
      <c r="G3451" s="1">
        <v>45237</v>
      </c>
      <c r="H3451">
        <v>5414074</v>
      </c>
      <c r="I3451">
        <v>348</v>
      </c>
      <c r="J3451" t="s">
        <v>293</v>
      </c>
      <c r="K3451" t="str">
        <f>IFERROR(IF(AND(VLOOKUP($C3451,Hes!$A:$B, 1, FALSE), $M3451&lt;&gt;" "), "Ingresada", "Falta Ingresar"), " ")</f>
        <v xml:space="preserve"> </v>
      </c>
      <c r="L3451" s="4" t="s">
        <v>681</v>
      </c>
      <c r="M3451" t="s">
        <v>681</v>
      </c>
      <c r="O3451" s="5">
        <v>30858610</v>
      </c>
      <c r="P3451" s="5">
        <v>15675</v>
      </c>
      <c r="Q3451" s="5">
        <v>2978</v>
      </c>
      <c r="R3451" s="5">
        <v>18653</v>
      </c>
    </row>
    <row r="3452" spans="1:18" x14ac:dyDescent="0.25">
      <c r="A3452" t="s">
        <v>496</v>
      </c>
      <c r="B3452" t="s">
        <v>494</v>
      </c>
      <c r="C3452">
        <v>82648400</v>
      </c>
      <c r="D3452">
        <v>12</v>
      </c>
      <c r="E3452">
        <v>93186</v>
      </c>
      <c r="F3452" t="s">
        <v>1470</v>
      </c>
      <c r="G3452" s="1">
        <v>45237</v>
      </c>
      <c r="H3452">
        <v>5414107</v>
      </c>
      <c r="I3452">
        <v>348</v>
      </c>
      <c r="J3452" t="s">
        <v>293</v>
      </c>
      <c r="K3452" t="str">
        <f>IFERROR(IF(AND(VLOOKUP($C3452,Hes!$A:$B, 1, FALSE), $M3452&lt;&gt;" "), "Ingresada", "Falta Ingresar"), " ")</f>
        <v xml:space="preserve"> </v>
      </c>
      <c r="L3452" s="4" t="s">
        <v>681</v>
      </c>
      <c r="M3452" t="s">
        <v>681</v>
      </c>
      <c r="O3452" s="5">
        <v>30858967</v>
      </c>
      <c r="P3452" s="5">
        <v>82170</v>
      </c>
      <c r="Q3452" s="5">
        <v>15612</v>
      </c>
      <c r="R3452" s="5">
        <v>109852</v>
      </c>
    </row>
    <row r="3453" spans="1:18" x14ac:dyDescent="0.25">
      <c r="A3453" t="s">
        <v>496</v>
      </c>
      <c r="B3453" t="s">
        <v>494</v>
      </c>
      <c r="C3453">
        <v>82648400</v>
      </c>
      <c r="D3453">
        <v>52</v>
      </c>
      <c r="E3453">
        <v>93211</v>
      </c>
      <c r="F3453" t="s">
        <v>1470</v>
      </c>
      <c r="G3453" s="1">
        <v>45237</v>
      </c>
      <c r="H3453">
        <v>5414109</v>
      </c>
      <c r="I3453">
        <v>348</v>
      </c>
      <c r="J3453" t="s">
        <v>293</v>
      </c>
      <c r="K3453" t="str">
        <f>IFERROR(IF(AND(VLOOKUP($C3453,Hes!$A:$B, 1, FALSE), $M3453&lt;&gt;" "), "Ingresada", "Falta Ingresar"), " ")</f>
        <v xml:space="preserve"> </v>
      </c>
      <c r="L3453" s="4" t="s">
        <v>681</v>
      </c>
      <c r="M3453" t="s">
        <v>681</v>
      </c>
      <c r="O3453" s="5">
        <v>30858771</v>
      </c>
      <c r="P3453" s="5">
        <v>107631</v>
      </c>
      <c r="Q3453" s="5">
        <v>20450</v>
      </c>
      <c r="R3453" s="5">
        <v>128081</v>
      </c>
    </row>
    <row r="3454" spans="1:18" x14ac:dyDescent="0.25">
      <c r="A3454" t="s">
        <v>496</v>
      </c>
      <c r="B3454" t="s">
        <v>494</v>
      </c>
      <c r="C3454">
        <v>82648400</v>
      </c>
      <c r="D3454">
        <v>10</v>
      </c>
      <c r="E3454">
        <v>93202</v>
      </c>
      <c r="F3454" t="s">
        <v>1470</v>
      </c>
      <c r="G3454" s="1">
        <v>45237</v>
      </c>
      <c r="H3454">
        <v>5414111</v>
      </c>
      <c r="I3454">
        <v>348</v>
      </c>
      <c r="J3454" t="s">
        <v>293</v>
      </c>
      <c r="K3454" t="str">
        <f>IFERROR(IF(AND(VLOOKUP($C3454,Hes!$A:$B, 1, FALSE), $M3454&lt;&gt;" "), "Ingresada", "Falta Ingresar"), " ")</f>
        <v xml:space="preserve"> </v>
      </c>
      <c r="L3454" s="4" t="s">
        <v>681</v>
      </c>
      <c r="M3454" t="s">
        <v>681</v>
      </c>
      <c r="O3454" s="5">
        <v>30858846</v>
      </c>
      <c r="P3454" s="5">
        <v>38500</v>
      </c>
      <c r="Q3454" s="5">
        <v>7315</v>
      </c>
      <c r="R3454" s="5">
        <v>45815</v>
      </c>
    </row>
    <row r="3455" spans="1:18" x14ac:dyDescent="0.25">
      <c r="A3455" t="s">
        <v>496</v>
      </c>
      <c r="B3455" t="s">
        <v>494</v>
      </c>
      <c r="C3455">
        <v>82648400</v>
      </c>
      <c r="D3455">
        <v>14</v>
      </c>
      <c r="E3455">
        <v>93203</v>
      </c>
      <c r="F3455" t="s">
        <v>1470</v>
      </c>
      <c r="G3455" s="1">
        <v>45237</v>
      </c>
      <c r="H3455">
        <v>5414165</v>
      </c>
      <c r="I3455">
        <v>348</v>
      </c>
      <c r="J3455" t="s">
        <v>293</v>
      </c>
      <c r="K3455" t="str">
        <f>IFERROR(IF(AND(VLOOKUP($C3455,Hes!$A:$B, 1, FALSE), $M3455&lt;&gt;" "), "Ingresada", "Falta Ingresar"), " ")</f>
        <v xml:space="preserve"> </v>
      </c>
      <c r="L3455" s="4" t="s">
        <v>681</v>
      </c>
      <c r="M3455" t="s">
        <v>681</v>
      </c>
      <c r="O3455" s="5">
        <v>30859056</v>
      </c>
      <c r="P3455" s="5">
        <v>522687</v>
      </c>
      <c r="Q3455" s="5">
        <v>99311</v>
      </c>
      <c r="R3455" s="5">
        <v>621998</v>
      </c>
    </row>
    <row r="3456" spans="1:18" x14ac:dyDescent="0.25">
      <c r="A3456" t="s">
        <v>496</v>
      </c>
      <c r="B3456" t="s">
        <v>494</v>
      </c>
      <c r="C3456">
        <v>82648400</v>
      </c>
      <c r="D3456">
        <v>12</v>
      </c>
      <c r="E3456">
        <v>93198</v>
      </c>
      <c r="F3456" t="s">
        <v>1470</v>
      </c>
      <c r="G3456" s="1">
        <v>45237</v>
      </c>
      <c r="H3456">
        <v>5414177</v>
      </c>
      <c r="I3456">
        <v>348</v>
      </c>
      <c r="J3456" t="s">
        <v>293</v>
      </c>
      <c r="K3456" t="str">
        <f>IFERROR(IF(AND(VLOOKUP($C3456,Hes!$A:$B, 1, FALSE), $M3456&lt;&gt;" "), "Ingresada", "Falta Ingresar"), " ")</f>
        <v xml:space="preserve"> </v>
      </c>
      <c r="L3456" s="4" t="s">
        <v>681</v>
      </c>
      <c r="M3456" t="s">
        <v>681</v>
      </c>
      <c r="O3456" s="5">
        <v>30858865</v>
      </c>
      <c r="P3456" s="5">
        <v>51440</v>
      </c>
      <c r="Q3456" s="5">
        <v>9774</v>
      </c>
      <c r="R3456" s="5">
        <v>61214</v>
      </c>
    </row>
    <row r="3457" spans="1:18" x14ac:dyDescent="0.25">
      <c r="A3457" t="s">
        <v>496</v>
      </c>
      <c r="B3457" t="s">
        <v>494</v>
      </c>
      <c r="C3457">
        <v>82648400</v>
      </c>
      <c r="D3457">
        <v>17</v>
      </c>
      <c r="E3457">
        <v>93195</v>
      </c>
      <c r="F3457" t="s">
        <v>1470</v>
      </c>
      <c r="G3457" s="1">
        <v>45237</v>
      </c>
      <c r="H3457">
        <v>5414200</v>
      </c>
      <c r="I3457">
        <v>348</v>
      </c>
      <c r="J3457" t="s">
        <v>293</v>
      </c>
      <c r="K3457" t="str">
        <f>IFERROR(IF(AND(VLOOKUP($C3457,Hes!$A:$B, 1, FALSE), $M3457&lt;&gt;" "), "Ingresada", "Falta Ingresar"), " ")</f>
        <v xml:space="preserve"> </v>
      </c>
      <c r="L3457" s="4" t="s">
        <v>681</v>
      </c>
      <c r="M3457" t="s">
        <v>681</v>
      </c>
      <c r="O3457" s="5">
        <v>30858982</v>
      </c>
      <c r="P3457" s="5">
        <v>43794</v>
      </c>
      <c r="Q3457" s="5">
        <v>8321</v>
      </c>
      <c r="R3457" s="5">
        <v>52115</v>
      </c>
    </row>
    <row r="3458" spans="1:18" x14ac:dyDescent="0.25">
      <c r="A3458" t="s">
        <v>496</v>
      </c>
      <c r="B3458" t="s">
        <v>494</v>
      </c>
      <c r="C3458">
        <v>82648400</v>
      </c>
      <c r="D3458">
        <v>12</v>
      </c>
      <c r="E3458">
        <v>93197</v>
      </c>
      <c r="F3458" t="s">
        <v>1470</v>
      </c>
      <c r="G3458" s="1">
        <v>45237</v>
      </c>
      <c r="H3458">
        <v>5414218</v>
      </c>
      <c r="I3458">
        <v>348</v>
      </c>
      <c r="J3458" t="s">
        <v>293</v>
      </c>
      <c r="K3458" t="str">
        <f>IFERROR(IF(AND(VLOOKUP($C3458,Hes!$A:$B, 1, FALSE), $M3458&lt;&gt;" "), "Ingresada", "Falta Ingresar"), " ")</f>
        <v xml:space="preserve"> </v>
      </c>
      <c r="L3458" s="4" t="s">
        <v>681</v>
      </c>
      <c r="M3458" t="s">
        <v>681</v>
      </c>
      <c r="O3458" s="5">
        <v>30858884</v>
      </c>
      <c r="P3458" s="5">
        <v>52250</v>
      </c>
      <c r="Q3458" s="5">
        <v>9928</v>
      </c>
      <c r="R3458" s="5">
        <v>62178</v>
      </c>
    </row>
    <row r="3459" spans="1:18" x14ac:dyDescent="0.25">
      <c r="A3459" t="s">
        <v>496</v>
      </c>
      <c r="B3459" t="s">
        <v>494</v>
      </c>
      <c r="C3459">
        <v>82648400</v>
      </c>
      <c r="D3459">
        <v>14</v>
      </c>
      <c r="E3459">
        <v>93207</v>
      </c>
      <c r="F3459" t="s">
        <v>1470</v>
      </c>
      <c r="G3459" s="1">
        <v>45237</v>
      </c>
      <c r="H3459">
        <v>5414355</v>
      </c>
      <c r="I3459">
        <v>348</v>
      </c>
      <c r="J3459" t="s">
        <v>293</v>
      </c>
      <c r="K3459" t="str">
        <f>IFERROR(IF(AND(VLOOKUP($C3459,Hes!$A:$B, 1, FALSE), $M3459&lt;&gt;" "), "Ingresada", "Falta Ingresar"), " ")</f>
        <v xml:space="preserve"> </v>
      </c>
      <c r="L3459" s="4" t="s">
        <v>681</v>
      </c>
      <c r="M3459" t="s">
        <v>681</v>
      </c>
      <c r="O3459" s="5">
        <v>30859020</v>
      </c>
      <c r="P3459" s="5">
        <v>627216</v>
      </c>
      <c r="Q3459" s="5">
        <v>119171</v>
      </c>
      <c r="R3459" s="5">
        <v>746387</v>
      </c>
    </row>
    <row r="3460" spans="1:18" x14ac:dyDescent="0.25">
      <c r="A3460" t="s">
        <v>496</v>
      </c>
      <c r="B3460" t="s">
        <v>494</v>
      </c>
      <c r="C3460">
        <v>82648400</v>
      </c>
      <c r="D3460">
        <v>17</v>
      </c>
      <c r="E3460">
        <v>93193</v>
      </c>
      <c r="F3460" t="s">
        <v>1470</v>
      </c>
      <c r="G3460" s="1">
        <v>45237</v>
      </c>
      <c r="H3460">
        <v>5414439</v>
      </c>
      <c r="I3460">
        <v>348</v>
      </c>
      <c r="J3460" t="s">
        <v>293</v>
      </c>
      <c r="K3460" t="str">
        <f>IFERROR(IF(AND(VLOOKUP($C3460,Hes!$A:$B, 1, FALSE), $M3460&lt;&gt;" "), "Ingresada", "Falta Ingresar"), " ")</f>
        <v xml:space="preserve"> </v>
      </c>
      <c r="L3460" s="4" t="s">
        <v>681</v>
      </c>
      <c r="M3460" t="s">
        <v>681</v>
      </c>
      <c r="O3460" s="5">
        <v>30858923</v>
      </c>
      <c r="P3460" s="5">
        <v>6442</v>
      </c>
      <c r="Q3460" s="5">
        <v>1224</v>
      </c>
      <c r="R3460" s="5">
        <v>7666</v>
      </c>
    </row>
    <row r="3461" spans="1:18" x14ac:dyDescent="0.25">
      <c r="A3461" t="s">
        <v>496</v>
      </c>
      <c r="B3461" t="s">
        <v>494</v>
      </c>
      <c r="C3461">
        <v>82648400</v>
      </c>
      <c r="D3461">
        <v>9</v>
      </c>
      <c r="E3461">
        <v>93210</v>
      </c>
      <c r="F3461" t="s">
        <v>1470</v>
      </c>
      <c r="G3461" s="1">
        <v>45237</v>
      </c>
      <c r="H3461">
        <v>5414462</v>
      </c>
      <c r="I3461">
        <v>348</v>
      </c>
      <c r="J3461" t="s">
        <v>293</v>
      </c>
      <c r="K3461" t="str">
        <f>IFERROR(IF(AND(VLOOKUP($C3461,Hes!$A:$B, 1, FALSE), $M3461&lt;&gt;" "), "Ingresada", "Falta Ingresar"), " ")</f>
        <v xml:space="preserve"> </v>
      </c>
      <c r="L3461" s="4" t="s">
        <v>681</v>
      </c>
      <c r="M3461" t="s">
        <v>681</v>
      </c>
      <c r="O3461" s="5">
        <v>30858807</v>
      </c>
      <c r="P3461" s="5">
        <v>7664</v>
      </c>
      <c r="Q3461" s="5">
        <v>1456</v>
      </c>
      <c r="R3461" s="5">
        <v>9120</v>
      </c>
    </row>
    <row r="3462" spans="1:18" x14ac:dyDescent="0.25">
      <c r="F3462" t="s">
        <v>1471</v>
      </c>
      <c r="K3462" t="str">
        <f>IFERROR(IF(AND(VLOOKUP($C3462,Hes!$A:$B, 1, FALSE), $M3462&lt;&gt;" "), "Ingresada", "Falta Ingresar"), " ")</f>
        <v xml:space="preserve"> </v>
      </c>
      <c r="L3462" s="4" t="str">
        <f>IFERROR(VLOOKUP($C3462,Observaciones!$A:$B,2,FALSE)," ")</f>
        <v xml:space="preserve"> </v>
      </c>
      <c r="M3462" t="s">
        <v>681</v>
      </c>
      <c r="P3462" s="5">
        <v>10117421</v>
      </c>
      <c r="Q3462" s="5">
        <v>1922311</v>
      </c>
      <c r="R3462" s="5">
        <v>12062321</v>
      </c>
    </row>
    <row r="3463" spans="1:18" x14ac:dyDescent="0.25">
      <c r="A3463" t="s">
        <v>503</v>
      </c>
      <c r="B3463" t="s">
        <v>494</v>
      </c>
      <c r="C3463">
        <v>82677300</v>
      </c>
      <c r="D3463">
        <v>4</v>
      </c>
      <c r="E3463">
        <v>30852359</v>
      </c>
      <c r="F3463" t="s">
        <v>1472</v>
      </c>
      <c r="G3463" s="1">
        <v>45236</v>
      </c>
      <c r="H3463">
        <v>5412432</v>
      </c>
      <c r="I3463">
        <v>409</v>
      </c>
      <c r="J3463" t="s">
        <v>186</v>
      </c>
      <c r="K3463" t="str">
        <f>IFERROR(IF(AND(VLOOKUP($C3463,Hes!$A:$B, 1, FALSE), $M3463&lt;&gt;" "), "Ingresada", "Falta Ingresar"), " ")</f>
        <v xml:space="preserve"> </v>
      </c>
      <c r="L3463" s="4" t="s">
        <v>681</v>
      </c>
      <c r="M3463" t="s">
        <v>681</v>
      </c>
      <c r="O3463" s="5">
        <v>30852359</v>
      </c>
      <c r="P3463" s="5">
        <v>39112</v>
      </c>
      <c r="Q3463" s="5">
        <v>7431</v>
      </c>
      <c r="R3463" s="5">
        <v>46543</v>
      </c>
    </row>
    <row r="3464" spans="1:18" x14ac:dyDescent="0.25">
      <c r="F3464" t="s">
        <v>495</v>
      </c>
      <c r="K3464" t="str">
        <f>IFERROR(IF(AND(VLOOKUP($C3464,Hes!$A:$B, 1, FALSE), $M3464&lt;&gt;" "), "Ingresada", "Falta Ingresar"), " ")</f>
        <v xml:space="preserve"> </v>
      </c>
      <c r="L3464" s="4" t="str">
        <f>IFERROR(VLOOKUP($C3464,Observaciones!$A:$B,2,FALSE)," ")</f>
        <v xml:space="preserve"> </v>
      </c>
      <c r="M3464" t="s">
        <v>681</v>
      </c>
      <c r="P3464" s="5">
        <v>39112</v>
      </c>
      <c r="Q3464" s="5">
        <v>7431</v>
      </c>
      <c r="R3464" s="5">
        <v>46543</v>
      </c>
    </row>
    <row r="3465" spans="1:18" x14ac:dyDescent="0.25">
      <c r="A3465" t="s">
        <v>3</v>
      </c>
      <c r="B3465" t="s">
        <v>494</v>
      </c>
      <c r="C3465">
        <v>82995700</v>
      </c>
      <c r="D3465">
        <v>24</v>
      </c>
      <c r="E3465">
        <v>30851124</v>
      </c>
      <c r="F3465" t="s">
        <v>1473</v>
      </c>
      <c r="G3465" s="1">
        <v>45236</v>
      </c>
      <c r="H3465">
        <v>5413526</v>
      </c>
      <c r="I3465">
        <v>25</v>
      </c>
      <c r="J3465" t="s">
        <v>323</v>
      </c>
      <c r="K3465" t="str">
        <f>IFERROR(IF(AND(VLOOKUP($C3465,Hes!$A:$B, 1, FALSE), $M3465&lt;&gt;" "), "Ingresada", "Falta Ingresar"), " ")</f>
        <v xml:space="preserve"> </v>
      </c>
      <c r="L3465" s="4" t="str">
        <f>IFERROR(VLOOKUP($C3465,Observaciones!$A:$B,2,FALSE)," ")</f>
        <v>ULTIMO DIA, ESPERAR INFORME DE LUCIA, DEBE CUADRAR MONTOS</v>
      </c>
      <c r="M3465" t="s">
        <v>681</v>
      </c>
      <c r="O3465" s="5">
        <v>30851124</v>
      </c>
      <c r="P3465" s="5">
        <v>86629</v>
      </c>
      <c r="Q3465" s="5">
        <v>16460</v>
      </c>
      <c r="R3465" s="5">
        <v>103089</v>
      </c>
    </row>
    <row r="3466" spans="1:18" x14ac:dyDescent="0.25">
      <c r="A3466" t="s">
        <v>3</v>
      </c>
      <c r="B3466" t="s">
        <v>494</v>
      </c>
      <c r="C3466">
        <v>82995700</v>
      </c>
      <c r="D3466">
        <v>7</v>
      </c>
      <c r="E3466">
        <v>30854905</v>
      </c>
      <c r="F3466" t="s">
        <v>1473</v>
      </c>
      <c r="G3466" s="1">
        <v>45236</v>
      </c>
      <c r="H3466">
        <v>5413598</v>
      </c>
      <c r="I3466">
        <v>25</v>
      </c>
      <c r="J3466" t="s">
        <v>323</v>
      </c>
      <c r="K3466" t="str">
        <f>IFERROR(IF(AND(VLOOKUP($C3466,Hes!$A:$B, 1, FALSE), $M3466&lt;&gt;" "), "Ingresada", "Falta Ingresar"), " ")</f>
        <v xml:space="preserve"> </v>
      </c>
      <c r="L3466" s="4" t="str">
        <f>IFERROR(VLOOKUP($C3466,Observaciones!$A:$B,2,FALSE)," ")</f>
        <v>ULTIMO DIA, ESPERAR INFORME DE LUCIA, DEBE CUADRAR MONTOS</v>
      </c>
      <c r="M3466" t="s">
        <v>681</v>
      </c>
      <c r="O3466" s="5">
        <v>30854905</v>
      </c>
      <c r="P3466" s="5">
        <v>240038</v>
      </c>
      <c r="Q3466" s="5">
        <v>45607</v>
      </c>
      <c r="R3466" s="5">
        <v>285645</v>
      </c>
    </row>
    <row r="3467" spans="1:18" x14ac:dyDescent="0.25">
      <c r="A3467" t="s">
        <v>3</v>
      </c>
      <c r="B3467" t="s">
        <v>494</v>
      </c>
      <c r="C3467">
        <v>82995700</v>
      </c>
      <c r="D3467">
        <v>73</v>
      </c>
      <c r="E3467">
        <v>30854910</v>
      </c>
      <c r="F3467" t="s">
        <v>1473</v>
      </c>
      <c r="G3467" s="1">
        <v>45236</v>
      </c>
      <c r="H3467">
        <v>5413734</v>
      </c>
      <c r="I3467">
        <v>25</v>
      </c>
      <c r="J3467" t="s">
        <v>323</v>
      </c>
      <c r="K3467" t="str">
        <f>IFERROR(IF(AND(VLOOKUP($C3467,Hes!$A:$B, 1, FALSE), $M3467&lt;&gt;" "), "Ingresada", "Falta Ingresar"), " ")</f>
        <v xml:space="preserve"> </v>
      </c>
      <c r="L3467" s="4" t="str">
        <f>IFERROR(VLOOKUP($C3467,Observaciones!$A:$B,2,FALSE)," ")</f>
        <v>ULTIMO DIA, ESPERAR INFORME DE LUCIA, DEBE CUADRAR MONTOS</v>
      </c>
      <c r="M3467" t="s">
        <v>681</v>
      </c>
      <c r="O3467" s="5">
        <v>30854910</v>
      </c>
      <c r="P3467" s="5">
        <v>119475</v>
      </c>
      <c r="Q3467" s="5">
        <v>22700</v>
      </c>
      <c r="R3467" s="5">
        <v>142175</v>
      </c>
    </row>
    <row r="3468" spans="1:18" x14ac:dyDescent="0.25">
      <c r="A3468" t="s">
        <v>3</v>
      </c>
      <c r="B3468" t="s">
        <v>494</v>
      </c>
      <c r="C3468">
        <v>82995700</v>
      </c>
      <c r="D3468">
        <v>49</v>
      </c>
      <c r="E3468">
        <v>30854909</v>
      </c>
      <c r="F3468" t="s">
        <v>1473</v>
      </c>
      <c r="G3468" s="1">
        <v>45236</v>
      </c>
      <c r="H3468">
        <v>5413767</v>
      </c>
      <c r="I3468">
        <v>25</v>
      </c>
      <c r="J3468" t="s">
        <v>323</v>
      </c>
      <c r="K3468" t="str">
        <f>IFERROR(IF(AND(VLOOKUP($C3468,Hes!$A:$B, 1, FALSE), $M3468&lt;&gt;" "), "Ingresada", "Falta Ingresar"), " ")</f>
        <v xml:space="preserve"> </v>
      </c>
      <c r="L3468" s="4" t="str">
        <f>IFERROR(VLOOKUP($C3468,Observaciones!$A:$B,2,FALSE)," ")</f>
        <v>ULTIMO DIA, ESPERAR INFORME DE LUCIA, DEBE CUADRAR MONTOS</v>
      </c>
      <c r="M3468" t="s">
        <v>681</v>
      </c>
      <c r="O3468" s="5">
        <v>30854909</v>
      </c>
      <c r="P3468" s="5">
        <v>149964</v>
      </c>
      <c r="Q3468" s="5">
        <v>28493</v>
      </c>
      <c r="R3468" s="5">
        <v>178457</v>
      </c>
    </row>
    <row r="3469" spans="1:18" x14ac:dyDescent="0.25">
      <c r="A3469" t="s">
        <v>3</v>
      </c>
      <c r="B3469" t="s">
        <v>494</v>
      </c>
      <c r="C3469">
        <v>82995700</v>
      </c>
      <c r="D3469">
        <v>39</v>
      </c>
      <c r="E3469">
        <v>30859517</v>
      </c>
      <c r="F3469" t="s">
        <v>1473</v>
      </c>
      <c r="G3469" s="1">
        <v>45237</v>
      </c>
      <c r="H3469">
        <v>5414089</v>
      </c>
      <c r="I3469">
        <v>25</v>
      </c>
      <c r="J3469" t="s">
        <v>323</v>
      </c>
      <c r="K3469" t="str">
        <f>IFERROR(IF(AND(VLOOKUP($C3469,Hes!$A:$B, 1, FALSE), $M3469&lt;&gt;" "), "Ingresada", "Falta Ingresar"), " ")</f>
        <v xml:space="preserve"> </v>
      </c>
      <c r="L3469" s="4" t="str">
        <f>IFERROR(VLOOKUP($C3469,Observaciones!$A:$B,2,FALSE)," ")</f>
        <v>ULTIMO DIA, ESPERAR INFORME DE LUCIA, DEBE CUADRAR MONTOS</v>
      </c>
      <c r="M3469" t="s">
        <v>681</v>
      </c>
      <c r="O3469" s="5">
        <v>30859517</v>
      </c>
      <c r="P3469" s="5">
        <v>68227</v>
      </c>
      <c r="Q3469" s="5">
        <v>12963</v>
      </c>
      <c r="R3469" s="5">
        <v>81190</v>
      </c>
    </row>
    <row r="3470" spans="1:18" x14ac:dyDescent="0.25">
      <c r="A3470" t="s">
        <v>3</v>
      </c>
      <c r="B3470" t="s">
        <v>494</v>
      </c>
      <c r="C3470">
        <v>82995700</v>
      </c>
      <c r="D3470">
        <v>47</v>
      </c>
      <c r="E3470">
        <v>30859511</v>
      </c>
      <c r="F3470" t="s">
        <v>1473</v>
      </c>
      <c r="G3470" s="1">
        <v>45237</v>
      </c>
      <c r="H3470">
        <v>5414306</v>
      </c>
      <c r="I3470">
        <v>25</v>
      </c>
      <c r="J3470" t="s">
        <v>323</v>
      </c>
      <c r="K3470" t="str">
        <f>IFERROR(IF(AND(VLOOKUP($C3470,Hes!$A:$B, 1, FALSE), $M3470&lt;&gt;" "), "Ingresada", "Falta Ingresar"), " ")</f>
        <v xml:space="preserve"> </v>
      </c>
      <c r="L3470" s="4" t="str">
        <f>IFERROR(VLOOKUP($C3470,Observaciones!$A:$B,2,FALSE)," ")</f>
        <v>ULTIMO DIA, ESPERAR INFORME DE LUCIA, DEBE CUADRAR MONTOS</v>
      </c>
      <c r="M3470" t="s">
        <v>681</v>
      </c>
      <c r="O3470" s="5">
        <v>30859511</v>
      </c>
      <c r="P3470" s="5">
        <v>335839</v>
      </c>
      <c r="Q3470" s="5">
        <v>63809</v>
      </c>
      <c r="R3470" s="5">
        <v>399648</v>
      </c>
    </row>
    <row r="3471" spans="1:18" x14ac:dyDescent="0.25">
      <c r="A3471" t="s">
        <v>3</v>
      </c>
      <c r="B3471" t="s">
        <v>494</v>
      </c>
      <c r="C3471">
        <v>82995700</v>
      </c>
      <c r="D3471">
        <v>44</v>
      </c>
      <c r="E3471">
        <v>30859476</v>
      </c>
      <c r="F3471" t="s">
        <v>1473</v>
      </c>
      <c r="G3471" s="1">
        <v>45237</v>
      </c>
      <c r="H3471">
        <v>5414313</v>
      </c>
      <c r="I3471">
        <v>25</v>
      </c>
      <c r="J3471" t="s">
        <v>323</v>
      </c>
      <c r="K3471" t="str">
        <f>IFERROR(IF(AND(VLOOKUP($C3471,Hes!$A:$B, 1, FALSE), $M3471&lt;&gt;" "), "Ingresada", "Falta Ingresar"), " ")</f>
        <v xml:space="preserve"> </v>
      </c>
      <c r="L3471" s="4" t="str">
        <f>IFERROR(VLOOKUP($C3471,Observaciones!$A:$B,2,FALSE)," ")</f>
        <v>ULTIMO DIA, ESPERAR INFORME DE LUCIA, DEBE CUADRAR MONTOS</v>
      </c>
      <c r="M3471" t="s">
        <v>681</v>
      </c>
      <c r="O3471" s="5">
        <v>30859476</v>
      </c>
      <c r="P3471" s="5">
        <v>202464</v>
      </c>
      <c r="Q3471" s="5">
        <v>38468</v>
      </c>
      <c r="R3471" s="5">
        <v>240932</v>
      </c>
    </row>
    <row r="3472" spans="1:18" x14ac:dyDescent="0.25">
      <c r="A3472" t="s">
        <v>3</v>
      </c>
      <c r="B3472" t="s">
        <v>494</v>
      </c>
      <c r="C3472">
        <v>82995700</v>
      </c>
      <c r="D3472">
        <v>55</v>
      </c>
      <c r="E3472">
        <v>30860498</v>
      </c>
      <c r="F3472" t="s">
        <v>1473</v>
      </c>
      <c r="G3472" s="1">
        <v>45237</v>
      </c>
      <c r="H3472">
        <v>5414410</v>
      </c>
      <c r="I3472">
        <v>25</v>
      </c>
      <c r="J3472" t="s">
        <v>323</v>
      </c>
      <c r="K3472" t="str">
        <f>IFERROR(IF(AND(VLOOKUP($C3472,Hes!$A:$B, 1, FALSE), $M3472&lt;&gt;" "), "Ingresada", "Falta Ingresar"), " ")</f>
        <v xml:space="preserve"> </v>
      </c>
      <c r="L3472" s="4" t="str">
        <f>IFERROR(VLOOKUP($C3472,Observaciones!$A:$B,2,FALSE)," ")</f>
        <v>ULTIMO DIA, ESPERAR INFORME DE LUCIA, DEBE CUADRAR MONTOS</v>
      </c>
      <c r="M3472" t="s">
        <v>681</v>
      </c>
      <c r="O3472" s="5">
        <v>30860498</v>
      </c>
      <c r="P3472" s="5">
        <v>49089</v>
      </c>
      <c r="Q3472" s="5">
        <v>9327</v>
      </c>
      <c r="R3472" s="5">
        <v>58416</v>
      </c>
    </row>
    <row r="3473" spans="1:18" x14ac:dyDescent="0.25">
      <c r="A3473" t="s">
        <v>3</v>
      </c>
      <c r="B3473" t="s">
        <v>494</v>
      </c>
      <c r="C3473">
        <v>82995700</v>
      </c>
      <c r="D3473">
        <v>56</v>
      </c>
      <c r="E3473">
        <v>30860501</v>
      </c>
      <c r="F3473" t="s">
        <v>1473</v>
      </c>
      <c r="G3473" s="1">
        <v>45237</v>
      </c>
      <c r="H3473">
        <v>5414452</v>
      </c>
      <c r="I3473">
        <v>25</v>
      </c>
      <c r="J3473" t="s">
        <v>323</v>
      </c>
      <c r="K3473" t="str">
        <f>IFERROR(IF(AND(VLOOKUP($C3473,Hes!$A:$B, 1, FALSE), $M3473&lt;&gt;" "), "Ingresada", "Falta Ingresar"), " ")</f>
        <v xml:space="preserve"> </v>
      </c>
      <c r="L3473" s="4" t="str">
        <f>IFERROR(VLOOKUP($C3473,Observaciones!$A:$B,2,FALSE)," ")</f>
        <v>ULTIMO DIA, ESPERAR INFORME DE LUCIA, DEBE CUADRAR MONTOS</v>
      </c>
      <c r="M3473" t="s">
        <v>681</v>
      </c>
      <c r="O3473" s="5">
        <v>30860501</v>
      </c>
      <c r="P3473" s="5">
        <v>44999</v>
      </c>
      <c r="Q3473" s="5">
        <v>8550</v>
      </c>
      <c r="R3473" s="5">
        <v>53549</v>
      </c>
    </row>
    <row r="3474" spans="1:18" x14ac:dyDescent="0.25">
      <c r="A3474" t="s">
        <v>3</v>
      </c>
      <c r="B3474" t="s">
        <v>494</v>
      </c>
      <c r="C3474">
        <v>82995700</v>
      </c>
      <c r="D3474">
        <v>106</v>
      </c>
      <c r="E3474">
        <v>30859537</v>
      </c>
      <c r="F3474" t="s">
        <v>1473</v>
      </c>
      <c r="G3474" s="1">
        <v>45237</v>
      </c>
      <c r="H3474">
        <v>5414470</v>
      </c>
      <c r="I3474">
        <v>25</v>
      </c>
      <c r="J3474" t="s">
        <v>323</v>
      </c>
      <c r="K3474" t="str">
        <f>IFERROR(IF(AND(VLOOKUP($C3474,Hes!$A:$B, 1, FALSE), $M3474&lt;&gt;" "), "Ingresada", "Falta Ingresar"), " ")</f>
        <v xml:space="preserve"> </v>
      </c>
      <c r="L3474" s="4" t="str">
        <f>IFERROR(VLOOKUP($C3474,Observaciones!$A:$B,2,FALSE)," ")</f>
        <v>ULTIMO DIA, ESPERAR INFORME DE LUCIA, DEBE CUADRAR MONTOS</v>
      </c>
      <c r="M3474" t="s">
        <v>681</v>
      </c>
      <c r="O3474" s="5">
        <v>30859537</v>
      </c>
      <c r="P3474" s="5">
        <v>29590</v>
      </c>
      <c r="Q3474" s="5">
        <v>5622</v>
      </c>
      <c r="R3474" s="5">
        <v>35212</v>
      </c>
    </row>
    <row r="3475" spans="1:18" x14ac:dyDescent="0.25">
      <c r="A3475" t="s">
        <v>3</v>
      </c>
      <c r="B3475" t="s">
        <v>494</v>
      </c>
      <c r="C3475">
        <v>82995700</v>
      </c>
      <c r="D3475">
        <v>57</v>
      </c>
      <c r="E3475">
        <v>30860496</v>
      </c>
      <c r="F3475" t="s">
        <v>1473</v>
      </c>
      <c r="G3475" s="1">
        <v>45238</v>
      </c>
      <c r="H3475">
        <v>5414995</v>
      </c>
      <c r="I3475">
        <v>25</v>
      </c>
      <c r="J3475" t="s">
        <v>323</v>
      </c>
      <c r="K3475" t="str">
        <f>IFERROR(IF(AND(VLOOKUP($C3475,Hes!$A:$B, 1, FALSE), $M3475&lt;&gt;" "), "Ingresada", "Falta Ingresar"), " ")</f>
        <v xml:space="preserve"> </v>
      </c>
      <c r="L3475" s="4" t="str">
        <f>IFERROR(VLOOKUP($C3475,Observaciones!$A:$B,2,FALSE)," ")</f>
        <v>ULTIMO DIA, ESPERAR INFORME DE LUCIA, DEBE CUADRAR MONTOS</v>
      </c>
      <c r="M3475" t="s">
        <v>681</v>
      </c>
      <c r="O3475" s="5">
        <v>30860496</v>
      </c>
      <c r="P3475" s="5">
        <v>92033</v>
      </c>
      <c r="Q3475" s="5">
        <v>17486</v>
      </c>
      <c r="R3475" s="5">
        <v>109519</v>
      </c>
    </row>
    <row r="3476" spans="1:18" x14ac:dyDescent="0.25">
      <c r="A3476" t="s">
        <v>3</v>
      </c>
      <c r="B3476" t="s">
        <v>494</v>
      </c>
      <c r="C3476">
        <v>82995700</v>
      </c>
      <c r="D3476">
        <v>41</v>
      </c>
      <c r="E3476">
        <v>30860493</v>
      </c>
      <c r="F3476" t="s">
        <v>1473</v>
      </c>
      <c r="G3476" s="1">
        <v>45238</v>
      </c>
      <c r="H3476">
        <v>5414998</v>
      </c>
      <c r="I3476">
        <v>25</v>
      </c>
      <c r="J3476" t="s">
        <v>323</v>
      </c>
      <c r="K3476" t="str">
        <f>IFERROR(IF(AND(VLOOKUP($C3476,Hes!$A:$B, 1, FALSE), $M3476&lt;&gt;" "), "Ingresada", "Falta Ingresar"), " ")</f>
        <v xml:space="preserve"> </v>
      </c>
      <c r="L3476" s="4" t="str">
        <f>IFERROR(VLOOKUP($C3476,Observaciones!$A:$B,2,FALSE)," ")</f>
        <v>ULTIMO DIA, ESPERAR INFORME DE LUCIA, DEBE CUADRAR MONTOS</v>
      </c>
      <c r="M3476" t="s">
        <v>681</v>
      </c>
      <c r="O3476" s="5">
        <v>30860493</v>
      </c>
      <c r="P3476" s="5">
        <v>67208</v>
      </c>
      <c r="Q3476" s="5">
        <v>12770</v>
      </c>
      <c r="R3476" s="5">
        <v>79978</v>
      </c>
    </row>
    <row r="3477" spans="1:18" x14ac:dyDescent="0.25">
      <c r="A3477" t="s">
        <v>3</v>
      </c>
      <c r="B3477" t="s">
        <v>494</v>
      </c>
      <c r="C3477">
        <v>82995700</v>
      </c>
      <c r="D3477">
        <v>58</v>
      </c>
      <c r="E3477">
        <v>30864732</v>
      </c>
      <c r="F3477" t="s">
        <v>1473</v>
      </c>
      <c r="G3477" s="1">
        <v>45238</v>
      </c>
      <c r="H3477">
        <v>5415790</v>
      </c>
      <c r="I3477">
        <v>25</v>
      </c>
      <c r="J3477" t="s">
        <v>323</v>
      </c>
      <c r="K3477" t="str">
        <f>IFERROR(IF(AND(VLOOKUP($C3477,Hes!$A:$B, 1, FALSE), $M3477&lt;&gt;" "), "Ingresada", "Falta Ingresar"), " ")</f>
        <v xml:space="preserve"> </v>
      </c>
      <c r="L3477" s="4" t="str">
        <f>IFERROR(VLOOKUP($C3477,Observaciones!$A:$B,2,FALSE)," ")</f>
        <v>ULTIMO DIA, ESPERAR INFORME DE LUCIA, DEBE CUADRAR MONTOS</v>
      </c>
      <c r="M3477" t="s">
        <v>681</v>
      </c>
      <c r="O3477" s="5">
        <v>30864732</v>
      </c>
      <c r="P3477" s="5">
        <v>115430</v>
      </c>
      <c r="Q3477" s="5">
        <v>21932</v>
      </c>
      <c r="R3477" s="5">
        <v>137362</v>
      </c>
    </row>
    <row r="3478" spans="1:18" x14ac:dyDescent="0.25">
      <c r="F3478" t="s">
        <v>544</v>
      </c>
      <c r="K3478" t="str">
        <f>IFERROR(IF(AND(VLOOKUP($C3478,Hes!$A:$B, 1, FALSE), $M3478&lt;&gt;" "), "Ingresada", "Falta Ingresar"), " ")</f>
        <v xml:space="preserve"> </v>
      </c>
      <c r="L3478" s="4" t="str">
        <f>IFERROR(VLOOKUP($C3478,Observaciones!$A:$B,2,FALSE)," ")</f>
        <v xml:space="preserve"> </v>
      </c>
      <c r="M3478" t="s">
        <v>681</v>
      </c>
      <c r="P3478" s="5">
        <v>1600985</v>
      </c>
      <c r="Q3478" s="5">
        <v>304187</v>
      </c>
      <c r="R3478" s="5">
        <v>1905172</v>
      </c>
    </row>
    <row r="3479" spans="1:18" x14ac:dyDescent="0.25">
      <c r="A3479" t="s">
        <v>512</v>
      </c>
      <c r="B3479" t="s">
        <v>494</v>
      </c>
      <c r="C3479">
        <v>83187800</v>
      </c>
      <c r="D3479">
        <v>2</v>
      </c>
      <c r="E3479" t="s">
        <v>1474</v>
      </c>
      <c r="F3479" t="s">
        <v>1475</v>
      </c>
      <c r="G3479" s="1">
        <v>45231</v>
      </c>
      <c r="H3479">
        <v>5410591</v>
      </c>
      <c r="I3479">
        <v>272</v>
      </c>
      <c r="J3479" t="s">
        <v>398</v>
      </c>
      <c r="K3479" s="8" t="str">
        <f>IFERROR(IF(AND(VLOOKUP($C3479,Hes!$A:$B, 1, FALSE), $M3479&lt;&gt;" "), "Ingresada", "Falta Ingresar"), " ")</f>
        <v>Falta Ingresar</v>
      </c>
      <c r="L3479" s="4" t="str">
        <f>IFERROR(VLOOKUP($C3479,Observaciones!$A:$B,2,FALSE)," ")</f>
        <v xml:space="preserve"> </v>
      </c>
      <c r="M3479" t="s">
        <v>681</v>
      </c>
      <c r="O3479" s="5">
        <v>30846065</v>
      </c>
      <c r="P3479" s="5">
        <v>108635</v>
      </c>
      <c r="Q3479" s="5">
        <v>20641</v>
      </c>
      <c r="R3479" s="5">
        <v>129276</v>
      </c>
    </row>
    <row r="3480" spans="1:18" x14ac:dyDescent="0.25">
      <c r="A3480" t="s">
        <v>512</v>
      </c>
      <c r="B3480" t="s">
        <v>494</v>
      </c>
      <c r="C3480">
        <v>83187800</v>
      </c>
      <c r="D3480">
        <v>55</v>
      </c>
      <c r="E3480" t="s">
        <v>1474</v>
      </c>
      <c r="F3480" t="s">
        <v>1475</v>
      </c>
      <c r="G3480" s="1">
        <v>45231</v>
      </c>
      <c r="H3480">
        <v>5410592</v>
      </c>
      <c r="I3480">
        <v>272</v>
      </c>
      <c r="J3480" t="s">
        <v>398</v>
      </c>
      <c r="K3480" s="8" t="str">
        <f>IFERROR(IF(AND(VLOOKUP($C3480,Hes!$A:$B, 1, FALSE), $M3480&lt;&gt;" "), "Ingresada", "Falta Ingresar"), " ")</f>
        <v>Falta Ingresar</v>
      </c>
      <c r="L3480" s="4" t="str">
        <f>IFERROR(VLOOKUP($C3480,Observaciones!$A:$B,2,FALSE)," ")</f>
        <v xml:space="preserve"> </v>
      </c>
      <c r="M3480" t="s">
        <v>681</v>
      </c>
      <c r="O3480" s="5">
        <v>30846068</v>
      </c>
      <c r="P3480" s="5">
        <v>108635</v>
      </c>
      <c r="Q3480" s="5">
        <v>20641</v>
      </c>
      <c r="R3480" s="5">
        <v>129276</v>
      </c>
    </row>
    <row r="3481" spans="1:18" x14ac:dyDescent="0.25">
      <c r="A3481" t="s">
        <v>512</v>
      </c>
      <c r="B3481" t="s">
        <v>494</v>
      </c>
      <c r="C3481">
        <v>83187800</v>
      </c>
      <c r="D3481">
        <v>45</v>
      </c>
      <c r="E3481" t="s">
        <v>1474</v>
      </c>
      <c r="F3481" t="s">
        <v>1475</v>
      </c>
      <c r="G3481" s="1">
        <v>45231</v>
      </c>
      <c r="H3481">
        <v>5410599</v>
      </c>
      <c r="I3481">
        <v>272</v>
      </c>
      <c r="J3481" t="s">
        <v>398</v>
      </c>
      <c r="K3481" s="8" t="str">
        <f>IFERROR(IF(AND(VLOOKUP($C3481,Hes!$A:$B, 1, FALSE), $M3481&lt;&gt;" "), "Ingresada", "Falta Ingresar"), " ")</f>
        <v>Falta Ingresar</v>
      </c>
      <c r="L3481" s="4" t="str">
        <f>IFERROR(VLOOKUP($C3481,Observaciones!$A:$B,2,FALSE)," ")</f>
        <v xml:space="preserve"> </v>
      </c>
      <c r="M3481" t="s">
        <v>681</v>
      </c>
      <c r="O3481" s="5">
        <v>30846097</v>
      </c>
      <c r="P3481" s="5">
        <v>108635</v>
      </c>
      <c r="Q3481" s="5">
        <v>20641</v>
      </c>
      <c r="R3481" s="5">
        <v>129276</v>
      </c>
    </row>
    <row r="3482" spans="1:18" x14ac:dyDescent="0.25">
      <c r="A3482" t="s">
        <v>512</v>
      </c>
      <c r="B3482" t="s">
        <v>494</v>
      </c>
      <c r="C3482">
        <v>83187800</v>
      </c>
      <c r="D3482">
        <v>25</v>
      </c>
      <c r="E3482" t="s">
        <v>1474</v>
      </c>
      <c r="F3482" t="s">
        <v>1475</v>
      </c>
      <c r="G3482" s="1">
        <v>45231</v>
      </c>
      <c r="H3482">
        <v>5410638</v>
      </c>
      <c r="I3482">
        <v>272</v>
      </c>
      <c r="J3482" t="s">
        <v>398</v>
      </c>
      <c r="K3482" s="8" t="str">
        <f>IFERROR(IF(AND(VLOOKUP($C3482,Hes!$A:$B, 1, FALSE), $M3482&lt;&gt;" "), "Ingresada", "Falta Ingresar"), " ")</f>
        <v>Falta Ingresar</v>
      </c>
      <c r="L3482" s="4" t="str">
        <f>IFERROR(VLOOKUP($C3482,Observaciones!$A:$B,2,FALSE)," ")</f>
        <v xml:space="preserve"> </v>
      </c>
      <c r="M3482" t="s">
        <v>681</v>
      </c>
      <c r="O3482" s="5">
        <v>30846118</v>
      </c>
      <c r="P3482" s="5">
        <v>108635</v>
      </c>
      <c r="Q3482" s="5">
        <v>20641</v>
      </c>
      <c r="R3482" s="5">
        <v>129276</v>
      </c>
    </row>
    <row r="3483" spans="1:18" x14ac:dyDescent="0.25">
      <c r="A3483" t="s">
        <v>512</v>
      </c>
      <c r="B3483" t="s">
        <v>494</v>
      </c>
      <c r="C3483">
        <v>83187800</v>
      </c>
      <c r="D3483">
        <v>27</v>
      </c>
      <c r="E3483" t="s">
        <v>1474</v>
      </c>
      <c r="F3483" t="s">
        <v>1475</v>
      </c>
      <c r="G3483" s="1">
        <v>45231</v>
      </c>
      <c r="H3483">
        <v>5410639</v>
      </c>
      <c r="I3483">
        <v>272</v>
      </c>
      <c r="J3483" t="s">
        <v>398</v>
      </c>
      <c r="K3483" s="8" t="str">
        <f>IFERROR(IF(AND(VLOOKUP($C3483,Hes!$A:$B, 1, FALSE), $M3483&lt;&gt;" "), "Ingresada", "Falta Ingresar"), " ")</f>
        <v>Falta Ingresar</v>
      </c>
      <c r="L3483" s="4" t="str">
        <f>IFERROR(VLOOKUP($C3483,Observaciones!$A:$B,2,FALSE)," ")</f>
        <v xml:space="preserve"> </v>
      </c>
      <c r="M3483" t="s">
        <v>681</v>
      </c>
      <c r="O3483" s="5">
        <v>30846125</v>
      </c>
      <c r="P3483" s="5">
        <v>108635</v>
      </c>
      <c r="Q3483" s="5">
        <v>20641</v>
      </c>
      <c r="R3483" s="5">
        <v>129276</v>
      </c>
    </row>
    <row r="3484" spans="1:18" x14ac:dyDescent="0.25">
      <c r="A3484" t="s">
        <v>512</v>
      </c>
      <c r="B3484" t="s">
        <v>494</v>
      </c>
      <c r="C3484">
        <v>83187800</v>
      </c>
      <c r="D3484">
        <v>32</v>
      </c>
      <c r="E3484" t="s">
        <v>1474</v>
      </c>
      <c r="F3484" t="s">
        <v>1475</v>
      </c>
      <c r="G3484" s="1">
        <v>45231</v>
      </c>
      <c r="H3484">
        <v>5410640</v>
      </c>
      <c r="I3484">
        <v>272</v>
      </c>
      <c r="J3484" t="s">
        <v>398</v>
      </c>
      <c r="K3484" s="8" t="str">
        <f>IFERROR(IF(AND(VLOOKUP($C3484,Hes!$A:$B, 1, FALSE), $M3484&lt;&gt;" "), "Ingresada", "Falta Ingresar"), " ")</f>
        <v>Falta Ingresar</v>
      </c>
      <c r="L3484" s="4" t="str">
        <f>IFERROR(VLOOKUP($C3484,Observaciones!$A:$B,2,FALSE)," ")</f>
        <v xml:space="preserve"> </v>
      </c>
      <c r="M3484" t="s">
        <v>681</v>
      </c>
      <c r="O3484" s="5">
        <v>30846121</v>
      </c>
      <c r="P3484" s="5">
        <v>108635</v>
      </c>
      <c r="Q3484" s="5">
        <v>20641</v>
      </c>
      <c r="R3484" s="5">
        <v>129276</v>
      </c>
    </row>
    <row r="3485" spans="1:18" x14ac:dyDescent="0.25">
      <c r="A3485" t="s">
        <v>512</v>
      </c>
      <c r="B3485" t="s">
        <v>494</v>
      </c>
      <c r="C3485">
        <v>83187800</v>
      </c>
      <c r="D3485">
        <v>53</v>
      </c>
      <c r="E3485" t="s">
        <v>1474</v>
      </c>
      <c r="F3485" t="s">
        <v>1475</v>
      </c>
      <c r="G3485" s="1">
        <v>45231</v>
      </c>
      <c r="H3485">
        <v>5410669</v>
      </c>
      <c r="I3485">
        <v>272</v>
      </c>
      <c r="J3485" t="s">
        <v>398</v>
      </c>
      <c r="K3485" s="8" t="str">
        <f>IFERROR(IF(AND(VLOOKUP($C3485,Hes!$A:$B, 1, FALSE), $M3485&lt;&gt;" "), "Ingresada", "Falta Ingresar"), " ")</f>
        <v>Falta Ingresar</v>
      </c>
      <c r="L3485" s="4" t="str">
        <f>IFERROR(VLOOKUP($C3485,Observaciones!$A:$B,2,FALSE)," ")</f>
        <v xml:space="preserve"> </v>
      </c>
      <c r="M3485" t="s">
        <v>681</v>
      </c>
      <c r="O3485" s="5">
        <v>30846093</v>
      </c>
      <c r="P3485" s="5">
        <v>108635</v>
      </c>
      <c r="Q3485" s="5">
        <v>20641</v>
      </c>
      <c r="R3485" s="5">
        <v>129276</v>
      </c>
    </row>
    <row r="3486" spans="1:18" x14ac:dyDescent="0.25">
      <c r="A3486" t="s">
        <v>512</v>
      </c>
      <c r="B3486" t="s">
        <v>494</v>
      </c>
      <c r="C3486">
        <v>83187800</v>
      </c>
      <c r="D3486">
        <v>17</v>
      </c>
      <c r="E3486" t="s">
        <v>1474</v>
      </c>
      <c r="F3486" t="s">
        <v>1475</v>
      </c>
      <c r="G3486" s="1">
        <v>45232</v>
      </c>
      <c r="H3486">
        <v>5410685</v>
      </c>
      <c r="I3486">
        <v>272</v>
      </c>
      <c r="J3486" t="s">
        <v>398</v>
      </c>
      <c r="K3486" s="8" t="str">
        <f>IFERROR(IF(AND(VLOOKUP($C3486,Hes!$A:$B, 1, FALSE), $M3486&lt;&gt;" "), "Ingresada", "Falta Ingresar"), " ")</f>
        <v>Falta Ingresar</v>
      </c>
      <c r="L3486" s="4" t="str">
        <f>IFERROR(VLOOKUP($C3486,Observaciones!$A:$B,2,FALSE)," ")</f>
        <v xml:space="preserve"> </v>
      </c>
      <c r="M3486" t="s">
        <v>681</v>
      </c>
      <c r="O3486" s="5">
        <v>30846084</v>
      </c>
      <c r="P3486" s="5">
        <v>108635</v>
      </c>
      <c r="Q3486" s="5">
        <v>20641</v>
      </c>
      <c r="R3486" s="5">
        <v>129276</v>
      </c>
    </row>
    <row r="3487" spans="1:18" x14ac:dyDescent="0.25">
      <c r="A3487" t="s">
        <v>512</v>
      </c>
      <c r="B3487" t="s">
        <v>494</v>
      </c>
      <c r="C3487">
        <v>83187800</v>
      </c>
      <c r="D3487">
        <v>51</v>
      </c>
      <c r="E3487" t="s">
        <v>1474</v>
      </c>
      <c r="F3487" t="s">
        <v>1475</v>
      </c>
      <c r="G3487" s="1">
        <v>45232</v>
      </c>
      <c r="H3487">
        <v>5410686</v>
      </c>
      <c r="I3487">
        <v>272</v>
      </c>
      <c r="J3487" t="s">
        <v>398</v>
      </c>
      <c r="K3487" s="8" t="str">
        <f>IFERROR(IF(AND(VLOOKUP($C3487,Hes!$A:$B, 1, FALSE), $M3487&lt;&gt;" "), "Ingresada", "Falta Ingresar"), " ")</f>
        <v>Falta Ingresar</v>
      </c>
      <c r="L3487" s="4" t="str">
        <f>IFERROR(VLOOKUP($C3487,Observaciones!$A:$B,2,FALSE)," ")</f>
        <v xml:space="preserve"> </v>
      </c>
      <c r="M3487" t="s">
        <v>681</v>
      </c>
      <c r="O3487" s="5">
        <v>30846080</v>
      </c>
      <c r="P3487" s="5">
        <v>108635</v>
      </c>
      <c r="Q3487" s="5">
        <v>20641</v>
      </c>
      <c r="R3487" s="5">
        <v>129276</v>
      </c>
    </row>
    <row r="3488" spans="1:18" x14ac:dyDescent="0.25">
      <c r="A3488" t="s">
        <v>512</v>
      </c>
      <c r="B3488" t="s">
        <v>494</v>
      </c>
      <c r="C3488">
        <v>83187800</v>
      </c>
      <c r="D3488">
        <v>10</v>
      </c>
      <c r="E3488" t="s">
        <v>1474</v>
      </c>
      <c r="F3488" t="s">
        <v>1475</v>
      </c>
      <c r="G3488" s="1">
        <v>45232</v>
      </c>
      <c r="H3488">
        <v>5410687</v>
      </c>
      <c r="I3488">
        <v>272</v>
      </c>
      <c r="J3488" t="s">
        <v>398</v>
      </c>
      <c r="K3488" s="8" t="str">
        <f>IFERROR(IF(AND(VLOOKUP($C3488,Hes!$A:$B, 1, FALSE), $M3488&lt;&gt;" "), "Ingresada", "Falta Ingresar"), " ")</f>
        <v>Falta Ingresar</v>
      </c>
      <c r="L3488" s="4" t="str">
        <f>IFERROR(VLOOKUP($C3488,Observaciones!$A:$B,2,FALSE)," ")</f>
        <v xml:space="preserve"> </v>
      </c>
      <c r="M3488" t="s">
        <v>681</v>
      </c>
      <c r="O3488" s="5">
        <v>30846073</v>
      </c>
      <c r="P3488" s="5">
        <v>108635</v>
      </c>
      <c r="Q3488" s="5">
        <v>20641</v>
      </c>
      <c r="R3488" s="5">
        <v>129276</v>
      </c>
    </row>
    <row r="3489" spans="1:18" x14ac:dyDescent="0.25">
      <c r="A3489" t="s">
        <v>512</v>
      </c>
      <c r="B3489" t="s">
        <v>494</v>
      </c>
      <c r="C3489">
        <v>83187800</v>
      </c>
      <c r="D3489">
        <v>16</v>
      </c>
      <c r="E3489" t="s">
        <v>1474</v>
      </c>
      <c r="F3489" t="s">
        <v>1475</v>
      </c>
      <c r="G3489" s="1">
        <v>45232</v>
      </c>
      <c r="H3489">
        <v>5410688</v>
      </c>
      <c r="I3489">
        <v>272</v>
      </c>
      <c r="J3489" t="s">
        <v>398</v>
      </c>
      <c r="K3489" s="8" t="str">
        <f>IFERROR(IF(AND(VLOOKUP($C3489,Hes!$A:$B, 1, FALSE), $M3489&lt;&gt;" "), "Ingresada", "Falta Ingresar"), " ")</f>
        <v>Falta Ingresar</v>
      </c>
      <c r="L3489" s="4" t="str">
        <f>IFERROR(VLOOKUP($C3489,Observaciones!$A:$B,2,FALSE)," ")</f>
        <v xml:space="preserve"> </v>
      </c>
      <c r="M3489" t="s">
        <v>681</v>
      </c>
      <c r="O3489" s="5">
        <v>30846075</v>
      </c>
      <c r="P3489" s="5">
        <v>108635</v>
      </c>
      <c r="Q3489" s="5">
        <v>20641</v>
      </c>
      <c r="R3489" s="5">
        <v>129276</v>
      </c>
    </row>
    <row r="3490" spans="1:18" x14ac:dyDescent="0.25">
      <c r="A3490" t="s">
        <v>512</v>
      </c>
      <c r="B3490" t="s">
        <v>494</v>
      </c>
      <c r="C3490">
        <v>83187800</v>
      </c>
      <c r="D3490">
        <v>41</v>
      </c>
      <c r="E3490" t="s">
        <v>1474</v>
      </c>
      <c r="F3490" t="s">
        <v>1475</v>
      </c>
      <c r="G3490" s="1">
        <v>45232</v>
      </c>
      <c r="H3490">
        <v>5410689</v>
      </c>
      <c r="I3490">
        <v>272</v>
      </c>
      <c r="J3490" t="s">
        <v>398</v>
      </c>
      <c r="K3490" s="8" t="str">
        <f>IFERROR(IF(AND(VLOOKUP($C3490,Hes!$A:$B, 1, FALSE), $M3490&lt;&gt;" "), "Ingresada", "Falta Ingresar"), " ")</f>
        <v>Falta Ingresar</v>
      </c>
      <c r="L3490" s="4" t="str">
        <f>IFERROR(VLOOKUP($C3490,Observaciones!$A:$B,2,FALSE)," ")</f>
        <v xml:space="preserve"> </v>
      </c>
      <c r="M3490" t="s">
        <v>681</v>
      </c>
      <c r="O3490" s="5">
        <v>30846077</v>
      </c>
      <c r="P3490" s="5">
        <v>108635</v>
      </c>
      <c r="Q3490" s="5">
        <v>20641</v>
      </c>
      <c r="R3490" s="5">
        <v>129276</v>
      </c>
    </row>
    <row r="3491" spans="1:18" x14ac:dyDescent="0.25">
      <c r="A3491" t="s">
        <v>512</v>
      </c>
      <c r="B3491" t="s">
        <v>494</v>
      </c>
      <c r="C3491">
        <v>83187800</v>
      </c>
      <c r="D3491">
        <v>19</v>
      </c>
      <c r="E3491" t="s">
        <v>1474</v>
      </c>
      <c r="F3491" t="s">
        <v>1475</v>
      </c>
      <c r="G3491" s="1">
        <v>45232</v>
      </c>
      <c r="H3491">
        <v>5410691</v>
      </c>
      <c r="I3491">
        <v>272</v>
      </c>
      <c r="J3491" t="s">
        <v>398</v>
      </c>
      <c r="K3491" s="8" t="str">
        <f>IFERROR(IF(AND(VLOOKUP($C3491,Hes!$A:$B, 1, FALSE), $M3491&lt;&gt;" "), "Ingresada", "Falta Ingresar"), " ")</f>
        <v>Falta Ingresar</v>
      </c>
      <c r="L3491" s="4" t="str">
        <f>IFERROR(VLOOKUP($C3491,Observaciones!$A:$B,2,FALSE)," ")</f>
        <v xml:space="preserve"> </v>
      </c>
      <c r="M3491" t="s">
        <v>681</v>
      </c>
      <c r="O3491" s="5">
        <v>30846087</v>
      </c>
      <c r="P3491" s="5">
        <v>108635</v>
      </c>
      <c r="Q3491" s="5">
        <v>20641</v>
      </c>
      <c r="R3491" s="5">
        <v>129276</v>
      </c>
    </row>
    <row r="3492" spans="1:18" x14ac:dyDescent="0.25">
      <c r="A3492" t="s">
        <v>512</v>
      </c>
      <c r="B3492" t="s">
        <v>494</v>
      </c>
      <c r="C3492">
        <v>83187800</v>
      </c>
      <c r="D3492">
        <v>39</v>
      </c>
      <c r="E3492" t="s">
        <v>1474</v>
      </c>
      <c r="F3492" t="s">
        <v>1475</v>
      </c>
      <c r="G3492" s="1">
        <v>45232</v>
      </c>
      <c r="H3492">
        <v>5410771</v>
      </c>
      <c r="I3492">
        <v>272</v>
      </c>
      <c r="J3492" t="s">
        <v>398</v>
      </c>
      <c r="K3492" s="8" t="str">
        <f>IFERROR(IF(AND(VLOOKUP($C3492,Hes!$A:$B, 1, FALSE), $M3492&lt;&gt;" "), "Ingresada", "Falta Ingresar"), " ")</f>
        <v>Falta Ingresar</v>
      </c>
      <c r="L3492" s="4" t="str">
        <f>IFERROR(VLOOKUP($C3492,Observaciones!$A:$B,2,FALSE)," ")</f>
        <v xml:space="preserve"> </v>
      </c>
      <c r="M3492" t="s">
        <v>681</v>
      </c>
      <c r="O3492" s="5">
        <v>30846050</v>
      </c>
      <c r="P3492" s="5">
        <v>108635</v>
      </c>
      <c r="Q3492" s="5">
        <v>20641</v>
      </c>
      <c r="R3492" s="5">
        <v>129276</v>
      </c>
    </row>
    <row r="3493" spans="1:18" x14ac:dyDescent="0.25">
      <c r="A3493" t="s">
        <v>512</v>
      </c>
      <c r="B3493" t="s">
        <v>494</v>
      </c>
      <c r="C3493">
        <v>83187800</v>
      </c>
      <c r="D3493">
        <v>15</v>
      </c>
      <c r="E3493">
        <v>30845833</v>
      </c>
      <c r="F3493" t="s">
        <v>1475</v>
      </c>
      <c r="G3493" s="1">
        <v>45232</v>
      </c>
      <c r="H3493">
        <v>5410776</v>
      </c>
      <c r="I3493">
        <v>272</v>
      </c>
      <c r="J3493" t="s">
        <v>398</v>
      </c>
      <c r="K3493" s="8" t="str">
        <f>IFERROR(IF(AND(VLOOKUP($C3493,Hes!$A:$B, 1, FALSE), $M3493&lt;&gt;" "), "Ingresada", "Falta Ingresar"), " ")</f>
        <v>Falta Ingresar</v>
      </c>
      <c r="L3493" s="4" t="str">
        <f>IFERROR(VLOOKUP($C3493,Observaciones!$A:$B,2,FALSE)," ")</f>
        <v xml:space="preserve"> </v>
      </c>
      <c r="M3493" t="s">
        <v>681</v>
      </c>
      <c r="O3493" s="5">
        <v>30845833</v>
      </c>
      <c r="P3493" s="5">
        <v>349492</v>
      </c>
      <c r="Q3493" s="5">
        <v>66403</v>
      </c>
      <c r="R3493" s="5">
        <v>415895</v>
      </c>
    </row>
    <row r="3494" spans="1:18" x14ac:dyDescent="0.25">
      <c r="A3494" t="s">
        <v>512</v>
      </c>
      <c r="B3494" t="s">
        <v>494</v>
      </c>
      <c r="C3494">
        <v>83187800</v>
      </c>
      <c r="D3494">
        <v>33</v>
      </c>
      <c r="E3494" t="s">
        <v>1474</v>
      </c>
      <c r="F3494" t="s">
        <v>1475</v>
      </c>
      <c r="G3494" s="1">
        <v>45231</v>
      </c>
      <c r="H3494">
        <v>5410832</v>
      </c>
      <c r="I3494">
        <v>272</v>
      </c>
      <c r="J3494" t="s">
        <v>398</v>
      </c>
      <c r="K3494" s="8" t="str">
        <f>IFERROR(IF(AND(VLOOKUP($C3494,Hes!$A:$B, 1, FALSE), $M3494&lt;&gt;" "), "Ingresada", "Falta Ingresar"), " ")</f>
        <v>Falta Ingresar</v>
      </c>
      <c r="L3494" s="4" t="str">
        <f>IFERROR(VLOOKUP($C3494,Observaciones!$A:$B,2,FALSE)," ")</f>
        <v xml:space="preserve"> </v>
      </c>
      <c r="M3494" t="s">
        <v>681</v>
      </c>
      <c r="O3494" s="5">
        <v>30846135</v>
      </c>
      <c r="P3494" s="5">
        <v>108635</v>
      </c>
      <c r="Q3494" s="5">
        <v>20641</v>
      </c>
      <c r="R3494" s="5">
        <v>129276</v>
      </c>
    </row>
    <row r="3495" spans="1:18" x14ac:dyDescent="0.25">
      <c r="A3495" t="s">
        <v>512</v>
      </c>
      <c r="B3495" t="s">
        <v>494</v>
      </c>
      <c r="C3495">
        <v>83187800</v>
      </c>
      <c r="D3495">
        <v>24</v>
      </c>
      <c r="E3495" t="s">
        <v>1474</v>
      </c>
      <c r="F3495" t="s">
        <v>1475</v>
      </c>
      <c r="G3495" s="1">
        <v>45231</v>
      </c>
      <c r="H3495">
        <v>5410833</v>
      </c>
      <c r="I3495">
        <v>272</v>
      </c>
      <c r="J3495" t="s">
        <v>398</v>
      </c>
      <c r="K3495" s="8" t="str">
        <f>IFERROR(IF(AND(VLOOKUP($C3495,Hes!$A:$B, 1, FALSE), $M3495&lt;&gt;" "), "Ingresada", "Falta Ingresar"), " ")</f>
        <v>Falta Ingresar</v>
      </c>
      <c r="L3495" s="4" t="str">
        <f>IFERROR(VLOOKUP($C3495,Observaciones!$A:$B,2,FALSE)," ")</f>
        <v xml:space="preserve"> </v>
      </c>
      <c r="M3495" t="s">
        <v>681</v>
      </c>
      <c r="O3495" s="5">
        <v>30846136</v>
      </c>
      <c r="P3495" s="5">
        <v>108635</v>
      </c>
      <c r="Q3495" s="5">
        <v>20641</v>
      </c>
      <c r="R3495" s="5">
        <v>129276</v>
      </c>
    </row>
    <row r="3496" spans="1:18" x14ac:dyDescent="0.25">
      <c r="A3496" t="s">
        <v>512</v>
      </c>
      <c r="B3496" t="s">
        <v>494</v>
      </c>
      <c r="C3496">
        <v>83187800</v>
      </c>
      <c r="D3496">
        <v>77</v>
      </c>
      <c r="E3496" t="s">
        <v>1474</v>
      </c>
      <c r="F3496" t="s">
        <v>1475</v>
      </c>
      <c r="G3496" s="1">
        <v>45231</v>
      </c>
      <c r="H3496">
        <v>5410865</v>
      </c>
      <c r="I3496">
        <v>272</v>
      </c>
      <c r="J3496" t="s">
        <v>398</v>
      </c>
      <c r="K3496" s="8" t="str">
        <f>IFERROR(IF(AND(VLOOKUP($C3496,Hes!$A:$B, 1, FALSE), $M3496&lt;&gt;" "), "Ingresada", "Falta Ingresar"), " ")</f>
        <v>Falta Ingresar</v>
      </c>
      <c r="L3496" s="4" t="str">
        <f>IFERROR(VLOOKUP($C3496,Observaciones!$A:$B,2,FALSE)," ")</f>
        <v xml:space="preserve"> </v>
      </c>
      <c r="M3496" t="s">
        <v>681</v>
      </c>
      <c r="O3496" s="5">
        <v>30846059</v>
      </c>
      <c r="P3496" s="5">
        <v>108635</v>
      </c>
      <c r="Q3496" s="5">
        <v>20641</v>
      </c>
      <c r="R3496" s="5">
        <v>129276</v>
      </c>
    </row>
    <row r="3497" spans="1:18" x14ac:dyDescent="0.25">
      <c r="A3497" t="s">
        <v>512</v>
      </c>
      <c r="B3497" t="s">
        <v>494</v>
      </c>
      <c r="C3497">
        <v>83187800</v>
      </c>
      <c r="D3497">
        <v>14</v>
      </c>
      <c r="E3497" t="s">
        <v>1474</v>
      </c>
      <c r="F3497" t="s">
        <v>1475</v>
      </c>
      <c r="G3497" s="1">
        <v>45231</v>
      </c>
      <c r="H3497">
        <v>5410881</v>
      </c>
      <c r="I3497">
        <v>272</v>
      </c>
      <c r="J3497" t="s">
        <v>398</v>
      </c>
      <c r="K3497" s="8" t="str">
        <f>IFERROR(IF(AND(VLOOKUP($C3497,Hes!$A:$B, 1, FALSE), $M3497&lt;&gt;" "), "Ingresada", "Falta Ingresar"), " ")</f>
        <v>Falta Ingresar</v>
      </c>
      <c r="L3497" s="4" t="str">
        <f>IFERROR(VLOOKUP($C3497,Observaciones!$A:$B,2,FALSE)," ")</f>
        <v xml:space="preserve"> </v>
      </c>
      <c r="M3497" t="s">
        <v>681</v>
      </c>
      <c r="O3497" s="5">
        <v>30846132</v>
      </c>
      <c r="P3497" s="5">
        <v>108635</v>
      </c>
      <c r="Q3497" s="5">
        <v>20641</v>
      </c>
      <c r="R3497" s="5">
        <v>129276</v>
      </c>
    </row>
    <row r="3498" spans="1:18" x14ac:dyDescent="0.25">
      <c r="A3498" t="s">
        <v>512</v>
      </c>
      <c r="B3498" t="s">
        <v>494</v>
      </c>
      <c r="C3498">
        <v>83187800</v>
      </c>
      <c r="D3498">
        <v>22</v>
      </c>
      <c r="E3498" t="s">
        <v>1474</v>
      </c>
      <c r="F3498" t="s">
        <v>1475</v>
      </c>
      <c r="G3498" s="1">
        <v>45231</v>
      </c>
      <c r="H3498">
        <v>5410897</v>
      </c>
      <c r="I3498">
        <v>272</v>
      </c>
      <c r="J3498" t="s">
        <v>398</v>
      </c>
      <c r="K3498" s="8" t="str">
        <f>IFERROR(IF(AND(VLOOKUP($C3498,Hes!$A:$B, 1, FALSE), $M3498&lt;&gt;" "), "Ingresada", "Falta Ingresar"), " ")</f>
        <v>Falta Ingresar</v>
      </c>
      <c r="L3498" s="4" t="str">
        <f>IFERROR(VLOOKUP($C3498,Observaciones!$A:$B,2,FALSE)," ")</f>
        <v xml:space="preserve"> </v>
      </c>
      <c r="M3498" t="s">
        <v>681</v>
      </c>
      <c r="O3498" s="5">
        <v>30846099</v>
      </c>
      <c r="P3498" s="5">
        <v>108635</v>
      </c>
      <c r="Q3498" s="5">
        <v>20641</v>
      </c>
      <c r="R3498" s="5">
        <v>129276</v>
      </c>
    </row>
    <row r="3499" spans="1:18" x14ac:dyDescent="0.25">
      <c r="A3499" t="s">
        <v>512</v>
      </c>
      <c r="B3499" t="s">
        <v>494</v>
      </c>
      <c r="C3499">
        <v>83187800</v>
      </c>
      <c r="D3499">
        <v>28</v>
      </c>
      <c r="E3499" t="s">
        <v>1474</v>
      </c>
      <c r="F3499" t="s">
        <v>1475</v>
      </c>
      <c r="G3499" s="1">
        <v>45231</v>
      </c>
      <c r="H3499">
        <v>5410904</v>
      </c>
      <c r="I3499">
        <v>272</v>
      </c>
      <c r="J3499" t="s">
        <v>398</v>
      </c>
      <c r="K3499" s="8" t="str">
        <f>IFERROR(IF(AND(VLOOKUP($C3499,Hes!$A:$B, 1, FALSE), $M3499&lt;&gt;" "), "Ingresada", "Falta Ingresar"), " ")</f>
        <v>Falta Ingresar</v>
      </c>
      <c r="L3499" s="4" t="str">
        <f>IFERROR(VLOOKUP($C3499,Observaciones!$A:$B,2,FALSE)," ")</f>
        <v xml:space="preserve"> </v>
      </c>
      <c r="M3499" t="s">
        <v>681</v>
      </c>
      <c r="O3499" s="5">
        <v>30846128</v>
      </c>
      <c r="P3499" s="5">
        <v>108635</v>
      </c>
      <c r="Q3499" s="5">
        <v>20641</v>
      </c>
      <c r="R3499" s="5">
        <v>129276</v>
      </c>
    </row>
    <row r="3500" spans="1:18" x14ac:dyDescent="0.25">
      <c r="A3500" t="s">
        <v>512</v>
      </c>
      <c r="B3500" t="s">
        <v>494</v>
      </c>
      <c r="C3500">
        <v>83187800</v>
      </c>
      <c r="D3500">
        <v>34</v>
      </c>
      <c r="E3500" t="s">
        <v>1474</v>
      </c>
      <c r="F3500" t="s">
        <v>1475</v>
      </c>
      <c r="G3500" s="1">
        <v>45231</v>
      </c>
      <c r="H3500">
        <v>5410905</v>
      </c>
      <c r="I3500">
        <v>272</v>
      </c>
      <c r="J3500" t="s">
        <v>398</v>
      </c>
      <c r="K3500" s="8" t="str">
        <f>IFERROR(IF(AND(VLOOKUP($C3500,Hes!$A:$B, 1, FALSE), $M3500&lt;&gt;" "), "Ingresada", "Falta Ingresar"), " ")</f>
        <v>Falta Ingresar</v>
      </c>
      <c r="L3500" s="4" t="str">
        <f>IFERROR(VLOOKUP($C3500,Observaciones!$A:$B,2,FALSE)," ")</f>
        <v xml:space="preserve"> </v>
      </c>
      <c r="M3500" t="s">
        <v>681</v>
      </c>
      <c r="O3500" s="5">
        <v>30846130</v>
      </c>
      <c r="P3500" s="5">
        <v>108635</v>
      </c>
      <c r="Q3500" s="5">
        <v>20641</v>
      </c>
      <c r="R3500" s="5">
        <v>129276</v>
      </c>
    </row>
    <row r="3501" spans="1:18" x14ac:dyDescent="0.25">
      <c r="A3501" t="s">
        <v>512</v>
      </c>
      <c r="B3501" t="s">
        <v>494</v>
      </c>
      <c r="C3501">
        <v>83187800</v>
      </c>
      <c r="D3501">
        <v>3</v>
      </c>
      <c r="E3501" t="s">
        <v>1474</v>
      </c>
      <c r="F3501" t="s">
        <v>1475</v>
      </c>
      <c r="G3501" s="1">
        <v>45232</v>
      </c>
      <c r="H3501">
        <v>5410933</v>
      </c>
      <c r="I3501">
        <v>272</v>
      </c>
      <c r="J3501" t="s">
        <v>398</v>
      </c>
      <c r="K3501" s="8" t="str">
        <f>IFERROR(IF(AND(VLOOKUP($C3501,Hes!$A:$B, 1, FALSE), $M3501&lt;&gt;" "), "Ingresada", "Falta Ingresar"), " ")</f>
        <v>Falta Ingresar</v>
      </c>
      <c r="L3501" s="4" t="str">
        <f>IFERROR(VLOOKUP($C3501,Observaciones!$A:$B,2,FALSE)," ")</f>
        <v xml:space="preserve"> </v>
      </c>
      <c r="M3501" t="s">
        <v>681</v>
      </c>
      <c r="O3501" s="5">
        <v>30846137</v>
      </c>
      <c r="P3501" s="5">
        <v>108635</v>
      </c>
      <c r="Q3501" s="5">
        <v>20641</v>
      </c>
      <c r="R3501" s="5">
        <v>129276</v>
      </c>
    </row>
    <row r="3502" spans="1:18" x14ac:dyDescent="0.25">
      <c r="A3502" t="s">
        <v>512</v>
      </c>
      <c r="B3502" t="s">
        <v>494</v>
      </c>
      <c r="C3502">
        <v>83187800</v>
      </c>
      <c r="D3502">
        <v>21</v>
      </c>
      <c r="E3502" t="s">
        <v>1474</v>
      </c>
      <c r="F3502" t="s">
        <v>1475</v>
      </c>
      <c r="G3502" s="1">
        <v>45231</v>
      </c>
      <c r="H3502">
        <v>5410980</v>
      </c>
      <c r="I3502">
        <v>272</v>
      </c>
      <c r="J3502" t="s">
        <v>398</v>
      </c>
      <c r="K3502" s="8" t="str">
        <f>IFERROR(IF(AND(VLOOKUP($C3502,Hes!$A:$B, 1, FALSE), $M3502&lt;&gt;" "), "Ingresada", "Falta Ingresar"), " ")</f>
        <v>Falta Ingresar</v>
      </c>
      <c r="L3502" s="4" t="str">
        <f>IFERROR(VLOOKUP($C3502,Observaciones!$A:$B,2,FALSE)," ")</f>
        <v xml:space="preserve"> </v>
      </c>
      <c r="M3502" t="s">
        <v>681</v>
      </c>
      <c r="O3502" s="5">
        <v>30846095</v>
      </c>
      <c r="P3502" s="5">
        <v>108635</v>
      </c>
      <c r="Q3502" s="5">
        <v>20641</v>
      </c>
      <c r="R3502" s="5">
        <v>129276</v>
      </c>
    </row>
    <row r="3503" spans="1:18" x14ac:dyDescent="0.25">
      <c r="A3503" t="s">
        <v>512</v>
      </c>
      <c r="B3503" t="s">
        <v>494</v>
      </c>
      <c r="C3503">
        <v>83187800</v>
      </c>
      <c r="D3503">
        <v>37</v>
      </c>
      <c r="E3503" t="s">
        <v>1474</v>
      </c>
      <c r="F3503" t="s">
        <v>1475</v>
      </c>
      <c r="G3503" s="1">
        <v>45232</v>
      </c>
      <c r="H3503">
        <v>5411118</v>
      </c>
      <c r="I3503">
        <v>272</v>
      </c>
      <c r="J3503" t="s">
        <v>398</v>
      </c>
      <c r="K3503" s="8" t="str">
        <f>IFERROR(IF(AND(VLOOKUP($C3503,Hes!$A:$B, 1, FALSE), $M3503&lt;&gt;" "), "Ingresada", "Falta Ingresar"), " ")</f>
        <v>Falta Ingresar</v>
      </c>
      <c r="L3503" s="4" t="str">
        <f>IFERROR(VLOOKUP($C3503,Observaciones!$A:$B,2,FALSE)," ")</f>
        <v xml:space="preserve"> </v>
      </c>
      <c r="M3503" t="s">
        <v>681</v>
      </c>
      <c r="O3503" s="5">
        <v>30846127</v>
      </c>
      <c r="P3503" s="5">
        <v>108635</v>
      </c>
      <c r="Q3503" s="5">
        <v>20641</v>
      </c>
      <c r="R3503" s="5">
        <v>129276</v>
      </c>
    </row>
    <row r="3504" spans="1:18" x14ac:dyDescent="0.25">
      <c r="A3504" t="s">
        <v>512</v>
      </c>
      <c r="B3504" t="s">
        <v>494</v>
      </c>
      <c r="C3504">
        <v>83187800</v>
      </c>
      <c r="D3504">
        <v>29</v>
      </c>
      <c r="E3504" t="s">
        <v>1474</v>
      </c>
      <c r="F3504" t="s">
        <v>1475</v>
      </c>
      <c r="G3504" s="1">
        <v>45232</v>
      </c>
      <c r="H3504">
        <v>5411182</v>
      </c>
      <c r="I3504">
        <v>272</v>
      </c>
      <c r="J3504" t="s">
        <v>398</v>
      </c>
      <c r="K3504" s="8" t="str">
        <f>IFERROR(IF(AND(VLOOKUP($C3504,Hes!$A:$B, 1, FALSE), $M3504&lt;&gt;" "), "Ingresada", "Falta Ingresar"), " ")</f>
        <v>Falta Ingresar</v>
      </c>
      <c r="L3504" s="4" t="str">
        <f>IFERROR(VLOOKUP($C3504,Observaciones!$A:$B,2,FALSE)," ")</f>
        <v xml:space="preserve"> </v>
      </c>
      <c r="M3504" t="s">
        <v>681</v>
      </c>
      <c r="O3504" s="5">
        <v>30846217</v>
      </c>
      <c r="P3504" s="5">
        <v>108635</v>
      </c>
      <c r="Q3504" s="5">
        <v>20641</v>
      </c>
      <c r="R3504" s="5">
        <v>129276</v>
      </c>
    </row>
    <row r="3505" spans="1:18" x14ac:dyDescent="0.25">
      <c r="A3505" t="s">
        <v>512</v>
      </c>
      <c r="B3505" t="s">
        <v>494</v>
      </c>
      <c r="C3505">
        <v>83187800</v>
      </c>
      <c r="D3505">
        <v>18</v>
      </c>
      <c r="E3505" t="s">
        <v>1474</v>
      </c>
      <c r="F3505" t="s">
        <v>1475</v>
      </c>
      <c r="G3505" s="1">
        <v>45232</v>
      </c>
      <c r="H3505">
        <v>5411193</v>
      </c>
      <c r="I3505">
        <v>272</v>
      </c>
      <c r="J3505" t="s">
        <v>398</v>
      </c>
      <c r="K3505" s="8" t="str">
        <f>IFERROR(IF(AND(VLOOKUP($C3505,Hes!$A:$B, 1, FALSE), $M3505&lt;&gt;" "), "Ingresada", "Falta Ingresar"), " ")</f>
        <v>Falta Ingresar</v>
      </c>
      <c r="L3505" s="4" t="str">
        <f>IFERROR(VLOOKUP($C3505,Observaciones!$A:$B,2,FALSE)," ")</f>
        <v xml:space="preserve"> </v>
      </c>
      <c r="M3505" t="s">
        <v>681</v>
      </c>
      <c r="O3505" s="5">
        <v>30846238</v>
      </c>
      <c r="P3505" s="5">
        <v>108635</v>
      </c>
      <c r="Q3505" s="5">
        <v>20641</v>
      </c>
      <c r="R3505" s="5">
        <v>129276</v>
      </c>
    </row>
    <row r="3506" spans="1:18" x14ac:dyDescent="0.25">
      <c r="A3506" t="s">
        <v>512</v>
      </c>
      <c r="B3506" t="s">
        <v>494</v>
      </c>
      <c r="C3506">
        <v>83187800</v>
      </c>
      <c r="D3506">
        <v>5</v>
      </c>
      <c r="E3506" t="s">
        <v>1474</v>
      </c>
      <c r="F3506" t="s">
        <v>1475</v>
      </c>
      <c r="G3506" s="1">
        <v>45232</v>
      </c>
      <c r="H3506">
        <v>5411195</v>
      </c>
      <c r="I3506">
        <v>272</v>
      </c>
      <c r="J3506" t="s">
        <v>398</v>
      </c>
      <c r="K3506" s="8" t="str">
        <f>IFERROR(IF(AND(VLOOKUP($C3506,Hes!$A:$B, 1, FALSE), $M3506&lt;&gt;" "), "Ingresada", "Falta Ingresar"), " ")</f>
        <v>Falta Ingresar</v>
      </c>
      <c r="L3506" s="4" t="str">
        <f>IFERROR(VLOOKUP($C3506,Observaciones!$A:$B,2,FALSE)," ")</f>
        <v xml:space="preserve"> </v>
      </c>
      <c r="M3506" t="s">
        <v>681</v>
      </c>
      <c r="O3506" s="5">
        <v>30846224</v>
      </c>
      <c r="P3506" s="5">
        <v>108635</v>
      </c>
      <c r="Q3506" s="5">
        <v>20641</v>
      </c>
      <c r="R3506" s="5">
        <v>129276</v>
      </c>
    </row>
    <row r="3507" spans="1:18" x14ac:dyDescent="0.25">
      <c r="A3507" t="s">
        <v>512</v>
      </c>
      <c r="B3507" t="s">
        <v>494</v>
      </c>
      <c r="C3507">
        <v>83187800</v>
      </c>
      <c r="D3507">
        <v>26</v>
      </c>
      <c r="E3507" t="s">
        <v>1474</v>
      </c>
      <c r="F3507" t="s">
        <v>1475</v>
      </c>
      <c r="G3507" s="1">
        <v>45232</v>
      </c>
      <c r="H3507">
        <v>5411203</v>
      </c>
      <c r="I3507">
        <v>272</v>
      </c>
      <c r="J3507" t="s">
        <v>398</v>
      </c>
      <c r="K3507" s="8" t="str">
        <f>IFERROR(IF(AND(VLOOKUP($C3507,Hes!$A:$B, 1, FALSE), $M3507&lt;&gt;" "), "Ingresada", "Falta Ingresar"), " ")</f>
        <v>Falta Ingresar</v>
      </c>
      <c r="L3507" s="4" t="str">
        <f>IFERROR(VLOOKUP($C3507,Observaciones!$A:$B,2,FALSE)," ")</f>
        <v xml:space="preserve"> </v>
      </c>
      <c r="M3507" t="s">
        <v>681</v>
      </c>
      <c r="O3507" s="5">
        <v>30846215</v>
      </c>
      <c r="P3507" s="5">
        <v>108635</v>
      </c>
      <c r="Q3507" s="5">
        <v>20641</v>
      </c>
      <c r="R3507" s="5">
        <v>129276</v>
      </c>
    </row>
    <row r="3508" spans="1:18" x14ac:dyDescent="0.25">
      <c r="A3508" t="s">
        <v>512</v>
      </c>
      <c r="B3508" t="s">
        <v>494</v>
      </c>
      <c r="C3508">
        <v>83187800</v>
      </c>
      <c r="D3508">
        <v>40</v>
      </c>
      <c r="E3508" t="s">
        <v>1474</v>
      </c>
      <c r="F3508" t="s">
        <v>1475</v>
      </c>
      <c r="G3508" s="1">
        <v>45232</v>
      </c>
      <c r="H3508">
        <v>5411206</v>
      </c>
      <c r="I3508">
        <v>272</v>
      </c>
      <c r="J3508" t="s">
        <v>398</v>
      </c>
      <c r="K3508" s="8" t="str">
        <f>IFERROR(IF(AND(VLOOKUP($C3508,Hes!$A:$B, 1, FALSE), $M3508&lt;&gt;" "), "Ingresada", "Falta Ingresar"), " ")</f>
        <v>Falta Ingresar</v>
      </c>
      <c r="L3508" s="4" t="str">
        <f>IFERROR(VLOOKUP($C3508,Observaciones!$A:$B,2,FALSE)," ")</f>
        <v xml:space="preserve"> </v>
      </c>
      <c r="M3508" t="s">
        <v>681</v>
      </c>
      <c r="O3508" s="5">
        <v>30846242</v>
      </c>
      <c r="P3508" s="5">
        <v>108635</v>
      </c>
      <c r="Q3508" s="5">
        <v>20641</v>
      </c>
      <c r="R3508" s="5">
        <v>129276</v>
      </c>
    </row>
    <row r="3509" spans="1:18" x14ac:dyDescent="0.25">
      <c r="A3509" t="s">
        <v>512</v>
      </c>
      <c r="B3509" t="s">
        <v>494</v>
      </c>
      <c r="C3509">
        <v>83187800</v>
      </c>
      <c r="D3509">
        <v>44</v>
      </c>
      <c r="E3509" t="s">
        <v>1474</v>
      </c>
      <c r="F3509" t="s">
        <v>1475</v>
      </c>
      <c r="G3509" s="1">
        <v>45232</v>
      </c>
      <c r="H3509">
        <v>5411209</v>
      </c>
      <c r="I3509">
        <v>272</v>
      </c>
      <c r="J3509" t="s">
        <v>398</v>
      </c>
      <c r="K3509" s="8" t="str">
        <f>IFERROR(IF(AND(VLOOKUP($C3509,Hes!$A:$B, 1, FALSE), $M3509&lt;&gt;" "), "Ingresada", "Falta Ingresar"), " ")</f>
        <v>Falta Ingresar</v>
      </c>
      <c r="L3509" s="4" t="str">
        <f>IFERROR(VLOOKUP($C3509,Observaciones!$A:$B,2,FALSE)," ")</f>
        <v xml:space="preserve"> </v>
      </c>
      <c r="M3509" t="s">
        <v>681</v>
      </c>
      <c r="O3509" s="5">
        <v>30846241</v>
      </c>
      <c r="P3509" s="5">
        <v>108635</v>
      </c>
      <c r="Q3509" s="5">
        <v>20641</v>
      </c>
      <c r="R3509" s="5">
        <v>129276</v>
      </c>
    </row>
    <row r="3510" spans="1:18" x14ac:dyDescent="0.25">
      <c r="A3510" t="s">
        <v>512</v>
      </c>
      <c r="B3510" t="s">
        <v>494</v>
      </c>
      <c r="C3510">
        <v>83187800</v>
      </c>
      <c r="D3510">
        <v>42</v>
      </c>
      <c r="E3510" t="s">
        <v>1474</v>
      </c>
      <c r="F3510" t="s">
        <v>1475</v>
      </c>
      <c r="G3510" s="1">
        <v>45232</v>
      </c>
      <c r="H3510">
        <v>5411211</v>
      </c>
      <c r="I3510">
        <v>272</v>
      </c>
      <c r="J3510" t="s">
        <v>398</v>
      </c>
      <c r="K3510" s="8" t="str">
        <f>IFERROR(IF(AND(VLOOKUP($C3510,Hes!$A:$B, 1, FALSE), $M3510&lt;&gt;" "), "Ingresada", "Falta Ingresar"), " ")</f>
        <v>Falta Ingresar</v>
      </c>
      <c r="L3510" s="4" t="str">
        <f>IFERROR(VLOOKUP($C3510,Observaciones!$A:$B,2,FALSE)," ")</f>
        <v xml:space="preserve"> </v>
      </c>
      <c r="M3510" t="s">
        <v>681</v>
      </c>
      <c r="O3510" s="5">
        <v>30846228</v>
      </c>
      <c r="P3510" s="5">
        <v>108635</v>
      </c>
      <c r="Q3510" s="5">
        <v>20641</v>
      </c>
      <c r="R3510" s="5">
        <v>129276</v>
      </c>
    </row>
    <row r="3511" spans="1:18" x14ac:dyDescent="0.25">
      <c r="A3511" t="s">
        <v>512</v>
      </c>
      <c r="B3511" t="s">
        <v>494</v>
      </c>
      <c r="C3511">
        <v>83187800</v>
      </c>
      <c r="D3511">
        <v>17</v>
      </c>
      <c r="E3511">
        <v>30847769</v>
      </c>
      <c r="F3511" t="s">
        <v>1475</v>
      </c>
      <c r="G3511" s="1">
        <v>45233</v>
      </c>
      <c r="H3511">
        <v>5411228</v>
      </c>
      <c r="I3511">
        <v>272</v>
      </c>
      <c r="J3511" t="s">
        <v>398</v>
      </c>
      <c r="K3511" s="8" t="str">
        <f>IFERROR(IF(AND(VLOOKUP($C3511,Hes!$A:$B, 1, FALSE), $M3511&lt;&gt;" "), "Ingresada", "Falta Ingresar"), " ")</f>
        <v>Falta Ingresar</v>
      </c>
      <c r="L3511" s="4" t="str">
        <f>IFERROR(VLOOKUP($C3511,Observaciones!$A:$B,2,FALSE)," ")</f>
        <v xml:space="preserve"> </v>
      </c>
      <c r="M3511" t="s">
        <v>681</v>
      </c>
      <c r="O3511" s="5">
        <v>30847769</v>
      </c>
      <c r="P3511" s="5">
        <v>164823</v>
      </c>
      <c r="Q3511" s="5">
        <v>31316</v>
      </c>
      <c r="R3511" s="5">
        <v>196139</v>
      </c>
    </row>
    <row r="3512" spans="1:18" x14ac:dyDescent="0.25">
      <c r="A3512" t="s">
        <v>512</v>
      </c>
      <c r="B3512" t="s">
        <v>494</v>
      </c>
      <c r="C3512">
        <v>83187800</v>
      </c>
      <c r="D3512">
        <v>10</v>
      </c>
      <c r="E3512">
        <v>30847740</v>
      </c>
      <c r="F3512" t="s">
        <v>1475</v>
      </c>
      <c r="G3512" s="1">
        <v>45233</v>
      </c>
      <c r="H3512">
        <v>5411238</v>
      </c>
      <c r="I3512">
        <v>272</v>
      </c>
      <c r="J3512" t="s">
        <v>398</v>
      </c>
      <c r="K3512" s="8" t="str">
        <f>IFERROR(IF(AND(VLOOKUP($C3512,Hes!$A:$B, 1, FALSE), $M3512&lt;&gt;" "), "Ingresada", "Falta Ingresar"), " ")</f>
        <v>Falta Ingresar</v>
      </c>
      <c r="L3512" s="4" t="str">
        <f>IFERROR(VLOOKUP($C3512,Observaciones!$A:$B,2,FALSE)," ")</f>
        <v xml:space="preserve"> </v>
      </c>
      <c r="M3512" t="s">
        <v>681</v>
      </c>
      <c r="O3512" s="5">
        <v>30847740</v>
      </c>
      <c r="P3512" s="5">
        <v>128462</v>
      </c>
      <c r="Q3512" s="5">
        <v>24408</v>
      </c>
      <c r="R3512" s="5">
        <v>152870</v>
      </c>
    </row>
    <row r="3513" spans="1:18" x14ac:dyDescent="0.25">
      <c r="A3513" t="s">
        <v>512</v>
      </c>
      <c r="B3513" t="s">
        <v>494</v>
      </c>
      <c r="C3513">
        <v>83187800</v>
      </c>
      <c r="D3513">
        <v>13</v>
      </c>
      <c r="E3513" t="s">
        <v>1474</v>
      </c>
      <c r="F3513" t="s">
        <v>1475</v>
      </c>
      <c r="G3513" s="1">
        <v>45233</v>
      </c>
      <c r="H3513">
        <v>5411251</v>
      </c>
      <c r="I3513">
        <v>272</v>
      </c>
      <c r="J3513" t="s">
        <v>398</v>
      </c>
      <c r="K3513" s="8" t="str">
        <f>IFERROR(IF(AND(VLOOKUP($C3513,Hes!$A:$B, 1, FALSE), $M3513&lt;&gt;" "), "Ingresada", "Falta Ingresar"), " ")</f>
        <v>Falta Ingresar</v>
      </c>
      <c r="L3513" s="4" t="str">
        <f>IFERROR(VLOOKUP($C3513,Observaciones!$A:$B,2,FALSE)," ")</f>
        <v xml:space="preserve"> </v>
      </c>
      <c r="M3513" t="s">
        <v>681</v>
      </c>
      <c r="O3513" s="5">
        <v>30846221</v>
      </c>
      <c r="P3513" s="5">
        <v>108635</v>
      </c>
      <c r="Q3513" s="5">
        <v>20641</v>
      </c>
      <c r="R3513" s="5">
        <v>129276</v>
      </c>
    </row>
    <row r="3514" spans="1:18" x14ac:dyDescent="0.25">
      <c r="A3514" t="s">
        <v>512</v>
      </c>
      <c r="B3514" t="s">
        <v>494</v>
      </c>
      <c r="C3514">
        <v>83187800</v>
      </c>
      <c r="D3514">
        <v>38</v>
      </c>
      <c r="E3514" t="s">
        <v>1474</v>
      </c>
      <c r="F3514" t="s">
        <v>1475</v>
      </c>
      <c r="G3514" s="1">
        <v>45233</v>
      </c>
      <c r="H3514">
        <v>5411252</v>
      </c>
      <c r="I3514">
        <v>272</v>
      </c>
      <c r="J3514" t="s">
        <v>398</v>
      </c>
      <c r="K3514" s="8" t="str">
        <f>IFERROR(IF(AND(VLOOKUP($C3514,Hes!$A:$B, 1, FALSE), $M3514&lt;&gt;" "), "Ingresada", "Falta Ingresar"), " ")</f>
        <v>Falta Ingresar</v>
      </c>
      <c r="L3514" s="4" t="str">
        <f>IFERROR(VLOOKUP($C3514,Observaciones!$A:$B,2,FALSE)," ")</f>
        <v xml:space="preserve"> </v>
      </c>
      <c r="M3514" t="s">
        <v>681</v>
      </c>
      <c r="O3514" s="5">
        <v>30846225</v>
      </c>
      <c r="P3514" s="5">
        <v>108635</v>
      </c>
      <c r="Q3514" s="5">
        <v>20641</v>
      </c>
      <c r="R3514" s="5">
        <v>129276</v>
      </c>
    </row>
    <row r="3515" spans="1:18" x14ac:dyDescent="0.25">
      <c r="A3515" t="s">
        <v>512</v>
      </c>
      <c r="B3515" t="s">
        <v>494</v>
      </c>
      <c r="C3515">
        <v>83187800</v>
      </c>
      <c r="D3515">
        <v>36</v>
      </c>
      <c r="E3515">
        <v>30847727</v>
      </c>
      <c r="F3515" t="s">
        <v>1475</v>
      </c>
      <c r="G3515" s="1">
        <v>45233</v>
      </c>
      <c r="H3515">
        <v>5411253</v>
      </c>
      <c r="I3515">
        <v>272</v>
      </c>
      <c r="J3515" t="s">
        <v>398</v>
      </c>
      <c r="K3515" s="8" t="str">
        <f>IFERROR(IF(AND(VLOOKUP($C3515,Hes!$A:$B, 1, FALSE), $M3515&lt;&gt;" "), "Ingresada", "Falta Ingresar"), " ")</f>
        <v>Falta Ingresar</v>
      </c>
      <c r="L3515" s="4" t="str">
        <f>IFERROR(VLOOKUP($C3515,Observaciones!$A:$B,2,FALSE)," ")</f>
        <v xml:space="preserve"> </v>
      </c>
      <c r="M3515" t="s">
        <v>681</v>
      </c>
      <c r="O3515" s="5">
        <v>30847727</v>
      </c>
      <c r="P3515" s="5">
        <v>143048</v>
      </c>
      <c r="Q3515" s="5">
        <v>27179</v>
      </c>
      <c r="R3515" s="5">
        <v>170227</v>
      </c>
    </row>
    <row r="3516" spans="1:18" x14ac:dyDescent="0.25">
      <c r="A3516" t="s">
        <v>512</v>
      </c>
      <c r="B3516" t="s">
        <v>494</v>
      </c>
      <c r="C3516">
        <v>83187800</v>
      </c>
      <c r="D3516">
        <v>8</v>
      </c>
      <c r="E3516" t="s">
        <v>1474</v>
      </c>
      <c r="F3516" t="s">
        <v>1475</v>
      </c>
      <c r="G3516" s="1">
        <v>45233</v>
      </c>
      <c r="H3516">
        <v>5411254</v>
      </c>
      <c r="I3516">
        <v>272</v>
      </c>
      <c r="J3516" t="s">
        <v>398</v>
      </c>
      <c r="K3516" s="8" t="str">
        <f>IFERROR(IF(AND(VLOOKUP($C3516,Hes!$A:$B, 1, FALSE), $M3516&lt;&gt;" "), "Ingresada", "Falta Ingresar"), " ")</f>
        <v>Falta Ingresar</v>
      </c>
      <c r="L3516" s="4" t="str">
        <f>IFERROR(VLOOKUP($C3516,Observaciones!$A:$B,2,FALSE)," ")</f>
        <v xml:space="preserve"> </v>
      </c>
      <c r="M3516" t="s">
        <v>681</v>
      </c>
      <c r="O3516" s="5">
        <v>30846236</v>
      </c>
      <c r="P3516" s="5">
        <v>108635</v>
      </c>
      <c r="Q3516" s="5">
        <v>20641</v>
      </c>
      <c r="R3516" s="5">
        <v>129276</v>
      </c>
    </row>
    <row r="3517" spans="1:18" x14ac:dyDescent="0.25">
      <c r="A3517" t="s">
        <v>512</v>
      </c>
      <c r="B3517" t="s">
        <v>494</v>
      </c>
      <c r="C3517">
        <v>83187800</v>
      </c>
      <c r="D3517">
        <v>36</v>
      </c>
      <c r="E3517" t="s">
        <v>1474</v>
      </c>
      <c r="F3517" t="s">
        <v>1475</v>
      </c>
      <c r="G3517" s="1">
        <v>45233</v>
      </c>
      <c r="H3517">
        <v>5411255</v>
      </c>
      <c r="I3517">
        <v>272</v>
      </c>
      <c r="J3517" t="s">
        <v>398</v>
      </c>
      <c r="K3517" s="8" t="str">
        <f>IFERROR(IF(AND(VLOOKUP($C3517,Hes!$A:$B, 1, FALSE), $M3517&lt;&gt;" "), "Ingresada", "Falta Ingresar"), " ")</f>
        <v>Falta Ingresar</v>
      </c>
      <c r="L3517" s="4" t="str">
        <f>IFERROR(VLOOKUP($C3517,Observaciones!$A:$B,2,FALSE)," ")</f>
        <v xml:space="preserve"> </v>
      </c>
      <c r="M3517" t="s">
        <v>681</v>
      </c>
      <c r="O3517" s="5">
        <v>30846232</v>
      </c>
      <c r="P3517" s="5">
        <v>108635</v>
      </c>
      <c r="Q3517" s="5">
        <v>20641</v>
      </c>
      <c r="R3517" s="5">
        <v>129276</v>
      </c>
    </row>
    <row r="3518" spans="1:18" x14ac:dyDescent="0.25">
      <c r="A3518" t="s">
        <v>512</v>
      </c>
      <c r="B3518" t="s">
        <v>494</v>
      </c>
      <c r="C3518">
        <v>83187800</v>
      </c>
      <c r="D3518">
        <v>20</v>
      </c>
      <c r="E3518" t="s">
        <v>1474</v>
      </c>
      <c r="F3518" t="s">
        <v>1475</v>
      </c>
      <c r="G3518" s="1">
        <v>45233</v>
      </c>
      <c r="H3518">
        <v>5411279</v>
      </c>
      <c r="I3518">
        <v>272</v>
      </c>
      <c r="J3518" t="s">
        <v>398</v>
      </c>
      <c r="K3518" s="8" t="str">
        <f>IFERROR(IF(AND(VLOOKUP($C3518,Hes!$A:$B, 1, FALSE), $M3518&lt;&gt;" "), "Ingresada", "Falta Ingresar"), " ")</f>
        <v>Falta Ingresar</v>
      </c>
      <c r="L3518" s="4" t="str">
        <f>IFERROR(VLOOKUP($C3518,Observaciones!$A:$B,2,FALSE)," ")</f>
        <v xml:space="preserve"> </v>
      </c>
      <c r="M3518" t="s">
        <v>681</v>
      </c>
      <c r="O3518" s="5">
        <v>30846230</v>
      </c>
      <c r="P3518" s="5">
        <v>108635</v>
      </c>
      <c r="Q3518" s="5">
        <v>20641</v>
      </c>
      <c r="R3518" s="5">
        <v>129276</v>
      </c>
    </row>
    <row r="3519" spans="1:18" x14ac:dyDescent="0.25">
      <c r="A3519" t="s">
        <v>512</v>
      </c>
      <c r="B3519" t="s">
        <v>494</v>
      </c>
      <c r="C3519">
        <v>83187800</v>
      </c>
      <c r="D3519">
        <v>6</v>
      </c>
      <c r="E3519" t="s">
        <v>1474</v>
      </c>
      <c r="F3519" t="s">
        <v>1475</v>
      </c>
      <c r="G3519" s="1">
        <v>45233</v>
      </c>
      <c r="H3519">
        <v>5411289</v>
      </c>
      <c r="I3519">
        <v>272</v>
      </c>
      <c r="J3519" t="s">
        <v>398</v>
      </c>
      <c r="K3519" s="8" t="str">
        <f>IFERROR(IF(AND(VLOOKUP($C3519,Hes!$A:$B, 1, FALSE), $M3519&lt;&gt;" "), "Ingresada", "Falta Ingresar"), " ")</f>
        <v>Falta Ingresar</v>
      </c>
      <c r="L3519" s="4" t="str">
        <f>IFERROR(VLOOKUP($C3519,Observaciones!$A:$B,2,FALSE)," ")</f>
        <v xml:space="preserve"> </v>
      </c>
      <c r="M3519" t="s">
        <v>681</v>
      </c>
      <c r="O3519" s="5">
        <v>30846208</v>
      </c>
      <c r="P3519" s="5">
        <v>108635</v>
      </c>
      <c r="Q3519" s="5">
        <v>20641</v>
      </c>
      <c r="R3519" s="5">
        <v>129276</v>
      </c>
    </row>
    <row r="3520" spans="1:18" x14ac:dyDescent="0.25">
      <c r="A3520" t="s">
        <v>512</v>
      </c>
      <c r="B3520" t="s">
        <v>494</v>
      </c>
      <c r="C3520">
        <v>83187800</v>
      </c>
      <c r="D3520">
        <v>6</v>
      </c>
      <c r="E3520">
        <v>30848451</v>
      </c>
      <c r="F3520" t="s">
        <v>1475</v>
      </c>
      <c r="G3520" s="1">
        <v>45233</v>
      </c>
      <c r="H3520">
        <v>5411291</v>
      </c>
      <c r="I3520">
        <v>272</v>
      </c>
      <c r="J3520" t="s">
        <v>398</v>
      </c>
      <c r="K3520" s="8" t="str">
        <f>IFERROR(IF(AND(VLOOKUP($C3520,Hes!$A:$B, 1, FALSE), $M3520&lt;&gt;" "), "Ingresada", "Falta Ingresar"), " ")</f>
        <v>Falta Ingresar</v>
      </c>
      <c r="L3520" s="4" t="str">
        <f>IFERROR(VLOOKUP($C3520,Observaciones!$A:$B,2,FALSE)," ")</f>
        <v xml:space="preserve"> </v>
      </c>
      <c r="M3520" t="s">
        <v>681</v>
      </c>
      <c r="O3520" s="5">
        <v>30848451</v>
      </c>
      <c r="P3520" s="5">
        <v>109146</v>
      </c>
      <c r="Q3520" s="5">
        <v>20738</v>
      </c>
      <c r="R3520" s="5">
        <v>129884</v>
      </c>
    </row>
    <row r="3521" spans="1:18" x14ac:dyDescent="0.25">
      <c r="A3521" t="s">
        <v>512</v>
      </c>
      <c r="B3521" t="s">
        <v>494</v>
      </c>
      <c r="C3521">
        <v>83187800</v>
      </c>
      <c r="D3521">
        <v>1</v>
      </c>
      <c r="E3521" t="s">
        <v>1474</v>
      </c>
      <c r="F3521" t="s">
        <v>1475</v>
      </c>
      <c r="G3521" s="1">
        <v>45233</v>
      </c>
      <c r="H3521">
        <v>5411300</v>
      </c>
      <c r="I3521">
        <v>272</v>
      </c>
      <c r="J3521" t="s">
        <v>398</v>
      </c>
      <c r="K3521" s="8" t="str">
        <f>IFERROR(IF(AND(VLOOKUP($C3521,Hes!$A:$B, 1, FALSE), $M3521&lt;&gt;" "), "Ingresada", "Falta Ingresar"), " ")</f>
        <v>Falta Ingresar</v>
      </c>
      <c r="L3521" s="4" t="str">
        <f>IFERROR(VLOOKUP($C3521,Observaciones!$A:$B,2,FALSE)," ")</f>
        <v xml:space="preserve"> </v>
      </c>
      <c r="M3521" t="s">
        <v>681</v>
      </c>
      <c r="O3521" s="5">
        <v>30846239</v>
      </c>
      <c r="P3521" s="5">
        <v>108635</v>
      </c>
      <c r="Q3521" s="5">
        <v>20641</v>
      </c>
      <c r="R3521" s="5">
        <v>129276</v>
      </c>
    </row>
    <row r="3522" spans="1:18" x14ac:dyDescent="0.25">
      <c r="A3522" t="s">
        <v>512</v>
      </c>
      <c r="B3522" t="s">
        <v>494</v>
      </c>
      <c r="C3522">
        <v>83187800</v>
      </c>
      <c r="D3522">
        <v>3</v>
      </c>
      <c r="E3522">
        <v>30848481</v>
      </c>
      <c r="F3522" t="s">
        <v>1475</v>
      </c>
      <c r="G3522" s="1">
        <v>45233</v>
      </c>
      <c r="H3522">
        <v>5411315</v>
      </c>
      <c r="I3522">
        <v>272</v>
      </c>
      <c r="J3522" t="s">
        <v>398</v>
      </c>
      <c r="K3522" s="8" t="str">
        <f>IFERROR(IF(AND(VLOOKUP($C3522,Hes!$A:$B, 1, FALSE), $M3522&lt;&gt;" "), "Ingresada", "Falta Ingresar"), " ")</f>
        <v>Falta Ingresar</v>
      </c>
      <c r="L3522" s="4" t="str">
        <f>IFERROR(VLOOKUP($C3522,Observaciones!$A:$B,2,FALSE)," ")</f>
        <v xml:space="preserve"> </v>
      </c>
      <c r="M3522" t="s">
        <v>681</v>
      </c>
      <c r="O3522" s="5">
        <v>30848481</v>
      </c>
      <c r="P3522" s="5">
        <v>109331</v>
      </c>
      <c r="Q3522" s="5">
        <v>20773</v>
      </c>
      <c r="R3522" s="5">
        <v>130104</v>
      </c>
    </row>
    <row r="3523" spans="1:18" x14ac:dyDescent="0.25">
      <c r="A3523" t="s">
        <v>512</v>
      </c>
      <c r="B3523" t="s">
        <v>494</v>
      </c>
      <c r="C3523">
        <v>83187800</v>
      </c>
      <c r="D3523">
        <v>16</v>
      </c>
      <c r="E3523">
        <v>30848520</v>
      </c>
      <c r="F3523" t="s">
        <v>1475</v>
      </c>
      <c r="G3523" s="1">
        <v>45233</v>
      </c>
      <c r="H3523">
        <v>5411350</v>
      </c>
      <c r="I3523">
        <v>272</v>
      </c>
      <c r="J3523" t="s">
        <v>398</v>
      </c>
      <c r="K3523" s="8" t="str">
        <f>IFERROR(IF(AND(VLOOKUP($C3523,Hes!$A:$B, 1, FALSE), $M3523&lt;&gt;" "), "Ingresada", "Falta Ingresar"), " ")</f>
        <v>Falta Ingresar</v>
      </c>
      <c r="L3523" s="4" t="str">
        <f>IFERROR(VLOOKUP($C3523,Observaciones!$A:$B,2,FALSE)," ")</f>
        <v xml:space="preserve"> </v>
      </c>
      <c r="M3523" t="s">
        <v>681</v>
      </c>
      <c r="O3523" s="5">
        <v>30848520</v>
      </c>
      <c r="P3523" s="5">
        <v>104899</v>
      </c>
      <c r="Q3523" s="5">
        <v>19931</v>
      </c>
      <c r="R3523" s="5">
        <v>124830</v>
      </c>
    </row>
    <row r="3524" spans="1:18" x14ac:dyDescent="0.25">
      <c r="A3524" t="s">
        <v>512</v>
      </c>
      <c r="B3524" t="s">
        <v>494</v>
      </c>
      <c r="C3524">
        <v>83187800</v>
      </c>
      <c r="D3524">
        <v>35</v>
      </c>
      <c r="E3524" t="s">
        <v>1474</v>
      </c>
      <c r="F3524" t="s">
        <v>1475</v>
      </c>
      <c r="G3524" s="1">
        <v>45233</v>
      </c>
      <c r="H3524">
        <v>5411363</v>
      </c>
      <c r="I3524">
        <v>272</v>
      </c>
      <c r="J3524" t="s">
        <v>398</v>
      </c>
      <c r="K3524" s="8" t="str">
        <f>IFERROR(IF(AND(VLOOKUP($C3524,Hes!$A:$B, 1, FALSE), $M3524&lt;&gt;" "), "Ingresada", "Falta Ingresar"), " ")</f>
        <v>Falta Ingresar</v>
      </c>
      <c r="L3524" s="4" t="str">
        <f>IFERROR(VLOOKUP($C3524,Observaciones!$A:$B,2,FALSE)," ")</f>
        <v xml:space="preserve"> </v>
      </c>
      <c r="M3524" t="s">
        <v>681</v>
      </c>
      <c r="O3524" s="5">
        <v>30846234</v>
      </c>
      <c r="P3524" s="5">
        <v>108635</v>
      </c>
      <c r="Q3524" s="5">
        <v>20641</v>
      </c>
      <c r="R3524" s="5">
        <v>129276</v>
      </c>
    </row>
    <row r="3525" spans="1:18" x14ac:dyDescent="0.25">
      <c r="A3525" t="s">
        <v>512</v>
      </c>
      <c r="B3525" t="s">
        <v>494</v>
      </c>
      <c r="C3525">
        <v>83187800</v>
      </c>
      <c r="D3525">
        <v>75</v>
      </c>
      <c r="E3525" t="s">
        <v>1474</v>
      </c>
      <c r="F3525" t="s">
        <v>1475</v>
      </c>
      <c r="G3525" s="1">
        <v>45233</v>
      </c>
      <c r="H3525">
        <v>5411399</v>
      </c>
      <c r="I3525">
        <v>272</v>
      </c>
      <c r="J3525" t="s">
        <v>398</v>
      </c>
      <c r="K3525" s="8" t="str">
        <f>IFERROR(IF(AND(VLOOKUP($C3525,Hes!$A:$B, 1, FALSE), $M3525&lt;&gt;" "), "Ingresada", "Falta Ingresar"), " ")</f>
        <v>Falta Ingresar</v>
      </c>
      <c r="L3525" s="4" t="str">
        <f>IFERROR(VLOOKUP($C3525,Observaciones!$A:$B,2,FALSE)," ")</f>
        <v xml:space="preserve"> </v>
      </c>
      <c r="M3525" t="s">
        <v>681</v>
      </c>
      <c r="O3525" s="5">
        <v>30846211</v>
      </c>
      <c r="P3525" s="5">
        <v>108635</v>
      </c>
      <c r="Q3525" s="5">
        <v>20641</v>
      </c>
      <c r="R3525" s="5">
        <v>129276</v>
      </c>
    </row>
    <row r="3526" spans="1:18" x14ac:dyDescent="0.25">
      <c r="A3526" t="s">
        <v>512</v>
      </c>
      <c r="B3526" t="s">
        <v>494</v>
      </c>
      <c r="C3526">
        <v>83187800</v>
      </c>
      <c r="D3526">
        <v>75</v>
      </c>
      <c r="E3526">
        <v>30849239</v>
      </c>
      <c r="F3526" t="s">
        <v>1475</v>
      </c>
      <c r="G3526" s="1">
        <v>45233</v>
      </c>
      <c r="H3526">
        <v>5411479</v>
      </c>
      <c r="I3526">
        <v>272</v>
      </c>
      <c r="J3526" t="s">
        <v>398</v>
      </c>
      <c r="K3526" s="8" t="str">
        <f>IFERROR(IF(AND(VLOOKUP($C3526,Hes!$A:$B, 1, FALSE), $M3526&lt;&gt;" "), "Ingresada", "Falta Ingresar"), " ")</f>
        <v>Falta Ingresar</v>
      </c>
      <c r="L3526" s="4" t="str">
        <f>IFERROR(VLOOKUP($C3526,Observaciones!$A:$B,2,FALSE)," ")</f>
        <v xml:space="preserve"> </v>
      </c>
      <c r="M3526" t="s">
        <v>681</v>
      </c>
      <c r="O3526" s="5">
        <v>30849239</v>
      </c>
      <c r="P3526" s="5">
        <v>128214</v>
      </c>
      <c r="Q3526" s="5">
        <v>24361</v>
      </c>
      <c r="R3526" s="5">
        <v>152575</v>
      </c>
    </row>
    <row r="3527" spans="1:18" x14ac:dyDescent="0.25">
      <c r="A3527" t="s">
        <v>512</v>
      </c>
      <c r="B3527" t="s">
        <v>494</v>
      </c>
      <c r="C3527">
        <v>83187800</v>
      </c>
      <c r="D3527">
        <v>19</v>
      </c>
      <c r="E3527">
        <v>30848418</v>
      </c>
      <c r="F3527" t="s">
        <v>1475</v>
      </c>
      <c r="G3527" s="1">
        <v>45233</v>
      </c>
      <c r="H3527">
        <v>5411509</v>
      </c>
      <c r="I3527">
        <v>272</v>
      </c>
      <c r="J3527" t="s">
        <v>398</v>
      </c>
      <c r="K3527" s="8" t="str">
        <f>IFERROR(IF(AND(VLOOKUP($C3527,Hes!$A:$B, 1, FALSE), $M3527&lt;&gt;" "), "Ingresada", "Falta Ingresar"), " ")</f>
        <v>Falta Ingresar</v>
      </c>
      <c r="L3527" s="4" t="str">
        <f>IFERROR(VLOOKUP($C3527,Observaciones!$A:$B,2,FALSE)," ")</f>
        <v xml:space="preserve"> </v>
      </c>
      <c r="M3527" t="s">
        <v>681</v>
      </c>
      <c r="O3527" s="5">
        <v>30848418</v>
      </c>
      <c r="P3527" s="5">
        <v>165339</v>
      </c>
      <c r="Q3527" s="5">
        <v>31414</v>
      </c>
      <c r="R3527" s="5">
        <v>196753</v>
      </c>
    </row>
    <row r="3528" spans="1:18" x14ac:dyDescent="0.25">
      <c r="A3528" t="s">
        <v>512</v>
      </c>
      <c r="B3528" t="s">
        <v>494</v>
      </c>
      <c r="C3528">
        <v>83187800</v>
      </c>
      <c r="D3528">
        <v>43</v>
      </c>
      <c r="E3528">
        <v>30848402</v>
      </c>
      <c r="F3528" t="s">
        <v>1475</v>
      </c>
      <c r="G3528" s="1">
        <v>45233</v>
      </c>
      <c r="H3528">
        <v>5411510</v>
      </c>
      <c r="I3528">
        <v>272</v>
      </c>
      <c r="J3528" t="s">
        <v>398</v>
      </c>
      <c r="K3528" s="8" t="str">
        <f>IFERROR(IF(AND(VLOOKUP($C3528,Hes!$A:$B, 1, FALSE), $M3528&lt;&gt;" "), "Ingresada", "Falta Ingresar"), " ")</f>
        <v>Falta Ingresar</v>
      </c>
      <c r="L3528" s="4" t="str">
        <f>IFERROR(VLOOKUP($C3528,Observaciones!$A:$B,2,FALSE)," ")</f>
        <v xml:space="preserve"> </v>
      </c>
      <c r="M3528" t="s">
        <v>681</v>
      </c>
      <c r="O3528" s="5">
        <v>30848402</v>
      </c>
      <c r="P3528" s="5">
        <v>137513</v>
      </c>
      <c r="Q3528" s="5">
        <v>26127</v>
      </c>
      <c r="R3528" s="5">
        <v>163640</v>
      </c>
    </row>
    <row r="3529" spans="1:18" x14ac:dyDescent="0.25">
      <c r="A3529" t="s">
        <v>512</v>
      </c>
      <c r="B3529" t="s">
        <v>494</v>
      </c>
      <c r="C3529">
        <v>83187800</v>
      </c>
      <c r="D3529">
        <v>43</v>
      </c>
      <c r="E3529" t="s">
        <v>1474</v>
      </c>
      <c r="F3529" t="s">
        <v>1475</v>
      </c>
      <c r="G3529" s="1">
        <v>45233</v>
      </c>
      <c r="H3529">
        <v>5411689</v>
      </c>
      <c r="I3529">
        <v>272</v>
      </c>
      <c r="J3529" t="s">
        <v>398</v>
      </c>
      <c r="K3529" s="8" t="str">
        <f>IFERROR(IF(AND(VLOOKUP($C3529,Hes!$A:$B, 1, FALSE), $M3529&lt;&gt;" "), "Ingresada", "Falta Ingresar"), " ")</f>
        <v>Falta Ingresar</v>
      </c>
      <c r="L3529" s="4" t="str">
        <f>IFERROR(VLOOKUP($C3529,Observaciones!$A:$B,2,FALSE)," ")</f>
        <v xml:space="preserve"> </v>
      </c>
      <c r="M3529" t="s">
        <v>681</v>
      </c>
      <c r="O3529" s="5">
        <v>30846082</v>
      </c>
      <c r="P3529" s="5">
        <v>108635</v>
      </c>
      <c r="Q3529" s="5">
        <v>20641</v>
      </c>
      <c r="R3529" s="5">
        <v>129276</v>
      </c>
    </row>
    <row r="3530" spans="1:18" x14ac:dyDescent="0.25">
      <c r="A3530" t="s">
        <v>512</v>
      </c>
      <c r="B3530" t="s">
        <v>494</v>
      </c>
      <c r="C3530">
        <v>83187800</v>
      </c>
      <c r="D3530">
        <v>13</v>
      </c>
      <c r="E3530">
        <v>30849273</v>
      </c>
      <c r="F3530" t="s">
        <v>1475</v>
      </c>
      <c r="G3530" s="1">
        <v>45233</v>
      </c>
      <c r="H3530">
        <v>5411710</v>
      </c>
      <c r="I3530">
        <v>272</v>
      </c>
      <c r="J3530" t="s">
        <v>398</v>
      </c>
      <c r="K3530" s="8" t="str">
        <f>IFERROR(IF(AND(VLOOKUP($C3530,Hes!$A:$B, 1, FALSE), $M3530&lt;&gt;" "), "Ingresada", "Falta Ingresar"), " ")</f>
        <v>Falta Ingresar</v>
      </c>
      <c r="L3530" s="4" t="str">
        <f>IFERROR(VLOOKUP($C3530,Observaciones!$A:$B,2,FALSE)," ")</f>
        <v xml:space="preserve"> </v>
      </c>
      <c r="M3530" t="s">
        <v>681</v>
      </c>
      <c r="O3530" s="5">
        <v>30849273</v>
      </c>
      <c r="P3530" s="5">
        <v>169902</v>
      </c>
      <c r="Q3530" s="5">
        <v>32281</v>
      </c>
      <c r="R3530" s="5">
        <v>202183</v>
      </c>
    </row>
    <row r="3531" spans="1:18" x14ac:dyDescent="0.25">
      <c r="A3531" t="s">
        <v>512</v>
      </c>
      <c r="B3531" t="s">
        <v>494</v>
      </c>
      <c r="C3531">
        <v>83187800</v>
      </c>
      <c r="D3531">
        <v>40</v>
      </c>
      <c r="E3531">
        <v>30849209</v>
      </c>
      <c r="F3531" t="s">
        <v>1475</v>
      </c>
      <c r="G3531" s="1">
        <v>45233</v>
      </c>
      <c r="H3531">
        <v>5411714</v>
      </c>
      <c r="I3531">
        <v>272</v>
      </c>
      <c r="J3531" t="s">
        <v>398</v>
      </c>
      <c r="K3531" s="8" t="str">
        <f>IFERROR(IF(AND(VLOOKUP($C3531,Hes!$A:$B, 1, FALSE), $M3531&lt;&gt;" "), "Ingresada", "Falta Ingresar"), " ")</f>
        <v>Falta Ingresar</v>
      </c>
      <c r="L3531" s="4" t="str">
        <f>IFERROR(VLOOKUP($C3531,Observaciones!$A:$B,2,FALSE)," ")</f>
        <v xml:space="preserve"> </v>
      </c>
      <c r="M3531" t="s">
        <v>681</v>
      </c>
      <c r="O3531" s="5">
        <v>30849209</v>
      </c>
      <c r="P3531" s="5">
        <v>169917</v>
      </c>
      <c r="Q3531" s="5">
        <v>32284</v>
      </c>
      <c r="R3531" s="5">
        <v>202201</v>
      </c>
    </row>
    <row r="3532" spans="1:18" x14ac:dyDescent="0.25">
      <c r="A3532" t="s">
        <v>512</v>
      </c>
      <c r="B3532" t="s">
        <v>494</v>
      </c>
      <c r="C3532">
        <v>83187800</v>
      </c>
      <c r="D3532">
        <v>42</v>
      </c>
      <c r="E3532">
        <v>30849293</v>
      </c>
      <c r="F3532" t="s">
        <v>1475</v>
      </c>
      <c r="G3532" s="1">
        <v>45233</v>
      </c>
      <c r="H3532">
        <v>5411742</v>
      </c>
      <c r="I3532">
        <v>272</v>
      </c>
      <c r="J3532" t="s">
        <v>398</v>
      </c>
      <c r="K3532" s="8" t="str">
        <f>IFERROR(IF(AND(VLOOKUP($C3532,Hes!$A:$B, 1, FALSE), $M3532&lt;&gt;" "), "Ingresada", "Falta Ingresar"), " ")</f>
        <v>Falta Ingresar</v>
      </c>
      <c r="L3532" s="4" t="str">
        <f>IFERROR(VLOOKUP($C3532,Observaciones!$A:$B,2,FALSE)," ")</f>
        <v xml:space="preserve"> </v>
      </c>
      <c r="M3532" t="s">
        <v>681</v>
      </c>
      <c r="O3532" s="5">
        <v>30849293</v>
      </c>
      <c r="P3532" s="5">
        <v>182763</v>
      </c>
      <c r="Q3532" s="5">
        <v>34725</v>
      </c>
      <c r="R3532" s="5">
        <v>217488</v>
      </c>
    </row>
    <row r="3533" spans="1:18" x14ac:dyDescent="0.25">
      <c r="A3533" t="s">
        <v>512</v>
      </c>
      <c r="B3533" t="s">
        <v>494</v>
      </c>
      <c r="C3533">
        <v>83187800</v>
      </c>
      <c r="D3533">
        <v>30</v>
      </c>
      <c r="E3533" t="s">
        <v>1474</v>
      </c>
      <c r="F3533" t="s">
        <v>1475</v>
      </c>
      <c r="G3533" s="1">
        <v>45234</v>
      </c>
      <c r="H3533">
        <v>5411818</v>
      </c>
      <c r="I3533">
        <v>272</v>
      </c>
      <c r="J3533" t="s">
        <v>398</v>
      </c>
      <c r="K3533" s="8" t="str">
        <f>IFERROR(IF(AND(VLOOKUP($C3533,Hes!$A:$B, 1, FALSE), $M3533&lt;&gt;" "), "Ingresada", "Falta Ingresar"), " ")</f>
        <v>Falta Ingresar</v>
      </c>
      <c r="L3533" s="4" t="str">
        <f>IFERROR(VLOOKUP($C3533,Observaciones!$A:$B,2,FALSE)," ")</f>
        <v xml:space="preserve"> </v>
      </c>
      <c r="M3533" t="s">
        <v>681</v>
      </c>
      <c r="O3533" s="5">
        <v>30846054</v>
      </c>
      <c r="P3533" s="5">
        <v>108635</v>
      </c>
      <c r="Q3533" s="5">
        <v>20641</v>
      </c>
      <c r="R3533" s="5">
        <v>129276</v>
      </c>
    </row>
    <row r="3534" spans="1:18" x14ac:dyDescent="0.25">
      <c r="A3534" t="s">
        <v>512</v>
      </c>
      <c r="B3534" t="s">
        <v>494</v>
      </c>
      <c r="C3534">
        <v>83187800</v>
      </c>
      <c r="D3534">
        <v>77</v>
      </c>
      <c r="E3534">
        <v>30847716</v>
      </c>
      <c r="F3534" t="s">
        <v>1475</v>
      </c>
      <c r="G3534" s="1">
        <v>45234</v>
      </c>
      <c r="H3534">
        <v>5411877</v>
      </c>
      <c r="I3534">
        <v>272</v>
      </c>
      <c r="J3534" t="s">
        <v>398</v>
      </c>
      <c r="K3534" s="8" t="str">
        <f>IFERROR(IF(AND(VLOOKUP($C3534,Hes!$A:$B, 1, FALSE), $M3534&lt;&gt;" "), "Ingresada", "Falta Ingresar"), " ")</f>
        <v>Falta Ingresar</v>
      </c>
      <c r="L3534" s="4" t="str">
        <f>IFERROR(VLOOKUP($C3534,Observaciones!$A:$B,2,FALSE)," ")</f>
        <v xml:space="preserve"> </v>
      </c>
      <c r="M3534" t="s">
        <v>681</v>
      </c>
      <c r="O3534" s="5">
        <v>30847716</v>
      </c>
      <c r="P3534" s="5">
        <v>129768</v>
      </c>
      <c r="Q3534" s="5">
        <v>24656</v>
      </c>
      <c r="R3534" s="5">
        <v>154424</v>
      </c>
    </row>
    <row r="3535" spans="1:18" x14ac:dyDescent="0.25">
      <c r="A3535" t="s">
        <v>512</v>
      </c>
      <c r="B3535" t="s">
        <v>494</v>
      </c>
      <c r="C3535">
        <v>83187800</v>
      </c>
      <c r="D3535">
        <v>52</v>
      </c>
      <c r="E3535" t="s">
        <v>1474</v>
      </c>
      <c r="F3535" t="s">
        <v>1475</v>
      </c>
      <c r="G3535" s="1">
        <v>45236</v>
      </c>
      <c r="H3535">
        <v>5411922</v>
      </c>
      <c r="I3535">
        <v>272</v>
      </c>
      <c r="J3535" t="s">
        <v>398</v>
      </c>
      <c r="K3535" s="8" t="str">
        <f>IFERROR(IF(AND(VLOOKUP($C3535,Hes!$A:$B, 1, FALSE), $M3535&lt;&gt;" "), "Ingresada", "Falta Ingresar"), " ")</f>
        <v>Falta Ingresar</v>
      </c>
      <c r="L3535" s="4" t="str">
        <f>IFERROR(VLOOKUP($C3535,Observaciones!$A:$B,2,FALSE)," ")</f>
        <v xml:space="preserve"> </v>
      </c>
      <c r="M3535" t="s">
        <v>681</v>
      </c>
      <c r="O3535" s="5">
        <v>30846063</v>
      </c>
      <c r="P3535" s="5">
        <v>108635</v>
      </c>
      <c r="Q3535" s="5">
        <v>20641</v>
      </c>
      <c r="R3535" s="5">
        <v>129276</v>
      </c>
    </row>
    <row r="3536" spans="1:18" x14ac:dyDescent="0.25">
      <c r="A3536" t="s">
        <v>512</v>
      </c>
      <c r="B3536" t="s">
        <v>494</v>
      </c>
      <c r="C3536">
        <v>83187800</v>
      </c>
      <c r="D3536">
        <v>21</v>
      </c>
      <c r="E3536">
        <v>30847758</v>
      </c>
      <c r="F3536" t="s">
        <v>1475</v>
      </c>
      <c r="G3536" s="1">
        <v>45236</v>
      </c>
      <c r="H3536">
        <v>5411926</v>
      </c>
      <c r="I3536">
        <v>272</v>
      </c>
      <c r="J3536" t="s">
        <v>398</v>
      </c>
      <c r="K3536" s="8" t="str">
        <f>IFERROR(IF(AND(VLOOKUP($C3536,Hes!$A:$B, 1, FALSE), $M3536&lt;&gt;" "), "Ingresada", "Falta Ingresar"), " ")</f>
        <v>Falta Ingresar</v>
      </c>
      <c r="L3536" s="4" t="str">
        <f>IFERROR(VLOOKUP($C3536,Observaciones!$A:$B,2,FALSE)," ")</f>
        <v xml:space="preserve"> </v>
      </c>
      <c r="M3536" t="s">
        <v>681</v>
      </c>
      <c r="O3536" s="5">
        <v>30847758</v>
      </c>
      <c r="P3536" s="5">
        <v>172930</v>
      </c>
      <c r="Q3536" s="5">
        <v>32857</v>
      </c>
      <c r="R3536" s="5">
        <v>205787</v>
      </c>
    </row>
    <row r="3537" spans="1:18" x14ac:dyDescent="0.25">
      <c r="A3537" t="s">
        <v>512</v>
      </c>
      <c r="B3537" t="s">
        <v>494</v>
      </c>
      <c r="C3537">
        <v>83187800</v>
      </c>
      <c r="D3537">
        <v>45</v>
      </c>
      <c r="E3537">
        <v>30847732</v>
      </c>
      <c r="F3537" t="s">
        <v>1475</v>
      </c>
      <c r="G3537" s="1">
        <v>45236</v>
      </c>
      <c r="H3537">
        <v>5411928</v>
      </c>
      <c r="I3537">
        <v>272</v>
      </c>
      <c r="J3537" t="s">
        <v>398</v>
      </c>
      <c r="K3537" s="8" t="str">
        <f>IFERROR(IF(AND(VLOOKUP($C3537,Hes!$A:$B, 1, FALSE), $M3537&lt;&gt;" "), "Ingresada", "Falta Ingresar"), " ")</f>
        <v>Falta Ingresar</v>
      </c>
      <c r="L3537" s="4" t="str">
        <f>IFERROR(VLOOKUP($C3537,Observaciones!$A:$B,2,FALSE)," ")</f>
        <v xml:space="preserve"> </v>
      </c>
      <c r="M3537" t="s">
        <v>681</v>
      </c>
      <c r="O3537" s="5">
        <v>30847732</v>
      </c>
      <c r="P3537" s="5">
        <v>183574</v>
      </c>
      <c r="Q3537" s="5">
        <v>34879</v>
      </c>
      <c r="R3537" s="5">
        <v>218453</v>
      </c>
    </row>
    <row r="3538" spans="1:18" x14ac:dyDescent="0.25">
      <c r="A3538" t="s">
        <v>512</v>
      </c>
      <c r="B3538" t="s">
        <v>494</v>
      </c>
      <c r="C3538">
        <v>83187800</v>
      </c>
      <c r="D3538">
        <v>52</v>
      </c>
      <c r="E3538">
        <v>30849260</v>
      </c>
      <c r="F3538" t="s">
        <v>1475</v>
      </c>
      <c r="G3538" s="1">
        <v>45236</v>
      </c>
      <c r="H3538">
        <v>5411933</v>
      </c>
      <c r="I3538">
        <v>272</v>
      </c>
      <c r="J3538" t="s">
        <v>398</v>
      </c>
      <c r="K3538" s="8" t="str">
        <f>IFERROR(IF(AND(VLOOKUP($C3538,Hes!$A:$B, 1, FALSE), $M3538&lt;&gt;" "), "Ingresada", "Falta Ingresar"), " ")</f>
        <v>Falta Ingresar</v>
      </c>
      <c r="L3538" s="4" t="str">
        <f>IFERROR(VLOOKUP($C3538,Observaciones!$A:$B,2,FALSE)," ")</f>
        <v xml:space="preserve"> </v>
      </c>
      <c r="M3538" t="s">
        <v>681</v>
      </c>
      <c r="O3538" s="5">
        <v>30849260</v>
      </c>
      <c r="P3538" s="5">
        <v>140509</v>
      </c>
      <c r="Q3538" s="5">
        <v>26697</v>
      </c>
      <c r="R3538" s="5">
        <v>167206</v>
      </c>
    </row>
    <row r="3539" spans="1:18" x14ac:dyDescent="0.25">
      <c r="A3539" t="s">
        <v>512</v>
      </c>
      <c r="B3539" t="s">
        <v>494</v>
      </c>
      <c r="C3539">
        <v>83187800</v>
      </c>
      <c r="D3539">
        <v>55</v>
      </c>
      <c r="E3539">
        <v>30848579</v>
      </c>
      <c r="F3539" t="s">
        <v>1475</v>
      </c>
      <c r="G3539" s="1">
        <v>45236</v>
      </c>
      <c r="H3539">
        <v>5411954</v>
      </c>
      <c r="I3539">
        <v>272</v>
      </c>
      <c r="J3539" t="s">
        <v>398</v>
      </c>
      <c r="K3539" s="8" t="str">
        <f>IFERROR(IF(AND(VLOOKUP($C3539,Hes!$A:$B, 1, FALSE), $M3539&lt;&gt;" "), "Ingresada", "Falta Ingresar"), " ")</f>
        <v>Falta Ingresar</v>
      </c>
      <c r="L3539" s="4" t="str">
        <f>IFERROR(VLOOKUP($C3539,Observaciones!$A:$B,2,FALSE)," ")</f>
        <v xml:space="preserve"> </v>
      </c>
      <c r="M3539" t="s">
        <v>681</v>
      </c>
      <c r="O3539" s="5">
        <v>30848579</v>
      </c>
      <c r="P3539" s="5">
        <v>137272</v>
      </c>
      <c r="Q3539" s="5">
        <v>26082</v>
      </c>
      <c r="R3539" s="5">
        <v>163354</v>
      </c>
    </row>
    <row r="3540" spans="1:18" x14ac:dyDescent="0.25">
      <c r="A3540" t="s">
        <v>512</v>
      </c>
      <c r="B3540" t="s">
        <v>494</v>
      </c>
      <c r="C3540">
        <v>83187800</v>
      </c>
      <c r="D3540">
        <v>32</v>
      </c>
      <c r="E3540">
        <v>30847749</v>
      </c>
      <c r="F3540" t="s">
        <v>1475</v>
      </c>
      <c r="G3540" s="1">
        <v>45236</v>
      </c>
      <c r="H3540">
        <v>5412014</v>
      </c>
      <c r="I3540">
        <v>272</v>
      </c>
      <c r="J3540" t="s">
        <v>398</v>
      </c>
      <c r="K3540" s="8" t="str">
        <f>IFERROR(IF(AND(VLOOKUP($C3540,Hes!$A:$B, 1, FALSE), $M3540&lt;&gt;" "), "Ingresada", "Falta Ingresar"), " ")</f>
        <v>Falta Ingresar</v>
      </c>
      <c r="L3540" s="4" t="str">
        <f>IFERROR(VLOOKUP($C3540,Observaciones!$A:$B,2,FALSE)," ")</f>
        <v xml:space="preserve"> </v>
      </c>
      <c r="M3540" t="s">
        <v>681</v>
      </c>
      <c r="O3540" s="5">
        <v>30847749</v>
      </c>
      <c r="P3540" s="5">
        <v>130508</v>
      </c>
      <c r="Q3540" s="5">
        <v>24797</v>
      </c>
      <c r="R3540" s="5">
        <v>155305</v>
      </c>
    </row>
    <row r="3541" spans="1:18" x14ac:dyDescent="0.25">
      <c r="A3541" t="s">
        <v>512</v>
      </c>
      <c r="B3541" t="s">
        <v>494</v>
      </c>
      <c r="C3541">
        <v>83187800</v>
      </c>
      <c r="D3541">
        <v>27</v>
      </c>
      <c r="E3541">
        <v>30848441</v>
      </c>
      <c r="F3541" t="s">
        <v>1475</v>
      </c>
      <c r="G3541" s="1">
        <v>45236</v>
      </c>
      <c r="H3541">
        <v>5412015</v>
      </c>
      <c r="I3541">
        <v>272</v>
      </c>
      <c r="J3541" t="s">
        <v>398</v>
      </c>
      <c r="K3541" s="8" t="str">
        <f>IFERROR(IF(AND(VLOOKUP($C3541,Hes!$A:$B, 1, FALSE), $M3541&lt;&gt;" "), "Ingresada", "Falta Ingresar"), " ")</f>
        <v>Falta Ingresar</v>
      </c>
      <c r="L3541" s="4" t="str">
        <f>IFERROR(VLOOKUP($C3541,Observaciones!$A:$B,2,FALSE)," ")</f>
        <v xml:space="preserve"> </v>
      </c>
      <c r="M3541" t="s">
        <v>681</v>
      </c>
      <c r="O3541" s="5">
        <v>30848441</v>
      </c>
      <c r="P3541" s="5">
        <v>135231</v>
      </c>
      <c r="Q3541" s="5">
        <v>25694</v>
      </c>
      <c r="R3541" s="5">
        <v>160925</v>
      </c>
    </row>
    <row r="3542" spans="1:18" x14ac:dyDescent="0.25">
      <c r="A3542" t="s">
        <v>512</v>
      </c>
      <c r="B3542" t="s">
        <v>494</v>
      </c>
      <c r="C3542">
        <v>83187800</v>
      </c>
      <c r="D3542">
        <v>46</v>
      </c>
      <c r="E3542" t="s">
        <v>1474</v>
      </c>
      <c r="F3542" t="s">
        <v>1475</v>
      </c>
      <c r="G3542" s="1">
        <v>45236</v>
      </c>
      <c r="H3542">
        <v>5412037</v>
      </c>
      <c r="I3542">
        <v>272</v>
      </c>
      <c r="J3542" t="s">
        <v>398</v>
      </c>
      <c r="K3542" s="8" t="str">
        <f>IFERROR(IF(AND(VLOOKUP($C3542,Hes!$A:$B, 1, FALSE), $M3542&lt;&gt;" "), "Ingresada", "Falta Ingresar"), " ")</f>
        <v>Falta Ingresar</v>
      </c>
      <c r="L3542" s="4" t="str">
        <f>IFERROR(VLOOKUP($C3542,Observaciones!$A:$B,2,FALSE)," ")</f>
        <v xml:space="preserve"> </v>
      </c>
      <c r="M3542" t="s">
        <v>681</v>
      </c>
      <c r="O3542" s="5">
        <v>30846101</v>
      </c>
      <c r="P3542" s="5">
        <v>108635</v>
      </c>
      <c r="Q3542" s="5">
        <v>20641</v>
      </c>
      <c r="R3542" s="5">
        <v>129276</v>
      </c>
    </row>
    <row r="3543" spans="1:18" x14ac:dyDescent="0.25">
      <c r="A3543" t="s">
        <v>512</v>
      </c>
      <c r="B3543" t="s">
        <v>494</v>
      </c>
      <c r="C3543">
        <v>83187800</v>
      </c>
      <c r="D3543">
        <v>46</v>
      </c>
      <c r="E3543">
        <v>30848545</v>
      </c>
      <c r="F3543" t="s">
        <v>1475</v>
      </c>
      <c r="G3543" s="1">
        <v>45236</v>
      </c>
      <c r="H3543">
        <v>5412046</v>
      </c>
      <c r="I3543">
        <v>272</v>
      </c>
      <c r="J3543" t="s">
        <v>398</v>
      </c>
      <c r="K3543" s="8" t="str">
        <f>IFERROR(IF(AND(VLOOKUP($C3543,Hes!$A:$B, 1, FALSE), $M3543&lt;&gt;" "), "Ingresada", "Falta Ingresar"), " ")</f>
        <v>Falta Ingresar</v>
      </c>
      <c r="L3543" s="4" t="str">
        <f>IFERROR(VLOOKUP($C3543,Observaciones!$A:$B,2,FALSE)," ")</f>
        <v xml:space="preserve"> </v>
      </c>
      <c r="M3543" t="s">
        <v>681</v>
      </c>
      <c r="O3543" s="5">
        <v>30848545</v>
      </c>
      <c r="P3543" s="5">
        <v>187162</v>
      </c>
      <c r="Q3543" s="5">
        <v>35561</v>
      </c>
      <c r="R3543" s="5">
        <v>222723</v>
      </c>
    </row>
    <row r="3544" spans="1:18" x14ac:dyDescent="0.25">
      <c r="A3544" t="s">
        <v>512</v>
      </c>
      <c r="B3544" t="s">
        <v>494</v>
      </c>
      <c r="C3544">
        <v>83187800</v>
      </c>
      <c r="D3544">
        <v>37</v>
      </c>
      <c r="E3544">
        <v>30849206</v>
      </c>
      <c r="F3544" t="s">
        <v>1475</v>
      </c>
      <c r="G3544" s="1">
        <v>45236</v>
      </c>
      <c r="H3544">
        <v>5412184</v>
      </c>
      <c r="I3544">
        <v>272</v>
      </c>
      <c r="J3544" t="s">
        <v>398</v>
      </c>
      <c r="K3544" s="8" t="str">
        <f>IFERROR(IF(AND(VLOOKUP($C3544,Hes!$A:$B, 1, FALSE), $M3544&lt;&gt;" "), "Ingresada", "Falta Ingresar"), " ")</f>
        <v>Falta Ingresar</v>
      </c>
      <c r="L3544" s="4" t="str">
        <f>IFERROR(VLOOKUP($C3544,Observaciones!$A:$B,2,FALSE)," ")</f>
        <v xml:space="preserve"> </v>
      </c>
      <c r="M3544" t="s">
        <v>681</v>
      </c>
      <c r="O3544" s="5">
        <v>30849206</v>
      </c>
      <c r="P3544" s="5">
        <v>168760</v>
      </c>
      <c r="Q3544" s="5">
        <v>32064</v>
      </c>
      <c r="R3544" s="5">
        <v>200824</v>
      </c>
    </row>
    <row r="3545" spans="1:18" x14ac:dyDescent="0.25">
      <c r="A3545" t="s">
        <v>512</v>
      </c>
      <c r="B3545" t="s">
        <v>494</v>
      </c>
      <c r="C3545">
        <v>83187800</v>
      </c>
      <c r="D3545">
        <v>30</v>
      </c>
      <c r="E3545">
        <v>30849216</v>
      </c>
      <c r="F3545" t="s">
        <v>1475</v>
      </c>
      <c r="G3545" s="1">
        <v>45234</v>
      </c>
      <c r="H3545">
        <v>5412283</v>
      </c>
      <c r="I3545">
        <v>272</v>
      </c>
      <c r="J3545" t="s">
        <v>398</v>
      </c>
      <c r="K3545" s="8" t="str">
        <f>IFERROR(IF(AND(VLOOKUP($C3545,Hes!$A:$B, 1, FALSE), $M3545&lt;&gt;" "), "Ingresada", "Falta Ingresar"), " ")</f>
        <v>Falta Ingresar</v>
      </c>
      <c r="L3545" s="4" t="str">
        <f>IFERROR(VLOOKUP($C3545,Observaciones!$A:$B,2,FALSE)," ")</f>
        <v xml:space="preserve"> </v>
      </c>
      <c r="M3545" t="s">
        <v>681</v>
      </c>
      <c r="O3545" s="5">
        <v>30849216</v>
      </c>
      <c r="P3545" s="5">
        <v>105892</v>
      </c>
      <c r="Q3545" s="5">
        <v>20119</v>
      </c>
      <c r="R3545" s="5">
        <v>126011</v>
      </c>
    </row>
    <row r="3546" spans="1:18" x14ac:dyDescent="0.25">
      <c r="A3546" t="s">
        <v>512</v>
      </c>
      <c r="B3546" t="s">
        <v>494</v>
      </c>
      <c r="C3546">
        <v>83187800</v>
      </c>
      <c r="D3546">
        <v>2</v>
      </c>
      <c r="E3546">
        <v>30849803</v>
      </c>
      <c r="F3546" t="s">
        <v>1475</v>
      </c>
      <c r="G3546" s="1">
        <v>45236</v>
      </c>
      <c r="H3546">
        <v>5412305</v>
      </c>
      <c r="I3546">
        <v>272</v>
      </c>
      <c r="J3546" t="s">
        <v>398</v>
      </c>
      <c r="K3546" s="8" t="str">
        <f>IFERROR(IF(AND(VLOOKUP($C3546,Hes!$A:$B, 1, FALSE), $M3546&lt;&gt;" "), "Ingresada", "Falta Ingresar"), " ")</f>
        <v>Falta Ingresar</v>
      </c>
      <c r="L3546" s="4" t="str">
        <f>IFERROR(VLOOKUP($C3546,Observaciones!$A:$B,2,FALSE)," ")</f>
        <v xml:space="preserve"> </v>
      </c>
      <c r="M3546" t="s">
        <v>681</v>
      </c>
      <c r="O3546" s="5">
        <v>30849803</v>
      </c>
      <c r="P3546" s="5">
        <v>129994</v>
      </c>
      <c r="Q3546" s="5">
        <v>24699</v>
      </c>
      <c r="R3546" s="5">
        <v>154693</v>
      </c>
    </row>
    <row r="3547" spans="1:18" x14ac:dyDescent="0.25">
      <c r="A3547" t="s">
        <v>512</v>
      </c>
      <c r="B3547" t="s">
        <v>494</v>
      </c>
      <c r="C3547">
        <v>83187800</v>
      </c>
      <c r="D3547">
        <v>22</v>
      </c>
      <c r="E3547">
        <v>30852421</v>
      </c>
      <c r="F3547" t="s">
        <v>1475</v>
      </c>
      <c r="G3547" s="1">
        <v>45236</v>
      </c>
      <c r="H3547">
        <v>5412563</v>
      </c>
      <c r="I3547">
        <v>272</v>
      </c>
      <c r="J3547" t="s">
        <v>398</v>
      </c>
      <c r="K3547" s="8" t="str">
        <f>IFERROR(IF(AND(VLOOKUP($C3547,Hes!$A:$B, 1, FALSE), $M3547&lt;&gt;" "), "Ingresada", "Falta Ingresar"), " ")</f>
        <v>Falta Ingresar</v>
      </c>
      <c r="L3547" s="4" t="str">
        <f>IFERROR(VLOOKUP($C3547,Observaciones!$A:$B,2,FALSE)," ")</f>
        <v xml:space="preserve"> </v>
      </c>
      <c r="M3547" t="s">
        <v>681</v>
      </c>
      <c r="O3547" s="5">
        <v>30852421</v>
      </c>
      <c r="P3547" s="5">
        <v>160501</v>
      </c>
      <c r="Q3547" s="5">
        <v>30495</v>
      </c>
      <c r="R3547" s="5">
        <v>190996</v>
      </c>
    </row>
    <row r="3548" spans="1:18" x14ac:dyDescent="0.25">
      <c r="A3548" t="s">
        <v>512</v>
      </c>
      <c r="B3548" t="s">
        <v>494</v>
      </c>
      <c r="C3548">
        <v>83187800</v>
      </c>
      <c r="D3548">
        <v>24</v>
      </c>
      <c r="E3548">
        <v>30852405</v>
      </c>
      <c r="F3548" t="s">
        <v>1475</v>
      </c>
      <c r="G3548" s="1">
        <v>45234</v>
      </c>
      <c r="H3548">
        <v>5412604</v>
      </c>
      <c r="I3548">
        <v>272</v>
      </c>
      <c r="J3548" t="s">
        <v>398</v>
      </c>
      <c r="K3548" s="8" t="str">
        <f>IFERROR(IF(AND(VLOOKUP($C3548,Hes!$A:$B, 1, FALSE), $M3548&lt;&gt;" "), "Ingresada", "Falta Ingresar"), " ")</f>
        <v>Falta Ingresar</v>
      </c>
      <c r="L3548" s="4" t="str">
        <f>IFERROR(VLOOKUP($C3548,Observaciones!$A:$B,2,FALSE)," ")</f>
        <v xml:space="preserve"> </v>
      </c>
      <c r="M3548" t="s">
        <v>681</v>
      </c>
      <c r="O3548" s="5">
        <v>30852405</v>
      </c>
      <c r="P3548" s="5">
        <v>169624</v>
      </c>
      <c r="Q3548" s="5">
        <v>32229</v>
      </c>
      <c r="R3548" s="5">
        <v>201853</v>
      </c>
    </row>
    <row r="3549" spans="1:18" x14ac:dyDescent="0.25">
      <c r="A3549" t="s">
        <v>512</v>
      </c>
      <c r="B3549" t="s">
        <v>494</v>
      </c>
      <c r="C3549">
        <v>83187800</v>
      </c>
      <c r="D3549">
        <v>5</v>
      </c>
      <c r="E3549">
        <v>30852384</v>
      </c>
      <c r="F3549" t="s">
        <v>1475</v>
      </c>
      <c r="G3549" s="1">
        <v>45236</v>
      </c>
      <c r="H3549">
        <v>5413064</v>
      </c>
      <c r="I3549">
        <v>272</v>
      </c>
      <c r="J3549" t="s">
        <v>398</v>
      </c>
      <c r="K3549" s="8" t="str">
        <f>IFERROR(IF(AND(VLOOKUP($C3549,Hes!$A:$B, 1, FALSE), $M3549&lt;&gt;" "), "Ingresada", "Falta Ingresar"), " ")</f>
        <v>Falta Ingresar</v>
      </c>
      <c r="L3549" s="4" t="str">
        <f>IFERROR(VLOOKUP($C3549,Observaciones!$A:$B,2,FALSE)," ")</f>
        <v xml:space="preserve"> </v>
      </c>
      <c r="M3549" t="s">
        <v>681</v>
      </c>
      <c r="O3549" s="5">
        <v>30852384</v>
      </c>
      <c r="P3549" s="5">
        <v>149863</v>
      </c>
      <c r="Q3549" s="5">
        <v>28474</v>
      </c>
      <c r="R3549" s="5">
        <v>178337</v>
      </c>
    </row>
    <row r="3550" spans="1:18" x14ac:dyDescent="0.25">
      <c r="A3550" t="s">
        <v>512</v>
      </c>
      <c r="B3550" t="s">
        <v>494</v>
      </c>
      <c r="C3550">
        <v>83187800</v>
      </c>
      <c r="D3550">
        <v>29</v>
      </c>
      <c r="E3550">
        <v>30852348</v>
      </c>
      <c r="F3550" t="s">
        <v>1475</v>
      </c>
      <c r="G3550" s="1">
        <v>45236</v>
      </c>
      <c r="H3550">
        <v>5413126</v>
      </c>
      <c r="I3550">
        <v>272</v>
      </c>
      <c r="J3550" t="s">
        <v>398</v>
      </c>
      <c r="K3550" s="8" t="str">
        <f>IFERROR(IF(AND(VLOOKUP($C3550,Hes!$A:$B, 1, FALSE), $M3550&lt;&gt;" "), "Ingresada", "Falta Ingresar"), " ")</f>
        <v>Falta Ingresar</v>
      </c>
      <c r="L3550" s="4" t="str">
        <f>IFERROR(VLOOKUP($C3550,Observaciones!$A:$B,2,FALSE)," ")</f>
        <v xml:space="preserve"> </v>
      </c>
      <c r="M3550" t="s">
        <v>681</v>
      </c>
      <c r="O3550" s="5">
        <v>30852348</v>
      </c>
      <c r="P3550" s="5">
        <v>164886</v>
      </c>
      <c r="Q3550" s="5">
        <v>31328</v>
      </c>
      <c r="R3550" s="5">
        <v>196214</v>
      </c>
    </row>
    <row r="3551" spans="1:18" x14ac:dyDescent="0.25">
      <c r="A3551" t="s">
        <v>512</v>
      </c>
      <c r="B3551" t="s">
        <v>494</v>
      </c>
      <c r="C3551">
        <v>83187800</v>
      </c>
      <c r="D3551">
        <v>44</v>
      </c>
      <c r="E3551">
        <v>30852977</v>
      </c>
      <c r="F3551" t="s">
        <v>1475</v>
      </c>
      <c r="G3551" s="1">
        <v>45236</v>
      </c>
      <c r="H3551">
        <v>5413304</v>
      </c>
      <c r="I3551">
        <v>272</v>
      </c>
      <c r="J3551" t="s">
        <v>398</v>
      </c>
      <c r="K3551" s="8" t="str">
        <f>IFERROR(IF(AND(VLOOKUP($C3551,Hes!$A:$B, 1, FALSE), $M3551&lt;&gt;" "), "Ingresada", "Falta Ingresar"), " ")</f>
        <v>Falta Ingresar</v>
      </c>
      <c r="L3551" s="4" t="str">
        <f>IFERROR(VLOOKUP($C3551,Observaciones!$A:$B,2,FALSE)," ")</f>
        <v xml:space="preserve"> </v>
      </c>
      <c r="M3551" t="s">
        <v>681</v>
      </c>
      <c r="O3551" s="5">
        <v>30852977</v>
      </c>
      <c r="P3551" s="5">
        <v>149798</v>
      </c>
      <c r="Q3551" s="5">
        <v>28462</v>
      </c>
      <c r="R3551" s="5">
        <v>178260</v>
      </c>
    </row>
    <row r="3552" spans="1:18" x14ac:dyDescent="0.25">
      <c r="A3552" t="s">
        <v>512</v>
      </c>
      <c r="B3552" t="s">
        <v>494</v>
      </c>
      <c r="C3552">
        <v>83187800</v>
      </c>
      <c r="D3552">
        <v>39</v>
      </c>
      <c r="E3552">
        <v>30849226</v>
      </c>
      <c r="F3552" t="s">
        <v>1475</v>
      </c>
      <c r="G3552" s="1">
        <v>45236</v>
      </c>
      <c r="H3552">
        <v>5413494</v>
      </c>
      <c r="I3552">
        <v>272</v>
      </c>
      <c r="J3552" t="s">
        <v>398</v>
      </c>
      <c r="K3552" s="8" t="str">
        <f>IFERROR(IF(AND(VLOOKUP($C3552,Hes!$A:$B, 1, FALSE), $M3552&lt;&gt;" "), "Ingresada", "Falta Ingresar"), " ")</f>
        <v>Falta Ingresar</v>
      </c>
      <c r="L3552" s="4" t="str">
        <f>IFERROR(VLOOKUP($C3552,Observaciones!$A:$B,2,FALSE)," ")</f>
        <v xml:space="preserve"> </v>
      </c>
      <c r="M3552" t="s">
        <v>681</v>
      </c>
      <c r="O3552" s="5">
        <v>30849226</v>
      </c>
      <c r="P3552" s="5">
        <v>142326</v>
      </c>
      <c r="Q3552" s="5">
        <v>27042</v>
      </c>
      <c r="R3552" s="5">
        <v>169368</v>
      </c>
    </row>
    <row r="3553" spans="1:18" x14ac:dyDescent="0.25">
      <c r="A3553" t="s">
        <v>512</v>
      </c>
      <c r="B3553" t="s">
        <v>494</v>
      </c>
      <c r="C3553">
        <v>83187800</v>
      </c>
      <c r="D3553">
        <v>1</v>
      </c>
      <c r="E3553">
        <v>30859199</v>
      </c>
      <c r="F3553" t="s">
        <v>1475</v>
      </c>
      <c r="G3553" s="1">
        <v>45237</v>
      </c>
      <c r="H3553">
        <v>5414075</v>
      </c>
      <c r="I3553">
        <v>272</v>
      </c>
      <c r="J3553" t="s">
        <v>398</v>
      </c>
      <c r="K3553" s="8" t="str">
        <f>IFERROR(IF(AND(VLOOKUP($C3553,Hes!$A:$B, 1, FALSE), $M3553&lt;&gt;" "), "Ingresada", "Falta Ingresar"), " ")</f>
        <v>Falta Ingresar</v>
      </c>
      <c r="L3553" s="4" t="str">
        <f>IFERROR(VLOOKUP($C3553,Observaciones!$A:$B,2,FALSE)," ")</f>
        <v xml:space="preserve"> </v>
      </c>
      <c r="M3553" t="s">
        <v>681</v>
      </c>
      <c r="O3553" s="5">
        <v>30859199</v>
      </c>
      <c r="P3553" s="5">
        <v>129908</v>
      </c>
      <c r="Q3553" s="5">
        <v>24683</v>
      </c>
      <c r="R3553" s="5">
        <v>154591</v>
      </c>
    </row>
    <row r="3554" spans="1:18" x14ac:dyDescent="0.25">
      <c r="A3554" t="s">
        <v>512</v>
      </c>
      <c r="B3554" t="s">
        <v>494</v>
      </c>
      <c r="C3554">
        <v>83187800</v>
      </c>
      <c r="D3554">
        <v>20</v>
      </c>
      <c r="E3554">
        <v>30859410</v>
      </c>
      <c r="F3554" t="s">
        <v>1475</v>
      </c>
      <c r="G3554" s="1">
        <v>45237</v>
      </c>
      <c r="H3554">
        <v>5414106</v>
      </c>
      <c r="I3554">
        <v>272</v>
      </c>
      <c r="J3554" t="s">
        <v>398</v>
      </c>
      <c r="K3554" s="8" t="str">
        <f>IFERROR(IF(AND(VLOOKUP($C3554,Hes!$A:$B, 1, FALSE), $M3554&lt;&gt;" "), "Ingresada", "Falta Ingresar"), " ")</f>
        <v>Falta Ingresar</v>
      </c>
      <c r="L3554" s="4" t="str">
        <f>IFERROR(VLOOKUP($C3554,Observaciones!$A:$B,2,FALSE)," ")</f>
        <v xml:space="preserve"> </v>
      </c>
      <c r="M3554" t="s">
        <v>681</v>
      </c>
      <c r="O3554" s="5">
        <v>30859410</v>
      </c>
      <c r="P3554" s="5">
        <v>160807</v>
      </c>
      <c r="Q3554" s="5">
        <v>30553</v>
      </c>
      <c r="R3554" s="5">
        <v>191360</v>
      </c>
    </row>
    <row r="3555" spans="1:18" x14ac:dyDescent="0.25">
      <c r="A3555" t="s">
        <v>512</v>
      </c>
      <c r="B3555" t="s">
        <v>494</v>
      </c>
      <c r="C3555">
        <v>83187800</v>
      </c>
      <c r="D3555">
        <v>8</v>
      </c>
      <c r="E3555">
        <v>30859279</v>
      </c>
      <c r="F3555" t="s">
        <v>1475</v>
      </c>
      <c r="G3555" s="1">
        <v>45237</v>
      </c>
      <c r="H3555">
        <v>5414113</v>
      </c>
      <c r="I3555">
        <v>272</v>
      </c>
      <c r="J3555" t="s">
        <v>398</v>
      </c>
      <c r="K3555" s="8" t="str">
        <f>IFERROR(IF(AND(VLOOKUP($C3555,Hes!$A:$B, 1, FALSE), $M3555&lt;&gt;" "), "Ingresada", "Falta Ingresar"), " ")</f>
        <v>Falta Ingresar</v>
      </c>
      <c r="L3555" s="4" t="str">
        <f>IFERROR(VLOOKUP($C3555,Observaciones!$A:$B,2,FALSE)," ")</f>
        <v xml:space="preserve"> </v>
      </c>
      <c r="M3555" t="s">
        <v>681</v>
      </c>
      <c r="O3555" s="5">
        <v>30859279</v>
      </c>
      <c r="P3555" s="5">
        <v>167638</v>
      </c>
      <c r="Q3555" s="5">
        <v>31851</v>
      </c>
      <c r="R3555" s="5">
        <v>199489</v>
      </c>
    </row>
    <row r="3556" spans="1:18" x14ac:dyDescent="0.25">
      <c r="A3556" t="s">
        <v>512</v>
      </c>
      <c r="B3556" t="s">
        <v>494</v>
      </c>
      <c r="C3556">
        <v>83187800</v>
      </c>
      <c r="D3556">
        <v>51</v>
      </c>
      <c r="E3556">
        <v>30859152</v>
      </c>
      <c r="F3556" t="s">
        <v>1475</v>
      </c>
      <c r="G3556" s="1">
        <v>45237</v>
      </c>
      <c r="H3556">
        <v>5414129</v>
      </c>
      <c r="I3556">
        <v>272</v>
      </c>
      <c r="J3556" t="s">
        <v>398</v>
      </c>
      <c r="K3556" s="8" t="str">
        <f>IFERROR(IF(AND(VLOOKUP($C3556,Hes!$A:$B, 1, FALSE), $M3556&lt;&gt;" "), "Ingresada", "Falta Ingresar"), " ")</f>
        <v>Falta Ingresar</v>
      </c>
      <c r="L3556" s="4" t="str">
        <f>IFERROR(VLOOKUP($C3556,Observaciones!$A:$B,2,FALSE)," ")</f>
        <v xml:space="preserve"> </v>
      </c>
      <c r="M3556" t="s">
        <v>681</v>
      </c>
      <c r="O3556" s="5">
        <v>30859152</v>
      </c>
      <c r="P3556" s="5">
        <v>149693</v>
      </c>
      <c r="Q3556" s="5">
        <v>28442</v>
      </c>
      <c r="R3556" s="5">
        <v>178135</v>
      </c>
    </row>
    <row r="3557" spans="1:18" x14ac:dyDescent="0.25">
      <c r="A3557" t="s">
        <v>512</v>
      </c>
      <c r="B3557" t="s">
        <v>494</v>
      </c>
      <c r="C3557">
        <v>83187800</v>
      </c>
      <c r="D3557">
        <v>26</v>
      </c>
      <c r="E3557">
        <v>30859222</v>
      </c>
      <c r="F3557" t="s">
        <v>1475</v>
      </c>
      <c r="G3557" s="1">
        <v>45237</v>
      </c>
      <c r="H3557">
        <v>5414213</v>
      </c>
      <c r="I3557">
        <v>272</v>
      </c>
      <c r="J3557" t="s">
        <v>398</v>
      </c>
      <c r="K3557" s="8" t="str">
        <f>IFERROR(IF(AND(VLOOKUP($C3557,Hes!$A:$B, 1, FALSE), $M3557&lt;&gt;" "), "Ingresada", "Falta Ingresar"), " ")</f>
        <v>Falta Ingresar</v>
      </c>
      <c r="L3557" s="4" t="str">
        <f>IFERROR(VLOOKUP($C3557,Observaciones!$A:$B,2,FALSE)," ")</f>
        <v xml:space="preserve"> </v>
      </c>
      <c r="M3557" t="s">
        <v>681</v>
      </c>
      <c r="O3557" s="5">
        <v>30859222</v>
      </c>
      <c r="P3557" s="5">
        <v>109517</v>
      </c>
      <c r="Q3557" s="5">
        <v>20808</v>
      </c>
      <c r="R3557" s="5">
        <v>130325</v>
      </c>
    </row>
    <row r="3558" spans="1:18" x14ac:dyDescent="0.25">
      <c r="A3558" t="s">
        <v>512</v>
      </c>
      <c r="B3558" t="s">
        <v>494</v>
      </c>
      <c r="C3558">
        <v>83187800</v>
      </c>
      <c r="D3558">
        <v>38</v>
      </c>
      <c r="E3558">
        <v>30859500</v>
      </c>
      <c r="F3558" t="s">
        <v>1475</v>
      </c>
      <c r="G3558" s="1">
        <v>45237</v>
      </c>
      <c r="H3558">
        <v>5414245</v>
      </c>
      <c r="I3558">
        <v>272</v>
      </c>
      <c r="J3558" t="s">
        <v>398</v>
      </c>
      <c r="K3558" s="8" t="str">
        <f>IFERROR(IF(AND(VLOOKUP($C3558,Hes!$A:$B, 1, FALSE), $M3558&lt;&gt;" "), "Ingresada", "Falta Ingresar"), " ")</f>
        <v>Falta Ingresar</v>
      </c>
      <c r="L3558" s="4" t="str">
        <f>IFERROR(VLOOKUP($C3558,Observaciones!$A:$B,2,FALSE)," ")</f>
        <v xml:space="preserve"> </v>
      </c>
      <c r="M3558" t="s">
        <v>681</v>
      </c>
      <c r="O3558" s="5">
        <v>30859500</v>
      </c>
      <c r="P3558" s="5">
        <v>169913</v>
      </c>
      <c r="Q3558" s="5">
        <v>32283</v>
      </c>
      <c r="R3558" s="5">
        <v>202196</v>
      </c>
    </row>
    <row r="3559" spans="1:18" x14ac:dyDescent="0.25">
      <c r="A3559" t="s">
        <v>512</v>
      </c>
      <c r="B3559" t="s">
        <v>494</v>
      </c>
      <c r="C3559">
        <v>83187800</v>
      </c>
      <c r="D3559">
        <v>53</v>
      </c>
      <c r="E3559">
        <v>30859486</v>
      </c>
      <c r="F3559" t="s">
        <v>1475</v>
      </c>
      <c r="G3559" s="1">
        <v>45238</v>
      </c>
      <c r="H3559">
        <v>5414532</v>
      </c>
      <c r="I3559">
        <v>272</v>
      </c>
      <c r="J3559" t="s">
        <v>398</v>
      </c>
      <c r="K3559" s="8" t="str">
        <f>IFERROR(IF(AND(VLOOKUP($C3559,Hes!$A:$B, 1, FALSE), $M3559&lt;&gt;" "), "Ingresada", "Falta Ingresar"), " ")</f>
        <v>Falta Ingresar</v>
      </c>
      <c r="L3559" s="4" t="str">
        <f>IFERROR(VLOOKUP($C3559,Observaciones!$A:$B,2,FALSE)," ")</f>
        <v xml:space="preserve"> </v>
      </c>
      <c r="M3559" t="s">
        <v>681</v>
      </c>
      <c r="O3559" s="5">
        <v>30859486</v>
      </c>
      <c r="P3559" s="5">
        <v>147797</v>
      </c>
      <c r="Q3559" s="5">
        <v>28081</v>
      </c>
      <c r="R3559" s="5">
        <v>175878</v>
      </c>
    </row>
    <row r="3560" spans="1:18" x14ac:dyDescent="0.25">
      <c r="A3560" t="s">
        <v>512</v>
      </c>
      <c r="B3560" t="s">
        <v>494</v>
      </c>
      <c r="C3560">
        <v>83187800</v>
      </c>
      <c r="D3560">
        <v>25</v>
      </c>
      <c r="E3560">
        <v>30859447</v>
      </c>
      <c r="F3560" t="s">
        <v>1475</v>
      </c>
      <c r="G3560" s="1">
        <v>45238</v>
      </c>
      <c r="H3560">
        <v>5414757</v>
      </c>
      <c r="I3560">
        <v>272</v>
      </c>
      <c r="J3560" t="s">
        <v>398</v>
      </c>
      <c r="K3560" s="8" t="str">
        <f>IFERROR(IF(AND(VLOOKUP($C3560,Hes!$A:$B, 1, FALSE), $M3560&lt;&gt;" "), "Ingresada", "Falta Ingresar"), " ")</f>
        <v>Falta Ingresar</v>
      </c>
      <c r="L3560" s="4" t="str">
        <f>IFERROR(VLOOKUP($C3560,Observaciones!$A:$B,2,FALSE)," ")</f>
        <v xml:space="preserve"> </v>
      </c>
      <c r="M3560" t="s">
        <v>681</v>
      </c>
      <c r="O3560" s="5">
        <v>30859447</v>
      </c>
      <c r="P3560" s="5">
        <v>100852</v>
      </c>
      <c r="Q3560" s="5">
        <v>19162</v>
      </c>
      <c r="R3560" s="5">
        <v>120014</v>
      </c>
    </row>
    <row r="3561" spans="1:18" x14ac:dyDescent="0.25">
      <c r="A3561" t="s">
        <v>512</v>
      </c>
      <c r="B3561" t="s">
        <v>494</v>
      </c>
      <c r="C3561">
        <v>83187800</v>
      </c>
      <c r="D3561">
        <v>33</v>
      </c>
      <c r="E3561">
        <v>30859212</v>
      </c>
      <c r="F3561" t="s">
        <v>1475</v>
      </c>
      <c r="G3561" s="1">
        <v>45237</v>
      </c>
      <c r="H3561">
        <v>5414796</v>
      </c>
      <c r="I3561">
        <v>272</v>
      </c>
      <c r="J3561" t="s">
        <v>398</v>
      </c>
      <c r="K3561" s="8" t="str">
        <f>IFERROR(IF(AND(VLOOKUP($C3561,Hes!$A:$B, 1, FALSE), $M3561&lt;&gt;" "), "Ingresada", "Falta Ingresar"), " ")</f>
        <v>Falta Ingresar</v>
      </c>
      <c r="L3561" s="4" t="str">
        <f>IFERROR(VLOOKUP($C3561,Observaciones!$A:$B,2,FALSE)," ")</f>
        <v xml:space="preserve"> </v>
      </c>
      <c r="M3561" t="s">
        <v>681</v>
      </c>
      <c r="O3561" s="5">
        <v>30859212</v>
      </c>
      <c r="P3561" s="5">
        <v>129670</v>
      </c>
      <c r="Q3561" s="5">
        <v>24637</v>
      </c>
      <c r="R3561" s="5">
        <v>154307</v>
      </c>
    </row>
    <row r="3562" spans="1:18" x14ac:dyDescent="0.25">
      <c r="A3562" t="s">
        <v>512</v>
      </c>
      <c r="B3562" t="s">
        <v>494</v>
      </c>
      <c r="C3562">
        <v>83187800</v>
      </c>
      <c r="D3562">
        <v>35</v>
      </c>
      <c r="E3562">
        <v>30861288</v>
      </c>
      <c r="F3562" t="s">
        <v>1475</v>
      </c>
      <c r="G3562" s="1">
        <v>45238</v>
      </c>
      <c r="H3562">
        <v>5414946</v>
      </c>
      <c r="I3562">
        <v>272</v>
      </c>
      <c r="J3562" t="s">
        <v>398</v>
      </c>
      <c r="K3562" s="8" t="str">
        <f>IFERROR(IF(AND(VLOOKUP($C3562,Hes!$A:$B, 1, FALSE), $M3562&lt;&gt;" "), "Ingresada", "Falta Ingresar"), " ")</f>
        <v>Falta Ingresar</v>
      </c>
      <c r="L3562" s="4" t="str">
        <f>IFERROR(VLOOKUP($C3562,Observaciones!$A:$B,2,FALSE)," ")</f>
        <v xml:space="preserve"> </v>
      </c>
      <c r="M3562" t="s">
        <v>681</v>
      </c>
      <c r="O3562" s="5">
        <v>30861288</v>
      </c>
      <c r="P3562" s="5">
        <v>149975</v>
      </c>
      <c r="Q3562" s="5">
        <v>28495</v>
      </c>
      <c r="R3562" s="5">
        <v>178470</v>
      </c>
    </row>
    <row r="3563" spans="1:18" x14ac:dyDescent="0.25">
      <c r="A3563" t="s">
        <v>512</v>
      </c>
      <c r="B3563" t="s">
        <v>494</v>
      </c>
      <c r="C3563">
        <v>83187800</v>
      </c>
      <c r="D3563">
        <v>34</v>
      </c>
      <c r="E3563">
        <v>30861281</v>
      </c>
      <c r="F3563" t="s">
        <v>1475</v>
      </c>
      <c r="G3563" s="1">
        <v>45238</v>
      </c>
      <c r="H3563">
        <v>5415157</v>
      </c>
      <c r="I3563">
        <v>272</v>
      </c>
      <c r="J3563" t="s">
        <v>398</v>
      </c>
      <c r="K3563" s="8" t="str">
        <f>IFERROR(IF(AND(VLOOKUP($C3563,Hes!$A:$B, 1, FALSE), $M3563&lt;&gt;" "), "Ingresada", "Falta Ingresar"), " ")</f>
        <v>Falta Ingresar</v>
      </c>
      <c r="L3563" s="4" t="str">
        <f>IFERROR(VLOOKUP($C3563,Observaciones!$A:$B,2,FALSE)," ")</f>
        <v xml:space="preserve"> </v>
      </c>
      <c r="M3563" t="s">
        <v>681</v>
      </c>
      <c r="O3563" s="5">
        <v>30861281</v>
      </c>
      <c r="P3563" s="5">
        <v>139061</v>
      </c>
      <c r="Q3563" s="5">
        <v>26422</v>
      </c>
      <c r="R3563" s="5">
        <v>165483</v>
      </c>
    </row>
    <row r="3564" spans="1:18" x14ac:dyDescent="0.25">
      <c r="A3564" t="s">
        <v>512</v>
      </c>
      <c r="B3564" t="s">
        <v>494</v>
      </c>
      <c r="C3564">
        <v>83187800</v>
      </c>
      <c r="D3564">
        <v>14</v>
      </c>
      <c r="E3564">
        <v>30864786</v>
      </c>
      <c r="F3564" t="s">
        <v>1475</v>
      </c>
      <c r="G3564" s="1">
        <v>45238</v>
      </c>
      <c r="H3564">
        <v>5415491</v>
      </c>
      <c r="I3564">
        <v>272</v>
      </c>
      <c r="J3564" t="s">
        <v>398</v>
      </c>
      <c r="K3564" s="8" t="str">
        <f>IFERROR(IF(AND(VLOOKUP($C3564,Hes!$A:$B, 1, FALSE), $M3564&lt;&gt;" "), "Ingresada", "Falta Ingresar"), " ")</f>
        <v>Falta Ingresar</v>
      </c>
      <c r="L3564" s="4" t="str">
        <f>IFERROR(VLOOKUP($C3564,Observaciones!$A:$B,2,FALSE)," ")</f>
        <v xml:space="preserve"> </v>
      </c>
      <c r="M3564" t="s">
        <v>681</v>
      </c>
      <c r="O3564" s="5">
        <v>30864786</v>
      </c>
      <c r="P3564" s="5">
        <v>149203</v>
      </c>
      <c r="Q3564" s="5">
        <v>28349</v>
      </c>
      <c r="R3564" s="5">
        <v>177552</v>
      </c>
    </row>
    <row r="3565" spans="1:18" x14ac:dyDescent="0.25">
      <c r="A3565" t="s">
        <v>512</v>
      </c>
      <c r="B3565" t="s">
        <v>494</v>
      </c>
      <c r="C3565">
        <v>83187800</v>
      </c>
      <c r="D3565">
        <v>41</v>
      </c>
      <c r="E3565">
        <v>30865907</v>
      </c>
      <c r="F3565" t="s">
        <v>1475</v>
      </c>
      <c r="G3565" s="1">
        <v>45238</v>
      </c>
      <c r="H3565">
        <v>5415768</v>
      </c>
      <c r="I3565">
        <v>272</v>
      </c>
      <c r="J3565" t="s">
        <v>398</v>
      </c>
      <c r="K3565" s="8" t="str">
        <f>IFERROR(IF(AND(VLOOKUP($C3565,Hes!$A:$B, 1, FALSE), $M3565&lt;&gt;" "), "Ingresada", "Falta Ingresar"), " ")</f>
        <v>Falta Ingresar</v>
      </c>
      <c r="L3565" s="4" t="str">
        <f>IFERROR(VLOOKUP($C3565,Observaciones!$A:$B,2,FALSE)," ")</f>
        <v xml:space="preserve"> </v>
      </c>
      <c r="M3565" t="s">
        <v>681</v>
      </c>
      <c r="O3565" s="5">
        <v>30865907</v>
      </c>
      <c r="P3565" s="5">
        <v>129864</v>
      </c>
      <c r="Q3565" s="5">
        <v>24674</v>
      </c>
      <c r="R3565" s="5">
        <v>154538</v>
      </c>
    </row>
    <row r="3566" spans="1:18" x14ac:dyDescent="0.25">
      <c r="F3566" t="s">
        <v>1476</v>
      </c>
      <c r="K3566" t="str">
        <f>IFERROR(IF(AND(VLOOKUP($C3566,Hes!$A:$B, 1, FALSE), $M3566&lt;&gt;" "), "Ingresada", "Falta Ingresar"), " ")</f>
        <v xml:space="preserve"> </v>
      </c>
      <c r="L3566" s="4" t="str">
        <f>IFERROR(VLOOKUP($C3566,Observaciones!$A:$B,2,FALSE)," ")</f>
        <v xml:space="preserve"> </v>
      </c>
      <c r="M3566" t="s">
        <v>681</v>
      </c>
      <c r="P3566" s="5">
        <v>11235285</v>
      </c>
      <c r="Q3566" s="5">
        <v>2134719</v>
      </c>
      <c r="R3566" s="5">
        <v>13370004</v>
      </c>
    </row>
    <row r="3567" spans="1:18" x14ac:dyDescent="0.25">
      <c r="A3567" t="s">
        <v>522</v>
      </c>
      <c r="B3567" t="s">
        <v>494</v>
      </c>
      <c r="C3567">
        <v>83332100</v>
      </c>
      <c r="D3567">
        <v>0</v>
      </c>
      <c r="E3567" t="s">
        <v>1477</v>
      </c>
      <c r="F3567" t="s">
        <v>1478</v>
      </c>
      <c r="G3567" s="1">
        <v>45232</v>
      </c>
      <c r="H3567">
        <v>5410710</v>
      </c>
      <c r="I3567">
        <v>25</v>
      </c>
      <c r="J3567" t="s">
        <v>323</v>
      </c>
      <c r="K3567" t="str">
        <f>IFERROR(IF(AND(VLOOKUP($C3567,Hes!$A:$B, 1, FALSE), $M3567&lt;&gt;" "), "Ingresada", "Falta Ingresar"), " ")</f>
        <v xml:space="preserve"> </v>
      </c>
      <c r="L3567" s="4" t="str">
        <f>IFERROR(VLOOKUP($C3567,Observaciones!$A:$B,2,FALSE)," ")</f>
        <v xml:space="preserve"> </v>
      </c>
      <c r="M3567" t="s">
        <v>681</v>
      </c>
      <c r="O3567" s="5">
        <v>30844026</v>
      </c>
      <c r="P3567" s="5">
        <v>47202</v>
      </c>
      <c r="Q3567" s="5">
        <v>8968</v>
      </c>
      <c r="R3567" s="5">
        <v>56170</v>
      </c>
    </row>
    <row r="3568" spans="1:18" x14ac:dyDescent="0.25">
      <c r="F3568" t="s">
        <v>495</v>
      </c>
      <c r="K3568" t="str">
        <f>IFERROR(IF(AND(VLOOKUP($C3568,Hes!$A:$B, 1, FALSE), $M3568&lt;&gt;" "), "Ingresada", "Falta Ingresar"), " ")</f>
        <v xml:space="preserve"> </v>
      </c>
      <c r="L3568" s="4" t="str">
        <f>IFERROR(VLOOKUP($C3568,Observaciones!$A:$B,2,FALSE)," ")</f>
        <v xml:space="preserve"> </v>
      </c>
      <c r="M3568" t="s">
        <v>681</v>
      </c>
      <c r="P3568" s="5">
        <v>47202</v>
      </c>
      <c r="Q3568" s="5">
        <v>8968</v>
      </c>
      <c r="R3568" s="5">
        <v>56170</v>
      </c>
    </row>
    <row r="3569" spans="1:18" x14ac:dyDescent="0.25">
      <c r="A3569" t="s">
        <v>512</v>
      </c>
      <c r="B3569" t="s">
        <v>494</v>
      </c>
      <c r="C3569">
        <v>83382700</v>
      </c>
      <c r="D3569">
        <v>203</v>
      </c>
      <c r="E3569">
        <v>30846264</v>
      </c>
      <c r="F3569" t="s">
        <v>1479</v>
      </c>
      <c r="G3569" s="1">
        <v>45231</v>
      </c>
      <c r="H3569">
        <v>5410593</v>
      </c>
      <c r="I3569">
        <v>272</v>
      </c>
      <c r="J3569" t="s">
        <v>398</v>
      </c>
      <c r="K3569" s="8" t="str">
        <f>IFERROR(IF(AND(VLOOKUP($C3569,Hes!$A:$B, 1, FALSE), $M3569&lt;&gt;" "), "Ingresada", "Falta Ingresar"), " ")</f>
        <v>Falta Ingresar</v>
      </c>
      <c r="L3569" s="4" t="str">
        <f>IFERROR(VLOOKUP($C3569,Observaciones!$A:$B,2,FALSE)," ")</f>
        <v>ULTIMO DIA SEGUN INFORME DE LIBIA ESPERAR CORREO</v>
      </c>
      <c r="M3569" t="s">
        <v>681</v>
      </c>
      <c r="O3569" s="5">
        <v>30846264</v>
      </c>
      <c r="P3569" s="5">
        <v>519787</v>
      </c>
      <c r="Q3569" s="5">
        <v>98760</v>
      </c>
      <c r="R3569" s="5">
        <v>618547</v>
      </c>
    </row>
    <row r="3570" spans="1:18" x14ac:dyDescent="0.25">
      <c r="A3570" t="s">
        <v>512</v>
      </c>
      <c r="B3570" t="s">
        <v>494</v>
      </c>
      <c r="C3570">
        <v>83382700</v>
      </c>
      <c r="D3570">
        <v>157</v>
      </c>
      <c r="E3570">
        <v>30846503</v>
      </c>
      <c r="F3570" t="s">
        <v>1479</v>
      </c>
      <c r="G3570" s="1">
        <v>45231</v>
      </c>
      <c r="H3570">
        <v>5410657</v>
      </c>
      <c r="I3570">
        <v>272</v>
      </c>
      <c r="J3570" t="s">
        <v>398</v>
      </c>
      <c r="K3570" s="8" t="str">
        <f>IFERROR(IF(AND(VLOOKUP($C3570,Hes!$A:$B, 1, FALSE), $M3570&lt;&gt;" "), "Ingresada", "Falta Ingresar"), " ")</f>
        <v>Falta Ingresar</v>
      </c>
      <c r="L3570" s="4" t="str">
        <f>IFERROR(VLOOKUP($C3570,Observaciones!$A:$B,2,FALSE)," ")</f>
        <v>ULTIMO DIA SEGUN INFORME DE LIBIA ESPERAR CORREO</v>
      </c>
      <c r="M3570" t="s">
        <v>681</v>
      </c>
      <c r="O3570" s="5">
        <v>30846503</v>
      </c>
      <c r="P3570" s="5">
        <v>699994</v>
      </c>
      <c r="Q3570" s="5">
        <v>132999</v>
      </c>
      <c r="R3570" s="5">
        <v>832993</v>
      </c>
    </row>
    <row r="3571" spans="1:18" x14ac:dyDescent="0.25">
      <c r="A3571" t="s">
        <v>512</v>
      </c>
      <c r="B3571" t="s">
        <v>494</v>
      </c>
      <c r="C3571">
        <v>83382700</v>
      </c>
      <c r="D3571">
        <v>182</v>
      </c>
      <c r="E3571">
        <v>30846597</v>
      </c>
      <c r="F3571" t="s">
        <v>1479</v>
      </c>
      <c r="G3571" s="1">
        <v>45231</v>
      </c>
      <c r="H3571">
        <v>5410658</v>
      </c>
      <c r="I3571">
        <v>272</v>
      </c>
      <c r="J3571" t="s">
        <v>398</v>
      </c>
      <c r="K3571" s="8" t="str">
        <f>IFERROR(IF(AND(VLOOKUP($C3571,Hes!$A:$B, 1, FALSE), $M3571&lt;&gt;" "), "Ingresada", "Falta Ingresar"), " ")</f>
        <v>Falta Ingresar</v>
      </c>
      <c r="L3571" s="4" t="str">
        <f>IFERROR(VLOOKUP($C3571,Observaciones!$A:$B,2,FALSE)," ")</f>
        <v>ULTIMO DIA SEGUN INFORME DE LIBIA ESPERAR CORREO</v>
      </c>
      <c r="M3571" t="s">
        <v>681</v>
      </c>
      <c r="O3571" s="5">
        <v>30846597</v>
      </c>
      <c r="P3571" s="5">
        <v>672021</v>
      </c>
      <c r="Q3571" s="5">
        <v>127684</v>
      </c>
      <c r="R3571" s="5">
        <v>799705</v>
      </c>
    </row>
    <row r="3572" spans="1:18" x14ac:dyDescent="0.25">
      <c r="A3572" t="s">
        <v>512</v>
      </c>
      <c r="B3572" t="s">
        <v>494</v>
      </c>
      <c r="C3572">
        <v>83382700</v>
      </c>
      <c r="D3572">
        <v>210</v>
      </c>
      <c r="E3572">
        <v>30847438</v>
      </c>
      <c r="F3572" t="s">
        <v>1479</v>
      </c>
      <c r="G3572" s="1">
        <v>45232</v>
      </c>
      <c r="H3572">
        <v>5410678</v>
      </c>
      <c r="I3572">
        <v>272</v>
      </c>
      <c r="J3572" t="s">
        <v>398</v>
      </c>
      <c r="K3572" s="8" t="str">
        <f>IFERROR(IF(AND(VLOOKUP($C3572,Hes!$A:$B, 1, FALSE), $M3572&lt;&gt;" "), "Ingresada", "Falta Ingresar"), " ")</f>
        <v>Falta Ingresar</v>
      </c>
      <c r="L3572" s="4" t="str">
        <f>IFERROR(VLOOKUP($C3572,Observaciones!$A:$B,2,FALSE)," ")</f>
        <v>ULTIMO DIA SEGUN INFORME DE LIBIA ESPERAR CORREO</v>
      </c>
      <c r="M3572" t="s">
        <v>681</v>
      </c>
      <c r="O3572" s="5">
        <v>30847438</v>
      </c>
      <c r="P3572" s="5">
        <v>816660</v>
      </c>
      <c r="Q3572" s="5">
        <v>155165</v>
      </c>
      <c r="R3572" s="5">
        <v>971825</v>
      </c>
    </row>
    <row r="3573" spans="1:18" x14ac:dyDescent="0.25">
      <c r="A3573" t="s">
        <v>512</v>
      </c>
      <c r="B3573" t="s">
        <v>494</v>
      </c>
      <c r="C3573">
        <v>83382700</v>
      </c>
      <c r="D3573">
        <v>307</v>
      </c>
      <c r="E3573">
        <v>30846583</v>
      </c>
      <c r="F3573" t="s">
        <v>1479</v>
      </c>
      <c r="G3573" s="1">
        <v>45231</v>
      </c>
      <c r="H3573">
        <v>5410831</v>
      </c>
      <c r="I3573">
        <v>272</v>
      </c>
      <c r="J3573" t="s">
        <v>398</v>
      </c>
      <c r="K3573" s="8" t="str">
        <f>IFERROR(IF(AND(VLOOKUP($C3573,Hes!$A:$B, 1, FALSE), $M3573&lt;&gt;" "), "Ingresada", "Falta Ingresar"), " ")</f>
        <v>Falta Ingresar</v>
      </c>
      <c r="L3573" s="4" t="str">
        <f>IFERROR(VLOOKUP($C3573,Observaciones!$A:$B,2,FALSE)," ")</f>
        <v>ULTIMO DIA SEGUN INFORME DE LIBIA ESPERAR CORREO</v>
      </c>
      <c r="M3573" t="s">
        <v>681</v>
      </c>
      <c r="O3573" s="5">
        <v>30846583</v>
      </c>
      <c r="P3573" s="5">
        <v>489911</v>
      </c>
      <c r="Q3573" s="5">
        <v>93083</v>
      </c>
      <c r="R3573" s="5">
        <v>582994</v>
      </c>
    </row>
    <row r="3574" spans="1:18" x14ac:dyDescent="0.25">
      <c r="A3574" t="s">
        <v>512</v>
      </c>
      <c r="B3574" t="s">
        <v>494</v>
      </c>
      <c r="C3574">
        <v>83382700</v>
      </c>
      <c r="D3574">
        <v>195</v>
      </c>
      <c r="E3574">
        <v>30846526</v>
      </c>
      <c r="F3574" t="s">
        <v>1479</v>
      </c>
      <c r="G3574" s="1">
        <v>45231</v>
      </c>
      <c r="H3574">
        <v>5410863</v>
      </c>
      <c r="I3574">
        <v>272</v>
      </c>
      <c r="J3574" t="s">
        <v>398</v>
      </c>
      <c r="K3574" s="8" t="str">
        <f>IFERROR(IF(AND(VLOOKUP($C3574,Hes!$A:$B, 1, FALSE), $M3574&lt;&gt;" "), "Ingresada", "Falta Ingresar"), " ")</f>
        <v>Falta Ingresar</v>
      </c>
      <c r="L3574" s="4" t="str">
        <f>IFERROR(VLOOKUP($C3574,Observaciones!$A:$B,2,FALSE)," ")</f>
        <v>ULTIMO DIA SEGUN INFORME DE LIBIA ESPERAR CORREO</v>
      </c>
      <c r="M3574" t="s">
        <v>681</v>
      </c>
      <c r="O3574" s="5">
        <v>30846526</v>
      </c>
      <c r="P3574" s="5">
        <v>674772</v>
      </c>
      <c r="Q3574" s="5">
        <v>128207</v>
      </c>
      <c r="R3574" s="5">
        <v>802979</v>
      </c>
    </row>
    <row r="3575" spans="1:18" x14ac:dyDescent="0.25">
      <c r="A3575" t="s">
        <v>512</v>
      </c>
      <c r="B3575" t="s">
        <v>494</v>
      </c>
      <c r="C3575">
        <v>83382700</v>
      </c>
      <c r="D3575">
        <v>186</v>
      </c>
      <c r="E3575">
        <v>30846326</v>
      </c>
      <c r="F3575" t="s">
        <v>1479</v>
      </c>
      <c r="G3575" s="1">
        <v>45231</v>
      </c>
      <c r="H3575">
        <v>5410896</v>
      </c>
      <c r="I3575">
        <v>272</v>
      </c>
      <c r="J3575" t="s">
        <v>398</v>
      </c>
      <c r="K3575" s="8" t="str">
        <f>IFERROR(IF(AND(VLOOKUP($C3575,Hes!$A:$B, 1, FALSE), $M3575&lt;&gt;" "), "Ingresada", "Falta Ingresar"), " ")</f>
        <v>Falta Ingresar</v>
      </c>
      <c r="L3575" s="4" t="str">
        <f>IFERROR(VLOOKUP($C3575,Observaciones!$A:$B,2,FALSE)," ")</f>
        <v>ULTIMO DIA SEGUN INFORME DE LIBIA ESPERAR CORREO</v>
      </c>
      <c r="M3575" t="s">
        <v>681</v>
      </c>
      <c r="O3575" s="5">
        <v>30846326</v>
      </c>
      <c r="P3575" s="5">
        <v>499437</v>
      </c>
      <c r="Q3575" s="5">
        <v>94893</v>
      </c>
      <c r="R3575" s="5">
        <v>594330</v>
      </c>
    </row>
    <row r="3576" spans="1:18" x14ac:dyDescent="0.25">
      <c r="A3576" t="s">
        <v>512</v>
      </c>
      <c r="B3576" t="s">
        <v>494</v>
      </c>
      <c r="C3576">
        <v>83382700</v>
      </c>
      <c r="D3576">
        <v>201</v>
      </c>
      <c r="E3576">
        <v>30847046</v>
      </c>
      <c r="F3576" t="s">
        <v>1479</v>
      </c>
      <c r="G3576" s="1">
        <v>45231</v>
      </c>
      <c r="H3576">
        <v>5410906</v>
      </c>
      <c r="I3576">
        <v>272</v>
      </c>
      <c r="J3576" t="s">
        <v>398</v>
      </c>
      <c r="K3576" s="8" t="str">
        <f>IFERROR(IF(AND(VLOOKUP($C3576,Hes!$A:$B, 1, FALSE), $M3576&lt;&gt;" "), "Ingresada", "Falta Ingresar"), " ")</f>
        <v>Falta Ingresar</v>
      </c>
      <c r="L3576" s="4" t="str">
        <f>IFERROR(VLOOKUP($C3576,Observaciones!$A:$B,2,FALSE)," ")</f>
        <v>ULTIMO DIA SEGUN INFORME DE LIBIA ESPERAR CORREO</v>
      </c>
      <c r="M3576" t="s">
        <v>681</v>
      </c>
      <c r="O3576" s="5">
        <v>30847046</v>
      </c>
      <c r="P3576" s="5">
        <v>469062</v>
      </c>
      <c r="Q3576" s="5">
        <v>89122</v>
      </c>
      <c r="R3576" s="5">
        <v>558184</v>
      </c>
    </row>
    <row r="3577" spans="1:18" x14ac:dyDescent="0.25">
      <c r="A3577" t="s">
        <v>512</v>
      </c>
      <c r="B3577" t="s">
        <v>494</v>
      </c>
      <c r="C3577">
        <v>83382700</v>
      </c>
      <c r="D3577">
        <v>29</v>
      </c>
      <c r="E3577">
        <v>30846303</v>
      </c>
      <c r="F3577" t="s">
        <v>1479</v>
      </c>
      <c r="G3577" s="1">
        <v>45231</v>
      </c>
      <c r="H3577">
        <v>5410910</v>
      </c>
      <c r="I3577">
        <v>272</v>
      </c>
      <c r="J3577" t="s">
        <v>398</v>
      </c>
      <c r="K3577" s="8" t="str">
        <f>IFERROR(IF(AND(VLOOKUP($C3577,Hes!$A:$B, 1, FALSE), $M3577&lt;&gt;" "), "Ingresada", "Falta Ingresar"), " ")</f>
        <v>Falta Ingresar</v>
      </c>
      <c r="L3577" s="4" t="str">
        <f>IFERROR(VLOOKUP($C3577,Observaciones!$A:$B,2,FALSE)," ")</f>
        <v>ULTIMO DIA SEGUN INFORME DE LIBIA ESPERAR CORREO</v>
      </c>
      <c r="M3577" t="s">
        <v>681</v>
      </c>
      <c r="O3577" s="5">
        <v>30846303</v>
      </c>
      <c r="P3577" s="5">
        <v>590702</v>
      </c>
      <c r="Q3577" s="5">
        <v>112233</v>
      </c>
      <c r="R3577" s="5">
        <v>702935</v>
      </c>
    </row>
    <row r="3578" spans="1:18" x14ac:dyDescent="0.25">
      <c r="A3578" t="s">
        <v>512</v>
      </c>
      <c r="B3578" t="s">
        <v>494</v>
      </c>
      <c r="C3578">
        <v>83382700</v>
      </c>
      <c r="D3578">
        <v>208</v>
      </c>
      <c r="E3578">
        <v>30846646</v>
      </c>
      <c r="F3578" t="s">
        <v>1479</v>
      </c>
      <c r="G3578" s="1">
        <v>45232</v>
      </c>
      <c r="H3578">
        <v>5410919</v>
      </c>
      <c r="I3578">
        <v>272</v>
      </c>
      <c r="J3578" t="s">
        <v>398</v>
      </c>
      <c r="K3578" s="8" t="str">
        <f>IFERROR(IF(AND(VLOOKUP($C3578,Hes!$A:$B, 1, FALSE), $M3578&lt;&gt;" "), "Ingresada", "Falta Ingresar"), " ")</f>
        <v>Falta Ingresar</v>
      </c>
      <c r="L3578" s="4" t="str">
        <f>IFERROR(VLOOKUP($C3578,Observaciones!$A:$B,2,FALSE)," ")</f>
        <v>ULTIMO DIA SEGUN INFORME DE LIBIA ESPERAR CORREO</v>
      </c>
      <c r="M3578" t="s">
        <v>681</v>
      </c>
      <c r="O3578" s="5">
        <v>30846646</v>
      </c>
      <c r="P3578" s="5">
        <v>348950</v>
      </c>
      <c r="Q3578" s="5">
        <v>66301</v>
      </c>
      <c r="R3578" s="5">
        <v>415251</v>
      </c>
    </row>
    <row r="3579" spans="1:18" x14ac:dyDescent="0.25">
      <c r="A3579" t="s">
        <v>512</v>
      </c>
      <c r="B3579" t="s">
        <v>494</v>
      </c>
      <c r="C3579">
        <v>83382700</v>
      </c>
      <c r="D3579">
        <v>117</v>
      </c>
      <c r="E3579">
        <v>30846240</v>
      </c>
      <c r="F3579" t="s">
        <v>1479</v>
      </c>
      <c r="G3579" s="1">
        <v>45232</v>
      </c>
      <c r="H3579">
        <v>5410972</v>
      </c>
      <c r="I3579">
        <v>272</v>
      </c>
      <c r="J3579" t="s">
        <v>398</v>
      </c>
      <c r="K3579" s="8" t="str">
        <f>IFERROR(IF(AND(VLOOKUP($C3579,Hes!$A:$B, 1, FALSE), $M3579&lt;&gt;" "), "Ingresada", "Falta Ingresar"), " ")</f>
        <v>Falta Ingresar</v>
      </c>
      <c r="L3579" s="4" t="str">
        <f>IFERROR(VLOOKUP($C3579,Observaciones!$A:$B,2,FALSE)," ")</f>
        <v>ULTIMO DIA SEGUN INFORME DE LIBIA ESPERAR CORREO</v>
      </c>
      <c r="M3579" t="s">
        <v>681</v>
      </c>
      <c r="O3579" s="5">
        <v>30846240</v>
      </c>
      <c r="P3579" s="5">
        <v>139358</v>
      </c>
      <c r="Q3579" s="5">
        <v>26478</v>
      </c>
      <c r="R3579" s="5">
        <v>165836</v>
      </c>
    </row>
    <row r="3580" spans="1:18" x14ac:dyDescent="0.25">
      <c r="A3580" t="s">
        <v>512</v>
      </c>
      <c r="B3580" t="s">
        <v>494</v>
      </c>
      <c r="C3580">
        <v>83382700</v>
      </c>
      <c r="D3580">
        <v>199</v>
      </c>
      <c r="E3580">
        <v>30847085</v>
      </c>
      <c r="F3580" t="s">
        <v>1479</v>
      </c>
      <c r="G3580" s="1">
        <v>45231</v>
      </c>
      <c r="H3580">
        <v>5410982</v>
      </c>
      <c r="I3580">
        <v>272</v>
      </c>
      <c r="J3580" t="s">
        <v>398</v>
      </c>
      <c r="K3580" s="8" t="str">
        <f>IFERROR(IF(AND(VLOOKUP($C3580,Hes!$A:$B, 1, FALSE), $M3580&lt;&gt;" "), "Ingresada", "Falta Ingresar"), " ")</f>
        <v>Falta Ingresar</v>
      </c>
      <c r="L3580" s="4" t="str">
        <f>IFERROR(VLOOKUP($C3580,Observaciones!$A:$B,2,FALSE)," ")</f>
        <v>ULTIMO DIA SEGUN INFORME DE LIBIA ESPERAR CORREO</v>
      </c>
      <c r="M3580" t="s">
        <v>681</v>
      </c>
      <c r="O3580" s="5">
        <v>30847085</v>
      </c>
      <c r="P3580" s="5">
        <v>599907</v>
      </c>
      <c r="Q3580" s="5">
        <v>113982</v>
      </c>
      <c r="R3580" s="5">
        <v>713889</v>
      </c>
    </row>
    <row r="3581" spans="1:18" x14ac:dyDescent="0.25">
      <c r="A3581" t="s">
        <v>512</v>
      </c>
      <c r="B3581" t="s">
        <v>494</v>
      </c>
      <c r="C3581">
        <v>83382700</v>
      </c>
      <c r="D3581">
        <v>310</v>
      </c>
      <c r="E3581">
        <v>30847150</v>
      </c>
      <c r="F3581" t="s">
        <v>1479</v>
      </c>
      <c r="G3581" s="1">
        <v>45231</v>
      </c>
      <c r="H3581">
        <v>5410983</v>
      </c>
      <c r="I3581">
        <v>272</v>
      </c>
      <c r="J3581" t="s">
        <v>398</v>
      </c>
      <c r="K3581" s="8" t="str">
        <f>IFERROR(IF(AND(VLOOKUP($C3581,Hes!$A:$B, 1, FALSE), $M3581&lt;&gt;" "), "Ingresada", "Falta Ingresar"), " ")</f>
        <v>Falta Ingresar</v>
      </c>
      <c r="L3581" s="4" t="str">
        <f>IFERROR(VLOOKUP($C3581,Observaciones!$A:$B,2,FALSE)," ")</f>
        <v>ULTIMO DIA SEGUN INFORME DE LIBIA ESPERAR CORREO</v>
      </c>
      <c r="M3581" t="s">
        <v>681</v>
      </c>
      <c r="O3581" s="5">
        <v>30847150</v>
      </c>
      <c r="P3581" s="5">
        <v>387417</v>
      </c>
      <c r="Q3581" s="5">
        <v>73609</v>
      </c>
      <c r="R3581" s="5">
        <v>461026</v>
      </c>
    </row>
    <row r="3582" spans="1:18" x14ac:dyDescent="0.25">
      <c r="A3582" t="s">
        <v>512</v>
      </c>
      <c r="B3582" t="s">
        <v>494</v>
      </c>
      <c r="C3582">
        <v>83382700</v>
      </c>
      <c r="D3582">
        <v>211</v>
      </c>
      <c r="E3582">
        <v>30847031</v>
      </c>
      <c r="F3582" t="s">
        <v>1479</v>
      </c>
      <c r="G3582" s="1">
        <v>45232</v>
      </c>
      <c r="H3582">
        <v>5410995</v>
      </c>
      <c r="I3582">
        <v>272</v>
      </c>
      <c r="J3582" t="s">
        <v>398</v>
      </c>
      <c r="K3582" s="8" t="str">
        <f>IFERROR(IF(AND(VLOOKUP($C3582,Hes!$A:$B, 1, FALSE), $M3582&lt;&gt;" "), "Ingresada", "Falta Ingresar"), " ")</f>
        <v>Falta Ingresar</v>
      </c>
      <c r="L3582" s="4" t="str">
        <f>IFERROR(VLOOKUP($C3582,Observaciones!$A:$B,2,FALSE)," ")</f>
        <v>ULTIMO DIA SEGUN INFORME DE LIBIA ESPERAR CORREO</v>
      </c>
      <c r="M3582" t="s">
        <v>681</v>
      </c>
      <c r="O3582" s="5">
        <v>30847031</v>
      </c>
      <c r="P3582" s="5">
        <v>855885</v>
      </c>
      <c r="Q3582" s="5">
        <v>162618</v>
      </c>
      <c r="R3582" s="5">
        <v>1018503</v>
      </c>
    </row>
    <row r="3583" spans="1:18" x14ac:dyDescent="0.25">
      <c r="A3583" t="s">
        <v>512</v>
      </c>
      <c r="B3583" t="s">
        <v>494</v>
      </c>
      <c r="C3583">
        <v>83382700</v>
      </c>
      <c r="D3583">
        <v>197</v>
      </c>
      <c r="E3583">
        <v>30847459</v>
      </c>
      <c r="F3583" t="s">
        <v>1479</v>
      </c>
      <c r="G3583" s="1">
        <v>45232</v>
      </c>
      <c r="H3583">
        <v>5411056</v>
      </c>
      <c r="I3583">
        <v>272</v>
      </c>
      <c r="J3583" t="s">
        <v>398</v>
      </c>
      <c r="K3583" s="8" t="str">
        <f>IFERROR(IF(AND(VLOOKUP($C3583,Hes!$A:$B, 1, FALSE), $M3583&lt;&gt;" "), "Ingresada", "Falta Ingresar"), " ")</f>
        <v>Falta Ingresar</v>
      </c>
      <c r="L3583" s="4" t="str">
        <f>IFERROR(VLOOKUP($C3583,Observaciones!$A:$B,2,FALSE)," ")</f>
        <v>ULTIMO DIA SEGUN INFORME DE LIBIA ESPERAR CORREO</v>
      </c>
      <c r="M3583" t="s">
        <v>681</v>
      </c>
      <c r="O3583" s="5">
        <v>30847459</v>
      </c>
      <c r="P3583" s="5">
        <v>87634</v>
      </c>
      <c r="Q3583" s="5">
        <v>16650</v>
      </c>
      <c r="R3583" s="5">
        <v>104284</v>
      </c>
    </row>
    <row r="3584" spans="1:18" x14ac:dyDescent="0.25">
      <c r="A3584" t="s">
        <v>512</v>
      </c>
      <c r="B3584" t="s">
        <v>494</v>
      </c>
      <c r="C3584">
        <v>83382700</v>
      </c>
      <c r="D3584">
        <v>197</v>
      </c>
      <c r="E3584">
        <v>30847449</v>
      </c>
      <c r="F3584" t="s">
        <v>1479</v>
      </c>
      <c r="G3584" s="1">
        <v>45232</v>
      </c>
      <c r="H3584">
        <v>5411059</v>
      </c>
      <c r="I3584">
        <v>272</v>
      </c>
      <c r="J3584" t="s">
        <v>398</v>
      </c>
      <c r="K3584" s="8" t="str">
        <f>IFERROR(IF(AND(VLOOKUP($C3584,Hes!$A:$B, 1, FALSE), $M3584&lt;&gt;" "), "Ingresada", "Falta Ingresar"), " ")</f>
        <v>Falta Ingresar</v>
      </c>
      <c r="L3584" s="4" t="str">
        <f>IFERROR(VLOOKUP($C3584,Observaciones!$A:$B,2,FALSE)," ")</f>
        <v>ULTIMO DIA SEGUN INFORME DE LIBIA ESPERAR CORREO</v>
      </c>
      <c r="M3584" t="s">
        <v>681</v>
      </c>
      <c r="O3584" s="5">
        <v>30847449</v>
      </c>
      <c r="P3584" s="5">
        <v>2433970</v>
      </c>
      <c r="Q3584" s="5">
        <v>462454</v>
      </c>
      <c r="R3584" s="5">
        <v>2896424</v>
      </c>
    </row>
    <row r="3585" spans="1:18" x14ac:dyDescent="0.25">
      <c r="A3585" t="s">
        <v>512</v>
      </c>
      <c r="B3585" t="s">
        <v>494</v>
      </c>
      <c r="C3585">
        <v>83382700</v>
      </c>
      <c r="D3585">
        <v>197</v>
      </c>
      <c r="E3585">
        <v>30847454</v>
      </c>
      <c r="F3585" t="s">
        <v>1479</v>
      </c>
      <c r="G3585" s="1">
        <v>45232</v>
      </c>
      <c r="H3585">
        <v>5411060</v>
      </c>
      <c r="I3585">
        <v>272</v>
      </c>
      <c r="J3585" t="s">
        <v>398</v>
      </c>
      <c r="K3585" s="8" t="str">
        <f>IFERROR(IF(AND(VLOOKUP($C3585,Hes!$A:$B, 1, FALSE), $M3585&lt;&gt;" "), "Ingresada", "Falta Ingresar"), " ")</f>
        <v>Falta Ingresar</v>
      </c>
      <c r="L3585" s="4" t="str">
        <f>IFERROR(VLOOKUP($C3585,Observaciones!$A:$B,2,FALSE)," ")</f>
        <v>ULTIMO DIA SEGUN INFORME DE LIBIA ESPERAR CORREO</v>
      </c>
      <c r="M3585" t="s">
        <v>681</v>
      </c>
      <c r="O3585" s="5">
        <v>30847454</v>
      </c>
      <c r="P3585" s="5">
        <v>727030</v>
      </c>
      <c r="Q3585" s="5">
        <v>138136</v>
      </c>
      <c r="R3585" s="5">
        <v>865166</v>
      </c>
    </row>
    <row r="3586" spans="1:18" x14ac:dyDescent="0.25">
      <c r="A3586" t="s">
        <v>512</v>
      </c>
      <c r="B3586" t="s">
        <v>494</v>
      </c>
      <c r="C3586">
        <v>83382700</v>
      </c>
      <c r="D3586">
        <v>197</v>
      </c>
      <c r="E3586">
        <v>30847440</v>
      </c>
      <c r="F3586" t="s">
        <v>1479</v>
      </c>
      <c r="G3586" s="1">
        <v>45232</v>
      </c>
      <c r="H3586">
        <v>5411070</v>
      </c>
      <c r="I3586">
        <v>272</v>
      </c>
      <c r="J3586" t="s">
        <v>398</v>
      </c>
      <c r="K3586" s="8" t="str">
        <f>IFERROR(IF(AND(VLOOKUP($C3586,Hes!$A:$B, 1, FALSE), $M3586&lt;&gt;" "), "Ingresada", "Falta Ingresar"), " ")</f>
        <v>Falta Ingresar</v>
      </c>
      <c r="L3586" s="4" t="str">
        <f>IFERROR(VLOOKUP($C3586,Observaciones!$A:$B,2,FALSE)," ")</f>
        <v>ULTIMO DIA SEGUN INFORME DE LIBIA ESPERAR CORREO</v>
      </c>
      <c r="M3586" t="s">
        <v>681</v>
      </c>
      <c r="O3586" s="5">
        <v>30847440</v>
      </c>
      <c r="P3586" s="5">
        <v>1276840</v>
      </c>
      <c r="Q3586" s="5">
        <v>242600</v>
      </c>
      <c r="R3586" s="5">
        <v>1519440</v>
      </c>
    </row>
    <row r="3587" spans="1:18" x14ac:dyDescent="0.25">
      <c r="A3587" t="s">
        <v>512</v>
      </c>
      <c r="B3587" t="s">
        <v>494</v>
      </c>
      <c r="C3587">
        <v>83382700</v>
      </c>
      <c r="D3587">
        <v>215</v>
      </c>
      <c r="E3587">
        <v>30846699</v>
      </c>
      <c r="F3587" t="s">
        <v>1479</v>
      </c>
      <c r="G3587" s="1">
        <v>45232</v>
      </c>
      <c r="H3587">
        <v>5411082</v>
      </c>
      <c r="I3587">
        <v>272</v>
      </c>
      <c r="J3587" t="s">
        <v>398</v>
      </c>
      <c r="K3587" s="8" t="str">
        <f>IFERROR(IF(AND(VLOOKUP($C3587,Hes!$A:$B, 1, FALSE), $M3587&lt;&gt;" "), "Ingresada", "Falta Ingresar"), " ")</f>
        <v>Falta Ingresar</v>
      </c>
      <c r="L3587" s="4" t="str">
        <f>IFERROR(VLOOKUP($C3587,Observaciones!$A:$B,2,FALSE)," ")</f>
        <v>ULTIMO DIA SEGUN INFORME DE LIBIA ESPERAR CORREO</v>
      </c>
      <c r="M3587" t="s">
        <v>681</v>
      </c>
      <c r="O3587" s="5">
        <v>30846699</v>
      </c>
      <c r="P3587" s="5">
        <v>399958</v>
      </c>
      <c r="Q3587" s="5">
        <v>75992</v>
      </c>
      <c r="R3587" s="5">
        <v>475950</v>
      </c>
    </row>
    <row r="3588" spans="1:18" x14ac:dyDescent="0.25">
      <c r="A3588" t="s">
        <v>512</v>
      </c>
      <c r="B3588" t="s">
        <v>494</v>
      </c>
      <c r="C3588">
        <v>83382700</v>
      </c>
      <c r="D3588">
        <v>196</v>
      </c>
      <c r="E3588">
        <v>30846568</v>
      </c>
      <c r="F3588" t="s">
        <v>1479</v>
      </c>
      <c r="G3588" s="1">
        <v>45232</v>
      </c>
      <c r="H3588">
        <v>5411093</v>
      </c>
      <c r="I3588">
        <v>272</v>
      </c>
      <c r="J3588" t="s">
        <v>398</v>
      </c>
      <c r="K3588" s="8" t="str">
        <f>IFERROR(IF(AND(VLOOKUP($C3588,Hes!$A:$B, 1, FALSE), $M3588&lt;&gt;" "), "Ingresada", "Falta Ingresar"), " ")</f>
        <v>Falta Ingresar</v>
      </c>
      <c r="L3588" s="4" t="str">
        <f>IFERROR(VLOOKUP($C3588,Observaciones!$A:$B,2,FALSE)," ")</f>
        <v>ULTIMO DIA SEGUN INFORME DE LIBIA ESPERAR CORREO</v>
      </c>
      <c r="M3588" t="s">
        <v>681</v>
      </c>
      <c r="O3588" s="5">
        <v>30846568</v>
      </c>
      <c r="P3588" s="5">
        <v>659798</v>
      </c>
      <c r="Q3588" s="5">
        <v>125362</v>
      </c>
      <c r="R3588" s="5">
        <v>785160</v>
      </c>
    </row>
    <row r="3589" spans="1:18" x14ac:dyDescent="0.25">
      <c r="A3589" t="s">
        <v>512</v>
      </c>
      <c r="B3589" t="s">
        <v>494</v>
      </c>
      <c r="C3589">
        <v>83382700</v>
      </c>
      <c r="D3589">
        <v>192</v>
      </c>
      <c r="E3589">
        <v>30847930</v>
      </c>
      <c r="F3589" t="s">
        <v>1479</v>
      </c>
      <c r="G3589" s="1">
        <v>45232</v>
      </c>
      <c r="H3589">
        <v>5411096</v>
      </c>
      <c r="I3589">
        <v>272</v>
      </c>
      <c r="J3589" t="s">
        <v>398</v>
      </c>
      <c r="K3589" s="8" t="str">
        <f>IFERROR(IF(AND(VLOOKUP($C3589,Hes!$A:$B, 1, FALSE), $M3589&lt;&gt;" "), "Ingresada", "Falta Ingresar"), " ")</f>
        <v>Falta Ingresar</v>
      </c>
      <c r="L3589" s="4" t="str">
        <f>IFERROR(VLOOKUP($C3589,Observaciones!$A:$B,2,FALSE)," ")</f>
        <v>ULTIMO DIA SEGUN INFORME DE LIBIA ESPERAR CORREO</v>
      </c>
      <c r="M3589" t="s">
        <v>681</v>
      </c>
      <c r="O3589" s="5">
        <v>30847930</v>
      </c>
      <c r="P3589" s="5">
        <v>645637</v>
      </c>
      <c r="Q3589" s="5">
        <v>122671</v>
      </c>
      <c r="R3589" s="5">
        <v>768308</v>
      </c>
    </row>
    <row r="3590" spans="1:18" x14ac:dyDescent="0.25">
      <c r="A3590" t="s">
        <v>512</v>
      </c>
      <c r="B3590" t="s">
        <v>494</v>
      </c>
      <c r="C3590">
        <v>83382700</v>
      </c>
      <c r="D3590">
        <v>209</v>
      </c>
      <c r="E3590">
        <v>30847129</v>
      </c>
      <c r="F3590" t="s">
        <v>1479</v>
      </c>
      <c r="G3590" s="1">
        <v>45232</v>
      </c>
      <c r="H3590">
        <v>5411119</v>
      </c>
      <c r="I3590">
        <v>272</v>
      </c>
      <c r="J3590" t="s">
        <v>398</v>
      </c>
      <c r="K3590" s="8" t="str">
        <f>IFERROR(IF(AND(VLOOKUP($C3590,Hes!$A:$B, 1, FALSE), $M3590&lt;&gt;" "), "Ingresada", "Falta Ingresar"), " ")</f>
        <v>Falta Ingresar</v>
      </c>
      <c r="L3590" s="4" t="str">
        <f>IFERROR(VLOOKUP($C3590,Observaciones!$A:$B,2,FALSE)," ")</f>
        <v>ULTIMO DIA SEGUN INFORME DE LIBIA ESPERAR CORREO</v>
      </c>
      <c r="M3590" t="s">
        <v>681</v>
      </c>
      <c r="O3590" s="5">
        <v>30847129</v>
      </c>
      <c r="P3590" s="5">
        <v>599329</v>
      </c>
      <c r="Q3590" s="5">
        <v>113873</v>
      </c>
      <c r="R3590" s="5">
        <v>713202</v>
      </c>
    </row>
    <row r="3591" spans="1:18" x14ac:dyDescent="0.25">
      <c r="A3591" t="s">
        <v>512</v>
      </c>
      <c r="B3591" t="s">
        <v>494</v>
      </c>
      <c r="C3591">
        <v>83382700</v>
      </c>
      <c r="D3591">
        <v>303</v>
      </c>
      <c r="E3591">
        <v>30848048</v>
      </c>
      <c r="F3591" t="s">
        <v>1479</v>
      </c>
      <c r="G3591" s="1">
        <v>45232</v>
      </c>
      <c r="H3591">
        <v>5411123</v>
      </c>
      <c r="I3591">
        <v>272</v>
      </c>
      <c r="J3591" t="s">
        <v>398</v>
      </c>
      <c r="K3591" s="8" t="str">
        <f>IFERROR(IF(AND(VLOOKUP($C3591,Hes!$A:$B, 1, FALSE), $M3591&lt;&gt;" "), "Ingresada", "Falta Ingresar"), " ")</f>
        <v>Falta Ingresar</v>
      </c>
      <c r="L3591" s="4" t="str">
        <f>IFERROR(VLOOKUP($C3591,Observaciones!$A:$B,2,FALSE)," ")</f>
        <v>ULTIMO DIA SEGUN INFORME DE LIBIA ESPERAR CORREO</v>
      </c>
      <c r="M3591" t="s">
        <v>681</v>
      </c>
      <c r="O3591" s="5">
        <v>30848048</v>
      </c>
      <c r="P3591" s="5">
        <v>749254</v>
      </c>
      <c r="Q3591" s="5">
        <v>142358</v>
      </c>
      <c r="R3591" s="5">
        <v>891612</v>
      </c>
    </row>
    <row r="3592" spans="1:18" x14ac:dyDescent="0.25">
      <c r="A3592" t="s">
        <v>512</v>
      </c>
      <c r="B3592" t="s">
        <v>494</v>
      </c>
      <c r="C3592">
        <v>83382700</v>
      </c>
      <c r="D3592">
        <v>308</v>
      </c>
      <c r="E3592">
        <v>30847074</v>
      </c>
      <c r="F3592" t="s">
        <v>1479</v>
      </c>
      <c r="G3592" s="1">
        <v>45232</v>
      </c>
      <c r="H3592">
        <v>5411136</v>
      </c>
      <c r="I3592">
        <v>272</v>
      </c>
      <c r="J3592" t="s">
        <v>398</v>
      </c>
      <c r="K3592" s="8" t="str">
        <f>IFERROR(IF(AND(VLOOKUP($C3592,Hes!$A:$B, 1, FALSE), $M3592&lt;&gt;" "), "Ingresada", "Falta Ingresar"), " ")</f>
        <v>Falta Ingresar</v>
      </c>
      <c r="L3592" s="4" t="str">
        <f>IFERROR(VLOOKUP($C3592,Observaciones!$A:$B,2,FALSE)," ")</f>
        <v>ULTIMO DIA SEGUN INFORME DE LIBIA ESPERAR CORREO</v>
      </c>
      <c r="M3592" t="s">
        <v>681</v>
      </c>
      <c r="O3592" s="5">
        <v>30847074</v>
      </c>
      <c r="P3592" s="5">
        <v>449764</v>
      </c>
      <c r="Q3592" s="5">
        <v>85455</v>
      </c>
      <c r="R3592" s="5">
        <v>535219</v>
      </c>
    </row>
    <row r="3593" spans="1:18" x14ac:dyDescent="0.25">
      <c r="A3593" t="s">
        <v>512</v>
      </c>
      <c r="B3593" t="s">
        <v>494</v>
      </c>
      <c r="C3593">
        <v>83382700</v>
      </c>
      <c r="D3593">
        <v>205</v>
      </c>
      <c r="E3593">
        <v>30848031</v>
      </c>
      <c r="F3593" t="s">
        <v>1479</v>
      </c>
      <c r="G3593" s="1">
        <v>45232</v>
      </c>
      <c r="H3593">
        <v>5411163</v>
      </c>
      <c r="I3593">
        <v>272</v>
      </c>
      <c r="J3593" t="s">
        <v>398</v>
      </c>
      <c r="K3593" s="8" t="str">
        <f>IFERROR(IF(AND(VLOOKUP($C3593,Hes!$A:$B, 1, FALSE), $M3593&lt;&gt;" "), "Ingresada", "Falta Ingresar"), " ")</f>
        <v>Falta Ingresar</v>
      </c>
      <c r="L3593" s="4" t="str">
        <f>IFERROR(VLOOKUP($C3593,Observaciones!$A:$B,2,FALSE)," ")</f>
        <v>ULTIMO DIA SEGUN INFORME DE LIBIA ESPERAR CORREO</v>
      </c>
      <c r="M3593" t="s">
        <v>681</v>
      </c>
      <c r="O3593" s="5">
        <v>30848031</v>
      </c>
      <c r="P3593" s="5">
        <v>487211</v>
      </c>
      <c r="Q3593" s="5">
        <v>92570</v>
      </c>
      <c r="R3593" s="5">
        <v>579781</v>
      </c>
    </row>
    <row r="3594" spans="1:18" x14ac:dyDescent="0.25">
      <c r="A3594" t="s">
        <v>512</v>
      </c>
      <c r="B3594" t="s">
        <v>494</v>
      </c>
      <c r="C3594">
        <v>83382700</v>
      </c>
      <c r="D3594">
        <v>188</v>
      </c>
      <c r="E3594">
        <v>30848019</v>
      </c>
      <c r="F3594" t="s">
        <v>1479</v>
      </c>
      <c r="G3594" s="1">
        <v>45232</v>
      </c>
      <c r="H3594">
        <v>5411223</v>
      </c>
      <c r="I3594">
        <v>272</v>
      </c>
      <c r="J3594" t="s">
        <v>398</v>
      </c>
      <c r="K3594" s="8" t="str">
        <f>IFERROR(IF(AND(VLOOKUP($C3594,Hes!$A:$B, 1, FALSE), $M3594&lt;&gt;" "), "Ingresada", "Falta Ingresar"), " ")</f>
        <v>Falta Ingresar</v>
      </c>
      <c r="L3594" s="4" t="str">
        <f>IFERROR(VLOOKUP($C3594,Observaciones!$A:$B,2,FALSE)," ")</f>
        <v>ULTIMO DIA SEGUN INFORME DE LIBIA ESPERAR CORREO</v>
      </c>
      <c r="M3594" t="s">
        <v>681</v>
      </c>
      <c r="O3594" s="5">
        <v>30848019</v>
      </c>
      <c r="P3594" s="5">
        <v>521465</v>
      </c>
      <c r="Q3594" s="5">
        <v>99078</v>
      </c>
      <c r="R3594" s="5">
        <v>620543</v>
      </c>
    </row>
    <row r="3595" spans="1:18" x14ac:dyDescent="0.25">
      <c r="A3595" t="s">
        <v>512</v>
      </c>
      <c r="B3595" t="s">
        <v>494</v>
      </c>
      <c r="C3595">
        <v>83382700</v>
      </c>
      <c r="D3595">
        <v>227</v>
      </c>
      <c r="E3595">
        <v>30848799</v>
      </c>
      <c r="F3595" t="s">
        <v>1479</v>
      </c>
      <c r="G3595" s="1">
        <v>45233</v>
      </c>
      <c r="H3595">
        <v>5411226</v>
      </c>
      <c r="I3595">
        <v>272</v>
      </c>
      <c r="J3595" t="s">
        <v>398</v>
      </c>
      <c r="K3595" s="8" t="str">
        <f>IFERROR(IF(AND(VLOOKUP($C3595,Hes!$A:$B, 1, FALSE), $M3595&lt;&gt;" "), "Ingresada", "Falta Ingresar"), " ")</f>
        <v>Falta Ingresar</v>
      </c>
      <c r="L3595" s="4" t="str">
        <f>IFERROR(VLOOKUP($C3595,Observaciones!$A:$B,2,FALSE)," ")</f>
        <v>ULTIMO DIA SEGUN INFORME DE LIBIA ESPERAR CORREO</v>
      </c>
      <c r="M3595" t="s">
        <v>681</v>
      </c>
      <c r="O3595" s="5">
        <v>30848799</v>
      </c>
      <c r="P3595" s="5">
        <v>184896</v>
      </c>
      <c r="Q3595" s="5">
        <v>35130</v>
      </c>
      <c r="R3595" s="5">
        <v>220026</v>
      </c>
    </row>
    <row r="3596" spans="1:18" x14ac:dyDescent="0.25">
      <c r="A3596" t="s">
        <v>512</v>
      </c>
      <c r="B3596" t="s">
        <v>494</v>
      </c>
      <c r="C3596">
        <v>83382700</v>
      </c>
      <c r="D3596">
        <v>164</v>
      </c>
      <c r="E3596">
        <v>30848059</v>
      </c>
      <c r="F3596" t="s">
        <v>1479</v>
      </c>
      <c r="G3596" s="1">
        <v>45233</v>
      </c>
      <c r="H3596">
        <v>5411250</v>
      </c>
      <c r="I3596">
        <v>272</v>
      </c>
      <c r="J3596" t="s">
        <v>398</v>
      </c>
      <c r="K3596" s="8" t="str">
        <f>IFERROR(IF(AND(VLOOKUP($C3596,Hes!$A:$B, 1, FALSE), $M3596&lt;&gt;" "), "Ingresada", "Falta Ingresar"), " ")</f>
        <v>Falta Ingresar</v>
      </c>
      <c r="L3596" s="4" t="str">
        <f>IFERROR(VLOOKUP($C3596,Observaciones!$A:$B,2,FALSE)," ")</f>
        <v>ULTIMO DIA SEGUN INFORME DE LIBIA ESPERAR CORREO</v>
      </c>
      <c r="M3596" t="s">
        <v>681</v>
      </c>
      <c r="O3596" s="5">
        <v>30848059</v>
      </c>
      <c r="P3596" s="5">
        <v>574922</v>
      </c>
      <c r="Q3596" s="5">
        <v>109235</v>
      </c>
      <c r="R3596" s="5">
        <v>684157</v>
      </c>
    </row>
    <row r="3597" spans="1:18" x14ac:dyDescent="0.25">
      <c r="A3597" t="s">
        <v>512</v>
      </c>
      <c r="B3597" t="s">
        <v>494</v>
      </c>
      <c r="C3597">
        <v>83382700</v>
      </c>
      <c r="D3597">
        <v>160</v>
      </c>
      <c r="E3597">
        <v>30847945</v>
      </c>
      <c r="F3597" t="s">
        <v>1479</v>
      </c>
      <c r="G3597" s="1">
        <v>45233</v>
      </c>
      <c r="H3597">
        <v>5411257</v>
      </c>
      <c r="I3597">
        <v>272</v>
      </c>
      <c r="J3597" t="s">
        <v>398</v>
      </c>
      <c r="K3597" s="8" t="str">
        <f>IFERROR(IF(AND(VLOOKUP($C3597,Hes!$A:$B, 1, FALSE), $M3597&lt;&gt;" "), "Ingresada", "Falta Ingresar"), " ")</f>
        <v>Falta Ingresar</v>
      </c>
      <c r="L3597" s="4" t="str">
        <f>IFERROR(VLOOKUP($C3597,Observaciones!$A:$B,2,FALSE)," ")</f>
        <v>ULTIMO DIA SEGUN INFORME DE LIBIA ESPERAR CORREO</v>
      </c>
      <c r="M3597" t="s">
        <v>681</v>
      </c>
      <c r="O3597" s="5">
        <v>30847945</v>
      </c>
      <c r="P3597" s="5">
        <v>443239</v>
      </c>
      <c r="Q3597" s="5">
        <v>84215</v>
      </c>
      <c r="R3597" s="5">
        <v>527454</v>
      </c>
    </row>
    <row r="3598" spans="1:18" x14ac:dyDescent="0.25">
      <c r="A3598" t="s">
        <v>512</v>
      </c>
      <c r="B3598" t="s">
        <v>494</v>
      </c>
      <c r="C3598">
        <v>83382700</v>
      </c>
      <c r="D3598">
        <v>220</v>
      </c>
      <c r="E3598">
        <v>30847934</v>
      </c>
      <c r="F3598" t="s">
        <v>1479</v>
      </c>
      <c r="G3598" s="1">
        <v>45233</v>
      </c>
      <c r="H3598">
        <v>5411274</v>
      </c>
      <c r="I3598">
        <v>272</v>
      </c>
      <c r="J3598" t="s">
        <v>398</v>
      </c>
      <c r="K3598" s="8" t="str">
        <f>IFERROR(IF(AND(VLOOKUP($C3598,Hes!$A:$B, 1, FALSE), $M3598&lt;&gt;" "), "Ingresada", "Falta Ingresar"), " ")</f>
        <v>Falta Ingresar</v>
      </c>
      <c r="L3598" s="4" t="str">
        <f>IFERROR(VLOOKUP($C3598,Observaciones!$A:$B,2,FALSE)," ")</f>
        <v>ULTIMO DIA SEGUN INFORME DE LIBIA ESPERAR CORREO</v>
      </c>
      <c r="M3598" t="s">
        <v>681</v>
      </c>
      <c r="O3598" s="5">
        <v>30847934</v>
      </c>
      <c r="P3598" s="5">
        <v>410417</v>
      </c>
      <c r="Q3598" s="5">
        <v>77979</v>
      </c>
      <c r="R3598" s="5">
        <v>488396</v>
      </c>
    </row>
    <row r="3599" spans="1:18" x14ac:dyDescent="0.25">
      <c r="A3599" t="s">
        <v>512</v>
      </c>
      <c r="B3599" t="s">
        <v>494</v>
      </c>
      <c r="C3599">
        <v>83382700</v>
      </c>
      <c r="D3599">
        <v>197</v>
      </c>
      <c r="E3599">
        <v>30847447</v>
      </c>
      <c r="F3599" t="s">
        <v>1479</v>
      </c>
      <c r="G3599" s="1">
        <v>45233</v>
      </c>
      <c r="H3599">
        <v>5411278</v>
      </c>
      <c r="I3599">
        <v>272</v>
      </c>
      <c r="J3599" t="s">
        <v>398</v>
      </c>
      <c r="K3599" s="8" t="str">
        <f>IFERROR(IF(AND(VLOOKUP($C3599,Hes!$A:$B, 1, FALSE), $M3599&lt;&gt;" "), "Ingresada", "Falta Ingresar"), " ")</f>
        <v>Falta Ingresar</v>
      </c>
      <c r="L3599" s="4" t="str">
        <f>IFERROR(VLOOKUP($C3599,Observaciones!$A:$B,2,FALSE)," ")</f>
        <v>ULTIMO DIA SEGUN INFORME DE LIBIA ESPERAR CORREO</v>
      </c>
      <c r="M3599" t="s">
        <v>681</v>
      </c>
      <c r="O3599" s="5">
        <v>30847447</v>
      </c>
      <c r="P3599" s="5">
        <v>4514489</v>
      </c>
      <c r="Q3599" s="5">
        <v>857753</v>
      </c>
      <c r="R3599" s="5">
        <v>5372242</v>
      </c>
    </row>
    <row r="3600" spans="1:18" x14ac:dyDescent="0.25">
      <c r="A3600" t="s">
        <v>512</v>
      </c>
      <c r="B3600" t="s">
        <v>494</v>
      </c>
      <c r="C3600">
        <v>83382700</v>
      </c>
      <c r="D3600">
        <v>255</v>
      </c>
      <c r="E3600">
        <v>30848117</v>
      </c>
      <c r="F3600" t="s">
        <v>1479</v>
      </c>
      <c r="G3600" s="1">
        <v>45233</v>
      </c>
      <c r="H3600">
        <v>5411367</v>
      </c>
      <c r="I3600">
        <v>272</v>
      </c>
      <c r="J3600" t="s">
        <v>398</v>
      </c>
      <c r="K3600" s="8" t="str">
        <f>IFERROR(IF(AND(VLOOKUP($C3600,Hes!$A:$B, 1, FALSE), $M3600&lt;&gt;" "), "Ingresada", "Falta Ingresar"), " ")</f>
        <v>Falta Ingresar</v>
      </c>
      <c r="L3600" s="4" t="str">
        <f>IFERROR(VLOOKUP($C3600,Observaciones!$A:$B,2,FALSE)," ")</f>
        <v>ULTIMO DIA SEGUN INFORME DE LIBIA ESPERAR CORREO</v>
      </c>
      <c r="M3600" t="s">
        <v>681</v>
      </c>
      <c r="O3600" s="5">
        <v>30848117</v>
      </c>
      <c r="P3600" s="5">
        <v>89767</v>
      </c>
      <c r="Q3600" s="5">
        <v>17056</v>
      </c>
      <c r="R3600" s="5">
        <v>106823</v>
      </c>
    </row>
    <row r="3601" spans="1:18" x14ac:dyDescent="0.25">
      <c r="A3601" t="s">
        <v>512</v>
      </c>
      <c r="B3601" t="s">
        <v>494</v>
      </c>
      <c r="C3601">
        <v>83382700</v>
      </c>
      <c r="D3601">
        <v>206</v>
      </c>
      <c r="E3601">
        <v>30847959</v>
      </c>
      <c r="F3601" t="s">
        <v>1479</v>
      </c>
      <c r="G3601" s="1">
        <v>45233</v>
      </c>
      <c r="H3601">
        <v>5411373</v>
      </c>
      <c r="I3601">
        <v>272</v>
      </c>
      <c r="J3601" t="s">
        <v>398</v>
      </c>
      <c r="K3601" s="8" t="str">
        <f>IFERROR(IF(AND(VLOOKUP($C3601,Hes!$A:$B, 1, FALSE), $M3601&lt;&gt;" "), "Ingresada", "Falta Ingresar"), " ")</f>
        <v>Falta Ingresar</v>
      </c>
      <c r="L3601" s="4" t="str">
        <f>IFERROR(VLOOKUP($C3601,Observaciones!$A:$B,2,FALSE)," ")</f>
        <v>ULTIMO DIA SEGUN INFORME DE LIBIA ESPERAR CORREO</v>
      </c>
      <c r="M3601" t="s">
        <v>681</v>
      </c>
      <c r="O3601" s="5">
        <v>30847959</v>
      </c>
      <c r="P3601" s="5">
        <v>830705</v>
      </c>
      <c r="Q3601" s="5">
        <v>157834</v>
      </c>
      <c r="R3601" s="5">
        <v>988539</v>
      </c>
    </row>
    <row r="3602" spans="1:18" x14ac:dyDescent="0.25">
      <c r="A3602" t="s">
        <v>512</v>
      </c>
      <c r="B3602" t="s">
        <v>494</v>
      </c>
      <c r="C3602">
        <v>83382700</v>
      </c>
      <c r="D3602">
        <v>191</v>
      </c>
      <c r="E3602">
        <v>30847953</v>
      </c>
      <c r="F3602" t="s">
        <v>1479</v>
      </c>
      <c r="G3602" s="1">
        <v>45233</v>
      </c>
      <c r="H3602">
        <v>5411375</v>
      </c>
      <c r="I3602">
        <v>272</v>
      </c>
      <c r="J3602" t="s">
        <v>398</v>
      </c>
      <c r="K3602" s="8" t="str">
        <f>IFERROR(IF(AND(VLOOKUP($C3602,Hes!$A:$B, 1, FALSE), $M3602&lt;&gt;" "), "Ingresada", "Falta Ingresar"), " ")</f>
        <v>Falta Ingresar</v>
      </c>
      <c r="L3602" s="4" t="str">
        <f>IFERROR(VLOOKUP($C3602,Observaciones!$A:$B,2,FALSE)," ")</f>
        <v>ULTIMO DIA SEGUN INFORME DE LIBIA ESPERAR CORREO</v>
      </c>
      <c r="M3602" t="s">
        <v>681</v>
      </c>
      <c r="O3602" s="5">
        <v>30847953</v>
      </c>
      <c r="P3602" s="5">
        <v>485585</v>
      </c>
      <c r="Q3602" s="5">
        <v>92261</v>
      </c>
      <c r="R3602" s="5">
        <v>577846</v>
      </c>
    </row>
    <row r="3603" spans="1:18" x14ac:dyDescent="0.25">
      <c r="A3603" t="s">
        <v>512</v>
      </c>
      <c r="B3603" t="s">
        <v>494</v>
      </c>
      <c r="C3603">
        <v>83382700</v>
      </c>
      <c r="D3603">
        <v>212</v>
      </c>
      <c r="E3603">
        <v>30847994</v>
      </c>
      <c r="F3603" t="s">
        <v>1479</v>
      </c>
      <c r="G3603" s="1">
        <v>45233</v>
      </c>
      <c r="H3603">
        <v>5411378</v>
      </c>
      <c r="I3603">
        <v>272</v>
      </c>
      <c r="J3603" t="s">
        <v>398</v>
      </c>
      <c r="K3603" s="8" t="str">
        <f>IFERROR(IF(AND(VLOOKUP($C3603,Hes!$A:$B, 1, FALSE), $M3603&lt;&gt;" "), "Ingresada", "Falta Ingresar"), " ")</f>
        <v>Falta Ingresar</v>
      </c>
      <c r="L3603" s="4" t="str">
        <f>IFERROR(VLOOKUP($C3603,Observaciones!$A:$B,2,FALSE)," ")</f>
        <v>ULTIMO DIA SEGUN INFORME DE LIBIA ESPERAR CORREO</v>
      </c>
      <c r="M3603" t="s">
        <v>681</v>
      </c>
      <c r="O3603" s="5">
        <v>30847994</v>
      </c>
      <c r="P3603" s="5">
        <v>509930</v>
      </c>
      <c r="Q3603" s="5">
        <v>96887</v>
      </c>
      <c r="R3603" s="5">
        <v>606817</v>
      </c>
    </row>
    <row r="3604" spans="1:18" x14ac:dyDescent="0.25">
      <c r="A3604" t="s">
        <v>512</v>
      </c>
      <c r="B3604" t="s">
        <v>494</v>
      </c>
      <c r="C3604">
        <v>83382700</v>
      </c>
      <c r="D3604">
        <v>268</v>
      </c>
      <c r="E3604">
        <v>30848071</v>
      </c>
      <c r="F3604" t="s">
        <v>1479</v>
      </c>
      <c r="G3604" s="1">
        <v>45233</v>
      </c>
      <c r="H3604">
        <v>5411406</v>
      </c>
      <c r="I3604">
        <v>272</v>
      </c>
      <c r="J3604" t="s">
        <v>398</v>
      </c>
      <c r="K3604" s="8" t="str">
        <f>IFERROR(IF(AND(VLOOKUP($C3604,Hes!$A:$B, 1, FALSE), $M3604&lt;&gt;" "), "Ingresada", "Falta Ingresar"), " ")</f>
        <v>Falta Ingresar</v>
      </c>
      <c r="L3604" s="4" t="str">
        <f>IFERROR(VLOOKUP($C3604,Observaciones!$A:$B,2,FALSE)," ")</f>
        <v>ULTIMO DIA SEGUN INFORME DE LIBIA ESPERAR CORREO</v>
      </c>
      <c r="M3604" t="s">
        <v>681</v>
      </c>
      <c r="O3604" s="5">
        <v>30848071</v>
      </c>
      <c r="P3604" s="5">
        <v>116000</v>
      </c>
      <c r="Q3604" s="5">
        <v>22040</v>
      </c>
      <c r="R3604" s="5">
        <v>145580</v>
      </c>
    </row>
    <row r="3605" spans="1:18" x14ac:dyDescent="0.25">
      <c r="A3605" t="s">
        <v>512</v>
      </c>
      <c r="B3605" t="s">
        <v>494</v>
      </c>
      <c r="C3605">
        <v>83382700</v>
      </c>
      <c r="D3605">
        <v>235</v>
      </c>
      <c r="E3605">
        <v>30848105</v>
      </c>
      <c r="F3605" t="s">
        <v>1479</v>
      </c>
      <c r="G3605" s="1">
        <v>45233</v>
      </c>
      <c r="H3605">
        <v>5411443</v>
      </c>
      <c r="I3605">
        <v>272</v>
      </c>
      <c r="J3605" t="s">
        <v>398</v>
      </c>
      <c r="K3605" s="8" t="str">
        <f>IFERROR(IF(AND(VLOOKUP($C3605,Hes!$A:$B, 1, FALSE), $M3605&lt;&gt;" "), "Ingresada", "Falta Ingresar"), " ")</f>
        <v>Falta Ingresar</v>
      </c>
      <c r="L3605" s="4" t="str">
        <f>IFERROR(VLOOKUP($C3605,Observaciones!$A:$B,2,FALSE)," ")</f>
        <v>ULTIMO DIA SEGUN INFORME DE LIBIA ESPERAR CORREO</v>
      </c>
      <c r="M3605" t="s">
        <v>681</v>
      </c>
      <c r="O3605" s="5">
        <v>30848105</v>
      </c>
      <c r="P3605" s="5">
        <v>609191</v>
      </c>
      <c r="Q3605" s="5">
        <v>115746</v>
      </c>
      <c r="R3605" s="5">
        <v>755137</v>
      </c>
    </row>
    <row r="3606" spans="1:18" x14ac:dyDescent="0.25">
      <c r="A3606" t="s">
        <v>512</v>
      </c>
      <c r="B3606" t="s">
        <v>494</v>
      </c>
      <c r="C3606">
        <v>83382700</v>
      </c>
      <c r="D3606">
        <v>256</v>
      </c>
      <c r="E3606">
        <v>30848155</v>
      </c>
      <c r="F3606" t="s">
        <v>1479</v>
      </c>
      <c r="G3606" s="1">
        <v>45233</v>
      </c>
      <c r="H3606">
        <v>5411466</v>
      </c>
      <c r="I3606">
        <v>272</v>
      </c>
      <c r="J3606" t="s">
        <v>398</v>
      </c>
      <c r="K3606" s="8" t="str">
        <f>IFERROR(IF(AND(VLOOKUP($C3606,Hes!$A:$B, 1, FALSE), $M3606&lt;&gt;" "), "Ingresada", "Falta Ingresar"), " ")</f>
        <v>Falta Ingresar</v>
      </c>
      <c r="L3606" s="4" t="str">
        <f>IFERROR(VLOOKUP($C3606,Observaciones!$A:$B,2,FALSE)," ")</f>
        <v>ULTIMO DIA SEGUN INFORME DE LIBIA ESPERAR CORREO</v>
      </c>
      <c r="M3606" t="s">
        <v>681</v>
      </c>
      <c r="O3606" s="5">
        <v>30848155</v>
      </c>
      <c r="P3606" s="5">
        <v>123893</v>
      </c>
      <c r="Q3606" s="5">
        <v>23540</v>
      </c>
      <c r="R3606" s="5">
        <v>147433</v>
      </c>
    </row>
    <row r="3607" spans="1:18" x14ac:dyDescent="0.25">
      <c r="A3607" t="s">
        <v>512</v>
      </c>
      <c r="B3607" t="s">
        <v>494</v>
      </c>
      <c r="C3607">
        <v>83382700</v>
      </c>
      <c r="D3607">
        <v>57</v>
      </c>
      <c r="E3607">
        <v>30847492</v>
      </c>
      <c r="F3607" t="s">
        <v>1479</v>
      </c>
      <c r="G3607" s="1">
        <v>45233</v>
      </c>
      <c r="H3607">
        <v>5411517</v>
      </c>
      <c r="I3607">
        <v>272</v>
      </c>
      <c r="J3607" t="s">
        <v>398</v>
      </c>
      <c r="K3607" s="8" t="str">
        <f>IFERROR(IF(AND(VLOOKUP($C3607,Hes!$A:$B, 1, FALSE), $M3607&lt;&gt;" "), "Ingresada", "Falta Ingresar"), " ")</f>
        <v>Falta Ingresar</v>
      </c>
      <c r="L3607" s="4" t="str">
        <f>IFERROR(VLOOKUP($C3607,Observaciones!$A:$B,2,FALSE)," ")</f>
        <v>ULTIMO DIA SEGUN INFORME DE LIBIA ESPERAR CORREO</v>
      </c>
      <c r="M3607" t="s">
        <v>681</v>
      </c>
      <c r="O3607" s="5">
        <v>30847492</v>
      </c>
      <c r="P3607" s="5">
        <v>534316</v>
      </c>
      <c r="Q3607" s="5">
        <v>101520</v>
      </c>
      <c r="R3607" s="5">
        <v>666463</v>
      </c>
    </row>
    <row r="3608" spans="1:18" x14ac:dyDescent="0.25">
      <c r="A3608" t="s">
        <v>512</v>
      </c>
      <c r="B3608" t="s">
        <v>494</v>
      </c>
      <c r="C3608">
        <v>83382700</v>
      </c>
      <c r="D3608">
        <v>260</v>
      </c>
      <c r="E3608">
        <v>30847520</v>
      </c>
      <c r="F3608" t="s">
        <v>1479</v>
      </c>
      <c r="G3608" s="1">
        <v>45233</v>
      </c>
      <c r="H3608">
        <v>5411522</v>
      </c>
      <c r="I3608">
        <v>272</v>
      </c>
      <c r="J3608" t="s">
        <v>398</v>
      </c>
      <c r="K3608" s="8" t="str">
        <f>IFERROR(IF(AND(VLOOKUP($C3608,Hes!$A:$B, 1, FALSE), $M3608&lt;&gt;" "), "Ingresada", "Falta Ingresar"), " ")</f>
        <v>Falta Ingresar</v>
      </c>
      <c r="L3608" s="4" t="str">
        <f>IFERROR(VLOOKUP($C3608,Observaciones!$A:$B,2,FALSE)," ")</f>
        <v>ULTIMO DIA SEGUN INFORME DE LIBIA ESPERAR CORREO</v>
      </c>
      <c r="M3608" t="s">
        <v>681</v>
      </c>
      <c r="O3608" s="5">
        <v>30847520</v>
      </c>
      <c r="P3608" s="5">
        <v>755430</v>
      </c>
      <c r="Q3608" s="5">
        <v>143532</v>
      </c>
      <c r="R3608" s="5">
        <v>925563</v>
      </c>
    </row>
    <row r="3609" spans="1:18" x14ac:dyDescent="0.25">
      <c r="A3609" t="s">
        <v>512</v>
      </c>
      <c r="B3609" t="s">
        <v>494</v>
      </c>
      <c r="C3609">
        <v>83382700</v>
      </c>
      <c r="D3609">
        <v>254</v>
      </c>
      <c r="E3609">
        <v>30848166</v>
      </c>
      <c r="F3609" t="s">
        <v>1479</v>
      </c>
      <c r="G3609" s="1">
        <v>45233</v>
      </c>
      <c r="H3609">
        <v>5411650</v>
      </c>
      <c r="I3609">
        <v>272</v>
      </c>
      <c r="J3609" t="s">
        <v>398</v>
      </c>
      <c r="K3609" s="8" t="str">
        <f>IFERROR(IF(AND(VLOOKUP($C3609,Hes!$A:$B, 1, FALSE), $M3609&lt;&gt;" "), "Ingresada", "Falta Ingresar"), " ")</f>
        <v>Falta Ingresar</v>
      </c>
      <c r="L3609" s="4" t="str">
        <f>IFERROR(VLOOKUP($C3609,Observaciones!$A:$B,2,FALSE)," ")</f>
        <v>ULTIMO DIA SEGUN INFORME DE LIBIA ESPERAR CORREO</v>
      </c>
      <c r="M3609" t="s">
        <v>681</v>
      </c>
      <c r="O3609" s="5">
        <v>30848166</v>
      </c>
      <c r="P3609" s="5">
        <v>85724</v>
      </c>
      <c r="Q3609" s="5">
        <v>16288</v>
      </c>
      <c r="R3609" s="5">
        <v>102012</v>
      </c>
    </row>
    <row r="3610" spans="1:18" x14ac:dyDescent="0.25">
      <c r="A3610" t="s">
        <v>512</v>
      </c>
      <c r="B3610" t="s">
        <v>494</v>
      </c>
      <c r="C3610">
        <v>83382700</v>
      </c>
      <c r="D3610">
        <v>222</v>
      </c>
      <c r="E3610">
        <v>30848794</v>
      </c>
      <c r="F3610" t="s">
        <v>1479</v>
      </c>
      <c r="G3610" s="1">
        <v>45236</v>
      </c>
      <c r="H3610">
        <v>5411948</v>
      </c>
      <c r="I3610">
        <v>272</v>
      </c>
      <c r="J3610" t="s">
        <v>398</v>
      </c>
      <c r="K3610" s="8" t="str">
        <f>IFERROR(IF(AND(VLOOKUP($C3610,Hes!$A:$B, 1, FALSE), $M3610&lt;&gt;" "), "Ingresada", "Falta Ingresar"), " ")</f>
        <v>Falta Ingresar</v>
      </c>
      <c r="L3610" s="4" t="str">
        <f>IFERROR(VLOOKUP($C3610,Observaciones!$A:$B,2,FALSE)," ")</f>
        <v>ULTIMO DIA SEGUN INFORME DE LIBIA ESPERAR CORREO</v>
      </c>
      <c r="M3610" t="s">
        <v>681</v>
      </c>
      <c r="O3610" s="5">
        <v>30848794</v>
      </c>
      <c r="P3610" s="5">
        <v>427821</v>
      </c>
      <c r="Q3610" s="5">
        <v>81286</v>
      </c>
      <c r="R3610" s="5">
        <v>509107</v>
      </c>
    </row>
    <row r="3611" spans="1:18" x14ac:dyDescent="0.25">
      <c r="A3611" t="s">
        <v>512</v>
      </c>
      <c r="B3611" t="s">
        <v>494</v>
      </c>
      <c r="C3611">
        <v>83382700</v>
      </c>
      <c r="D3611">
        <v>314</v>
      </c>
      <c r="E3611">
        <v>30847137</v>
      </c>
      <c r="F3611" t="s">
        <v>1479</v>
      </c>
      <c r="G3611" s="1">
        <v>45236</v>
      </c>
      <c r="H3611">
        <v>5412043</v>
      </c>
      <c r="I3611">
        <v>272</v>
      </c>
      <c r="J3611" t="s">
        <v>398</v>
      </c>
      <c r="K3611" s="8" t="str">
        <f>IFERROR(IF(AND(VLOOKUP($C3611,Hes!$A:$B, 1, FALSE), $M3611&lt;&gt;" "), "Ingresada", "Falta Ingresar"), " ")</f>
        <v>Falta Ingresar</v>
      </c>
      <c r="L3611" s="4" t="str">
        <f>IFERROR(VLOOKUP($C3611,Observaciones!$A:$B,2,FALSE)," ")</f>
        <v>ULTIMO DIA SEGUN INFORME DE LIBIA ESPERAR CORREO</v>
      </c>
      <c r="M3611" t="s">
        <v>681</v>
      </c>
      <c r="O3611" s="5">
        <v>30847137</v>
      </c>
      <c r="P3611" s="5">
        <v>847656</v>
      </c>
      <c r="Q3611" s="5">
        <v>161055</v>
      </c>
      <c r="R3611" s="5">
        <v>1008711</v>
      </c>
    </row>
    <row r="3612" spans="1:18" x14ac:dyDescent="0.25">
      <c r="A3612" t="s">
        <v>512</v>
      </c>
      <c r="B3612" t="s">
        <v>494</v>
      </c>
      <c r="C3612">
        <v>83382700</v>
      </c>
      <c r="D3612">
        <v>207</v>
      </c>
      <c r="E3612">
        <v>30852026</v>
      </c>
      <c r="F3612" t="s">
        <v>1479</v>
      </c>
      <c r="G3612" s="1">
        <v>45236</v>
      </c>
      <c r="H3612">
        <v>5412105</v>
      </c>
      <c r="I3612">
        <v>272</v>
      </c>
      <c r="J3612" t="s">
        <v>398</v>
      </c>
      <c r="K3612" s="8" t="str">
        <f>IFERROR(IF(AND(VLOOKUP($C3612,Hes!$A:$B, 1, FALSE), $M3612&lt;&gt;" "), "Ingresada", "Falta Ingresar"), " ")</f>
        <v>Falta Ingresar</v>
      </c>
      <c r="L3612" s="4" t="str">
        <f>IFERROR(VLOOKUP($C3612,Observaciones!$A:$B,2,FALSE)," ")</f>
        <v>ULTIMO DIA SEGUN INFORME DE LIBIA ESPERAR CORREO</v>
      </c>
      <c r="M3612" t="s">
        <v>681</v>
      </c>
      <c r="O3612" s="5">
        <v>30852026</v>
      </c>
      <c r="P3612" s="5">
        <v>415599</v>
      </c>
      <c r="Q3612" s="5">
        <v>78964</v>
      </c>
      <c r="R3612" s="5">
        <v>494563</v>
      </c>
    </row>
    <row r="3613" spans="1:18" x14ac:dyDescent="0.25">
      <c r="A3613" t="s">
        <v>512</v>
      </c>
      <c r="B3613" t="s">
        <v>494</v>
      </c>
      <c r="C3613">
        <v>83382700</v>
      </c>
      <c r="D3613">
        <v>151</v>
      </c>
      <c r="E3613">
        <v>30847509</v>
      </c>
      <c r="F3613" t="s">
        <v>1479</v>
      </c>
      <c r="G3613" s="1">
        <v>45236</v>
      </c>
      <c r="H3613">
        <v>5412324</v>
      </c>
      <c r="I3613">
        <v>272</v>
      </c>
      <c r="J3613" t="s">
        <v>398</v>
      </c>
      <c r="K3613" s="8" t="str">
        <f>IFERROR(IF(AND(VLOOKUP($C3613,Hes!$A:$B, 1, FALSE), $M3613&lt;&gt;" "), "Ingresada", "Falta Ingresar"), " ")</f>
        <v>Falta Ingresar</v>
      </c>
      <c r="L3613" s="4" t="str">
        <f>IFERROR(VLOOKUP($C3613,Observaciones!$A:$B,2,FALSE)," ")</f>
        <v>ULTIMO DIA SEGUN INFORME DE LIBIA ESPERAR CORREO</v>
      </c>
      <c r="M3613" t="s">
        <v>681</v>
      </c>
      <c r="O3613" s="5">
        <v>30847509</v>
      </c>
      <c r="P3613" s="5">
        <v>708745</v>
      </c>
      <c r="Q3613" s="5">
        <v>134662</v>
      </c>
      <c r="R3613" s="5">
        <v>855586</v>
      </c>
    </row>
    <row r="3614" spans="1:18" x14ac:dyDescent="0.25">
      <c r="A3614" t="s">
        <v>512</v>
      </c>
      <c r="B3614" t="s">
        <v>494</v>
      </c>
      <c r="C3614">
        <v>83382700</v>
      </c>
      <c r="D3614">
        <v>151</v>
      </c>
      <c r="E3614">
        <v>30847509</v>
      </c>
      <c r="F3614" t="s">
        <v>1479</v>
      </c>
      <c r="G3614" s="1">
        <v>45236</v>
      </c>
      <c r="H3614">
        <v>5412325</v>
      </c>
      <c r="I3614">
        <v>272</v>
      </c>
      <c r="J3614" t="s">
        <v>398</v>
      </c>
      <c r="K3614" s="8" t="str">
        <f>IFERROR(IF(AND(VLOOKUP($C3614,Hes!$A:$B, 1, FALSE), $M3614&lt;&gt;" "), "Ingresada", "Falta Ingresar"), " ")</f>
        <v>Falta Ingresar</v>
      </c>
      <c r="L3614" s="4" t="str">
        <f>IFERROR(VLOOKUP($C3614,Observaciones!$A:$B,2,FALSE)," ")</f>
        <v>ULTIMO DIA SEGUN INFORME DE LIBIA ESPERAR CORREO</v>
      </c>
      <c r="M3614" t="s">
        <v>681</v>
      </c>
      <c r="O3614" s="5">
        <v>30847509</v>
      </c>
      <c r="P3614" s="5">
        <v>75311</v>
      </c>
      <c r="Q3614" s="5">
        <v>14309</v>
      </c>
      <c r="R3614" s="5">
        <v>89620</v>
      </c>
    </row>
    <row r="3615" spans="1:18" x14ac:dyDescent="0.25">
      <c r="A3615" t="s">
        <v>512</v>
      </c>
      <c r="B3615" t="s">
        <v>494</v>
      </c>
      <c r="C3615">
        <v>83382700</v>
      </c>
      <c r="D3615">
        <v>213</v>
      </c>
      <c r="E3615">
        <v>30849827</v>
      </c>
      <c r="F3615" t="s">
        <v>1479</v>
      </c>
      <c r="G3615" s="1">
        <v>45236</v>
      </c>
      <c r="H3615">
        <v>5412617</v>
      </c>
      <c r="I3615">
        <v>272</v>
      </c>
      <c r="J3615" t="s">
        <v>398</v>
      </c>
      <c r="K3615" s="8" t="str">
        <f>IFERROR(IF(AND(VLOOKUP($C3615,Hes!$A:$B, 1, FALSE), $M3615&lt;&gt;" "), "Ingresada", "Falta Ingresar"), " ")</f>
        <v>Falta Ingresar</v>
      </c>
      <c r="L3615" s="4" t="str">
        <f>IFERROR(VLOOKUP($C3615,Observaciones!$A:$B,2,FALSE)," ")</f>
        <v>ULTIMO DIA SEGUN INFORME DE LIBIA ESPERAR CORREO</v>
      </c>
      <c r="M3615" t="s">
        <v>681</v>
      </c>
      <c r="O3615" s="5">
        <v>30849827</v>
      </c>
      <c r="P3615" s="5">
        <v>512751</v>
      </c>
      <c r="Q3615" s="5">
        <v>97423</v>
      </c>
      <c r="R3615" s="5">
        <v>610174</v>
      </c>
    </row>
    <row r="3616" spans="1:18" x14ac:dyDescent="0.25">
      <c r="A3616" t="s">
        <v>512</v>
      </c>
      <c r="B3616" t="s">
        <v>494</v>
      </c>
      <c r="C3616">
        <v>83382700</v>
      </c>
      <c r="D3616">
        <v>151</v>
      </c>
      <c r="E3616">
        <v>30852000</v>
      </c>
      <c r="F3616" t="s">
        <v>1479</v>
      </c>
      <c r="G3616" s="1">
        <v>45236</v>
      </c>
      <c r="H3616">
        <v>5413020</v>
      </c>
      <c r="I3616">
        <v>272</v>
      </c>
      <c r="J3616" t="s">
        <v>398</v>
      </c>
      <c r="K3616" s="8" t="str">
        <f>IFERROR(IF(AND(VLOOKUP($C3616,Hes!$A:$B, 1, FALSE), $M3616&lt;&gt;" "), "Ingresada", "Falta Ingresar"), " ")</f>
        <v>Falta Ingresar</v>
      </c>
      <c r="L3616" s="4" t="str">
        <f>IFERROR(VLOOKUP($C3616,Observaciones!$A:$B,2,FALSE)," ")</f>
        <v>ULTIMO DIA SEGUN INFORME DE LIBIA ESPERAR CORREO</v>
      </c>
      <c r="M3616" t="s">
        <v>681</v>
      </c>
      <c r="O3616" s="5">
        <v>30852000</v>
      </c>
      <c r="P3616" s="5">
        <v>113848</v>
      </c>
      <c r="Q3616" s="5">
        <v>21631</v>
      </c>
      <c r="R3616" s="5">
        <v>138664</v>
      </c>
    </row>
    <row r="3617" spans="1:18" x14ac:dyDescent="0.25">
      <c r="A3617" t="s">
        <v>512</v>
      </c>
      <c r="B3617" t="s">
        <v>494</v>
      </c>
      <c r="C3617">
        <v>83382700</v>
      </c>
      <c r="D3617">
        <v>109</v>
      </c>
      <c r="E3617">
        <v>30850962</v>
      </c>
      <c r="F3617" t="s">
        <v>1479</v>
      </c>
      <c r="G3617" s="1">
        <v>45236</v>
      </c>
      <c r="H3617">
        <v>5413029</v>
      </c>
      <c r="I3617">
        <v>272</v>
      </c>
      <c r="J3617" t="s">
        <v>398</v>
      </c>
      <c r="K3617" s="8" t="str">
        <f>IFERROR(IF(AND(VLOOKUP($C3617,Hes!$A:$B, 1, FALSE), $M3617&lt;&gt;" "), "Ingresada", "Falta Ingresar"), " ")</f>
        <v>Falta Ingresar</v>
      </c>
      <c r="L3617" s="4" t="str">
        <f>IFERROR(VLOOKUP($C3617,Observaciones!$A:$B,2,FALSE)," ")</f>
        <v>ULTIMO DIA SEGUN INFORME DE LIBIA ESPERAR CORREO</v>
      </c>
      <c r="M3617" t="s">
        <v>681</v>
      </c>
      <c r="O3617" s="5">
        <v>30850962</v>
      </c>
      <c r="P3617" s="5">
        <v>119890</v>
      </c>
      <c r="Q3617" s="5">
        <v>22779</v>
      </c>
      <c r="R3617" s="5">
        <v>149924</v>
      </c>
    </row>
    <row r="3618" spans="1:18" x14ac:dyDescent="0.25">
      <c r="A3618" t="s">
        <v>512</v>
      </c>
      <c r="B3618" t="s">
        <v>494</v>
      </c>
      <c r="C3618">
        <v>83382700</v>
      </c>
      <c r="D3618">
        <v>216</v>
      </c>
      <c r="E3618">
        <v>30850956</v>
      </c>
      <c r="F3618" t="s">
        <v>1479</v>
      </c>
      <c r="G3618" s="1">
        <v>45236</v>
      </c>
      <c r="H3618">
        <v>5413104</v>
      </c>
      <c r="I3618">
        <v>272</v>
      </c>
      <c r="J3618" t="s">
        <v>398</v>
      </c>
      <c r="K3618" s="8" t="str">
        <f>IFERROR(IF(AND(VLOOKUP($C3618,Hes!$A:$B, 1, FALSE), $M3618&lt;&gt;" "), "Ingresada", "Falta Ingresar"), " ")</f>
        <v>Falta Ingresar</v>
      </c>
      <c r="L3618" s="4" t="str">
        <f>IFERROR(VLOOKUP($C3618,Observaciones!$A:$B,2,FALSE)," ")</f>
        <v>ULTIMO DIA SEGUN INFORME DE LIBIA ESPERAR CORREO</v>
      </c>
      <c r="M3618" t="s">
        <v>681</v>
      </c>
      <c r="O3618" s="5">
        <v>30850956</v>
      </c>
      <c r="P3618" s="5">
        <v>949381</v>
      </c>
      <c r="Q3618" s="5">
        <v>180382</v>
      </c>
      <c r="R3618" s="5">
        <v>1129763</v>
      </c>
    </row>
    <row r="3619" spans="1:18" x14ac:dyDescent="0.25">
      <c r="A3619" t="s">
        <v>512</v>
      </c>
      <c r="B3619" t="s">
        <v>494</v>
      </c>
      <c r="C3619">
        <v>83382700</v>
      </c>
      <c r="D3619">
        <v>200</v>
      </c>
      <c r="E3619">
        <v>30853320</v>
      </c>
      <c r="F3619" t="s">
        <v>1479</v>
      </c>
      <c r="G3619" s="1">
        <v>45236</v>
      </c>
      <c r="H3619">
        <v>5413269</v>
      </c>
      <c r="I3619">
        <v>272</v>
      </c>
      <c r="J3619" t="s">
        <v>398</v>
      </c>
      <c r="K3619" s="8" t="str">
        <f>IFERROR(IF(AND(VLOOKUP($C3619,Hes!$A:$B, 1, FALSE), $M3619&lt;&gt;" "), "Ingresada", "Falta Ingresar"), " ")</f>
        <v>Falta Ingresar</v>
      </c>
      <c r="L3619" s="4" t="str">
        <f>IFERROR(VLOOKUP($C3619,Observaciones!$A:$B,2,FALSE)," ")</f>
        <v>ULTIMO DIA SEGUN INFORME DE LIBIA ESPERAR CORREO</v>
      </c>
      <c r="M3619" t="s">
        <v>681</v>
      </c>
      <c r="O3619" s="5">
        <v>30853320</v>
      </c>
      <c r="P3619" s="5">
        <v>519931</v>
      </c>
      <c r="Q3619" s="5">
        <v>98787</v>
      </c>
      <c r="R3619" s="5">
        <v>618718</v>
      </c>
    </row>
    <row r="3620" spans="1:18" x14ac:dyDescent="0.25">
      <c r="A3620" t="s">
        <v>512</v>
      </c>
      <c r="B3620" t="s">
        <v>494</v>
      </c>
      <c r="C3620">
        <v>83382700</v>
      </c>
      <c r="D3620">
        <v>214</v>
      </c>
      <c r="E3620">
        <v>30856604</v>
      </c>
      <c r="F3620" t="s">
        <v>1479</v>
      </c>
      <c r="G3620" s="1">
        <v>45236</v>
      </c>
      <c r="H3620">
        <v>5413558</v>
      </c>
      <c r="I3620">
        <v>272</v>
      </c>
      <c r="J3620" t="s">
        <v>398</v>
      </c>
      <c r="K3620" s="8" t="str">
        <f>IFERROR(IF(AND(VLOOKUP($C3620,Hes!$A:$B, 1, FALSE), $M3620&lt;&gt;" "), "Ingresada", "Falta Ingresar"), " ")</f>
        <v>Falta Ingresar</v>
      </c>
      <c r="L3620" s="4" t="str">
        <f>IFERROR(VLOOKUP($C3620,Observaciones!$A:$B,2,FALSE)," ")</f>
        <v>ULTIMO DIA SEGUN INFORME DE LIBIA ESPERAR CORREO</v>
      </c>
      <c r="M3620" t="s">
        <v>681</v>
      </c>
      <c r="O3620" s="5">
        <v>30856604</v>
      </c>
      <c r="P3620" s="5">
        <v>624475</v>
      </c>
      <c r="Q3620" s="5">
        <v>118650</v>
      </c>
      <c r="R3620" s="5">
        <v>743125</v>
      </c>
    </row>
    <row r="3621" spans="1:18" x14ac:dyDescent="0.25">
      <c r="A3621" t="s">
        <v>512</v>
      </c>
      <c r="B3621" t="s">
        <v>494</v>
      </c>
      <c r="C3621">
        <v>83382700</v>
      </c>
      <c r="D3621">
        <v>219</v>
      </c>
      <c r="E3621">
        <v>30858305</v>
      </c>
      <c r="F3621" t="s">
        <v>1479</v>
      </c>
      <c r="G3621" s="1">
        <v>45237</v>
      </c>
      <c r="H3621">
        <v>5413973</v>
      </c>
      <c r="I3621">
        <v>272</v>
      </c>
      <c r="J3621" t="s">
        <v>398</v>
      </c>
      <c r="K3621" s="8" t="str">
        <f>IFERROR(IF(AND(VLOOKUP($C3621,Hes!$A:$B, 1, FALSE), $M3621&lt;&gt;" "), "Ingresada", "Falta Ingresar"), " ")</f>
        <v>Falta Ingresar</v>
      </c>
      <c r="L3621" s="4" t="str">
        <f>IFERROR(VLOOKUP($C3621,Observaciones!$A:$B,2,FALSE)," ")</f>
        <v>ULTIMO DIA SEGUN INFORME DE LIBIA ESPERAR CORREO</v>
      </c>
      <c r="M3621" t="s">
        <v>681</v>
      </c>
      <c r="O3621" s="5">
        <v>30858305</v>
      </c>
      <c r="P3621" s="5">
        <v>426939</v>
      </c>
      <c r="Q3621" s="5">
        <v>81118</v>
      </c>
      <c r="R3621" s="5">
        <v>508057</v>
      </c>
    </row>
    <row r="3622" spans="1:18" x14ac:dyDescent="0.25">
      <c r="A3622" t="s">
        <v>512</v>
      </c>
      <c r="B3622" t="s">
        <v>494</v>
      </c>
      <c r="C3622">
        <v>83382700</v>
      </c>
      <c r="D3622">
        <v>68</v>
      </c>
      <c r="E3622">
        <v>30860009</v>
      </c>
      <c r="F3622" t="s">
        <v>1479</v>
      </c>
      <c r="G3622" s="1">
        <v>45237</v>
      </c>
      <c r="H3622">
        <v>5414227</v>
      </c>
      <c r="I3622">
        <v>272</v>
      </c>
      <c r="J3622" t="s">
        <v>398</v>
      </c>
      <c r="K3622" s="8" t="str">
        <f>IFERROR(IF(AND(VLOOKUP($C3622,Hes!$A:$B, 1, FALSE), $M3622&lt;&gt;" "), "Ingresada", "Falta Ingresar"), " ")</f>
        <v>Falta Ingresar</v>
      </c>
      <c r="L3622" s="4" t="str">
        <f>IFERROR(VLOOKUP($C3622,Observaciones!$A:$B,2,FALSE)," ")</f>
        <v>ULTIMO DIA SEGUN INFORME DE LIBIA ESPERAR CORREO</v>
      </c>
      <c r="M3622" t="s">
        <v>681</v>
      </c>
      <c r="O3622" s="5">
        <v>30860009</v>
      </c>
      <c r="P3622" s="5">
        <v>596820</v>
      </c>
      <c r="Q3622" s="5">
        <v>113396</v>
      </c>
      <c r="R3622" s="5">
        <v>710216</v>
      </c>
    </row>
    <row r="3623" spans="1:18" x14ac:dyDescent="0.25">
      <c r="A3623" t="s">
        <v>512</v>
      </c>
      <c r="B3623" t="s">
        <v>494</v>
      </c>
      <c r="C3623">
        <v>83382700</v>
      </c>
      <c r="D3623">
        <v>317</v>
      </c>
      <c r="E3623">
        <v>30860025</v>
      </c>
      <c r="F3623" t="s">
        <v>1479</v>
      </c>
      <c r="G3623" s="1">
        <v>45237</v>
      </c>
      <c r="H3623">
        <v>5414248</v>
      </c>
      <c r="I3623">
        <v>272</v>
      </c>
      <c r="J3623" t="s">
        <v>398</v>
      </c>
      <c r="K3623" s="8" t="str">
        <f>IFERROR(IF(AND(VLOOKUP($C3623,Hes!$A:$B, 1, FALSE), $M3623&lt;&gt;" "), "Ingresada", "Falta Ingresar"), " ")</f>
        <v>Falta Ingresar</v>
      </c>
      <c r="L3623" s="4" t="str">
        <f>IFERROR(VLOOKUP($C3623,Observaciones!$A:$B,2,FALSE)," ")</f>
        <v>ULTIMO DIA SEGUN INFORME DE LIBIA ESPERAR CORREO</v>
      </c>
      <c r="M3623" t="s">
        <v>681</v>
      </c>
      <c r="O3623" s="5">
        <v>30860025</v>
      </c>
      <c r="P3623" s="5">
        <v>279718</v>
      </c>
      <c r="Q3623" s="5">
        <v>53146</v>
      </c>
      <c r="R3623" s="5">
        <v>340226</v>
      </c>
    </row>
    <row r="3624" spans="1:18" x14ac:dyDescent="0.25">
      <c r="A3624" t="s">
        <v>512</v>
      </c>
      <c r="B3624" t="s">
        <v>494</v>
      </c>
      <c r="C3624">
        <v>83382700</v>
      </c>
      <c r="D3624">
        <v>230</v>
      </c>
      <c r="E3624">
        <v>30859857</v>
      </c>
      <c r="F3624" t="s">
        <v>1479</v>
      </c>
      <c r="G3624" s="1">
        <v>45237</v>
      </c>
      <c r="H3624">
        <v>5414251</v>
      </c>
      <c r="I3624">
        <v>272</v>
      </c>
      <c r="J3624" t="s">
        <v>398</v>
      </c>
      <c r="K3624" s="8" t="str">
        <f>IFERROR(IF(AND(VLOOKUP($C3624,Hes!$A:$B, 1, FALSE), $M3624&lt;&gt;" "), "Ingresada", "Falta Ingresar"), " ")</f>
        <v>Falta Ingresar</v>
      </c>
      <c r="L3624" s="4" t="str">
        <f>IFERROR(VLOOKUP($C3624,Observaciones!$A:$B,2,FALSE)," ")</f>
        <v>ULTIMO DIA SEGUN INFORME DE LIBIA ESPERAR CORREO</v>
      </c>
      <c r="M3624" t="s">
        <v>681</v>
      </c>
      <c r="O3624" s="5">
        <v>30859857</v>
      </c>
      <c r="P3624" s="5">
        <v>376966</v>
      </c>
      <c r="Q3624" s="5">
        <v>71624</v>
      </c>
      <c r="R3624" s="5">
        <v>448590</v>
      </c>
    </row>
    <row r="3625" spans="1:18" x14ac:dyDescent="0.25">
      <c r="A3625" t="s">
        <v>512</v>
      </c>
      <c r="B3625" t="s">
        <v>494</v>
      </c>
      <c r="C3625">
        <v>83382700</v>
      </c>
      <c r="D3625">
        <v>301</v>
      </c>
      <c r="E3625">
        <v>30859994</v>
      </c>
      <c r="F3625" t="s">
        <v>1479</v>
      </c>
      <c r="G3625" s="1">
        <v>45237</v>
      </c>
      <c r="H3625">
        <v>5414258</v>
      </c>
      <c r="I3625">
        <v>272</v>
      </c>
      <c r="J3625" t="s">
        <v>398</v>
      </c>
      <c r="K3625" s="8" t="str">
        <f>IFERROR(IF(AND(VLOOKUP($C3625,Hes!$A:$B, 1, FALSE), $M3625&lt;&gt;" "), "Ingresada", "Falta Ingresar"), " ")</f>
        <v>Falta Ingresar</v>
      </c>
      <c r="L3625" s="4" t="str">
        <f>IFERROR(VLOOKUP($C3625,Observaciones!$A:$B,2,FALSE)," ")</f>
        <v>ULTIMO DIA SEGUN INFORME DE LIBIA ESPERAR CORREO</v>
      </c>
      <c r="M3625" t="s">
        <v>681</v>
      </c>
      <c r="O3625" s="5">
        <v>30859994</v>
      </c>
      <c r="P3625" s="5">
        <v>399403</v>
      </c>
      <c r="Q3625" s="5">
        <v>75887</v>
      </c>
      <c r="R3625" s="5">
        <v>475290</v>
      </c>
    </row>
    <row r="3626" spans="1:18" x14ac:dyDescent="0.25">
      <c r="A3626" t="s">
        <v>512</v>
      </c>
      <c r="B3626" t="s">
        <v>494</v>
      </c>
      <c r="C3626">
        <v>83382700</v>
      </c>
      <c r="D3626">
        <v>268</v>
      </c>
      <c r="E3626">
        <v>30860031</v>
      </c>
      <c r="F3626" t="s">
        <v>1479</v>
      </c>
      <c r="G3626" s="1">
        <v>45238</v>
      </c>
      <c r="H3626">
        <v>5415111</v>
      </c>
      <c r="I3626">
        <v>272</v>
      </c>
      <c r="J3626" t="s">
        <v>398</v>
      </c>
      <c r="K3626" s="8" t="str">
        <f>IFERROR(IF(AND(VLOOKUP($C3626,Hes!$A:$B, 1, FALSE), $M3626&lt;&gt;" "), "Ingresada", "Falta Ingresar"), " ")</f>
        <v>Falta Ingresar</v>
      </c>
      <c r="L3626" s="4" t="str">
        <f>IFERROR(VLOOKUP($C3626,Observaciones!$A:$B,2,FALSE)," ")</f>
        <v>ULTIMO DIA SEGUN INFORME DE LIBIA ESPERAR CORREO</v>
      </c>
      <c r="M3626" t="s">
        <v>681</v>
      </c>
      <c r="O3626" s="5">
        <v>30860031</v>
      </c>
      <c r="P3626" s="5">
        <v>103742</v>
      </c>
      <c r="Q3626" s="5">
        <v>19711</v>
      </c>
      <c r="R3626" s="5">
        <v>123453</v>
      </c>
    </row>
    <row r="3627" spans="1:18" x14ac:dyDescent="0.25">
      <c r="A3627" t="s">
        <v>512</v>
      </c>
      <c r="B3627" t="s">
        <v>494</v>
      </c>
      <c r="C3627">
        <v>83382700</v>
      </c>
      <c r="D3627">
        <v>302</v>
      </c>
      <c r="E3627">
        <v>30863596</v>
      </c>
      <c r="F3627" t="s">
        <v>1479</v>
      </c>
      <c r="G3627" s="1">
        <v>45238</v>
      </c>
      <c r="H3627">
        <v>5415170</v>
      </c>
      <c r="I3627">
        <v>272</v>
      </c>
      <c r="J3627" t="s">
        <v>398</v>
      </c>
      <c r="K3627" s="8" t="str">
        <f>IFERROR(IF(AND(VLOOKUP($C3627,Hes!$A:$B, 1, FALSE), $M3627&lt;&gt;" "), "Ingresada", "Falta Ingresar"), " ")</f>
        <v>Falta Ingresar</v>
      </c>
      <c r="L3627" s="4" t="str">
        <f>IFERROR(VLOOKUP($C3627,Observaciones!$A:$B,2,FALSE)," ")</f>
        <v>ULTIMO DIA SEGUN INFORME DE LIBIA ESPERAR CORREO</v>
      </c>
      <c r="M3627" t="s">
        <v>681</v>
      </c>
      <c r="O3627" s="5">
        <v>30863596</v>
      </c>
      <c r="P3627" s="5">
        <v>456622</v>
      </c>
      <c r="Q3627" s="5">
        <v>86758</v>
      </c>
      <c r="R3627" s="5">
        <v>543380</v>
      </c>
    </row>
    <row r="3628" spans="1:18" x14ac:dyDescent="0.25">
      <c r="A3628" t="s">
        <v>512</v>
      </c>
      <c r="B3628" t="s">
        <v>494</v>
      </c>
      <c r="C3628">
        <v>83382700</v>
      </c>
      <c r="D3628">
        <v>267</v>
      </c>
      <c r="E3628">
        <v>30862524</v>
      </c>
      <c r="F3628" t="s">
        <v>1479</v>
      </c>
      <c r="G3628" s="1">
        <v>45238</v>
      </c>
      <c r="H3628">
        <v>5415242</v>
      </c>
      <c r="I3628">
        <v>272</v>
      </c>
      <c r="J3628" t="s">
        <v>398</v>
      </c>
      <c r="K3628" s="8" t="str">
        <f>IFERROR(IF(AND(VLOOKUP($C3628,Hes!$A:$B, 1, FALSE), $M3628&lt;&gt;" "), "Ingresada", "Falta Ingresar"), " ")</f>
        <v>Falta Ingresar</v>
      </c>
      <c r="L3628" s="4" t="str">
        <f>IFERROR(VLOOKUP($C3628,Observaciones!$A:$B,2,FALSE)," ")</f>
        <v>ULTIMO DIA SEGUN INFORME DE LIBIA ESPERAR CORREO</v>
      </c>
      <c r="M3628" t="s">
        <v>681</v>
      </c>
      <c r="O3628" s="5">
        <v>30862524</v>
      </c>
      <c r="P3628" s="5">
        <v>146997</v>
      </c>
      <c r="Q3628" s="5">
        <v>27929</v>
      </c>
      <c r="R3628" s="5">
        <v>174926</v>
      </c>
    </row>
    <row r="3629" spans="1:18" x14ac:dyDescent="0.25">
      <c r="F3629" t="s">
        <v>1480</v>
      </c>
      <c r="K3629" t="str">
        <f>IFERROR(IF(AND(VLOOKUP($C3629,Hes!$A:$B, 1, FALSE), $M3629&lt;&gt;" "), "Ingresada", "Falta Ingresar"), " ")</f>
        <v xml:space="preserve"> </v>
      </c>
      <c r="L3629" s="4" t="str">
        <f>IFERROR(VLOOKUP($C3629,Observaciones!$A:$B,2,FALSE)," ")</f>
        <v xml:space="preserve"> </v>
      </c>
      <c r="M3629" t="s">
        <v>681</v>
      </c>
      <c r="P3629" s="5">
        <v>35172872</v>
      </c>
      <c r="Q3629" s="5">
        <v>6682846</v>
      </c>
      <c r="R3629" s="5">
        <v>41980667</v>
      </c>
    </row>
    <row r="3630" spans="1:18" x14ac:dyDescent="0.25">
      <c r="A3630" t="s">
        <v>503</v>
      </c>
      <c r="B3630" t="s">
        <v>494</v>
      </c>
      <c r="C3630">
        <v>83585400</v>
      </c>
      <c r="D3630">
        <v>4</v>
      </c>
      <c r="E3630">
        <v>4300001287</v>
      </c>
      <c r="F3630" t="s">
        <v>1481</v>
      </c>
      <c r="G3630" s="1">
        <v>45232</v>
      </c>
      <c r="H3630">
        <v>5411063</v>
      </c>
      <c r="I3630">
        <v>178</v>
      </c>
      <c r="J3630" t="s">
        <v>303</v>
      </c>
      <c r="K3630" t="str">
        <f>IFERROR(IF(AND(VLOOKUP($C3630,Hes!$A:$B, 1, FALSE), $M3630&lt;&gt;" "), "Ingresada", "Falta Ingresar"), " ")</f>
        <v xml:space="preserve"> </v>
      </c>
      <c r="L3630" s="4" t="s">
        <v>681</v>
      </c>
      <c r="M3630" t="s">
        <v>681</v>
      </c>
      <c r="O3630" s="5">
        <v>30847086</v>
      </c>
      <c r="P3630" s="5">
        <v>323474</v>
      </c>
      <c r="Q3630" s="5">
        <v>61460</v>
      </c>
      <c r="R3630" s="5">
        <v>384934</v>
      </c>
    </row>
    <row r="3631" spans="1:18" x14ac:dyDescent="0.25">
      <c r="A3631" t="s">
        <v>503</v>
      </c>
      <c r="B3631" t="s">
        <v>494</v>
      </c>
      <c r="C3631">
        <v>83585400</v>
      </c>
      <c r="D3631">
        <v>9</v>
      </c>
      <c r="E3631">
        <v>4300001291</v>
      </c>
      <c r="F3631" t="s">
        <v>1481</v>
      </c>
      <c r="G3631" s="1">
        <v>45236</v>
      </c>
      <c r="H3631">
        <v>5412671</v>
      </c>
      <c r="I3631">
        <v>178</v>
      </c>
      <c r="J3631" t="s">
        <v>303</v>
      </c>
      <c r="K3631" t="str">
        <f>IFERROR(IF(AND(VLOOKUP($C3631,Hes!$A:$B, 1, FALSE), $M3631&lt;&gt;" "), "Ingresada", "Falta Ingresar"), " ")</f>
        <v xml:space="preserve"> </v>
      </c>
      <c r="L3631" s="4" t="s">
        <v>681</v>
      </c>
      <c r="M3631" t="s">
        <v>681</v>
      </c>
      <c r="O3631" s="5">
        <v>30854743</v>
      </c>
      <c r="P3631" s="5">
        <v>52350</v>
      </c>
      <c r="Q3631" s="5">
        <v>9947</v>
      </c>
      <c r="R3631" s="5">
        <v>62297</v>
      </c>
    </row>
    <row r="3632" spans="1:18" x14ac:dyDescent="0.25">
      <c r="A3632" t="s">
        <v>503</v>
      </c>
      <c r="B3632" t="s">
        <v>494</v>
      </c>
      <c r="C3632">
        <v>83585400</v>
      </c>
      <c r="D3632">
        <v>2</v>
      </c>
      <c r="E3632">
        <v>4300001270</v>
      </c>
      <c r="F3632" t="s">
        <v>1481</v>
      </c>
      <c r="G3632" s="1">
        <v>45236</v>
      </c>
      <c r="H3632">
        <v>5412770</v>
      </c>
      <c r="I3632">
        <v>178</v>
      </c>
      <c r="J3632" t="s">
        <v>303</v>
      </c>
      <c r="K3632" t="str">
        <f>IFERROR(IF(AND(VLOOKUP($C3632,Hes!$A:$B, 1, FALSE), $M3632&lt;&gt;" "), "Ingresada", "Falta Ingresar"), " ")</f>
        <v xml:space="preserve"> </v>
      </c>
      <c r="L3632" s="4" t="s">
        <v>681</v>
      </c>
      <c r="M3632" t="s">
        <v>681</v>
      </c>
      <c r="O3632" s="5">
        <v>30854778</v>
      </c>
      <c r="P3632" s="5">
        <v>60000</v>
      </c>
      <c r="Q3632" s="5">
        <v>11400</v>
      </c>
      <c r="R3632" s="5">
        <v>71400</v>
      </c>
    </row>
    <row r="3633" spans="1:18" x14ac:dyDescent="0.25">
      <c r="A3633" t="s">
        <v>503</v>
      </c>
      <c r="B3633" t="s">
        <v>494</v>
      </c>
      <c r="C3633">
        <v>83585400</v>
      </c>
      <c r="D3633">
        <v>9</v>
      </c>
      <c r="E3633">
        <v>4300001290</v>
      </c>
      <c r="F3633" t="s">
        <v>1481</v>
      </c>
      <c r="G3633" s="1">
        <v>45236</v>
      </c>
      <c r="H3633">
        <v>5412836</v>
      </c>
      <c r="I3633">
        <v>178</v>
      </c>
      <c r="J3633" t="s">
        <v>303</v>
      </c>
      <c r="K3633" t="str">
        <f>IFERROR(IF(AND(VLOOKUP($C3633,Hes!$A:$B, 1, FALSE), $M3633&lt;&gt;" "), "Ingresada", "Falta Ingresar"), " ")</f>
        <v xml:space="preserve"> </v>
      </c>
      <c r="L3633" s="4" t="s">
        <v>681</v>
      </c>
      <c r="M3633" t="s">
        <v>681</v>
      </c>
      <c r="O3633" s="5">
        <v>30854650</v>
      </c>
      <c r="P3633" s="5">
        <v>151601</v>
      </c>
      <c r="Q3633" s="5">
        <v>28804</v>
      </c>
      <c r="R3633" s="5">
        <v>180405</v>
      </c>
    </row>
    <row r="3634" spans="1:18" x14ac:dyDescent="0.25">
      <c r="A3634" t="s">
        <v>503</v>
      </c>
      <c r="B3634" t="s">
        <v>494</v>
      </c>
      <c r="C3634">
        <v>83585400</v>
      </c>
      <c r="D3634">
        <v>3</v>
      </c>
      <c r="E3634">
        <v>4300001293</v>
      </c>
      <c r="F3634" t="s">
        <v>1481</v>
      </c>
      <c r="G3634" s="1">
        <v>45236</v>
      </c>
      <c r="H3634">
        <v>5412983</v>
      </c>
      <c r="I3634">
        <v>178</v>
      </c>
      <c r="J3634" t="s">
        <v>303</v>
      </c>
      <c r="K3634" t="str">
        <f>IFERROR(IF(AND(VLOOKUP($C3634,Hes!$A:$B, 1, FALSE), $M3634&lt;&gt;" "), "Ingresada", "Falta Ingresar"), " ")</f>
        <v xml:space="preserve"> </v>
      </c>
      <c r="L3634" s="4" t="s">
        <v>681</v>
      </c>
      <c r="M3634" t="s">
        <v>681</v>
      </c>
      <c r="O3634" s="5">
        <v>30855152</v>
      </c>
      <c r="P3634" s="5">
        <v>228500</v>
      </c>
      <c r="Q3634" s="5">
        <v>43415</v>
      </c>
      <c r="R3634" s="5">
        <v>271915</v>
      </c>
    </row>
    <row r="3635" spans="1:18" x14ac:dyDescent="0.25">
      <c r="A3635" t="s">
        <v>503</v>
      </c>
      <c r="B3635" t="s">
        <v>494</v>
      </c>
      <c r="C3635">
        <v>83585400</v>
      </c>
      <c r="D3635">
        <v>2</v>
      </c>
      <c r="E3635">
        <v>4300001294</v>
      </c>
      <c r="F3635" t="s">
        <v>1481</v>
      </c>
      <c r="G3635" s="1">
        <v>45236</v>
      </c>
      <c r="H3635">
        <v>5412998</v>
      </c>
      <c r="I3635">
        <v>178</v>
      </c>
      <c r="J3635" t="s">
        <v>303</v>
      </c>
      <c r="K3635" t="str">
        <f>IFERROR(IF(AND(VLOOKUP($C3635,Hes!$A:$B, 1, FALSE), $M3635&lt;&gt;" "), "Ingresada", "Falta Ingresar"), " ")</f>
        <v xml:space="preserve"> </v>
      </c>
      <c r="L3635" s="4" t="s">
        <v>681</v>
      </c>
      <c r="M3635" t="s">
        <v>681</v>
      </c>
      <c r="O3635" s="5">
        <v>30855188</v>
      </c>
      <c r="P3635" s="5">
        <v>164076</v>
      </c>
      <c r="Q3635" s="5">
        <v>31174</v>
      </c>
      <c r="R3635" s="5">
        <v>195250</v>
      </c>
    </row>
    <row r="3636" spans="1:18" x14ac:dyDescent="0.25">
      <c r="A3636" t="s">
        <v>503</v>
      </c>
      <c r="B3636" t="s">
        <v>494</v>
      </c>
      <c r="C3636">
        <v>83585400</v>
      </c>
      <c r="D3636">
        <v>12</v>
      </c>
      <c r="E3636">
        <v>4300001289</v>
      </c>
      <c r="F3636" t="s">
        <v>1481</v>
      </c>
      <c r="G3636" s="1">
        <v>45236</v>
      </c>
      <c r="H3636">
        <v>5413049</v>
      </c>
      <c r="I3636">
        <v>178</v>
      </c>
      <c r="J3636" t="s">
        <v>303</v>
      </c>
      <c r="K3636" t="str">
        <f>IFERROR(IF(AND(VLOOKUP($C3636,Hes!$A:$B, 1, FALSE), $M3636&lt;&gt;" "), "Ingresada", "Falta Ingresar"), " ")</f>
        <v xml:space="preserve"> </v>
      </c>
      <c r="L3636" s="4" t="s">
        <v>681</v>
      </c>
      <c r="M3636" t="s">
        <v>681</v>
      </c>
      <c r="O3636" s="5">
        <v>30854335</v>
      </c>
      <c r="P3636" s="5">
        <v>141609</v>
      </c>
      <c r="Q3636" s="5">
        <v>26906</v>
      </c>
      <c r="R3636" s="5">
        <v>168515</v>
      </c>
    </row>
    <row r="3637" spans="1:18" x14ac:dyDescent="0.25">
      <c r="A3637" t="s">
        <v>503</v>
      </c>
      <c r="B3637" t="s">
        <v>494</v>
      </c>
      <c r="C3637">
        <v>83585400</v>
      </c>
      <c r="D3637">
        <v>3</v>
      </c>
      <c r="E3637">
        <v>4300001295</v>
      </c>
      <c r="F3637" t="s">
        <v>1481</v>
      </c>
      <c r="G3637" s="1">
        <v>45236</v>
      </c>
      <c r="H3637">
        <v>5413057</v>
      </c>
      <c r="I3637">
        <v>178</v>
      </c>
      <c r="J3637" t="s">
        <v>303</v>
      </c>
      <c r="K3637" t="str">
        <f>IFERROR(IF(AND(VLOOKUP($C3637,Hes!$A:$B, 1, FALSE), $M3637&lt;&gt;" "), "Ingresada", "Falta Ingresar"), " ")</f>
        <v xml:space="preserve"> </v>
      </c>
      <c r="L3637" s="4" t="s">
        <v>681</v>
      </c>
      <c r="M3637" t="s">
        <v>681</v>
      </c>
      <c r="O3637" s="5">
        <v>30855225</v>
      </c>
      <c r="P3637" s="5">
        <v>231530</v>
      </c>
      <c r="Q3637" s="5">
        <v>43991</v>
      </c>
      <c r="R3637" s="5">
        <v>275521</v>
      </c>
    </row>
    <row r="3638" spans="1:18" x14ac:dyDescent="0.25">
      <c r="A3638" t="s">
        <v>503</v>
      </c>
      <c r="B3638" t="s">
        <v>494</v>
      </c>
      <c r="C3638">
        <v>83585400</v>
      </c>
      <c r="D3638">
        <v>6</v>
      </c>
      <c r="E3638">
        <v>4300001296</v>
      </c>
      <c r="F3638" t="s">
        <v>1481</v>
      </c>
      <c r="G3638" s="1">
        <v>45237</v>
      </c>
      <c r="H3638">
        <v>5413924</v>
      </c>
      <c r="I3638">
        <v>178</v>
      </c>
      <c r="J3638" t="s">
        <v>303</v>
      </c>
      <c r="K3638" t="str">
        <f>IFERROR(IF(AND(VLOOKUP($C3638,Hes!$A:$B, 1, FALSE), $M3638&lt;&gt;" "), "Ingresada", "Falta Ingresar"), " ")</f>
        <v xml:space="preserve"> </v>
      </c>
      <c r="L3638" s="4" t="s">
        <v>681</v>
      </c>
      <c r="M3638" t="s">
        <v>681</v>
      </c>
      <c r="O3638" s="5">
        <v>30856119</v>
      </c>
      <c r="P3638" s="5">
        <v>165911</v>
      </c>
      <c r="Q3638" s="5">
        <v>31523</v>
      </c>
      <c r="R3638" s="5">
        <v>197434</v>
      </c>
    </row>
    <row r="3639" spans="1:18" x14ac:dyDescent="0.25">
      <c r="A3639" t="s">
        <v>503</v>
      </c>
      <c r="B3639" t="s">
        <v>494</v>
      </c>
      <c r="C3639">
        <v>83585400</v>
      </c>
      <c r="D3639">
        <v>6</v>
      </c>
      <c r="E3639">
        <v>4300001298</v>
      </c>
      <c r="F3639" t="s">
        <v>1481</v>
      </c>
      <c r="G3639" s="1">
        <v>45237</v>
      </c>
      <c r="H3639">
        <v>5414892</v>
      </c>
      <c r="I3639">
        <v>178</v>
      </c>
      <c r="J3639" t="s">
        <v>303</v>
      </c>
      <c r="K3639" t="str">
        <f>IFERROR(IF(AND(VLOOKUP($C3639,Hes!$A:$B, 1, FALSE), $M3639&lt;&gt;" "), "Ingresada", "Falta Ingresar"), " ")</f>
        <v xml:space="preserve"> </v>
      </c>
      <c r="L3639" s="4" t="s">
        <v>681</v>
      </c>
      <c r="M3639" t="s">
        <v>681</v>
      </c>
      <c r="O3639" s="5">
        <v>30860581</v>
      </c>
      <c r="P3639" s="5">
        <v>199211</v>
      </c>
      <c r="Q3639" s="5">
        <v>37850</v>
      </c>
      <c r="R3639" s="5">
        <v>237061</v>
      </c>
    </row>
    <row r="3640" spans="1:18" x14ac:dyDescent="0.25">
      <c r="A3640" t="s">
        <v>503</v>
      </c>
      <c r="B3640" t="s">
        <v>494</v>
      </c>
      <c r="C3640">
        <v>83585400</v>
      </c>
      <c r="D3640">
        <v>1</v>
      </c>
      <c r="E3640">
        <v>4300001299</v>
      </c>
      <c r="F3640" t="s">
        <v>1481</v>
      </c>
      <c r="G3640" s="1">
        <v>45238</v>
      </c>
      <c r="H3640">
        <v>5415534</v>
      </c>
      <c r="I3640">
        <v>178</v>
      </c>
      <c r="J3640" t="s">
        <v>303</v>
      </c>
      <c r="K3640" t="str">
        <f>IFERROR(IF(AND(VLOOKUP($C3640,Hes!$A:$B, 1, FALSE), $M3640&lt;&gt;" "), "Ingresada", "Falta Ingresar"), " ")</f>
        <v xml:space="preserve"> </v>
      </c>
      <c r="L3640" s="4" t="s">
        <v>681</v>
      </c>
      <c r="M3640" t="s">
        <v>681</v>
      </c>
      <c r="O3640" s="5">
        <v>30863002</v>
      </c>
      <c r="P3640" s="5">
        <v>207743</v>
      </c>
      <c r="Q3640" s="5">
        <v>39471</v>
      </c>
      <c r="R3640" s="5">
        <v>247214</v>
      </c>
    </row>
    <row r="3641" spans="1:18" x14ac:dyDescent="0.25">
      <c r="F3641" t="s">
        <v>510</v>
      </c>
      <c r="K3641" t="str">
        <f>IFERROR(IF(AND(VLOOKUP($C3641,Hes!$A:$B, 1, FALSE), $M3641&lt;&gt;" "), "Ingresada", "Falta Ingresar"), " ")</f>
        <v xml:space="preserve"> </v>
      </c>
      <c r="L3641" s="4" t="str">
        <f>IFERROR(VLOOKUP($C3641,Observaciones!$A:$B,2,FALSE)," ")</f>
        <v xml:space="preserve"> </v>
      </c>
      <c r="M3641" t="s">
        <v>681</v>
      </c>
      <c r="P3641" s="5">
        <v>1926005</v>
      </c>
      <c r="Q3641" s="5">
        <v>365941</v>
      </c>
      <c r="R3641" s="5">
        <v>2291946</v>
      </c>
    </row>
    <row r="3642" spans="1:18" x14ac:dyDescent="0.25">
      <c r="A3642" t="s">
        <v>496</v>
      </c>
      <c r="B3642" t="s">
        <v>494</v>
      </c>
      <c r="C3642">
        <v>83693800</v>
      </c>
      <c r="D3642">
        <v>7</v>
      </c>
      <c r="E3642">
        <v>6500578754</v>
      </c>
      <c r="F3642" t="s">
        <v>1482</v>
      </c>
      <c r="G3642" s="1">
        <v>45238</v>
      </c>
      <c r="H3642">
        <v>5415671</v>
      </c>
      <c r="I3642">
        <v>30</v>
      </c>
      <c r="J3642" t="s">
        <v>315</v>
      </c>
      <c r="K3642" t="str">
        <f>IFERROR(IF(AND(VLOOKUP($C3642,Hes!$A:$B, 1, FALSE), $M3642&lt;&gt;" "), "Ingresada", "Falta Ingresar"), " ")</f>
        <v xml:space="preserve"> </v>
      </c>
      <c r="L3642" s="4" t="s">
        <v>681</v>
      </c>
      <c r="M3642" t="s">
        <v>681</v>
      </c>
      <c r="O3642" s="5">
        <v>30848779</v>
      </c>
      <c r="P3642" s="5">
        <v>21150</v>
      </c>
      <c r="Q3642" s="5">
        <v>4019</v>
      </c>
      <c r="R3642" s="5">
        <v>25169</v>
      </c>
    </row>
    <row r="3643" spans="1:18" x14ac:dyDescent="0.25">
      <c r="F3643" t="s">
        <v>495</v>
      </c>
      <c r="K3643" t="str">
        <f>IFERROR(IF(AND(VLOOKUP($C3643,Hes!$A:$B, 1, FALSE), $M3643&lt;&gt;" "), "Ingresada", "Falta Ingresar"), " ")</f>
        <v xml:space="preserve"> </v>
      </c>
      <c r="L3643" s="4" t="str">
        <f>IFERROR(VLOOKUP($C3643,Observaciones!$A:$B,2,FALSE)," ")</f>
        <v xml:space="preserve"> </v>
      </c>
      <c r="M3643" t="s">
        <v>681</v>
      </c>
      <c r="P3643" s="5">
        <v>21150</v>
      </c>
      <c r="Q3643" s="5">
        <v>4019</v>
      </c>
      <c r="R3643" s="5">
        <v>25169</v>
      </c>
    </row>
    <row r="3644" spans="1:18" x14ac:dyDescent="0.25">
      <c r="A3644" t="s">
        <v>503</v>
      </c>
      <c r="B3644" t="s">
        <v>509</v>
      </c>
      <c r="C3644">
        <v>84102200</v>
      </c>
      <c r="D3644">
        <v>28</v>
      </c>
      <c r="E3644" t="s">
        <v>1483</v>
      </c>
      <c r="F3644" t="s">
        <v>1484</v>
      </c>
      <c r="G3644" s="1">
        <v>45232</v>
      </c>
      <c r="H3644">
        <v>5411185</v>
      </c>
      <c r="I3644">
        <v>114</v>
      </c>
      <c r="J3644" t="s">
        <v>182</v>
      </c>
      <c r="K3644" t="str">
        <f>IFERROR(IF(AND(VLOOKUP($C3644,Hes!$A:$B, 1, FALSE), $M3644&lt;&gt;" "), "Ingresada", "Falta Ingresar"), " ")</f>
        <v xml:space="preserve"> </v>
      </c>
      <c r="L3644" s="4" t="s">
        <v>681</v>
      </c>
      <c r="M3644" t="s">
        <v>681</v>
      </c>
      <c r="O3644" s="5">
        <v>30847929</v>
      </c>
      <c r="P3644" s="5">
        <v>86323</v>
      </c>
      <c r="Q3644" s="5">
        <v>16401</v>
      </c>
      <c r="R3644" s="5">
        <v>102724</v>
      </c>
    </row>
    <row r="3645" spans="1:18" x14ac:dyDescent="0.25">
      <c r="A3645" t="s">
        <v>503</v>
      </c>
      <c r="B3645" t="s">
        <v>509</v>
      </c>
      <c r="C3645">
        <v>84102200</v>
      </c>
      <c r="D3645">
        <v>11</v>
      </c>
      <c r="E3645" t="s">
        <v>1485</v>
      </c>
      <c r="F3645" t="s">
        <v>1484</v>
      </c>
      <c r="G3645" s="1">
        <v>45233</v>
      </c>
      <c r="H3645">
        <v>5411301</v>
      </c>
      <c r="I3645">
        <v>114</v>
      </c>
      <c r="J3645" t="s">
        <v>182</v>
      </c>
      <c r="K3645" t="str">
        <f>IFERROR(IF(AND(VLOOKUP($C3645,Hes!$A:$B, 1, FALSE), $M3645&lt;&gt;" "), "Ingresada", "Falta Ingresar"), " ")</f>
        <v xml:space="preserve"> </v>
      </c>
      <c r="L3645" s="4" t="s">
        <v>681</v>
      </c>
      <c r="M3645" t="s">
        <v>681</v>
      </c>
      <c r="O3645" s="5">
        <v>30847909</v>
      </c>
      <c r="P3645" s="5">
        <v>178159</v>
      </c>
      <c r="Q3645" s="5">
        <v>33850</v>
      </c>
      <c r="R3645" s="5">
        <v>212009</v>
      </c>
    </row>
    <row r="3646" spans="1:18" x14ac:dyDescent="0.25">
      <c r="A3646" t="s">
        <v>503</v>
      </c>
      <c r="B3646" t="s">
        <v>509</v>
      </c>
      <c r="C3646">
        <v>84102200</v>
      </c>
      <c r="D3646">
        <v>4</v>
      </c>
      <c r="E3646" t="s">
        <v>1486</v>
      </c>
      <c r="F3646" t="s">
        <v>1484</v>
      </c>
      <c r="G3646" s="1">
        <v>45236</v>
      </c>
      <c r="H3646">
        <v>5412824</v>
      </c>
      <c r="I3646">
        <v>114</v>
      </c>
      <c r="J3646" t="s">
        <v>182</v>
      </c>
      <c r="K3646" t="str">
        <f>IFERROR(IF(AND(VLOOKUP($C3646,Hes!$A:$B, 1, FALSE), $M3646&lt;&gt;" "), "Ingresada", "Falta Ingresar"), " ")</f>
        <v xml:space="preserve"> </v>
      </c>
      <c r="L3646" s="4" t="s">
        <v>681</v>
      </c>
      <c r="M3646" t="s">
        <v>681</v>
      </c>
      <c r="O3646" s="5">
        <v>30854606</v>
      </c>
      <c r="P3646" s="5">
        <v>128518</v>
      </c>
      <c r="Q3646" s="5">
        <v>24418</v>
      </c>
      <c r="R3646" s="5">
        <v>152936</v>
      </c>
    </row>
    <row r="3647" spans="1:18" x14ac:dyDescent="0.25">
      <c r="A3647" t="s">
        <v>503</v>
      </c>
      <c r="B3647" t="s">
        <v>509</v>
      </c>
      <c r="C3647">
        <v>84102200</v>
      </c>
      <c r="D3647">
        <v>14</v>
      </c>
      <c r="E3647" t="s">
        <v>1487</v>
      </c>
      <c r="F3647" t="s">
        <v>1484</v>
      </c>
      <c r="G3647" s="1">
        <v>45238</v>
      </c>
      <c r="H3647">
        <v>5414529</v>
      </c>
      <c r="I3647">
        <v>114</v>
      </c>
      <c r="J3647" t="s">
        <v>182</v>
      </c>
      <c r="K3647" t="str">
        <f>IFERROR(IF(AND(VLOOKUP($C3647,Hes!$A:$B, 1, FALSE), $M3647&lt;&gt;" "), "Ingresada", "Falta Ingresar"), " ")</f>
        <v xml:space="preserve"> </v>
      </c>
      <c r="L3647" s="4" t="s">
        <v>681</v>
      </c>
      <c r="M3647" t="s">
        <v>681</v>
      </c>
      <c r="O3647" s="5">
        <v>30860362</v>
      </c>
      <c r="P3647" s="5">
        <v>283385</v>
      </c>
      <c r="Q3647" s="5">
        <v>53843</v>
      </c>
      <c r="R3647" s="5">
        <v>339287</v>
      </c>
    </row>
    <row r="3648" spans="1:18" x14ac:dyDescent="0.25">
      <c r="F3648" t="s">
        <v>498</v>
      </c>
      <c r="K3648" t="str">
        <f>IFERROR(IF(AND(VLOOKUP($C3648,Hes!$A:$B, 1, FALSE), $M3648&lt;&gt;" "), "Ingresada", "Falta Ingresar"), " ")</f>
        <v xml:space="preserve"> </v>
      </c>
      <c r="L3648" s="4" t="str">
        <f>IFERROR(VLOOKUP($C3648,Observaciones!$A:$B,2,FALSE)," ")</f>
        <v xml:space="preserve"> </v>
      </c>
      <c r="M3648" t="s">
        <v>681</v>
      </c>
      <c r="P3648" s="5">
        <v>676385</v>
      </c>
      <c r="Q3648" s="5">
        <v>128512</v>
      </c>
      <c r="R3648" s="5">
        <v>806956</v>
      </c>
    </row>
    <row r="3649" spans="1:18" x14ac:dyDescent="0.25">
      <c r="A3649" t="s">
        <v>503</v>
      </c>
      <c r="B3649" t="s">
        <v>494</v>
      </c>
      <c r="C3649">
        <v>84348700</v>
      </c>
      <c r="D3649">
        <v>60</v>
      </c>
      <c r="E3649">
        <v>4000017730</v>
      </c>
      <c r="F3649" t="s">
        <v>1488</v>
      </c>
      <c r="G3649" s="1">
        <v>45238</v>
      </c>
      <c r="H3649">
        <v>5415058</v>
      </c>
      <c r="I3649">
        <v>37</v>
      </c>
      <c r="J3649" t="s">
        <v>156</v>
      </c>
      <c r="K3649" t="str">
        <f>IFERROR(IF(AND(VLOOKUP($C3649,Hes!$A:$B, 1, FALSE), $M3649&lt;&gt;" "), "Ingresada", "Falta Ingresar"), " ")</f>
        <v xml:space="preserve"> </v>
      </c>
      <c r="L3649" s="4" t="s">
        <v>681</v>
      </c>
      <c r="M3649" t="s">
        <v>681</v>
      </c>
      <c r="O3649" s="5">
        <v>30863385</v>
      </c>
      <c r="P3649" s="5">
        <v>97132</v>
      </c>
      <c r="Q3649" s="5">
        <v>18455</v>
      </c>
      <c r="R3649" s="5">
        <v>115587</v>
      </c>
    </row>
    <row r="3650" spans="1:18" x14ac:dyDescent="0.25">
      <c r="A3650" t="s">
        <v>503</v>
      </c>
      <c r="B3650" t="s">
        <v>494</v>
      </c>
      <c r="C3650">
        <v>84348700</v>
      </c>
      <c r="D3650">
        <v>65</v>
      </c>
      <c r="E3650">
        <v>4000017732</v>
      </c>
      <c r="F3650" t="s">
        <v>1488</v>
      </c>
      <c r="G3650" s="1">
        <v>45238</v>
      </c>
      <c r="H3650">
        <v>5415079</v>
      </c>
      <c r="I3650">
        <v>37</v>
      </c>
      <c r="J3650" t="s">
        <v>156</v>
      </c>
      <c r="K3650" t="str">
        <f>IFERROR(IF(AND(VLOOKUP($C3650,Hes!$A:$B, 1, FALSE), $M3650&lt;&gt;" "), "Ingresada", "Falta Ingresar"), " ")</f>
        <v xml:space="preserve"> </v>
      </c>
      <c r="L3650" s="4" t="s">
        <v>681</v>
      </c>
      <c r="M3650" t="s">
        <v>681</v>
      </c>
      <c r="O3650" s="5">
        <v>30863403</v>
      </c>
      <c r="P3650" s="5">
        <v>77423</v>
      </c>
      <c r="Q3650" s="5">
        <v>14710</v>
      </c>
      <c r="R3650" s="5">
        <v>92133</v>
      </c>
    </row>
    <row r="3651" spans="1:18" x14ac:dyDescent="0.25">
      <c r="A3651" t="s">
        <v>503</v>
      </c>
      <c r="B3651" t="s">
        <v>494</v>
      </c>
      <c r="C3651">
        <v>84348700</v>
      </c>
      <c r="D3651">
        <v>66</v>
      </c>
      <c r="E3651">
        <v>4000017733</v>
      </c>
      <c r="F3651" t="s">
        <v>1488</v>
      </c>
      <c r="G3651" s="1">
        <v>45238</v>
      </c>
      <c r="H3651">
        <v>5415145</v>
      </c>
      <c r="I3651">
        <v>37</v>
      </c>
      <c r="J3651" t="s">
        <v>156</v>
      </c>
      <c r="K3651" t="str">
        <f>IFERROR(IF(AND(VLOOKUP($C3651,Hes!$A:$B, 1, FALSE), $M3651&lt;&gt;" "), "Ingresada", "Falta Ingresar"), " ")</f>
        <v xml:space="preserve"> </v>
      </c>
      <c r="L3651" s="4" t="s">
        <v>681</v>
      </c>
      <c r="M3651" t="s">
        <v>681</v>
      </c>
      <c r="O3651" s="5">
        <v>30863421</v>
      </c>
      <c r="P3651" s="5">
        <v>192268</v>
      </c>
      <c r="Q3651" s="5">
        <v>36531</v>
      </c>
      <c r="R3651" s="5">
        <v>228799</v>
      </c>
    </row>
    <row r="3652" spans="1:18" x14ac:dyDescent="0.25">
      <c r="A3652" t="s">
        <v>503</v>
      </c>
      <c r="B3652" t="s">
        <v>494</v>
      </c>
      <c r="C3652">
        <v>84348700</v>
      </c>
      <c r="D3652">
        <v>52</v>
      </c>
      <c r="E3652">
        <v>4000017739</v>
      </c>
      <c r="F3652" t="s">
        <v>1488</v>
      </c>
      <c r="G3652" s="1">
        <v>45238</v>
      </c>
      <c r="H3652">
        <v>5415217</v>
      </c>
      <c r="I3652">
        <v>37</v>
      </c>
      <c r="J3652" t="s">
        <v>156</v>
      </c>
      <c r="K3652" t="str">
        <f>IFERROR(IF(AND(VLOOKUP($C3652,Hes!$A:$B, 1, FALSE), $M3652&lt;&gt;" "), "Ingresada", "Falta Ingresar"), " ")</f>
        <v xml:space="preserve"> </v>
      </c>
      <c r="L3652" s="4" t="s">
        <v>681</v>
      </c>
      <c r="M3652" t="s">
        <v>681</v>
      </c>
      <c r="O3652" s="5">
        <v>30864203</v>
      </c>
      <c r="P3652" s="5">
        <v>97982</v>
      </c>
      <c r="Q3652" s="5">
        <v>18617</v>
      </c>
      <c r="R3652" s="5">
        <v>116599</v>
      </c>
    </row>
    <row r="3653" spans="1:18" x14ac:dyDescent="0.25">
      <c r="A3653" t="s">
        <v>503</v>
      </c>
      <c r="B3653" t="s">
        <v>494</v>
      </c>
      <c r="C3653">
        <v>84348700</v>
      </c>
      <c r="D3653">
        <v>59</v>
      </c>
      <c r="E3653">
        <v>400001773</v>
      </c>
      <c r="F3653" t="s">
        <v>1488</v>
      </c>
      <c r="G3653" s="1">
        <v>45238</v>
      </c>
      <c r="H3653">
        <v>5415223</v>
      </c>
      <c r="I3653">
        <v>37</v>
      </c>
      <c r="J3653" t="s">
        <v>156</v>
      </c>
      <c r="K3653" t="str">
        <f>IFERROR(IF(AND(VLOOKUP($C3653,Hes!$A:$B, 1, FALSE), $M3653&lt;&gt;" "), "Ingresada", "Falta Ingresar"), " ")</f>
        <v xml:space="preserve"> </v>
      </c>
      <c r="L3653" s="4" t="s">
        <v>681</v>
      </c>
      <c r="M3653" t="s">
        <v>681</v>
      </c>
      <c r="O3653" s="5">
        <v>30863372</v>
      </c>
      <c r="P3653" s="5">
        <v>191270</v>
      </c>
      <c r="Q3653" s="5">
        <v>36341</v>
      </c>
      <c r="R3653" s="5">
        <v>227611</v>
      </c>
    </row>
    <row r="3654" spans="1:18" x14ac:dyDescent="0.25">
      <c r="A3654" t="s">
        <v>503</v>
      </c>
      <c r="B3654" t="s">
        <v>494</v>
      </c>
      <c r="C3654">
        <v>84348700</v>
      </c>
      <c r="D3654">
        <v>74</v>
      </c>
      <c r="E3654">
        <v>4000017741</v>
      </c>
      <c r="F3654" t="s">
        <v>1488</v>
      </c>
      <c r="G3654" s="1">
        <v>45237</v>
      </c>
      <c r="H3654">
        <v>5415230</v>
      </c>
      <c r="I3654">
        <v>37</v>
      </c>
      <c r="J3654" t="s">
        <v>156</v>
      </c>
      <c r="K3654" t="str">
        <f>IFERROR(IF(AND(VLOOKUP($C3654,Hes!$A:$B, 1, FALSE), $M3654&lt;&gt;" "), "Ingresada", "Falta Ingresar"), " ")</f>
        <v xml:space="preserve"> </v>
      </c>
      <c r="L3654" s="4" t="s">
        <v>681</v>
      </c>
      <c r="M3654" t="s">
        <v>681</v>
      </c>
      <c r="O3654" s="5">
        <v>30864248</v>
      </c>
      <c r="P3654" s="5">
        <v>178108</v>
      </c>
      <c r="Q3654" s="5">
        <v>33841</v>
      </c>
      <c r="R3654" s="5">
        <v>211949</v>
      </c>
    </row>
    <row r="3655" spans="1:18" x14ac:dyDescent="0.25">
      <c r="A3655" t="s">
        <v>503</v>
      </c>
      <c r="B3655" t="s">
        <v>494</v>
      </c>
      <c r="C3655">
        <v>84348700</v>
      </c>
      <c r="D3655">
        <v>12</v>
      </c>
      <c r="E3655">
        <v>4000017736</v>
      </c>
      <c r="F3655" t="s">
        <v>1488</v>
      </c>
      <c r="G3655" s="1">
        <v>45238</v>
      </c>
      <c r="H3655">
        <v>5415245</v>
      </c>
      <c r="I3655">
        <v>37</v>
      </c>
      <c r="J3655" t="s">
        <v>156</v>
      </c>
      <c r="K3655" t="str">
        <f>IFERROR(IF(AND(VLOOKUP($C3655,Hes!$A:$B, 1, FALSE), $M3655&lt;&gt;" "), "Ingresada", "Falta Ingresar"), " ")</f>
        <v xml:space="preserve"> </v>
      </c>
      <c r="L3655" s="4" t="s">
        <v>681</v>
      </c>
      <c r="M3655" t="s">
        <v>681</v>
      </c>
      <c r="O3655" s="5">
        <v>30864114</v>
      </c>
      <c r="P3655" s="5">
        <v>124609</v>
      </c>
      <c r="Q3655" s="5">
        <v>23676</v>
      </c>
      <c r="R3655" s="5">
        <v>148285</v>
      </c>
    </row>
    <row r="3656" spans="1:18" x14ac:dyDescent="0.25">
      <c r="A3656" t="s">
        <v>503</v>
      </c>
      <c r="B3656" t="s">
        <v>494</v>
      </c>
      <c r="C3656">
        <v>84348700</v>
      </c>
      <c r="D3656">
        <v>51</v>
      </c>
      <c r="E3656">
        <v>4000017737</v>
      </c>
      <c r="F3656" t="s">
        <v>1488</v>
      </c>
      <c r="G3656" s="1">
        <v>45238</v>
      </c>
      <c r="H3656">
        <v>5415294</v>
      </c>
      <c r="I3656">
        <v>37</v>
      </c>
      <c r="J3656" t="s">
        <v>156</v>
      </c>
      <c r="K3656" t="str">
        <f>IFERROR(IF(AND(VLOOKUP($C3656,Hes!$A:$B, 1, FALSE), $M3656&lt;&gt;" "), "Ingresada", "Falta Ingresar"), " ")</f>
        <v xml:space="preserve"> </v>
      </c>
      <c r="L3656" s="4" t="s">
        <v>681</v>
      </c>
      <c r="M3656" t="s">
        <v>681</v>
      </c>
      <c r="O3656" s="5">
        <v>30864125</v>
      </c>
      <c r="P3656" s="5">
        <v>291552</v>
      </c>
      <c r="Q3656" s="5">
        <v>55395</v>
      </c>
      <c r="R3656" s="5">
        <v>346947</v>
      </c>
    </row>
    <row r="3657" spans="1:18" x14ac:dyDescent="0.25">
      <c r="A3657" t="s">
        <v>503</v>
      </c>
      <c r="B3657" t="s">
        <v>494</v>
      </c>
      <c r="C3657">
        <v>84348700</v>
      </c>
      <c r="D3657">
        <v>9</v>
      </c>
      <c r="E3657">
        <v>4000017742</v>
      </c>
      <c r="F3657" t="s">
        <v>1488</v>
      </c>
      <c r="G3657" s="1">
        <v>45238</v>
      </c>
      <c r="H3657">
        <v>5415360</v>
      </c>
      <c r="I3657">
        <v>37</v>
      </c>
      <c r="J3657" t="s">
        <v>156</v>
      </c>
      <c r="K3657" t="str">
        <f>IFERROR(IF(AND(VLOOKUP($C3657,Hes!$A:$B, 1, FALSE), $M3657&lt;&gt;" "), "Ingresada", "Falta Ingresar"), " ")</f>
        <v xml:space="preserve"> </v>
      </c>
      <c r="L3657" s="4" t="s">
        <v>681</v>
      </c>
      <c r="M3657" t="s">
        <v>681</v>
      </c>
      <c r="O3657" s="5">
        <v>30864297</v>
      </c>
      <c r="P3657" s="5">
        <v>186584</v>
      </c>
      <c r="Q3657" s="5">
        <v>35451</v>
      </c>
      <c r="R3657" s="5">
        <v>222035</v>
      </c>
    </row>
    <row r="3658" spans="1:18" x14ac:dyDescent="0.25">
      <c r="A3658" t="s">
        <v>503</v>
      </c>
      <c r="B3658" t="s">
        <v>494</v>
      </c>
      <c r="C3658">
        <v>84348700</v>
      </c>
      <c r="D3658">
        <v>38</v>
      </c>
      <c r="E3658">
        <v>4000017738</v>
      </c>
      <c r="F3658" t="s">
        <v>1488</v>
      </c>
      <c r="G3658" s="1">
        <v>45238</v>
      </c>
      <c r="H3658">
        <v>5415379</v>
      </c>
      <c r="I3658">
        <v>37</v>
      </c>
      <c r="J3658" t="s">
        <v>156</v>
      </c>
      <c r="K3658" t="str">
        <f>IFERROR(IF(AND(VLOOKUP($C3658,Hes!$A:$B, 1, FALSE), $M3658&lt;&gt;" "), "Ingresada", "Falta Ingresar"), " ")</f>
        <v xml:space="preserve"> </v>
      </c>
      <c r="L3658" s="4" t="s">
        <v>681</v>
      </c>
      <c r="M3658" t="s">
        <v>681</v>
      </c>
      <c r="O3658" s="5">
        <v>30864187</v>
      </c>
      <c r="P3658" s="5">
        <v>199797</v>
      </c>
      <c r="Q3658" s="5">
        <v>37961</v>
      </c>
      <c r="R3658" s="5">
        <v>237758</v>
      </c>
    </row>
    <row r="3659" spans="1:18" x14ac:dyDescent="0.25">
      <c r="A3659" t="s">
        <v>503</v>
      </c>
      <c r="B3659" t="s">
        <v>494</v>
      </c>
      <c r="C3659">
        <v>84348700</v>
      </c>
      <c r="D3659">
        <v>48</v>
      </c>
      <c r="E3659">
        <v>4000017735</v>
      </c>
      <c r="F3659" t="s">
        <v>1488</v>
      </c>
      <c r="G3659" s="1">
        <v>45238</v>
      </c>
      <c r="H3659">
        <v>5415623</v>
      </c>
      <c r="I3659">
        <v>37</v>
      </c>
      <c r="J3659" t="s">
        <v>156</v>
      </c>
      <c r="K3659" t="str">
        <f>IFERROR(IF(AND(VLOOKUP($C3659,Hes!$A:$B, 1, FALSE), $M3659&lt;&gt;" "), "Ingresada", "Falta Ingresar"), " ")</f>
        <v xml:space="preserve"> </v>
      </c>
      <c r="L3659" s="4" t="s">
        <v>681</v>
      </c>
      <c r="M3659" t="s">
        <v>681</v>
      </c>
      <c r="O3659" s="5">
        <v>30864092</v>
      </c>
      <c r="P3659" s="5">
        <v>95372</v>
      </c>
      <c r="Q3659" s="5">
        <v>18121</v>
      </c>
      <c r="R3659" s="5">
        <v>113493</v>
      </c>
    </row>
    <row r="3660" spans="1:18" x14ac:dyDescent="0.25">
      <c r="F3660" t="s">
        <v>510</v>
      </c>
      <c r="K3660" t="str">
        <f>IFERROR(IF(AND(VLOOKUP($C3660,Hes!$A:$B, 1, FALSE), $M3660&lt;&gt;" "), "Ingresada", "Falta Ingresar"), " ")</f>
        <v xml:space="preserve"> </v>
      </c>
      <c r="L3660" s="4" t="str">
        <f>IFERROR(VLOOKUP($C3660,Observaciones!$A:$B,2,FALSE)," ")</f>
        <v xml:space="preserve"> </v>
      </c>
      <c r="M3660" t="s">
        <v>681</v>
      </c>
      <c r="P3660" s="5">
        <v>1732097</v>
      </c>
      <c r="Q3660" s="5">
        <v>329099</v>
      </c>
      <c r="R3660" s="5">
        <v>2061196</v>
      </c>
    </row>
    <row r="3661" spans="1:18" x14ac:dyDescent="0.25">
      <c r="A3661" t="s">
        <v>503</v>
      </c>
      <c r="B3661" t="s">
        <v>494</v>
      </c>
      <c r="C3661">
        <v>84476300</v>
      </c>
      <c r="D3661">
        <v>0</v>
      </c>
      <c r="E3661" t="s">
        <v>1489</v>
      </c>
      <c r="F3661" t="s">
        <v>1490</v>
      </c>
      <c r="G3661" s="1">
        <v>45236</v>
      </c>
      <c r="H3661">
        <v>5413631</v>
      </c>
      <c r="I3661">
        <v>5</v>
      </c>
      <c r="J3661" t="s">
        <v>374</v>
      </c>
      <c r="K3661" t="str">
        <f>IFERROR(IF(AND(VLOOKUP($C3661,Hes!$A:$B, 1, FALSE), $M3661&lt;&gt;" "), "Ingresada", "Falta Ingresar"), " ")</f>
        <v xml:space="preserve"> </v>
      </c>
      <c r="L3661" s="4" t="str">
        <f>IFERROR(VLOOKUP($C3661,Observaciones!$A:$B,2,FALSE)," ")</f>
        <v>OC CON LETRAS FACTURAR INDIVIDUAL XOC Y CC</v>
      </c>
      <c r="M3661" t="s">
        <v>681</v>
      </c>
      <c r="O3661" s="5">
        <v>30857361</v>
      </c>
      <c r="P3661" s="5">
        <v>110112</v>
      </c>
      <c r="Q3661" s="5">
        <v>20921</v>
      </c>
      <c r="R3661" s="5">
        <v>139251</v>
      </c>
    </row>
    <row r="3662" spans="1:18" x14ac:dyDescent="0.25">
      <c r="A3662" t="s">
        <v>503</v>
      </c>
      <c r="B3662" t="s">
        <v>494</v>
      </c>
      <c r="C3662">
        <v>84476300</v>
      </c>
      <c r="D3662">
        <v>0</v>
      </c>
      <c r="E3662" t="s">
        <v>1491</v>
      </c>
      <c r="F3662" t="s">
        <v>1490</v>
      </c>
      <c r="G3662" s="1">
        <v>45238</v>
      </c>
      <c r="H3662">
        <v>5415751</v>
      </c>
      <c r="I3662">
        <v>5</v>
      </c>
      <c r="J3662" t="s">
        <v>374</v>
      </c>
      <c r="K3662" t="str">
        <f>IFERROR(IF(AND(VLOOKUP($C3662,Hes!$A:$B, 1, FALSE), $M3662&lt;&gt;" "), "Ingresada", "Falta Ingresar"), " ")</f>
        <v xml:space="preserve"> </v>
      </c>
      <c r="L3662" s="4" t="str">
        <f>IFERROR(VLOOKUP($C3662,Observaciones!$A:$B,2,FALSE)," ")</f>
        <v>OC CON LETRAS FACTURAR INDIVIDUAL XOC Y CC</v>
      </c>
      <c r="M3662" t="s">
        <v>681</v>
      </c>
      <c r="O3662" s="5">
        <v>30866808</v>
      </c>
      <c r="P3662" s="5">
        <v>66000</v>
      </c>
      <c r="Q3662" s="5">
        <v>12540</v>
      </c>
      <c r="R3662" s="5">
        <v>78540</v>
      </c>
    </row>
    <row r="3663" spans="1:18" x14ac:dyDescent="0.25">
      <c r="F3663" t="s">
        <v>497</v>
      </c>
      <c r="K3663" t="str">
        <f>IFERROR(IF(AND(VLOOKUP($C3663,Hes!$A:$B, 1, FALSE), $M3663&lt;&gt;" "), "Ingresada", "Falta Ingresar"), " ")</f>
        <v xml:space="preserve"> </v>
      </c>
      <c r="L3663" s="4" t="str">
        <f>IFERROR(VLOOKUP($C3663,Observaciones!$A:$B,2,FALSE)," ")</f>
        <v xml:space="preserve"> </v>
      </c>
      <c r="M3663" t="s">
        <v>681</v>
      </c>
      <c r="P3663" s="5">
        <v>176112</v>
      </c>
      <c r="Q3663" s="5">
        <v>33461</v>
      </c>
      <c r="R3663" s="5">
        <v>217791</v>
      </c>
    </row>
    <row r="3664" spans="1:18" x14ac:dyDescent="0.25">
      <c r="A3664" t="s">
        <v>496</v>
      </c>
      <c r="B3664" t="s">
        <v>494</v>
      </c>
      <c r="C3664">
        <v>84554900</v>
      </c>
      <c r="D3664">
        <v>0</v>
      </c>
      <c r="E3664">
        <v>4500221969</v>
      </c>
      <c r="F3664" t="s">
        <v>708</v>
      </c>
      <c r="G3664" s="1">
        <v>45231</v>
      </c>
      <c r="H3664">
        <v>5410828</v>
      </c>
      <c r="I3664">
        <v>441</v>
      </c>
      <c r="J3664" t="s">
        <v>119</v>
      </c>
      <c r="K3664" s="8" t="str">
        <f>IFERROR(IF(AND(VLOOKUP($C3664,Hes!$A:$B, 1, FALSE), $M3664&lt;&gt;" "), "Ingresada", "Falta Ingresar"), " ")</f>
        <v>Falta Ingresar</v>
      </c>
      <c r="L3664" s="4" t="str">
        <f>IFERROR(VLOOKUP($C3664,Observaciones!$A:$B,2,FALSE)," ")</f>
        <v xml:space="preserve"> </v>
      </c>
      <c r="M3664" t="s">
        <v>681</v>
      </c>
      <c r="N3664" s="5" t="s">
        <v>841</v>
      </c>
      <c r="O3664" s="5">
        <v>30846369</v>
      </c>
      <c r="P3664" s="5">
        <v>504580</v>
      </c>
      <c r="Q3664" s="5">
        <v>95870</v>
      </c>
      <c r="R3664" s="5">
        <v>600450</v>
      </c>
    </row>
    <row r="3665" spans="1:18" x14ac:dyDescent="0.25">
      <c r="A3665" t="s">
        <v>496</v>
      </c>
      <c r="B3665" t="s">
        <v>494</v>
      </c>
      <c r="C3665">
        <v>84554900</v>
      </c>
      <c r="D3665">
        <v>0</v>
      </c>
      <c r="E3665">
        <v>4500222559</v>
      </c>
      <c r="F3665" t="s">
        <v>708</v>
      </c>
      <c r="G3665" s="1">
        <v>45237</v>
      </c>
      <c r="H3665">
        <v>5414494</v>
      </c>
      <c r="I3665">
        <v>440</v>
      </c>
      <c r="J3665" t="s">
        <v>115</v>
      </c>
      <c r="K3665" s="8" t="str">
        <f>IFERROR(IF(AND(VLOOKUP($C3665,Hes!$A:$B, 1, FALSE), $M3665&lt;&gt;" "), "Ingresada", "Falta Ingresar"), " ")</f>
        <v>Falta Ingresar</v>
      </c>
      <c r="L3665" s="4" t="str">
        <f>IFERROR(VLOOKUP($C3665,Observaciones!$A:$B,2,FALSE)," ")</f>
        <v xml:space="preserve"> </v>
      </c>
      <c r="M3665" t="s">
        <v>681</v>
      </c>
      <c r="N3665" s="5" t="s">
        <v>841</v>
      </c>
      <c r="O3665" s="5">
        <v>30862373</v>
      </c>
      <c r="P3665" s="5">
        <v>122620</v>
      </c>
      <c r="Q3665" s="5">
        <v>23298</v>
      </c>
      <c r="R3665" s="5">
        <v>145918</v>
      </c>
    </row>
    <row r="3666" spans="1:18" x14ac:dyDescent="0.25">
      <c r="A3666" t="s">
        <v>496</v>
      </c>
      <c r="B3666" t="s">
        <v>494</v>
      </c>
      <c r="C3666">
        <v>84554900</v>
      </c>
      <c r="D3666">
        <v>0</v>
      </c>
      <c r="E3666">
        <v>4500222564</v>
      </c>
      <c r="F3666" t="s">
        <v>708</v>
      </c>
      <c r="G3666" s="1">
        <v>45237</v>
      </c>
      <c r="H3666">
        <v>5414496</v>
      </c>
      <c r="I3666">
        <v>440</v>
      </c>
      <c r="J3666" t="s">
        <v>115</v>
      </c>
      <c r="K3666" s="8" t="str">
        <f>IFERROR(IF(AND(VLOOKUP($C3666,Hes!$A:$B, 1, FALSE), $M3666&lt;&gt;" "), "Ingresada", "Falta Ingresar"), " ")</f>
        <v>Falta Ingresar</v>
      </c>
      <c r="L3666" s="4" t="str">
        <f>IFERROR(VLOOKUP($C3666,Observaciones!$A:$B,2,FALSE)," ")</f>
        <v xml:space="preserve"> </v>
      </c>
      <c r="M3666" t="s">
        <v>681</v>
      </c>
      <c r="N3666" s="5" t="s">
        <v>841</v>
      </c>
      <c r="O3666" s="5">
        <v>30862492</v>
      </c>
      <c r="P3666" s="5">
        <v>23684</v>
      </c>
      <c r="Q3666" s="5">
        <v>4500</v>
      </c>
      <c r="R3666" s="5">
        <v>28184</v>
      </c>
    </row>
    <row r="3667" spans="1:18" x14ac:dyDescent="0.25">
      <c r="A3667" t="s">
        <v>496</v>
      </c>
      <c r="B3667" t="s">
        <v>494</v>
      </c>
      <c r="C3667">
        <v>84554900</v>
      </c>
      <c r="D3667">
        <v>0</v>
      </c>
      <c r="E3667">
        <v>4500222592</v>
      </c>
      <c r="F3667" t="s">
        <v>708</v>
      </c>
      <c r="G3667" s="1">
        <v>45237</v>
      </c>
      <c r="H3667">
        <v>5414850</v>
      </c>
      <c r="I3667">
        <v>440</v>
      </c>
      <c r="J3667" t="s">
        <v>115</v>
      </c>
      <c r="K3667" s="8" t="str">
        <f>IFERROR(IF(AND(VLOOKUP($C3667,Hes!$A:$B, 1, FALSE), $M3667&lt;&gt;" "), "Ingresada", "Falta Ingresar"), " ")</f>
        <v>Falta Ingresar</v>
      </c>
      <c r="L3667" s="4" t="str">
        <f>IFERROR(VLOOKUP($C3667,Observaciones!$A:$B,2,FALSE)," ")</f>
        <v xml:space="preserve"> </v>
      </c>
      <c r="M3667" t="s">
        <v>681</v>
      </c>
      <c r="N3667" s="5" t="s">
        <v>841</v>
      </c>
      <c r="O3667" s="5">
        <v>30862233</v>
      </c>
      <c r="P3667" s="5">
        <v>126240</v>
      </c>
      <c r="Q3667" s="5">
        <v>23986</v>
      </c>
      <c r="R3667" s="5">
        <v>150226</v>
      </c>
    </row>
    <row r="3668" spans="1:18" x14ac:dyDescent="0.25">
      <c r="A3668" t="s">
        <v>496</v>
      </c>
      <c r="B3668" t="s">
        <v>494</v>
      </c>
      <c r="C3668">
        <v>84554900</v>
      </c>
      <c r="D3668">
        <v>0</v>
      </c>
      <c r="E3668">
        <v>4500222572</v>
      </c>
      <c r="F3668" t="s">
        <v>708</v>
      </c>
      <c r="G3668" s="1">
        <v>45237</v>
      </c>
      <c r="H3668">
        <v>5414891</v>
      </c>
      <c r="I3668">
        <v>440</v>
      </c>
      <c r="J3668" t="s">
        <v>115</v>
      </c>
      <c r="K3668" s="8" t="str">
        <f>IFERROR(IF(AND(VLOOKUP($C3668,Hes!$A:$B, 1, FALSE), $M3668&lt;&gt;" "), "Ingresada", "Falta Ingresar"), " ")</f>
        <v>Falta Ingresar</v>
      </c>
      <c r="L3668" s="4" t="str">
        <f>IFERROR(VLOOKUP($C3668,Observaciones!$A:$B,2,FALSE)," ")</f>
        <v xml:space="preserve"> </v>
      </c>
      <c r="M3668" t="s">
        <v>681</v>
      </c>
      <c r="N3668" s="5" t="s">
        <v>841</v>
      </c>
      <c r="O3668" s="5">
        <v>30862623</v>
      </c>
      <c r="P3668" s="5">
        <v>23350</v>
      </c>
      <c r="Q3668" s="5">
        <v>4437</v>
      </c>
      <c r="R3668" s="5">
        <v>27787</v>
      </c>
    </row>
    <row r="3669" spans="1:18" x14ac:dyDescent="0.25">
      <c r="A3669" t="s">
        <v>496</v>
      </c>
      <c r="B3669" t="s">
        <v>494</v>
      </c>
      <c r="C3669">
        <v>84554900</v>
      </c>
      <c r="D3669">
        <v>0</v>
      </c>
      <c r="E3669">
        <v>4500222562</v>
      </c>
      <c r="F3669" t="s">
        <v>708</v>
      </c>
      <c r="G3669" s="1">
        <v>45238</v>
      </c>
      <c r="H3669">
        <v>5415062</v>
      </c>
      <c r="I3669">
        <v>440</v>
      </c>
      <c r="J3669" t="s">
        <v>115</v>
      </c>
      <c r="K3669" s="8" t="str">
        <f>IFERROR(IF(AND(VLOOKUP($C3669,Hes!$A:$B, 1, FALSE), $M3669&lt;&gt;" "), "Ingresada", "Falta Ingresar"), " ")</f>
        <v>Falta Ingresar</v>
      </c>
      <c r="L3669" s="4" t="str">
        <f>IFERROR(VLOOKUP($C3669,Observaciones!$A:$B,2,FALSE)," ")</f>
        <v xml:space="preserve"> </v>
      </c>
      <c r="M3669" t="s">
        <v>681</v>
      </c>
      <c r="N3669" s="5" t="s">
        <v>841</v>
      </c>
      <c r="O3669" s="5">
        <v>30862732</v>
      </c>
      <c r="P3669" s="5">
        <v>31798</v>
      </c>
      <c r="Q3669" s="5">
        <v>6042</v>
      </c>
      <c r="R3669" s="5">
        <v>37840</v>
      </c>
    </row>
    <row r="3670" spans="1:18" x14ac:dyDescent="0.25">
      <c r="A3670" t="s">
        <v>496</v>
      </c>
      <c r="B3670" t="s">
        <v>494</v>
      </c>
      <c r="C3670">
        <v>84554900</v>
      </c>
      <c r="D3670">
        <v>0</v>
      </c>
      <c r="E3670">
        <v>4500222575</v>
      </c>
      <c r="F3670" t="s">
        <v>708</v>
      </c>
      <c r="G3670" s="1">
        <v>45238</v>
      </c>
      <c r="H3670">
        <v>5415063</v>
      </c>
      <c r="I3670">
        <v>440</v>
      </c>
      <c r="J3670" t="s">
        <v>115</v>
      </c>
      <c r="K3670" s="8" t="str">
        <f>IFERROR(IF(AND(VLOOKUP($C3670,Hes!$A:$B, 1, FALSE), $M3670&lt;&gt;" "), "Ingresada", "Falta Ingresar"), " ")</f>
        <v>Falta Ingresar</v>
      </c>
      <c r="L3670" s="4" t="str">
        <f>IFERROR(VLOOKUP($C3670,Observaciones!$A:$B,2,FALSE)," ")</f>
        <v xml:space="preserve"> </v>
      </c>
      <c r="M3670" t="s">
        <v>681</v>
      </c>
      <c r="N3670" s="5" t="s">
        <v>841</v>
      </c>
      <c r="O3670" s="5">
        <v>30862333</v>
      </c>
      <c r="P3670" s="5">
        <v>14737</v>
      </c>
      <c r="Q3670" s="5">
        <v>2800</v>
      </c>
      <c r="R3670" s="5">
        <v>17537</v>
      </c>
    </row>
    <row r="3671" spans="1:18" x14ac:dyDescent="0.25">
      <c r="A3671" t="s">
        <v>496</v>
      </c>
      <c r="B3671" t="s">
        <v>494</v>
      </c>
      <c r="C3671">
        <v>84554900</v>
      </c>
      <c r="D3671">
        <v>0</v>
      </c>
      <c r="E3671">
        <v>450022547</v>
      </c>
      <c r="F3671" t="s">
        <v>708</v>
      </c>
      <c r="G3671" s="1">
        <v>45238</v>
      </c>
      <c r="H3671">
        <v>5415218</v>
      </c>
      <c r="I3671">
        <v>440</v>
      </c>
      <c r="J3671" t="s">
        <v>115</v>
      </c>
      <c r="K3671" s="8" t="str">
        <f>IFERROR(IF(AND(VLOOKUP($C3671,Hes!$A:$B, 1, FALSE), $M3671&lt;&gt;" "), "Ingresada", "Falta Ingresar"), " ")</f>
        <v>Falta Ingresar</v>
      </c>
      <c r="L3671" s="4" t="str">
        <f>IFERROR(VLOOKUP($C3671,Observaciones!$A:$B,2,FALSE)," ")</f>
        <v xml:space="preserve"> </v>
      </c>
      <c r="M3671" t="s">
        <v>681</v>
      </c>
      <c r="N3671" s="5" t="s">
        <v>841</v>
      </c>
      <c r="O3671" s="5">
        <v>30864348</v>
      </c>
      <c r="P3671" s="5">
        <v>7975</v>
      </c>
      <c r="Q3671" s="5">
        <v>1515</v>
      </c>
      <c r="R3671" s="5">
        <v>9490</v>
      </c>
    </row>
    <row r="3672" spans="1:18" x14ac:dyDescent="0.25">
      <c r="A3672" t="s">
        <v>496</v>
      </c>
      <c r="B3672" t="s">
        <v>494</v>
      </c>
      <c r="C3672">
        <v>84554900</v>
      </c>
      <c r="D3672">
        <v>0</v>
      </c>
      <c r="E3672">
        <v>4500222512</v>
      </c>
      <c r="F3672" t="s">
        <v>708</v>
      </c>
      <c r="G3672" s="1">
        <v>45238</v>
      </c>
      <c r="H3672">
        <v>5415302</v>
      </c>
      <c r="I3672">
        <v>440</v>
      </c>
      <c r="J3672" t="s">
        <v>115</v>
      </c>
      <c r="K3672" s="8" t="str">
        <f>IFERROR(IF(AND(VLOOKUP($C3672,Hes!$A:$B, 1, FALSE), $M3672&lt;&gt;" "), "Ingresada", "Falta Ingresar"), " ")</f>
        <v>Falta Ingresar</v>
      </c>
      <c r="L3672" s="4" t="str">
        <f>IFERROR(VLOOKUP($C3672,Observaciones!$A:$B,2,FALSE)," ")</f>
        <v xml:space="preserve"> </v>
      </c>
      <c r="M3672" t="s">
        <v>681</v>
      </c>
      <c r="N3672" s="5" t="s">
        <v>841</v>
      </c>
      <c r="O3672" s="5">
        <v>30864889</v>
      </c>
      <c r="P3672" s="5">
        <v>56188</v>
      </c>
      <c r="Q3672" s="5">
        <v>10676</v>
      </c>
      <c r="R3672" s="5">
        <v>66864</v>
      </c>
    </row>
    <row r="3673" spans="1:18" x14ac:dyDescent="0.25">
      <c r="A3673" t="s">
        <v>496</v>
      </c>
      <c r="B3673" t="s">
        <v>494</v>
      </c>
      <c r="C3673">
        <v>84554900</v>
      </c>
      <c r="D3673">
        <v>0</v>
      </c>
      <c r="E3673">
        <v>4500222548</v>
      </c>
      <c r="F3673" t="s">
        <v>708</v>
      </c>
      <c r="G3673" s="1">
        <v>45238</v>
      </c>
      <c r="H3673">
        <v>5415351</v>
      </c>
      <c r="I3673">
        <v>440</v>
      </c>
      <c r="J3673" t="s">
        <v>115</v>
      </c>
      <c r="K3673" s="8" t="str">
        <f>IFERROR(IF(AND(VLOOKUP($C3673,Hes!$A:$B, 1, FALSE), $M3673&lt;&gt;" "), "Ingresada", "Falta Ingresar"), " ")</f>
        <v>Falta Ingresar</v>
      </c>
      <c r="L3673" s="4" t="str">
        <f>IFERROR(VLOOKUP($C3673,Observaciones!$A:$B,2,FALSE)," ")</f>
        <v xml:space="preserve"> </v>
      </c>
      <c r="M3673" t="s">
        <v>681</v>
      </c>
      <c r="N3673" s="5" t="s">
        <v>841</v>
      </c>
      <c r="O3673" s="5">
        <v>30864499</v>
      </c>
      <c r="P3673" s="5">
        <v>26235</v>
      </c>
      <c r="Q3673" s="5">
        <v>4985</v>
      </c>
      <c r="R3673" s="5">
        <v>31220</v>
      </c>
    </row>
    <row r="3674" spans="1:18" x14ac:dyDescent="0.25">
      <c r="A3674" t="s">
        <v>496</v>
      </c>
      <c r="B3674" t="s">
        <v>494</v>
      </c>
      <c r="C3674">
        <v>84554900</v>
      </c>
      <c r="D3674">
        <v>0</v>
      </c>
      <c r="E3674">
        <v>4500222550</v>
      </c>
      <c r="F3674" t="s">
        <v>708</v>
      </c>
      <c r="G3674" s="1">
        <v>45238</v>
      </c>
      <c r="H3674">
        <v>5415405</v>
      </c>
      <c r="I3674">
        <v>440</v>
      </c>
      <c r="J3674" t="s">
        <v>115</v>
      </c>
      <c r="K3674" s="8" t="str">
        <f>IFERROR(IF(AND(VLOOKUP($C3674,Hes!$A:$B, 1, FALSE), $M3674&lt;&gt;" "), "Ingresada", "Falta Ingresar"), " ")</f>
        <v>Falta Ingresar</v>
      </c>
      <c r="L3674" s="4" t="str">
        <f>IFERROR(VLOOKUP($C3674,Observaciones!$A:$B,2,FALSE)," ")</f>
        <v xml:space="preserve"> </v>
      </c>
      <c r="M3674" t="s">
        <v>681</v>
      </c>
      <c r="N3674" s="5" t="s">
        <v>841</v>
      </c>
      <c r="O3674" s="5">
        <v>30864556</v>
      </c>
      <c r="P3674" s="5">
        <v>487060</v>
      </c>
      <c r="Q3674" s="5">
        <v>92541</v>
      </c>
      <c r="R3674" s="5">
        <v>579601</v>
      </c>
    </row>
    <row r="3675" spans="1:18" x14ac:dyDescent="0.25">
      <c r="A3675" t="s">
        <v>496</v>
      </c>
      <c r="B3675" t="s">
        <v>494</v>
      </c>
      <c r="C3675">
        <v>84554900</v>
      </c>
      <c r="D3675">
        <v>0</v>
      </c>
      <c r="E3675">
        <v>4500222541</v>
      </c>
      <c r="F3675" t="s">
        <v>708</v>
      </c>
      <c r="G3675" s="1">
        <v>45238</v>
      </c>
      <c r="H3675">
        <v>5415492</v>
      </c>
      <c r="I3675">
        <v>440</v>
      </c>
      <c r="J3675" t="s">
        <v>115</v>
      </c>
      <c r="K3675" s="8" t="str">
        <f>IFERROR(IF(AND(VLOOKUP($C3675,Hes!$A:$B, 1, FALSE), $M3675&lt;&gt;" "), "Ingresada", "Falta Ingresar"), " ")</f>
        <v>Falta Ingresar</v>
      </c>
      <c r="L3675" s="4" t="str">
        <f>IFERROR(VLOOKUP($C3675,Observaciones!$A:$B,2,FALSE)," ")</f>
        <v xml:space="preserve"> </v>
      </c>
      <c r="M3675" t="s">
        <v>681</v>
      </c>
      <c r="N3675" s="5" t="s">
        <v>841</v>
      </c>
      <c r="O3675" s="5">
        <v>30864770</v>
      </c>
      <c r="P3675" s="5">
        <v>1035019</v>
      </c>
      <c r="Q3675" s="5">
        <v>196654</v>
      </c>
      <c r="R3675" s="5">
        <v>1231673</v>
      </c>
    </row>
    <row r="3676" spans="1:18" x14ac:dyDescent="0.25">
      <c r="F3676" t="s">
        <v>971</v>
      </c>
      <c r="K3676" t="str">
        <f>IFERROR(IF(AND(VLOOKUP($C3676,Hes!$A:$B, 1, FALSE), $M3676&lt;&gt;" "), "Ingresada", "Falta Ingresar"), " ")</f>
        <v xml:space="preserve"> </v>
      </c>
      <c r="L3676" s="4" t="str">
        <f>IFERROR(VLOOKUP($C3676,Observaciones!$A:$B,2,FALSE)," ")</f>
        <v xml:space="preserve"> </v>
      </c>
      <c r="M3676" t="s">
        <v>681</v>
      </c>
      <c r="P3676" s="5">
        <v>2459486</v>
      </c>
      <c r="Q3676" s="5">
        <v>467304</v>
      </c>
      <c r="R3676" s="5">
        <v>2926790</v>
      </c>
    </row>
    <row r="3677" spans="1:18" x14ac:dyDescent="0.25">
      <c r="A3677" t="s">
        <v>496</v>
      </c>
      <c r="B3677" t="s">
        <v>494</v>
      </c>
      <c r="C3677">
        <v>84707300</v>
      </c>
      <c r="D3677">
        <v>0</v>
      </c>
      <c r="E3677">
        <v>45181730</v>
      </c>
      <c r="F3677" t="s">
        <v>1492</v>
      </c>
      <c r="G3677" s="1">
        <v>45233</v>
      </c>
      <c r="H3677">
        <v>5411288</v>
      </c>
      <c r="I3677">
        <v>344</v>
      </c>
      <c r="J3677" t="s">
        <v>301</v>
      </c>
      <c r="K3677" t="str">
        <f>IFERROR(IF(AND(VLOOKUP($C3677,Hes!$A:$B, 1, FALSE), $M3677&lt;&gt;" "), "Ingresada", "Falta Ingresar"), " ")</f>
        <v xml:space="preserve"> </v>
      </c>
      <c r="L3677" s="4" t="str">
        <f>IFERROR(VLOOKUP($C3677,Observaciones!$A:$B,2,FALSE)," ")</f>
        <v xml:space="preserve"> </v>
      </c>
      <c r="M3677" t="s">
        <v>681</v>
      </c>
      <c r="O3677" s="5">
        <v>30825828</v>
      </c>
      <c r="P3677" s="5">
        <v>912119</v>
      </c>
      <c r="Q3677" s="5">
        <v>173303</v>
      </c>
      <c r="R3677" s="5">
        <v>1085422</v>
      </c>
    </row>
    <row r="3678" spans="1:18" x14ac:dyDescent="0.25">
      <c r="F3678" t="s">
        <v>495</v>
      </c>
      <c r="K3678" t="str">
        <f>IFERROR(IF(AND(VLOOKUP($C3678,Hes!$A:$B, 1, FALSE), $M3678&lt;&gt;" "), "Ingresada", "Falta Ingresar"), " ")</f>
        <v xml:space="preserve"> </v>
      </c>
      <c r="L3678" s="4" t="str">
        <f>IFERROR(VLOOKUP($C3678,Observaciones!$A:$B,2,FALSE)," ")</f>
        <v xml:space="preserve"> </v>
      </c>
      <c r="M3678" t="s">
        <v>681</v>
      </c>
      <c r="P3678" s="5">
        <v>912119</v>
      </c>
      <c r="Q3678" s="5">
        <v>173303</v>
      </c>
      <c r="R3678" s="5">
        <v>1085422</v>
      </c>
    </row>
    <row r="3679" spans="1:18" x14ac:dyDescent="0.25">
      <c r="A3679" t="s">
        <v>496</v>
      </c>
      <c r="B3679" t="s">
        <v>494</v>
      </c>
      <c r="C3679">
        <v>84708300</v>
      </c>
      <c r="D3679">
        <v>12</v>
      </c>
      <c r="E3679">
        <v>7100186896</v>
      </c>
      <c r="F3679" t="s">
        <v>1493</v>
      </c>
      <c r="G3679" s="1">
        <v>45233</v>
      </c>
      <c r="H3679">
        <v>5411599</v>
      </c>
      <c r="I3679">
        <v>18</v>
      </c>
      <c r="J3679" t="s">
        <v>168</v>
      </c>
      <c r="K3679" t="str">
        <f>IFERROR(IF(AND(VLOOKUP($C3679,Hes!$A:$B, 1, FALSE), $M3679&lt;&gt;" "), "Ingresada", "Falta Ingresar"), " ")</f>
        <v xml:space="preserve"> </v>
      </c>
      <c r="L3679" s="4" t="s">
        <v>681</v>
      </c>
      <c r="M3679" t="s">
        <v>681</v>
      </c>
      <c r="O3679" s="5">
        <v>30849683</v>
      </c>
      <c r="P3679" s="5">
        <v>192435</v>
      </c>
      <c r="Q3679" s="5">
        <v>36563</v>
      </c>
      <c r="R3679" s="5">
        <v>228998</v>
      </c>
    </row>
    <row r="3680" spans="1:18" x14ac:dyDescent="0.25">
      <c r="F3680" t="s">
        <v>495</v>
      </c>
      <c r="K3680" t="str">
        <f>IFERROR(IF(AND(VLOOKUP($C3680,Hes!$A:$B, 1, FALSE), $M3680&lt;&gt;" "), "Ingresada", "Falta Ingresar"), " ")</f>
        <v xml:space="preserve"> </v>
      </c>
      <c r="L3680" s="4" t="str">
        <f>IFERROR(VLOOKUP($C3680,Observaciones!$A:$B,2,FALSE)," ")</f>
        <v xml:space="preserve"> </v>
      </c>
      <c r="M3680" t="s">
        <v>681</v>
      </c>
      <c r="P3680" s="5">
        <v>192435</v>
      </c>
      <c r="Q3680" s="5">
        <v>36563</v>
      </c>
      <c r="R3680" s="5">
        <v>228998</v>
      </c>
    </row>
    <row r="3681" spans="1:18" x14ac:dyDescent="0.25">
      <c r="A3681" t="s">
        <v>496</v>
      </c>
      <c r="B3681" t="s">
        <v>494</v>
      </c>
      <c r="C3681">
        <v>84753700</v>
      </c>
      <c r="D3681">
        <v>0</v>
      </c>
      <c r="E3681">
        <v>30844785</v>
      </c>
      <c r="F3681" t="s">
        <v>1494</v>
      </c>
      <c r="G3681" s="1">
        <v>45232</v>
      </c>
      <c r="H3681">
        <v>5410746</v>
      </c>
      <c r="I3681">
        <v>61</v>
      </c>
      <c r="J3681" t="s">
        <v>244</v>
      </c>
      <c r="K3681" t="str">
        <f>IFERROR(IF(AND(VLOOKUP($C3681,Hes!$A:$B, 1, FALSE), $M3681&lt;&gt;" "), "Ingresada", "Falta Ingresar"), " ")</f>
        <v xml:space="preserve"> </v>
      </c>
      <c r="L3681" s="4" t="str">
        <f>IFERROR(VLOOKUP($C3681,Observaciones!$A:$B,2,FALSE)," ")</f>
        <v xml:space="preserve"> </v>
      </c>
      <c r="M3681" t="s">
        <v>681</v>
      </c>
      <c r="O3681" s="5">
        <v>30844785</v>
      </c>
      <c r="P3681" s="5">
        <v>69036</v>
      </c>
      <c r="Q3681" s="5">
        <v>13117</v>
      </c>
      <c r="R3681" s="5">
        <v>82153</v>
      </c>
    </row>
    <row r="3682" spans="1:18" x14ac:dyDescent="0.25">
      <c r="A3682" t="s">
        <v>496</v>
      </c>
      <c r="B3682" t="s">
        <v>494</v>
      </c>
      <c r="C3682">
        <v>84753700</v>
      </c>
      <c r="D3682">
        <v>0</v>
      </c>
      <c r="E3682">
        <v>30853453</v>
      </c>
      <c r="F3682" t="s">
        <v>1494</v>
      </c>
      <c r="G3682" s="1">
        <v>45236</v>
      </c>
      <c r="H3682">
        <v>5413199</v>
      </c>
      <c r="I3682">
        <v>61</v>
      </c>
      <c r="J3682" t="s">
        <v>244</v>
      </c>
      <c r="K3682" t="str">
        <f>IFERROR(IF(AND(VLOOKUP($C3682,Hes!$A:$B, 1, FALSE), $M3682&lt;&gt;" "), "Ingresada", "Falta Ingresar"), " ")</f>
        <v xml:space="preserve"> </v>
      </c>
      <c r="L3682" s="4" t="str">
        <f>IFERROR(VLOOKUP($C3682,Observaciones!$A:$B,2,FALSE)," ")</f>
        <v xml:space="preserve"> </v>
      </c>
      <c r="M3682" t="s">
        <v>681</v>
      </c>
      <c r="O3682" s="5">
        <v>30853453</v>
      </c>
      <c r="P3682" s="5">
        <v>485700</v>
      </c>
      <c r="Q3682" s="5">
        <v>92283</v>
      </c>
      <c r="R3682" s="5">
        <v>577983</v>
      </c>
    </row>
    <row r="3683" spans="1:18" x14ac:dyDescent="0.25">
      <c r="F3683" t="s">
        <v>497</v>
      </c>
      <c r="K3683" t="str">
        <f>IFERROR(IF(AND(VLOOKUP($C3683,Hes!$A:$B, 1, FALSE), $M3683&lt;&gt;" "), "Ingresada", "Falta Ingresar"), " ")</f>
        <v xml:space="preserve"> </v>
      </c>
      <c r="L3683" s="4" t="str">
        <f>IFERROR(VLOOKUP($C3683,Observaciones!$A:$B,2,FALSE)," ")</f>
        <v xml:space="preserve"> </v>
      </c>
      <c r="M3683" t="s">
        <v>681</v>
      </c>
      <c r="P3683" s="5">
        <v>554736</v>
      </c>
      <c r="Q3683" s="5">
        <v>105400</v>
      </c>
      <c r="R3683" s="5">
        <v>660136</v>
      </c>
    </row>
    <row r="3684" spans="1:18" x14ac:dyDescent="0.25">
      <c r="A3684" t="s">
        <v>503</v>
      </c>
      <c r="B3684" t="s">
        <v>509</v>
      </c>
      <c r="C3684">
        <v>84807200</v>
      </c>
      <c r="D3684">
        <v>0</v>
      </c>
      <c r="E3684">
        <v>30849229</v>
      </c>
      <c r="F3684" t="s">
        <v>1495</v>
      </c>
      <c r="G3684" s="1">
        <v>45233</v>
      </c>
      <c r="H3684">
        <v>5411706</v>
      </c>
      <c r="I3684">
        <v>13</v>
      </c>
      <c r="J3684" t="s">
        <v>348</v>
      </c>
      <c r="K3684" t="str">
        <f>IFERROR(IF(AND(VLOOKUP($C3684,Hes!$A:$B, 1, FALSE), $M3684&lt;&gt;" "), "Ingresada", "Falta Ingresar"), " ")</f>
        <v xml:space="preserve"> </v>
      </c>
      <c r="L3684" s="4" t="s">
        <v>681</v>
      </c>
      <c r="M3684" t="s">
        <v>681</v>
      </c>
      <c r="O3684" s="5">
        <v>30849229</v>
      </c>
      <c r="P3684" s="5">
        <v>255145</v>
      </c>
      <c r="Q3684" s="5">
        <v>48478</v>
      </c>
      <c r="R3684" s="5">
        <v>303623</v>
      </c>
    </row>
    <row r="3685" spans="1:18" x14ac:dyDescent="0.25">
      <c r="A3685" t="s">
        <v>503</v>
      </c>
      <c r="B3685" t="s">
        <v>509</v>
      </c>
      <c r="C3685">
        <v>84807200</v>
      </c>
      <c r="D3685">
        <v>5</v>
      </c>
      <c r="E3685">
        <v>30854667</v>
      </c>
      <c r="F3685" t="s">
        <v>1495</v>
      </c>
      <c r="G3685" s="1">
        <v>45236</v>
      </c>
      <c r="H3685">
        <v>5413187</v>
      </c>
      <c r="I3685">
        <v>13</v>
      </c>
      <c r="J3685" t="s">
        <v>348</v>
      </c>
      <c r="K3685" t="str">
        <f>IFERROR(IF(AND(VLOOKUP($C3685,Hes!$A:$B, 1, FALSE), $M3685&lt;&gt;" "), "Ingresada", "Falta Ingresar"), " ")</f>
        <v xml:space="preserve"> </v>
      </c>
      <c r="L3685" s="4" t="s">
        <v>681</v>
      </c>
      <c r="M3685" t="s">
        <v>681</v>
      </c>
      <c r="O3685" s="5">
        <v>30854667</v>
      </c>
      <c r="P3685" s="5">
        <v>26724</v>
      </c>
      <c r="Q3685" s="5">
        <v>5078</v>
      </c>
      <c r="R3685" s="5">
        <v>31802</v>
      </c>
    </row>
    <row r="3686" spans="1:18" x14ac:dyDescent="0.25">
      <c r="A3686" t="s">
        <v>503</v>
      </c>
      <c r="B3686" t="s">
        <v>509</v>
      </c>
      <c r="C3686">
        <v>84807200</v>
      </c>
      <c r="D3686">
        <v>22</v>
      </c>
      <c r="E3686">
        <v>30850171</v>
      </c>
      <c r="F3686" t="s">
        <v>1495</v>
      </c>
      <c r="G3686" s="1">
        <v>45236</v>
      </c>
      <c r="H3686">
        <v>5413231</v>
      </c>
      <c r="I3686">
        <v>13</v>
      </c>
      <c r="J3686" t="s">
        <v>348</v>
      </c>
      <c r="K3686" t="str">
        <f>IFERROR(IF(AND(VLOOKUP($C3686,Hes!$A:$B, 1, FALSE), $M3686&lt;&gt;" "), "Ingresada", "Falta Ingresar"), " ")</f>
        <v xml:space="preserve"> </v>
      </c>
      <c r="L3686" s="4" t="s">
        <v>681</v>
      </c>
      <c r="M3686" t="s">
        <v>681</v>
      </c>
      <c r="O3686" s="5">
        <v>30850171</v>
      </c>
      <c r="P3686" s="5">
        <v>305030</v>
      </c>
      <c r="Q3686" s="5">
        <v>57956</v>
      </c>
      <c r="R3686" s="5">
        <v>362986</v>
      </c>
    </row>
    <row r="3687" spans="1:18" x14ac:dyDescent="0.25">
      <c r="A3687" t="s">
        <v>503</v>
      </c>
      <c r="B3687" t="s">
        <v>509</v>
      </c>
      <c r="C3687">
        <v>84807200</v>
      </c>
      <c r="D3687">
        <v>4</v>
      </c>
      <c r="E3687">
        <v>30854631</v>
      </c>
      <c r="F3687" t="s">
        <v>1495</v>
      </c>
      <c r="G3687" s="1">
        <v>45236</v>
      </c>
      <c r="H3687">
        <v>5413819</v>
      </c>
      <c r="I3687">
        <v>13</v>
      </c>
      <c r="J3687" t="s">
        <v>348</v>
      </c>
      <c r="K3687" t="str">
        <f>IFERROR(IF(AND(VLOOKUP($C3687,Hes!$A:$B, 1, FALSE), $M3687&lt;&gt;" "), "Ingresada", "Falta Ingresar"), " ")</f>
        <v xml:space="preserve"> </v>
      </c>
      <c r="L3687" s="4" t="s">
        <v>681</v>
      </c>
      <c r="M3687" t="s">
        <v>681</v>
      </c>
      <c r="O3687" s="5">
        <v>30854631</v>
      </c>
      <c r="P3687" s="5">
        <v>319135</v>
      </c>
      <c r="Q3687" s="5">
        <v>60636</v>
      </c>
      <c r="R3687" s="5">
        <v>379771</v>
      </c>
    </row>
    <row r="3688" spans="1:18" x14ac:dyDescent="0.25">
      <c r="A3688" t="s">
        <v>503</v>
      </c>
      <c r="B3688" t="s">
        <v>509</v>
      </c>
      <c r="C3688">
        <v>84807200</v>
      </c>
      <c r="D3688">
        <v>5</v>
      </c>
      <c r="E3688">
        <v>30854658</v>
      </c>
      <c r="F3688" t="s">
        <v>1495</v>
      </c>
      <c r="G3688" s="1">
        <v>45236</v>
      </c>
      <c r="H3688">
        <v>5413854</v>
      </c>
      <c r="I3688">
        <v>13</v>
      </c>
      <c r="J3688" t="s">
        <v>348</v>
      </c>
      <c r="K3688" t="str">
        <f>IFERROR(IF(AND(VLOOKUP($C3688,Hes!$A:$B, 1, FALSE), $M3688&lt;&gt;" "), "Ingresada", "Falta Ingresar"), " ")</f>
        <v xml:space="preserve"> </v>
      </c>
      <c r="L3688" s="4" t="s">
        <v>681</v>
      </c>
      <c r="M3688" t="s">
        <v>681</v>
      </c>
      <c r="O3688" s="5">
        <v>30854658</v>
      </c>
      <c r="P3688" s="5">
        <v>74301</v>
      </c>
      <c r="Q3688" s="5">
        <v>14117</v>
      </c>
      <c r="R3688" s="5">
        <v>88418</v>
      </c>
    </row>
    <row r="3689" spans="1:18" x14ac:dyDescent="0.25">
      <c r="A3689" t="s">
        <v>503</v>
      </c>
      <c r="B3689" t="s">
        <v>509</v>
      </c>
      <c r="C3689">
        <v>84807200</v>
      </c>
      <c r="D3689">
        <v>31</v>
      </c>
      <c r="E3689">
        <v>30854581</v>
      </c>
      <c r="F3689" t="s">
        <v>1495</v>
      </c>
      <c r="G3689" s="1">
        <v>45236</v>
      </c>
      <c r="H3689">
        <v>5413862</v>
      </c>
      <c r="I3689">
        <v>13</v>
      </c>
      <c r="J3689" t="s">
        <v>348</v>
      </c>
      <c r="K3689" t="str">
        <f>IFERROR(IF(AND(VLOOKUP($C3689,Hes!$A:$B, 1, FALSE), $M3689&lt;&gt;" "), "Ingresada", "Falta Ingresar"), " ")</f>
        <v xml:space="preserve"> </v>
      </c>
      <c r="L3689" s="4" t="s">
        <v>681</v>
      </c>
      <c r="M3689" t="s">
        <v>681</v>
      </c>
      <c r="O3689" s="5">
        <v>30854581</v>
      </c>
      <c r="P3689" s="5">
        <v>283243</v>
      </c>
      <c r="Q3689" s="5">
        <v>53816</v>
      </c>
      <c r="R3689" s="5">
        <v>337059</v>
      </c>
    </row>
    <row r="3690" spans="1:18" x14ac:dyDescent="0.25">
      <c r="A3690" t="s">
        <v>503</v>
      </c>
      <c r="B3690" t="s">
        <v>509</v>
      </c>
      <c r="C3690">
        <v>84807200</v>
      </c>
      <c r="D3690">
        <v>291</v>
      </c>
      <c r="E3690">
        <v>30862952</v>
      </c>
      <c r="F3690" t="s">
        <v>1495</v>
      </c>
      <c r="G3690" s="1">
        <v>45238</v>
      </c>
      <c r="H3690">
        <v>5414989</v>
      </c>
      <c r="I3690">
        <v>13</v>
      </c>
      <c r="J3690" t="s">
        <v>348</v>
      </c>
      <c r="K3690" t="str">
        <f>IFERROR(IF(AND(VLOOKUP($C3690,Hes!$A:$B, 1, FALSE), $M3690&lt;&gt;" "), "Ingresada", "Falta Ingresar"), " ")</f>
        <v xml:space="preserve"> </v>
      </c>
      <c r="L3690" s="4" t="s">
        <v>681</v>
      </c>
      <c r="M3690" t="s">
        <v>681</v>
      </c>
      <c r="O3690" s="5">
        <v>30862952</v>
      </c>
      <c r="P3690" s="5">
        <v>38531</v>
      </c>
      <c r="Q3690" s="5">
        <v>7321</v>
      </c>
      <c r="R3690" s="5">
        <v>45852</v>
      </c>
    </row>
    <row r="3691" spans="1:18" x14ac:dyDescent="0.25">
      <c r="A3691" t="s">
        <v>503</v>
      </c>
      <c r="B3691" t="s">
        <v>509</v>
      </c>
      <c r="C3691">
        <v>84807200</v>
      </c>
      <c r="D3691">
        <v>296</v>
      </c>
      <c r="E3691">
        <v>30862920</v>
      </c>
      <c r="F3691" t="s">
        <v>1495</v>
      </c>
      <c r="G3691" s="1">
        <v>45238</v>
      </c>
      <c r="H3691">
        <v>5415126</v>
      </c>
      <c r="I3691">
        <v>13</v>
      </c>
      <c r="J3691" t="s">
        <v>348</v>
      </c>
      <c r="K3691" t="str">
        <f>IFERROR(IF(AND(VLOOKUP($C3691,Hes!$A:$B, 1, FALSE), $M3691&lt;&gt;" "), "Ingresada", "Falta Ingresar"), " ")</f>
        <v xml:space="preserve"> </v>
      </c>
      <c r="L3691" s="4" t="s">
        <v>681</v>
      </c>
      <c r="M3691" t="s">
        <v>681</v>
      </c>
      <c r="O3691" s="5">
        <v>30862920</v>
      </c>
      <c r="P3691" s="5">
        <v>75277</v>
      </c>
      <c r="Q3691" s="5">
        <v>14303</v>
      </c>
      <c r="R3691" s="5">
        <v>89580</v>
      </c>
    </row>
    <row r="3692" spans="1:18" x14ac:dyDescent="0.25">
      <c r="A3692" t="s">
        <v>503</v>
      </c>
      <c r="B3692" t="s">
        <v>509</v>
      </c>
      <c r="C3692">
        <v>84807200</v>
      </c>
      <c r="D3692">
        <v>292</v>
      </c>
      <c r="E3692">
        <v>30862899</v>
      </c>
      <c r="F3692" t="s">
        <v>1495</v>
      </c>
      <c r="G3692" s="1">
        <v>45237</v>
      </c>
      <c r="H3692">
        <v>5415279</v>
      </c>
      <c r="I3692">
        <v>13</v>
      </c>
      <c r="J3692" t="s">
        <v>348</v>
      </c>
      <c r="K3692" t="str">
        <f>IFERROR(IF(AND(VLOOKUP($C3692,Hes!$A:$B, 1, FALSE), $M3692&lt;&gt;" "), "Ingresada", "Falta Ingresar"), " ")</f>
        <v xml:space="preserve"> </v>
      </c>
      <c r="L3692" s="4" t="s">
        <v>681</v>
      </c>
      <c r="M3692" t="s">
        <v>681</v>
      </c>
      <c r="O3692" s="5">
        <v>30862899</v>
      </c>
      <c r="P3692" s="5">
        <v>75296</v>
      </c>
      <c r="Q3692" s="5">
        <v>14306</v>
      </c>
      <c r="R3692" s="5">
        <v>89602</v>
      </c>
    </row>
    <row r="3693" spans="1:18" x14ac:dyDescent="0.25">
      <c r="A3693" t="s">
        <v>503</v>
      </c>
      <c r="B3693" t="s">
        <v>509</v>
      </c>
      <c r="C3693">
        <v>84807200</v>
      </c>
      <c r="D3693">
        <v>8</v>
      </c>
      <c r="E3693">
        <v>30862851</v>
      </c>
      <c r="F3693" t="s">
        <v>1495</v>
      </c>
      <c r="G3693" s="1">
        <v>45238</v>
      </c>
      <c r="H3693">
        <v>5415571</v>
      </c>
      <c r="I3693">
        <v>13</v>
      </c>
      <c r="J3693" t="s">
        <v>348</v>
      </c>
      <c r="K3693" t="str">
        <f>IFERROR(IF(AND(VLOOKUP($C3693,Hes!$A:$B, 1, FALSE), $M3693&lt;&gt;" "), "Ingresada", "Falta Ingresar"), " ")</f>
        <v xml:space="preserve"> </v>
      </c>
      <c r="L3693" s="4" t="s">
        <v>681</v>
      </c>
      <c r="M3693" t="s">
        <v>681</v>
      </c>
      <c r="O3693" s="5">
        <v>30862851</v>
      </c>
      <c r="P3693" s="5">
        <v>204027</v>
      </c>
      <c r="Q3693" s="5">
        <v>38765</v>
      </c>
      <c r="R3693" s="5">
        <v>242792</v>
      </c>
    </row>
    <row r="3694" spans="1:18" x14ac:dyDescent="0.25">
      <c r="A3694" t="s">
        <v>503</v>
      </c>
      <c r="B3694" t="s">
        <v>509</v>
      </c>
      <c r="C3694">
        <v>84807200</v>
      </c>
      <c r="D3694">
        <v>8</v>
      </c>
      <c r="E3694">
        <v>30862851</v>
      </c>
      <c r="F3694" t="s">
        <v>1495</v>
      </c>
      <c r="G3694" s="1">
        <v>45238</v>
      </c>
      <c r="H3694">
        <v>5415572</v>
      </c>
      <c r="I3694">
        <v>13</v>
      </c>
      <c r="J3694" t="s">
        <v>348</v>
      </c>
      <c r="K3694" t="str">
        <f>IFERROR(IF(AND(VLOOKUP($C3694,Hes!$A:$B, 1, FALSE), $M3694&lt;&gt;" "), "Ingresada", "Falta Ingresar"), " ")</f>
        <v xml:space="preserve"> </v>
      </c>
      <c r="L3694" s="4" t="s">
        <v>681</v>
      </c>
      <c r="M3694" t="s">
        <v>681</v>
      </c>
      <c r="O3694" s="5">
        <v>30862851</v>
      </c>
      <c r="P3694" s="5">
        <v>72279</v>
      </c>
      <c r="Q3694" s="5">
        <v>13733</v>
      </c>
      <c r="R3694" s="5">
        <v>86012</v>
      </c>
    </row>
    <row r="3695" spans="1:18" x14ac:dyDescent="0.25">
      <c r="A3695" t="s">
        <v>503</v>
      </c>
      <c r="B3695" t="s">
        <v>509</v>
      </c>
      <c r="C3695">
        <v>84807200</v>
      </c>
      <c r="D3695">
        <v>290</v>
      </c>
      <c r="E3695">
        <v>30862906</v>
      </c>
      <c r="F3695" t="s">
        <v>1495</v>
      </c>
      <c r="G3695" s="1">
        <v>45238</v>
      </c>
      <c r="H3695">
        <v>5415574</v>
      </c>
      <c r="I3695">
        <v>13</v>
      </c>
      <c r="J3695" t="s">
        <v>348</v>
      </c>
      <c r="K3695" t="str">
        <f>IFERROR(IF(AND(VLOOKUP($C3695,Hes!$A:$B, 1, FALSE), $M3695&lt;&gt;" "), "Ingresada", "Falta Ingresar"), " ")</f>
        <v xml:space="preserve"> </v>
      </c>
      <c r="L3695" s="4" t="s">
        <v>681</v>
      </c>
      <c r="M3695" t="s">
        <v>681</v>
      </c>
      <c r="O3695" s="5">
        <v>30862906</v>
      </c>
      <c r="P3695" s="5">
        <v>171266</v>
      </c>
      <c r="Q3695" s="5">
        <v>32541</v>
      </c>
      <c r="R3695" s="5">
        <v>203807</v>
      </c>
    </row>
    <row r="3696" spans="1:18" x14ac:dyDescent="0.25">
      <c r="A3696" t="s">
        <v>503</v>
      </c>
      <c r="B3696" t="s">
        <v>509</v>
      </c>
      <c r="C3696">
        <v>84807200</v>
      </c>
      <c r="D3696">
        <v>284</v>
      </c>
      <c r="E3696">
        <v>30862889</v>
      </c>
      <c r="F3696" t="s">
        <v>1495</v>
      </c>
      <c r="G3696" s="1">
        <v>45238</v>
      </c>
      <c r="H3696">
        <v>5415632</v>
      </c>
      <c r="I3696">
        <v>13</v>
      </c>
      <c r="J3696" t="s">
        <v>348</v>
      </c>
      <c r="K3696" t="str">
        <f>IFERROR(IF(AND(VLOOKUP($C3696,Hes!$A:$B, 1, FALSE), $M3696&lt;&gt;" "), "Ingresada", "Falta Ingresar"), " ")</f>
        <v xml:space="preserve"> </v>
      </c>
      <c r="L3696" s="4" t="s">
        <v>681</v>
      </c>
      <c r="M3696" t="s">
        <v>681</v>
      </c>
      <c r="O3696" s="5">
        <v>30862889</v>
      </c>
      <c r="P3696" s="5">
        <v>108422</v>
      </c>
      <c r="Q3696" s="5">
        <v>20600</v>
      </c>
      <c r="R3696" s="5">
        <v>129022</v>
      </c>
    </row>
    <row r="3697" spans="1:18" x14ac:dyDescent="0.25">
      <c r="A3697" t="s">
        <v>503</v>
      </c>
      <c r="B3697" t="s">
        <v>509</v>
      </c>
      <c r="C3697">
        <v>84807200</v>
      </c>
      <c r="D3697">
        <v>33</v>
      </c>
      <c r="E3697">
        <v>30862967</v>
      </c>
      <c r="F3697" t="s">
        <v>1495</v>
      </c>
      <c r="G3697" s="1">
        <v>45238</v>
      </c>
      <c r="H3697">
        <v>5415745</v>
      </c>
      <c r="I3697">
        <v>13</v>
      </c>
      <c r="J3697" t="s">
        <v>348</v>
      </c>
      <c r="K3697" t="str">
        <f>IFERROR(IF(AND(VLOOKUP($C3697,Hes!$A:$B, 1, FALSE), $M3697&lt;&gt;" "), "Ingresada", "Falta Ingresar"), " ")</f>
        <v xml:space="preserve"> </v>
      </c>
      <c r="L3697" s="4" t="s">
        <v>681</v>
      </c>
      <c r="M3697" t="s">
        <v>681</v>
      </c>
      <c r="O3697" s="5">
        <v>30862967</v>
      </c>
      <c r="P3697" s="5">
        <v>170096</v>
      </c>
      <c r="Q3697" s="5">
        <v>32318</v>
      </c>
      <c r="R3697" s="5">
        <v>202414</v>
      </c>
    </row>
    <row r="3698" spans="1:18" x14ac:dyDescent="0.25">
      <c r="F3698" t="s">
        <v>576</v>
      </c>
      <c r="K3698" t="str">
        <f>IFERROR(IF(AND(VLOOKUP($C3698,Hes!$A:$B, 1, FALSE), $M3698&lt;&gt;" "), "Ingresada", "Falta Ingresar"), " ")</f>
        <v xml:space="preserve"> </v>
      </c>
      <c r="L3698" s="4" t="str">
        <f>IFERROR(VLOOKUP($C3698,Observaciones!$A:$B,2,FALSE)," ")</f>
        <v xml:space="preserve"> </v>
      </c>
      <c r="M3698" t="s">
        <v>681</v>
      </c>
      <c r="P3698" s="5">
        <v>2178772</v>
      </c>
      <c r="Q3698" s="5">
        <v>413968</v>
      </c>
      <c r="R3698" s="5">
        <v>2592740</v>
      </c>
    </row>
    <row r="3699" spans="1:18" x14ac:dyDescent="0.25">
      <c r="A3699" t="s">
        <v>496</v>
      </c>
      <c r="B3699" t="s">
        <v>502</v>
      </c>
      <c r="C3699">
        <v>84865000</v>
      </c>
      <c r="D3699">
        <v>100</v>
      </c>
      <c r="E3699">
        <v>56223</v>
      </c>
      <c r="F3699" t="s">
        <v>1496</v>
      </c>
      <c r="G3699" s="1">
        <v>45234</v>
      </c>
      <c r="H3699">
        <v>5411802</v>
      </c>
      <c r="I3699">
        <v>12</v>
      </c>
      <c r="J3699" t="s">
        <v>319</v>
      </c>
      <c r="K3699" s="8" t="str">
        <f>IFERROR(IF(AND(VLOOKUP($C3699,Hes!$A:$B, 1, FALSE), $M3699&lt;&gt;" "), "Ingresada", "Falta Ingresar"), " ")</f>
        <v>Falta Ingresar</v>
      </c>
      <c r="L3699" s="4" t="str">
        <f>IFERROR(VLOOKUP($C3699,Observaciones!$A:$B,2,FALSE)," ")</f>
        <v>INGRESAR HES COMO OC</v>
      </c>
      <c r="M3699" t="s">
        <v>681</v>
      </c>
      <c r="N3699" s="5" t="s">
        <v>841</v>
      </c>
      <c r="O3699" s="5">
        <v>30841982</v>
      </c>
      <c r="P3699" s="5">
        <v>578129</v>
      </c>
      <c r="Q3699" s="5">
        <v>109845</v>
      </c>
      <c r="R3699" s="5">
        <v>687974</v>
      </c>
    </row>
    <row r="3700" spans="1:18" x14ac:dyDescent="0.25">
      <c r="A3700" t="s">
        <v>496</v>
      </c>
      <c r="B3700" t="s">
        <v>502</v>
      </c>
      <c r="C3700">
        <v>84865000</v>
      </c>
      <c r="D3700">
        <v>4</v>
      </c>
      <c r="E3700">
        <v>56197</v>
      </c>
      <c r="F3700" t="s">
        <v>1496</v>
      </c>
      <c r="G3700" s="1">
        <v>45236</v>
      </c>
      <c r="H3700">
        <v>5412021</v>
      </c>
      <c r="I3700">
        <v>12</v>
      </c>
      <c r="J3700" t="s">
        <v>319</v>
      </c>
      <c r="K3700" s="8" t="str">
        <f>IFERROR(IF(AND(VLOOKUP($C3700,Hes!$A:$B, 1, FALSE), $M3700&lt;&gt;" "), "Ingresada", "Falta Ingresar"), " ")</f>
        <v>Falta Ingresar</v>
      </c>
      <c r="L3700" s="4" t="str">
        <f>IFERROR(VLOOKUP($C3700,Observaciones!$A:$B,2,FALSE)," ")</f>
        <v>INGRESAR HES COMO OC</v>
      </c>
      <c r="M3700" t="s">
        <v>681</v>
      </c>
      <c r="N3700" s="5" t="s">
        <v>841</v>
      </c>
      <c r="O3700" s="5">
        <v>30841858</v>
      </c>
      <c r="P3700" s="5">
        <v>118669</v>
      </c>
      <c r="Q3700" s="5">
        <v>22547</v>
      </c>
      <c r="R3700" s="5">
        <v>141216</v>
      </c>
    </row>
    <row r="3701" spans="1:18" x14ac:dyDescent="0.25">
      <c r="A3701" t="s">
        <v>496</v>
      </c>
      <c r="B3701" t="s">
        <v>502</v>
      </c>
      <c r="C3701">
        <v>84865000</v>
      </c>
      <c r="D3701">
        <v>8</v>
      </c>
      <c r="E3701">
        <v>56297</v>
      </c>
      <c r="F3701" t="s">
        <v>1496</v>
      </c>
      <c r="G3701" s="1">
        <v>45236</v>
      </c>
      <c r="H3701">
        <v>5413439</v>
      </c>
      <c r="I3701">
        <v>12</v>
      </c>
      <c r="J3701" t="s">
        <v>319</v>
      </c>
      <c r="K3701" s="8" t="str">
        <f>IFERROR(IF(AND(VLOOKUP($C3701,Hes!$A:$B, 1, FALSE), $M3701&lt;&gt;" "), "Ingresada", "Falta Ingresar"), " ")</f>
        <v>Falta Ingresar</v>
      </c>
      <c r="L3701" s="4" t="str">
        <f>IFERROR(VLOOKUP($C3701,Observaciones!$A:$B,2,FALSE)," ")</f>
        <v>INGRESAR HES COMO OC</v>
      </c>
      <c r="M3701" t="s">
        <v>681</v>
      </c>
      <c r="N3701" s="5" t="s">
        <v>841</v>
      </c>
      <c r="O3701" s="5">
        <v>30849862</v>
      </c>
      <c r="P3701" s="5">
        <v>108034</v>
      </c>
      <c r="Q3701" s="5">
        <v>20526</v>
      </c>
      <c r="R3701" s="5">
        <v>128560</v>
      </c>
    </row>
    <row r="3702" spans="1:18" x14ac:dyDescent="0.25">
      <c r="A3702" t="s">
        <v>496</v>
      </c>
      <c r="B3702" t="s">
        <v>502</v>
      </c>
      <c r="C3702">
        <v>84865000</v>
      </c>
      <c r="D3702">
        <v>23</v>
      </c>
      <c r="E3702">
        <v>56298</v>
      </c>
      <c r="F3702" t="s">
        <v>1496</v>
      </c>
      <c r="G3702" s="1">
        <v>45236</v>
      </c>
      <c r="H3702">
        <v>5413726</v>
      </c>
      <c r="I3702">
        <v>12</v>
      </c>
      <c r="J3702" t="s">
        <v>319</v>
      </c>
      <c r="K3702" s="8" t="str">
        <f>IFERROR(IF(AND(VLOOKUP($C3702,Hes!$A:$B, 1, FALSE), $M3702&lt;&gt;" "), "Ingresada", "Falta Ingresar"), " ")</f>
        <v>Falta Ingresar</v>
      </c>
      <c r="L3702" s="4" t="str">
        <f>IFERROR(VLOOKUP($C3702,Observaciones!$A:$B,2,FALSE)," ")</f>
        <v>INGRESAR HES COMO OC</v>
      </c>
      <c r="M3702" t="s">
        <v>681</v>
      </c>
      <c r="N3702" s="5" t="s">
        <v>841</v>
      </c>
      <c r="O3702" s="5">
        <v>30852908</v>
      </c>
      <c r="P3702" s="5">
        <v>546259</v>
      </c>
      <c r="Q3702" s="5">
        <v>103789</v>
      </c>
      <c r="R3702" s="5">
        <v>650048</v>
      </c>
    </row>
    <row r="3703" spans="1:18" x14ac:dyDescent="0.25">
      <c r="A3703" t="s">
        <v>496</v>
      </c>
      <c r="B3703" t="s">
        <v>502</v>
      </c>
      <c r="C3703">
        <v>84865000</v>
      </c>
      <c r="D3703">
        <v>9</v>
      </c>
      <c r="E3703">
        <v>56160</v>
      </c>
      <c r="F3703" t="s">
        <v>1496</v>
      </c>
      <c r="G3703" s="1">
        <v>45238</v>
      </c>
      <c r="H3703">
        <v>5415118</v>
      </c>
      <c r="I3703">
        <v>12</v>
      </c>
      <c r="J3703" t="s">
        <v>319</v>
      </c>
      <c r="K3703" s="8" t="str">
        <f>IFERROR(IF(AND(VLOOKUP($C3703,Hes!$A:$B, 1, FALSE), $M3703&lt;&gt;" "), "Ingresada", "Falta Ingresar"), " ")</f>
        <v>Falta Ingresar</v>
      </c>
      <c r="L3703" s="4" t="str">
        <f>IFERROR(VLOOKUP($C3703,Observaciones!$A:$B,2,FALSE)," ")</f>
        <v>INGRESAR HES COMO OC</v>
      </c>
      <c r="M3703" t="s">
        <v>681</v>
      </c>
      <c r="N3703" s="5" t="s">
        <v>841</v>
      </c>
      <c r="O3703" s="5">
        <v>30812906</v>
      </c>
      <c r="P3703" s="5">
        <v>419137</v>
      </c>
      <c r="Q3703" s="5">
        <v>79636</v>
      </c>
      <c r="R3703" s="5">
        <v>498773</v>
      </c>
    </row>
    <row r="3704" spans="1:18" x14ac:dyDescent="0.25">
      <c r="A3704" t="s">
        <v>496</v>
      </c>
      <c r="B3704" t="s">
        <v>502</v>
      </c>
      <c r="C3704">
        <v>84865000</v>
      </c>
      <c r="D3704">
        <v>23</v>
      </c>
      <c r="E3704">
        <v>56392</v>
      </c>
      <c r="F3704" t="s">
        <v>1496</v>
      </c>
      <c r="G3704" s="1">
        <v>45238</v>
      </c>
      <c r="H3704">
        <v>5415641</v>
      </c>
      <c r="I3704">
        <v>12</v>
      </c>
      <c r="J3704" t="s">
        <v>319</v>
      </c>
      <c r="K3704" s="8" t="str">
        <f>IFERROR(IF(AND(VLOOKUP($C3704,Hes!$A:$B, 1, FALSE), $M3704&lt;&gt;" "), "Ingresada", "Falta Ingresar"), " ")</f>
        <v>Falta Ingresar</v>
      </c>
      <c r="L3704" s="4" t="str">
        <f>IFERROR(VLOOKUP($C3704,Observaciones!$A:$B,2,FALSE)," ")</f>
        <v>INGRESAR HES COMO OC</v>
      </c>
      <c r="M3704" t="s">
        <v>681</v>
      </c>
      <c r="N3704" s="5" t="s">
        <v>841</v>
      </c>
      <c r="O3704" s="5">
        <v>30856704</v>
      </c>
      <c r="P3704" s="5">
        <v>109416</v>
      </c>
      <c r="Q3704" s="5">
        <v>20789</v>
      </c>
      <c r="R3704" s="5">
        <v>130205</v>
      </c>
    </row>
    <row r="3705" spans="1:18" x14ac:dyDescent="0.25">
      <c r="F3705" t="s">
        <v>523</v>
      </c>
      <c r="K3705" t="str">
        <f>IFERROR(IF(AND(VLOOKUP($C3705,Hes!$A:$B, 1, FALSE), $M3705&lt;&gt;" "), "Ingresada", "Falta Ingresar"), " ")</f>
        <v xml:space="preserve"> </v>
      </c>
      <c r="L3705" s="4" t="str">
        <f>IFERROR(VLOOKUP($C3705,Observaciones!$A:$B,2,FALSE)," ")</f>
        <v xml:space="preserve"> </v>
      </c>
      <c r="M3705" t="s">
        <v>681</v>
      </c>
      <c r="P3705" s="5">
        <v>1879644</v>
      </c>
      <c r="Q3705" s="5">
        <v>357132</v>
      </c>
      <c r="R3705" s="5">
        <v>2236776</v>
      </c>
    </row>
    <row r="3706" spans="1:18" x14ac:dyDescent="0.25">
      <c r="A3706" t="s">
        <v>503</v>
      </c>
      <c r="B3706" t="s">
        <v>494</v>
      </c>
      <c r="C3706">
        <v>84888400</v>
      </c>
      <c r="D3706">
        <v>0</v>
      </c>
      <c r="E3706">
        <v>15802</v>
      </c>
      <c r="F3706" t="s">
        <v>1497</v>
      </c>
      <c r="G3706" s="1">
        <v>45232</v>
      </c>
      <c r="H3706">
        <v>5411071</v>
      </c>
      <c r="I3706">
        <v>325</v>
      </c>
      <c r="J3706" t="s">
        <v>388</v>
      </c>
      <c r="K3706" t="str">
        <f>IFERROR(IF(AND(VLOOKUP($C3706,Hes!$A:$B, 1, FALSE), $M3706&lt;&gt;" "), "Ingresada", "Falta Ingresar"), " ")</f>
        <v xml:space="preserve"> </v>
      </c>
      <c r="L3706" s="4" t="s">
        <v>681</v>
      </c>
      <c r="M3706" t="s">
        <v>681</v>
      </c>
      <c r="O3706" s="5">
        <v>30846261</v>
      </c>
      <c r="P3706" s="5">
        <v>354032</v>
      </c>
      <c r="Q3706" s="5">
        <v>67266</v>
      </c>
      <c r="R3706" s="5">
        <v>421298</v>
      </c>
    </row>
    <row r="3707" spans="1:18" x14ac:dyDescent="0.25">
      <c r="A3707" t="s">
        <v>503</v>
      </c>
      <c r="B3707" t="s">
        <v>494</v>
      </c>
      <c r="C3707">
        <v>84888400</v>
      </c>
      <c r="D3707">
        <v>0</v>
      </c>
      <c r="E3707">
        <v>15802</v>
      </c>
      <c r="F3707" t="s">
        <v>1497</v>
      </c>
      <c r="G3707" s="1">
        <v>45232</v>
      </c>
      <c r="H3707">
        <v>5411072</v>
      </c>
      <c r="I3707">
        <v>325</v>
      </c>
      <c r="J3707" t="s">
        <v>388</v>
      </c>
      <c r="K3707" t="str">
        <f>IFERROR(IF(AND(VLOOKUP($C3707,Hes!$A:$B, 1, FALSE), $M3707&lt;&gt;" "), "Ingresada", "Falta Ingresar"), " ")</f>
        <v xml:space="preserve"> </v>
      </c>
      <c r="L3707" s="4" t="s">
        <v>681</v>
      </c>
      <c r="M3707" t="s">
        <v>681</v>
      </c>
      <c r="O3707" s="5">
        <v>30846261</v>
      </c>
      <c r="P3707" s="5">
        <v>37755</v>
      </c>
      <c r="Q3707" s="5">
        <v>7173</v>
      </c>
      <c r="R3707" s="5">
        <v>44928</v>
      </c>
    </row>
    <row r="3708" spans="1:18" x14ac:dyDescent="0.25">
      <c r="A3708" t="s">
        <v>503</v>
      </c>
      <c r="B3708" t="s">
        <v>494</v>
      </c>
      <c r="C3708">
        <v>84888400</v>
      </c>
      <c r="D3708">
        <v>0</v>
      </c>
      <c r="E3708">
        <v>30852085</v>
      </c>
      <c r="F3708" t="s">
        <v>1497</v>
      </c>
      <c r="G3708" s="1">
        <v>45233</v>
      </c>
      <c r="H3708">
        <v>5411724</v>
      </c>
      <c r="I3708">
        <v>325</v>
      </c>
      <c r="J3708" t="s">
        <v>388</v>
      </c>
      <c r="K3708" t="str">
        <f>IFERROR(IF(AND(VLOOKUP($C3708,Hes!$A:$B, 1, FALSE), $M3708&lt;&gt;" "), "Ingresada", "Falta Ingresar"), " ")</f>
        <v xml:space="preserve"> </v>
      </c>
      <c r="L3708" s="4" t="s">
        <v>681</v>
      </c>
      <c r="M3708" t="s">
        <v>681</v>
      </c>
      <c r="O3708" s="5">
        <v>30852085</v>
      </c>
      <c r="P3708" s="5">
        <v>117500</v>
      </c>
      <c r="Q3708" s="5">
        <v>22325</v>
      </c>
      <c r="R3708" s="5">
        <v>139825</v>
      </c>
    </row>
    <row r="3709" spans="1:18" x14ac:dyDescent="0.25">
      <c r="F3709" t="s">
        <v>500</v>
      </c>
      <c r="K3709" t="str">
        <f>IFERROR(IF(AND(VLOOKUP($C3709,Hes!$A:$B, 1, FALSE), $M3709&lt;&gt;" "), "Ingresada", "Falta Ingresar"), " ")</f>
        <v xml:space="preserve"> </v>
      </c>
      <c r="L3709" s="4" t="str">
        <f>IFERROR(VLOOKUP($C3709,Observaciones!$A:$B,2,FALSE)," ")</f>
        <v xml:space="preserve"> </v>
      </c>
      <c r="M3709" t="s">
        <v>681</v>
      </c>
      <c r="P3709" s="5">
        <v>509287</v>
      </c>
      <c r="Q3709" s="5">
        <v>96764</v>
      </c>
      <c r="R3709" s="5">
        <v>606051</v>
      </c>
    </row>
    <row r="3710" spans="1:18" x14ac:dyDescent="0.25">
      <c r="A3710" t="s">
        <v>496</v>
      </c>
      <c r="B3710" t="s">
        <v>494</v>
      </c>
      <c r="C3710">
        <v>85066600</v>
      </c>
      <c r="D3710">
        <v>0</v>
      </c>
      <c r="E3710">
        <v>8000271114</v>
      </c>
      <c r="F3710" t="s">
        <v>1498</v>
      </c>
      <c r="G3710" s="1">
        <v>45231</v>
      </c>
      <c r="H3710">
        <v>5410876</v>
      </c>
      <c r="I3710">
        <v>143</v>
      </c>
      <c r="J3710" t="s">
        <v>111</v>
      </c>
      <c r="K3710" s="8" t="str">
        <f>IFERROR(IF(AND(VLOOKUP($C3710,Hes!$A:$B, 1, FALSE), $M3710&lt;&gt;" "), "Ingresada", "Falta Ingresar"), " ")</f>
        <v>Falta Ingresar</v>
      </c>
      <c r="L3710" s="4" t="str">
        <f>IFERROR(VLOOKUP($C3710,Observaciones!$A:$B,2,FALSE)," ")</f>
        <v xml:space="preserve"> </v>
      </c>
      <c r="M3710" t="s">
        <v>681</v>
      </c>
      <c r="N3710" s="5" t="s">
        <v>841</v>
      </c>
      <c r="O3710" s="5">
        <v>30828970</v>
      </c>
      <c r="P3710" s="5">
        <v>123489</v>
      </c>
      <c r="Q3710" s="5">
        <v>23463</v>
      </c>
      <c r="R3710" s="5">
        <v>146952</v>
      </c>
    </row>
    <row r="3711" spans="1:18" x14ac:dyDescent="0.25">
      <c r="F3711" t="s">
        <v>495</v>
      </c>
      <c r="K3711" t="str">
        <f>IFERROR(IF(AND(VLOOKUP($C3711,Hes!$A:$B, 1, FALSE), $M3711&lt;&gt;" "), "Ingresada", "Falta Ingresar"), " ")</f>
        <v xml:space="preserve"> </v>
      </c>
      <c r="L3711" s="4" t="str">
        <f>IFERROR(VLOOKUP($C3711,Observaciones!$A:$B,2,FALSE)," ")</f>
        <v xml:space="preserve"> </v>
      </c>
      <c r="M3711" t="s">
        <v>681</v>
      </c>
      <c r="P3711" s="5">
        <v>123489</v>
      </c>
      <c r="Q3711" s="5">
        <v>23463</v>
      </c>
      <c r="R3711" s="5">
        <v>146952</v>
      </c>
    </row>
    <row r="3712" spans="1:18" x14ac:dyDescent="0.25">
      <c r="A3712" t="s">
        <v>503</v>
      </c>
      <c r="B3712" t="s">
        <v>502</v>
      </c>
      <c r="C3712">
        <v>85698200</v>
      </c>
      <c r="D3712">
        <v>116</v>
      </c>
      <c r="E3712">
        <v>30850576</v>
      </c>
      <c r="F3712" t="s">
        <v>1499</v>
      </c>
      <c r="G3712" s="1">
        <v>45233</v>
      </c>
      <c r="H3712">
        <v>5411501</v>
      </c>
      <c r="I3712">
        <v>17</v>
      </c>
      <c r="J3712" t="s">
        <v>305</v>
      </c>
      <c r="K3712" t="str">
        <f>IFERROR(IF(AND(VLOOKUP($C3712,Hes!$A:$B, 1, FALSE), $M3712&lt;&gt;" "), "Ingresada", "Falta Ingresar"), " ")</f>
        <v xml:space="preserve"> </v>
      </c>
      <c r="L3712" s="4" t="str">
        <f>IFERROR(VLOOKUP($C3712,Observaciones!$A:$B,2,FALSE)," ")</f>
        <v xml:space="preserve"> </v>
      </c>
      <c r="M3712" t="s">
        <v>681</v>
      </c>
      <c r="O3712" s="5">
        <v>30850576</v>
      </c>
      <c r="P3712" s="5">
        <v>56280</v>
      </c>
      <c r="Q3712" s="5">
        <v>10693</v>
      </c>
      <c r="R3712" s="5">
        <v>66973</v>
      </c>
    </row>
    <row r="3713" spans="1:18" x14ac:dyDescent="0.25">
      <c r="A3713" t="s">
        <v>503</v>
      </c>
      <c r="B3713" t="s">
        <v>502</v>
      </c>
      <c r="C3713">
        <v>85698200</v>
      </c>
      <c r="D3713">
        <v>87</v>
      </c>
      <c r="E3713">
        <v>30855863</v>
      </c>
      <c r="F3713" t="s">
        <v>1499</v>
      </c>
      <c r="G3713" s="1">
        <v>45236</v>
      </c>
      <c r="H3713">
        <v>5413175</v>
      </c>
      <c r="I3713">
        <v>17</v>
      </c>
      <c r="J3713" t="s">
        <v>305</v>
      </c>
      <c r="K3713" t="str">
        <f>IFERROR(IF(AND(VLOOKUP($C3713,Hes!$A:$B, 1, FALSE), $M3713&lt;&gt;" "), "Ingresada", "Falta Ingresar"), " ")</f>
        <v xml:space="preserve"> </v>
      </c>
      <c r="L3713" s="4" t="str">
        <f>IFERROR(VLOOKUP($C3713,Observaciones!$A:$B,2,FALSE)," ")</f>
        <v xml:space="preserve"> </v>
      </c>
      <c r="M3713" t="s">
        <v>681</v>
      </c>
      <c r="O3713" s="5">
        <v>30855863</v>
      </c>
      <c r="P3713" s="5">
        <v>58001</v>
      </c>
      <c r="Q3713" s="5">
        <v>11020</v>
      </c>
      <c r="R3713" s="5">
        <v>69021</v>
      </c>
    </row>
    <row r="3714" spans="1:18" x14ac:dyDescent="0.25">
      <c r="A3714" t="s">
        <v>503</v>
      </c>
      <c r="B3714" t="s">
        <v>502</v>
      </c>
      <c r="C3714">
        <v>85698200</v>
      </c>
      <c r="D3714">
        <v>105</v>
      </c>
      <c r="E3714">
        <v>30856033</v>
      </c>
      <c r="F3714" t="s">
        <v>1499</v>
      </c>
      <c r="G3714" s="1">
        <v>45236</v>
      </c>
      <c r="H3714">
        <v>5413417</v>
      </c>
      <c r="I3714">
        <v>17</v>
      </c>
      <c r="J3714" t="s">
        <v>305</v>
      </c>
      <c r="K3714" t="str">
        <f>IFERROR(IF(AND(VLOOKUP($C3714,Hes!$A:$B, 1, FALSE), $M3714&lt;&gt;" "), "Ingresada", "Falta Ingresar"), " ")</f>
        <v xml:space="preserve"> </v>
      </c>
      <c r="L3714" s="4" t="str">
        <f>IFERROR(VLOOKUP($C3714,Observaciones!$A:$B,2,FALSE)," ")</f>
        <v xml:space="preserve"> </v>
      </c>
      <c r="M3714" t="s">
        <v>681</v>
      </c>
      <c r="O3714" s="5">
        <v>30856033</v>
      </c>
      <c r="P3714" s="5">
        <v>56947</v>
      </c>
      <c r="Q3714" s="5">
        <v>10820</v>
      </c>
      <c r="R3714" s="5">
        <v>67767</v>
      </c>
    </row>
    <row r="3715" spans="1:18" x14ac:dyDescent="0.25">
      <c r="A3715" t="s">
        <v>503</v>
      </c>
      <c r="B3715" t="s">
        <v>502</v>
      </c>
      <c r="C3715">
        <v>85698200</v>
      </c>
      <c r="D3715">
        <v>61</v>
      </c>
      <c r="E3715">
        <v>30851036</v>
      </c>
      <c r="F3715" t="s">
        <v>1499</v>
      </c>
      <c r="G3715" s="1">
        <v>45236</v>
      </c>
      <c r="H3715">
        <v>5413448</v>
      </c>
      <c r="I3715">
        <v>17</v>
      </c>
      <c r="J3715" t="s">
        <v>305</v>
      </c>
      <c r="K3715" t="str">
        <f>IFERROR(IF(AND(VLOOKUP($C3715,Hes!$A:$B, 1, FALSE), $M3715&lt;&gt;" "), "Ingresada", "Falta Ingresar"), " ")</f>
        <v xml:space="preserve"> </v>
      </c>
      <c r="L3715" s="4" t="str">
        <f>IFERROR(VLOOKUP($C3715,Observaciones!$A:$B,2,FALSE)," ")</f>
        <v xml:space="preserve"> </v>
      </c>
      <c r="M3715" t="s">
        <v>681</v>
      </c>
      <c r="O3715" s="5">
        <v>30851036</v>
      </c>
      <c r="P3715" s="5">
        <v>103598</v>
      </c>
      <c r="Q3715" s="5">
        <v>19684</v>
      </c>
      <c r="R3715" s="5">
        <v>127329</v>
      </c>
    </row>
    <row r="3716" spans="1:18" x14ac:dyDescent="0.25">
      <c r="A3716" t="s">
        <v>503</v>
      </c>
      <c r="B3716" t="s">
        <v>502</v>
      </c>
      <c r="C3716">
        <v>85698200</v>
      </c>
      <c r="D3716">
        <v>118</v>
      </c>
      <c r="E3716">
        <v>30859404</v>
      </c>
      <c r="F3716" t="s">
        <v>1499</v>
      </c>
      <c r="G3716" s="1">
        <v>45237</v>
      </c>
      <c r="H3716">
        <v>5414098</v>
      </c>
      <c r="I3716">
        <v>17</v>
      </c>
      <c r="J3716" t="s">
        <v>305</v>
      </c>
      <c r="K3716" t="str">
        <f>IFERROR(IF(AND(VLOOKUP($C3716,Hes!$A:$B, 1, FALSE), $M3716&lt;&gt;" "), "Ingresada", "Falta Ingresar"), " ")</f>
        <v xml:space="preserve"> </v>
      </c>
      <c r="L3716" s="4" t="str">
        <f>IFERROR(VLOOKUP($C3716,Observaciones!$A:$B,2,FALSE)," ")</f>
        <v xml:space="preserve"> </v>
      </c>
      <c r="M3716" t="s">
        <v>681</v>
      </c>
      <c r="O3716" s="5">
        <v>30859404</v>
      </c>
      <c r="P3716" s="5">
        <v>55567</v>
      </c>
      <c r="Q3716" s="5">
        <v>10558</v>
      </c>
      <c r="R3716" s="5">
        <v>66125</v>
      </c>
    </row>
    <row r="3717" spans="1:18" x14ac:dyDescent="0.25">
      <c r="A3717" t="s">
        <v>503</v>
      </c>
      <c r="B3717" t="s">
        <v>502</v>
      </c>
      <c r="C3717">
        <v>85698200</v>
      </c>
      <c r="D3717">
        <v>4</v>
      </c>
      <c r="E3717">
        <v>30859636</v>
      </c>
      <c r="F3717" t="s">
        <v>1499</v>
      </c>
      <c r="G3717" s="1">
        <v>45237</v>
      </c>
      <c r="H3717">
        <v>5414195</v>
      </c>
      <c r="I3717">
        <v>17</v>
      </c>
      <c r="J3717" t="s">
        <v>305</v>
      </c>
      <c r="K3717" t="str">
        <f>IFERROR(IF(AND(VLOOKUP($C3717,Hes!$A:$B, 1, FALSE), $M3717&lt;&gt;" "), "Ingresada", "Falta Ingresar"), " ")</f>
        <v xml:space="preserve"> </v>
      </c>
      <c r="L3717" s="4" t="str">
        <f>IFERROR(VLOOKUP($C3717,Observaciones!$A:$B,2,FALSE)," ")</f>
        <v xml:space="preserve"> </v>
      </c>
      <c r="M3717" t="s">
        <v>681</v>
      </c>
      <c r="O3717" s="5">
        <v>30859636</v>
      </c>
      <c r="P3717" s="5">
        <v>43717</v>
      </c>
      <c r="Q3717" s="5">
        <v>8306</v>
      </c>
      <c r="R3717" s="5">
        <v>52023</v>
      </c>
    </row>
    <row r="3718" spans="1:18" x14ac:dyDescent="0.25">
      <c r="A3718" t="s">
        <v>503</v>
      </c>
      <c r="B3718" t="s">
        <v>502</v>
      </c>
      <c r="C3718">
        <v>85698200</v>
      </c>
      <c r="D3718">
        <v>79</v>
      </c>
      <c r="E3718">
        <v>30859203</v>
      </c>
      <c r="F3718" t="s">
        <v>1499</v>
      </c>
      <c r="G3718" s="1">
        <v>45237</v>
      </c>
      <c r="H3718">
        <v>5414466</v>
      </c>
      <c r="I3718">
        <v>17</v>
      </c>
      <c r="J3718" t="s">
        <v>305</v>
      </c>
      <c r="K3718" t="str">
        <f>IFERROR(IF(AND(VLOOKUP($C3718,Hes!$A:$B, 1, FALSE), $M3718&lt;&gt;" "), "Ingresada", "Falta Ingresar"), " ")</f>
        <v xml:space="preserve"> </v>
      </c>
      <c r="L3718" s="4" t="str">
        <f>IFERROR(VLOOKUP($C3718,Observaciones!$A:$B,2,FALSE)," ")</f>
        <v xml:space="preserve"> </v>
      </c>
      <c r="M3718" t="s">
        <v>681</v>
      </c>
      <c r="O3718" s="5">
        <v>30859203</v>
      </c>
      <c r="P3718" s="5">
        <v>129894</v>
      </c>
      <c r="Q3718" s="5">
        <v>24680</v>
      </c>
      <c r="R3718" s="5">
        <v>154574</v>
      </c>
    </row>
    <row r="3719" spans="1:18" x14ac:dyDescent="0.25">
      <c r="A3719" t="s">
        <v>503</v>
      </c>
      <c r="B3719" t="s">
        <v>502</v>
      </c>
      <c r="C3719">
        <v>85698200</v>
      </c>
      <c r="D3719">
        <v>10</v>
      </c>
      <c r="E3719">
        <v>30864862</v>
      </c>
      <c r="F3719" t="s">
        <v>1499</v>
      </c>
      <c r="G3719" s="1">
        <v>45238</v>
      </c>
      <c r="H3719">
        <v>5415628</v>
      </c>
      <c r="I3719">
        <v>17</v>
      </c>
      <c r="J3719" t="s">
        <v>305</v>
      </c>
      <c r="K3719" t="str">
        <f>IFERROR(IF(AND(VLOOKUP($C3719,Hes!$A:$B, 1, FALSE), $M3719&lt;&gt;" "), "Ingresada", "Falta Ingresar"), " ")</f>
        <v xml:space="preserve"> </v>
      </c>
      <c r="L3719" s="4" t="str">
        <f>IFERROR(VLOOKUP($C3719,Observaciones!$A:$B,2,FALSE)," ")</f>
        <v xml:space="preserve"> </v>
      </c>
      <c r="M3719" t="s">
        <v>681</v>
      </c>
      <c r="O3719" s="5">
        <v>30864862</v>
      </c>
      <c r="P3719" s="5">
        <v>58675</v>
      </c>
      <c r="Q3719" s="5">
        <v>11148</v>
      </c>
      <c r="R3719" s="5">
        <v>69823</v>
      </c>
    </row>
    <row r="3720" spans="1:18" x14ac:dyDescent="0.25">
      <c r="A3720" t="s">
        <v>503</v>
      </c>
      <c r="B3720" t="s">
        <v>502</v>
      </c>
      <c r="C3720">
        <v>85698200</v>
      </c>
      <c r="D3720">
        <v>97</v>
      </c>
      <c r="E3720">
        <v>30864621</v>
      </c>
      <c r="F3720" t="s">
        <v>1499</v>
      </c>
      <c r="G3720" s="1">
        <v>45238</v>
      </c>
      <c r="H3720">
        <v>5415639</v>
      </c>
      <c r="I3720">
        <v>17</v>
      </c>
      <c r="J3720" t="s">
        <v>305</v>
      </c>
      <c r="K3720" t="str">
        <f>IFERROR(IF(AND(VLOOKUP($C3720,Hes!$A:$B, 1, FALSE), $M3720&lt;&gt;" "), "Ingresada", "Falta Ingresar"), " ")</f>
        <v xml:space="preserve"> </v>
      </c>
      <c r="L3720" s="4" t="str">
        <f>IFERROR(VLOOKUP($C3720,Observaciones!$A:$B,2,FALSE)," ")</f>
        <v xml:space="preserve"> </v>
      </c>
      <c r="M3720" t="s">
        <v>681</v>
      </c>
      <c r="O3720" s="5">
        <v>30864621</v>
      </c>
      <c r="P3720" s="5">
        <v>54316</v>
      </c>
      <c r="Q3720" s="5">
        <v>10320</v>
      </c>
      <c r="R3720" s="5">
        <v>64636</v>
      </c>
    </row>
    <row r="3721" spans="1:18" x14ac:dyDescent="0.25">
      <c r="A3721" t="s">
        <v>503</v>
      </c>
      <c r="B3721" t="s">
        <v>502</v>
      </c>
      <c r="C3721">
        <v>85698200</v>
      </c>
      <c r="D3721">
        <v>107</v>
      </c>
      <c r="E3721">
        <v>30864700</v>
      </c>
      <c r="F3721" t="s">
        <v>1499</v>
      </c>
      <c r="G3721" s="1">
        <v>45238</v>
      </c>
      <c r="H3721">
        <v>5415669</v>
      </c>
      <c r="I3721">
        <v>17</v>
      </c>
      <c r="J3721" t="s">
        <v>305</v>
      </c>
      <c r="K3721" t="str">
        <f>IFERROR(IF(AND(VLOOKUP($C3721,Hes!$A:$B, 1, FALSE), $M3721&lt;&gt;" "), "Ingresada", "Falta Ingresar"), " ")</f>
        <v xml:space="preserve"> </v>
      </c>
      <c r="L3721" s="4" t="str">
        <f>IFERROR(VLOOKUP($C3721,Observaciones!$A:$B,2,FALSE)," ")</f>
        <v xml:space="preserve"> </v>
      </c>
      <c r="M3721" t="s">
        <v>681</v>
      </c>
      <c r="O3721" s="5">
        <v>30864700</v>
      </c>
      <c r="P3721" s="5">
        <v>28141</v>
      </c>
      <c r="Q3721" s="5">
        <v>5347</v>
      </c>
      <c r="R3721" s="5">
        <v>33488</v>
      </c>
    </row>
    <row r="3722" spans="1:18" x14ac:dyDescent="0.25">
      <c r="A3722" t="s">
        <v>503</v>
      </c>
      <c r="B3722" t="s">
        <v>502</v>
      </c>
      <c r="C3722">
        <v>85698200</v>
      </c>
      <c r="D3722">
        <v>104</v>
      </c>
      <c r="E3722">
        <v>30864218</v>
      </c>
      <c r="F3722" t="s">
        <v>1499</v>
      </c>
      <c r="G3722" s="1">
        <v>45238</v>
      </c>
      <c r="H3722">
        <v>5415747</v>
      </c>
      <c r="I3722">
        <v>17</v>
      </c>
      <c r="J3722" t="s">
        <v>305</v>
      </c>
      <c r="K3722" t="str">
        <f>IFERROR(IF(AND(VLOOKUP($C3722,Hes!$A:$B, 1, FALSE), $M3722&lt;&gt;" "), "Ingresada", "Falta Ingresar"), " ")</f>
        <v xml:space="preserve"> </v>
      </c>
      <c r="L3722" s="4" t="str">
        <f>IFERROR(VLOOKUP($C3722,Observaciones!$A:$B,2,FALSE)," ")</f>
        <v xml:space="preserve"> </v>
      </c>
      <c r="M3722" t="s">
        <v>681</v>
      </c>
      <c r="O3722" s="5">
        <v>30864218</v>
      </c>
      <c r="P3722" s="5">
        <v>58723</v>
      </c>
      <c r="Q3722" s="5">
        <v>11157</v>
      </c>
      <c r="R3722" s="5">
        <v>69880</v>
      </c>
    </row>
    <row r="3723" spans="1:18" x14ac:dyDescent="0.25">
      <c r="F3723" t="s">
        <v>510</v>
      </c>
      <c r="K3723" t="str">
        <f>IFERROR(IF(AND(VLOOKUP($C3723,Hes!$A:$B, 1, FALSE), $M3723&lt;&gt;" "), "Ingresada", "Falta Ingresar"), " ")</f>
        <v xml:space="preserve"> </v>
      </c>
      <c r="L3723" s="4" t="str">
        <f>IFERROR(VLOOKUP($C3723,Observaciones!$A:$B,2,FALSE)," ")</f>
        <v xml:space="preserve"> </v>
      </c>
      <c r="M3723" t="s">
        <v>681</v>
      </c>
      <c r="P3723" s="5">
        <v>703859</v>
      </c>
      <c r="Q3723" s="5">
        <v>133733</v>
      </c>
      <c r="R3723" s="5">
        <v>841639</v>
      </c>
    </row>
    <row r="3724" spans="1:18" x14ac:dyDescent="0.25">
      <c r="A3724" t="s">
        <v>496</v>
      </c>
      <c r="B3724" t="s">
        <v>494</v>
      </c>
      <c r="C3724">
        <v>85805200</v>
      </c>
      <c r="D3724">
        <v>0</v>
      </c>
      <c r="E3724">
        <v>4506357523</v>
      </c>
      <c r="F3724" t="s">
        <v>1500</v>
      </c>
      <c r="G3724" s="1">
        <v>45236</v>
      </c>
      <c r="H3724">
        <v>5411915</v>
      </c>
      <c r="I3724">
        <v>81</v>
      </c>
      <c r="J3724" t="s">
        <v>144</v>
      </c>
      <c r="K3724" s="8" t="str">
        <f>IFERROR(IF(AND(VLOOKUP($C3724,Hes!$A:$B, 1, FALSE), $M3724&lt;&gt;" "), "Ingresada", "Falta Ingresar"), " ")</f>
        <v>Falta Ingresar</v>
      </c>
      <c r="L3724" s="4" t="str">
        <f>IFERROR(VLOOKUP($C3724,Observaciones!$A:$B,2,FALSE)," ")</f>
        <v>XOC Y CC</v>
      </c>
      <c r="M3724" t="s">
        <v>681</v>
      </c>
      <c r="N3724" s="5" t="s">
        <v>841</v>
      </c>
      <c r="O3724" s="5">
        <v>30842272</v>
      </c>
      <c r="P3724" s="5">
        <v>375454</v>
      </c>
      <c r="Q3724" s="5">
        <v>71336</v>
      </c>
      <c r="R3724" s="5">
        <v>446790</v>
      </c>
    </row>
    <row r="3725" spans="1:18" x14ac:dyDescent="0.25">
      <c r="F3725" t="s">
        <v>495</v>
      </c>
      <c r="K3725" t="str">
        <f>IFERROR(IF(AND(VLOOKUP($C3725,Hes!$A:$B, 1, FALSE), $M3725&lt;&gt;" "), "Ingresada", "Falta Ingresar"), " ")</f>
        <v xml:space="preserve"> </v>
      </c>
      <c r="L3725" s="4" t="str">
        <f>IFERROR(VLOOKUP($C3725,Observaciones!$A:$B,2,FALSE)," ")</f>
        <v xml:space="preserve"> </v>
      </c>
      <c r="M3725" t="s">
        <v>681</v>
      </c>
      <c r="P3725" s="5">
        <v>375454</v>
      </c>
      <c r="Q3725" s="5">
        <v>71336</v>
      </c>
      <c r="R3725" s="5">
        <v>446790</v>
      </c>
    </row>
    <row r="3726" spans="1:18" x14ac:dyDescent="0.25">
      <c r="A3726" t="s">
        <v>496</v>
      </c>
      <c r="B3726" t="s">
        <v>494</v>
      </c>
      <c r="C3726">
        <v>85840100</v>
      </c>
      <c r="D3726">
        <v>18</v>
      </c>
      <c r="E3726">
        <v>4502628379</v>
      </c>
      <c r="F3726" t="s">
        <v>1501</v>
      </c>
      <c r="G3726" s="1">
        <v>45233</v>
      </c>
      <c r="H3726">
        <v>5410491</v>
      </c>
      <c r="I3726">
        <v>364</v>
      </c>
      <c r="J3726" t="s">
        <v>194</v>
      </c>
      <c r="K3726" s="8" t="str">
        <f>IFERROR(IF(AND(VLOOKUP($C3726,Hes!$A:$B, 1, FALSE), $M3726&lt;&gt;" "), "Ingresada", "Falta Ingresar"), " ")</f>
        <v>Falta Ingresar</v>
      </c>
      <c r="L3726" s="4" t="str">
        <f>IFERROR(VLOOKUP($C3726,Observaciones!$A:$B,2,FALSE)," ")</f>
        <v>XOC Y CC</v>
      </c>
      <c r="M3726" t="s">
        <v>681</v>
      </c>
      <c r="N3726" s="5" t="s">
        <v>841</v>
      </c>
      <c r="O3726" s="5">
        <v>30852934</v>
      </c>
      <c r="P3726" s="5">
        <v>46789</v>
      </c>
      <c r="Q3726" s="5">
        <v>8890</v>
      </c>
      <c r="R3726" s="5">
        <v>55679</v>
      </c>
    </row>
    <row r="3727" spans="1:18" x14ac:dyDescent="0.25">
      <c r="A3727" t="s">
        <v>496</v>
      </c>
      <c r="B3727" t="s">
        <v>494</v>
      </c>
      <c r="C3727">
        <v>85840100</v>
      </c>
      <c r="D3727">
        <v>56</v>
      </c>
      <c r="E3727">
        <v>4502628244</v>
      </c>
      <c r="F3727" t="s">
        <v>1501</v>
      </c>
      <c r="G3727" s="1">
        <v>45236</v>
      </c>
      <c r="H3727">
        <v>5412421</v>
      </c>
      <c r="I3727">
        <v>364</v>
      </c>
      <c r="J3727" t="s">
        <v>194</v>
      </c>
      <c r="K3727" s="8" t="str">
        <f>IFERROR(IF(AND(VLOOKUP($C3727,Hes!$A:$B, 1, FALSE), $M3727&lt;&gt;" "), "Ingresada", "Falta Ingresar"), " ")</f>
        <v>Falta Ingresar</v>
      </c>
      <c r="L3727" s="4" t="str">
        <f>IFERROR(VLOOKUP($C3727,Observaciones!$A:$B,2,FALSE)," ")</f>
        <v>XOC Y CC</v>
      </c>
      <c r="M3727" t="s">
        <v>681</v>
      </c>
      <c r="N3727" s="5" t="s">
        <v>841</v>
      </c>
      <c r="O3727" s="5">
        <v>30845563</v>
      </c>
      <c r="P3727" s="5">
        <v>1024198</v>
      </c>
      <c r="Q3727" s="5">
        <v>194598</v>
      </c>
      <c r="R3727" s="5">
        <v>1218796</v>
      </c>
    </row>
    <row r="3728" spans="1:18" x14ac:dyDescent="0.25">
      <c r="A3728" t="s">
        <v>496</v>
      </c>
      <c r="B3728" t="s">
        <v>494</v>
      </c>
      <c r="C3728">
        <v>85840100</v>
      </c>
      <c r="D3728">
        <v>32</v>
      </c>
      <c r="E3728">
        <v>4502626852</v>
      </c>
      <c r="F3728" t="s">
        <v>1501</v>
      </c>
      <c r="G3728" s="1">
        <v>45234</v>
      </c>
      <c r="H3728">
        <v>5412531</v>
      </c>
      <c r="I3728">
        <v>364</v>
      </c>
      <c r="J3728" t="s">
        <v>194</v>
      </c>
      <c r="K3728" s="8" t="str">
        <f>IFERROR(IF(AND(VLOOKUP($C3728,Hes!$A:$B, 1, FALSE), $M3728&lt;&gt;" "), "Ingresada", "Falta Ingresar"), " ")</f>
        <v>Falta Ingresar</v>
      </c>
      <c r="L3728" s="4" t="str">
        <f>IFERROR(VLOOKUP($C3728,Observaciones!$A:$B,2,FALSE)," ")</f>
        <v>XOC Y CC</v>
      </c>
      <c r="M3728" t="s">
        <v>681</v>
      </c>
      <c r="N3728" s="5" t="s">
        <v>841</v>
      </c>
      <c r="O3728" s="5">
        <v>30851137</v>
      </c>
      <c r="P3728" s="5">
        <v>191234</v>
      </c>
      <c r="Q3728" s="5">
        <v>36334</v>
      </c>
      <c r="R3728" s="5">
        <v>227568</v>
      </c>
    </row>
    <row r="3729" spans="1:18" x14ac:dyDescent="0.25">
      <c r="A3729" t="s">
        <v>496</v>
      </c>
      <c r="B3729" t="s">
        <v>494</v>
      </c>
      <c r="C3729">
        <v>85840100</v>
      </c>
      <c r="D3729">
        <v>12</v>
      </c>
      <c r="E3729">
        <v>4502626853</v>
      </c>
      <c r="F3729" t="s">
        <v>1501</v>
      </c>
      <c r="G3729" s="1">
        <v>45234</v>
      </c>
      <c r="H3729">
        <v>5412537</v>
      </c>
      <c r="I3729">
        <v>364</v>
      </c>
      <c r="J3729" t="s">
        <v>194</v>
      </c>
      <c r="K3729" s="8" t="str">
        <f>IFERROR(IF(AND(VLOOKUP($C3729,Hes!$A:$B, 1, FALSE), $M3729&lt;&gt;" "), "Ingresada", "Falta Ingresar"), " ")</f>
        <v>Falta Ingresar</v>
      </c>
      <c r="L3729" s="4" t="str">
        <f>IFERROR(VLOOKUP($C3729,Observaciones!$A:$B,2,FALSE)," ")</f>
        <v>XOC Y CC</v>
      </c>
      <c r="M3729" t="s">
        <v>681</v>
      </c>
      <c r="N3729" s="5" t="s">
        <v>841</v>
      </c>
      <c r="O3729" s="5">
        <v>30851227</v>
      </c>
      <c r="P3729" s="5">
        <v>239954</v>
      </c>
      <c r="Q3729" s="5">
        <v>45591</v>
      </c>
      <c r="R3729" s="5">
        <v>287651</v>
      </c>
    </row>
    <row r="3730" spans="1:18" x14ac:dyDescent="0.25">
      <c r="A3730" t="s">
        <v>496</v>
      </c>
      <c r="B3730" t="s">
        <v>494</v>
      </c>
      <c r="C3730">
        <v>85840100</v>
      </c>
      <c r="D3730">
        <v>12</v>
      </c>
      <c r="E3730">
        <v>4502626853</v>
      </c>
      <c r="F3730" t="s">
        <v>1501</v>
      </c>
      <c r="G3730" s="1">
        <v>45234</v>
      </c>
      <c r="H3730">
        <v>5412538</v>
      </c>
      <c r="I3730">
        <v>364</v>
      </c>
      <c r="J3730" t="s">
        <v>194</v>
      </c>
      <c r="K3730" s="8" t="str">
        <f>IFERROR(IF(AND(VLOOKUP($C3730,Hes!$A:$B, 1, FALSE), $M3730&lt;&gt;" "), "Ingresada", "Falta Ingresar"), " ")</f>
        <v>Falta Ingresar</v>
      </c>
      <c r="L3730" s="4" t="str">
        <f>IFERROR(VLOOKUP($C3730,Observaciones!$A:$B,2,FALSE)," ")</f>
        <v>XOC Y CC</v>
      </c>
      <c r="M3730" t="s">
        <v>681</v>
      </c>
      <c r="N3730" s="5" t="s">
        <v>841</v>
      </c>
      <c r="O3730" s="5">
        <v>30851227</v>
      </c>
      <c r="P3730" s="5">
        <v>92663</v>
      </c>
      <c r="Q3730" s="5">
        <v>17606</v>
      </c>
      <c r="R3730" s="5">
        <v>110269</v>
      </c>
    </row>
    <row r="3731" spans="1:18" x14ac:dyDescent="0.25">
      <c r="A3731" t="s">
        <v>496</v>
      </c>
      <c r="B3731" t="s">
        <v>494</v>
      </c>
      <c r="C3731">
        <v>85840100</v>
      </c>
      <c r="D3731">
        <v>8</v>
      </c>
      <c r="E3731">
        <v>4502628246</v>
      </c>
      <c r="F3731" t="s">
        <v>1501</v>
      </c>
      <c r="G3731" s="1">
        <v>45236</v>
      </c>
      <c r="H3731">
        <v>5412584</v>
      </c>
      <c r="I3731">
        <v>364</v>
      </c>
      <c r="J3731" t="s">
        <v>194</v>
      </c>
      <c r="K3731" s="8" t="str">
        <f>IFERROR(IF(AND(VLOOKUP($C3731,Hes!$A:$B, 1, FALSE), $M3731&lt;&gt;" "), "Ingresada", "Falta Ingresar"), " ")</f>
        <v>Falta Ingresar</v>
      </c>
      <c r="L3731" s="4" t="str">
        <f>IFERROR(VLOOKUP($C3731,Observaciones!$A:$B,2,FALSE)," ")</f>
        <v>XOC Y CC</v>
      </c>
      <c r="M3731" t="s">
        <v>681</v>
      </c>
      <c r="N3731" s="5" t="s">
        <v>841</v>
      </c>
      <c r="O3731" s="5">
        <v>30845719</v>
      </c>
      <c r="P3731" s="5">
        <v>152514</v>
      </c>
      <c r="Q3731" s="5">
        <v>28978</v>
      </c>
      <c r="R3731" s="5">
        <v>181492</v>
      </c>
    </row>
    <row r="3732" spans="1:18" x14ac:dyDescent="0.25">
      <c r="A3732" t="s">
        <v>496</v>
      </c>
      <c r="B3732" t="s">
        <v>494</v>
      </c>
      <c r="C3732">
        <v>85840100</v>
      </c>
      <c r="D3732">
        <v>2</v>
      </c>
      <c r="E3732">
        <v>4502628245</v>
      </c>
      <c r="F3732" t="s">
        <v>1501</v>
      </c>
      <c r="G3732" s="1">
        <v>45236</v>
      </c>
      <c r="H3732">
        <v>5412586</v>
      </c>
      <c r="I3732">
        <v>364</v>
      </c>
      <c r="J3732" t="s">
        <v>194</v>
      </c>
      <c r="K3732" s="8" t="str">
        <f>IFERROR(IF(AND(VLOOKUP($C3732,Hes!$A:$B, 1, FALSE), $M3732&lt;&gt;" "), "Ingresada", "Falta Ingresar"), " ")</f>
        <v>Falta Ingresar</v>
      </c>
      <c r="L3732" s="4" t="str">
        <f>IFERROR(VLOOKUP($C3732,Observaciones!$A:$B,2,FALSE)," ")</f>
        <v>XOC Y CC</v>
      </c>
      <c r="M3732" t="s">
        <v>681</v>
      </c>
      <c r="N3732" s="5" t="s">
        <v>841</v>
      </c>
      <c r="O3732" s="5">
        <v>30845748</v>
      </c>
      <c r="P3732" s="5">
        <v>301302</v>
      </c>
      <c r="Q3732" s="5">
        <v>57247</v>
      </c>
      <c r="R3732" s="5">
        <v>358549</v>
      </c>
    </row>
    <row r="3733" spans="1:18" x14ac:dyDescent="0.25">
      <c r="A3733" t="s">
        <v>496</v>
      </c>
      <c r="B3733" t="s">
        <v>494</v>
      </c>
      <c r="C3733">
        <v>85840100</v>
      </c>
      <c r="D3733">
        <v>10</v>
      </c>
      <c r="E3733">
        <v>4502626341</v>
      </c>
      <c r="F3733" t="s">
        <v>1501</v>
      </c>
      <c r="G3733" s="1">
        <v>45234</v>
      </c>
      <c r="H3733">
        <v>5412857</v>
      </c>
      <c r="I3733">
        <v>364</v>
      </c>
      <c r="J3733" t="s">
        <v>194</v>
      </c>
      <c r="K3733" s="8" t="str">
        <f>IFERROR(IF(AND(VLOOKUP($C3733,Hes!$A:$B, 1, FALSE), $M3733&lt;&gt;" "), "Ingresada", "Falta Ingresar"), " ")</f>
        <v>Falta Ingresar</v>
      </c>
      <c r="L3733" s="4" t="str">
        <f>IFERROR(VLOOKUP($C3733,Observaciones!$A:$B,2,FALSE)," ")</f>
        <v>XOC Y CC</v>
      </c>
      <c r="M3733" t="s">
        <v>681</v>
      </c>
      <c r="N3733" s="5" t="s">
        <v>841</v>
      </c>
      <c r="O3733" s="5">
        <v>30855643</v>
      </c>
      <c r="P3733" s="5">
        <v>459187</v>
      </c>
      <c r="Q3733" s="5">
        <v>87246</v>
      </c>
      <c r="R3733" s="5">
        <v>546433</v>
      </c>
    </row>
    <row r="3734" spans="1:18" x14ac:dyDescent="0.25">
      <c r="A3734" t="s">
        <v>496</v>
      </c>
      <c r="B3734" t="s">
        <v>494</v>
      </c>
      <c r="C3734">
        <v>85840100</v>
      </c>
      <c r="D3734">
        <v>19</v>
      </c>
      <c r="E3734">
        <v>4502626108</v>
      </c>
      <c r="F3734" t="s">
        <v>1501</v>
      </c>
      <c r="G3734" s="1">
        <v>45234</v>
      </c>
      <c r="H3734">
        <v>5412883</v>
      </c>
      <c r="I3734">
        <v>364</v>
      </c>
      <c r="J3734" t="s">
        <v>194</v>
      </c>
      <c r="K3734" s="8" t="str">
        <f>IFERROR(IF(AND(VLOOKUP($C3734,Hes!$A:$B, 1, FALSE), $M3734&lt;&gt;" "), "Ingresada", "Falta Ingresar"), " ")</f>
        <v>Falta Ingresar</v>
      </c>
      <c r="L3734" s="4" t="str">
        <f>IFERROR(VLOOKUP($C3734,Observaciones!$A:$B,2,FALSE)," ")</f>
        <v>XOC Y CC</v>
      </c>
      <c r="M3734" t="s">
        <v>681</v>
      </c>
      <c r="N3734" s="5" t="s">
        <v>841</v>
      </c>
      <c r="O3734" s="5">
        <v>30855052</v>
      </c>
      <c r="P3734" s="5">
        <v>659242</v>
      </c>
      <c r="Q3734" s="5">
        <v>125256</v>
      </c>
      <c r="R3734" s="5">
        <v>784498</v>
      </c>
    </row>
    <row r="3735" spans="1:18" x14ac:dyDescent="0.25">
      <c r="A3735" t="s">
        <v>496</v>
      </c>
      <c r="B3735" t="s">
        <v>494</v>
      </c>
      <c r="C3735">
        <v>85840100</v>
      </c>
      <c r="D3735">
        <v>22</v>
      </c>
      <c r="E3735">
        <v>4502626110</v>
      </c>
      <c r="F3735" t="s">
        <v>1501</v>
      </c>
      <c r="G3735" s="1">
        <v>45234</v>
      </c>
      <c r="H3735">
        <v>5412908</v>
      </c>
      <c r="I3735">
        <v>364</v>
      </c>
      <c r="J3735" t="s">
        <v>194</v>
      </c>
      <c r="K3735" s="8" t="str">
        <f>IFERROR(IF(AND(VLOOKUP($C3735,Hes!$A:$B, 1, FALSE), $M3735&lt;&gt;" "), "Ingresada", "Falta Ingresar"), " ")</f>
        <v>Falta Ingresar</v>
      </c>
      <c r="L3735" s="4" t="str">
        <f>IFERROR(VLOOKUP($C3735,Observaciones!$A:$B,2,FALSE)," ")</f>
        <v>XOC Y CC</v>
      </c>
      <c r="M3735" t="s">
        <v>681</v>
      </c>
      <c r="N3735" s="5" t="s">
        <v>841</v>
      </c>
      <c r="O3735" s="5">
        <v>30855713</v>
      </c>
      <c r="P3735" s="5">
        <v>116843</v>
      </c>
      <c r="Q3735" s="5">
        <v>22200</v>
      </c>
      <c r="R3735" s="5">
        <v>139043</v>
      </c>
    </row>
    <row r="3736" spans="1:18" x14ac:dyDescent="0.25">
      <c r="A3736" t="s">
        <v>496</v>
      </c>
      <c r="B3736" t="s">
        <v>494</v>
      </c>
      <c r="C3736">
        <v>85840100</v>
      </c>
      <c r="D3736">
        <v>42</v>
      </c>
      <c r="E3736">
        <v>4502626339</v>
      </c>
      <c r="F3736" t="s">
        <v>1501</v>
      </c>
      <c r="G3736" s="1">
        <v>45234</v>
      </c>
      <c r="H3736">
        <v>5412909</v>
      </c>
      <c r="I3736">
        <v>364</v>
      </c>
      <c r="J3736" t="s">
        <v>194</v>
      </c>
      <c r="K3736" s="8" t="str">
        <f>IFERROR(IF(AND(VLOOKUP($C3736,Hes!$A:$B, 1, FALSE), $M3736&lt;&gt;" "), "Ingresada", "Falta Ingresar"), " ")</f>
        <v>Falta Ingresar</v>
      </c>
      <c r="L3736" s="4" t="str">
        <f>IFERROR(VLOOKUP($C3736,Observaciones!$A:$B,2,FALSE)," ")</f>
        <v>XOC Y CC</v>
      </c>
      <c r="M3736" t="s">
        <v>681</v>
      </c>
      <c r="N3736" s="5" t="s">
        <v>841</v>
      </c>
      <c r="O3736" s="5">
        <v>30855564</v>
      </c>
      <c r="P3736" s="5">
        <v>261403</v>
      </c>
      <c r="Q3736" s="5">
        <v>49667</v>
      </c>
      <c r="R3736" s="5">
        <v>311070</v>
      </c>
    </row>
    <row r="3737" spans="1:18" x14ac:dyDescent="0.25">
      <c r="A3737" t="s">
        <v>496</v>
      </c>
      <c r="B3737" t="s">
        <v>494</v>
      </c>
      <c r="C3737">
        <v>85840100</v>
      </c>
      <c r="D3737">
        <v>5</v>
      </c>
      <c r="E3737">
        <v>4502626344</v>
      </c>
      <c r="F3737" t="s">
        <v>1501</v>
      </c>
      <c r="G3737" s="1">
        <v>45234</v>
      </c>
      <c r="H3737">
        <v>5412928</v>
      </c>
      <c r="I3737">
        <v>364</v>
      </c>
      <c r="J3737" t="s">
        <v>194</v>
      </c>
      <c r="K3737" s="8" t="str">
        <f>IFERROR(IF(AND(VLOOKUP($C3737,Hes!$A:$B, 1, FALSE), $M3737&lt;&gt;" "), "Ingresada", "Falta Ingresar"), " ")</f>
        <v>Falta Ingresar</v>
      </c>
      <c r="L3737" s="4" t="str">
        <f>IFERROR(VLOOKUP($C3737,Observaciones!$A:$B,2,FALSE)," ")</f>
        <v>XOC Y CC</v>
      </c>
      <c r="M3737" t="s">
        <v>681</v>
      </c>
      <c r="N3737" s="5" t="s">
        <v>841</v>
      </c>
      <c r="O3737" s="5">
        <v>30855787</v>
      </c>
      <c r="P3737" s="5">
        <v>124254</v>
      </c>
      <c r="Q3737" s="5">
        <v>23608</v>
      </c>
      <c r="R3737" s="5">
        <v>147862</v>
      </c>
    </row>
    <row r="3738" spans="1:18" x14ac:dyDescent="0.25">
      <c r="A3738" t="s">
        <v>496</v>
      </c>
      <c r="B3738" t="s">
        <v>494</v>
      </c>
      <c r="C3738">
        <v>85840100</v>
      </c>
      <c r="D3738">
        <v>37</v>
      </c>
      <c r="E3738">
        <v>4502628375</v>
      </c>
      <c r="F3738" t="s">
        <v>1501</v>
      </c>
      <c r="G3738" s="1">
        <v>45236</v>
      </c>
      <c r="H3738">
        <v>5413086</v>
      </c>
      <c r="I3738">
        <v>364</v>
      </c>
      <c r="J3738" t="s">
        <v>194</v>
      </c>
      <c r="K3738" s="8" t="str">
        <f>IFERROR(IF(AND(VLOOKUP($C3738,Hes!$A:$B, 1, FALSE), $M3738&lt;&gt;" "), "Ingresada", "Falta Ingresar"), " ")</f>
        <v>Falta Ingresar</v>
      </c>
      <c r="L3738" s="4" t="str">
        <f>IFERROR(VLOOKUP($C3738,Observaciones!$A:$B,2,FALSE)," ")</f>
        <v>XOC Y CC</v>
      </c>
      <c r="M3738" t="s">
        <v>681</v>
      </c>
      <c r="N3738" s="5" t="s">
        <v>841</v>
      </c>
      <c r="O3738" s="5">
        <v>30855828</v>
      </c>
      <c r="P3738" s="5">
        <v>30118</v>
      </c>
      <c r="Q3738" s="5">
        <v>5722</v>
      </c>
      <c r="R3738" s="5">
        <v>35840</v>
      </c>
    </row>
    <row r="3739" spans="1:18" x14ac:dyDescent="0.25">
      <c r="A3739" t="s">
        <v>496</v>
      </c>
      <c r="B3739" t="s">
        <v>494</v>
      </c>
      <c r="C3739">
        <v>85840100</v>
      </c>
      <c r="D3739">
        <v>56</v>
      </c>
      <c r="E3739">
        <v>4502628244</v>
      </c>
      <c r="F3739" t="s">
        <v>1501</v>
      </c>
      <c r="G3739" s="1">
        <v>45236</v>
      </c>
      <c r="H3739">
        <v>5413904</v>
      </c>
      <c r="I3739">
        <v>364</v>
      </c>
      <c r="J3739" t="s">
        <v>194</v>
      </c>
      <c r="K3739" s="8" t="str">
        <f>IFERROR(IF(AND(VLOOKUP($C3739,Hes!$A:$B, 1, FALSE), $M3739&lt;&gt;" "), "Ingresada", "Falta Ingresar"), " ")</f>
        <v>Falta Ingresar</v>
      </c>
      <c r="L3739" s="4" t="str">
        <f>IFERROR(VLOOKUP($C3739,Observaciones!$A:$B,2,FALSE)," ")</f>
        <v>XOC Y CC</v>
      </c>
      <c r="M3739" t="s">
        <v>681</v>
      </c>
      <c r="N3739" s="5" t="s">
        <v>841</v>
      </c>
      <c r="O3739" s="5">
        <v>30857776</v>
      </c>
      <c r="P3739" s="5">
        <v>578000</v>
      </c>
      <c r="Q3739" s="5">
        <v>109820</v>
      </c>
      <c r="R3739" s="5">
        <v>687820</v>
      </c>
    </row>
    <row r="3740" spans="1:18" x14ac:dyDescent="0.25">
      <c r="A3740" t="s">
        <v>496</v>
      </c>
      <c r="B3740" t="s">
        <v>494</v>
      </c>
      <c r="C3740">
        <v>85840100</v>
      </c>
      <c r="D3740">
        <v>40</v>
      </c>
      <c r="E3740">
        <v>4502628987</v>
      </c>
      <c r="F3740" t="s">
        <v>1501</v>
      </c>
      <c r="G3740" s="1">
        <v>45237</v>
      </c>
      <c r="H3740">
        <v>5414105</v>
      </c>
      <c r="I3740">
        <v>364</v>
      </c>
      <c r="J3740" t="s">
        <v>194</v>
      </c>
      <c r="K3740" s="8" t="str">
        <f>IFERROR(IF(AND(VLOOKUP($C3740,Hes!$A:$B, 1, FALSE), $M3740&lt;&gt;" "), "Ingresada", "Falta Ingresar"), " ")</f>
        <v>Falta Ingresar</v>
      </c>
      <c r="L3740" s="4" t="str">
        <f>IFERROR(VLOOKUP($C3740,Observaciones!$A:$B,2,FALSE)," ")</f>
        <v>XOC Y CC</v>
      </c>
      <c r="M3740" t="s">
        <v>681</v>
      </c>
      <c r="N3740" s="5" t="s">
        <v>841</v>
      </c>
      <c r="O3740" s="5">
        <v>30859384</v>
      </c>
      <c r="P3740" s="5">
        <v>140944</v>
      </c>
      <c r="Q3740" s="5">
        <v>26779</v>
      </c>
      <c r="R3740" s="5">
        <v>167723</v>
      </c>
    </row>
    <row r="3741" spans="1:18" x14ac:dyDescent="0.25">
      <c r="F3741" t="s">
        <v>518</v>
      </c>
      <c r="K3741" t="str">
        <f>IFERROR(IF(AND(VLOOKUP($C3741,Hes!$A:$B, 1, FALSE), $M3741&lt;&gt;" "), "Ingresada", "Falta Ingresar"), " ")</f>
        <v xml:space="preserve"> </v>
      </c>
      <c r="L3741" s="4" t="str">
        <f>IFERROR(VLOOKUP($C3741,Observaciones!$A:$B,2,FALSE)," ")</f>
        <v xml:space="preserve"> </v>
      </c>
      <c r="M3741" t="s">
        <v>681</v>
      </c>
      <c r="P3741" s="5">
        <v>4418645</v>
      </c>
      <c r="Q3741" s="5">
        <v>839542</v>
      </c>
      <c r="R3741" s="5">
        <v>5260293</v>
      </c>
    </row>
    <row r="3742" spans="1:18" x14ac:dyDescent="0.25">
      <c r="A3742" t="s">
        <v>522</v>
      </c>
      <c r="B3742" t="s">
        <v>494</v>
      </c>
      <c r="C3742">
        <v>85896100</v>
      </c>
      <c r="D3742">
        <v>10</v>
      </c>
      <c r="E3742">
        <v>30850589</v>
      </c>
      <c r="F3742" t="s">
        <v>600</v>
      </c>
      <c r="G3742" s="1">
        <v>45233</v>
      </c>
      <c r="H3742">
        <v>5411610</v>
      </c>
      <c r="I3742">
        <v>455</v>
      </c>
      <c r="J3742" t="s">
        <v>123</v>
      </c>
      <c r="K3742" t="str">
        <f>IFERROR(IF(AND(VLOOKUP($C3742,Hes!$A:$B, 1, FALSE), $M3742&lt;&gt;" "), "Ingresada", "Falta Ingresar"), " ")</f>
        <v xml:space="preserve"> </v>
      </c>
      <c r="L3742" s="4" t="str">
        <f>IFERROR(VLOOKUP($C3742,Observaciones!$A:$B,2,FALSE)," ")</f>
        <v>ULTIMO DIA, CON ORDEN DE COMPRA 634261</v>
      </c>
      <c r="M3742" t="s">
        <v>681</v>
      </c>
      <c r="O3742" s="5">
        <v>30850589</v>
      </c>
      <c r="P3742" s="5">
        <v>351313</v>
      </c>
      <c r="Q3742" s="5">
        <v>66749</v>
      </c>
      <c r="R3742" s="5">
        <v>418062</v>
      </c>
    </row>
    <row r="3743" spans="1:18" x14ac:dyDescent="0.25">
      <c r="A3743" t="s">
        <v>522</v>
      </c>
      <c r="B3743" t="s">
        <v>494</v>
      </c>
      <c r="C3743">
        <v>85896100</v>
      </c>
      <c r="D3743">
        <v>3</v>
      </c>
      <c r="E3743">
        <v>30850516</v>
      </c>
      <c r="F3743" t="s">
        <v>600</v>
      </c>
      <c r="G3743" s="1">
        <v>45236</v>
      </c>
      <c r="H3743">
        <v>5412349</v>
      </c>
      <c r="I3743">
        <v>455</v>
      </c>
      <c r="J3743" t="s">
        <v>123</v>
      </c>
      <c r="K3743" t="str">
        <f>IFERROR(IF(AND(VLOOKUP($C3743,Hes!$A:$B, 1, FALSE), $M3743&lt;&gt;" "), "Ingresada", "Falta Ingresar"), " ")</f>
        <v xml:space="preserve"> </v>
      </c>
      <c r="L3743" s="4" t="str">
        <f>IFERROR(VLOOKUP($C3743,Observaciones!$A:$B,2,FALSE)," ")</f>
        <v>ULTIMO DIA, CON ORDEN DE COMPRA 634261</v>
      </c>
      <c r="M3743" t="s">
        <v>681</v>
      </c>
      <c r="O3743" s="5">
        <v>30850516</v>
      </c>
      <c r="P3743" s="5">
        <v>121713</v>
      </c>
      <c r="Q3743" s="5">
        <v>23125</v>
      </c>
      <c r="R3743" s="5">
        <v>144838</v>
      </c>
    </row>
    <row r="3744" spans="1:18" x14ac:dyDescent="0.25">
      <c r="F3744" t="s">
        <v>497</v>
      </c>
      <c r="K3744" t="str">
        <f>IFERROR(IF(AND(VLOOKUP($C3744,Hes!$A:$B, 1, FALSE), $M3744&lt;&gt;" "), "Ingresada", "Falta Ingresar"), " ")</f>
        <v xml:space="preserve"> </v>
      </c>
      <c r="L3744" s="4" t="str">
        <f>IFERROR(VLOOKUP($C3744,Observaciones!$A:$B,2,FALSE)," ")</f>
        <v xml:space="preserve"> </v>
      </c>
      <c r="M3744" t="s">
        <v>681</v>
      </c>
      <c r="P3744" s="5">
        <v>473026</v>
      </c>
      <c r="Q3744" s="5">
        <v>89874</v>
      </c>
      <c r="R3744" s="5">
        <v>562900</v>
      </c>
    </row>
    <row r="3745" spans="1:18" x14ac:dyDescent="0.25">
      <c r="A3745" t="s">
        <v>503</v>
      </c>
      <c r="B3745" t="s">
        <v>494</v>
      </c>
      <c r="C3745">
        <v>86150200</v>
      </c>
      <c r="D3745">
        <v>0</v>
      </c>
      <c r="E3745">
        <v>4502177027</v>
      </c>
      <c r="F3745" t="s">
        <v>602</v>
      </c>
      <c r="G3745" s="1">
        <v>45232</v>
      </c>
      <c r="H3745">
        <v>5411183</v>
      </c>
      <c r="I3745">
        <v>100</v>
      </c>
      <c r="J3745" t="s">
        <v>384</v>
      </c>
      <c r="K3745" s="8" t="str">
        <f>IFERROR(IF(AND(VLOOKUP($C3745,Hes!$A:$B, 1, FALSE), $M3745&lt;&gt;" "), "Ingresada", "Falta Ingresar"), " ")</f>
        <v>Falta Ingresar</v>
      </c>
      <c r="L3745" s="4" t="str">
        <f>IFERROR(VLOOKUP($C3745,Observaciones!$A:$B,2,FALSE)," ")</f>
        <v xml:space="preserve"> </v>
      </c>
      <c r="M3745" t="s">
        <v>681</v>
      </c>
      <c r="N3745" s="5" t="s">
        <v>841</v>
      </c>
      <c r="O3745" s="5">
        <v>30833995</v>
      </c>
      <c r="P3745" s="5">
        <v>18564</v>
      </c>
      <c r="Q3745" s="5">
        <v>3527</v>
      </c>
      <c r="R3745" s="5">
        <v>22091</v>
      </c>
    </row>
    <row r="3746" spans="1:18" x14ac:dyDescent="0.25">
      <c r="F3746" t="s">
        <v>495</v>
      </c>
      <c r="K3746" t="str">
        <f>IFERROR(IF(AND(VLOOKUP($C3746,Hes!$A:$B, 1, FALSE), $M3746&lt;&gt;" "), "Ingresada", "Falta Ingresar"), " ")</f>
        <v xml:space="preserve"> </v>
      </c>
      <c r="L3746" s="4" t="str">
        <f>IFERROR(VLOOKUP($C3746,Observaciones!$A:$B,2,FALSE)," ")</f>
        <v xml:space="preserve"> </v>
      </c>
      <c r="M3746" t="s">
        <v>681</v>
      </c>
      <c r="P3746" s="5">
        <v>18564</v>
      </c>
      <c r="Q3746" s="5">
        <v>3527</v>
      </c>
      <c r="R3746" s="5">
        <v>22091</v>
      </c>
    </row>
    <row r="3747" spans="1:18" x14ac:dyDescent="0.25">
      <c r="A3747" t="s">
        <v>496</v>
      </c>
      <c r="B3747" t="s">
        <v>494</v>
      </c>
      <c r="C3747">
        <v>86326300</v>
      </c>
      <c r="D3747">
        <v>12</v>
      </c>
      <c r="E3747">
        <v>4501503838</v>
      </c>
      <c r="F3747" t="s">
        <v>1502</v>
      </c>
      <c r="G3747" s="1">
        <v>45231</v>
      </c>
      <c r="H3747">
        <v>5410978</v>
      </c>
      <c r="I3747">
        <v>14</v>
      </c>
      <c r="J3747" t="s">
        <v>309</v>
      </c>
      <c r="K3747" t="str">
        <f>IFERROR(IF(AND(VLOOKUP($C3747,Hes!$A:$B, 1, FALSE), $M3747&lt;&gt;" "), "Ingresada", "Falta Ingresar"), " ")</f>
        <v xml:space="preserve"> </v>
      </c>
      <c r="L3747" s="4" t="s">
        <v>681</v>
      </c>
      <c r="M3747" t="s">
        <v>681</v>
      </c>
      <c r="O3747" s="5">
        <v>30843625</v>
      </c>
      <c r="P3747" s="5">
        <v>22670</v>
      </c>
      <c r="Q3747" s="5">
        <v>4307</v>
      </c>
      <c r="R3747" s="5">
        <v>26977</v>
      </c>
    </row>
    <row r="3748" spans="1:18" x14ac:dyDescent="0.25">
      <c r="F3748" t="s">
        <v>495</v>
      </c>
      <c r="K3748" t="str">
        <f>IFERROR(IF(AND(VLOOKUP($C3748,Hes!$A:$B, 1, FALSE), $M3748&lt;&gt;" "), "Ingresada", "Falta Ingresar"), " ")</f>
        <v xml:space="preserve"> </v>
      </c>
      <c r="L3748" s="4" t="str">
        <f>IFERROR(VLOOKUP($C3748,Observaciones!$A:$B,2,FALSE)," ")</f>
        <v xml:space="preserve"> </v>
      </c>
      <c r="M3748" t="s">
        <v>681</v>
      </c>
      <c r="P3748" s="5">
        <v>22670</v>
      </c>
      <c r="Q3748" s="5">
        <v>4307</v>
      </c>
      <c r="R3748" s="5">
        <v>26977</v>
      </c>
    </row>
    <row r="3749" spans="1:18" x14ac:dyDescent="0.25">
      <c r="A3749" t="s">
        <v>503</v>
      </c>
      <c r="B3749" t="s">
        <v>494</v>
      </c>
      <c r="C3749">
        <v>86356400</v>
      </c>
      <c r="D3749">
        <v>218</v>
      </c>
      <c r="E3749" t="s">
        <v>1503</v>
      </c>
      <c r="F3749" t="s">
        <v>1504</v>
      </c>
      <c r="G3749" s="1">
        <v>45236</v>
      </c>
      <c r="H3749">
        <v>5413323</v>
      </c>
      <c r="I3749">
        <v>196</v>
      </c>
      <c r="J3749" t="s">
        <v>382</v>
      </c>
      <c r="K3749" t="str">
        <f>IFERROR(IF(AND(VLOOKUP($C3749,Hes!$A:$B, 1, FALSE), $M3749&lt;&gt;" "), "Ingresada", "Falta Ingresar"), " ")</f>
        <v xml:space="preserve"> </v>
      </c>
      <c r="L3749" s="4" t="s">
        <v>681</v>
      </c>
      <c r="M3749" t="s">
        <v>681</v>
      </c>
      <c r="O3749" s="5">
        <v>30855854</v>
      </c>
      <c r="P3749" s="5">
        <v>632600</v>
      </c>
      <c r="Q3749" s="5">
        <v>120194</v>
      </c>
      <c r="R3749" s="5">
        <v>752794</v>
      </c>
    </row>
    <row r="3750" spans="1:18" x14ac:dyDescent="0.25">
      <c r="F3750" t="s">
        <v>495</v>
      </c>
      <c r="K3750" t="str">
        <f>IFERROR(IF(AND(VLOOKUP($C3750,Hes!$A:$B, 1, FALSE), $M3750&lt;&gt;" "), "Ingresada", "Falta Ingresar"), " ")</f>
        <v xml:space="preserve"> </v>
      </c>
      <c r="L3750" s="4" t="str">
        <f>IFERROR(VLOOKUP($C3750,Observaciones!$A:$B,2,FALSE)," ")</f>
        <v xml:space="preserve"> </v>
      </c>
      <c r="M3750" t="s">
        <v>681</v>
      </c>
      <c r="P3750" s="5">
        <v>632600</v>
      </c>
      <c r="Q3750" s="5">
        <v>120194</v>
      </c>
      <c r="R3750" s="5">
        <v>752794</v>
      </c>
    </row>
    <row r="3751" spans="1:18" x14ac:dyDescent="0.25">
      <c r="A3751" t="s">
        <v>512</v>
      </c>
      <c r="B3751" t="s">
        <v>494</v>
      </c>
      <c r="C3751">
        <v>86359300</v>
      </c>
      <c r="D3751">
        <v>10</v>
      </c>
      <c r="E3751">
        <v>30863292</v>
      </c>
      <c r="F3751" t="s">
        <v>604</v>
      </c>
      <c r="G3751" s="1">
        <v>45238</v>
      </c>
      <c r="H3751">
        <v>5415045</v>
      </c>
      <c r="I3751">
        <v>63</v>
      </c>
      <c r="J3751" t="s">
        <v>170</v>
      </c>
      <c r="K3751" s="8" t="str">
        <f>IFERROR(IF(AND(VLOOKUP($C3751,Hes!$A:$B, 1, FALSE), $M3751&lt;&gt;" "), "Ingresada", "Falta Ingresar"), " ")</f>
        <v>Falta Ingresar</v>
      </c>
      <c r="L3751" s="4" t="str">
        <f>IFERROR(VLOOKUP($C3751,Observaciones!$A:$B,2,FALSE)," ")</f>
        <v xml:space="preserve"> </v>
      </c>
      <c r="M3751" t="s">
        <v>681</v>
      </c>
      <c r="N3751" s="5" t="s">
        <v>841</v>
      </c>
      <c r="O3751" s="5">
        <v>30863292</v>
      </c>
      <c r="P3751" s="5">
        <v>54645</v>
      </c>
      <c r="Q3751" s="5">
        <v>10383</v>
      </c>
      <c r="R3751" s="5">
        <v>65028</v>
      </c>
    </row>
    <row r="3752" spans="1:18" x14ac:dyDescent="0.25">
      <c r="A3752" t="s">
        <v>512</v>
      </c>
      <c r="B3752" t="s">
        <v>494</v>
      </c>
      <c r="C3752">
        <v>86359300</v>
      </c>
      <c r="D3752">
        <v>9</v>
      </c>
      <c r="E3752">
        <v>30863284</v>
      </c>
      <c r="F3752" t="s">
        <v>604</v>
      </c>
      <c r="G3752" s="1">
        <v>45238</v>
      </c>
      <c r="H3752">
        <v>5415064</v>
      </c>
      <c r="I3752">
        <v>63</v>
      </c>
      <c r="J3752" t="s">
        <v>170</v>
      </c>
      <c r="K3752" s="8" t="str">
        <f>IFERROR(IF(AND(VLOOKUP($C3752,Hes!$A:$B, 1, FALSE), $M3752&lt;&gt;" "), "Ingresada", "Falta Ingresar"), " ")</f>
        <v>Falta Ingresar</v>
      </c>
      <c r="L3752" s="4" t="str">
        <f>IFERROR(VLOOKUP($C3752,Observaciones!$A:$B,2,FALSE)," ")</f>
        <v xml:space="preserve"> </v>
      </c>
      <c r="M3752" t="s">
        <v>681</v>
      </c>
      <c r="N3752" s="5" t="s">
        <v>841</v>
      </c>
      <c r="O3752" s="5">
        <v>30863284</v>
      </c>
      <c r="P3752" s="5">
        <v>44330</v>
      </c>
      <c r="Q3752" s="5">
        <v>8423</v>
      </c>
      <c r="R3752" s="5">
        <v>52753</v>
      </c>
    </row>
    <row r="3753" spans="1:18" x14ac:dyDescent="0.25">
      <c r="A3753" t="s">
        <v>512</v>
      </c>
      <c r="B3753" t="s">
        <v>494</v>
      </c>
      <c r="C3753">
        <v>86359300</v>
      </c>
      <c r="D3753">
        <v>5</v>
      </c>
      <c r="E3753">
        <v>30866444</v>
      </c>
      <c r="F3753" t="s">
        <v>604</v>
      </c>
      <c r="G3753" s="1">
        <v>45238</v>
      </c>
      <c r="H3753">
        <v>5415695</v>
      </c>
      <c r="I3753">
        <v>63</v>
      </c>
      <c r="J3753" t="s">
        <v>170</v>
      </c>
      <c r="K3753" s="8" t="str">
        <f>IFERROR(IF(AND(VLOOKUP($C3753,Hes!$A:$B, 1, FALSE), $M3753&lt;&gt;" "), "Ingresada", "Falta Ingresar"), " ")</f>
        <v>Falta Ingresar</v>
      </c>
      <c r="L3753" s="4" t="str">
        <f>IFERROR(VLOOKUP($C3753,Observaciones!$A:$B,2,FALSE)," ")</f>
        <v xml:space="preserve"> </v>
      </c>
      <c r="M3753" t="s">
        <v>681</v>
      </c>
      <c r="N3753" s="5" t="s">
        <v>841</v>
      </c>
      <c r="O3753" s="5">
        <v>30866444</v>
      </c>
      <c r="P3753" s="5">
        <v>370264</v>
      </c>
      <c r="Q3753" s="5">
        <v>70350</v>
      </c>
      <c r="R3753" s="5">
        <v>440614</v>
      </c>
    </row>
    <row r="3754" spans="1:18" x14ac:dyDescent="0.25">
      <c r="A3754" t="s">
        <v>512</v>
      </c>
      <c r="B3754" t="s">
        <v>494</v>
      </c>
      <c r="C3754">
        <v>86359300</v>
      </c>
      <c r="D3754">
        <v>10</v>
      </c>
      <c r="E3754">
        <v>30863289</v>
      </c>
      <c r="F3754" t="s">
        <v>604</v>
      </c>
      <c r="G3754" s="1">
        <v>45238</v>
      </c>
      <c r="H3754">
        <v>5415717</v>
      </c>
      <c r="I3754">
        <v>63</v>
      </c>
      <c r="J3754" t="s">
        <v>170</v>
      </c>
      <c r="K3754" s="8" t="str">
        <f>IFERROR(IF(AND(VLOOKUP($C3754,Hes!$A:$B, 1, FALSE), $M3754&lt;&gt;" "), "Ingresada", "Falta Ingresar"), " ")</f>
        <v>Falta Ingresar</v>
      </c>
      <c r="L3754" s="4" t="str">
        <f>IFERROR(VLOOKUP($C3754,Observaciones!$A:$B,2,FALSE)," ")</f>
        <v xml:space="preserve"> </v>
      </c>
      <c r="M3754" t="s">
        <v>681</v>
      </c>
      <c r="N3754" s="5" t="s">
        <v>841</v>
      </c>
      <c r="O3754" s="5">
        <v>30863289</v>
      </c>
      <c r="P3754" s="5">
        <v>70173</v>
      </c>
      <c r="Q3754" s="5">
        <v>13333</v>
      </c>
      <c r="R3754" s="5">
        <v>83506</v>
      </c>
    </row>
    <row r="3755" spans="1:18" x14ac:dyDescent="0.25">
      <c r="A3755" t="s">
        <v>512</v>
      </c>
      <c r="B3755" t="s">
        <v>494</v>
      </c>
      <c r="C3755">
        <v>86359300</v>
      </c>
      <c r="D3755">
        <v>11</v>
      </c>
      <c r="E3755">
        <v>30866595</v>
      </c>
      <c r="F3755" t="s">
        <v>604</v>
      </c>
      <c r="G3755" s="1">
        <v>45238</v>
      </c>
      <c r="H3755">
        <v>5415785</v>
      </c>
      <c r="I3755">
        <v>63</v>
      </c>
      <c r="J3755" t="s">
        <v>170</v>
      </c>
      <c r="K3755" s="8" t="str">
        <f>IFERROR(IF(AND(VLOOKUP($C3755,Hes!$A:$B, 1, FALSE), $M3755&lt;&gt;" "), "Ingresada", "Falta Ingresar"), " ")</f>
        <v>Falta Ingresar</v>
      </c>
      <c r="L3755" s="4" t="str">
        <f>IFERROR(VLOOKUP($C3755,Observaciones!$A:$B,2,FALSE)," ")</f>
        <v xml:space="preserve"> </v>
      </c>
      <c r="M3755" t="s">
        <v>681</v>
      </c>
      <c r="N3755" s="5" t="s">
        <v>841</v>
      </c>
      <c r="O3755" s="5">
        <v>30866595</v>
      </c>
      <c r="P3755" s="5">
        <v>75390</v>
      </c>
      <c r="Q3755" s="5">
        <v>14324</v>
      </c>
      <c r="R3755" s="5">
        <v>89714</v>
      </c>
    </row>
    <row r="3756" spans="1:18" x14ac:dyDescent="0.25">
      <c r="F3756" t="s">
        <v>499</v>
      </c>
      <c r="K3756" t="str">
        <f>IFERROR(IF(AND(VLOOKUP($C3756,Hes!$A:$B, 1, FALSE), $M3756&lt;&gt;" "), "Ingresada", "Falta Ingresar"), " ")</f>
        <v xml:space="preserve"> </v>
      </c>
      <c r="L3756" s="4" t="str">
        <f>IFERROR(VLOOKUP($C3756,Observaciones!$A:$B,2,FALSE)," ")</f>
        <v xml:space="preserve"> </v>
      </c>
      <c r="M3756" t="s">
        <v>681</v>
      </c>
      <c r="P3756" s="5">
        <v>614802</v>
      </c>
      <c r="Q3756" s="5">
        <v>116813</v>
      </c>
      <c r="R3756" s="5">
        <v>731615</v>
      </c>
    </row>
    <row r="3757" spans="1:18" x14ac:dyDescent="0.25">
      <c r="A3757" t="s">
        <v>496</v>
      </c>
      <c r="B3757" t="s">
        <v>494</v>
      </c>
      <c r="C3757">
        <v>86386700</v>
      </c>
      <c r="D3757">
        <v>0</v>
      </c>
      <c r="E3757">
        <v>103426</v>
      </c>
      <c r="F3757" t="s">
        <v>1505</v>
      </c>
      <c r="G3757" s="1">
        <v>45232</v>
      </c>
      <c r="H3757">
        <v>5410696</v>
      </c>
      <c r="I3757">
        <v>64</v>
      </c>
      <c r="J3757" t="s">
        <v>138</v>
      </c>
      <c r="K3757" s="8" t="str">
        <f>IFERROR(IF(AND(VLOOKUP($C3757,Hes!$A:$B, 1, FALSE), $M3757&lt;&gt;" "), "Ingresada", "Falta Ingresar"), " ")</f>
        <v>Falta Ingresar</v>
      </c>
      <c r="L3757" s="4" t="str">
        <f>IFERROR(VLOOKUP($C3757,Observaciones!$A:$B,2,FALSE)," ")</f>
        <v xml:space="preserve"> </v>
      </c>
      <c r="M3757" t="s">
        <v>681</v>
      </c>
      <c r="N3757" s="5" t="s">
        <v>841</v>
      </c>
      <c r="O3757" s="5">
        <v>30824807</v>
      </c>
      <c r="P3757" s="5">
        <v>104208</v>
      </c>
      <c r="Q3757" s="5">
        <v>19800</v>
      </c>
      <c r="R3757" s="5">
        <v>124008</v>
      </c>
    </row>
    <row r="3758" spans="1:18" x14ac:dyDescent="0.25">
      <c r="A3758" t="s">
        <v>496</v>
      </c>
      <c r="B3758" t="s">
        <v>494</v>
      </c>
      <c r="C3758">
        <v>86386700</v>
      </c>
      <c r="D3758">
        <v>0</v>
      </c>
      <c r="E3758">
        <v>103441</v>
      </c>
      <c r="F3758" t="s">
        <v>1505</v>
      </c>
      <c r="G3758" s="1">
        <v>45232</v>
      </c>
      <c r="H3758">
        <v>5410702</v>
      </c>
      <c r="I3758">
        <v>64</v>
      </c>
      <c r="J3758" t="s">
        <v>138</v>
      </c>
      <c r="K3758" s="8" t="str">
        <f>IFERROR(IF(AND(VLOOKUP($C3758,Hes!$A:$B, 1, FALSE), $M3758&lt;&gt;" "), "Ingresada", "Falta Ingresar"), " ")</f>
        <v>Falta Ingresar</v>
      </c>
      <c r="L3758" s="4" t="str">
        <f>IFERROR(VLOOKUP($C3758,Observaciones!$A:$B,2,FALSE)," ")</f>
        <v xml:space="preserve"> </v>
      </c>
      <c r="M3758" t="s">
        <v>681</v>
      </c>
      <c r="N3758" s="5" t="s">
        <v>841</v>
      </c>
      <c r="O3758" s="5">
        <v>30820989</v>
      </c>
      <c r="P3758" s="5">
        <v>106368</v>
      </c>
      <c r="Q3758" s="5">
        <v>20210</v>
      </c>
      <c r="R3758" s="5">
        <v>126578</v>
      </c>
    </row>
    <row r="3759" spans="1:18" x14ac:dyDescent="0.25">
      <c r="A3759" t="s">
        <v>496</v>
      </c>
      <c r="B3759" t="s">
        <v>494</v>
      </c>
      <c r="C3759">
        <v>86386700</v>
      </c>
      <c r="D3759">
        <v>0</v>
      </c>
      <c r="E3759">
        <v>103492</v>
      </c>
      <c r="F3759" t="s">
        <v>1505</v>
      </c>
      <c r="G3759" s="1">
        <v>45232</v>
      </c>
      <c r="H3759">
        <v>5411207</v>
      </c>
      <c r="I3759">
        <v>72</v>
      </c>
      <c r="J3759" t="s">
        <v>176</v>
      </c>
      <c r="K3759" s="8" t="str">
        <f>IFERROR(IF(AND(VLOOKUP($C3759,Hes!$A:$B, 1, FALSE), $M3759&lt;&gt;" "), "Ingresada", "Falta Ingresar"), " ")</f>
        <v>Falta Ingresar</v>
      </c>
      <c r="L3759" s="4" t="str">
        <f>IFERROR(VLOOKUP($C3759,Observaciones!$A:$B,2,FALSE)," ")</f>
        <v xml:space="preserve"> </v>
      </c>
      <c r="M3759" t="s">
        <v>681</v>
      </c>
      <c r="N3759" s="5" t="s">
        <v>841</v>
      </c>
      <c r="O3759" s="5">
        <v>30842419</v>
      </c>
      <c r="P3759" s="5">
        <v>85995</v>
      </c>
      <c r="Q3759" s="5">
        <v>16339</v>
      </c>
      <c r="R3759" s="5">
        <v>102334</v>
      </c>
    </row>
    <row r="3760" spans="1:18" x14ac:dyDescent="0.25">
      <c r="F3760" t="s">
        <v>500</v>
      </c>
      <c r="K3760" t="str">
        <f>IFERROR(IF(AND(VLOOKUP($C3760,Hes!$A:$B, 1, FALSE), $M3760&lt;&gt;" "), "Ingresada", "Falta Ingresar"), " ")</f>
        <v xml:space="preserve"> </v>
      </c>
      <c r="L3760" s="4" t="str">
        <f>IFERROR(VLOOKUP($C3760,Observaciones!$A:$B,2,FALSE)," ")</f>
        <v xml:space="preserve"> </v>
      </c>
      <c r="M3760" t="s">
        <v>681</v>
      </c>
      <c r="P3760" s="5">
        <v>296571</v>
      </c>
      <c r="Q3760" s="5">
        <v>56349</v>
      </c>
      <c r="R3760" s="5">
        <v>352920</v>
      </c>
    </row>
    <row r="3761" spans="1:18" x14ac:dyDescent="0.25">
      <c r="A3761" t="s">
        <v>501</v>
      </c>
      <c r="B3761" t="s">
        <v>494</v>
      </c>
      <c r="C3761">
        <v>86392300</v>
      </c>
      <c r="D3761">
        <v>0</v>
      </c>
      <c r="E3761" t="s">
        <v>1506</v>
      </c>
      <c r="F3761" t="s">
        <v>1507</v>
      </c>
      <c r="G3761" s="1">
        <v>45238</v>
      </c>
      <c r="H3761">
        <v>5414677</v>
      </c>
      <c r="I3761">
        <v>176</v>
      </c>
      <c r="J3761" t="s">
        <v>158</v>
      </c>
      <c r="K3761" t="str">
        <f>IFERROR(IF(AND(VLOOKUP($C3761,Hes!$A:$B, 1, FALSE), $M3761&lt;&gt;" "), "Ingresada", "Falta Ingresar"), " ")</f>
        <v xml:space="preserve"> </v>
      </c>
      <c r="L3761" s="4" t="str">
        <f>IFERROR(VLOOKUP($C3761,Observaciones!$A:$B,2,FALSE)," ")</f>
        <v xml:space="preserve"> </v>
      </c>
      <c r="M3761" t="s">
        <v>681</v>
      </c>
      <c r="O3761" s="5">
        <v>30852671</v>
      </c>
      <c r="P3761" s="5">
        <v>230148</v>
      </c>
      <c r="Q3761" s="5">
        <v>43728</v>
      </c>
      <c r="R3761" s="5">
        <v>273876</v>
      </c>
    </row>
    <row r="3762" spans="1:18" x14ac:dyDescent="0.25">
      <c r="F3762" t="s">
        <v>495</v>
      </c>
      <c r="K3762" t="str">
        <f>IFERROR(IF(AND(VLOOKUP($C3762,Hes!$A:$B, 1, FALSE), $M3762&lt;&gt;" "), "Ingresada", "Falta Ingresar"), " ")</f>
        <v xml:space="preserve"> </v>
      </c>
      <c r="L3762" s="4" t="str">
        <f>IFERROR(VLOOKUP($C3762,Observaciones!$A:$B,2,FALSE)," ")</f>
        <v xml:space="preserve"> </v>
      </c>
      <c r="M3762" t="s">
        <v>681</v>
      </c>
      <c r="P3762" s="5">
        <v>230148</v>
      </c>
      <c r="Q3762" s="5">
        <v>43728</v>
      </c>
      <c r="R3762" s="5">
        <v>273876</v>
      </c>
    </row>
    <row r="3763" spans="1:18" x14ac:dyDescent="0.25">
      <c r="A3763" t="s">
        <v>503</v>
      </c>
      <c r="B3763" t="s">
        <v>509</v>
      </c>
      <c r="C3763">
        <v>86500000</v>
      </c>
      <c r="D3763">
        <v>1</v>
      </c>
      <c r="E3763" t="s">
        <v>1508</v>
      </c>
      <c r="F3763" t="s">
        <v>1509</v>
      </c>
      <c r="G3763" s="1">
        <v>45236</v>
      </c>
      <c r="H3763">
        <v>5412351</v>
      </c>
      <c r="I3763">
        <v>104</v>
      </c>
      <c r="J3763" t="s">
        <v>210</v>
      </c>
      <c r="K3763" t="str">
        <f>IFERROR(IF(AND(VLOOKUP($C3763,Hes!$A:$B, 1, FALSE), $M3763&lt;&gt;" "), "Ingresada", "Falta Ingresar"), " ")</f>
        <v xml:space="preserve"> </v>
      </c>
      <c r="L3763" s="4" t="s">
        <v>681</v>
      </c>
      <c r="M3763" t="s">
        <v>681</v>
      </c>
      <c r="O3763" s="5">
        <v>30844390</v>
      </c>
      <c r="P3763" s="5">
        <v>437737</v>
      </c>
      <c r="Q3763" s="5">
        <v>83170</v>
      </c>
      <c r="R3763" s="5">
        <v>520907</v>
      </c>
    </row>
    <row r="3764" spans="1:18" x14ac:dyDescent="0.25">
      <c r="A3764" t="s">
        <v>503</v>
      </c>
      <c r="B3764" t="s">
        <v>509</v>
      </c>
      <c r="C3764">
        <v>86500000</v>
      </c>
      <c r="D3764">
        <v>3</v>
      </c>
      <c r="E3764" t="s">
        <v>1510</v>
      </c>
      <c r="F3764" t="s">
        <v>1509</v>
      </c>
      <c r="G3764" s="1">
        <v>45238</v>
      </c>
      <c r="H3764">
        <v>5415371</v>
      </c>
      <c r="I3764">
        <v>104</v>
      </c>
      <c r="J3764" t="s">
        <v>210</v>
      </c>
      <c r="K3764" t="str">
        <f>IFERROR(IF(AND(VLOOKUP($C3764,Hes!$A:$B, 1, FALSE), $M3764&lt;&gt;" "), "Ingresada", "Falta Ingresar"), " ")</f>
        <v xml:space="preserve"> </v>
      </c>
      <c r="L3764" s="4" t="s">
        <v>681</v>
      </c>
      <c r="M3764" t="s">
        <v>681</v>
      </c>
      <c r="O3764" s="5">
        <v>30863909</v>
      </c>
      <c r="P3764" s="5">
        <v>158834</v>
      </c>
      <c r="Q3764" s="5">
        <v>30178</v>
      </c>
      <c r="R3764" s="5">
        <v>189012</v>
      </c>
    </row>
    <row r="3765" spans="1:18" x14ac:dyDescent="0.25">
      <c r="A3765" t="s">
        <v>503</v>
      </c>
      <c r="B3765" t="s">
        <v>509</v>
      </c>
      <c r="C3765">
        <v>86500000</v>
      </c>
      <c r="D3765">
        <v>6</v>
      </c>
      <c r="E3765" t="s">
        <v>1511</v>
      </c>
      <c r="F3765" t="s">
        <v>1509</v>
      </c>
      <c r="G3765" s="1">
        <v>45238</v>
      </c>
      <c r="H3765">
        <v>5415509</v>
      </c>
      <c r="I3765">
        <v>104</v>
      </c>
      <c r="J3765" t="s">
        <v>210</v>
      </c>
      <c r="K3765" t="str">
        <f>IFERROR(IF(AND(VLOOKUP($C3765,Hes!$A:$B, 1, FALSE), $M3765&lt;&gt;" "), "Ingresada", "Falta Ingresar"), " ")</f>
        <v xml:space="preserve"> </v>
      </c>
      <c r="L3765" s="4" t="s">
        <v>681</v>
      </c>
      <c r="M3765" t="s">
        <v>681</v>
      </c>
      <c r="O3765" s="5">
        <v>30864746</v>
      </c>
      <c r="P3765" s="5">
        <v>139017</v>
      </c>
      <c r="Q3765" s="5">
        <v>26413</v>
      </c>
      <c r="R3765" s="5">
        <v>165430</v>
      </c>
    </row>
    <row r="3766" spans="1:18" x14ac:dyDescent="0.25">
      <c r="A3766" t="s">
        <v>503</v>
      </c>
      <c r="B3766" t="s">
        <v>509</v>
      </c>
      <c r="C3766">
        <v>86500000</v>
      </c>
      <c r="D3766">
        <v>3</v>
      </c>
      <c r="E3766" t="s">
        <v>1512</v>
      </c>
      <c r="F3766" t="s">
        <v>1509</v>
      </c>
      <c r="G3766" s="1">
        <v>45238</v>
      </c>
      <c r="H3766">
        <v>5415548</v>
      </c>
      <c r="I3766">
        <v>104</v>
      </c>
      <c r="J3766" t="s">
        <v>210</v>
      </c>
      <c r="K3766" t="str">
        <f>IFERROR(IF(AND(VLOOKUP($C3766,Hes!$A:$B, 1, FALSE), $M3766&lt;&gt;" "), "Ingresada", "Falta Ingresar"), " ")</f>
        <v xml:space="preserve"> </v>
      </c>
      <c r="L3766" s="4" t="s">
        <v>681</v>
      </c>
      <c r="M3766" t="s">
        <v>681</v>
      </c>
      <c r="O3766" s="5">
        <v>30844193</v>
      </c>
      <c r="P3766" s="5">
        <v>195605</v>
      </c>
      <c r="Q3766" s="5">
        <v>37165</v>
      </c>
      <c r="R3766" s="5">
        <v>232770</v>
      </c>
    </row>
    <row r="3767" spans="1:18" x14ac:dyDescent="0.25">
      <c r="A3767" t="s">
        <v>503</v>
      </c>
      <c r="B3767" t="s">
        <v>509</v>
      </c>
      <c r="C3767">
        <v>86500000</v>
      </c>
      <c r="D3767">
        <v>4</v>
      </c>
      <c r="E3767" t="s">
        <v>1513</v>
      </c>
      <c r="F3767" t="s">
        <v>1509</v>
      </c>
      <c r="G3767" s="1">
        <v>45238</v>
      </c>
      <c r="H3767">
        <v>5415808</v>
      </c>
      <c r="I3767">
        <v>104</v>
      </c>
      <c r="J3767" t="s">
        <v>210</v>
      </c>
      <c r="K3767" t="str">
        <f>IFERROR(IF(AND(VLOOKUP($C3767,Hes!$A:$B, 1, FALSE), $M3767&lt;&gt;" "), "Ingresada", "Falta Ingresar"), " ")</f>
        <v xml:space="preserve"> </v>
      </c>
      <c r="L3767" s="4" t="s">
        <v>681</v>
      </c>
      <c r="M3767" t="s">
        <v>681</v>
      </c>
      <c r="O3767" s="5">
        <v>30864811</v>
      </c>
      <c r="P3767" s="5">
        <v>156112</v>
      </c>
      <c r="Q3767" s="5">
        <v>29661</v>
      </c>
      <c r="R3767" s="5">
        <v>185773</v>
      </c>
    </row>
    <row r="3768" spans="1:18" x14ac:dyDescent="0.25">
      <c r="F3768" t="s">
        <v>499</v>
      </c>
      <c r="K3768" t="str">
        <f>IFERROR(IF(AND(VLOOKUP($C3768,Hes!$A:$B, 1, FALSE), $M3768&lt;&gt;" "), "Ingresada", "Falta Ingresar"), " ")</f>
        <v xml:space="preserve"> </v>
      </c>
      <c r="L3768" s="4" t="str">
        <f>IFERROR(VLOOKUP($C3768,Observaciones!$A:$B,2,FALSE)," ")</f>
        <v xml:space="preserve"> </v>
      </c>
      <c r="M3768" t="s">
        <v>681</v>
      </c>
      <c r="P3768" s="5">
        <v>1087305</v>
      </c>
      <c r="Q3768" s="5">
        <v>206587</v>
      </c>
      <c r="R3768" s="5">
        <v>1293892</v>
      </c>
    </row>
    <row r="3769" spans="1:18" x14ac:dyDescent="0.25">
      <c r="A3769" t="s">
        <v>496</v>
      </c>
      <c r="B3769" t="s">
        <v>494</v>
      </c>
      <c r="C3769">
        <v>86740500</v>
      </c>
      <c r="D3769">
        <v>0</v>
      </c>
      <c r="E3769">
        <v>4500095974</v>
      </c>
      <c r="F3769" t="s">
        <v>1514</v>
      </c>
      <c r="G3769" s="1">
        <v>45232</v>
      </c>
      <c r="H3769">
        <v>5411033</v>
      </c>
      <c r="I3769">
        <v>136</v>
      </c>
      <c r="J3769" t="s">
        <v>313</v>
      </c>
      <c r="K3769" s="8" t="str">
        <f>IFERROR(IF(AND(VLOOKUP($C3769,Hes!$A:$B, 1, FALSE), $M3769&lt;&gt;" "), "Ingresada", "Falta Ingresar"), " ")</f>
        <v>Falta Ingresar</v>
      </c>
      <c r="L3769" s="4" t="str">
        <f>IFERROR(VLOOKUP($C3769,Observaciones!$A:$B,2,FALSE)," ")</f>
        <v xml:space="preserve"> </v>
      </c>
      <c r="M3769" t="s">
        <v>681</v>
      </c>
      <c r="N3769" s="5" t="s">
        <v>841</v>
      </c>
      <c r="O3769" s="5">
        <v>30829354</v>
      </c>
      <c r="P3769" s="5">
        <v>304000</v>
      </c>
      <c r="Q3769" s="5">
        <v>57760</v>
      </c>
      <c r="R3769" s="5">
        <v>361760</v>
      </c>
    </row>
    <row r="3770" spans="1:18" x14ac:dyDescent="0.25">
      <c r="A3770" t="s">
        <v>496</v>
      </c>
      <c r="B3770" t="s">
        <v>494</v>
      </c>
      <c r="C3770">
        <v>86740500</v>
      </c>
      <c r="D3770">
        <v>0</v>
      </c>
      <c r="E3770">
        <v>4500096261</v>
      </c>
      <c r="F3770" t="s">
        <v>1514</v>
      </c>
      <c r="G3770" s="1">
        <v>45238</v>
      </c>
      <c r="H3770">
        <v>5414984</v>
      </c>
      <c r="I3770">
        <v>136</v>
      </c>
      <c r="J3770" t="s">
        <v>313</v>
      </c>
      <c r="K3770" s="8" t="str">
        <f>IFERROR(IF(AND(VLOOKUP($C3770,Hes!$A:$B, 1, FALSE), $M3770&lt;&gt;" "), "Ingresada", "Falta Ingresar"), " ")</f>
        <v>Falta Ingresar</v>
      </c>
      <c r="L3770" s="4" t="str">
        <f>IFERROR(VLOOKUP($C3770,Observaciones!$A:$B,2,FALSE)," ")</f>
        <v xml:space="preserve"> </v>
      </c>
      <c r="M3770" t="s">
        <v>681</v>
      </c>
      <c r="N3770" s="5" t="s">
        <v>841</v>
      </c>
      <c r="O3770" s="5">
        <v>30860105</v>
      </c>
      <c r="P3770" s="5">
        <v>114214</v>
      </c>
      <c r="Q3770" s="5">
        <v>21701</v>
      </c>
      <c r="R3770" s="5">
        <v>135915</v>
      </c>
    </row>
    <row r="3771" spans="1:18" x14ac:dyDescent="0.25">
      <c r="F3771" t="s">
        <v>497</v>
      </c>
      <c r="K3771" t="str">
        <f>IFERROR(IF(AND(VLOOKUP($C3771,Hes!$A:$B, 1, FALSE), $M3771&lt;&gt;" "), "Ingresada", "Falta Ingresar"), " ")</f>
        <v xml:space="preserve"> </v>
      </c>
      <c r="L3771" s="4" t="str">
        <f>IFERROR(VLOOKUP($C3771,Observaciones!$A:$B,2,FALSE)," ")</f>
        <v xml:space="preserve"> </v>
      </c>
      <c r="M3771" t="s">
        <v>681</v>
      </c>
      <c r="P3771" s="5">
        <v>418214</v>
      </c>
      <c r="Q3771" s="5">
        <v>79461</v>
      </c>
      <c r="R3771" s="5">
        <v>497675</v>
      </c>
    </row>
    <row r="3772" spans="1:18" x14ac:dyDescent="0.25">
      <c r="A3772" t="s">
        <v>522</v>
      </c>
      <c r="B3772" t="s">
        <v>494</v>
      </c>
      <c r="C3772">
        <v>86887200</v>
      </c>
      <c r="D3772">
        <v>6</v>
      </c>
      <c r="E3772">
        <v>30842275</v>
      </c>
      <c r="F3772" t="s">
        <v>1515</v>
      </c>
      <c r="G3772" s="1">
        <v>45234</v>
      </c>
      <c r="H3772">
        <v>5411787</v>
      </c>
      <c r="I3772">
        <v>357</v>
      </c>
      <c r="J3772" t="s">
        <v>299</v>
      </c>
      <c r="K3772" t="str">
        <f>IFERROR(IF(AND(VLOOKUP($C3772,Hes!$A:$B, 1, FALSE), $M3772&lt;&gt;" "), "Ingresada", "Falta Ingresar"), " ")</f>
        <v xml:space="preserve"> </v>
      </c>
      <c r="L3772" s="4" t="s">
        <v>681</v>
      </c>
      <c r="M3772" t="s">
        <v>681</v>
      </c>
      <c r="O3772" s="5">
        <v>30842275</v>
      </c>
      <c r="P3772" s="5">
        <v>491701</v>
      </c>
      <c r="Q3772" s="5">
        <v>93423</v>
      </c>
      <c r="R3772" s="5">
        <v>585124</v>
      </c>
    </row>
    <row r="3773" spans="1:18" x14ac:dyDescent="0.25">
      <c r="A3773" t="s">
        <v>522</v>
      </c>
      <c r="B3773" t="s">
        <v>494</v>
      </c>
      <c r="C3773">
        <v>86887200</v>
      </c>
      <c r="D3773">
        <v>6</v>
      </c>
      <c r="E3773">
        <v>30842275</v>
      </c>
      <c r="F3773" t="s">
        <v>1515</v>
      </c>
      <c r="G3773" s="1">
        <v>45234</v>
      </c>
      <c r="H3773">
        <v>5411788</v>
      </c>
      <c r="I3773">
        <v>357</v>
      </c>
      <c r="J3773" t="s">
        <v>299</v>
      </c>
      <c r="K3773" t="str">
        <f>IFERROR(IF(AND(VLOOKUP($C3773,Hes!$A:$B, 1, FALSE), $M3773&lt;&gt;" "), "Ingresada", "Falta Ingresar"), " ")</f>
        <v xml:space="preserve"> </v>
      </c>
      <c r="L3773" s="4" t="s">
        <v>681</v>
      </c>
      <c r="M3773" t="s">
        <v>681</v>
      </c>
      <c r="O3773" s="5">
        <v>30842275</v>
      </c>
      <c r="P3773" s="5">
        <v>69101</v>
      </c>
      <c r="Q3773" s="5">
        <v>13129</v>
      </c>
      <c r="R3773" s="5">
        <v>82230</v>
      </c>
    </row>
    <row r="3774" spans="1:18" x14ac:dyDescent="0.25">
      <c r="A3774" t="s">
        <v>522</v>
      </c>
      <c r="B3774" t="s">
        <v>494</v>
      </c>
      <c r="C3774">
        <v>86887200</v>
      </c>
      <c r="D3774">
        <v>4</v>
      </c>
      <c r="E3774">
        <v>30842303</v>
      </c>
      <c r="F3774" t="s">
        <v>1515</v>
      </c>
      <c r="G3774" s="1">
        <v>45236</v>
      </c>
      <c r="H3774">
        <v>5411921</v>
      </c>
      <c r="I3774">
        <v>357</v>
      </c>
      <c r="J3774" t="s">
        <v>299</v>
      </c>
      <c r="K3774" t="str">
        <f>IFERROR(IF(AND(VLOOKUP($C3774,Hes!$A:$B, 1, FALSE), $M3774&lt;&gt;" "), "Ingresada", "Falta Ingresar"), " ")</f>
        <v xml:space="preserve"> </v>
      </c>
      <c r="L3774" s="4" t="s">
        <v>681</v>
      </c>
      <c r="M3774" t="s">
        <v>681</v>
      </c>
      <c r="O3774" s="5">
        <v>30842303</v>
      </c>
      <c r="P3774" s="5">
        <v>98599</v>
      </c>
      <c r="Q3774" s="5">
        <v>18734</v>
      </c>
      <c r="R3774" s="5">
        <v>117333</v>
      </c>
    </row>
    <row r="3775" spans="1:18" x14ac:dyDescent="0.25">
      <c r="A3775" t="s">
        <v>522</v>
      </c>
      <c r="B3775" t="s">
        <v>494</v>
      </c>
      <c r="C3775">
        <v>86887200</v>
      </c>
      <c r="D3775">
        <v>12</v>
      </c>
      <c r="E3775">
        <v>30842480</v>
      </c>
      <c r="F3775" t="s">
        <v>1515</v>
      </c>
      <c r="G3775" s="1">
        <v>45236</v>
      </c>
      <c r="H3775">
        <v>5411958</v>
      </c>
      <c r="I3775">
        <v>357</v>
      </c>
      <c r="J3775" t="s">
        <v>299</v>
      </c>
      <c r="K3775" t="str">
        <f>IFERROR(IF(AND(VLOOKUP($C3775,Hes!$A:$B, 1, FALSE), $M3775&lt;&gt;" "), "Ingresada", "Falta Ingresar"), " ")</f>
        <v xml:space="preserve"> </v>
      </c>
      <c r="L3775" s="4" t="s">
        <v>681</v>
      </c>
      <c r="M3775" t="s">
        <v>681</v>
      </c>
      <c r="O3775" s="5">
        <v>30842480</v>
      </c>
      <c r="P3775" s="5">
        <v>132471</v>
      </c>
      <c r="Q3775" s="5">
        <v>25169</v>
      </c>
      <c r="R3775" s="5">
        <v>157640</v>
      </c>
    </row>
    <row r="3776" spans="1:18" x14ac:dyDescent="0.25">
      <c r="A3776" t="s">
        <v>522</v>
      </c>
      <c r="B3776" t="s">
        <v>494</v>
      </c>
      <c r="C3776">
        <v>86887200</v>
      </c>
      <c r="D3776">
        <v>1</v>
      </c>
      <c r="E3776">
        <v>545147</v>
      </c>
      <c r="F3776" t="s">
        <v>1515</v>
      </c>
      <c r="G3776" s="1">
        <v>45238</v>
      </c>
      <c r="H3776">
        <v>5414763</v>
      </c>
      <c r="I3776">
        <v>357</v>
      </c>
      <c r="J3776" t="s">
        <v>299</v>
      </c>
      <c r="K3776" t="str">
        <f>IFERROR(IF(AND(VLOOKUP($C3776,Hes!$A:$B, 1, FALSE), $M3776&lt;&gt;" "), "Ingresada", "Falta Ingresar"), " ")</f>
        <v xml:space="preserve"> </v>
      </c>
      <c r="L3776" s="4" t="s">
        <v>681</v>
      </c>
      <c r="M3776" t="s">
        <v>681</v>
      </c>
      <c r="O3776" s="5">
        <v>30862561</v>
      </c>
      <c r="P3776" s="5">
        <v>168938</v>
      </c>
      <c r="Q3776" s="5">
        <v>32098</v>
      </c>
      <c r="R3776" s="5">
        <v>201036</v>
      </c>
    </row>
    <row r="3777" spans="1:18" x14ac:dyDescent="0.25">
      <c r="F3777" t="s">
        <v>499</v>
      </c>
      <c r="K3777" t="str">
        <f>IFERROR(IF(AND(VLOOKUP($C3777,Hes!$A:$B, 1, FALSE), $M3777&lt;&gt;" "), "Ingresada", "Falta Ingresar"), " ")</f>
        <v xml:space="preserve"> </v>
      </c>
      <c r="L3777" s="4" t="str">
        <f>IFERROR(VLOOKUP($C3777,Observaciones!$A:$B,2,FALSE)," ")</f>
        <v xml:space="preserve"> </v>
      </c>
      <c r="M3777" t="s">
        <v>681</v>
      </c>
      <c r="P3777" s="5">
        <v>960810</v>
      </c>
      <c r="Q3777" s="5">
        <v>182553</v>
      </c>
      <c r="R3777" s="5">
        <v>1143363</v>
      </c>
    </row>
    <row r="3778" spans="1:18" x14ac:dyDescent="0.25">
      <c r="C3778">
        <v>87006000</v>
      </c>
      <c r="D3778">
        <v>2</v>
      </c>
      <c r="E3778">
        <v>30852849</v>
      </c>
      <c r="F3778" t="s">
        <v>1516</v>
      </c>
      <c r="G3778" s="1">
        <v>45236</v>
      </c>
      <c r="H3778">
        <v>5412464</v>
      </c>
      <c r="I3778">
        <v>104</v>
      </c>
      <c r="J3778" t="s">
        <v>210</v>
      </c>
      <c r="K3778" s="8" t="str">
        <f>IFERROR(IF(AND(VLOOKUP($C3778,Hes!$A:$B, 1, FALSE), $M3778&lt;&gt;" "), "Ingresada", "Falta Ingresar"), " ")</f>
        <v>Falta Ingresar</v>
      </c>
      <c r="L3778" s="4" t="s">
        <v>681</v>
      </c>
      <c r="M3778" t="s">
        <v>681</v>
      </c>
      <c r="N3778" s="5" t="s">
        <v>841</v>
      </c>
      <c r="O3778" s="5">
        <v>30852849</v>
      </c>
      <c r="P3778" s="5">
        <v>144482</v>
      </c>
      <c r="Q3778" s="5">
        <v>27452</v>
      </c>
      <c r="R3778" s="5">
        <v>171934</v>
      </c>
    </row>
    <row r="3779" spans="1:18" x14ac:dyDescent="0.25">
      <c r="C3779">
        <v>87006000</v>
      </c>
      <c r="D3779">
        <v>10</v>
      </c>
      <c r="E3779">
        <v>30852867</v>
      </c>
      <c r="F3779" t="s">
        <v>1516</v>
      </c>
      <c r="G3779" s="1">
        <v>45236</v>
      </c>
      <c r="H3779">
        <v>5413073</v>
      </c>
      <c r="I3779">
        <v>104</v>
      </c>
      <c r="J3779" t="s">
        <v>210</v>
      </c>
      <c r="K3779" s="8" t="str">
        <f>IFERROR(IF(AND(VLOOKUP($C3779,Hes!$A:$B, 1, FALSE), $M3779&lt;&gt;" "), "Ingresada", "Falta Ingresar"), " ")</f>
        <v>Falta Ingresar</v>
      </c>
      <c r="L3779" s="4" t="s">
        <v>681</v>
      </c>
      <c r="M3779" t="s">
        <v>681</v>
      </c>
      <c r="N3779" s="5" t="s">
        <v>841</v>
      </c>
      <c r="O3779" s="5">
        <v>30852867</v>
      </c>
      <c r="P3779" s="5">
        <v>77177</v>
      </c>
      <c r="Q3779" s="5">
        <v>14664</v>
      </c>
      <c r="R3779" s="5">
        <v>91841</v>
      </c>
    </row>
    <row r="3780" spans="1:18" x14ac:dyDescent="0.25">
      <c r="C3780">
        <v>87006000</v>
      </c>
      <c r="D3780">
        <v>4</v>
      </c>
      <c r="E3780">
        <v>30852880</v>
      </c>
      <c r="F3780" t="s">
        <v>1516</v>
      </c>
      <c r="G3780" s="1">
        <v>45236</v>
      </c>
      <c r="H3780">
        <v>5413271</v>
      </c>
      <c r="I3780">
        <v>104</v>
      </c>
      <c r="J3780" t="s">
        <v>210</v>
      </c>
      <c r="K3780" s="8" t="str">
        <f>IFERROR(IF(AND(VLOOKUP($C3780,Hes!$A:$B, 1, FALSE), $M3780&lt;&gt;" "), "Ingresada", "Falta Ingresar"), " ")</f>
        <v>Falta Ingresar</v>
      </c>
      <c r="L3780" s="4" t="s">
        <v>681</v>
      </c>
      <c r="M3780" t="s">
        <v>681</v>
      </c>
      <c r="N3780" s="5" t="s">
        <v>841</v>
      </c>
      <c r="O3780" s="5">
        <v>30852880</v>
      </c>
      <c r="P3780" s="5">
        <v>94740</v>
      </c>
      <c r="Q3780" s="5">
        <v>18001</v>
      </c>
      <c r="R3780" s="5">
        <v>112741</v>
      </c>
    </row>
    <row r="3781" spans="1:18" x14ac:dyDescent="0.25">
      <c r="C3781">
        <v>87006000</v>
      </c>
      <c r="D3781">
        <v>6</v>
      </c>
      <c r="E3781">
        <v>30863522</v>
      </c>
      <c r="F3781" t="s">
        <v>1516</v>
      </c>
      <c r="G3781" s="1">
        <v>45238</v>
      </c>
      <c r="H3781">
        <v>5415784</v>
      </c>
      <c r="I3781">
        <v>104</v>
      </c>
      <c r="J3781" t="s">
        <v>210</v>
      </c>
      <c r="K3781" s="8" t="str">
        <f>IFERROR(IF(AND(VLOOKUP($C3781,Hes!$A:$B, 1, FALSE), $M3781&lt;&gt;" "), "Ingresada", "Falta Ingresar"), " ")</f>
        <v>Falta Ingresar</v>
      </c>
      <c r="L3781" s="4" t="s">
        <v>681</v>
      </c>
      <c r="M3781" t="s">
        <v>681</v>
      </c>
      <c r="N3781" s="5" t="s">
        <v>841</v>
      </c>
      <c r="O3781" s="5">
        <v>30863522</v>
      </c>
      <c r="P3781" s="5">
        <v>84424</v>
      </c>
      <c r="Q3781" s="5">
        <v>16041</v>
      </c>
      <c r="R3781" s="5">
        <v>100465</v>
      </c>
    </row>
    <row r="3782" spans="1:18" x14ac:dyDescent="0.25">
      <c r="F3782" t="s">
        <v>498</v>
      </c>
      <c r="K3782" t="str">
        <f>IFERROR(IF(AND(VLOOKUP($C3782,Hes!$A:$B, 1, FALSE), $M3782&lt;&gt;" "), "Ingresada", "Falta Ingresar"), " ")</f>
        <v xml:space="preserve"> </v>
      </c>
      <c r="L3782" s="4" t="str">
        <f>IFERROR(VLOOKUP($C3782,Observaciones!$A:$B,2,FALSE)," ")</f>
        <v xml:space="preserve"> </v>
      </c>
      <c r="M3782" t="s">
        <v>681</v>
      </c>
      <c r="P3782" s="5">
        <v>400823</v>
      </c>
      <c r="Q3782" s="5">
        <v>76158</v>
      </c>
      <c r="R3782" s="5">
        <v>476981</v>
      </c>
    </row>
    <row r="3783" spans="1:18" x14ac:dyDescent="0.25">
      <c r="A3783" t="s">
        <v>501</v>
      </c>
      <c r="B3783" t="s">
        <v>494</v>
      </c>
      <c r="C3783">
        <v>87107000</v>
      </c>
      <c r="D3783">
        <v>1</v>
      </c>
      <c r="E3783" t="s">
        <v>1517</v>
      </c>
      <c r="F3783" t="s">
        <v>1518</v>
      </c>
      <c r="G3783" s="1">
        <v>45236</v>
      </c>
      <c r="H3783">
        <v>5412371</v>
      </c>
      <c r="I3783">
        <v>290</v>
      </c>
      <c r="J3783" t="s">
        <v>408</v>
      </c>
      <c r="K3783" t="str">
        <f>IFERROR(IF(AND(VLOOKUP($C3783,Hes!$A:$B, 1, FALSE), $M3783&lt;&gt;" "), "Ingresada", "Falta Ingresar"), " ")</f>
        <v xml:space="preserve"> </v>
      </c>
      <c r="L3783" s="4" t="str">
        <f>IFERROR(VLOOKUP($C3783,Observaciones!$A:$B,2,FALSE)," ")</f>
        <v xml:space="preserve"> </v>
      </c>
      <c r="M3783" t="s">
        <v>681</v>
      </c>
      <c r="O3783" s="5">
        <v>30848541</v>
      </c>
      <c r="P3783" s="5">
        <v>297067</v>
      </c>
      <c r="Q3783" s="5">
        <v>56443</v>
      </c>
      <c r="R3783" s="5">
        <v>353510</v>
      </c>
    </row>
    <row r="3784" spans="1:18" x14ac:dyDescent="0.25">
      <c r="F3784" t="s">
        <v>495</v>
      </c>
      <c r="K3784" t="str">
        <f>IFERROR(IF(AND(VLOOKUP($C3784,Hes!$A:$B, 1, FALSE), $M3784&lt;&gt;" "), "Ingresada", "Falta Ingresar"), " ")</f>
        <v xml:space="preserve"> </v>
      </c>
      <c r="L3784" s="4" t="str">
        <f>IFERROR(VLOOKUP($C3784,Observaciones!$A:$B,2,FALSE)," ")</f>
        <v xml:space="preserve"> </v>
      </c>
      <c r="M3784" t="s">
        <v>681</v>
      </c>
      <c r="P3784" s="5">
        <v>297067</v>
      </c>
      <c r="Q3784" s="5">
        <v>56443</v>
      </c>
      <c r="R3784" s="5">
        <v>353510</v>
      </c>
    </row>
    <row r="3785" spans="1:18" x14ac:dyDescent="0.25">
      <c r="A3785" t="s">
        <v>512</v>
      </c>
      <c r="B3785" t="s">
        <v>494</v>
      </c>
      <c r="C3785">
        <v>87161100</v>
      </c>
      <c r="D3785">
        <v>1076</v>
      </c>
      <c r="E3785">
        <v>30861458</v>
      </c>
      <c r="F3785" t="s">
        <v>1519</v>
      </c>
      <c r="G3785" s="1">
        <v>45237</v>
      </c>
      <c r="H3785">
        <v>5414465</v>
      </c>
      <c r="I3785">
        <v>37</v>
      </c>
      <c r="J3785" t="s">
        <v>156</v>
      </c>
      <c r="K3785" t="str">
        <f>IFERROR(IF(AND(VLOOKUP($C3785,Hes!$A:$B, 1, FALSE), $M3785&lt;&gt;" "), "Ingresada", "Falta Ingresar"), " ")</f>
        <v xml:space="preserve"> </v>
      </c>
      <c r="L3785" s="4" t="str">
        <f>IFERROR(VLOOKUP($C3785,Observaciones!$A:$B,2,FALSE)," ")</f>
        <v xml:space="preserve"> </v>
      </c>
      <c r="M3785" t="s">
        <v>681</v>
      </c>
      <c r="O3785" s="5">
        <v>30861458</v>
      </c>
      <c r="P3785" s="5">
        <v>349000</v>
      </c>
      <c r="Q3785" s="5">
        <v>66310</v>
      </c>
      <c r="R3785" s="5">
        <v>415310</v>
      </c>
    </row>
    <row r="3786" spans="1:18" x14ac:dyDescent="0.25">
      <c r="F3786" t="s">
        <v>495</v>
      </c>
      <c r="K3786" t="str">
        <f>IFERROR(IF(AND(VLOOKUP($C3786,Hes!$A:$B, 1, FALSE), $M3786&lt;&gt;" "), "Ingresada", "Falta Ingresar"), " ")</f>
        <v xml:space="preserve"> </v>
      </c>
      <c r="L3786" s="4" t="str">
        <f>IFERROR(VLOOKUP($C3786,Observaciones!$A:$B,2,FALSE)," ")</f>
        <v xml:space="preserve"> </v>
      </c>
      <c r="M3786" t="s">
        <v>681</v>
      </c>
      <c r="P3786" s="5">
        <v>349000</v>
      </c>
      <c r="Q3786" s="5">
        <v>66310</v>
      </c>
      <c r="R3786" s="5">
        <v>415310</v>
      </c>
    </row>
    <row r="3787" spans="1:18" x14ac:dyDescent="0.25">
      <c r="A3787" t="s">
        <v>501</v>
      </c>
      <c r="B3787" t="s">
        <v>494</v>
      </c>
      <c r="C3787">
        <v>87786100</v>
      </c>
      <c r="D3787">
        <v>125</v>
      </c>
      <c r="E3787">
        <v>30852843</v>
      </c>
      <c r="F3787" t="s">
        <v>1520</v>
      </c>
      <c r="G3787" s="1">
        <v>45236</v>
      </c>
      <c r="H3787">
        <v>5412302</v>
      </c>
      <c r="I3787">
        <v>157</v>
      </c>
      <c r="J3787" t="s">
        <v>418</v>
      </c>
      <c r="K3787" t="str">
        <f>IFERROR(IF(AND(VLOOKUP($C3787,Hes!$A:$B, 1, FALSE), $M3787&lt;&gt;" "), "Ingresada", "Falta Ingresar"), " ")</f>
        <v xml:space="preserve"> </v>
      </c>
      <c r="L3787" s="4" t="str">
        <f>IFERROR(VLOOKUP($C3787,Observaciones!$A:$B,2,FALSE)," ")</f>
        <v xml:space="preserve"> </v>
      </c>
      <c r="M3787" t="s">
        <v>681</v>
      </c>
      <c r="O3787" s="5">
        <v>30852843</v>
      </c>
      <c r="P3787" s="5">
        <v>83942</v>
      </c>
      <c r="Q3787" s="5">
        <v>15949</v>
      </c>
      <c r="R3787" s="5">
        <v>99891</v>
      </c>
    </row>
    <row r="3788" spans="1:18" x14ac:dyDescent="0.25">
      <c r="A3788" t="s">
        <v>501</v>
      </c>
      <c r="B3788" t="s">
        <v>494</v>
      </c>
      <c r="C3788">
        <v>87786100</v>
      </c>
      <c r="D3788">
        <v>117</v>
      </c>
      <c r="E3788">
        <v>30854183</v>
      </c>
      <c r="F3788" t="s">
        <v>1520</v>
      </c>
      <c r="G3788" s="1">
        <v>45236</v>
      </c>
      <c r="H3788">
        <v>5412901</v>
      </c>
      <c r="I3788">
        <v>157</v>
      </c>
      <c r="J3788" t="s">
        <v>418</v>
      </c>
      <c r="K3788" t="str">
        <f>IFERROR(IF(AND(VLOOKUP($C3788,Hes!$A:$B, 1, FALSE), $M3788&lt;&gt;" "), "Ingresada", "Falta Ingresar"), " ")</f>
        <v xml:space="preserve"> </v>
      </c>
      <c r="L3788" s="4" t="str">
        <f>IFERROR(VLOOKUP($C3788,Observaciones!$A:$B,2,FALSE)," ")</f>
        <v xml:space="preserve"> </v>
      </c>
      <c r="M3788" t="s">
        <v>681</v>
      </c>
      <c r="O3788" s="5">
        <v>30854183</v>
      </c>
      <c r="P3788" s="5">
        <v>99971</v>
      </c>
      <c r="Q3788" s="5">
        <v>18994</v>
      </c>
      <c r="R3788" s="5">
        <v>118965</v>
      </c>
    </row>
    <row r="3789" spans="1:18" x14ac:dyDescent="0.25">
      <c r="A3789" t="s">
        <v>501</v>
      </c>
      <c r="B3789" t="s">
        <v>494</v>
      </c>
      <c r="C3789">
        <v>87786100</v>
      </c>
      <c r="D3789">
        <v>1</v>
      </c>
      <c r="E3789">
        <v>30851550</v>
      </c>
      <c r="F3789" t="s">
        <v>1520</v>
      </c>
      <c r="G3789" s="1">
        <v>45236</v>
      </c>
      <c r="H3789">
        <v>5413404</v>
      </c>
      <c r="I3789">
        <v>157</v>
      </c>
      <c r="J3789" t="s">
        <v>418</v>
      </c>
      <c r="K3789" t="str">
        <f>IFERROR(IF(AND(VLOOKUP($C3789,Hes!$A:$B, 1, FALSE), $M3789&lt;&gt;" "), "Ingresada", "Falta Ingresar"), " ")</f>
        <v xml:space="preserve"> </v>
      </c>
      <c r="L3789" s="4" t="str">
        <f>IFERROR(VLOOKUP($C3789,Observaciones!$A:$B,2,FALSE)," ")</f>
        <v xml:space="preserve"> </v>
      </c>
      <c r="M3789" t="s">
        <v>681</v>
      </c>
      <c r="O3789" s="5">
        <v>30851550</v>
      </c>
      <c r="P3789" s="5">
        <v>129646</v>
      </c>
      <c r="Q3789" s="5">
        <v>24633</v>
      </c>
      <c r="R3789" s="5">
        <v>154279</v>
      </c>
    </row>
    <row r="3790" spans="1:18" x14ac:dyDescent="0.25">
      <c r="A3790" t="s">
        <v>501</v>
      </c>
      <c r="B3790" t="s">
        <v>494</v>
      </c>
      <c r="C3790">
        <v>87786100</v>
      </c>
      <c r="D3790">
        <v>13</v>
      </c>
      <c r="E3790">
        <v>30858712</v>
      </c>
      <c r="F3790" t="s">
        <v>1520</v>
      </c>
      <c r="G3790" s="1">
        <v>45237</v>
      </c>
      <c r="H3790">
        <v>5415263</v>
      </c>
      <c r="I3790">
        <v>157</v>
      </c>
      <c r="J3790" t="s">
        <v>418</v>
      </c>
      <c r="K3790" t="str">
        <f>IFERROR(IF(AND(VLOOKUP($C3790,Hes!$A:$B, 1, FALSE), $M3790&lt;&gt;" "), "Ingresada", "Falta Ingresar"), " ")</f>
        <v xml:space="preserve"> </v>
      </c>
      <c r="L3790" s="4" t="str">
        <f>IFERROR(VLOOKUP($C3790,Observaciones!$A:$B,2,FALSE)," ")</f>
        <v xml:space="preserve"> </v>
      </c>
      <c r="M3790" t="s">
        <v>681</v>
      </c>
      <c r="O3790" s="5">
        <v>30858712</v>
      </c>
      <c r="P3790" s="5">
        <v>190656</v>
      </c>
      <c r="Q3790" s="5">
        <v>36225</v>
      </c>
      <c r="R3790" s="5">
        <v>226881</v>
      </c>
    </row>
    <row r="3791" spans="1:18" x14ac:dyDescent="0.25">
      <c r="A3791" t="s">
        <v>501</v>
      </c>
      <c r="B3791" t="s">
        <v>494</v>
      </c>
      <c r="C3791">
        <v>87786100</v>
      </c>
      <c r="D3791">
        <v>129</v>
      </c>
      <c r="E3791">
        <v>30865000</v>
      </c>
      <c r="F3791" t="s">
        <v>1520</v>
      </c>
      <c r="G3791" s="1">
        <v>45238</v>
      </c>
      <c r="H3791">
        <v>5415615</v>
      </c>
      <c r="I3791">
        <v>157</v>
      </c>
      <c r="J3791" t="s">
        <v>418</v>
      </c>
      <c r="K3791" t="str">
        <f>IFERROR(IF(AND(VLOOKUP($C3791,Hes!$A:$B, 1, FALSE), $M3791&lt;&gt;" "), "Ingresada", "Falta Ingresar"), " ")</f>
        <v xml:space="preserve"> </v>
      </c>
      <c r="L3791" s="4" t="str">
        <f>IFERROR(VLOOKUP($C3791,Observaciones!$A:$B,2,FALSE)," ")</f>
        <v xml:space="preserve"> </v>
      </c>
      <c r="M3791" t="s">
        <v>681</v>
      </c>
      <c r="O3791" s="5">
        <v>30865000</v>
      </c>
      <c r="P3791" s="5">
        <v>99899</v>
      </c>
      <c r="Q3791" s="5">
        <v>18981</v>
      </c>
      <c r="R3791" s="5">
        <v>118880</v>
      </c>
    </row>
    <row r="3792" spans="1:18" x14ac:dyDescent="0.25">
      <c r="F3792" t="s">
        <v>499</v>
      </c>
      <c r="K3792" t="str">
        <f>IFERROR(IF(AND(VLOOKUP($C3792,Hes!$A:$B, 1, FALSE), $M3792&lt;&gt;" "), "Ingresada", "Falta Ingresar"), " ")</f>
        <v xml:space="preserve"> </v>
      </c>
      <c r="L3792" s="4" t="str">
        <f>IFERROR(VLOOKUP($C3792,Observaciones!$A:$B,2,FALSE)," ")</f>
        <v xml:space="preserve"> </v>
      </c>
      <c r="M3792" t="s">
        <v>681</v>
      </c>
      <c r="P3792" s="5">
        <v>604114</v>
      </c>
      <c r="Q3792" s="5">
        <v>114782</v>
      </c>
      <c r="R3792" s="5">
        <v>718896</v>
      </c>
    </row>
    <row r="3793" spans="1:18" x14ac:dyDescent="0.25">
      <c r="A3793" t="s">
        <v>607</v>
      </c>
      <c r="B3793" t="s">
        <v>494</v>
      </c>
      <c r="C3793">
        <v>88006900</v>
      </c>
      <c r="D3793">
        <v>24</v>
      </c>
      <c r="E3793">
        <v>30850097</v>
      </c>
      <c r="F3793" t="s">
        <v>1521</v>
      </c>
      <c r="G3793" s="1">
        <v>45234</v>
      </c>
      <c r="H3793">
        <v>5411856</v>
      </c>
      <c r="I3793">
        <v>44</v>
      </c>
      <c r="J3793" t="s">
        <v>148</v>
      </c>
      <c r="K3793" s="8" t="str">
        <f>IFERROR(IF(AND(VLOOKUP($C3793,Hes!$A:$B, 1, FALSE), $M3793&lt;&gt;" "), "Ingresada", "Falta Ingresar"), " ")</f>
        <v>Falta Ingresar</v>
      </c>
      <c r="L3793" s="4" t="str">
        <f>IFERROR(VLOOKUP($C3793,Observaciones!$A:$B,2,FALSE)," ")</f>
        <v xml:space="preserve"> </v>
      </c>
      <c r="M3793" t="s">
        <v>681</v>
      </c>
      <c r="N3793" s="5" t="s">
        <v>841</v>
      </c>
      <c r="O3793" s="5">
        <v>30850097</v>
      </c>
      <c r="P3793" s="5">
        <v>147593</v>
      </c>
      <c r="Q3793" s="5">
        <v>28043</v>
      </c>
      <c r="R3793" s="5">
        <v>175636</v>
      </c>
    </row>
    <row r="3794" spans="1:18" x14ac:dyDescent="0.25">
      <c r="A3794" t="s">
        <v>607</v>
      </c>
      <c r="B3794" t="s">
        <v>494</v>
      </c>
      <c r="C3794">
        <v>88006900</v>
      </c>
      <c r="D3794">
        <v>24</v>
      </c>
      <c r="E3794">
        <v>30850098</v>
      </c>
      <c r="F3794" t="s">
        <v>1521</v>
      </c>
      <c r="G3794" s="1">
        <v>45234</v>
      </c>
      <c r="H3794">
        <v>5411857</v>
      </c>
      <c r="I3794">
        <v>44</v>
      </c>
      <c r="J3794" t="s">
        <v>148</v>
      </c>
      <c r="K3794" s="8" t="str">
        <f>IFERROR(IF(AND(VLOOKUP($C3794,Hes!$A:$B, 1, FALSE), $M3794&lt;&gt;" "), "Ingresada", "Falta Ingresar"), " ")</f>
        <v>Falta Ingresar</v>
      </c>
      <c r="L3794" s="4" t="str">
        <f>IFERROR(VLOOKUP($C3794,Observaciones!$A:$B,2,FALSE)," ")</f>
        <v xml:space="preserve"> </v>
      </c>
      <c r="M3794" t="s">
        <v>681</v>
      </c>
      <c r="N3794" s="5" t="s">
        <v>841</v>
      </c>
      <c r="O3794" s="5">
        <v>30850098</v>
      </c>
      <c r="P3794" s="5">
        <v>49923</v>
      </c>
      <c r="Q3794" s="5">
        <v>9485</v>
      </c>
      <c r="R3794" s="5">
        <v>59408</v>
      </c>
    </row>
    <row r="3795" spans="1:18" x14ac:dyDescent="0.25">
      <c r="A3795" t="s">
        <v>607</v>
      </c>
      <c r="B3795" t="s">
        <v>494</v>
      </c>
      <c r="C3795">
        <v>88006900</v>
      </c>
      <c r="D3795">
        <v>248</v>
      </c>
      <c r="E3795">
        <v>30824060</v>
      </c>
      <c r="F3795" t="s">
        <v>1521</v>
      </c>
      <c r="G3795" s="1">
        <v>45234</v>
      </c>
      <c r="H3795">
        <v>5411860</v>
      </c>
      <c r="I3795">
        <v>44</v>
      </c>
      <c r="J3795" t="s">
        <v>148</v>
      </c>
      <c r="K3795" s="8" t="str">
        <f>IFERROR(IF(AND(VLOOKUP($C3795,Hes!$A:$B, 1, FALSE), $M3795&lt;&gt;" "), "Ingresada", "Falta Ingresar"), " ")</f>
        <v>Falta Ingresar</v>
      </c>
      <c r="L3795" s="4" t="str">
        <f>IFERROR(VLOOKUP($C3795,Observaciones!$A:$B,2,FALSE)," ")</f>
        <v xml:space="preserve"> </v>
      </c>
      <c r="M3795" t="s">
        <v>681</v>
      </c>
      <c r="N3795" s="5" t="s">
        <v>841</v>
      </c>
      <c r="O3795" s="5">
        <v>30824061</v>
      </c>
      <c r="P3795" s="5">
        <v>44816</v>
      </c>
      <c r="Q3795" s="5">
        <v>8515</v>
      </c>
      <c r="R3795" s="5">
        <v>53331</v>
      </c>
    </row>
    <row r="3796" spans="1:18" x14ac:dyDescent="0.25">
      <c r="A3796" t="s">
        <v>607</v>
      </c>
      <c r="B3796" t="s">
        <v>494</v>
      </c>
      <c r="C3796">
        <v>88006900</v>
      </c>
      <c r="D3796">
        <v>252</v>
      </c>
      <c r="E3796">
        <v>30848969</v>
      </c>
      <c r="F3796" t="s">
        <v>1521</v>
      </c>
      <c r="G3796" s="1">
        <v>45234</v>
      </c>
      <c r="H3796">
        <v>5411901</v>
      </c>
      <c r="I3796">
        <v>44</v>
      </c>
      <c r="J3796" t="s">
        <v>148</v>
      </c>
      <c r="K3796" s="8" t="str">
        <f>IFERROR(IF(AND(VLOOKUP($C3796,Hes!$A:$B, 1, FALSE), $M3796&lt;&gt;" "), "Ingresada", "Falta Ingresar"), " ")</f>
        <v>Falta Ingresar</v>
      </c>
      <c r="L3796" s="4" t="str">
        <f>IFERROR(VLOOKUP($C3796,Observaciones!$A:$B,2,FALSE)," ")</f>
        <v xml:space="preserve"> </v>
      </c>
      <c r="M3796" t="s">
        <v>681</v>
      </c>
      <c r="N3796" s="5" t="s">
        <v>841</v>
      </c>
      <c r="O3796" s="5">
        <v>30848969</v>
      </c>
      <c r="P3796" s="5">
        <v>188017</v>
      </c>
      <c r="Q3796" s="5">
        <v>35723</v>
      </c>
      <c r="R3796" s="5">
        <v>223740</v>
      </c>
    </row>
    <row r="3797" spans="1:18" x14ac:dyDescent="0.25">
      <c r="A3797" t="s">
        <v>607</v>
      </c>
      <c r="B3797" t="s">
        <v>494</v>
      </c>
      <c r="C3797">
        <v>88006900</v>
      </c>
      <c r="D3797">
        <v>247</v>
      </c>
      <c r="E3797">
        <v>30849092</v>
      </c>
      <c r="F3797" t="s">
        <v>1521</v>
      </c>
      <c r="G3797" s="1">
        <v>45234</v>
      </c>
      <c r="H3797">
        <v>5412317</v>
      </c>
      <c r="I3797">
        <v>44</v>
      </c>
      <c r="J3797" t="s">
        <v>148</v>
      </c>
      <c r="K3797" s="8" t="str">
        <f>IFERROR(IF(AND(VLOOKUP($C3797,Hes!$A:$B, 1, FALSE), $M3797&lt;&gt;" "), "Ingresada", "Falta Ingresar"), " ")</f>
        <v>Falta Ingresar</v>
      </c>
      <c r="L3797" s="4" t="str">
        <f>IFERROR(VLOOKUP($C3797,Observaciones!$A:$B,2,FALSE)," ")</f>
        <v xml:space="preserve"> </v>
      </c>
      <c r="M3797" t="s">
        <v>681</v>
      </c>
      <c r="N3797" s="5" t="s">
        <v>841</v>
      </c>
      <c r="O3797" s="5">
        <v>30849092</v>
      </c>
      <c r="P3797" s="5">
        <v>85738</v>
      </c>
      <c r="Q3797" s="5">
        <v>16290</v>
      </c>
      <c r="R3797" s="5">
        <v>102028</v>
      </c>
    </row>
    <row r="3798" spans="1:18" x14ac:dyDescent="0.25">
      <c r="A3798" t="s">
        <v>607</v>
      </c>
      <c r="B3798" t="s">
        <v>494</v>
      </c>
      <c r="C3798">
        <v>88006900</v>
      </c>
      <c r="D3798">
        <v>33</v>
      </c>
      <c r="E3798">
        <v>30827602</v>
      </c>
      <c r="F3798" t="s">
        <v>1521</v>
      </c>
      <c r="G3798" s="1">
        <v>45234</v>
      </c>
      <c r="H3798">
        <v>5412540</v>
      </c>
      <c r="I3798">
        <v>44</v>
      </c>
      <c r="J3798" t="s">
        <v>148</v>
      </c>
      <c r="K3798" s="8" t="str">
        <f>IFERROR(IF(AND(VLOOKUP($C3798,Hes!$A:$B, 1, FALSE), $M3798&lt;&gt;" "), "Ingresada", "Falta Ingresar"), " ")</f>
        <v>Falta Ingresar</v>
      </c>
      <c r="L3798" s="4" t="str">
        <f>IFERROR(VLOOKUP($C3798,Observaciones!$A:$B,2,FALSE)," ")</f>
        <v xml:space="preserve"> </v>
      </c>
      <c r="M3798" t="s">
        <v>681</v>
      </c>
      <c r="N3798" s="5" t="s">
        <v>841</v>
      </c>
      <c r="O3798" s="5">
        <v>30851932</v>
      </c>
      <c r="P3798" s="5">
        <v>434817</v>
      </c>
      <c r="Q3798" s="5">
        <v>82615</v>
      </c>
      <c r="R3798" s="5">
        <v>517432</v>
      </c>
    </row>
    <row r="3799" spans="1:18" x14ac:dyDescent="0.25">
      <c r="F3799" t="s">
        <v>523</v>
      </c>
      <c r="K3799" t="str">
        <f>IFERROR(IF(AND(VLOOKUP($C3799,Hes!$A:$B, 1, FALSE), $M3799&lt;&gt;" "), "Ingresada", "Falta Ingresar"), " ")</f>
        <v xml:space="preserve"> </v>
      </c>
      <c r="L3799" s="4" t="str">
        <f>IFERROR(VLOOKUP($C3799,Observaciones!$A:$B,2,FALSE)," ")</f>
        <v xml:space="preserve"> </v>
      </c>
      <c r="M3799" t="s">
        <v>681</v>
      </c>
      <c r="P3799" s="5">
        <v>950904</v>
      </c>
      <c r="Q3799" s="5">
        <v>180671</v>
      </c>
      <c r="R3799" s="5">
        <v>1131575</v>
      </c>
    </row>
    <row r="3800" spans="1:18" x14ac:dyDescent="0.25">
      <c r="A3800" t="s">
        <v>501</v>
      </c>
      <c r="B3800" t="s">
        <v>494</v>
      </c>
      <c r="C3800">
        <v>88269400</v>
      </c>
      <c r="D3800">
        <v>21</v>
      </c>
      <c r="E3800" t="s">
        <v>1522</v>
      </c>
      <c r="F3800" t="s">
        <v>1523</v>
      </c>
      <c r="G3800" s="1">
        <v>45232</v>
      </c>
      <c r="H3800">
        <v>5410819</v>
      </c>
      <c r="I3800">
        <v>150</v>
      </c>
      <c r="J3800" t="s">
        <v>121</v>
      </c>
      <c r="K3800" t="str">
        <f>IFERROR(IF(AND(VLOOKUP($C3800,Hes!$A:$B, 1, FALSE), $M3800&lt;&gt;" "), "Ingresada", "Falta Ingresar"), " ")</f>
        <v xml:space="preserve"> </v>
      </c>
      <c r="L3800" s="4" t="str">
        <f>IFERROR(VLOOKUP($C3800,Observaciones!$A:$B,2,FALSE)," ")</f>
        <v xml:space="preserve"> </v>
      </c>
      <c r="M3800" t="s">
        <v>681</v>
      </c>
      <c r="O3800" s="5">
        <v>30846022</v>
      </c>
      <c r="P3800" s="5">
        <v>111600</v>
      </c>
      <c r="Q3800" s="5">
        <v>21204</v>
      </c>
      <c r="R3800" s="5">
        <v>132804</v>
      </c>
    </row>
    <row r="3801" spans="1:18" x14ac:dyDescent="0.25">
      <c r="F3801" t="s">
        <v>495</v>
      </c>
      <c r="K3801" t="str">
        <f>IFERROR(IF(AND(VLOOKUP($C3801,Hes!$A:$B, 1, FALSE), $M3801&lt;&gt;" "), "Ingresada", "Falta Ingresar"), " ")</f>
        <v xml:space="preserve"> </v>
      </c>
      <c r="L3801" s="4" t="str">
        <f>IFERROR(VLOOKUP($C3801,Observaciones!$A:$B,2,FALSE)," ")</f>
        <v xml:space="preserve"> </v>
      </c>
      <c r="M3801" t="s">
        <v>681</v>
      </c>
      <c r="P3801" s="5">
        <v>111600</v>
      </c>
      <c r="Q3801" s="5">
        <v>21204</v>
      </c>
      <c r="R3801" s="5">
        <v>132804</v>
      </c>
    </row>
    <row r="3802" spans="1:18" x14ac:dyDescent="0.25">
      <c r="A3802" t="s">
        <v>503</v>
      </c>
      <c r="B3802" t="s">
        <v>494</v>
      </c>
      <c r="C3802">
        <v>88481800</v>
      </c>
      <c r="D3802">
        <v>11</v>
      </c>
      <c r="E3802" t="s">
        <v>1524</v>
      </c>
      <c r="F3802" t="s">
        <v>1525</v>
      </c>
      <c r="G3802" s="1">
        <v>45238</v>
      </c>
      <c r="H3802">
        <v>5415197</v>
      </c>
      <c r="I3802">
        <v>41</v>
      </c>
      <c r="J3802" t="s">
        <v>307</v>
      </c>
      <c r="K3802" t="str">
        <f>IFERROR(IF(AND(VLOOKUP($C3802,Hes!$A:$B, 1, FALSE), $M3802&lt;&gt;" "), "Ingresada", "Falta Ingresar"), " ")</f>
        <v xml:space="preserve"> </v>
      </c>
      <c r="L3802" s="4" t="s">
        <v>681</v>
      </c>
      <c r="M3802" t="s">
        <v>681</v>
      </c>
      <c r="O3802" s="5">
        <v>30849420</v>
      </c>
      <c r="P3802" s="5">
        <v>82886</v>
      </c>
      <c r="Q3802" s="5">
        <v>15748</v>
      </c>
      <c r="R3802" s="5">
        <v>98634</v>
      </c>
    </row>
    <row r="3803" spans="1:18" x14ac:dyDescent="0.25">
      <c r="F3803" t="s">
        <v>495</v>
      </c>
      <c r="K3803" t="str">
        <f>IFERROR(IF(AND(VLOOKUP($C3803,Hes!$A:$B, 1, FALSE), $M3803&lt;&gt;" "), "Ingresada", "Falta Ingresar"), " ")</f>
        <v xml:space="preserve"> </v>
      </c>
      <c r="L3803" s="4" t="str">
        <f>IFERROR(VLOOKUP($C3803,Observaciones!$A:$B,2,FALSE)," ")</f>
        <v xml:space="preserve"> </v>
      </c>
      <c r="M3803" t="s">
        <v>681</v>
      </c>
      <c r="P3803" s="5">
        <v>82886</v>
      </c>
      <c r="Q3803" s="5">
        <v>15748</v>
      </c>
      <c r="R3803" s="5">
        <v>98634</v>
      </c>
    </row>
    <row r="3804" spans="1:18" x14ac:dyDescent="0.25">
      <c r="A3804" t="s">
        <v>610</v>
      </c>
      <c r="B3804" t="s">
        <v>494</v>
      </c>
      <c r="C3804">
        <v>88566900</v>
      </c>
      <c r="D3804">
        <v>0</v>
      </c>
      <c r="E3804" t="s">
        <v>1021</v>
      </c>
      <c r="F3804" t="s">
        <v>611</v>
      </c>
      <c r="G3804" s="1">
        <v>45233</v>
      </c>
      <c r="H3804">
        <v>5412053</v>
      </c>
      <c r="I3804">
        <v>63</v>
      </c>
      <c r="J3804" t="s">
        <v>170</v>
      </c>
      <c r="K3804" s="8" t="str">
        <f>IFERROR(IF(AND(VLOOKUP($C3804,Hes!$A:$B, 1, FALSE), $M3804&lt;&gt;" "), "Ingresada", "Falta Ingresar"), " ")</f>
        <v>Falta Ingresar</v>
      </c>
      <c r="L3804" s="4" t="str">
        <f>IFERROR(VLOOKUP($C3804,Observaciones!$A:$B,2,FALSE)," ")</f>
        <v>XOC Y CC INDIVIDUAL</v>
      </c>
      <c r="M3804" t="s">
        <v>681</v>
      </c>
      <c r="N3804" s="5" t="s">
        <v>841</v>
      </c>
      <c r="O3804" s="5">
        <v>30851131</v>
      </c>
      <c r="P3804" s="5">
        <v>200155</v>
      </c>
      <c r="Q3804" s="5">
        <v>38029</v>
      </c>
      <c r="R3804" s="5">
        <v>238184</v>
      </c>
    </row>
    <row r="3805" spans="1:18" x14ac:dyDescent="0.25">
      <c r="A3805" t="s">
        <v>610</v>
      </c>
      <c r="B3805" t="s">
        <v>494</v>
      </c>
      <c r="C3805">
        <v>88566900</v>
      </c>
      <c r="D3805">
        <v>0</v>
      </c>
      <c r="E3805">
        <v>30853134</v>
      </c>
      <c r="F3805" t="s">
        <v>611</v>
      </c>
      <c r="G3805" s="1">
        <v>45236</v>
      </c>
      <c r="H3805">
        <v>5413308</v>
      </c>
      <c r="I3805">
        <v>63</v>
      </c>
      <c r="J3805" t="s">
        <v>170</v>
      </c>
      <c r="K3805" s="8" t="str">
        <f>IFERROR(IF(AND(VLOOKUP($C3805,Hes!$A:$B, 1, FALSE), $M3805&lt;&gt;" "), "Ingresada", "Falta Ingresar"), " ")</f>
        <v>Falta Ingresar</v>
      </c>
      <c r="L3805" s="4" t="str">
        <f>IFERROR(VLOOKUP($C3805,Observaciones!$A:$B,2,FALSE)," ")</f>
        <v>XOC Y CC INDIVIDUAL</v>
      </c>
      <c r="M3805" t="s">
        <v>681</v>
      </c>
      <c r="N3805" s="5" t="s">
        <v>841</v>
      </c>
      <c r="O3805" s="5">
        <v>30853134</v>
      </c>
      <c r="P3805" s="5">
        <v>988297</v>
      </c>
      <c r="Q3805" s="5">
        <v>187776</v>
      </c>
      <c r="R3805" s="5">
        <v>1176073</v>
      </c>
    </row>
    <row r="3806" spans="1:18" x14ac:dyDescent="0.25">
      <c r="A3806" t="s">
        <v>610</v>
      </c>
      <c r="B3806" t="s">
        <v>494</v>
      </c>
      <c r="C3806">
        <v>88566900</v>
      </c>
      <c r="D3806">
        <v>0</v>
      </c>
      <c r="E3806">
        <v>30861475</v>
      </c>
      <c r="F3806" t="s">
        <v>611</v>
      </c>
      <c r="G3806" s="1">
        <v>45238</v>
      </c>
      <c r="H3806">
        <v>5414934</v>
      </c>
      <c r="I3806">
        <v>63</v>
      </c>
      <c r="J3806" t="s">
        <v>170</v>
      </c>
      <c r="K3806" s="8" t="str">
        <f>IFERROR(IF(AND(VLOOKUP($C3806,Hes!$A:$B, 1, FALSE), $M3806&lt;&gt;" "), "Ingresada", "Falta Ingresar"), " ")</f>
        <v>Falta Ingresar</v>
      </c>
      <c r="L3806" s="4" t="str">
        <f>IFERROR(VLOOKUP($C3806,Observaciones!$A:$B,2,FALSE)," ")</f>
        <v>XOC Y CC INDIVIDUAL</v>
      </c>
      <c r="M3806" t="s">
        <v>681</v>
      </c>
      <c r="N3806" s="5" t="s">
        <v>841</v>
      </c>
      <c r="O3806" s="5">
        <v>30861475</v>
      </c>
      <c r="P3806" s="5">
        <v>204709</v>
      </c>
      <c r="Q3806" s="5">
        <v>38895</v>
      </c>
      <c r="R3806" s="5">
        <v>243604</v>
      </c>
    </row>
    <row r="3807" spans="1:18" x14ac:dyDescent="0.25">
      <c r="A3807" t="s">
        <v>610</v>
      </c>
      <c r="B3807" t="s">
        <v>494</v>
      </c>
      <c r="C3807">
        <v>88566900</v>
      </c>
      <c r="D3807">
        <v>0</v>
      </c>
      <c r="E3807">
        <v>30861469</v>
      </c>
      <c r="F3807" t="s">
        <v>611</v>
      </c>
      <c r="G3807" s="1">
        <v>45238</v>
      </c>
      <c r="H3807">
        <v>5414992</v>
      </c>
      <c r="I3807">
        <v>63</v>
      </c>
      <c r="J3807" t="s">
        <v>170</v>
      </c>
      <c r="K3807" s="8" t="str">
        <f>IFERROR(IF(AND(VLOOKUP($C3807,Hes!$A:$B, 1, FALSE), $M3807&lt;&gt;" "), "Ingresada", "Falta Ingresar"), " ")</f>
        <v>Falta Ingresar</v>
      </c>
      <c r="L3807" s="4" t="str">
        <f>IFERROR(VLOOKUP($C3807,Observaciones!$A:$B,2,FALSE)," ")</f>
        <v>XOC Y CC INDIVIDUAL</v>
      </c>
      <c r="M3807" t="s">
        <v>681</v>
      </c>
      <c r="N3807" s="5" t="s">
        <v>841</v>
      </c>
      <c r="O3807" s="5">
        <v>30861469</v>
      </c>
      <c r="P3807" s="5">
        <v>80205</v>
      </c>
      <c r="Q3807" s="5">
        <v>15239</v>
      </c>
      <c r="R3807" s="5">
        <v>95444</v>
      </c>
    </row>
    <row r="3808" spans="1:18" x14ac:dyDescent="0.25">
      <c r="F3808" t="s">
        <v>498</v>
      </c>
      <c r="K3808" t="str">
        <f>IFERROR(IF(AND(VLOOKUP($C3808,Hes!$A:$B, 1, FALSE), $M3808&lt;&gt;" "), "Ingresada", "Falta Ingresar"), " ")</f>
        <v xml:space="preserve"> </v>
      </c>
      <c r="L3808" s="4" t="str">
        <f>IFERROR(VLOOKUP($C3808,Observaciones!$A:$B,2,FALSE)," ")</f>
        <v xml:space="preserve"> </v>
      </c>
      <c r="M3808" t="s">
        <v>681</v>
      </c>
      <c r="P3808" s="5">
        <v>1473366</v>
      </c>
      <c r="Q3808" s="5">
        <v>279939</v>
      </c>
      <c r="R3808" s="5">
        <v>1753305</v>
      </c>
    </row>
    <row r="3809" spans="1:18" x14ac:dyDescent="0.25">
      <c r="A3809" t="s">
        <v>496</v>
      </c>
      <c r="B3809" t="s">
        <v>494</v>
      </c>
      <c r="C3809">
        <v>88680500</v>
      </c>
      <c r="D3809">
        <v>64</v>
      </c>
      <c r="E3809">
        <v>4500826930</v>
      </c>
      <c r="F3809" t="s">
        <v>1526</v>
      </c>
      <c r="G3809" s="1">
        <v>45236</v>
      </c>
      <c r="H3809">
        <v>5412323</v>
      </c>
      <c r="I3809">
        <v>81</v>
      </c>
      <c r="J3809" t="s">
        <v>144</v>
      </c>
      <c r="K3809" t="str">
        <f>IFERROR(IF(AND(VLOOKUP($C3809,Hes!$A:$B, 1, FALSE), $M3809&lt;&gt;" "), "Ingresada", "Falta Ingresar"), " ")</f>
        <v xml:space="preserve"> </v>
      </c>
      <c r="L3809" s="4" t="str">
        <f>IFERROR(VLOOKUP($C3809,Observaciones!$A:$B,2,FALSE)," ")</f>
        <v>XOC Y CC</v>
      </c>
      <c r="M3809" t="s">
        <v>681</v>
      </c>
      <c r="O3809" s="5">
        <v>30852422</v>
      </c>
      <c r="P3809" s="5">
        <v>122064</v>
      </c>
      <c r="Q3809" s="5">
        <v>23192</v>
      </c>
      <c r="R3809" s="5">
        <v>145256</v>
      </c>
    </row>
    <row r="3810" spans="1:18" x14ac:dyDescent="0.25">
      <c r="A3810" t="s">
        <v>496</v>
      </c>
      <c r="B3810" t="s">
        <v>494</v>
      </c>
      <c r="C3810">
        <v>88680500</v>
      </c>
      <c r="D3810">
        <v>67</v>
      </c>
      <c r="E3810">
        <v>4500828119</v>
      </c>
      <c r="F3810" t="s">
        <v>1526</v>
      </c>
      <c r="G3810" s="1">
        <v>45237</v>
      </c>
      <c r="H3810">
        <v>5414252</v>
      </c>
      <c r="I3810">
        <v>81</v>
      </c>
      <c r="J3810" t="s">
        <v>144</v>
      </c>
      <c r="K3810" t="str">
        <f>IFERROR(IF(AND(VLOOKUP($C3810,Hes!$A:$B, 1, FALSE), $M3810&lt;&gt;" "), "Ingresada", "Falta Ingresar"), " ")</f>
        <v xml:space="preserve"> </v>
      </c>
      <c r="L3810" s="4" t="str">
        <f>IFERROR(VLOOKUP($C3810,Observaciones!$A:$B,2,FALSE)," ")</f>
        <v>XOC Y CC</v>
      </c>
      <c r="M3810" t="s">
        <v>681</v>
      </c>
      <c r="O3810" s="5">
        <v>30857506</v>
      </c>
      <c r="P3810" s="5">
        <v>64260</v>
      </c>
      <c r="Q3810" s="5">
        <v>12209</v>
      </c>
      <c r="R3810" s="5">
        <v>76469</v>
      </c>
    </row>
    <row r="3811" spans="1:18" x14ac:dyDescent="0.25">
      <c r="A3811" t="s">
        <v>496</v>
      </c>
      <c r="B3811" t="s">
        <v>494</v>
      </c>
      <c r="C3811">
        <v>88680500</v>
      </c>
      <c r="D3811">
        <v>67</v>
      </c>
      <c r="E3811">
        <v>4500827767</v>
      </c>
      <c r="F3811" t="s">
        <v>1526</v>
      </c>
      <c r="G3811" s="1">
        <v>45238</v>
      </c>
      <c r="H3811">
        <v>5415558</v>
      </c>
      <c r="I3811">
        <v>81</v>
      </c>
      <c r="J3811" t="s">
        <v>144</v>
      </c>
      <c r="K3811" t="str">
        <f>IFERROR(IF(AND(VLOOKUP($C3811,Hes!$A:$B, 1, FALSE), $M3811&lt;&gt;" "), "Ingresada", "Falta Ingresar"), " ")</f>
        <v xml:space="preserve"> </v>
      </c>
      <c r="L3811" s="4" t="str">
        <f>IFERROR(VLOOKUP($C3811,Observaciones!$A:$B,2,FALSE)," ")</f>
        <v>XOC Y CC</v>
      </c>
      <c r="M3811" t="s">
        <v>681</v>
      </c>
      <c r="O3811" s="5">
        <v>30852606</v>
      </c>
      <c r="P3811" s="5">
        <v>335598</v>
      </c>
      <c r="Q3811" s="5">
        <v>63764</v>
      </c>
      <c r="R3811" s="5">
        <v>399362</v>
      </c>
    </row>
    <row r="3812" spans="1:18" x14ac:dyDescent="0.25">
      <c r="F3812" t="s">
        <v>500</v>
      </c>
      <c r="K3812" t="str">
        <f>IFERROR(IF(AND(VLOOKUP($C3812,Hes!$A:$B, 1, FALSE), $M3812&lt;&gt;" "), "Ingresada", "Falta Ingresar"), " ")</f>
        <v xml:space="preserve"> </v>
      </c>
      <c r="L3812" s="4" t="str">
        <f>IFERROR(VLOOKUP($C3812,Observaciones!$A:$B,2,FALSE)," ")</f>
        <v xml:space="preserve"> </v>
      </c>
      <c r="M3812" t="s">
        <v>681</v>
      </c>
      <c r="P3812" s="5">
        <v>521922</v>
      </c>
      <c r="Q3812" s="5">
        <v>99165</v>
      </c>
      <c r="R3812" s="5">
        <v>621087</v>
      </c>
    </row>
    <row r="3813" spans="1:18" x14ac:dyDescent="0.25">
      <c r="C3813">
        <v>88683400</v>
      </c>
      <c r="D3813">
        <v>5</v>
      </c>
      <c r="E3813">
        <v>30855767</v>
      </c>
      <c r="F3813" t="s">
        <v>1527</v>
      </c>
      <c r="G3813" s="1">
        <v>45236</v>
      </c>
      <c r="H3813">
        <v>5413225</v>
      </c>
      <c r="I3813">
        <v>344</v>
      </c>
      <c r="J3813" t="s">
        <v>301</v>
      </c>
      <c r="K3813" t="str">
        <f>IFERROR(IF(AND(VLOOKUP($C3813,Hes!$A:$B, 1, FALSE), $M3813&lt;&gt;" "), "Ingresada", "Falta Ingresar"), " ")</f>
        <v xml:space="preserve"> </v>
      </c>
      <c r="L3813" s="4" t="str">
        <f>IFERROR(VLOOKUP($C3813,Observaciones!$A:$B,2,FALSE)," ")</f>
        <v xml:space="preserve"> </v>
      </c>
      <c r="M3813" t="s">
        <v>681</v>
      </c>
      <c r="O3813" s="5">
        <v>30855767</v>
      </c>
      <c r="P3813" s="5">
        <v>73609</v>
      </c>
      <c r="Q3813" s="5">
        <v>13986</v>
      </c>
      <c r="R3813" s="5">
        <v>87595</v>
      </c>
    </row>
    <row r="3814" spans="1:18" x14ac:dyDescent="0.25">
      <c r="F3814" t="s">
        <v>495</v>
      </c>
      <c r="K3814" t="str">
        <f>IFERROR(IF(AND(VLOOKUP($C3814,Hes!$A:$B, 1, FALSE), $M3814&lt;&gt;" "), "Ingresada", "Falta Ingresar"), " ")</f>
        <v xml:space="preserve"> </v>
      </c>
      <c r="L3814" s="4" t="str">
        <f>IFERROR(VLOOKUP($C3814,Observaciones!$A:$B,2,FALSE)," ")</f>
        <v xml:space="preserve"> </v>
      </c>
      <c r="M3814" t="s">
        <v>681</v>
      </c>
      <c r="P3814" s="5">
        <v>73609</v>
      </c>
      <c r="Q3814" s="5">
        <v>13986</v>
      </c>
      <c r="R3814" s="5">
        <v>87595</v>
      </c>
    </row>
    <row r="3815" spans="1:18" x14ac:dyDescent="0.25">
      <c r="A3815" t="s">
        <v>513</v>
      </c>
      <c r="B3815" t="s">
        <v>494</v>
      </c>
      <c r="C3815">
        <v>88883000</v>
      </c>
      <c r="D3815">
        <v>6</v>
      </c>
      <c r="E3815" t="s">
        <v>1528</v>
      </c>
      <c r="F3815" t="s">
        <v>1529</v>
      </c>
      <c r="G3815" s="1">
        <v>45232</v>
      </c>
      <c r="H3815">
        <v>5410679</v>
      </c>
      <c r="I3815">
        <v>13</v>
      </c>
      <c r="J3815" t="s">
        <v>348</v>
      </c>
      <c r="K3815" t="str">
        <f>IFERROR(IF(AND(VLOOKUP($C3815,Hes!$A:$B, 1, FALSE), $M3815&lt;&gt;" "), "Ingresada", "Falta Ingresar"), " ")</f>
        <v xml:space="preserve"> </v>
      </c>
      <c r="L3815" s="4" t="s">
        <v>681</v>
      </c>
      <c r="M3815" t="s">
        <v>681</v>
      </c>
      <c r="O3815" s="5">
        <v>30844566</v>
      </c>
      <c r="P3815" s="5">
        <v>190477</v>
      </c>
      <c r="Q3815" s="5">
        <v>36191</v>
      </c>
      <c r="R3815" s="5">
        <v>226668</v>
      </c>
    </row>
    <row r="3816" spans="1:18" x14ac:dyDescent="0.25">
      <c r="A3816" t="s">
        <v>513</v>
      </c>
      <c r="B3816" t="s">
        <v>494</v>
      </c>
      <c r="C3816">
        <v>88883000</v>
      </c>
      <c r="D3816">
        <v>0</v>
      </c>
      <c r="E3816" t="s">
        <v>1530</v>
      </c>
      <c r="F3816" t="s">
        <v>1529</v>
      </c>
      <c r="G3816" s="1">
        <v>45236</v>
      </c>
      <c r="H3816">
        <v>5413665</v>
      </c>
      <c r="I3816">
        <v>13</v>
      </c>
      <c r="J3816" t="s">
        <v>348</v>
      </c>
      <c r="K3816" t="str">
        <f>IFERROR(IF(AND(VLOOKUP($C3816,Hes!$A:$B, 1, FALSE), $M3816&lt;&gt;" "), "Ingresada", "Falta Ingresar"), " ")</f>
        <v xml:space="preserve"> </v>
      </c>
      <c r="L3816" s="4" t="s">
        <v>681</v>
      </c>
      <c r="M3816" t="s">
        <v>681</v>
      </c>
      <c r="O3816" s="5">
        <v>30854756</v>
      </c>
      <c r="P3816" s="5">
        <v>493861</v>
      </c>
      <c r="Q3816" s="5">
        <v>93834</v>
      </c>
      <c r="R3816" s="5">
        <v>588081</v>
      </c>
    </row>
    <row r="3817" spans="1:18" x14ac:dyDescent="0.25">
      <c r="A3817" t="s">
        <v>513</v>
      </c>
      <c r="B3817" t="s">
        <v>494</v>
      </c>
      <c r="C3817">
        <v>88883000</v>
      </c>
      <c r="D3817">
        <v>7</v>
      </c>
      <c r="E3817" t="s">
        <v>1531</v>
      </c>
      <c r="F3817" t="s">
        <v>1529</v>
      </c>
      <c r="G3817" s="1">
        <v>45236</v>
      </c>
      <c r="H3817">
        <v>5413882</v>
      </c>
      <c r="I3817">
        <v>13</v>
      </c>
      <c r="J3817" t="s">
        <v>348</v>
      </c>
      <c r="K3817" t="str">
        <f>IFERROR(IF(AND(VLOOKUP($C3817,Hes!$A:$B, 1, FALSE), $M3817&lt;&gt;" "), "Ingresada", "Falta Ingresar"), " ")</f>
        <v xml:space="preserve"> </v>
      </c>
      <c r="L3817" s="4" t="s">
        <v>681</v>
      </c>
      <c r="M3817" t="s">
        <v>681</v>
      </c>
      <c r="O3817" s="5">
        <v>30856171</v>
      </c>
      <c r="P3817" s="5">
        <v>891443</v>
      </c>
      <c r="Q3817" s="5">
        <v>169374</v>
      </c>
      <c r="R3817" s="5">
        <v>1060817</v>
      </c>
    </row>
    <row r="3818" spans="1:18" x14ac:dyDescent="0.25">
      <c r="A3818" t="s">
        <v>513</v>
      </c>
      <c r="B3818" t="s">
        <v>494</v>
      </c>
      <c r="C3818">
        <v>88883000</v>
      </c>
      <c r="D3818">
        <v>13</v>
      </c>
      <c r="E3818" t="s">
        <v>1532</v>
      </c>
      <c r="F3818" t="s">
        <v>1529</v>
      </c>
      <c r="G3818" s="1">
        <v>45237</v>
      </c>
      <c r="H3818">
        <v>5414277</v>
      </c>
      <c r="I3818">
        <v>13</v>
      </c>
      <c r="J3818" t="s">
        <v>348</v>
      </c>
      <c r="K3818" t="str">
        <f>IFERROR(IF(AND(VLOOKUP($C3818,Hes!$A:$B, 1, FALSE), $M3818&lt;&gt;" "), "Ingresada", "Falta Ingresar"), " ")</f>
        <v xml:space="preserve"> </v>
      </c>
      <c r="L3818" s="4" t="s">
        <v>681</v>
      </c>
      <c r="M3818" t="s">
        <v>681</v>
      </c>
      <c r="O3818" s="5">
        <v>30860157</v>
      </c>
      <c r="P3818" s="5">
        <v>248350</v>
      </c>
      <c r="Q3818" s="5">
        <v>47187</v>
      </c>
      <c r="R3818" s="5">
        <v>295537</v>
      </c>
    </row>
    <row r="3819" spans="1:18" x14ac:dyDescent="0.25">
      <c r="A3819" t="s">
        <v>513</v>
      </c>
      <c r="B3819" t="s">
        <v>494</v>
      </c>
      <c r="C3819">
        <v>88883000</v>
      </c>
      <c r="D3819">
        <v>8</v>
      </c>
      <c r="E3819" t="s">
        <v>1533</v>
      </c>
      <c r="F3819" t="s">
        <v>1529</v>
      </c>
      <c r="G3819" s="1">
        <v>45238</v>
      </c>
      <c r="H3819">
        <v>5415472</v>
      </c>
      <c r="I3819">
        <v>13</v>
      </c>
      <c r="J3819" t="s">
        <v>348</v>
      </c>
      <c r="K3819" t="str">
        <f>IFERROR(IF(AND(VLOOKUP($C3819,Hes!$A:$B, 1, FALSE), $M3819&lt;&gt;" "), "Ingresada", "Falta Ingresar"), " ")</f>
        <v xml:space="preserve"> </v>
      </c>
      <c r="L3819" s="4" t="s">
        <v>681</v>
      </c>
      <c r="M3819" t="s">
        <v>681</v>
      </c>
      <c r="O3819" s="5">
        <v>30865194</v>
      </c>
      <c r="P3819" s="5">
        <v>513445</v>
      </c>
      <c r="Q3819" s="5">
        <v>97555</v>
      </c>
      <c r="R3819" s="5">
        <v>611000</v>
      </c>
    </row>
    <row r="3820" spans="1:18" x14ac:dyDescent="0.25">
      <c r="A3820" t="s">
        <v>513</v>
      </c>
      <c r="B3820" t="s">
        <v>494</v>
      </c>
      <c r="C3820">
        <v>88883000</v>
      </c>
      <c r="D3820">
        <v>1</v>
      </c>
      <c r="E3820" t="s">
        <v>1534</v>
      </c>
      <c r="F3820" t="s">
        <v>1529</v>
      </c>
      <c r="G3820" s="1">
        <v>45238</v>
      </c>
      <c r="H3820">
        <v>5415618</v>
      </c>
      <c r="I3820">
        <v>13</v>
      </c>
      <c r="J3820" t="s">
        <v>348</v>
      </c>
      <c r="K3820" t="str">
        <f>IFERROR(IF(AND(VLOOKUP($C3820,Hes!$A:$B, 1, FALSE), $M3820&lt;&gt;" "), "Ingresada", "Falta Ingresar"), " ")</f>
        <v xml:space="preserve"> </v>
      </c>
      <c r="L3820" s="4" t="s">
        <v>681</v>
      </c>
      <c r="M3820" t="s">
        <v>681</v>
      </c>
      <c r="O3820" s="5">
        <v>30865406</v>
      </c>
      <c r="P3820" s="5">
        <v>238211</v>
      </c>
      <c r="Q3820" s="5">
        <v>45260</v>
      </c>
      <c r="R3820" s="5">
        <v>283471</v>
      </c>
    </row>
    <row r="3821" spans="1:18" x14ac:dyDescent="0.25">
      <c r="F3821" t="s">
        <v>523</v>
      </c>
      <c r="K3821" t="str">
        <f>IFERROR(IF(AND(VLOOKUP($C3821,Hes!$A:$B, 1, FALSE), $M3821&lt;&gt;" "), "Ingresada", "Falta Ingresar"), " ")</f>
        <v xml:space="preserve"> </v>
      </c>
      <c r="L3821" s="4" t="str">
        <f>IFERROR(VLOOKUP($C3821,Observaciones!$A:$B,2,FALSE)," ")</f>
        <v xml:space="preserve"> </v>
      </c>
      <c r="M3821" t="s">
        <v>681</v>
      </c>
      <c r="P3821" s="5">
        <v>2575787</v>
      </c>
      <c r="Q3821" s="5">
        <v>489401</v>
      </c>
      <c r="R3821" s="5">
        <v>3065574</v>
      </c>
    </row>
    <row r="3822" spans="1:18" x14ac:dyDescent="0.25">
      <c r="A3822" t="s">
        <v>496</v>
      </c>
      <c r="B3822" t="s">
        <v>494</v>
      </c>
      <c r="C3822">
        <v>89037500</v>
      </c>
      <c r="D3822">
        <v>12</v>
      </c>
      <c r="E3822" t="s">
        <v>1535</v>
      </c>
      <c r="F3822" t="s">
        <v>1536</v>
      </c>
      <c r="G3822" s="1">
        <v>45232</v>
      </c>
      <c r="H3822">
        <v>5410756</v>
      </c>
      <c r="I3822">
        <v>321</v>
      </c>
      <c r="J3822" t="s">
        <v>202</v>
      </c>
      <c r="K3822" t="str">
        <f>IFERROR(IF(AND(VLOOKUP($C3822,Hes!$A:$B, 1, FALSE), $M3822&lt;&gt;" "), "Ingresada", "Falta Ingresar"), " ")</f>
        <v xml:space="preserve"> </v>
      </c>
      <c r="L3822" s="4" t="str">
        <f>IFERROR(VLOOKUP($C3822,Observaciones!$A:$B,2,FALSE)," ")</f>
        <v>XOC Y CC</v>
      </c>
      <c r="M3822" t="s">
        <v>681</v>
      </c>
      <c r="O3822" s="5">
        <v>30832167</v>
      </c>
      <c r="P3822" s="5">
        <v>17451</v>
      </c>
      <c r="Q3822" s="5">
        <v>3316</v>
      </c>
      <c r="R3822" s="5">
        <v>20767</v>
      </c>
    </row>
    <row r="3823" spans="1:18" x14ac:dyDescent="0.25">
      <c r="F3823" t="s">
        <v>495</v>
      </c>
      <c r="K3823" t="str">
        <f>IFERROR(IF(AND(VLOOKUP($C3823,Hes!$A:$B, 1, FALSE), $M3823&lt;&gt;" "), "Ingresada", "Falta Ingresar"), " ")</f>
        <v xml:space="preserve"> </v>
      </c>
      <c r="L3823" s="4" t="str">
        <f>IFERROR(VLOOKUP($C3823,Observaciones!$A:$B,2,FALSE)," ")</f>
        <v xml:space="preserve"> </v>
      </c>
      <c r="M3823" t="s">
        <v>681</v>
      </c>
      <c r="P3823" s="5">
        <v>17451</v>
      </c>
      <c r="Q3823" s="5">
        <v>3316</v>
      </c>
      <c r="R3823" s="5">
        <v>20767</v>
      </c>
    </row>
    <row r="3824" spans="1:18" x14ac:dyDescent="0.25">
      <c r="A3824" t="s">
        <v>501</v>
      </c>
      <c r="B3824" t="s">
        <v>494</v>
      </c>
      <c r="C3824">
        <v>89083300</v>
      </c>
      <c r="D3824">
        <v>23</v>
      </c>
      <c r="E3824">
        <v>30814140</v>
      </c>
      <c r="F3824" t="s">
        <v>1537</v>
      </c>
      <c r="G3824" s="1">
        <v>45232</v>
      </c>
      <c r="H3824">
        <v>5410680</v>
      </c>
      <c r="I3824">
        <v>18</v>
      </c>
      <c r="J3824" t="s">
        <v>168</v>
      </c>
      <c r="K3824" t="str">
        <f>IFERROR(IF(AND(VLOOKUP($C3824,Hes!$A:$B, 1, FALSE), $M3824&lt;&gt;" "), "Ingresada", "Falta Ingresar"), " ")</f>
        <v xml:space="preserve"> </v>
      </c>
      <c r="L3824" s="4" t="str">
        <f>IFERROR(VLOOKUP($C3824,Observaciones!$A:$B,2,FALSE)," ")</f>
        <v xml:space="preserve"> </v>
      </c>
      <c r="M3824" t="s">
        <v>681</v>
      </c>
      <c r="O3824" s="5">
        <v>30814140</v>
      </c>
      <c r="P3824" s="5">
        <v>134918</v>
      </c>
      <c r="Q3824" s="5">
        <v>25634</v>
      </c>
      <c r="R3824" s="5">
        <v>160552</v>
      </c>
    </row>
    <row r="3825" spans="1:18" x14ac:dyDescent="0.25">
      <c r="F3825" t="s">
        <v>495</v>
      </c>
      <c r="K3825" t="str">
        <f>IFERROR(IF(AND(VLOOKUP($C3825,Hes!$A:$B, 1, FALSE), $M3825&lt;&gt;" "), "Ingresada", "Falta Ingresar"), " ")</f>
        <v xml:space="preserve"> </v>
      </c>
      <c r="L3825" s="4" t="str">
        <f>IFERROR(VLOOKUP($C3825,Observaciones!$A:$B,2,FALSE)," ")</f>
        <v xml:space="preserve"> </v>
      </c>
      <c r="M3825" t="s">
        <v>681</v>
      </c>
      <c r="P3825" s="5">
        <v>134918</v>
      </c>
      <c r="Q3825" s="5">
        <v>25634</v>
      </c>
      <c r="R3825" s="5">
        <v>160552</v>
      </c>
    </row>
    <row r="3826" spans="1:18" x14ac:dyDescent="0.25">
      <c r="A3826" t="s">
        <v>496</v>
      </c>
      <c r="B3826" t="s">
        <v>494</v>
      </c>
      <c r="C3826">
        <v>89201400</v>
      </c>
      <c r="D3826">
        <v>0</v>
      </c>
      <c r="E3826">
        <v>4702728913</v>
      </c>
      <c r="F3826" t="s">
        <v>1538</v>
      </c>
      <c r="G3826" s="1">
        <v>45232</v>
      </c>
      <c r="H3826">
        <v>5410700</v>
      </c>
      <c r="I3826">
        <v>63</v>
      </c>
      <c r="J3826" t="s">
        <v>170</v>
      </c>
      <c r="K3826" s="8" t="str">
        <f>IFERROR(IF(AND(VLOOKUP($C3826,Hes!$A:$B, 1, FALSE), $M3826&lt;&gt;" "), "Ingresada", "Falta Ingresar"), " ")</f>
        <v>Falta Ingresar</v>
      </c>
      <c r="L3826" s="4" t="str">
        <f>IFERROR(VLOOKUP($C3826,Observaciones!$A:$B,2,FALSE)," ")</f>
        <v>XOC Y CC INDIVIDUAL</v>
      </c>
      <c r="M3826" t="s">
        <v>681</v>
      </c>
      <c r="N3826" s="5" t="s">
        <v>841</v>
      </c>
      <c r="O3826" s="5">
        <v>30845366</v>
      </c>
      <c r="P3826" s="5">
        <v>40250</v>
      </c>
      <c r="Q3826" s="5">
        <v>7648</v>
      </c>
      <c r="R3826" s="5">
        <v>47898</v>
      </c>
    </row>
    <row r="3827" spans="1:18" x14ac:dyDescent="0.25">
      <c r="A3827" t="s">
        <v>496</v>
      </c>
      <c r="B3827" t="s">
        <v>494</v>
      </c>
      <c r="C3827">
        <v>89201400</v>
      </c>
      <c r="D3827">
        <v>0</v>
      </c>
      <c r="E3827">
        <v>4702729955</v>
      </c>
      <c r="F3827" t="s">
        <v>1538</v>
      </c>
      <c r="G3827" s="1">
        <v>45233</v>
      </c>
      <c r="H3827">
        <v>5411511</v>
      </c>
      <c r="I3827">
        <v>63</v>
      </c>
      <c r="J3827" t="s">
        <v>170</v>
      </c>
      <c r="K3827" s="8" t="str">
        <f>IFERROR(IF(AND(VLOOKUP($C3827,Hes!$A:$B, 1, FALSE), $M3827&lt;&gt;" "), "Ingresada", "Falta Ingresar"), " ")</f>
        <v>Falta Ingresar</v>
      </c>
      <c r="L3827" s="4" t="str">
        <f>IFERROR(VLOOKUP($C3827,Observaciones!$A:$B,2,FALSE)," ")</f>
        <v>XOC Y CC INDIVIDUAL</v>
      </c>
      <c r="M3827" t="s">
        <v>681</v>
      </c>
      <c r="N3827" s="5" t="s">
        <v>841</v>
      </c>
      <c r="O3827" s="5">
        <v>30850048</v>
      </c>
      <c r="P3827" s="5">
        <v>10017</v>
      </c>
      <c r="Q3827" s="5">
        <v>1903</v>
      </c>
      <c r="R3827" s="5">
        <v>11920</v>
      </c>
    </row>
    <row r="3828" spans="1:18" x14ac:dyDescent="0.25">
      <c r="A3828" t="s">
        <v>496</v>
      </c>
      <c r="B3828" t="s">
        <v>494</v>
      </c>
      <c r="C3828">
        <v>89201400</v>
      </c>
      <c r="D3828">
        <v>0</v>
      </c>
      <c r="E3828">
        <v>4702729954</v>
      </c>
      <c r="F3828" t="s">
        <v>1538</v>
      </c>
      <c r="G3828" s="1">
        <v>45233</v>
      </c>
      <c r="H3828">
        <v>5411627</v>
      </c>
      <c r="I3828">
        <v>63</v>
      </c>
      <c r="J3828" t="s">
        <v>170</v>
      </c>
      <c r="K3828" s="8" t="str">
        <f>IFERROR(IF(AND(VLOOKUP($C3828,Hes!$A:$B, 1, FALSE), $M3828&lt;&gt;" "), "Ingresada", "Falta Ingresar"), " ")</f>
        <v>Falta Ingresar</v>
      </c>
      <c r="L3828" s="4" t="str">
        <f>IFERROR(VLOOKUP($C3828,Observaciones!$A:$B,2,FALSE)," ")</f>
        <v>XOC Y CC INDIVIDUAL</v>
      </c>
      <c r="M3828" t="s">
        <v>681</v>
      </c>
      <c r="N3828" s="5" t="s">
        <v>841</v>
      </c>
      <c r="O3828" s="5">
        <v>30850071</v>
      </c>
      <c r="P3828" s="5">
        <v>336450</v>
      </c>
      <c r="Q3828" s="5">
        <v>63926</v>
      </c>
      <c r="R3828" s="5">
        <v>400376</v>
      </c>
    </row>
    <row r="3829" spans="1:18" x14ac:dyDescent="0.25">
      <c r="A3829" t="s">
        <v>496</v>
      </c>
      <c r="B3829" t="s">
        <v>494</v>
      </c>
      <c r="C3829">
        <v>89201400</v>
      </c>
      <c r="D3829">
        <v>3</v>
      </c>
      <c r="E3829">
        <v>4702729587</v>
      </c>
      <c r="F3829" t="s">
        <v>1538</v>
      </c>
      <c r="G3829" s="1">
        <v>45238</v>
      </c>
      <c r="H3829">
        <v>5415133</v>
      </c>
      <c r="I3829">
        <v>63</v>
      </c>
      <c r="J3829" t="s">
        <v>170</v>
      </c>
      <c r="K3829" s="8" t="str">
        <f>IFERROR(IF(AND(VLOOKUP($C3829,Hes!$A:$B, 1, FALSE), $M3829&lt;&gt;" "), "Ingresada", "Falta Ingresar"), " ")</f>
        <v>Falta Ingresar</v>
      </c>
      <c r="L3829" s="4" t="str">
        <f>IFERROR(VLOOKUP($C3829,Observaciones!$A:$B,2,FALSE)," ")</f>
        <v>XOC Y CC INDIVIDUAL</v>
      </c>
      <c r="M3829" t="s">
        <v>681</v>
      </c>
      <c r="N3829" s="5" t="s">
        <v>841</v>
      </c>
      <c r="O3829" s="5">
        <v>30850010</v>
      </c>
      <c r="P3829" s="5">
        <v>200400</v>
      </c>
      <c r="Q3829" s="5">
        <v>38076</v>
      </c>
      <c r="R3829" s="5">
        <v>238476</v>
      </c>
    </row>
    <row r="3830" spans="1:18" x14ac:dyDescent="0.25">
      <c r="F3830" t="s">
        <v>498</v>
      </c>
      <c r="K3830" t="str">
        <f>IFERROR(IF(AND(VLOOKUP($C3830,Hes!$A:$B, 1, FALSE), $M3830&lt;&gt;" "), "Ingresada", "Falta Ingresar"), " ")</f>
        <v xml:space="preserve"> </v>
      </c>
      <c r="L3830" s="4" t="str">
        <f>IFERROR(VLOOKUP($C3830,Observaciones!$A:$B,2,FALSE)," ")</f>
        <v xml:space="preserve"> </v>
      </c>
      <c r="M3830" t="s">
        <v>681</v>
      </c>
      <c r="P3830" s="5">
        <v>587117</v>
      </c>
      <c r="Q3830" s="5">
        <v>111553</v>
      </c>
      <c r="R3830" s="5">
        <v>698670</v>
      </c>
    </row>
    <row r="3831" spans="1:18" x14ac:dyDescent="0.25">
      <c r="A3831" t="s">
        <v>503</v>
      </c>
      <c r="B3831" t="s">
        <v>494</v>
      </c>
      <c r="C3831">
        <v>89258800</v>
      </c>
      <c r="D3831">
        <v>8</v>
      </c>
      <c r="E3831">
        <v>4600002667</v>
      </c>
      <c r="F3831" t="s">
        <v>1539</v>
      </c>
      <c r="G3831" s="1">
        <v>45231</v>
      </c>
      <c r="H3831">
        <v>5410582</v>
      </c>
      <c r="I3831">
        <v>272</v>
      </c>
      <c r="J3831" t="s">
        <v>398</v>
      </c>
      <c r="K3831" t="str">
        <f>IFERROR(IF(AND(VLOOKUP($C3831,Hes!$A:$B, 1, FALSE), $M3831&lt;&gt;" "), "Ingresada", "Falta Ingresar"), " ")</f>
        <v xml:space="preserve"> </v>
      </c>
      <c r="L3831" s="4" t="s">
        <v>681</v>
      </c>
      <c r="M3831" t="s">
        <v>681</v>
      </c>
      <c r="O3831" s="5">
        <v>30842076</v>
      </c>
      <c r="P3831" s="5">
        <v>20000</v>
      </c>
      <c r="Q3831" s="5">
        <v>3800</v>
      </c>
      <c r="R3831" s="5">
        <v>23800</v>
      </c>
    </row>
    <row r="3832" spans="1:18" x14ac:dyDescent="0.25">
      <c r="A3832" t="s">
        <v>503</v>
      </c>
      <c r="B3832" t="s">
        <v>494</v>
      </c>
      <c r="C3832">
        <v>89258800</v>
      </c>
      <c r="D3832">
        <v>41</v>
      </c>
      <c r="E3832" t="s">
        <v>1540</v>
      </c>
      <c r="F3832" t="s">
        <v>1539</v>
      </c>
      <c r="G3832" s="1">
        <v>45233</v>
      </c>
      <c r="H3832">
        <v>5411740</v>
      </c>
      <c r="I3832">
        <v>272</v>
      </c>
      <c r="J3832" t="s">
        <v>398</v>
      </c>
      <c r="K3832" t="str">
        <f>IFERROR(IF(AND(VLOOKUP($C3832,Hes!$A:$B, 1, FALSE), $M3832&lt;&gt;" "), "Ingresada", "Falta Ingresar"), " ")</f>
        <v xml:space="preserve"> </v>
      </c>
      <c r="L3832" s="4" t="s">
        <v>681</v>
      </c>
      <c r="M3832" t="s">
        <v>681</v>
      </c>
      <c r="O3832" s="5">
        <v>30850823</v>
      </c>
      <c r="P3832" s="5">
        <v>469025</v>
      </c>
      <c r="Q3832" s="5">
        <v>89115</v>
      </c>
      <c r="R3832" s="5">
        <v>558140</v>
      </c>
    </row>
    <row r="3833" spans="1:18" x14ac:dyDescent="0.25">
      <c r="A3833" t="s">
        <v>503</v>
      </c>
      <c r="B3833" t="s">
        <v>494</v>
      </c>
      <c r="C3833">
        <v>89258800</v>
      </c>
      <c r="D3833">
        <v>27</v>
      </c>
      <c r="E3833">
        <v>30860902</v>
      </c>
      <c r="F3833" t="s">
        <v>1539</v>
      </c>
      <c r="G3833" s="1">
        <v>45237</v>
      </c>
      <c r="H3833">
        <v>5415281</v>
      </c>
      <c r="I3833">
        <v>272</v>
      </c>
      <c r="J3833" t="s">
        <v>398</v>
      </c>
      <c r="K3833" t="str">
        <f>IFERROR(IF(AND(VLOOKUP($C3833,Hes!$A:$B, 1, FALSE), $M3833&lt;&gt;" "), "Ingresada", "Falta Ingresar"), " ")</f>
        <v xml:space="preserve"> </v>
      </c>
      <c r="L3833" s="4" t="s">
        <v>681</v>
      </c>
      <c r="M3833" t="s">
        <v>681</v>
      </c>
      <c r="O3833" s="5">
        <v>30860902</v>
      </c>
      <c r="P3833" s="5">
        <v>32536</v>
      </c>
      <c r="Q3833" s="5">
        <v>6182</v>
      </c>
      <c r="R3833" s="5">
        <v>38718</v>
      </c>
    </row>
    <row r="3834" spans="1:18" x14ac:dyDescent="0.25">
      <c r="F3834" t="s">
        <v>500</v>
      </c>
      <c r="K3834" t="str">
        <f>IFERROR(IF(AND(VLOOKUP($C3834,Hes!$A:$B, 1, FALSE), $M3834&lt;&gt;" "), "Ingresada", "Falta Ingresar"), " ")</f>
        <v xml:space="preserve"> </v>
      </c>
      <c r="L3834" s="4" t="str">
        <f>IFERROR(VLOOKUP($C3834,Observaciones!$A:$B,2,FALSE)," ")</f>
        <v xml:space="preserve"> </v>
      </c>
      <c r="M3834" t="s">
        <v>681</v>
      </c>
      <c r="P3834" s="5">
        <v>521561</v>
      </c>
      <c r="Q3834" s="5">
        <v>99097</v>
      </c>
      <c r="R3834" s="5">
        <v>620658</v>
      </c>
    </row>
    <row r="3835" spans="1:18" x14ac:dyDescent="0.25">
      <c r="A3835" t="s">
        <v>501</v>
      </c>
      <c r="B3835" t="s">
        <v>494</v>
      </c>
      <c r="C3835">
        <v>89458100</v>
      </c>
      <c r="D3835">
        <v>4</v>
      </c>
      <c r="E3835">
        <v>30856968</v>
      </c>
      <c r="F3835" t="s">
        <v>1541</v>
      </c>
      <c r="G3835" s="1">
        <v>45237</v>
      </c>
      <c r="H3835">
        <v>5413939</v>
      </c>
      <c r="I3835">
        <v>144</v>
      </c>
      <c r="J3835" t="s">
        <v>117</v>
      </c>
      <c r="K3835" t="str">
        <f>IFERROR(IF(AND(VLOOKUP($C3835,Hes!$A:$B, 1, FALSE), $M3835&lt;&gt;" "), "Ingresada", "Falta Ingresar"), " ")</f>
        <v xml:space="preserve"> </v>
      </c>
      <c r="L3835" s="4" t="str">
        <f>IFERROR(VLOOKUP($C3835,Observaciones!$A:$B,2,FALSE)," ")</f>
        <v xml:space="preserve"> </v>
      </c>
      <c r="M3835" t="s">
        <v>681</v>
      </c>
      <c r="O3835" s="5">
        <v>30856968</v>
      </c>
      <c r="P3835" s="5">
        <v>67268</v>
      </c>
      <c r="Q3835" s="5">
        <v>12781</v>
      </c>
      <c r="R3835" s="5">
        <v>80049</v>
      </c>
    </row>
    <row r="3836" spans="1:18" x14ac:dyDescent="0.25">
      <c r="F3836" t="s">
        <v>495</v>
      </c>
      <c r="K3836" t="str">
        <f>IFERROR(IF(AND(VLOOKUP($C3836,Hes!$A:$B, 1, FALSE), $M3836&lt;&gt;" "), "Ingresada", "Falta Ingresar"), " ")</f>
        <v xml:space="preserve"> </v>
      </c>
      <c r="L3836" s="4" t="str">
        <f>IFERROR(VLOOKUP($C3836,Observaciones!$A:$B,2,FALSE)," ")</f>
        <v xml:space="preserve"> </v>
      </c>
      <c r="M3836" t="s">
        <v>681</v>
      </c>
      <c r="P3836" s="5">
        <v>67268</v>
      </c>
      <c r="Q3836" s="5">
        <v>12781</v>
      </c>
      <c r="R3836" s="5">
        <v>80049</v>
      </c>
    </row>
    <row r="3837" spans="1:18" x14ac:dyDescent="0.25">
      <c r="A3837" t="s">
        <v>501</v>
      </c>
      <c r="B3837" t="s">
        <v>508</v>
      </c>
      <c r="C3837">
        <v>89515900</v>
      </c>
      <c r="D3837">
        <v>3</v>
      </c>
      <c r="E3837" t="s">
        <v>1542</v>
      </c>
      <c r="F3837" t="s">
        <v>1543</v>
      </c>
      <c r="G3837" s="1">
        <v>45231</v>
      </c>
      <c r="H3837">
        <v>5410589</v>
      </c>
      <c r="I3837">
        <v>23</v>
      </c>
      <c r="J3837" t="s">
        <v>174</v>
      </c>
      <c r="K3837" t="str">
        <f>IFERROR(IF(AND(VLOOKUP($C3837,Hes!$A:$B, 1, FALSE), $M3837&lt;&gt;" "), "Ingresada", "Falta Ingresar"), " ")</f>
        <v xml:space="preserve"> </v>
      </c>
      <c r="L3837" s="4" t="str">
        <f>IFERROR(VLOOKUP($C3837,Observaciones!$A:$B,2,FALSE)," ")</f>
        <v xml:space="preserve"> </v>
      </c>
      <c r="M3837" t="s">
        <v>681</v>
      </c>
      <c r="O3837" s="5">
        <v>30844257</v>
      </c>
      <c r="P3837" s="5">
        <v>36000</v>
      </c>
      <c r="Q3837" s="5">
        <v>6840</v>
      </c>
      <c r="R3837" s="5">
        <v>42840</v>
      </c>
    </row>
    <row r="3838" spans="1:18" x14ac:dyDescent="0.25">
      <c r="A3838" t="s">
        <v>501</v>
      </c>
      <c r="B3838" t="s">
        <v>508</v>
      </c>
      <c r="C3838">
        <v>89515900</v>
      </c>
      <c r="D3838">
        <v>4</v>
      </c>
      <c r="E3838" t="s">
        <v>1544</v>
      </c>
      <c r="F3838" t="s">
        <v>1543</v>
      </c>
      <c r="G3838" s="1">
        <v>45231</v>
      </c>
      <c r="H3838">
        <v>5410603</v>
      </c>
      <c r="I3838">
        <v>23</v>
      </c>
      <c r="J3838" t="s">
        <v>174</v>
      </c>
      <c r="K3838" t="str">
        <f>IFERROR(IF(AND(VLOOKUP($C3838,Hes!$A:$B, 1, FALSE), $M3838&lt;&gt;" "), "Ingresada", "Falta Ingresar"), " ")</f>
        <v xml:space="preserve"> </v>
      </c>
      <c r="L3838" s="4" t="str">
        <f>IFERROR(VLOOKUP($C3838,Observaciones!$A:$B,2,FALSE)," ")</f>
        <v xml:space="preserve"> </v>
      </c>
      <c r="M3838" t="s">
        <v>681</v>
      </c>
      <c r="O3838" s="5">
        <v>30844252</v>
      </c>
      <c r="P3838" s="5">
        <v>36000</v>
      </c>
      <c r="Q3838" s="5">
        <v>6840</v>
      </c>
      <c r="R3838" s="5">
        <v>42840</v>
      </c>
    </row>
    <row r="3839" spans="1:18" x14ac:dyDescent="0.25">
      <c r="A3839" t="s">
        <v>501</v>
      </c>
      <c r="B3839" t="s">
        <v>508</v>
      </c>
      <c r="C3839">
        <v>89515900</v>
      </c>
      <c r="D3839">
        <v>7</v>
      </c>
      <c r="E3839" t="s">
        <v>1545</v>
      </c>
      <c r="F3839" t="s">
        <v>1543</v>
      </c>
      <c r="G3839" s="1">
        <v>45231</v>
      </c>
      <c r="H3839">
        <v>5410659</v>
      </c>
      <c r="I3839">
        <v>23</v>
      </c>
      <c r="J3839" t="s">
        <v>174</v>
      </c>
      <c r="K3839" t="str">
        <f>IFERROR(IF(AND(VLOOKUP($C3839,Hes!$A:$B, 1, FALSE), $M3839&lt;&gt;" "), "Ingresada", "Falta Ingresar"), " ")</f>
        <v xml:space="preserve"> </v>
      </c>
      <c r="L3839" s="4" t="str">
        <f>IFERROR(VLOOKUP($C3839,Observaciones!$A:$B,2,FALSE)," ")</f>
        <v xml:space="preserve"> </v>
      </c>
      <c r="M3839" t="s">
        <v>681</v>
      </c>
      <c r="O3839" s="5">
        <v>30844253</v>
      </c>
      <c r="P3839" s="5">
        <v>72000</v>
      </c>
      <c r="Q3839" s="5">
        <v>13680</v>
      </c>
      <c r="R3839" s="5">
        <v>85680</v>
      </c>
    </row>
    <row r="3840" spans="1:18" x14ac:dyDescent="0.25">
      <c r="A3840" t="s">
        <v>501</v>
      </c>
      <c r="B3840" t="s">
        <v>508</v>
      </c>
      <c r="C3840">
        <v>89515900</v>
      </c>
      <c r="D3840">
        <v>0</v>
      </c>
      <c r="E3840" t="s">
        <v>1546</v>
      </c>
      <c r="F3840" t="s">
        <v>1543</v>
      </c>
      <c r="G3840" s="1">
        <v>45231</v>
      </c>
      <c r="H3840">
        <v>5410667</v>
      </c>
      <c r="I3840">
        <v>23</v>
      </c>
      <c r="J3840" t="s">
        <v>174</v>
      </c>
      <c r="K3840" t="str">
        <f>IFERROR(IF(AND(VLOOKUP($C3840,Hes!$A:$B, 1, FALSE), $M3840&lt;&gt;" "), "Ingresada", "Falta Ingresar"), " ")</f>
        <v xml:space="preserve"> </v>
      </c>
      <c r="L3840" s="4" t="str">
        <f>IFERROR(VLOOKUP($C3840,Observaciones!$A:$B,2,FALSE)," ")</f>
        <v xml:space="preserve"> </v>
      </c>
      <c r="M3840" t="s">
        <v>681</v>
      </c>
      <c r="O3840" s="5">
        <v>30844250</v>
      </c>
      <c r="P3840" s="5">
        <v>72000</v>
      </c>
      <c r="Q3840" s="5">
        <v>13680</v>
      </c>
      <c r="R3840" s="5">
        <v>85680</v>
      </c>
    </row>
    <row r="3841" spans="1:18" x14ac:dyDescent="0.25">
      <c r="A3841" t="s">
        <v>501</v>
      </c>
      <c r="B3841" t="s">
        <v>508</v>
      </c>
      <c r="C3841">
        <v>89515900</v>
      </c>
      <c r="D3841">
        <v>13</v>
      </c>
      <c r="E3841" t="s">
        <v>1547</v>
      </c>
      <c r="F3841" t="s">
        <v>1543</v>
      </c>
      <c r="G3841" s="1">
        <v>45232</v>
      </c>
      <c r="H3841">
        <v>5410822</v>
      </c>
      <c r="I3841">
        <v>23</v>
      </c>
      <c r="J3841" t="s">
        <v>174</v>
      </c>
      <c r="K3841" t="str">
        <f>IFERROR(IF(AND(VLOOKUP($C3841,Hes!$A:$B, 1, FALSE), $M3841&lt;&gt;" "), "Ingresada", "Falta Ingresar"), " ")</f>
        <v xml:space="preserve"> </v>
      </c>
      <c r="L3841" s="4" t="str">
        <f>IFERROR(VLOOKUP($C3841,Observaciones!$A:$B,2,FALSE)," ")</f>
        <v xml:space="preserve"> </v>
      </c>
      <c r="M3841" t="s">
        <v>681</v>
      </c>
      <c r="O3841" s="5">
        <v>30844258</v>
      </c>
      <c r="P3841" s="5">
        <v>72000</v>
      </c>
      <c r="Q3841" s="5">
        <v>13680</v>
      </c>
      <c r="R3841" s="5">
        <v>85680</v>
      </c>
    </row>
    <row r="3842" spans="1:18" x14ac:dyDescent="0.25">
      <c r="A3842" t="s">
        <v>501</v>
      </c>
      <c r="B3842" t="s">
        <v>508</v>
      </c>
      <c r="C3842">
        <v>89515900</v>
      </c>
      <c r="D3842">
        <v>10</v>
      </c>
      <c r="E3842" t="s">
        <v>1548</v>
      </c>
      <c r="F3842" t="s">
        <v>1543</v>
      </c>
      <c r="G3842" s="1">
        <v>45231</v>
      </c>
      <c r="H3842">
        <v>5410824</v>
      </c>
      <c r="I3842">
        <v>23</v>
      </c>
      <c r="J3842" t="s">
        <v>174</v>
      </c>
      <c r="K3842" t="str">
        <f>IFERROR(IF(AND(VLOOKUP($C3842,Hes!$A:$B, 1, FALSE), $M3842&lt;&gt;" "), "Ingresada", "Falta Ingresar"), " ")</f>
        <v xml:space="preserve"> </v>
      </c>
      <c r="L3842" s="4" t="str">
        <f>IFERROR(VLOOKUP($C3842,Observaciones!$A:$B,2,FALSE)," ")</f>
        <v xml:space="preserve"> </v>
      </c>
      <c r="M3842" t="s">
        <v>681</v>
      </c>
      <c r="O3842" s="5">
        <v>30844254</v>
      </c>
      <c r="P3842" s="5">
        <v>72000</v>
      </c>
      <c r="Q3842" s="5">
        <v>13680</v>
      </c>
      <c r="R3842" s="5">
        <v>85680</v>
      </c>
    </row>
    <row r="3843" spans="1:18" x14ac:dyDescent="0.25">
      <c r="A3843" t="s">
        <v>501</v>
      </c>
      <c r="B3843" t="s">
        <v>508</v>
      </c>
      <c r="C3843">
        <v>89515900</v>
      </c>
      <c r="D3843">
        <v>8</v>
      </c>
      <c r="E3843" t="s">
        <v>1549</v>
      </c>
      <c r="F3843" t="s">
        <v>1543</v>
      </c>
      <c r="G3843" s="1">
        <v>45231</v>
      </c>
      <c r="H3843">
        <v>5410836</v>
      </c>
      <c r="I3843">
        <v>23</v>
      </c>
      <c r="J3843" t="s">
        <v>174</v>
      </c>
      <c r="K3843" t="str">
        <f>IFERROR(IF(AND(VLOOKUP($C3843,Hes!$A:$B, 1, FALSE), $M3843&lt;&gt;" "), "Ingresada", "Falta Ingresar"), " ")</f>
        <v xml:space="preserve"> </v>
      </c>
      <c r="L3843" s="4" t="str">
        <f>IFERROR(VLOOKUP($C3843,Observaciones!$A:$B,2,FALSE)," ")</f>
        <v xml:space="preserve"> </v>
      </c>
      <c r="M3843" t="s">
        <v>681</v>
      </c>
      <c r="O3843" s="5">
        <v>30844255</v>
      </c>
      <c r="P3843" s="5">
        <v>36000</v>
      </c>
      <c r="Q3843" s="5">
        <v>6840</v>
      </c>
      <c r="R3843" s="5">
        <v>42840</v>
      </c>
    </row>
    <row r="3844" spans="1:18" x14ac:dyDescent="0.25">
      <c r="A3844" t="s">
        <v>501</v>
      </c>
      <c r="B3844" t="s">
        <v>508</v>
      </c>
      <c r="C3844">
        <v>89515900</v>
      </c>
      <c r="D3844">
        <v>9</v>
      </c>
      <c r="E3844" t="s">
        <v>1550</v>
      </c>
      <c r="F3844" t="s">
        <v>1543</v>
      </c>
      <c r="G3844" s="1">
        <v>45231</v>
      </c>
      <c r="H3844">
        <v>5410837</v>
      </c>
      <c r="I3844">
        <v>23</v>
      </c>
      <c r="J3844" t="s">
        <v>174</v>
      </c>
      <c r="K3844" t="str">
        <f>IFERROR(IF(AND(VLOOKUP($C3844,Hes!$A:$B, 1, FALSE), $M3844&lt;&gt;" "), "Ingresada", "Falta Ingresar"), " ")</f>
        <v xml:space="preserve"> </v>
      </c>
      <c r="L3844" s="4" t="str">
        <f>IFERROR(VLOOKUP($C3844,Observaciones!$A:$B,2,FALSE)," ")</f>
        <v xml:space="preserve"> </v>
      </c>
      <c r="M3844" t="s">
        <v>681</v>
      </c>
      <c r="O3844" s="5">
        <v>30844256</v>
      </c>
      <c r="P3844" s="5">
        <v>72000</v>
      </c>
      <c r="Q3844" s="5">
        <v>13680</v>
      </c>
      <c r="R3844" s="5">
        <v>85680</v>
      </c>
    </row>
    <row r="3845" spans="1:18" x14ac:dyDescent="0.25">
      <c r="A3845" t="s">
        <v>501</v>
      </c>
      <c r="B3845" t="s">
        <v>508</v>
      </c>
      <c r="C3845">
        <v>89515900</v>
      </c>
      <c r="D3845">
        <v>11</v>
      </c>
      <c r="E3845" t="s">
        <v>1551</v>
      </c>
      <c r="F3845" t="s">
        <v>1543</v>
      </c>
      <c r="G3845" s="1">
        <v>45231</v>
      </c>
      <c r="H3845">
        <v>5410979</v>
      </c>
      <c r="I3845">
        <v>23</v>
      </c>
      <c r="J3845" t="s">
        <v>174</v>
      </c>
      <c r="K3845" t="str">
        <f>IFERROR(IF(AND(VLOOKUP($C3845,Hes!$A:$B, 1, FALSE), $M3845&lt;&gt;" "), "Ingresada", "Falta Ingresar"), " ")</f>
        <v xml:space="preserve"> </v>
      </c>
      <c r="L3845" s="4" t="str">
        <f>IFERROR(VLOOKUP($C3845,Observaciones!$A:$B,2,FALSE)," ")</f>
        <v xml:space="preserve"> </v>
      </c>
      <c r="M3845" t="s">
        <v>681</v>
      </c>
      <c r="O3845" s="5">
        <v>30844259</v>
      </c>
      <c r="P3845" s="5">
        <v>72000</v>
      </c>
      <c r="Q3845" s="5">
        <v>13680</v>
      </c>
      <c r="R3845" s="5">
        <v>85680</v>
      </c>
    </row>
    <row r="3846" spans="1:18" x14ac:dyDescent="0.25">
      <c r="A3846" t="s">
        <v>501</v>
      </c>
      <c r="B3846" t="s">
        <v>508</v>
      </c>
      <c r="C3846">
        <v>89515900</v>
      </c>
      <c r="D3846">
        <v>6</v>
      </c>
      <c r="E3846" t="s">
        <v>1552</v>
      </c>
      <c r="F3846" t="s">
        <v>1543</v>
      </c>
      <c r="G3846" s="1">
        <v>45232</v>
      </c>
      <c r="H3846">
        <v>5411120</v>
      </c>
      <c r="I3846">
        <v>23</v>
      </c>
      <c r="J3846" t="s">
        <v>174</v>
      </c>
      <c r="K3846" t="str">
        <f>IFERROR(IF(AND(VLOOKUP($C3846,Hes!$A:$B, 1, FALSE), $M3846&lt;&gt;" "), "Ingresada", "Falta Ingresar"), " ")</f>
        <v xml:space="preserve"> </v>
      </c>
      <c r="L3846" s="4" t="str">
        <f>IFERROR(VLOOKUP($C3846,Observaciones!$A:$B,2,FALSE)," ")</f>
        <v xml:space="preserve"> </v>
      </c>
      <c r="M3846" t="s">
        <v>681</v>
      </c>
      <c r="O3846" s="5">
        <v>30844251</v>
      </c>
      <c r="P3846" s="5">
        <v>72000</v>
      </c>
      <c r="Q3846" s="5">
        <v>13680</v>
      </c>
      <c r="R3846" s="5">
        <v>85680</v>
      </c>
    </row>
    <row r="3847" spans="1:18" x14ac:dyDescent="0.25">
      <c r="F3847" t="s">
        <v>533</v>
      </c>
      <c r="K3847" t="str">
        <f>IFERROR(IF(AND(VLOOKUP($C3847,Hes!$A:$B, 1, FALSE), $M3847&lt;&gt;" "), "Ingresada", "Falta Ingresar"), " ")</f>
        <v xml:space="preserve"> </v>
      </c>
      <c r="L3847" s="4" t="str">
        <f>IFERROR(VLOOKUP($C3847,Observaciones!$A:$B,2,FALSE)," ")</f>
        <v xml:space="preserve"> </v>
      </c>
      <c r="M3847" t="s">
        <v>681</v>
      </c>
      <c r="P3847" s="5">
        <v>612000</v>
      </c>
      <c r="Q3847" s="5">
        <v>116280</v>
      </c>
      <c r="R3847" s="5">
        <v>728280</v>
      </c>
    </row>
    <row r="3848" spans="1:18" x14ac:dyDescent="0.25">
      <c r="A3848" t="s">
        <v>3</v>
      </c>
      <c r="B3848" t="s">
        <v>494</v>
      </c>
      <c r="C3848">
        <v>89696400</v>
      </c>
      <c r="D3848">
        <v>38</v>
      </c>
      <c r="E3848">
        <v>400008717</v>
      </c>
      <c r="F3848" t="s">
        <v>1553</v>
      </c>
      <c r="G3848" s="1">
        <v>45231</v>
      </c>
      <c r="H3848">
        <v>5410887</v>
      </c>
      <c r="I3848">
        <v>424</v>
      </c>
      <c r="J3848" t="s">
        <v>146</v>
      </c>
      <c r="K3848" t="str">
        <f>IFERROR(IF(AND(VLOOKUP($C3848,Hes!$A:$B, 1, FALSE), $M3848&lt;&gt;" "), "Ingresada", "Falta Ingresar"), " ")</f>
        <v xml:space="preserve"> </v>
      </c>
      <c r="L3848" s="4" t="str">
        <f>IFERROR(VLOOKUP($C3848,Observaciones!$A:$B,2,FALSE)," ")</f>
        <v xml:space="preserve"> </v>
      </c>
      <c r="M3848" t="s">
        <v>681</v>
      </c>
      <c r="O3848" s="5">
        <v>30847123</v>
      </c>
      <c r="P3848" s="5">
        <v>201097</v>
      </c>
      <c r="Q3848" s="5">
        <v>38208</v>
      </c>
      <c r="R3848" s="5">
        <v>239305</v>
      </c>
    </row>
    <row r="3849" spans="1:18" x14ac:dyDescent="0.25">
      <c r="A3849" t="s">
        <v>3</v>
      </c>
      <c r="B3849" t="s">
        <v>494</v>
      </c>
      <c r="C3849">
        <v>89696400</v>
      </c>
      <c r="D3849">
        <v>80</v>
      </c>
      <c r="E3849">
        <v>400008613</v>
      </c>
      <c r="F3849" t="s">
        <v>1553</v>
      </c>
      <c r="G3849" s="1">
        <v>45231</v>
      </c>
      <c r="H3849">
        <v>5410894</v>
      </c>
      <c r="I3849">
        <v>424</v>
      </c>
      <c r="J3849" t="s">
        <v>146</v>
      </c>
      <c r="K3849" t="str">
        <f>IFERROR(IF(AND(VLOOKUP($C3849,Hes!$A:$B, 1, FALSE), $M3849&lt;&gt;" "), "Ingresada", "Falta Ingresar"), " ")</f>
        <v xml:space="preserve"> </v>
      </c>
      <c r="L3849" s="4" t="str">
        <f>IFERROR(VLOOKUP($C3849,Observaciones!$A:$B,2,FALSE)," ")</f>
        <v xml:space="preserve"> </v>
      </c>
      <c r="M3849" t="s">
        <v>681</v>
      </c>
      <c r="O3849" s="5">
        <v>30847201</v>
      </c>
      <c r="P3849" s="5">
        <v>509700</v>
      </c>
      <c r="Q3849" s="5">
        <v>96843</v>
      </c>
      <c r="R3849" s="5">
        <v>606543</v>
      </c>
    </row>
    <row r="3850" spans="1:18" x14ac:dyDescent="0.25">
      <c r="A3850" t="s">
        <v>3</v>
      </c>
      <c r="B3850" t="s">
        <v>494</v>
      </c>
      <c r="C3850">
        <v>89696400</v>
      </c>
      <c r="D3850">
        <v>80</v>
      </c>
      <c r="E3850">
        <v>400008613</v>
      </c>
      <c r="F3850" t="s">
        <v>1553</v>
      </c>
      <c r="G3850" s="1">
        <v>45231</v>
      </c>
      <c r="H3850">
        <v>5410895</v>
      </c>
      <c r="I3850">
        <v>424</v>
      </c>
      <c r="J3850" t="s">
        <v>146</v>
      </c>
      <c r="K3850" t="str">
        <f>IFERROR(IF(AND(VLOOKUP($C3850,Hes!$A:$B, 1, FALSE), $M3850&lt;&gt;" "), "Ingresada", "Falta Ingresar"), " ")</f>
        <v xml:space="preserve"> </v>
      </c>
      <c r="L3850" s="4" t="str">
        <f>IFERROR(VLOOKUP($C3850,Observaciones!$A:$B,2,FALSE)," ")</f>
        <v xml:space="preserve"> </v>
      </c>
      <c r="M3850" t="s">
        <v>681</v>
      </c>
      <c r="O3850" s="5">
        <v>30847201</v>
      </c>
      <c r="P3850" s="5">
        <v>186788</v>
      </c>
      <c r="Q3850" s="5">
        <v>35490</v>
      </c>
      <c r="R3850" s="5">
        <v>222278</v>
      </c>
    </row>
    <row r="3851" spans="1:18" x14ac:dyDescent="0.25">
      <c r="A3851" t="s">
        <v>3</v>
      </c>
      <c r="B3851" t="s">
        <v>494</v>
      </c>
      <c r="C3851">
        <v>89696400</v>
      </c>
      <c r="D3851">
        <v>3</v>
      </c>
      <c r="E3851">
        <v>400008625</v>
      </c>
      <c r="F3851" t="s">
        <v>1553</v>
      </c>
      <c r="G3851" s="1">
        <v>45232</v>
      </c>
      <c r="H3851">
        <v>5410973</v>
      </c>
      <c r="I3851">
        <v>424</v>
      </c>
      <c r="J3851" t="s">
        <v>146</v>
      </c>
      <c r="K3851" t="str">
        <f>IFERROR(IF(AND(VLOOKUP($C3851,Hes!$A:$B, 1, FALSE), $M3851&lt;&gt;" "), "Ingresada", "Falta Ingresar"), " ")</f>
        <v xml:space="preserve"> </v>
      </c>
      <c r="L3851" s="4" t="str">
        <f>IFERROR(VLOOKUP($C3851,Observaciones!$A:$B,2,FALSE)," ")</f>
        <v xml:space="preserve"> </v>
      </c>
      <c r="M3851" t="s">
        <v>681</v>
      </c>
      <c r="O3851" s="5">
        <v>30845604</v>
      </c>
      <c r="P3851" s="5">
        <v>322580</v>
      </c>
      <c r="Q3851" s="5">
        <v>61290</v>
      </c>
      <c r="R3851" s="5">
        <v>385029</v>
      </c>
    </row>
    <row r="3852" spans="1:18" x14ac:dyDescent="0.25">
      <c r="A3852" t="s">
        <v>3</v>
      </c>
      <c r="B3852" t="s">
        <v>494</v>
      </c>
      <c r="C3852">
        <v>89696400</v>
      </c>
      <c r="D3852">
        <v>108</v>
      </c>
      <c r="E3852">
        <v>400008741</v>
      </c>
      <c r="F3852" t="s">
        <v>1553</v>
      </c>
      <c r="G3852" s="1">
        <v>45233</v>
      </c>
      <c r="H3852">
        <v>5411247</v>
      </c>
      <c r="I3852">
        <v>424</v>
      </c>
      <c r="J3852" t="s">
        <v>146</v>
      </c>
      <c r="K3852" t="str">
        <f>IFERROR(IF(AND(VLOOKUP($C3852,Hes!$A:$B, 1, FALSE), $M3852&lt;&gt;" "), "Ingresada", "Falta Ingresar"), " ")</f>
        <v xml:space="preserve"> </v>
      </c>
      <c r="L3852" s="4" t="str">
        <f>IFERROR(VLOOKUP($C3852,Observaciones!$A:$B,2,FALSE)," ")</f>
        <v xml:space="preserve"> </v>
      </c>
      <c r="M3852" t="s">
        <v>681</v>
      </c>
      <c r="O3852" s="5">
        <v>30847658</v>
      </c>
      <c r="P3852" s="5">
        <v>250465</v>
      </c>
      <c r="Q3852" s="5">
        <v>47588</v>
      </c>
      <c r="R3852" s="5">
        <v>298053</v>
      </c>
    </row>
    <row r="3853" spans="1:18" x14ac:dyDescent="0.25">
      <c r="A3853" t="s">
        <v>3</v>
      </c>
      <c r="B3853" t="s">
        <v>494</v>
      </c>
      <c r="C3853">
        <v>89696400</v>
      </c>
      <c r="D3853">
        <v>61</v>
      </c>
      <c r="E3853">
        <v>400008697</v>
      </c>
      <c r="F3853" t="s">
        <v>1553</v>
      </c>
      <c r="G3853" s="1">
        <v>45233</v>
      </c>
      <c r="H3853">
        <v>5411290</v>
      </c>
      <c r="I3853">
        <v>424</v>
      </c>
      <c r="J3853" t="s">
        <v>146</v>
      </c>
      <c r="K3853" t="str">
        <f>IFERROR(IF(AND(VLOOKUP($C3853,Hes!$A:$B, 1, FALSE), $M3853&lt;&gt;" "), "Ingresada", "Falta Ingresar"), " ")</f>
        <v xml:space="preserve"> </v>
      </c>
      <c r="L3853" s="4" t="str">
        <f>IFERROR(VLOOKUP($C3853,Observaciones!$A:$B,2,FALSE)," ")</f>
        <v xml:space="preserve"> </v>
      </c>
      <c r="M3853" t="s">
        <v>681</v>
      </c>
      <c r="O3853" s="5">
        <v>30848113</v>
      </c>
      <c r="P3853" s="5">
        <v>115406</v>
      </c>
      <c r="Q3853" s="5">
        <v>21927</v>
      </c>
      <c r="R3853" s="5">
        <v>137333</v>
      </c>
    </row>
    <row r="3854" spans="1:18" x14ac:dyDescent="0.25">
      <c r="A3854" t="s">
        <v>3</v>
      </c>
      <c r="B3854" t="s">
        <v>494</v>
      </c>
      <c r="C3854">
        <v>89696400</v>
      </c>
      <c r="D3854">
        <v>59</v>
      </c>
      <c r="E3854">
        <v>400008734</v>
      </c>
      <c r="F3854" t="s">
        <v>1553</v>
      </c>
      <c r="G3854" s="1">
        <v>45233</v>
      </c>
      <c r="H3854">
        <v>5411292</v>
      </c>
      <c r="I3854">
        <v>424</v>
      </c>
      <c r="J3854" t="s">
        <v>146</v>
      </c>
      <c r="K3854" t="str">
        <f>IFERROR(IF(AND(VLOOKUP($C3854,Hes!$A:$B, 1, FALSE), $M3854&lt;&gt;" "), "Ingresada", "Falta Ingresar"), " ")</f>
        <v xml:space="preserve"> </v>
      </c>
      <c r="L3854" s="4" t="str">
        <f>IFERROR(VLOOKUP($C3854,Observaciones!$A:$B,2,FALSE)," ")</f>
        <v xml:space="preserve"> </v>
      </c>
      <c r="M3854" t="s">
        <v>681</v>
      </c>
      <c r="O3854" s="5">
        <v>30848485</v>
      </c>
      <c r="P3854" s="5">
        <v>89155</v>
      </c>
      <c r="Q3854" s="5">
        <v>16939</v>
      </c>
      <c r="R3854" s="5">
        <v>106094</v>
      </c>
    </row>
    <row r="3855" spans="1:18" x14ac:dyDescent="0.25">
      <c r="A3855" t="s">
        <v>3</v>
      </c>
      <c r="B3855" t="s">
        <v>494</v>
      </c>
      <c r="C3855">
        <v>89696400</v>
      </c>
      <c r="D3855">
        <v>58</v>
      </c>
      <c r="E3855">
        <v>400008727</v>
      </c>
      <c r="F3855" t="s">
        <v>1553</v>
      </c>
      <c r="G3855" s="1">
        <v>45233</v>
      </c>
      <c r="H3855">
        <v>5411296</v>
      </c>
      <c r="I3855">
        <v>424</v>
      </c>
      <c r="J3855" t="s">
        <v>146</v>
      </c>
      <c r="K3855" t="str">
        <f>IFERROR(IF(AND(VLOOKUP($C3855,Hes!$A:$B, 1, FALSE), $M3855&lt;&gt;" "), "Ingresada", "Falta Ingresar"), " ")</f>
        <v xml:space="preserve"> </v>
      </c>
      <c r="L3855" s="4" t="str">
        <f>IFERROR(VLOOKUP($C3855,Observaciones!$A:$B,2,FALSE)," ")</f>
        <v xml:space="preserve"> </v>
      </c>
      <c r="M3855" t="s">
        <v>681</v>
      </c>
      <c r="O3855" s="5">
        <v>30848443</v>
      </c>
      <c r="P3855" s="5">
        <v>306378</v>
      </c>
      <c r="Q3855" s="5">
        <v>58212</v>
      </c>
      <c r="R3855" s="5">
        <v>364590</v>
      </c>
    </row>
    <row r="3856" spans="1:18" x14ac:dyDescent="0.25">
      <c r="A3856" t="s">
        <v>3</v>
      </c>
      <c r="B3856" t="s">
        <v>494</v>
      </c>
      <c r="C3856">
        <v>89696400</v>
      </c>
      <c r="D3856">
        <v>53</v>
      </c>
      <c r="E3856">
        <v>400008724</v>
      </c>
      <c r="F3856" t="s">
        <v>1553</v>
      </c>
      <c r="G3856" s="1">
        <v>45233</v>
      </c>
      <c r="H3856">
        <v>5411303</v>
      </c>
      <c r="I3856">
        <v>424</v>
      </c>
      <c r="J3856" t="s">
        <v>146</v>
      </c>
      <c r="K3856" t="str">
        <f>IFERROR(IF(AND(VLOOKUP($C3856,Hes!$A:$B, 1, FALSE), $M3856&lt;&gt;" "), "Ingresada", "Falta Ingresar"), " ")</f>
        <v xml:space="preserve"> </v>
      </c>
      <c r="L3856" s="4" t="str">
        <f>IFERROR(VLOOKUP($C3856,Observaciones!$A:$B,2,FALSE)," ")</f>
        <v xml:space="preserve"> </v>
      </c>
      <c r="M3856" t="s">
        <v>681</v>
      </c>
      <c r="O3856" s="5">
        <v>30848373</v>
      </c>
      <c r="P3856" s="5">
        <v>293292</v>
      </c>
      <c r="Q3856" s="5">
        <v>55725</v>
      </c>
      <c r="R3856" s="5">
        <v>349017</v>
      </c>
    </row>
    <row r="3857" spans="1:18" x14ac:dyDescent="0.25">
      <c r="A3857" t="s">
        <v>3</v>
      </c>
      <c r="B3857" t="s">
        <v>494</v>
      </c>
      <c r="C3857">
        <v>89696400</v>
      </c>
      <c r="D3857">
        <v>53</v>
      </c>
      <c r="E3857">
        <v>400008724</v>
      </c>
      <c r="F3857" t="s">
        <v>1553</v>
      </c>
      <c r="G3857" s="1">
        <v>45233</v>
      </c>
      <c r="H3857">
        <v>5411304</v>
      </c>
      <c r="I3857">
        <v>424</v>
      </c>
      <c r="J3857" t="s">
        <v>146</v>
      </c>
      <c r="K3857" t="str">
        <f>IFERROR(IF(AND(VLOOKUP($C3857,Hes!$A:$B, 1, FALSE), $M3857&lt;&gt;" "), "Ingresada", "Falta Ingresar"), " ")</f>
        <v xml:space="preserve"> </v>
      </c>
      <c r="L3857" s="4" t="str">
        <f>IFERROR(VLOOKUP($C3857,Observaciones!$A:$B,2,FALSE)," ")</f>
        <v xml:space="preserve"> </v>
      </c>
      <c r="M3857" t="s">
        <v>681</v>
      </c>
      <c r="O3857" s="5">
        <v>30848373</v>
      </c>
      <c r="P3857" s="5">
        <v>51220</v>
      </c>
      <c r="Q3857" s="5">
        <v>9732</v>
      </c>
      <c r="R3857" s="5">
        <v>60952</v>
      </c>
    </row>
    <row r="3858" spans="1:18" x14ac:dyDescent="0.25">
      <c r="A3858" t="s">
        <v>3</v>
      </c>
      <c r="B3858" t="s">
        <v>494</v>
      </c>
      <c r="C3858">
        <v>89696400</v>
      </c>
      <c r="D3858">
        <v>20</v>
      </c>
      <c r="E3858">
        <v>400008686</v>
      </c>
      <c r="F3858" t="s">
        <v>1553</v>
      </c>
      <c r="G3858" s="1">
        <v>45234</v>
      </c>
      <c r="H3858">
        <v>5411775</v>
      </c>
      <c r="I3858">
        <v>424</v>
      </c>
      <c r="J3858" t="s">
        <v>146</v>
      </c>
      <c r="K3858" t="str">
        <f>IFERROR(IF(AND(VLOOKUP($C3858,Hes!$A:$B, 1, FALSE), $M3858&lt;&gt;" "), "Ingresada", "Falta Ingresar"), " ")</f>
        <v xml:space="preserve"> </v>
      </c>
      <c r="L3858" s="4" t="str">
        <f>IFERROR(VLOOKUP($C3858,Observaciones!$A:$B,2,FALSE)," ")</f>
        <v xml:space="preserve"> </v>
      </c>
      <c r="M3858" t="s">
        <v>681</v>
      </c>
      <c r="O3858" s="5">
        <v>30846924</v>
      </c>
      <c r="P3858" s="5">
        <v>224601</v>
      </c>
      <c r="Q3858" s="5">
        <v>42674</v>
      </c>
      <c r="R3858" s="5">
        <v>267275</v>
      </c>
    </row>
    <row r="3859" spans="1:18" x14ac:dyDescent="0.25">
      <c r="A3859" t="s">
        <v>3</v>
      </c>
      <c r="B3859" t="s">
        <v>494</v>
      </c>
      <c r="C3859">
        <v>89696400</v>
      </c>
      <c r="D3859">
        <v>20</v>
      </c>
      <c r="E3859">
        <v>400008686</v>
      </c>
      <c r="F3859" t="s">
        <v>1553</v>
      </c>
      <c r="G3859" s="1">
        <v>45234</v>
      </c>
      <c r="H3859">
        <v>5411776</v>
      </c>
      <c r="I3859">
        <v>424</v>
      </c>
      <c r="J3859" t="s">
        <v>146</v>
      </c>
      <c r="K3859" t="str">
        <f>IFERROR(IF(AND(VLOOKUP($C3859,Hes!$A:$B, 1, FALSE), $M3859&lt;&gt;" "), "Ingresada", "Falta Ingresar"), " ")</f>
        <v xml:space="preserve"> </v>
      </c>
      <c r="L3859" s="4" t="str">
        <f>IFERROR(VLOOKUP($C3859,Observaciones!$A:$B,2,FALSE)," ")</f>
        <v xml:space="preserve"> </v>
      </c>
      <c r="M3859" t="s">
        <v>681</v>
      </c>
      <c r="O3859" s="5">
        <v>30846924</v>
      </c>
      <c r="P3859" s="5">
        <v>58554</v>
      </c>
      <c r="Q3859" s="5">
        <v>11125</v>
      </c>
      <c r="R3859" s="5">
        <v>69679</v>
      </c>
    </row>
    <row r="3860" spans="1:18" x14ac:dyDescent="0.25">
      <c r="A3860" t="s">
        <v>3</v>
      </c>
      <c r="B3860" t="s">
        <v>494</v>
      </c>
      <c r="C3860">
        <v>89696400</v>
      </c>
      <c r="D3860">
        <v>21</v>
      </c>
      <c r="E3860">
        <v>400008641</v>
      </c>
      <c r="F3860" t="s">
        <v>1553</v>
      </c>
      <c r="G3860" s="1">
        <v>45234</v>
      </c>
      <c r="H3860">
        <v>5411778</v>
      </c>
      <c r="I3860">
        <v>424</v>
      </c>
      <c r="J3860" t="s">
        <v>146</v>
      </c>
      <c r="K3860" t="str">
        <f>IFERROR(IF(AND(VLOOKUP($C3860,Hes!$A:$B, 1, FALSE), $M3860&lt;&gt;" "), "Ingresada", "Falta Ingresar"), " ")</f>
        <v xml:space="preserve"> </v>
      </c>
      <c r="L3860" s="4" t="str">
        <f>IFERROR(VLOOKUP($C3860,Observaciones!$A:$B,2,FALSE)," ")</f>
        <v xml:space="preserve"> </v>
      </c>
      <c r="M3860" t="s">
        <v>681</v>
      </c>
      <c r="O3860" s="5">
        <v>30846579</v>
      </c>
      <c r="P3860" s="5">
        <v>475336</v>
      </c>
      <c r="Q3860" s="5">
        <v>90314</v>
      </c>
      <c r="R3860" s="5">
        <v>565650</v>
      </c>
    </row>
    <row r="3861" spans="1:18" x14ac:dyDescent="0.25">
      <c r="A3861" t="s">
        <v>3</v>
      </c>
      <c r="B3861" t="s">
        <v>494</v>
      </c>
      <c r="C3861">
        <v>89696400</v>
      </c>
      <c r="D3861">
        <v>103</v>
      </c>
      <c r="E3861">
        <v>400008602</v>
      </c>
      <c r="F3861" t="s">
        <v>1553</v>
      </c>
      <c r="G3861" s="1">
        <v>45234</v>
      </c>
      <c r="H3861">
        <v>5411795</v>
      </c>
      <c r="I3861">
        <v>424</v>
      </c>
      <c r="J3861" t="s">
        <v>146</v>
      </c>
      <c r="K3861" t="str">
        <f>IFERROR(IF(AND(VLOOKUP($C3861,Hes!$A:$B, 1, FALSE), $M3861&lt;&gt;" "), "Ingresada", "Falta Ingresar"), " ")</f>
        <v xml:space="preserve"> </v>
      </c>
      <c r="L3861" s="4" t="str">
        <f>IFERROR(VLOOKUP($C3861,Observaciones!$A:$B,2,FALSE)," ")</f>
        <v xml:space="preserve"> </v>
      </c>
      <c r="M3861" t="s">
        <v>681</v>
      </c>
      <c r="O3861" s="5">
        <v>30848323</v>
      </c>
      <c r="P3861" s="5">
        <v>106788</v>
      </c>
      <c r="Q3861" s="5">
        <v>20290</v>
      </c>
      <c r="R3861" s="5">
        <v>127078</v>
      </c>
    </row>
    <row r="3862" spans="1:18" x14ac:dyDescent="0.25">
      <c r="A3862" t="s">
        <v>3</v>
      </c>
      <c r="B3862" t="s">
        <v>494</v>
      </c>
      <c r="C3862">
        <v>89696400</v>
      </c>
      <c r="D3862">
        <v>17</v>
      </c>
      <c r="E3862">
        <v>400008698</v>
      </c>
      <c r="F3862" t="s">
        <v>1553</v>
      </c>
      <c r="G3862" s="1">
        <v>45234</v>
      </c>
      <c r="H3862">
        <v>5411803</v>
      </c>
      <c r="I3862">
        <v>424</v>
      </c>
      <c r="J3862" t="s">
        <v>146</v>
      </c>
      <c r="K3862" t="str">
        <f>IFERROR(IF(AND(VLOOKUP($C3862,Hes!$A:$B, 1, FALSE), $M3862&lt;&gt;" "), "Ingresada", "Falta Ingresar"), " ")</f>
        <v xml:space="preserve"> </v>
      </c>
      <c r="L3862" s="4" t="str">
        <f>IFERROR(VLOOKUP($C3862,Observaciones!$A:$B,2,FALSE)," ")</f>
        <v xml:space="preserve"> </v>
      </c>
      <c r="M3862" t="s">
        <v>681</v>
      </c>
      <c r="O3862" s="5">
        <v>30847690</v>
      </c>
      <c r="P3862" s="5">
        <v>280796</v>
      </c>
      <c r="Q3862" s="5">
        <v>53351</v>
      </c>
      <c r="R3862" s="5">
        <v>334147</v>
      </c>
    </row>
    <row r="3863" spans="1:18" x14ac:dyDescent="0.25">
      <c r="A3863" t="s">
        <v>3</v>
      </c>
      <c r="B3863" t="s">
        <v>494</v>
      </c>
      <c r="C3863">
        <v>89696400</v>
      </c>
      <c r="D3863">
        <v>88</v>
      </c>
      <c r="E3863">
        <v>400008620</v>
      </c>
      <c r="F3863" t="s">
        <v>1553</v>
      </c>
      <c r="G3863" s="1">
        <v>45234</v>
      </c>
      <c r="H3863">
        <v>5411804</v>
      </c>
      <c r="I3863">
        <v>424</v>
      </c>
      <c r="J3863" t="s">
        <v>146</v>
      </c>
      <c r="K3863" t="str">
        <f>IFERROR(IF(AND(VLOOKUP($C3863,Hes!$A:$B, 1, FALSE), $M3863&lt;&gt;" "), "Ingresada", "Falta Ingresar"), " ")</f>
        <v xml:space="preserve"> </v>
      </c>
      <c r="L3863" s="4" t="str">
        <f>IFERROR(VLOOKUP($C3863,Observaciones!$A:$B,2,FALSE)," ")</f>
        <v xml:space="preserve"> </v>
      </c>
      <c r="M3863" t="s">
        <v>681</v>
      </c>
      <c r="O3863" s="5">
        <v>30848245</v>
      </c>
      <c r="P3863" s="5">
        <v>131289</v>
      </c>
      <c r="Q3863" s="5">
        <v>24945</v>
      </c>
      <c r="R3863" s="5">
        <v>156234</v>
      </c>
    </row>
    <row r="3864" spans="1:18" x14ac:dyDescent="0.25">
      <c r="A3864" t="s">
        <v>3</v>
      </c>
      <c r="B3864" t="s">
        <v>494</v>
      </c>
      <c r="C3864">
        <v>89696400</v>
      </c>
      <c r="D3864">
        <v>10</v>
      </c>
      <c r="E3864">
        <v>400008662</v>
      </c>
      <c r="F3864" t="s">
        <v>1553</v>
      </c>
      <c r="G3864" s="1">
        <v>45234</v>
      </c>
      <c r="H3864">
        <v>5411807</v>
      </c>
      <c r="I3864">
        <v>424</v>
      </c>
      <c r="J3864" t="s">
        <v>146</v>
      </c>
      <c r="K3864" t="str">
        <f>IFERROR(IF(AND(VLOOKUP($C3864,Hes!$A:$B, 1, FALSE), $M3864&lt;&gt;" "), "Ingresada", "Falta Ingresar"), " ")</f>
        <v xml:space="preserve"> </v>
      </c>
      <c r="L3864" s="4" t="str">
        <f>IFERROR(VLOOKUP($C3864,Observaciones!$A:$B,2,FALSE)," ")</f>
        <v xml:space="preserve"> </v>
      </c>
      <c r="M3864" t="s">
        <v>681</v>
      </c>
      <c r="O3864" s="5">
        <v>30848200</v>
      </c>
      <c r="P3864" s="5">
        <v>677676</v>
      </c>
      <c r="Q3864" s="5">
        <v>128758</v>
      </c>
      <c r="R3864" s="5">
        <v>806434</v>
      </c>
    </row>
    <row r="3865" spans="1:18" x14ac:dyDescent="0.25">
      <c r="A3865" t="s">
        <v>3</v>
      </c>
      <c r="B3865" t="s">
        <v>494</v>
      </c>
      <c r="C3865">
        <v>89696400</v>
      </c>
      <c r="D3865">
        <v>25</v>
      </c>
      <c r="E3865">
        <v>400008674</v>
      </c>
      <c r="F3865" t="s">
        <v>1553</v>
      </c>
      <c r="G3865" s="1">
        <v>45234</v>
      </c>
      <c r="H3865">
        <v>5411819</v>
      </c>
      <c r="I3865">
        <v>424</v>
      </c>
      <c r="J3865" t="s">
        <v>146</v>
      </c>
      <c r="K3865" t="str">
        <f>IFERROR(IF(AND(VLOOKUP($C3865,Hes!$A:$B, 1, FALSE), $M3865&lt;&gt;" "), "Ingresada", "Falta Ingresar"), " ")</f>
        <v xml:space="preserve"> </v>
      </c>
      <c r="L3865" s="4" t="str">
        <f>IFERROR(VLOOKUP($C3865,Observaciones!$A:$B,2,FALSE)," ")</f>
        <v xml:space="preserve"> </v>
      </c>
      <c r="M3865" t="s">
        <v>681</v>
      </c>
      <c r="O3865" s="5">
        <v>30848182</v>
      </c>
      <c r="P3865" s="5">
        <v>329022</v>
      </c>
      <c r="Q3865" s="5">
        <v>62514</v>
      </c>
      <c r="R3865" s="5">
        <v>391536</v>
      </c>
    </row>
    <row r="3866" spans="1:18" x14ac:dyDescent="0.25">
      <c r="A3866" t="s">
        <v>3</v>
      </c>
      <c r="B3866" t="s">
        <v>494</v>
      </c>
      <c r="C3866">
        <v>89696400</v>
      </c>
      <c r="D3866">
        <v>32</v>
      </c>
      <c r="E3866">
        <v>400008684</v>
      </c>
      <c r="F3866" t="s">
        <v>1553</v>
      </c>
      <c r="G3866" s="1">
        <v>45234</v>
      </c>
      <c r="H3866">
        <v>5411820</v>
      </c>
      <c r="I3866">
        <v>424</v>
      </c>
      <c r="J3866" t="s">
        <v>146</v>
      </c>
      <c r="K3866" t="str">
        <f>IFERROR(IF(AND(VLOOKUP($C3866,Hes!$A:$B, 1, FALSE), $M3866&lt;&gt;" "), "Ingresada", "Falta Ingresar"), " ")</f>
        <v xml:space="preserve"> </v>
      </c>
      <c r="L3866" s="4" t="str">
        <f>IFERROR(VLOOKUP($C3866,Observaciones!$A:$B,2,FALSE)," ")</f>
        <v xml:space="preserve"> </v>
      </c>
      <c r="M3866" t="s">
        <v>681</v>
      </c>
      <c r="O3866" s="5">
        <v>30848137</v>
      </c>
      <c r="P3866" s="5">
        <v>71342</v>
      </c>
      <c r="Q3866" s="5">
        <v>13555</v>
      </c>
      <c r="R3866" s="5">
        <v>84897</v>
      </c>
    </row>
    <row r="3867" spans="1:18" x14ac:dyDescent="0.25">
      <c r="A3867" t="s">
        <v>3</v>
      </c>
      <c r="B3867" t="s">
        <v>494</v>
      </c>
      <c r="C3867">
        <v>89696400</v>
      </c>
      <c r="D3867">
        <v>104</v>
      </c>
      <c r="E3867">
        <v>400008631</v>
      </c>
      <c r="F3867" t="s">
        <v>1553</v>
      </c>
      <c r="G3867" s="1">
        <v>45234</v>
      </c>
      <c r="H3867">
        <v>5411835</v>
      </c>
      <c r="I3867">
        <v>424</v>
      </c>
      <c r="J3867" t="s">
        <v>146</v>
      </c>
      <c r="K3867" t="str">
        <f>IFERROR(IF(AND(VLOOKUP($C3867,Hes!$A:$B, 1, FALSE), $M3867&lt;&gt;" "), "Ingresada", "Falta Ingresar"), " ")</f>
        <v xml:space="preserve"> </v>
      </c>
      <c r="L3867" s="4" t="str">
        <f>IFERROR(VLOOKUP($C3867,Observaciones!$A:$B,2,FALSE)," ")</f>
        <v xml:space="preserve"> </v>
      </c>
      <c r="M3867" t="s">
        <v>681</v>
      </c>
      <c r="O3867" s="5">
        <v>30848091</v>
      </c>
      <c r="P3867" s="5">
        <v>44130</v>
      </c>
      <c r="Q3867" s="5">
        <v>8385</v>
      </c>
      <c r="R3867" s="5">
        <v>52515</v>
      </c>
    </row>
    <row r="3868" spans="1:18" x14ac:dyDescent="0.25">
      <c r="A3868" t="s">
        <v>3</v>
      </c>
      <c r="B3868" t="s">
        <v>494</v>
      </c>
      <c r="C3868">
        <v>89696400</v>
      </c>
      <c r="D3868">
        <v>111</v>
      </c>
      <c r="E3868">
        <v>400008638</v>
      </c>
      <c r="F3868" t="s">
        <v>1553</v>
      </c>
      <c r="G3868" s="1">
        <v>45234</v>
      </c>
      <c r="H3868">
        <v>5411836</v>
      </c>
      <c r="I3868">
        <v>424</v>
      </c>
      <c r="J3868" t="s">
        <v>146</v>
      </c>
      <c r="K3868" t="str">
        <f>IFERROR(IF(AND(VLOOKUP($C3868,Hes!$A:$B, 1, FALSE), $M3868&lt;&gt;" "), "Ingresada", "Falta Ingresar"), " ")</f>
        <v xml:space="preserve"> </v>
      </c>
      <c r="L3868" s="4" t="str">
        <f>IFERROR(VLOOKUP($C3868,Observaciones!$A:$B,2,FALSE)," ")</f>
        <v xml:space="preserve"> </v>
      </c>
      <c r="M3868" t="s">
        <v>681</v>
      </c>
      <c r="O3868" s="5">
        <v>30848077</v>
      </c>
      <c r="P3868" s="5">
        <v>56746</v>
      </c>
      <c r="Q3868" s="5">
        <v>10782</v>
      </c>
      <c r="R3868" s="5">
        <v>67528</v>
      </c>
    </row>
    <row r="3869" spans="1:18" x14ac:dyDescent="0.25">
      <c r="A3869" t="s">
        <v>3</v>
      </c>
      <c r="B3869" t="s">
        <v>494</v>
      </c>
      <c r="C3869">
        <v>89696400</v>
      </c>
      <c r="D3869">
        <v>86</v>
      </c>
      <c r="E3869">
        <v>400008681</v>
      </c>
      <c r="F3869" t="s">
        <v>1553</v>
      </c>
      <c r="G3869" s="1">
        <v>45234</v>
      </c>
      <c r="H3869">
        <v>5411846</v>
      </c>
      <c r="I3869">
        <v>424</v>
      </c>
      <c r="J3869" t="s">
        <v>146</v>
      </c>
      <c r="K3869" t="str">
        <f>IFERROR(IF(AND(VLOOKUP($C3869,Hes!$A:$B, 1, FALSE), $M3869&lt;&gt;" "), "Ingresada", "Falta Ingresar"), " ")</f>
        <v xml:space="preserve"> </v>
      </c>
      <c r="L3869" s="4" t="str">
        <f>IFERROR(VLOOKUP($C3869,Observaciones!$A:$B,2,FALSE)," ")</f>
        <v xml:space="preserve"> </v>
      </c>
      <c r="M3869" t="s">
        <v>681</v>
      </c>
      <c r="O3869" s="5">
        <v>30848149</v>
      </c>
      <c r="P3869" s="5">
        <v>108227</v>
      </c>
      <c r="Q3869" s="5">
        <v>20563</v>
      </c>
      <c r="R3869" s="5">
        <v>128790</v>
      </c>
    </row>
    <row r="3870" spans="1:18" x14ac:dyDescent="0.25">
      <c r="A3870" t="s">
        <v>3</v>
      </c>
      <c r="B3870" t="s">
        <v>494</v>
      </c>
      <c r="C3870">
        <v>89696400</v>
      </c>
      <c r="D3870">
        <v>41</v>
      </c>
      <c r="E3870">
        <v>400008749</v>
      </c>
      <c r="F3870" t="s">
        <v>1553</v>
      </c>
      <c r="G3870" s="1">
        <v>45236</v>
      </c>
      <c r="H3870">
        <v>5411916</v>
      </c>
      <c r="I3870">
        <v>424</v>
      </c>
      <c r="J3870" t="s">
        <v>146</v>
      </c>
      <c r="K3870" t="str">
        <f>IFERROR(IF(AND(VLOOKUP($C3870,Hes!$A:$B, 1, FALSE), $M3870&lt;&gt;" "), "Ingresada", "Falta Ingresar"), " ")</f>
        <v xml:space="preserve"> </v>
      </c>
      <c r="L3870" s="4" t="str">
        <f>IFERROR(VLOOKUP($C3870,Observaciones!$A:$B,2,FALSE)," ")</f>
        <v xml:space="preserve"> </v>
      </c>
      <c r="M3870" t="s">
        <v>681</v>
      </c>
      <c r="O3870" s="5">
        <v>30848569</v>
      </c>
      <c r="P3870" s="5">
        <v>156661</v>
      </c>
      <c r="Q3870" s="5">
        <v>29766</v>
      </c>
      <c r="R3870" s="5">
        <v>186427</v>
      </c>
    </row>
    <row r="3871" spans="1:18" x14ac:dyDescent="0.25">
      <c r="A3871" t="s">
        <v>3</v>
      </c>
      <c r="B3871" t="s">
        <v>494</v>
      </c>
      <c r="C3871">
        <v>89696400</v>
      </c>
      <c r="D3871">
        <v>45</v>
      </c>
      <c r="E3871">
        <v>4000008767</v>
      </c>
      <c r="F3871" t="s">
        <v>1553</v>
      </c>
      <c r="G3871" s="1">
        <v>45236</v>
      </c>
      <c r="H3871">
        <v>5411917</v>
      </c>
      <c r="I3871">
        <v>424</v>
      </c>
      <c r="J3871" t="s">
        <v>146</v>
      </c>
      <c r="K3871" t="str">
        <f>IFERROR(IF(AND(VLOOKUP($C3871,Hes!$A:$B, 1, FALSE), $M3871&lt;&gt;" "), "Ingresada", "Falta Ingresar"), " ")</f>
        <v xml:space="preserve"> </v>
      </c>
      <c r="L3871" s="4" t="str">
        <f>IFERROR(VLOOKUP($C3871,Observaciones!$A:$B,2,FALSE)," ")</f>
        <v xml:space="preserve"> </v>
      </c>
      <c r="M3871" t="s">
        <v>681</v>
      </c>
      <c r="O3871" s="5">
        <v>30849175</v>
      </c>
      <c r="P3871" s="5">
        <v>418316</v>
      </c>
      <c r="Q3871" s="5">
        <v>79480</v>
      </c>
      <c r="R3871" s="5">
        <v>497796</v>
      </c>
    </row>
    <row r="3872" spans="1:18" x14ac:dyDescent="0.25">
      <c r="A3872" t="s">
        <v>3</v>
      </c>
      <c r="B3872" t="s">
        <v>494</v>
      </c>
      <c r="C3872">
        <v>89696400</v>
      </c>
      <c r="D3872">
        <v>98</v>
      </c>
      <c r="E3872">
        <v>400008709</v>
      </c>
      <c r="F3872" t="s">
        <v>1553</v>
      </c>
      <c r="G3872" s="1">
        <v>45236</v>
      </c>
      <c r="H3872">
        <v>5411918</v>
      </c>
      <c r="I3872">
        <v>424</v>
      </c>
      <c r="J3872" t="s">
        <v>146</v>
      </c>
      <c r="K3872" t="str">
        <f>IFERROR(IF(AND(VLOOKUP($C3872,Hes!$A:$B, 1, FALSE), $M3872&lt;&gt;" "), "Ingresada", "Falta Ingresar"), " ")</f>
        <v xml:space="preserve"> </v>
      </c>
      <c r="L3872" s="4" t="str">
        <f>IFERROR(VLOOKUP($C3872,Observaciones!$A:$B,2,FALSE)," ")</f>
        <v xml:space="preserve"> </v>
      </c>
      <c r="M3872" t="s">
        <v>681</v>
      </c>
      <c r="O3872" s="5">
        <v>30847075</v>
      </c>
      <c r="P3872" s="5">
        <v>341412</v>
      </c>
      <c r="Q3872" s="5">
        <v>64868</v>
      </c>
      <c r="R3872" s="5">
        <v>406280</v>
      </c>
    </row>
    <row r="3873" spans="1:18" x14ac:dyDescent="0.25">
      <c r="A3873" t="s">
        <v>3</v>
      </c>
      <c r="B3873" t="s">
        <v>494</v>
      </c>
      <c r="C3873">
        <v>89696400</v>
      </c>
      <c r="D3873">
        <v>82</v>
      </c>
      <c r="E3873">
        <v>400008653</v>
      </c>
      <c r="F3873" t="s">
        <v>1553</v>
      </c>
      <c r="G3873" s="1">
        <v>45236</v>
      </c>
      <c r="H3873">
        <v>5411919</v>
      </c>
      <c r="I3873">
        <v>424</v>
      </c>
      <c r="J3873" t="s">
        <v>146</v>
      </c>
      <c r="K3873" t="str">
        <f>IFERROR(IF(AND(VLOOKUP($C3873,Hes!$A:$B, 1, FALSE), $M3873&lt;&gt;" "), "Ingresada", "Falta Ingresar"), " ")</f>
        <v xml:space="preserve"> </v>
      </c>
      <c r="L3873" s="4" t="str">
        <f>IFERROR(VLOOKUP($C3873,Observaciones!$A:$B,2,FALSE)," ")</f>
        <v xml:space="preserve"> </v>
      </c>
      <c r="M3873" t="s">
        <v>681</v>
      </c>
      <c r="O3873" s="5">
        <v>30846831</v>
      </c>
      <c r="P3873" s="5">
        <v>208311</v>
      </c>
      <c r="Q3873" s="5">
        <v>39579</v>
      </c>
      <c r="R3873" s="5">
        <v>247890</v>
      </c>
    </row>
    <row r="3874" spans="1:18" x14ac:dyDescent="0.25">
      <c r="A3874" t="s">
        <v>3</v>
      </c>
      <c r="B3874" t="s">
        <v>494</v>
      </c>
      <c r="C3874">
        <v>89696400</v>
      </c>
      <c r="D3874">
        <v>84</v>
      </c>
      <c r="E3874">
        <v>400008758</v>
      </c>
      <c r="F3874" t="s">
        <v>1553</v>
      </c>
      <c r="G3874" s="1">
        <v>45236</v>
      </c>
      <c r="H3874">
        <v>5411950</v>
      </c>
      <c r="I3874">
        <v>424</v>
      </c>
      <c r="J3874" t="s">
        <v>146</v>
      </c>
      <c r="K3874" t="str">
        <f>IFERROR(IF(AND(VLOOKUP($C3874,Hes!$A:$B, 1, FALSE), $M3874&lt;&gt;" "), "Ingresada", "Falta Ingresar"), " ")</f>
        <v xml:space="preserve"> </v>
      </c>
      <c r="L3874" s="4" t="str">
        <f>IFERROR(VLOOKUP($C3874,Observaciones!$A:$B,2,FALSE)," ")</f>
        <v xml:space="preserve"> </v>
      </c>
      <c r="M3874" t="s">
        <v>681</v>
      </c>
      <c r="O3874" s="5">
        <v>30848531</v>
      </c>
      <c r="P3874" s="5">
        <v>97804</v>
      </c>
      <c r="Q3874" s="5">
        <v>18583</v>
      </c>
      <c r="R3874" s="5">
        <v>116387</v>
      </c>
    </row>
    <row r="3875" spans="1:18" x14ac:dyDescent="0.25">
      <c r="A3875" t="s">
        <v>3</v>
      </c>
      <c r="B3875" t="s">
        <v>494</v>
      </c>
      <c r="C3875">
        <v>89696400</v>
      </c>
      <c r="D3875">
        <v>49</v>
      </c>
      <c r="E3875">
        <v>400008626</v>
      </c>
      <c r="F3875" t="s">
        <v>1553</v>
      </c>
      <c r="G3875" s="1">
        <v>45236</v>
      </c>
      <c r="H3875">
        <v>5411961</v>
      </c>
      <c r="I3875">
        <v>424</v>
      </c>
      <c r="J3875" t="s">
        <v>146</v>
      </c>
      <c r="K3875" t="str">
        <f>IFERROR(IF(AND(VLOOKUP($C3875,Hes!$A:$B, 1, FALSE), $M3875&lt;&gt;" "), "Ingresada", "Falta Ingresar"), " ")</f>
        <v xml:space="preserve"> </v>
      </c>
      <c r="L3875" s="4" t="str">
        <f>IFERROR(VLOOKUP($C3875,Observaciones!$A:$B,2,FALSE)," ")</f>
        <v xml:space="preserve"> </v>
      </c>
      <c r="M3875" t="s">
        <v>681</v>
      </c>
      <c r="O3875" s="5">
        <v>30846712</v>
      </c>
      <c r="P3875" s="5">
        <v>308262</v>
      </c>
      <c r="Q3875" s="5">
        <v>58570</v>
      </c>
      <c r="R3875" s="5">
        <v>366832</v>
      </c>
    </row>
    <row r="3876" spans="1:18" x14ac:dyDescent="0.25">
      <c r="A3876" t="s">
        <v>3</v>
      </c>
      <c r="B3876" t="s">
        <v>494</v>
      </c>
      <c r="C3876">
        <v>89696400</v>
      </c>
      <c r="D3876">
        <v>49</v>
      </c>
      <c r="E3876">
        <v>400008626</v>
      </c>
      <c r="F3876" t="s">
        <v>1553</v>
      </c>
      <c r="G3876" s="1">
        <v>45236</v>
      </c>
      <c r="H3876">
        <v>5411962</v>
      </c>
      <c r="I3876">
        <v>424</v>
      </c>
      <c r="J3876" t="s">
        <v>146</v>
      </c>
      <c r="K3876" t="str">
        <f>IFERROR(IF(AND(VLOOKUP($C3876,Hes!$A:$B, 1, FALSE), $M3876&lt;&gt;" "), "Ingresada", "Falta Ingresar"), " ")</f>
        <v xml:space="preserve"> </v>
      </c>
      <c r="L3876" s="4" t="str">
        <f>IFERROR(VLOOKUP($C3876,Observaciones!$A:$B,2,FALSE)," ")</f>
        <v xml:space="preserve"> </v>
      </c>
      <c r="M3876" t="s">
        <v>681</v>
      </c>
      <c r="O3876" s="5">
        <v>30846712</v>
      </c>
      <c r="P3876" s="5">
        <v>110617</v>
      </c>
      <c r="Q3876" s="5">
        <v>21017</v>
      </c>
      <c r="R3876" s="5">
        <v>131634</v>
      </c>
    </row>
    <row r="3877" spans="1:18" x14ac:dyDescent="0.25">
      <c r="A3877" t="s">
        <v>3</v>
      </c>
      <c r="B3877" t="s">
        <v>494</v>
      </c>
      <c r="C3877">
        <v>89696400</v>
      </c>
      <c r="D3877">
        <v>80</v>
      </c>
      <c r="E3877">
        <v>400008270</v>
      </c>
      <c r="F3877" t="s">
        <v>1553</v>
      </c>
      <c r="G3877" s="1">
        <v>45234</v>
      </c>
      <c r="H3877">
        <v>5412541</v>
      </c>
      <c r="I3877">
        <v>424</v>
      </c>
      <c r="J3877" t="s">
        <v>146</v>
      </c>
      <c r="K3877" t="str">
        <f>IFERROR(IF(AND(VLOOKUP($C3877,Hes!$A:$B, 1, FALSE), $M3877&lt;&gt;" "), "Ingresada", "Falta Ingresar"), " ")</f>
        <v xml:space="preserve"> </v>
      </c>
      <c r="L3877" s="4" t="str">
        <f>IFERROR(VLOOKUP($C3877,Observaciones!$A:$B,2,FALSE)," ")</f>
        <v xml:space="preserve"> </v>
      </c>
      <c r="M3877" t="s">
        <v>681</v>
      </c>
      <c r="O3877" s="5">
        <v>30849238</v>
      </c>
      <c r="P3877" s="5">
        <v>248585</v>
      </c>
      <c r="Q3877" s="5">
        <v>47231</v>
      </c>
      <c r="R3877" s="5">
        <v>295816</v>
      </c>
    </row>
    <row r="3878" spans="1:18" x14ac:dyDescent="0.25">
      <c r="A3878" t="s">
        <v>3</v>
      </c>
      <c r="B3878" t="s">
        <v>494</v>
      </c>
      <c r="C3878">
        <v>89696400</v>
      </c>
      <c r="D3878">
        <v>80</v>
      </c>
      <c r="E3878">
        <v>400008270</v>
      </c>
      <c r="F3878" t="s">
        <v>1553</v>
      </c>
      <c r="G3878" s="1">
        <v>45234</v>
      </c>
      <c r="H3878">
        <v>5412542</v>
      </c>
      <c r="I3878">
        <v>424</v>
      </c>
      <c r="J3878" t="s">
        <v>146</v>
      </c>
      <c r="K3878" t="str">
        <f>IFERROR(IF(AND(VLOOKUP($C3878,Hes!$A:$B, 1, FALSE), $M3878&lt;&gt;" "), "Ingresada", "Falta Ingresar"), " ")</f>
        <v xml:space="preserve"> </v>
      </c>
      <c r="L3878" s="4" t="str">
        <f>IFERROR(VLOOKUP($C3878,Observaciones!$A:$B,2,FALSE)," ")</f>
        <v xml:space="preserve"> </v>
      </c>
      <c r="M3878" t="s">
        <v>681</v>
      </c>
      <c r="O3878" s="5">
        <v>30849238</v>
      </c>
      <c r="P3878" s="5">
        <v>217003</v>
      </c>
      <c r="Q3878" s="5">
        <v>41231</v>
      </c>
      <c r="R3878" s="5">
        <v>258234</v>
      </c>
    </row>
    <row r="3879" spans="1:18" x14ac:dyDescent="0.25">
      <c r="A3879" t="s">
        <v>3</v>
      </c>
      <c r="B3879" t="s">
        <v>494</v>
      </c>
      <c r="C3879">
        <v>89696400</v>
      </c>
      <c r="D3879">
        <v>114</v>
      </c>
      <c r="E3879">
        <v>400008770</v>
      </c>
      <c r="F3879" t="s">
        <v>1553</v>
      </c>
      <c r="G3879" s="1">
        <v>45236</v>
      </c>
      <c r="H3879">
        <v>5413181</v>
      </c>
      <c r="I3879">
        <v>424</v>
      </c>
      <c r="J3879" t="s">
        <v>146</v>
      </c>
      <c r="K3879" t="str">
        <f>IFERROR(IF(AND(VLOOKUP($C3879,Hes!$A:$B, 1, FALSE), $M3879&lt;&gt;" "), "Ingresada", "Falta Ingresar"), " ")</f>
        <v xml:space="preserve"> </v>
      </c>
      <c r="L3879" s="4" t="str">
        <f>IFERROR(VLOOKUP($C3879,Observaciones!$A:$B,2,FALSE)," ")</f>
        <v xml:space="preserve"> </v>
      </c>
      <c r="M3879" t="s">
        <v>681</v>
      </c>
      <c r="O3879" s="5">
        <v>30851969</v>
      </c>
      <c r="P3879" s="5">
        <v>448200</v>
      </c>
      <c r="Q3879" s="5">
        <v>85158</v>
      </c>
      <c r="R3879" s="5">
        <v>533358</v>
      </c>
    </row>
    <row r="3880" spans="1:18" x14ac:dyDescent="0.25">
      <c r="A3880" t="s">
        <v>3</v>
      </c>
      <c r="B3880" t="s">
        <v>494</v>
      </c>
      <c r="C3880">
        <v>89696400</v>
      </c>
      <c r="D3880">
        <v>114</v>
      </c>
      <c r="E3880">
        <v>400008770</v>
      </c>
      <c r="F3880" t="s">
        <v>1553</v>
      </c>
      <c r="G3880" s="1">
        <v>45236</v>
      </c>
      <c r="H3880">
        <v>5413182</v>
      </c>
      <c r="I3880">
        <v>424</v>
      </c>
      <c r="J3880" t="s">
        <v>146</v>
      </c>
      <c r="K3880" t="str">
        <f>IFERROR(IF(AND(VLOOKUP($C3880,Hes!$A:$B, 1, FALSE), $M3880&lt;&gt;" "), "Ingresada", "Falta Ingresar"), " ")</f>
        <v xml:space="preserve"> </v>
      </c>
      <c r="L3880" s="4" t="str">
        <f>IFERROR(VLOOKUP($C3880,Observaciones!$A:$B,2,FALSE)," ")</f>
        <v xml:space="preserve"> </v>
      </c>
      <c r="M3880" t="s">
        <v>681</v>
      </c>
      <c r="O3880" s="5">
        <v>30851969</v>
      </c>
      <c r="P3880" s="5">
        <v>133649</v>
      </c>
      <c r="Q3880" s="5">
        <v>25393</v>
      </c>
      <c r="R3880" s="5">
        <v>159042</v>
      </c>
    </row>
    <row r="3881" spans="1:18" x14ac:dyDescent="0.25">
      <c r="F3881" t="s">
        <v>1554</v>
      </c>
      <c r="K3881" t="str">
        <f>IFERROR(IF(AND(VLOOKUP($C3881,Hes!$A:$B, 1, FALSE), $M3881&lt;&gt;" "), "Ingresada", "Falta Ingresar"), " ")</f>
        <v xml:space="preserve"> </v>
      </c>
      <c r="L3881" s="4" t="str">
        <f>IFERROR(VLOOKUP($C3881,Observaciones!$A:$B,2,FALSE)," ")</f>
        <v xml:space="preserve"> </v>
      </c>
      <c r="M3881" t="s">
        <v>681</v>
      </c>
      <c r="P3881" s="5">
        <v>7579408</v>
      </c>
      <c r="Q3881" s="5">
        <v>1440086</v>
      </c>
      <c r="R3881" s="5">
        <v>9020653</v>
      </c>
    </row>
    <row r="3882" spans="1:18" x14ac:dyDescent="0.25">
      <c r="A3882" t="s">
        <v>501</v>
      </c>
      <c r="B3882" t="s">
        <v>508</v>
      </c>
      <c r="C3882">
        <v>90193000</v>
      </c>
      <c r="D3882">
        <v>2689</v>
      </c>
      <c r="E3882">
        <v>30847060</v>
      </c>
      <c r="F3882" t="s">
        <v>1555</v>
      </c>
      <c r="G3882" s="1">
        <v>45232</v>
      </c>
      <c r="H3882">
        <v>5411200</v>
      </c>
      <c r="I3882">
        <v>157</v>
      </c>
      <c r="J3882" t="s">
        <v>418</v>
      </c>
      <c r="K3882" t="str">
        <f>IFERROR(IF(AND(VLOOKUP($C3882,Hes!$A:$B, 1, FALSE), $M3882&lt;&gt;" "), "Ingresada", "Falta Ingresar"), " ")</f>
        <v xml:space="preserve"> </v>
      </c>
      <c r="L3882" s="4" t="str">
        <f>IFERROR(VLOOKUP($C3882,Observaciones!$A:$B,2,FALSE)," ")</f>
        <v>SACAR LISTADO SEMANAL ANTES DE FACTURAR</v>
      </c>
      <c r="M3882" t="s">
        <v>681</v>
      </c>
      <c r="O3882" s="5">
        <v>30847060</v>
      </c>
      <c r="P3882" s="5">
        <v>147841</v>
      </c>
      <c r="Q3882" s="5">
        <v>28090</v>
      </c>
      <c r="R3882" s="5">
        <v>175931</v>
      </c>
    </row>
    <row r="3883" spans="1:18" x14ac:dyDescent="0.25">
      <c r="A3883" t="s">
        <v>501</v>
      </c>
      <c r="B3883" t="s">
        <v>508</v>
      </c>
      <c r="C3883">
        <v>90193000</v>
      </c>
      <c r="D3883">
        <v>1689</v>
      </c>
      <c r="E3883">
        <v>30847101</v>
      </c>
      <c r="F3883" t="s">
        <v>1555</v>
      </c>
      <c r="G3883" s="1">
        <v>45232</v>
      </c>
      <c r="H3883">
        <v>5411201</v>
      </c>
      <c r="I3883">
        <v>157</v>
      </c>
      <c r="J3883" t="s">
        <v>418</v>
      </c>
      <c r="K3883" t="str">
        <f>IFERROR(IF(AND(VLOOKUP($C3883,Hes!$A:$B, 1, FALSE), $M3883&lt;&gt;" "), "Ingresada", "Falta Ingresar"), " ")</f>
        <v xml:space="preserve"> </v>
      </c>
      <c r="L3883" s="4" t="str">
        <f>IFERROR(VLOOKUP($C3883,Observaciones!$A:$B,2,FALSE)," ")</f>
        <v>SACAR LISTADO SEMANAL ANTES DE FACTURAR</v>
      </c>
      <c r="M3883" t="s">
        <v>681</v>
      </c>
      <c r="O3883" s="5">
        <v>30847101</v>
      </c>
      <c r="P3883" s="5">
        <v>116046</v>
      </c>
      <c r="Q3883" s="5">
        <v>22049</v>
      </c>
      <c r="R3883" s="5">
        <v>138095</v>
      </c>
    </row>
    <row r="3884" spans="1:18" x14ac:dyDescent="0.25">
      <c r="A3884" t="s">
        <v>501</v>
      </c>
      <c r="B3884" t="s">
        <v>508</v>
      </c>
      <c r="C3884">
        <v>90193000</v>
      </c>
      <c r="D3884">
        <v>4986</v>
      </c>
      <c r="E3884">
        <v>30848864</v>
      </c>
      <c r="F3884" t="s">
        <v>1555</v>
      </c>
      <c r="G3884" s="1">
        <v>45233</v>
      </c>
      <c r="H3884">
        <v>5411484</v>
      </c>
      <c r="I3884">
        <v>157</v>
      </c>
      <c r="J3884" t="s">
        <v>418</v>
      </c>
      <c r="K3884" t="str">
        <f>IFERROR(IF(AND(VLOOKUP($C3884,Hes!$A:$B, 1, FALSE), $M3884&lt;&gt;" "), "Ingresada", "Falta Ingresar"), " ")</f>
        <v xml:space="preserve"> </v>
      </c>
      <c r="L3884" s="4" t="str">
        <f>IFERROR(VLOOKUP($C3884,Observaciones!$A:$B,2,FALSE)," ")</f>
        <v>SACAR LISTADO SEMANAL ANTES DE FACTURAR</v>
      </c>
      <c r="M3884" t="s">
        <v>681</v>
      </c>
      <c r="O3884" s="5">
        <v>30848864</v>
      </c>
      <c r="P3884" s="5">
        <v>50528</v>
      </c>
      <c r="Q3884" s="5">
        <v>9600</v>
      </c>
      <c r="R3884" s="5">
        <v>60128</v>
      </c>
    </row>
    <row r="3885" spans="1:18" x14ac:dyDescent="0.25">
      <c r="A3885" t="s">
        <v>501</v>
      </c>
      <c r="B3885" t="s">
        <v>508</v>
      </c>
      <c r="C3885">
        <v>90193000</v>
      </c>
      <c r="D3885">
        <v>4583</v>
      </c>
      <c r="E3885" t="s">
        <v>1556</v>
      </c>
      <c r="F3885" t="s">
        <v>1555</v>
      </c>
      <c r="G3885" s="1">
        <v>45236</v>
      </c>
      <c r="H3885">
        <v>5413682</v>
      </c>
      <c r="I3885">
        <v>157</v>
      </c>
      <c r="J3885" t="s">
        <v>418</v>
      </c>
      <c r="K3885" t="str">
        <f>IFERROR(IF(AND(VLOOKUP($C3885,Hes!$A:$B, 1, FALSE), $M3885&lt;&gt;" "), "Ingresada", "Falta Ingresar"), " ")</f>
        <v xml:space="preserve"> </v>
      </c>
      <c r="L3885" s="4" t="str">
        <f>IFERROR(VLOOKUP($C3885,Observaciones!$A:$B,2,FALSE)," ")</f>
        <v>SACAR LISTADO SEMANAL ANTES DE FACTURAR</v>
      </c>
      <c r="M3885" t="s">
        <v>681</v>
      </c>
      <c r="O3885" s="5">
        <v>30854410</v>
      </c>
      <c r="P3885" s="5">
        <v>94820</v>
      </c>
      <c r="Q3885" s="5">
        <v>18016</v>
      </c>
      <c r="R3885" s="5">
        <v>112836</v>
      </c>
    </row>
    <row r="3886" spans="1:18" x14ac:dyDescent="0.25">
      <c r="A3886" t="s">
        <v>501</v>
      </c>
      <c r="B3886" t="s">
        <v>508</v>
      </c>
      <c r="C3886">
        <v>90193000</v>
      </c>
      <c r="D3886">
        <v>2790</v>
      </c>
      <c r="E3886">
        <v>30859442</v>
      </c>
      <c r="F3886" t="s">
        <v>1555</v>
      </c>
      <c r="G3886" s="1">
        <v>45237</v>
      </c>
      <c r="H3886">
        <v>5414044</v>
      </c>
      <c r="I3886">
        <v>157</v>
      </c>
      <c r="J3886" t="s">
        <v>418</v>
      </c>
      <c r="K3886" t="str">
        <f>IFERROR(IF(AND(VLOOKUP($C3886,Hes!$A:$B, 1, FALSE), $M3886&lt;&gt;" "), "Ingresada", "Falta Ingresar"), " ")</f>
        <v xml:space="preserve"> </v>
      </c>
      <c r="L3886" s="4" t="str">
        <f>IFERROR(VLOOKUP($C3886,Observaciones!$A:$B,2,FALSE)," ")</f>
        <v>SACAR LISTADO SEMANAL ANTES DE FACTURAR</v>
      </c>
      <c r="M3886" t="s">
        <v>681</v>
      </c>
      <c r="O3886" s="5">
        <v>30859442</v>
      </c>
      <c r="P3886" s="5">
        <v>12121</v>
      </c>
      <c r="Q3886" s="5">
        <v>2303</v>
      </c>
      <c r="R3886" s="5">
        <v>14424</v>
      </c>
    </row>
    <row r="3887" spans="1:18" x14ac:dyDescent="0.25">
      <c r="A3887" t="s">
        <v>501</v>
      </c>
      <c r="B3887" t="s">
        <v>508</v>
      </c>
      <c r="C3887">
        <v>90193000</v>
      </c>
      <c r="D3887">
        <v>1126</v>
      </c>
      <c r="E3887" t="s">
        <v>1557</v>
      </c>
      <c r="F3887" t="s">
        <v>1555</v>
      </c>
      <c r="G3887" s="1">
        <v>45237</v>
      </c>
      <c r="H3887">
        <v>5414472</v>
      </c>
      <c r="I3887">
        <v>157</v>
      </c>
      <c r="J3887" t="s">
        <v>418</v>
      </c>
      <c r="K3887" t="str">
        <f>IFERROR(IF(AND(VLOOKUP($C3887,Hes!$A:$B, 1, FALSE), $M3887&lt;&gt;" "), "Ingresada", "Falta Ingresar"), " ")</f>
        <v xml:space="preserve"> </v>
      </c>
      <c r="L3887" s="4" t="str">
        <f>IFERROR(VLOOKUP($C3887,Observaciones!$A:$B,2,FALSE)," ")</f>
        <v>SACAR LISTADO SEMANAL ANTES DE FACTURAR</v>
      </c>
      <c r="M3887" t="s">
        <v>681</v>
      </c>
      <c r="O3887" s="5">
        <v>30861776</v>
      </c>
      <c r="P3887" s="5">
        <v>27900</v>
      </c>
      <c r="Q3887" s="5">
        <v>5301</v>
      </c>
      <c r="R3887" s="5">
        <v>33201</v>
      </c>
    </row>
    <row r="3888" spans="1:18" x14ac:dyDescent="0.25">
      <c r="F3888" t="s">
        <v>523</v>
      </c>
      <c r="K3888" t="str">
        <f>IFERROR(IF(AND(VLOOKUP($C3888,Hes!$A:$B, 1, FALSE), $M3888&lt;&gt;" "), "Ingresada", "Falta Ingresar"), " ")</f>
        <v xml:space="preserve"> </v>
      </c>
      <c r="L3888" s="4" t="str">
        <f>IFERROR(VLOOKUP($C3888,Observaciones!$A:$B,2,FALSE)," ")</f>
        <v xml:space="preserve"> </v>
      </c>
      <c r="M3888" t="s">
        <v>681</v>
      </c>
      <c r="P3888" s="5">
        <v>449256</v>
      </c>
      <c r="Q3888" s="5">
        <v>85359</v>
      </c>
      <c r="R3888" s="5">
        <v>534615</v>
      </c>
    </row>
    <row r="3889" spans="1:18" x14ac:dyDescent="0.25">
      <c r="A3889" t="s">
        <v>496</v>
      </c>
      <c r="B3889" t="s">
        <v>494</v>
      </c>
      <c r="C3889">
        <v>90209000</v>
      </c>
      <c r="D3889">
        <v>2</v>
      </c>
      <c r="E3889">
        <v>45181606</v>
      </c>
      <c r="F3889" t="s">
        <v>1558</v>
      </c>
      <c r="G3889" s="1">
        <v>45231</v>
      </c>
      <c r="H3889">
        <v>5410584</v>
      </c>
      <c r="I3889">
        <v>344</v>
      </c>
      <c r="J3889" t="s">
        <v>301</v>
      </c>
      <c r="K3889" t="str">
        <f>IFERROR(IF(AND(VLOOKUP($C3889,Hes!$A:$B, 1, FALSE), $M3889&lt;&gt;" "), "Ingresada", "Falta Ingresar"), " ")</f>
        <v xml:space="preserve"> </v>
      </c>
      <c r="L3889" s="4" t="str">
        <f>IFERROR(VLOOKUP($C3889,Observaciones!$A:$B,2,FALSE)," ")</f>
        <v xml:space="preserve"> </v>
      </c>
      <c r="M3889" t="s">
        <v>681</v>
      </c>
      <c r="O3889" s="5">
        <v>30835798</v>
      </c>
      <c r="P3889" s="5">
        <v>65806</v>
      </c>
      <c r="Q3889" s="5">
        <v>12503</v>
      </c>
      <c r="R3889" s="5">
        <v>78309</v>
      </c>
    </row>
    <row r="3890" spans="1:18" x14ac:dyDescent="0.25">
      <c r="F3890" t="s">
        <v>495</v>
      </c>
      <c r="K3890" t="str">
        <f>IFERROR(IF(AND(VLOOKUP($C3890,Hes!$A:$B, 1, FALSE), $M3890&lt;&gt;" "), "Ingresada", "Falta Ingresar"), " ")</f>
        <v xml:space="preserve"> </v>
      </c>
      <c r="L3890" s="4" t="str">
        <f>IFERROR(VLOOKUP($C3890,Observaciones!$A:$B,2,FALSE)," ")</f>
        <v xml:space="preserve"> </v>
      </c>
      <c r="M3890" t="s">
        <v>681</v>
      </c>
      <c r="P3890" s="5">
        <v>65806</v>
      </c>
      <c r="Q3890" s="5">
        <v>12503</v>
      </c>
      <c r="R3890" s="5">
        <v>78309</v>
      </c>
    </row>
    <row r="3891" spans="1:18" x14ac:dyDescent="0.25">
      <c r="A3891" t="s">
        <v>503</v>
      </c>
      <c r="B3891" t="s">
        <v>494</v>
      </c>
      <c r="C3891">
        <v>90222000</v>
      </c>
      <c r="D3891">
        <v>15</v>
      </c>
      <c r="E3891">
        <v>30850900</v>
      </c>
      <c r="F3891" t="s">
        <v>1559</v>
      </c>
      <c r="G3891" s="1">
        <v>45233</v>
      </c>
      <c r="H3891">
        <v>5411645</v>
      </c>
      <c r="I3891">
        <v>63</v>
      </c>
      <c r="J3891" t="s">
        <v>170</v>
      </c>
      <c r="K3891" s="8" t="str">
        <f>IFERROR(IF(AND(VLOOKUP($C3891,Hes!$A:$B, 1, FALSE), $M3891&lt;&gt;" "), "Ingresada", "Falta Ingresar"), " ")</f>
        <v>Falta Ingresar</v>
      </c>
      <c r="L3891" s="4" t="str">
        <f>IFERROR(VLOOKUP($C3891,Observaciones!$A:$B,2,FALSE)," ")</f>
        <v>VENDEDOR DEBE ENVIAR OC</v>
      </c>
      <c r="M3891" t="s">
        <v>681</v>
      </c>
      <c r="O3891" s="5">
        <v>30850900</v>
      </c>
      <c r="P3891" s="5">
        <v>761301</v>
      </c>
      <c r="Q3891" s="5">
        <v>144647</v>
      </c>
      <c r="R3891" s="5">
        <v>905948</v>
      </c>
    </row>
    <row r="3892" spans="1:18" x14ac:dyDescent="0.25">
      <c r="A3892" t="s">
        <v>503</v>
      </c>
      <c r="B3892" t="s">
        <v>494</v>
      </c>
      <c r="C3892">
        <v>90222000</v>
      </c>
      <c r="D3892">
        <v>15</v>
      </c>
      <c r="E3892">
        <v>30850888</v>
      </c>
      <c r="F3892" t="s">
        <v>1559</v>
      </c>
      <c r="G3892" s="1">
        <v>45233</v>
      </c>
      <c r="H3892">
        <v>5411646</v>
      </c>
      <c r="I3892">
        <v>63</v>
      </c>
      <c r="J3892" t="s">
        <v>170</v>
      </c>
      <c r="K3892" s="8" t="str">
        <f>IFERROR(IF(AND(VLOOKUP($C3892,Hes!$A:$B, 1, FALSE), $M3892&lt;&gt;" "), "Ingresada", "Falta Ingresar"), " ")</f>
        <v>Falta Ingresar</v>
      </c>
      <c r="L3892" s="4" t="str">
        <f>IFERROR(VLOOKUP($C3892,Observaciones!$A:$B,2,FALSE)," ")</f>
        <v>VENDEDOR DEBE ENVIAR OC</v>
      </c>
      <c r="M3892" t="s">
        <v>681</v>
      </c>
      <c r="O3892" s="5">
        <v>30850888</v>
      </c>
      <c r="P3892" s="5">
        <v>193588</v>
      </c>
      <c r="Q3892" s="5">
        <v>36782</v>
      </c>
      <c r="R3892" s="5">
        <v>240824</v>
      </c>
    </row>
    <row r="3893" spans="1:18" x14ac:dyDescent="0.25">
      <c r="A3893" t="s">
        <v>503</v>
      </c>
      <c r="B3893" t="s">
        <v>494</v>
      </c>
      <c r="C3893">
        <v>90222000</v>
      </c>
      <c r="D3893">
        <v>15</v>
      </c>
      <c r="E3893">
        <v>30850900</v>
      </c>
      <c r="F3893" t="s">
        <v>1559</v>
      </c>
      <c r="G3893" s="1">
        <v>45236</v>
      </c>
      <c r="H3893">
        <v>5412429</v>
      </c>
      <c r="I3893">
        <v>63</v>
      </c>
      <c r="J3893" t="s">
        <v>170</v>
      </c>
      <c r="K3893" s="8" t="str">
        <f>IFERROR(IF(AND(VLOOKUP($C3893,Hes!$A:$B, 1, FALSE), $M3893&lt;&gt;" "), "Ingresada", "Falta Ingresar"), " ")</f>
        <v>Falta Ingresar</v>
      </c>
      <c r="L3893" s="4" t="str">
        <f>IFERROR(VLOOKUP($C3893,Observaciones!$A:$B,2,FALSE)," ")</f>
        <v>VENDEDOR DEBE ENVIAR OC</v>
      </c>
      <c r="M3893" t="s">
        <v>681</v>
      </c>
      <c r="O3893" s="5">
        <v>30850901</v>
      </c>
      <c r="P3893" s="5">
        <v>181762</v>
      </c>
      <c r="Q3893" s="5">
        <v>34535</v>
      </c>
      <c r="R3893" s="5">
        <v>216297</v>
      </c>
    </row>
    <row r="3894" spans="1:18" x14ac:dyDescent="0.25">
      <c r="A3894" t="s">
        <v>503</v>
      </c>
      <c r="B3894" t="s">
        <v>494</v>
      </c>
      <c r="C3894">
        <v>90222000</v>
      </c>
      <c r="D3894">
        <v>4</v>
      </c>
      <c r="E3894">
        <v>30854111</v>
      </c>
      <c r="F3894" t="s">
        <v>1559</v>
      </c>
      <c r="G3894" s="1">
        <v>45236</v>
      </c>
      <c r="H3894">
        <v>5412793</v>
      </c>
      <c r="I3894">
        <v>63</v>
      </c>
      <c r="J3894" t="s">
        <v>170</v>
      </c>
      <c r="K3894" s="8" t="str">
        <f>IFERROR(IF(AND(VLOOKUP($C3894,Hes!$A:$B, 1, FALSE), $M3894&lt;&gt;" "), "Ingresada", "Falta Ingresar"), " ")</f>
        <v>Falta Ingresar</v>
      </c>
      <c r="L3894" s="4" t="str">
        <f>IFERROR(VLOOKUP($C3894,Observaciones!$A:$B,2,FALSE)," ")</f>
        <v>VENDEDOR DEBE ENVIAR OC</v>
      </c>
      <c r="M3894" t="s">
        <v>681</v>
      </c>
      <c r="O3894" s="5">
        <v>30854111</v>
      </c>
      <c r="P3894" s="5">
        <v>153470</v>
      </c>
      <c r="Q3894" s="5">
        <v>29159</v>
      </c>
      <c r="R3894" s="5">
        <v>182629</v>
      </c>
    </row>
    <row r="3895" spans="1:18" x14ac:dyDescent="0.25">
      <c r="A3895" t="s">
        <v>503</v>
      </c>
      <c r="B3895" t="s">
        <v>494</v>
      </c>
      <c r="C3895">
        <v>90222000</v>
      </c>
      <c r="D3895">
        <v>13</v>
      </c>
      <c r="E3895">
        <v>30854124</v>
      </c>
      <c r="F3895" t="s">
        <v>1559</v>
      </c>
      <c r="G3895" s="1">
        <v>45236</v>
      </c>
      <c r="H3895">
        <v>5413468</v>
      </c>
      <c r="I3895">
        <v>63</v>
      </c>
      <c r="J3895" t="s">
        <v>170</v>
      </c>
      <c r="K3895" s="8" t="str">
        <f>IFERROR(IF(AND(VLOOKUP($C3895,Hes!$A:$B, 1, FALSE), $M3895&lt;&gt;" "), "Ingresada", "Falta Ingresar"), " ")</f>
        <v>Falta Ingresar</v>
      </c>
      <c r="L3895" s="4" t="str">
        <f>IFERROR(VLOOKUP($C3895,Observaciones!$A:$B,2,FALSE)," ")</f>
        <v>VENDEDOR DEBE ENVIAR OC</v>
      </c>
      <c r="M3895" t="s">
        <v>681</v>
      </c>
      <c r="O3895" s="5">
        <v>30854124</v>
      </c>
      <c r="P3895" s="5">
        <v>215454</v>
      </c>
      <c r="Q3895" s="5">
        <v>40936</v>
      </c>
      <c r="R3895" s="5">
        <v>256390</v>
      </c>
    </row>
    <row r="3896" spans="1:18" x14ac:dyDescent="0.25">
      <c r="A3896" t="s">
        <v>503</v>
      </c>
      <c r="B3896" t="s">
        <v>494</v>
      </c>
      <c r="C3896">
        <v>90222000</v>
      </c>
      <c r="D3896">
        <v>2</v>
      </c>
      <c r="E3896">
        <v>30853904</v>
      </c>
      <c r="F3896" t="s">
        <v>1559</v>
      </c>
      <c r="G3896" s="1">
        <v>45236</v>
      </c>
      <c r="H3896">
        <v>5413504</v>
      </c>
      <c r="I3896">
        <v>63</v>
      </c>
      <c r="J3896" t="s">
        <v>170</v>
      </c>
      <c r="K3896" s="8" t="str">
        <f>IFERROR(IF(AND(VLOOKUP($C3896,Hes!$A:$B, 1, FALSE), $M3896&lt;&gt;" "), "Ingresada", "Falta Ingresar"), " ")</f>
        <v>Falta Ingresar</v>
      </c>
      <c r="L3896" s="4" t="str">
        <f>IFERROR(VLOOKUP($C3896,Observaciones!$A:$B,2,FALSE)," ")</f>
        <v>VENDEDOR DEBE ENVIAR OC</v>
      </c>
      <c r="M3896" t="s">
        <v>681</v>
      </c>
      <c r="O3896" s="5">
        <v>30853904</v>
      </c>
      <c r="P3896" s="5">
        <v>123003</v>
      </c>
      <c r="Q3896" s="5">
        <v>23371</v>
      </c>
      <c r="R3896" s="5">
        <v>153201</v>
      </c>
    </row>
    <row r="3897" spans="1:18" x14ac:dyDescent="0.25">
      <c r="A3897" t="s">
        <v>503</v>
      </c>
      <c r="B3897" t="s">
        <v>494</v>
      </c>
      <c r="C3897">
        <v>90222000</v>
      </c>
      <c r="D3897">
        <v>15</v>
      </c>
      <c r="E3897">
        <v>30858186</v>
      </c>
      <c r="F3897" t="s">
        <v>1559</v>
      </c>
      <c r="G3897" s="1">
        <v>45237</v>
      </c>
      <c r="H3897">
        <v>5413961</v>
      </c>
      <c r="I3897">
        <v>63</v>
      </c>
      <c r="J3897" t="s">
        <v>170</v>
      </c>
      <c r="K3897" s="8" t="str">
        <f>IFERROR(IF(AND(VLOOKUP($C3897,Hes!$A:$B, 1, FALSE), $M3897&lt;&gt;" "), "Ingresada", "Falta Ingresar"), " ")</f>
        <v>Falta Ingresar</v>
      </c>
      <c r="L3897" s="4" t="str">
        <f>IFERROR(VLOOKUP($C3897,Observaciones!$A:$B,2,FALSE)," ")</f>
        <v>VENDEDOR DEBE ENVIAR OC</v>
      </c>
      <c r="M3897" t="s">
        <v>681</v>
      </c>
      <c r="O3897" s="5">
        <v>30858186</v>
      </c>
      <c r="P3897" s="5">
        <v>138450</v>
      </c>
      <c r="Q3897" s="5">
        <v>26306</v>
      </c>
      <c r="R3897" s="5">
        <v>164756</v>
      </c>
    </row>
    <row r="3898" spans="1:18" x14ac:dyDescent="0.25">
      <c r="A3898" t="s">
        <v>503</v>
      </c>
      <c r="B3898" t="s">
        <v>494</v>
      </c>
      <c r="C3898">
        <v>90222000</v>
      </c>
      <c r="D3898">
        <v>21</v>
      </c>
      <c r="E3898">
        <v>30858183</v>
      </c>
      <c r="F3898" t="s">
        <v>1559</v>
      </c>
      <c r="G3898" s="1">
        <v>45237</v>
      </c>
      <c r="H3898">
        <v>5414021</v>
      </c>
      <c r="I3898">
        <v>63</v>
      </c>
      <c r="J3898" t="s">
        <v>170</v>
      </c>
      <c r="K3898" s="8" t="str">
        <f>IFERROR(IF(AND(VLOOKUP($C3898,Hes!$A:$B, 1, FALSE), $M3898&lt;&gt;" "), "Ingresada", "Falta Ingresar"), " ")</f>
        <v>Falta Ingresar</v>
      </c>
      <c r="L3898" s="4" t="str">
        <f>IFERROR(VLOOKUP($C3898,Observaciones!$A:$B,2,FALSE)," ")</f>
        <v>VENDEDOR DEBE ENVIAR OC</v>
      </c>
      <c r="M3898" t="s">
        <v>681</v>
      </c>
      <c r="O3898" s="5">
        <v>30858183</v>
      </c>
      <c r="P3898" s="5">
        <v>166860</v>
      </c>
      <c r="Q3898" s="5">
        <v>31703</v>
      </c>
      <c r="R3898" s="5">
        <v>209734</v>
      </c>
    </row>
    <row r="3899" spans="1:18" x14ac:dyDescent="0.25">
      <c r="A3899" t="s">
        <v>503</v>
      </c>
      <c r="B3899" t="s">
        <v>494</v>
      </c>
      <c r="C3899">
        <v>90222000</v>
      </c>
      <c r="D3899">
        <v>21</v>
      </c>
      <c r="E3899">
        <v>30858185</v>
      </c>
      <c r="F3899" t="s">
        <v>1559</v>
      </c>
      <c r="G3899" s="1">
        <v>45237</v>
      </c>
      <c r="H3899">
        <v>5414022</v>
      </c>
      <c r="I3899">
        <v>63</v>
      </c>
      <c r="J3899" t="s">
        <v>170</v>
      </c>
      <c r="K3899" s="8" t="str">
        <f>IFERROR(IF(AND(VLOOKUP($C3899,Hes!$A:$B, 1, FALSE), $M3899&lt;&gt;" "), "Ingresada", "Falta Ingresar"), " ")</f>
        <v>Falta Ingresar</v>
      </c>
      <c r="L3899" s="4" t="str">
        <f>IFERROR(VLOOKUP($C3899,Observaciones!$A:$B,2,FALSE)," ")</f>
        <v>VENDEDOR DEBE ENVIAR OC</v>
      </c>
      <c r="M3899" t="s">
        <v>681</v>
      </c>
      <c r="O3899" s="5">
        <v>30858185</v>
      </c>
      <c r="P3899" s="5">
        <v>78309</v>
      </c>
      <c r="Q3899" s="5">
        <v>14879</v>
      </c>
      <c r="R3899" s="5">
        <v>93188</v>
      </c>
    </row>
    <row r="3900" spans="1:18" x14ac:dyDescent="0.25">
      <c r="A3900" t="s">
        <v>503</v>
      </c>
      <c r="B3900" t="s">
        <v>494</v>
      </c>
      <c r="C3900">
        <v>90222000</v>
      </c>
      <c r="D3900">
        <v>8</v>
      </c>
      <c r="E3900">
        <v>30860101</v>
      </c>
      <c r="F3900" t="s">
        <v>1559</v>
      </c>
      <c r="G3900" s="1">
        <v>45238</v>
      </c>
      <c r="H3900">
        <v>5414912</v>
      </c>
      <c r="I3900">
        <v>63</v>
      </c>
      <c r="J3900" t="s">
        <v>170</v>
      </c>
      <c r="K3900" s="8" t="str">
        <f>IFERROR(IF(AND(VLOOKUP($C3900,Hes!$A:$B, 1, FALSE), $M3900&lt;&gt;" "), "Ingresada", "Falta Ingresar"), " ")</f>
        <v>Falta Ingresar</v>
      </c>
      <c r="L3900" s="4" t="str">
        <f>IFERROR(VLOOKUP($C3900,Observaciones!$A:$B,2,FALSE)," ")</f>
        <v>VENDEDOR DEBE ENVIAR OC</v>
      </c>
      <c r="M3900" t="s">
        <v>681</v>
      </c>
      <c r="O3900" s="5">
        <v>30860101</v>
      </c>
      <c r="P3900" s="5">
        <v>645548</v>
      </c>
      <c r="Q3900" s="5">
        <v>122654</v>
      </c>
      <c r="R3900" s="5">
        <v>792130</v>
      </c>
    </row>
    <row r="3901" spans="1:18" x14ac:dyDescent="0.25">
      <c r="F3901" t="s">
        <v>533</v>
      </c>
      <c r="K3901" t="str">
        <f>IFERROR(IF(AND(VLOOKUP($C3901,Hes!$A:$B, 1, FALSE), $M3901&lt;&gt;" "), "Ingresada", "Falta Ingresar"), " ")</f>
        <v xml:space="preserve"> </v>
      </c>
      <c r="L3901" s="4" t="str">
        <f>IFERROR(VLOOKUP($C3901,Observaciones!$A:$B,2,FALSE)," ")</f>
        <v xml:space="preserve"> </v>
      </c>
      <c r="M3901" t="s">
        <v>681</v>
      </c>
      <c r="P3901" s="5">
        <v>2657745</v>
      </c>
      <c r="Q3901" s="5">
        <v>504972</v>
      </c>
      <c r="R3901" s="5">
        <v>3215097</v>
      </c>
    </row>
    <row r="3902" spans="1:18" x14ac:dyDescent="0.25">
      <c r="A3902" t="s">
        <v>501</v>
      </c>
      <c r="B3902" t="s">
        <v>494</v>
      </c>
      <c r="C3902">
        <v>90227000</v>
      </c>
      <c r="D3902">
        <v>166</v>
      </c>
      <c r="E3902">
        <v>4501506324</v>
      </c>
      <c r="F3902" t="s">
        <v>1560</v>
      </c>
      <c r="G3902" s="1">
        <v>45231</v>
      </c>
      <c r="H3902">
        <v>5410672</v>
      </c>
      <c r="I3902">
        <v>14</v>
      </c>
      <c r="J3902" t="s">
        <v>309</v>
      </c>
      <c r="K3902" t="str">
        <f>IFERROR(IF(AND(VLOOKUP($C3902,Hes!$A:$B, 1, FALSE), $M3902&lt;&gt;" "), "Ingresada", "Falta Ingresar"), " ")</f>
        <v xml:space="preserve"> </v>
      </c>
      <c r="L3902" s="4" t="str">
        <f>IFERROR(VLOOKUP($C3902,Observaciones!$A:$B,2,FALSE)," ")</f>
        <v>OC 45000000... INDIVIDUAL XOC Y CC, EL RESTO VENDEDOR DEBE ENVIAR INF Y OC SINO FACT XRUT</v>
      </c>
      <c r="M3902" t="s">
        <v>681</v>
      </c>
      <c r="O3902" s="5">
        <v>30842392</v>
      </c>
      <c r="P3902" s="5">
        <v>110676</v>
      </c>
      <c r="Q3902" s="5">
        <v>21028</v>
      </c>
      <c r="R3902" s="5">
        <v>131704</v>
      </c>
    </row>
    <row r="3903" spans="1:18" x14ac:dyDescent="0.25">
      <c r="A3903" t="s">
        <v>501</v>
      </c>
      <c r="B3903" t="s">
        <v>494</v>
      </c>
      <c r="C3903">
        <v>90227000</v>
      </c>
      <c r="D3903">
        <v>336</v>
      </c>
      <c r="E3903" t="s">
        <v>1561</v>
      </c>
      <c r="F3903" t="s">
        <v>1560</v>
      </c>
      <c r="G3903" s="1">
        <v>45232</v>
      </c>
      <c r="H3903">
        <v>5410759</v>
      </c>
      <c r="I3903">
        <v>14</v>
      </c>
      <c r="J3903" t="s">
        <v>309</v>
      </c>
      <c r="K3903" t="str">
        <f>IFERROR(IF(AND(VLOOKUP($C3903,Hes!$A:$B, 1, FALSE), $M3903&lt;&gt;" "), "Ingresada", "Falta Ingresar"), " ")</f>
        <v xml:space="preserve"> </v>
      </c>
      <c r="L3903" s="4" t="str">
        <f>IFERROR(VLOOKUP($C3903,Observaciones!$A:$B,2,FALSE)," ")</f>
        <v>OC 45000000... INDIVIDUAL XOC Y CC, EL RESTO VENDEDOR DEBE ENVIAR INF Y OC SINO FACT XRUT</v>
      </c>
      <c r="M3903" t="s">
        <v>681</v>
      </c>
      <c r="O3903" s="5">
        <v>30847188</v>
      </c>
      <c r="P3903" s="5">
        <v>25680</v>
      </c>
      <c r="Q3903" s="5">
        <v>4879</v>
      </c>
      <c r="R3903" s="5">
        <v>30559</v>
      </c>
    </row>
    <row r="3904" spans="1:18" x14ac:dyDescent="0.25">
      <c r="A3904" t="s">
        <v>501</v>
      </c>
      <c r="B3904" t="s">
        <v>494</v>
      </c>
      <c r="C3904">
        <v>90227000</v>
      </c>
      <c r="D3904">
        <v>119</v>
      </c>
      <c r="E3904">
        <v>4501505788</v>
      </c>
      <c r="F3904" t="s">
        <v>1560</v>
      </c>
      <c r="G3904" s="1">
        <v>45232</v>
      </c>
      <c r="H3904">
        <v>5410944</v>
      </c>
      <c r="I3904">
        <v>14</v>
      </c>
      <c r="J3904" t="s">
        <v>309</v>
      </c>
      <c r="K3904" t="str">
        <f>IFERROR(IF(AND(VLOOKUP($C3904,Hes!$A:$B, 1, FALSE), $M3904&lt;&gt;" "), "Ingresada", "Falta Ingresar"), " ")</f>
        <v xml:space="preserve"> </v>
      </c>
      <c r="L3904" s="4" t="str">
        <f>IFERROR(VLOOKUP($C3904,Observaciones!$A:$B,2,FALSE)," ")</f>
        <v>OC 45000000... INDIVIDUAL XOC Y CC, EL RESTO VENDEDOR DEBE ENVIAR INF Y OC SINO FACT XRUT</v>
      </c>
      <c r="M3904" t="s">
        <v>681</v>
      </c>
      <c r="O3904" s="5">
        <v>30846768</v>
      </c>
      <c r="P3904" s="5">
        <v>667848</v>
      </c>
      <c r="Q3904" s="5">
        <v>126891</v>
      </c>
      <c r="R3904" s="5">
        <v>794739</v>
      </c>
    </row>
    <row r="3905" spans="1:18" x14ac:dyDescent="0.25">
      <c r="A3905" t="s">
        <v>501</v>
      </c>
      <c r="B3905" t="s">
        <v>494</v>
      </c>
      <c r="C3905">
        <v>90227000</v>
      </c>
      <c r="D3905">
        <v>347</v>
      </c>
      <c r="E3905">
        <v>30850313</v>
      </c>
      <c r="F3905" t="s">
        <v>1560</v>
      </c>
      <c r="G3905" s="1">
        <v>45233</v>
      </c>
      <c r="H3905">
        <v>5411694</v>
      </c>
      <c r="I3905">
        <v>14</v>
      </c>
      <c r="J3905" t="s">
        <v>309</v>
      </c>
      <c r="K3905" t="str">
        <f>IFERROR(IF(AND(VLOOKUP($C3905,Hes!$A:$B, 1, FALSE), $M3905&lt;&gt;" "), "Ingresada", "Falta Ingresar"), " ")</f>
        <v xml:space="preserve"> </v>
      </c>
      <c r="L3905" s="4" t="str">
        <f>IFERROR(VLOOKUP($C3905,Observaciones!$A:$B,2,FALSE)," ")</f>
        <v>OC 45000000... INDIVIDUAL XOC Y CC, EL RESTO VENDEDOR DEBE ENVIAR INF Y OC SINO FACT XRUT</v>
      </c>
      <c r="M3905" t="s">
        <v>681</v>
      </c>
      <c r="O3905" s="5">
        <v>30850313</v>
      </c>
      <c r="P3905" s="5">
        <v>119913</v>
      </c>
      <c r="Q3905" s="5">
        <v>22783</v>
      </c>
      <c r="R3905" s="5">
        <v>142696</v>
      </c>
    </row>
    <row r="3906" spans="1:18" x14ac:dyDescent="0.25">
      <c r="A3906" t="s">
        <v>501</v>
      </c>
      <c r="B3906" t="s">
        <v>494</v>
      </c>
      <c r="C3906">
        <v>90227000</v>
      </c>
      <c r="D3906">
        <v>126</v>
      </c>
      <c r="E3906">
        <v>30849571</v>
      </c>
      <c r="F3906" t="s">
        <v>1560</v>
      </c>
      <c r="G3906" s="1">
        <v>45233</v>
      </c>
      <c r="H3906">
        <v>5411726</v>
      </c>
      <c r="I3906">
        <v>14</v>
      </c>
      <c r="J3906" t="s">
        <v>309</v>
      </c>
      <c r="K3906" t="str">
        <f>IFERROR(IF(AND(VLOOKUP($C3906,Hes!$A:$B, 1, FALSE), $M3906&lt;&gt;" "), "Ingresada", "Falta Ingresar"), " ")</f>
        <v xml:space="preserve"> </v>
      </c>
      <c r="L3906" s="4" t="str">
        <f>IFERROR(VLOOKUP($C3906,Observaciones!$A:$B,2,FALSE)," ")</f>
        <v>OC 45000000... INDIVIDUAL XOC Y CC, EL RESTO VENDEDOR DEBE ENVIAR INF Y OC SINO FACT XRUT</v>
      </c>
      <c r="M3906" t="s">
        <v>681</v>
      </c>
      <c r="O3906" s="5">
        <v>30849571</v>
      </c>
      <c r="P3906" s="5">
        <v>92907</v>
      </c>
      <c r="Q3906" s="5">
        <v>17652</v>
      </c>
      <c r="R3906" s="5">
        <v>110559</v>
      </c>
    </row>
    <row r="3907" spans="1:18" x14ac:dyDescent="0.25">
      <c r="A3907" t="s">
        <v>501</v>
      </c>
      <c r="B3907" t="s">
        <v>494</v>
      </c>
      <c r="C3907">
        <v>90227000</v>
      </c>
      <c r="D3907">
        <v>71</v>
      </c>
      <c r="E3907">
        <v>4501506474</v>
      </c>
      <c r="F3907" t="s">
        <v>1560</v>
      </c>
      <c r="G3907" s="1">
        <v>45236</v>
      </c>
      <c r="H3907">
        <v>5412107</v>
      </c>
      <c r="I3907">
        <v>14</v>
      </c>
      <c r="J3907" t="s">
        <v>309</v>
      </c>
      <c r="K3907" t="str">
        <f>IFERROR(IF(AND(VLOOKUP($C3907,Hes!$A:$B, 1, FALSE), $M3907&lt;&gt;" "), "Ingresada", "Falta Ingresar"), " ")</f>
        <v xml:space="preserve"> </v>
      </c>
      <c r="L3907" s="4" t="str">
        <f>IFERROR(VLOOKUP($C3907,Observaciones!$A:$B,2,FALSE)," ")</f>
        <v>OC 45000000... INDIVIDUAL XOC Y CC, EL RESTO VENDEDOR DEBE ENVIAR INF Y OC SINO FACT XRUT</v>
      </c>
      <c r="M3907" t="s">
        <v>681</v>
      </c>
      <c r="O3907" s="5">
        <v>30757909</v>
      </c>
      <c r="P3907" s="5">
        <v>1312791</v>
      </c>
      <c r="Q3907" s="5">
        <v>249430</v>
      </c>
      <c r="R3907" s="5">
        <v>1562221</v>
      </c>
    </row>
    <row r="3908" spans="1:18" x14ac:dyDescent="0.25">
      <c r="A3908" t="s">
        <v>501</v>
      </c>
      <c r="B3908" t="s">
        <v>494</v>
      </c>
      <c r="C3908">
        <v>90227000</v>
      </c>
      <c r="D3908">
        <v>71</v>
      </c>
      <c r="E3908">
        <v>4501506474</v>
      </c>
      <c r="F3908" t="s">
        <v>1560</v>
      </c>
      <c r="G3908" s="1">
        <v>45236</v>
      </c>
      <c r="H3908">
        <v>5412108</v>
      </c>
      <c r="I3908">
        <v>14</v>
      </c>
      <c r="J3908" t="s">
        <v>309</v>
      </c>
      <c r="K3908" t="str">
        <f>IFERROR(IF(AND(VLOOKUP($C3908,Hes!$A:$B, 1, FALSE), $M3908&lt;&gt;" "), "Ingresada", "Falta Ingresar"), " ")</f>
        <v xml:space="preserve"> </v>
      </c>
      <c r="L3908" s="4" t="str">
        <f>IFERROR(VLOOKUP($C3908,Observaciones!$A:$B,2,FALSE)," ")</f>
        <v>OC 45000000... INDIVIDUAL XOC Y CC, EL RESTO VENDEDOR DEBE ENVIAR INF Y OC SINO FACT XRUT</v>
      </c>
      <c r="M3908" t="s">
        <v>681</v>
      </c>
      <c r="O3908" s="5">
        <v>30757909</v>
      </c>
      <c r="P3908" s="5">
        <v>399208</v>
      </c>
      <c r="Q3908" s="5">
        <v>75850</v>
      </c>
      <c r="R3908" s="5">
        <v>475058</v>
      </c>
    </row>
    <row r="3909" spans="1:18" x14ac:dyDescent="0.25">
      <c r="A3909" t="s">
        <v>501</v>
      </c>
      <c r="B3909" t="s">
        <v>494</v>
      </c>
      <c r="C3909">
        <v>90227000</v>
      </c>
      <c r="D3909">
        <v>128</v>
      </c>
      <c r="E3909">
        <v>30849603</v>
      </c>
      <c r="F3909" t="s">
        <v>1560</v>
      </c>
      <c r="G3909" s="1">
        <v>45236</v>
      </c>
      <c r="H3909">
        <v>5412149</v>
      </c>
      <c r="I3909">
        <v>14</v>
      </c>
      <c r="J3909" t="s">
        <v>309</v>
      </c>
      <c r="K3909" t="str">
        <f>IFERROR(IF(AND(VLOOKUP($C3909,Hes!$A:$B, 1, FALSE), $M3909&lt;&gt;" "), "Ingresada", "Falta Ingresar"), " ")</f>
        <v xml:space="preserve"> </v>
      </c>
      <c r="L3909" s="4" t="str">
        <f>IFERROR(VLOOKUP($C3909,Observaciones!$A:$B,2,FALSE)," ")</f>
        <v>OC 45000000... INDIVIDUAL XOC Y CC, EL RESTO VENDEDOR DEBE ENVIAR INF Y OC SINO FACT XRUT</v>
      </c>
      <c r="M3909" t="s">
        <v>681</v>
      </c>
      <c r="O3909" s="5">
        <v>30849603</v>
      </c>
      <c r="P3909" s="5">
        <v>85320</v>
      </c>
      <c r="Q3909" s="5">
        <v>16211</v>
      </c>
      <c r="R3909" s="5">
        <v>101531</v>
      </c>
    </row>
    <row r="3910" spans="1:18" x14ac:dyDescent="0.25">
      <c r="A3910" t="s">
        <v>501</v>
      </c>
      <c r="B3910" t="s">
        <v>494</v>
      </c>
      <c r="C3910">
        <v>90227000</v>
      </c>
      <c r="D3910">
        <v>24</v>
      </c>
      <c r="E3910">
        <v>30852121</v>
      </c>
      <c r="F3910" t="s">
        <v>1560</v>
      </c>
      <c r="G3910" s="1">
        <v>45236</v>
      </c>
      <c r="H3910">
        <v>5412155</v>
      </c>
      <c r="I3910">
        <v>14</v>
      </c>
      <c r="J3910" t="s">
        <v>309</v>
      </c>
      <c r="K3910" t="str">
        <f>IFERROR(IF(AND(VLOOKUP($C3910,Hes!$A:$B, 1, FALSE), $M3910&lt;&gt;" "), "Ingresada", "Falta Ingresar"), " ")</f>
        <v xml:space="preserve"> </v>
      </c>
      <c r="L3910" s="4" t="str">
        <f>IFERROR(VLOOKUP($C3910,Observaciones!$A:$B,2,FALSE)," ")</f>
        <v>OC 45000000... INDIVIDUAL XOC Y CC, EL RESTO VENDEDOR DEBE ENVIAR INF Y OC SINO FACT XRUT</v>
      </c>
      <c r="M3910" t="s">
        <v>681</v>
      </c>
      <c r="O3910" s="5">
        <v>30852121</v>
      </c>
      <c r="P3910" s="5">
        <v>58377</v>
      </c>
      <c r="Q3910" s="5">
        <v>11092</v>
      </c>
      <c r="R3910" s="5">
        <v>69469</v>
      </c>
    </row>
    <row r="3911" spans="1:18" x14ac:dyDescent="0.25">
      <c r="A3911" t="s">
        <v>501</v>
      </c>
      <c r="B3911" t="s">
        <v>494</v>
      </c>
      <c r="C3911">
        <v>90227000</v>
      </c>
      <c r="D3911">
        <v>356</v>
      </c>
      <c r="E3911">
        <v>30852306</v>
      </c>
      <c r="F3911" t="s">
        <v>1560</v>
      </c>
      <c r="G3911" s="1">
        <v>45236</v>
      </c>
      <c r="H3911">
        <v>5412229</v>
      </c>
      <c r="I3911">
        <v>14</v>
      </c>
      <c r="J3911" t="s">
        <v>309</v>
      </c>
      <c r="K3911" t="str">
        <f>IFERROR(IF(AND(VLOOKUP($C3911,Hes!$A:$B, 1, FALSE), $M3911&lt;&gt;" "), "Ingresada", "Falta Ingresar"), " ")</f>
        <v xml:space="preserve"> </v>
      </c>
      <c r="L3911" s="4" t="str">
        <f>IFERROR(VLOOKUP($C3911,Observaciones!$A:$B,2,FALSE)," ")</f>
        <v>OC 45000000... INDIVIDUAL XOC Y CC, EL RESTO VENDEDOR DEBE ENVIAR INF Y OC SINO FACT XRUT</v>
      </c>
      <c r="M3911" t="s">
        <v>681</v>
      </c>
      <c r="O3911" s="5">
        <v>30852306</v>
      </c>
      <c r="P3911" s="5">
        <v>59365</v>
      </c>
      <c r="Q3911" s="5">
        <v>11279</v>
      </c>
      <c r="R3911" s="5">
        <v>70644</v>
      </c>
    </row>
    <row r="3912" spans="1:18" x14ac:dyDescent="0.25">
      <c r="A3912" t="s">
        <v>501</v>
      </c>
      <c r="B3912" t="s">
        <v>494</v>
      </c>
      <c r="C3912">
        <v>90227000</v>
      </c>
      <c r="D3912">
        <v>248</v>
      </c>
      <c r="E3912">
        <v>30852685</v>
      </c>
      <c r="F3912" t="s">
        <v>1560</v>
      </c>
      <c r="G3912" s="1">
        <v>45236</v>
      </c>
      <c r="H3912">
        <v>5412250</v>
      </c>
      <c r="I3912">
        <v>14</v>
      </c>
      <c r="J3912" t="s">
        <v>309</v>
      </c>
      <c r="K3912" t="str">
        <f>IFERROR(IF(AND(VLOOKUP($C3912,Hes!$A:$B, 1, FALSE), $M3912&lt;&gt;" "), "Ingresada", "Falta Ingresar"), " ")</f>
        <v xml:space="preserve"> </v>
      </c>
      <c r="L3912" s="4" t="str">
        <f>IFERROR(VLOOKUP($C3912,Observaciones!$A:$B,2,FALSE)," ")</f>
        <v>OC 45000000... INDIVIDUAL XOC Y CC, EL RESTO VENDEDOR DEBE ENVIAR INF Y OC SINO FACT XRUT</v>
      </c>
      <c r="M3912" t="s">
        <v>681</v>
      </c>
      <c r="O3912" s="5">
        <v>30852685</v>
      </c>
      <c r="P3912" s="5">
        <v>35972</v>
      </c>
      <c r="Q3912" s="5">
        <v>6835</v>
      </c>
      <c r="R3912" s="5">
        <v>42807</v>
      </c>
    </row>
    <row r="3913" spans="1:18" x14ac:dyDescent="0.25">
      <c r="A3913" t="s">
        <v>501</v>
      </c>
      <c r="B3913" t="s">
        <v>494</v>
      </c>
      <c r="C3913">
        <v>90227000</v>
      </c>
      <c r="D3913">
        <v>322</v>
      </c>
      <c r="E3913">
        <v>30849403</v>
      </c>
      <c r="F3913" t="s">
        <v>1560</v>
      </c>
      <c r="G3913" s="1">
        <v>45234</v>
      </c>
      <c r="H3913">
        <v>5412319</v>
      </c>
      <c r="I3913">
        <v>14</v>
      </c>
      <c r="J3913" t="s">
        <v>309</v>
      </c>
      <c r="K3913" t="str">
        <f>IFERROR(IF(AND(VLOOKUP($C3913,Hes!$A:$B, 1, FALSE), $M3913&lt;&gt;" "), "Ingresada", "Falta Ingresar"), " ")</f>
        <v xml:space="preserve"> </v>
      </c>
      <c r="L3913" s="4" t="str">
        <f>IFERROR(VLOOKUP($C3913,Observaciones!$A:$B,2,FALSE)," ")</f>
        <v>OC 45000000... INDIVIDUAL XOC Y CC, EL RESTO VENDEDOR DEBE ENVIAR INF Y OC SINO FACT XRUT</v>
      </c>
      <c r="M3913" t="s">
        <v>681</v>
      </c>
      <c r="O3913" s="5">
        <v>30849403</v>
      </c>
      <c r="P3913" s="5">
        <v>283527</v>
      </c>
      <c r="Q3913" s="5">
        <v>53870</v>
      </c>
      <c r="R3913" s="5">
        <v>337397</v>
      </c>
    </row>
    <row r="3914" spans="1:18" x14ac:dyDescent="0.25">
      <c r="A3914" t="s">
        <v>501</v>
      </c>
      <c r="B3914" t="s">
        <v>494</v>
      </c>
      <c r="C3914">
        <v>90227000</v>
      </c>
      <c r="D3914">
        <v>322</v>
      </c>
      <c r="E3914">
        <v>30849403</v>
      </c>
      <c r="F3914" t="s">
        <v>1560</v>
      </c>
      <c r="G3914" s="1">
        <v>45234</v>
      </c>
      <c r="H3914">
        <v>5412320</v>
      </c>
      <c r="I3914">
        <v>14</v>
      </c>
      <c r="J3914" t="s">
        <v>309</v>
      </c>
      <c r="K3914" t="str">
        <f>IFERROR(IF(AND(VLOOKUP($C3914,Hes!$A:$B, 1, FALSE), $M3914&lt;&gt;" "), "Ingresada", "Falta Ingresar"), " ")</f>
        <v xml:space="preserve"> </v>
      </c>
      <c r="L3914" s="4" t="str">
        <f>IFERROR(VLOOKUP($C3914,Observaciones!$A:$B,2,FALSE)," ")</f>
        <v>OC 45000000... INDIVIDUAL XOC Y CC, EL RESTO VENDEDOR DEBE ENVIAR INF Y OC SINO FACT XRUT</v>
      </c>
      <c r="M3914" t="s">
        <v>681</v>
      </c>
      <c r="O3914" s="5">
        <v>30849403</v>
      </c>
      <c r="P3914" s="5">
        <v>65159</v>
      </c>
      <c r="Q3914" s="5">
        <v>12380</v>
      </c>
      <c r="R3914" s="5">
        <v>77539</v>
      </c>
    </row>
    <row r="3915" spans="1:18" x14ac:dyDescent="0.25">
      <c r="A3915" t="s">
        <v>501</v>
      </c>
      <c r="B3915" t="s">
        <v>494</v>
      </c>
      <c r="C3915">
        <v>90227000</v>
      </c>
      <c r="D3915">
        <v>320</v>
      </c>
      <c r="E3915">
        <v>30852123</v>
      </c>
      <c r="F3915" t="s">
        <v>1560</v>
      </c>
      <c r="G3915" s="1">
        <v>45236</v>
      </c>
      <c r="H3915">
        <v>5412572</v>
      </c>
      <c r="I3915">
        <v>14</v>
      </c>
      <c r="J3915" t="s">
        <v>309</v>
      </c>
      <c r="K3915" t="str">
        <f>IFERROR(IF(AND(VLOOKUP($C3915,Hes!$A:$B, 1, FALSE), $M3915&lt;&gt;" "), "Ingresada", "Falta Ingresar"), " ")</f>
        <v xml:space="preserve"> </v>
      </c>
      <c r="L3915" s="4" t="str">
        <f>IFERROR(VLOOKUP($C3915,Observaciones!$A:$B,2,FALSE)," ")</f>
        <v>OC 45000000... INDIVIDUAL XOC Y CC, EL RESTO VENDEDOR DEBE ENVIAR INF Y OC SINO FACT XRUT</v>
      </c>
      <c r="M3915" t="s">
        <v>681</v>
      </c>
      <c r="O3915" s="5">
        <v>30852123</v>
      </c>
      <c r="P3915" s="5">
        <v>248832</v>
      </c>
      <c r="Q3915" s="5">
        <v>47278</v>
      </c>
      <c r="R3915" s="5">
        <v>296110</v>
      </c>
    </row>
    <row r="3916" spans="1:18" x14ac:dyDescent="0.25">
      <c r="A3916" t="s">
        <v>501</v>
      </c>
      <c r="B3916" t="s">
        <v>494</v>
      </c>
      <c r="C3916">
        <v>90227000</v>
      </c>
      <c r="D3916">
        <v>320</v>
      </c>
      <c r="E3916">
        <v>30852123</v>
      </c>
      <c r="F3916" t="s">
        <v>1560</v>
      </c>
      <c r="G3916" s="1">
        <v>45236</v>
      </c>
      <c r="H3916">
        <v>5412573</v>
      </c>
      <c r="I3916">
        <v>14</v>
      </c>
      <c r="J3916" t="s">
        <v>309</v>
      </c>
      <c r="K3916" t="str">
        <f>IFERROR(IF(AND(VLOOKUP($C3916,Hes!$A:$B, 1, FALSE), $M3916&lt;&gt;" "), "Ingresada", "Falta Ingresar"), " ")</f>
        <v xml:space="preserve"> </v>
      </c>
      <c r="L3916" s="4" t="str">
        <f>IFERROR(VLOOKUP($C3916,Observaciones!$A:$B,2,FALSE)," ")</f>
        <v>OC 45000000... INDIVIDUAL XOC Y CC, EL RESTO VENDEDOR DEBE ENVIAR INF Y OC SINO FACT XRUT</v>
      </c>
      <c r="M3916" t="s">
        <v>681</v>
      </c>
      <c r="O3916" s="5">
        <v>30852123</v>
      </c>
      <c r="P3916" s="5">
        <v>1073</v>
      </c>
      <c r="Q3916" s="5">
        <v>204</v>
      </c>
      <c r="R3916" s="5">
        <v>1277</v>
      </c>
    </row>
    <row r="3917" spans="1:18" x14ac:dyDescent="0.25">
      <c r="A3917" t="s">
        <v>501</v>
      </c>
      <c r="B3917" t="s">
        <v>494</v>
      </c>
      <c r="C3917">
        <v>90227000</v>
      </c>
      <c r="D3917">
        <v>105</v>
      </c>
      <c r="E3917">
        <v>30853706</v>
      </c>
      <c r="F3917" t="s">
        <v>1560</v>
      </c>
      <c r="G3917" s="1">
        <v>45236</v>
      </c>
      <c r="H3917">
        <v>5412609</v>
      </c>
      <c r="I3917">
        <v>14</v>
      </c>
      <c r="J3917" t="s">
        <v>309</v>
      </c>
      <c r="K3917" t="str">
        <f>IFERROR(IF(AND(VLOOKUP($C3917,Hes!$A:$B, 1, FALSE), $M3917&lt;&gt;" "), "Ingresada", "Falta Ingresar"), " ")</f>
        <v xml:space="preserve"> </v>
      </c>
      <c r="L3917" s="4" t="str">
        <f>IFERROR(VLOOKUP($C3917,Observaciones!$A:$B,2,FALSE)," ")</f>
        <v>OC 45000000... INDIVIDUAL XOC Y CC, EL RESTO VENDEDOR DEBE ENVIAR INF Y OC SINO FACT XRUT</v>
      </c>
      <c r="M3917" t="s">
        <v>681</v>
      </c>
      <c r="O3917" s="5">
        <v>30853706</v>
      </c>
      <c r="P3917" s="5">
        <v>21627</v>
      </c>
      <c r="Q3917" s="5">
        <v>4109</v>
      </c>
      <c r="R3917" s="5">
        <v>25736</v>
      </c>
    </row>
    <row r="3918" spans="1:18" x14ac:dyDescent="0.25">
      <c r="A3918" t="s">
        <v>501</v>
      </c>
      <c r="B3918" t="s">
        <v>494</v>
      </c>
      <c r="C3918">
        <v>90227000</v>
      </c>
      <c r="D3918">
        <v>352</v>
      </c>
      <c r="E3918" t="s">
        <v>1562</v>
      </c>
      <c r="F3918" t="s">
        <v>1560</v>
      </c>
      <c r="G3918" s="1">
        <v>45236</v>
      </c>
      <c r="H3918">
        <v>5412681</v>
      </c>
      <c r="I3918">
        <v>14</v>
      </c>
      <c r="J3918" t="s">
        <v>309</v>
      </c>
      <c r="K3918" t="str">
        <f>IFERROR(IF(AND(VLOOKUP($C3918,Hes!$A:$B, 1, FALSE), $M3918&lt;&gt;" "), "Ingresada", "Falta Ingresar"), " ")</f>
        <v xml:space="preserve"> </v>
      </c>
      <c r="L3918" s="4" t="str">
        <f>IFERROR(VLOOKUP($C3918,Observaciones!$A:$B,2,FALSE)," ")</f>
        <v>OC 45000000... INDIVIDUAL XOC Y CC, EL RESTO VENDEDOR DEBE ENVIAR INF Y OC SINO FACT XRUT</v>
      </c>
      <c r="M3918" t="s">
        <v>681</v>
      </c>
      <c r="O3918" s="5">
        <v>30852465</v>
      </c>
      <c r="P3918" s="5">
        <v>44782</v>
      </c>
      <c r="Q3918" s="5">
        <v>8509</v>
      </c>
      <c r="R3918" s="5">
        <v>53291</v>
      </c>
    </row>
    <row r="3919" spans="1:18" x14ac:dyDescent="0.25">
      <c r="A3919" t="s">
        <v>501</v>
      </c>
      <c r="B3919" t="s">
        <v>494</v>
      </c>
      <c r="C3919">
        <v>90227000</v>
      </c>
      <c r="D3919">
        <v>66</v>
      </c>
      <c r="E3919">
        <v>30850887</v>
      </c>
      <c r="F3919" t="s">
        <v>1560</v>
      </c>
      <c r="G3919" s="1">
        <v>45236</v>
      </c>
      <c r="H3919">
        <v>5412700</v>
      </c>
      <c r="I3919">
        <v>14</v>
      </c>
      <c r="J3919" t="s">
        <v>309</v>
      </c>
      <c r="K3919" t="str">
        <f>IFERROR(IF(AND(VLOOKUP($C3919,Hes!$A:$B, 1, FALSE), $M3919&lt;&gt;" "), "Ingresada", "Falta Ingresar"), " ")</f>
        <v xml:space="preserve"> </v>
      </c>
      <c r="L3919" s="4" t="str">
        <f>IFERROR(VLOOKUP($C3919,Observaciones!$A:$B,2,FALSE)," ")</f>
        <v>OC 45000000... INDIVIDUAL XOC Y CC, EL RESTO VENDEDOR DEBE ENVIAR INF Y OC SINO FACT XRUT</v>
      </c>
      <c r="M3919" t="s">
        <v>681</v>
      </c>
      <c r="O3919" s="5">
        <v>30850887</v>
      </c>
      <c r="P3919" s="5">
        <v>155047</v>
      </c>
      <c r="Q3919" s="5">
        <v>29459</v>
      </c>
      <c r="R3919" s="5">
        <v>184506</v>
      </c>
    </row>
    <row r="3920" spans="1:18" x14ac:dyDescent="0.25">
      <c r="A3920" t="s">
        <v>501</v>
      </c>
      <c r="B3920" t="s">
        <v>494</v>
      </c>
      <c r="C3920">
        <v>90227000</v>
      </c>
      <c r="D3920">
        <v>288</v>
      </c>
      <c r="E3920">
        <v>30853916</v>
      </c>
      <c r="F3920" t="s">
        <v>1560</v>
      </c>
      <c r="G3920" s="1">
        <v>45236</v>
      </c>
      <c r="H3920">
        <v>5412838</v>
      </c>
      <c r="I3920">
        <v>14</v>
      </c>
      <c r="J3920" t="s">
        <v>309</v>
      </c>
      <c r="K3920" t="str">
        <f>IFERROR(IF(AND(VLOOKUP($C3920,Hes!$A:$B, 1, FALSE), $M3920&lt;&gt;" "), "Ingresada", "Falta Ingresar"), " ")</f>
        <v xml:space="preserve"> </v>
      </c>
      <c r="L3920" s="4" t="str">
        <f>IFERROR(VLOOKUP($C3920,Observaciones!$A:$B,2,FALSE)," ")</f>
        <v>OC 45000000... INDIVIDUAL XOC Y CC, EL RESTO VENDEDOR DEBE ENVIAR INF Y OC SINO FACT XRUT</v>
      </c>
      <c r="M3920" t="s">
        <v>681</v>
      </c>
      <c r="O3920" s="5">
        <v>30853916</v>
      </c>
      <c r="P3920" s="5">
        <v>46883</v>
      </c>
      <c r="Q3920" s="5">
        <v>8908</v>
      </c>
      <c r="R3920" s="5">
        <v>55791</v>
      </c>
    </row>
    <row r="3921" spans="1:18" x14ac:dyDescent="0.25">
      <c r="A3921" t="s">
        <v>501</v>
      </c>
      <c r="B3921" t="s">
        <v>494</v>
      </c>
      <c r="C3921">
        <v>90227000</v>
      </c>
      <c r="D3921">
        <v>336</v>
      </c>
      <c r="E3921" t="s">
        <v>1561</v>
      </c>
      <c r="F3921" t="s">
        <v>1560</v>
      </c>
      <c r="G3921" s="1">
        <v>45236</v>
      </c>
      <c r="H3921">
        <v>5413186</v>
      </c>
      <c r="I3921">
        <v>14</v>
      </c>
      <c r="J3921" t="s">
        <v>309</v>
      </c>
      <c r="K3921" t="str">
        <f>IFERROR(IF(AND(VLOOKUP($C3921,Hes!$A:$B, 1, FALSE), $M3921&lt;&gt;" "), "Ingresada", "Falta Ingresar"), " ")</f>
        <v xml:space="preserve"> </v>
      </c>
      <c r="L3921" s="4" t="str">
        <f>IFERROR(VLOOKUP($C3921,Observaciones!$A:$B,2,FALSE)," ")</f>
        <v>OC 45000000... INDIVIDUAL XOC Y CC, EL RESTO VENDEDOR DEBE ENVIAR INF Y OC SINO FACT XRUT</v>
      </c>
      <c r="M3921" t="s">
        <v>681</v>
      </c>
      <c r="O3921" s="5">
        <v>30855537</v>
      </c>
      <c r="P3921" s="5">
        <v>56152</v>
      </c>
      <c r="Q3921" s="5">
        <v>10669</v>
      </c>
      <c r="R3921" s="5">
        <v>66821</v>
      </c>
    </row>
    <row r="3922" spans="1:18" x14ac:dyDescent="0.25">
      <c r="A3922" t="s">
        <v>501</v>
      </c>
      <c r="B3922" t="s">
        <v>494</v>
      </c>
      <c r="C3922">
        <v>90227000</v>
      </c>
      <c r="D3922">
        <v>5</v>
      </c>
      <c r="E3922">
        <v>30849438</v>
      </c>
      <c r="F3922" t="s">
        <v>1560</v>
      </c>
      <c r="G3922" s="1">
        <v>45236</v>
      </c>
      <c r="H3922">
        <v>5413200</v>
      </c>
      <c r="I3922">
        <v>14</v>
      </c>
      <c r="J3922" t="s">
        <v>309</v>
      </c>
      <c r="K3922" t="str">
        <f>IFERROR(IF(AND(VLOOKUP($C3922,Hes!$A:$B, 1, FALSE), $M3922&lt;&gt;" "), "Ingresada", "Falta Ingresar"), " ")</f>
        <v xml:space="preserve"> </v>
      </c>
      <c r="L3922" s="4" t="str">
        <f>IFERROR(VLOOKUP($C3922,Observaciones!$A:$B,2,FALSE)," ")</f>
        <v>OC 45000000... INDIVIDUAL XOC Y CC, EL RESTO VENDEDOR DEBE ENVIAR INF Y OC SINO FACT XRUT</v>
      </c>
      <c r="M3922" t="s">
        <v>681</v>
      </c>
      <c r="O3922" s="5">
        <v>30849438</v>
      </c>
      <c r="P3922" s="5">
        <v>71980</v>
      </c>
      <c r="Q3922" s="5">
        <v>13676</v>
      </c>
      <c r="R3922" s="5">
        <v>85656</v>
      </c>
    </row>
    <row r="3923" spans="1:18" x14ac:dyDescent="0.25">
      <c r="A3923" t="s">
        <v>501</v>
      </c>
      <c r="B3923" t="s">
        <v>494</v>
      </c>
      <c r="C3923">
        <v>90227000</v>
      </c>
      <c r="D3923">
        <v>98</v>
      </c>
      <c r="E3923">
        <v>30850305</v>
      </c>
      <c r="F3923" t="s">
        <v>1560</v>
      </c>
      <c r="G3923" s="1">
        <v>45236</v>
      </c>
      <c r="H3923">
        <v>5413233</v>
      </c>
      <c r="I3923">
        <v>14</v>
      </c>
      <c r="J3923" t="s">
        <v>309</v>
      </c>
      <c r="K3923" t="str">
        <f>IFERROR(IF(AND(VLOOKUP($C3923,Hes!$A:$B, 1, FALSE), $M3923&lt;&gt;" "), "Ingresada", "Falta Ingresar"), " ")</f>
        <v xml:space="preserve"> </v>
      </c>
      <c r="L3923" s="4" t="str">
        <f>IFERROR(VLOOKUP($C3923,Observaciones!$A:$B,2,FALSE)," ")</f>
        <v>OC 45000000... INDIVIDUAL XOC Y CC, EL RESTO VENDEDOR DEBE ENVIAR INF Y OC SINO FACT XRUT</v>
      </c>
      <c r="M3923" t="s">
        <v>681</v>
      </c>
      <c r="O3923" s="5">
        <v>30850305</v>
      </c>
      <c r="P3923" s="5">
        <v>69113</v>
      </c>
      <c r="Q3923" s="5">
        <v>13131</v>
      </c>
      <c r="R3923" s="5">
        <v>82244</v>
      </c>
    </row>
    <row r="3924" spans="1:18" x14ac:dyDescent="0.25">
      <c r="A3924" t="s">
        <v>501</v>
      </c>
      <c r="B3924" t="s">
        <v>494</v>
      </c>
      <c r="C3924">
        <v>90227000</v>
      </c>
      <c r="D3924">
        <v>119</v>
      </c>
      <c r="E3924">
        <v>4501505788</v>
      </c>
      <c r="F3924" t="s">
        <v>1560</v>
      </c>
      <c r="G3924" s="1">
        <v>45236</v>
      </c>
      <c r="H3924">
        <v>5413382</v>
      </c>
      <c r="I3924">
        <v>14</v>
      </c>
      <c r="J3924" t="s">
        <v>309</v>
      </c>
      <c r="K3924" t="str">
        <f>IFERROR(IF(AND(VLOOKUP($C3924,Hes!$A:$B, 1, FALSE), $M3924&lt;&gt;" "), "Ingresada", "Falta Ingresar"), " ")</f>
        <v xml:space="preserve"> </v>
      </c>
      <c r="L3924" s="4" t="str">
        <f>IFERROR(VLOOKUP($C3924,Observaciones!$A:$B,2,FALSE)," ")</f>
        <v>OC 45000000... INDIVIDUAL XOC Y CC, EL RESTO VENDEDOR DEBE ENVIAR INF Y OC SINO FACT XRUT</v>
      </c>
      <c r="M3924" t="s">
        <v>681</v>
      </c>
      <c r="O3924" s="5">
        <v>30853702</v>
      </c>
      <c r="P3924" s="5">
        <v>14790</v>
      </c>
      <c r="Q3924" s="5">
        <v>2810</v>
      </c>
      <c r="R3924" s="5">
        <v>17600</v>
      </c>
    </row>
    <row r="3925" spans="1:18" x14ac:dyDescent="0.25">
      <c r="A3925" t="s">
        <v>501</v>
      </c>
      <c r="B3925" t="s">
        <v>494</v>
      </c>
      <c r="C3925">
        <v>90227000</v>
      </c>
      <c r="D3925">
        <v>1</v>
      </c>
      <c r="E3925">
        <v>30853913</v>
      </c>
      <c r="F3925" t="s">
        <v>1560</v>
      </c>
      <c r="G3925" s="1">
        <v>45236</v>
      </c>
      <c r="H3925">
        <v>5413425</v>
      </c>
      <c r="I3925">
        <v>14</v>
      </c>
      <c r="J3925" t="s">
        <v>309</v>
      </c>
      <c r="K3925" t="str">
        <f>IFERROR(IF(AND(VLOOKUP($C3925,Hes!$A:$B, 1, FALSE), $M3925&lt;&gt;" "), "Ingresada", "Falta Ingresar"), " ")</f>
        <v xml:space="preserve"> </v>
      </c>
      <c r="L3925" s="4" t="str">
        <f>IFERROR(VLOOKUP($C3925,Observaciones!$A:$B,2,FALSE)," ")</f>
        <v>OC 45000000... INDIVIDUAL XOC Y CC, EL RESTO VENDEDOR DEBE ENVIAR INF Y OC SINO FACT XRUT</v>
      </c>
      <c r="M3925" t="s">
        <v>681</v>
      </c>
      <c r="O3925" s="5">
        <v>30854081</v>
      </c>
      <c r="P3925" s="5">
        <v>59850</v>
      </c>
      <c r="Q3925" s="5">
        <v>11372</v>
      </c>
      <c r="R3925" s="5">
        <v>71222</v>
      </c>
    </row>
    <row r="3926" spans="1:18" x14ac:dyDescent="0.25">
      <c r="A3926" t="s">
        <v>501</v>
      </c>
      <c r="B3926" t="s">
        <v>494</v>
      </c>
      <c r="C3926">
        <v>90227000</v>
      </c>
      <c r="D3926">
        <v>317</v>
      </c>
      <c r="E3926">
        <v>30852199</v>
      </c>
      <c r="F3926" t="s">
        <v>1560</v>
      </c>
      <c r="G3926" s="1">
        <v>45236</v>
      </c>
      <c r="H3926">
        <v>5413458</v>
      </c>
      <c r="I3926">
        <v>14</v>
      </c>
      <c r="J3926" t="s">
        <v>309</v>
      </c>
      <c r="K3926" t="str">
        <f>IFERROR(IF(AND(VLOOKUP($C3926,Hes!$A:$B, 1, FALSE), $M3926&lt;&gt;" "), "Ingresada", "Falta Ingresar"), " ")</f>
        <v xml:space="preserve"> </v>
      </c>
      <c r="L3926" s="4" t="str">
        <f>IFERROR(VLOOKUP($C3926,Observaciones!$A:$B,2,FALSE)," ")</f>
        <v>OC 45000000... INDIVIDUAL XOC Y CC, EL RESTO VENDEDOR DEBE ENVIAR INF Y OC SINO FACT XRUT</v>
      </c>
      <c r="M3926" t="s">
        <v>681</v>
      </c>
      <c r="O3926" s="5">
        <v>30852199</v>
      </c>
      <c r="P3926" s="5">
        <v>149391</v>
      </c>
      <c r="Q3926" s="5">
        <v>28384</v>
      </c>
      <c r="R3926" s="5">
        <v>177775</v>
      </c>
    </row>
    <row r="3927" spans="1:18" x14ac:dyDescent="0.25">
      <c r="A3927" t="s">
        <v>501</v>
      </c>
      <c r="B3927" t="s">
        <v>494</v>
      </c>
      <c r="C3927">
        <v>90227000</v>
      </c>
      <c r="D3927">
        <v>306</v>
      </c>
      <c r="E3927">
        <v>30859451</v>
      </c>
      <c r="F3927" t="s">
        <v>1560</v>
      </c>
      <c r="G3927" s="1">
        <v>45237</v>
      </c>
      <c r="H3927">
        <v>5414147</v>
      </c>
      <c r="I3927">
        <v>14</v>
      </c>
      <c r="J3927" t="s">
        <v>309</v>
      </c>
      <c r="K3927" t="str">
        <f>IFERROR(IF(AND(VLOOKUP($C3927,Hes!$A:$B, 1, FALSE), $M3927&lt;&gt;" "), "Ingresada", "Falta Ingresar"), " ")</f>
        <v xml:space="preserve"> </v>
      </c>
      <c r="L3927" s="4" t="str">
        <f>IFERROR(VLOOKUP($C3927,Observaciones!$A:$B,2,FALSE)," ")</f>
        <v>OC 45000000... INDIVIDUAL XOC Y CC, EL RESTO VENDEDOR DEBE ENVIAR INF Y OC SINO FACT XRUT</v>
      </c>
      <c r="M3927" t="s">
        <v>681</v>
      </c>
      <c r="O3927" s="5">
        <v>30859451</v>
      </c>
      <c r="P3927" s="5">
        <v>49817</v>
      </c>
      <c r="Q3927" s="5">
        <v>9465</v>
      </c>
      <c r="R3927" s="5">
        <v>59282</v>
      </c>
    </row>
    <row r="3928" spans="1:18" x14ac:dyDescent="0.25">
      <c r="A3928" t="s">
        <v>501</v>
      </c>
      <c r="B3928" t="s">
        <v>494</v>
      </c>
      <c r="C3928">
        <v>90227000</v>
      </c>
      <c r="D3928">
        <v>336</v>
      </c>
      <c r="E3928">
        <v>30859443</v>
      </c>
      <c r="F3928" t="s">
        <v>1560</v>
      </c>
      <c r="G3928" s="1">
        <v>45237</v>
      </c>
      <c r="H3928">
        <v>5414153</v>
      </c>
      <c r="I3928">
        <v>14</v>
      </c>
      <c r="J3928" t="s">
        <v>309</v>
      </c>
      <c r="K3928" t="str">
        <f>IFERROR(IF(AND(VLOOKUP($C3928,Hes!$A:$B, 1, FALSE), $M3928&lt;&gt;" "), "Ingresada", "Falta Ingresar"), " ")</f>
        <v xml:space="preserve"> </v>
      </c>
      <c r="L3928" s="4" t="str">
        <f>IFERROR(VLOOKUP($C3928,Observaciones!$A:$B,2,FALSE)," ")</f>
        <v>OC 45000000... INDIVIDUAL XOC Y CC, EL RESTO VENDEDOR DEBE ENVIAR INF Y OC SINO FACT XRUT</v>
      </c>
      <c r="M3928" t="s">
        <v>681</v>
      </c>
      <c r="O3928" s="5">
        <v>30859443</v>
      </c>
      <c r="P3928" s="5">
        <v>155734</v>
      </c>
      <c r="Q3928" s="5">
        <v>29589</v>
      </c>
      <c r="R3928" s="5">
        <v>185323</v>
      </c>
    </row>
    <row r="3929" spans="1:18" x14ac:dyDescent="0.25">
      <c r="A3929" t="s">
        <v>501</v>
      </c>
      <c r="B3929" t="s">
        <v>494</v>
      </c>
      <c r="C3929">
        <v>90227000</v>
      </c>
      <c r="D3929">
        <v>331</v>
      </c>
      <c r="E3929">
        <v>30859481</v>
      </c>
      <c r="F3929" t="s">
        <v>1560</v>
      </c>
      <c r="G3929" s="1">
        <v>45237</v>
      </c>
      <c r="H3929">
        <v>5414155</v>
      </c>
      <c r="I3929">
        <v>14</v>
      </c>
      <c r="J3929" t="s">
        <v>309</v>
      </c>
      <c r="K3929" t="str">
        <f>IFERROR(IF(AND(VLOOKUP($C3929,Hes!$A:$B, 1, FALSE), $M3929&lt;&gt;" "), "Ingresada", "Falta Ingresar"), " ")</f>
        <v xml:space="preserve"> </v>
      </c>
      <c r="L3929" s="4" t="str">
        <f>IFERROR(VLOOKUP($C3929,Observaciones!$A:$B,2,FALSE)," ")</f>
        <v>OC 45000000... INDIVIDUAL XOC Y CC, EL RESTO VENDEDOR DEBE ENVIAR INF Y OC SINO FACT XRUT</v>
      </c>
      <c r="M3929" t="s">
        <v>681</v>
      </c>
      <c r="O3929" s="5">
        <v>30859481</v>
      </c>
      <c r="P3929" s="5">
        <v>115629</v>
      </c>
      <c r="Q3929" s="5">
        <v>21970</v>
      </c>
      <c r="R3929" s="5">
        <v>137599</v>
      </c>
    </row>
    <row r="3930" spans="1:18" x14ac:dyDescent="0.25">
      <c r="A3930" t="s">
        <v>501</v>
      </c>
      <c r="B3930" t="s">
        <v>494</v>
      </c>
      <c r="C3930">
        <v>90227000</v>
      </c>
      <c r="D3930">
        <v>81</v>
      </c>
      <c r="E3930">
        <v>30860167</v>
      </c>
      <c r="F3930" t="s">
        <v>1560</v>
      </c>
      <c r="G3930" s="1">
        <v>45237</v>
      </c>
      <c r="H3930">
        <v>5414172</v>
      </c>
      <c r="I3930">
        <v>14</v>
      </c>
      <c r="J3930" t="s">
        <v>309</v>
      </c>
      <c r="K3930" t="str">
        <f>IFERROR(IF(AND(VLOOKUP($C3930,Hes!$A:$B, 1, FALSE), $M3930&lt;&gt;" "), "Ingresada", "Falta Ingresar"), " ")</f>
        <v xml:space="preserve"> </v>
      </c>
      <c r="L3930" s="4" t="str">
        <f>IFERROR(VLOOKUP($C3930,Observaciones!$A:$B,2,FALSE)," ")</f>
        <v>OC 45000000... INDIVIDUAL XOC Y CC, EL RESTO VENDEDOR DEBE ENVIAR INF Y OC SINO FACT XRUT</v>
      </c>
      <c r="M3930" t="s">
        <v>681</v>
      </c>
      <c r="O3930" s="5">
        <v>30860167</v>
      </c>
      <c r="P3930" s="5">
        <v>92051</v>
      </c>
      <c r="Q3930" s="5">
        <v>17490</v>
      </c>
      <c r="R3930" s="5">
        <v>109541</v>
      </c>
    </row>
    <row r="3931" spans="1:18" x14ac:dyDescent="0.25">
      <c r="A3931" t="s">
        <v>501</v>
      </c>
      <c r="B3931" t="s">
        <v>494</v>
      </c>
      <c r="C3931">
        <v>90227000</v>
      </c>
      <c r="D3931">
        <v>45</v>
      </c>
      <c r="E3931">
        <v>30860075</v>
      </c>
      <c r="F3931" t="s">
        <v>1560</v>
      </c>
      <c r="G3931" s="1">
        <v>45237</v>
      </c>
      <c r="H3931">
        <v>5414190</v>
      </c>
      <c r="I3931">
        <v>14</v>
      </c>
      <c r="J3931" t="s">
        <v>309</v>
      </c>
      <c r="K3931" t="str">
        <f>IFERROR(IF(AND(VLOOKUP($C3931,Hes!$A:$B, 1, FALSE), $M3931&lt;&gt;" "), "Ingresada", "Falta Ingresar"), " ")</f>
        <v xml:space="preserve"> </v>
      </c>
      <c r="L3931" s="4" t="str">
        <f>IFERROR(VLOOKUP($C3931,Observaciones!$A:$B,2,FALSE)," ")</f>
        <v>OC 45000000... INDIVIDUAL XOC Y CC, EL RESTO VENDEDOR DEBE ENVIAR INF Y OC SINO FACT XRUT</v>
      </c>
      <c r="M3931" t="s">
        <v>681</v>
      </c>
      <c r="O3931" s="5">
        <v>30860075</v>
      </c>
      <c r="P3931" s="5">
        <v>82028</v>
      </c>
      <c r="Q3931" s="5">
        <v>15585</v>
      </c>
      <c r="R3931" s="5">
        <v>97613</v>
      </c>
    </row>
    <row r="3932" spans="1:18" x14ac:dyDescent="0.25">
      <c r="A3932" t="s">
        <v>501</v>
      </c>
      <c r="B3932" t="s">
        <v>494</v>
      </c>
      <c r="C3932">
        <v>90227000</v>
      </c>
      <c r="D3932">
        <v>236</v>
      </c>
      <c r="E3932">
        <v>30859006</v>
      </c>
      <c r="F3932" t="s">
        <v>1560</v>
      </c>
      <c r="G3932" s="1">
        <v>45237</v>
      </c>
      <c r="H3932">
        <v>5414211</v>
      </c>
      <c r="I3932">
        <v>14</v>
      </c>
      <c r="J3932" t="s">
        <v>309</v>
      </c>
      <c r="K3932" t="str">
        <f>IFERROR(IF(AND(VLOOKUP($C3932,Hes!$A:$B, 1, FALSE), $M3932&lt;&gt;" "), "Ingresada", "Falta Ingresar"), " ")</f>
        <v xml:space="preserve"> </v>
      </c>
      <c r="L3932" s="4" t="str">
        <f>IFERROR(VLOOKUP($C3932,Observaciones!$A:$B,2,FALSE)," ")</f>
        <v>OC 45000000... INDIVIDUAL XOC Y CC, EL RESTO VENDEDOR DEBE ENVIAR INF Y OC SINO FACT XRUT</v>
      </c>
      <c r="M3932" t="s">
        <v>681</v>
      </c>
      <c r="O3932" s="5">
        <v>30859006</v>
      </c>
      <c r="P3932" s="5">
        <v>61088</v>
      </c>
      <c r="Q3932" s="5">
        <v>11607</v>
      </c>
      <c r="R3932" s="5">
        <v>72695</v>
      </c>
    </row>
    <row r="3933" spans="1:18" x14ac:dyDescent="0.25">
      <c r="A3933" t="s">
        <v>501</v>
      </c>
      <c r="B3933" t="s">
        <v>494</v>
      </c>
      <c r="C3933">
        <v>90227000</v>
      </c>
      <c r="D3933">
        <v>44</v>
      </c>
      <c r="E3933">
        <v>30860269</v>
      </c>
      <c r="F3933" t="s">
        <v>1560</v>
      </c>
      <c r="G3933" s="1">
        <v>45237</v>
      </c>
      <c r="H3933">
        <v>5414380</v>
      </c>
      <c r="I3933">
        <v>14</v>
      </c>
      <c r="J3933" t="s">
        <v>309</v>
      </c>
      <c r="K3933" t="str">
        <f>IFERROR(IF(AND(VLOOKUP($C3933,Hes!$A:$B, 1, FALSE), $M3933&lt;&gt;" "), "Ingresada", "Falta Ingresar"), " ")</f>
        <v xml:space="preserve"> </v>
      </c>
      <c r="L3933" s="4" t="str">
        <f>IFERROR(VLOOKUP($C3933,Observaciones!$A:$B,2,FALSE)," ")</f>
        <v>OC 45000000... INDIVIDUAL XOC Y CC, EL RESTO VENDEDOR DEBE ENVIAR INF Y OC SINO FACT XRUT</v>
      </c>
      <c r="M3933" t="s">
        <v>681</v>
      </c>
      <c r="O3933" s="5">
        <v>30860269</v>
      </c>
      <c r="P3933" s="5">
        <v>49117</v>
      </c>
      <c r="Q3933" s="5">
        <v>9332</v>
      </c>
      <c r="R3933" s="5">
        <v>58449</v>
      </c>
    </row>
    <row r="3934" spans="1:18" x14ac:dyDescent="0.25">
      <c r="A3934" t="s">
        <v>501</v>
      </c>
      <c r="B3934" t="s">
        <v>494</v>
      </c>
      <c r="C3934">
        <v>90227000</v>
      </c>
      <c r="D3934">
        <v>33</v>
      </c>
      <c r="E3934">
        <v>30860558</v>
      </c>
      <c r="F3934" t="s">
        <v>1560</v>
      </c>
      <c r="G3934" s="1">
        <v>45237</v>
      </c>
      <c r="H3934">
        <v>5414397</v>
      </c>
      <c r="I3934">
        <v>14</v>
      </c>
      <c r="J3934" t="s">
        <v>309</v>
      </c>
      <c r="K3934" t="str">
        <f>IFERROR(IF(AND(VLOOKUP($C3934,Hes!$A:$B, 1, FALSE), $M3934&lt;&gt;" "), "Ingresada", "Falta Ingresar"), " ")</f>
        <v xml:space="preserve"> </v>
      </c>
      <c r="L3934" s="4" t="str">
        <f>IFERROR(VLOOKUP($C3934,Observaciones!$A:$B,2,FALSE)," ")</f>
        <v>OC 45000000... INDIVIDUAL XOC Y CC, EL RESTO VENDEDOR DEBE ENVIAR INF Y OC SINO FACT XRUT</v>
      </c>
      <c r="M3934" t="s">
        <v>681</v>
      </c>
      <c r="O3934" s="5">
        <v>30860614</v>
      </c>
      <c r="P3934" s="5">
        <v>56664</v>
      </c>
      <c r="Q3934" s="5">
        <v>10766</v>
      </c>
      <c r="R3934" s="5">
        <v>67430</v>
      </c>
    </row>
    <row r="3935" spans="1:18" x14ac:dyDescent="0.25">
      <c r="A3935" t="s">
        <v>501</v>
      </c>
      <c r="B3935" t="s">
        <v>494</v>
      </c>
      <c r="C3935">
        <v>90227000</v>
      </c>
      <c r="D3935">
        <v>280</v>
      </c>
      <c r="E3935">
        <v>30860124</v>
      </c>
      <c r="F3935" t="s">
        <v>1560</v>
      </c>
      <c r="G3935" s="1">
        <v>45237</v>
      </c>
      <c r="H3935">
        <v>5414421</v>
      </c>
      <c r="I3935">
        <v>14</v>
      </c>
      <c r="J3935" t="s">
        <v>309</v>
      </c>
      <c r="K3935" t="str">
        <f>IFERROR(IF(AND(VLOOKUP($C3935,Hes!$A:$B, 1, FALSE), $M3935&lt;&gt;" "), "Ingresada", "Falta Ingresar"), " ")</f>
        <v xml:space="preserve"> </v>
      </c>
      <c r="L3935" s="4" t="str">
        <f>IFERROR(VLOOKUP($C3935,Observaciones!$A:$B,2,FALSE)," ")</f>
        <v>OC 45000000... INDIVIDUAL XOC Y CC, EL RESTO VENDEDOR DEBE ENVIAR INF Y OC SINO FACT XRUT</v>
      </c>
      <c r="M3935" t="s">
        <v>681</v>
      </c>
      <c r="O3935" s="5">
        <v>30860124</v>
      </c>
      <c r="P3935" s="5">
        <v>29977</v>
      </c>
      <c r="Q3935" s="5">
        <v>5696</v>
      </c>
      <c r="R3935" s="5">
        <v>35673</v>
      </c>
    </row>
    <row r="3936" spans="1:18" x14ac:dyDescent="0.25">
      <c r="A3936" t="s">
        <v>501</v>
      </c>
      <c r="B3936" t="s">
        <v>494</v>
      </c>
      <c r="C3936">
        <v>90227000</v>
      </c>
      <c r="D3936">
        <v>323</v>
      </c>
      <c r="E3936">
        <v>30860889</v>
      </c>
      <c r="F3936" t="s">
        <v>1560</v>
      </c>
      <c r="G3936" s="1">
        <v>45237</v>
      </c>
      <c r="H3936">
        <v>5414436</v>
      </c>
      <c r="I3936">
        <v>14</v>
      </c>
      <c r="J3936" t="s">
        <v>309</v>
      </c>
      <c r="K3936" t="str">
        <f>IFERROR(IF(AND(VLOOKUP($C3936,Hes!$A:$B, 1, FALSE), $M3936&lt;&gt;" "), "Ingresada", "Falta Ingresar"), " ")</f>
        <v xml:space="preserve"> </v>
      </c>
      <c r="L3936" s="4" t="str">
        <f>IFERROR(VLOOKUP($C3936,Observaciones!$A:$B,2,FALSE)," ")</f>
        <v>OC 45000000... INDIVIDUAL XOC Y CC, EL RESTO VENDEDOR DEBE ENVIAR INF Y OC SINO FACT XRUT</v>
      </c>
      <c r="M3936" t="s">
        <v>681</v>
      </c>
      <c r="O3936" s="5">
        <v>30860889</v>
      </c>
      <c r="P3936" s="5">
        <v>135508</v>
      </c>
      <c r="Q3936" s="5">
        <v>25747</v>
      </c>
      <c r="R3936" s="5">
        <v>161255</v>
      </c>
    </row>
    <row r="3937" spans="1:18" x14ac:dyDescent="0.25">
      <c r="A3937" t="s">
        <v>501</v>
      </c>
      <c r="B3937" t="s">
        <v>494</v>
      </c>
      <c r="C3937">
        <v>90227000</v>
      </c>
      <c r="D3937">
        <v>94</v>
      </c>
      <c r="E3937">
        <v>30859663</v>
      </c>
      <c r="F3937" t="s">
        <v>1560</v>
      </c>
      <c r="G3937" s="1">
        <v>45238</v>
      </c>
      <c r="H3937">
        <v>5414542</v>
      </c>
      <c r="I3937">
        <v>14</v>
      </c>
      <c r="J3937" t="s">
        <v>309</v>
      </c>
      <c r="K3937" t="str">
        <f>IFERROR(IF(AND(VLOOKUP($C3937,Hes!$A:$B, 1, FALSE), $M3937&lt;&gt;" "), "Ingresada", "Falta Ingresar"), " ")</f>
        <v xml:space="preserve"> </v>
      </c>
      <c r="L3937" s="4" t="str">
        <f>IFERROR(VLOOKUP($C3937,Observaciones!$A:$B,2,FALSE)," ")</f>
        <v>OC 45000000... INDIVIDUAL XOC Y CC, EL RESTO VENDEDOR DEBE ENVIAR INF Y OC SINO FACT XRUT</v>
      </c>
      <c r="M3937" t="s">
        <v>681</v>
      </c>
      <c r="O3937" s="5">
        <v>30859663</v>
      </c>
      <c r="P3937" s="5">
        <v>25990</v>
      </c>
      <c r="Q3937" s="5">
        <v>4938</v>
      </c>
      <c r="R3937" s="5">
        <v>30928</v>
      </c>
    </row>
    <row r="3938" spans="1:18" x14ac:dyDescent="0.25">
      <c r="A3938" t="s">
        <v>501</v>
      </c>
      <c r="B3938" t="s">
        <v>494</v>
      </c>
      <c r="C3938">
        <v>90227000</v>
      </c>
      <c r="D3938">
        <v>132</v>
      </c>
      <c r="E3938">
        <v>30859758</v>
      </c>
      <c r="F3938" t="s">
        <v>1560</v>
      </c>
      <c r="G3938" s="1">
        <v>45238</v>
      </c>
      <c r="H3938">
        <v>5414546</v>
      </c>
      <c r="I3938">
        <v>14</v>
      </c>
      <c r="J3938" t="s">
        <v>309</v>
      </c>
      <c r="K3938" t="str">
        <f>IFERROR(IF(AND(VLOOKUP($C3938,Hes!$A:$B, 1, FALSE), $M3938&lt;&gt;" "), "Ingresada", "Falta Ingresar"), " ")</f>
        <v xml:space="preserve"> </v>
      </c>
      <c r="L3938" s="4" t="str">
        <f>IFERROR(VLOOKUP($C3938,Observaciones!$A:$B,2,FALSE)," ")</f>
        <v>OC 45000000... INDIVIDUAL XOC Y CC, EL RESTO VENDEDOR DEBE ENVIAR INF Y OC SINO FACT XRUT</v>
      </c>
      <c r="M3938" t="s">
        <v>681</v>
      </c>
      <c r="O3938" s="5">
        <v>30859758</v>
      </c>
      <c r="P3938" s="5">
        <v>28478</v>
      </c>
      <c r="Q3938" s="5">
        <v>5411</v>
      </c>
      <c r="R3938" s="5">
        <v>33889</v>
      </c>
    </row>
    <row r="3939" spans="1:18" x14ac:dyDescent="0.25">
      <c r="A3939" t="s">
        <v>501</v>
      </c>
      <c r="B3939" t="s">
        <v>494</v>
      </c>
      <c r="C3939">
        <v>90227000</v>
      </c>
      <c r="D3939">
        <v>150</v>
      </c>
      <c r="E3939">
        <v>30859655</v>
      </c>
      <c r="F3939" t="s">
        <v>1560</v>
      </c>
      <c r="G3939" s="1">
        <v>45238</v>
      </c>
      <c r="H3939">
        <v>5414547</v>
      </c>
      <c r="I3939">
        <v>14</v>
      </c>
      <c r="J3939" t="s">
        <v>309</v>
      </c>
      <c r="K3939" t="str">
        <f>IFERROR(IF(AND(VLOOKUP($C3939,Hes!$A:$B, 1, FALSE), $M3939&lt;&gt;" "), "Ingresada", "Falta Ingresar"), " ")</f>
        <v xml:space="preserve"> </v>
      </c>
      <c r="L3939" s="4" t="str">
        <f>IFERROR(VLOOKUP($C3939,Observaciones!$A:$B,2,FALSE)," ")</f>
        <v>OC 45000000... INDIVIDUAL XOC Y CC, EL RESTO VENDEDOR DEBE ENVIAR INF Y OC SINO FACT XRUT</v>
      </c>
      <c r="M3939" t="s">
        <v>681</v>
      </c>
      <c r="O3939" s="5">
        <v>30859655</v>
      </c>
      <c r="P3939" s="5">
        <v>43864</v>
      </c>
      <c r="Q3939" s="5">
        <v>8334</v>
      </c>
      <c r="R3939" s="5">
        <v>52198</v>
      </c>
    </row>
    <row r="3940" spans="1:18" x14ac:dyDescent="0.25">
      <c r="A3940" t="s">
        <v>501</v>
      </c>
      <c r="B3940" t="s">
        <v>494</v>
      </c>
      <c r="C3940">
        <v>90227000</v>
      </c>
      <c r="D3940">
        <v>48</v>
      </c>
      <c r="E3940">
        <v>30859677</v>
      </c>
      <c r="F3940" t="s">
        <v>1560</v>
      </c>
      <c r="G3940" s="1">
        <v>45238</v>
      </c>
      <c r="H3940">
        <v>5414550</v>
      </c>
      <c r="I3940">
        <v>14</v>
      </c>
      <c r="J3940" t="s">
        <v>309</v>
      </c>
      <c r="K3940" t="str">
        <f>IFERROR(IF(AND(VLOOKUP($C3940,Hes!$A:$B, 1, FALSE), $M3940&lt;&gt;" "), "Ingresada", "Falta Ingresar"), " ")</f>
        <v xml:space="preserve"> </v>
      </c>
      <c r="L3940" s="4" t="str">
        <f>IFERROR(VLOOKUP($C3940,Observaciones!$A:$B,2,FALSE)," ")</f>
        <v>OC 45000000... INDIVIDUAL XOC Y CC, EL RESTO VENDEDOR DEBE ENVIAR INF Y OC SINO FACT XRUT</v>
      </c>
      <c r="M3940" t="s">
        <v>681</v>
      </c>
      <c r="O3940" s="5">
        <v>30859677</v>
      </c>
      <c r="P3940" s="5">
        <v>22448</v>
      </c>
      <c r="Q3940" s="5">
        <v>4265</v>
      </c>
      <c r="R3940" s="5">
        <v>26713</v>
      </c>
    </row>
    <row r="3941" spans="1:18" x14ac:dyDescent="0.25">
      <c r="A3941" t="s">
        <v>501</v>
      </c>
      <c r="B3941" t="s">
        <v>494</v>
      </c>
      <c r="C3941">
        <v>90227000</v>
      </c>
      <c r="D3941">
        <v>25</v>
      </c>
      <c r="E3941">
        <v>30859688</v>
      </c>
      <c r="F3941" t="s">
        <v>1560</v>
      </c>
      <c r="G3941" s="1">
        <v>45238</v>
      </c>
      <c r="H3941">
        <v>5414554</v>
      </c>
      <c r="I3941">
        <v>14</v>
      </c>
      <c r="J3941" t="s">
        <v>309</v>
      </c>
      <c r="K3941" t="str">
        <f>IFERROR(IF(AND(VLOOKUP($C3941,Hes!$A:$B, 1, FALSE), $M3941&lt;&gt;" "), "Ingresada", "Falta Ingresar"), " ")</f>
        <v xml:space="preserve"> </v>
      </c>
      <c r="L3941" s="4" t="str">
        <f>IFERROR(VLOOKUP($C3941,Observaciones!$A:$B,2,FALSE)," ")</f>
        <v>OC 45000000... INDIVIDUAL XOC Y CC, EL RESTO VENDEDOR DEBE ENVIAR INF Y OC SINO FACT XRUT</v>
      </c>
      <c r="M3941" t="s">
        <v>681</v>
      </c>
      <c r="O3941" s="5">
        <v>30859688</v>
      </c>
      <c r="P3941" s="5">
        <v>18882</v>
      </c>
      <c r="Q3941" s="5">
        <v>3588</v>
      </c>
      <c r="R3941" s="5">
        <v>22470</v>
      </c>
    </row>
    <row r="3942" spans="1:18" x14ac:dyDescent="0.25">
      <c r="A3942" t="s">
        <v>501</v>
      </c>
      <c r="B3942" t="s">
        <v>494</v>
      </c>
      <c r="C3942">
        <v>90227000</v>
      </c>
      <c r="D3942">
        <v>289</v>
      </c>
      <c r="E3942">
        <v>1060603</v>
      </c>
      <c r="F3942" t="s">
        <v>1560</v>
      </c>
      <c r="G3942" s="1">
        <v>45238</v>
      </c>
      <c r="H3942">
        <v>5414684</v>
      </c>
      <c r="I3942">
        <v>14</v>
      </c>
      <c r="J3942" t="s">
        <v>309</v>
      </c>
      <c r="K3942" t="str">
        <f>IFERROR(IF(AND(VLOOKUP($C3942,Hes!$A:$B, 1, FALSE), $M3942&lt;&gt;" "), "Ingresada", "Falta Ingresar"), " ")</f>
        <v xml:space="preserve"> </v>
      </c>
      <c r="L3942" s="4" t="str">
        <f>IFERROR(VLOOKUP($C3942,Observaciones!$A:$B,2,FALSE)," ")</f>
        <v>OC 45000000... INDIVIDUAL XOC Y CC, EL RESTO VENDEDOR DEBE ENVIAR INF Y OC SINO FACT XRUT</v>
      </c>
      <c r="M3942" t="s">
        <v>681</v>
      </c>
      <c r="O3942" s="5">
        <v>30857044</v>
      </c>
      <c r="P3942" s="5">
        <v>108297</v>
      </c>
      <c r="Q3942" s="5">
        <v>20576</v>
      </c>
      <c r="R3942" s="5">
        <v>128873</v>
      </c>
    </row>
    <row r="3943" spans="1:18" x14ac:dyDescent="0.25">
      <c r="A3943" t="s">
        <v>501</v>
      </c>
      <c r="B3943" t="s">
        <v>494</v>
      </c>
      <c r="C3943">
        <v>90227000</v>
      </c>
      <c r="D3943">
        <v>96</v>
      </c>
      <c r="E3943">
        <v>30859698</v>
      </c>
      <c r="F3943" t="s">
        <v>1560</v>
      </c>
      <c r="G3943" s="1">
        <v>45238</v>
      </c>
      <c r="H3943">
        <v>5414750</v>
      </c>
      <c r="I3943">
        <v>14</v>
      </c>
      <c r="J3943" t="s">
        <v>309</v>
      </c>
      <c r="K3943" t="str">
        <f>IFERROR(IF(AND(VLOOKUP($C3943,Hes!$A:$B, 1, FALSE), $M3943&lt;&gt;" "), "Ingresada", "Falta Ingresar"), " ")</f>
        <v xml:space="preserve"> </v>
      </c>
      <c r="L3943" s="4" t="str">
        <f>IFERROR(VLOOKUP($C3943,Observaciones!$A:$B,2,FALSE)," ")</f>
        <v>OC 45000000... INDIVIDUAL XOC Y CC, EL RESTO VENDEDOR DEBE ENVIAR INF Y OC SINO FACT XRUT</v>
      </c>
      <c r="M3943" t="s">
        <v>681</v>
      </c>
      <c r="O3943" s="5">
        <v>30859698</v>
      </c>
      <c r="P3943" s="5">
        <v>116696</v>
      </c>
      <c r="Q3943" s="5">
        <v>22172</v>
      </c>
      <c r="R3943" s="5">
        <v>138868</v>
      </c>
    </row>
    <row r="3944" spans="1:18" x14ac:dyDescent="0.25">
      <c r="A3944" t="s">
        <v>501</v>
      </c>
      <c r="B3944" t="s">
        <v>494</v>
      </c>
      <c r="C3944">
        <v>90227000</v>
      </c>
      <c r="D3944">
        <v>87</v>
      </c>
      <c r="E3944">
        <v>30860593</v>
      </c>
      <c r="F3944" t="s">
        <v>1560</v>
      </c>
      <c r="G3944" s="1">
        <v>45238</v>
      </c>
      <c r="H3944">
        <v>5414879</v>
      </c>
      <c r="I3944">
        <v>14</v>
      </c>
      <c r="J3944" t="s">
        <v>309</v>
      </c>
      <c r="K3944" t="str">
        <f>IFERROR(IF(AND(VLOOKUP($C3944,Hes!$A:$B, 1, FALSE), $M3944&lt;&gt;" "), "Ingresada", "Falta Ingresar"), " ")</f>
        <v xml:space="preserve"> </v>
      </c>
      <c r="L3944" s="4" t="str">
        <f>IFERROR(VLOOKUP($C3944,Observaciones!$A:$B,2,FALSE)," ")</f>
        <v>OC 45000000... INDIVIDUAL XOC Y CC, EL RESTO VENDEDOR DEBE ENVIAR INF Y OC SINO FACT XRUT</v>
      </c>
      <c r="M3944" t="s">
        <v>681</v>
      </c>
      <c r="O3944" s="5">
        <v>30860593</v>
      </c>
      <c r="P3944" s="5">
        <v>116101</v>
      </c>
      <c r="Q3944" s="5">
        <v>22059</v>
      </c>
      <c r="R3944" s="5">
        <v>138160</v>
      </c>
    </row>
    <row r="3945" spans="1:18" x14ac:dyDescent="0.25">
      <c r="A3945" t="s">
        <v>501</v>
      </c>
      <c r="B3945" t="s">
        <v>494</v>
      </c>
      <c r="C3945">
        <v>90227000</v>
      </c>
      <c r="D3945">
        <v>188</v>
      </c>
      <c r="E3945">
        <v>30862001</v>
      </c>
      <c r="F3945" t="s">
        <v>1560</v>
      </c>
      <c r="G3945" s="1">
        <v>45238</v>
      </c>
      <c r="H3945">
        <v>5415016</v>
      </c>
      <c r="I3945">
        <v>14</v>
      </c>
      <c r="J3945" t="s">
        <v>309</v>
      </c>
      <c r="K3945" t="str">
        <f>IFERROR(IF(AND(VLOOKUP($C3945,Hes!$A:$B, 1, FALSE), $M3945&lt;&gt;" "), "Ingresada", "Falta Ingresar"), " ")</f>
        <v xml:space="preserve"> </v>
      </c>
      <c r="L3945" s="4" t="str">
        <f>IFERROR(VLOOKUP($C3945,Observaciones!$A:$B,2,FALSE)," ")</f>
        <v>OC 45000000... INDIVIDUAL XOC Y CC, EL RESTO VENDEDOR DEBE ENVIAR INF Y OC SINO FACT XRUT</v>
      </c>
      <c r="M3945" t="s">
        <v>681</v>
      </c>
      <c r="O3945" s="5">
        <v>30862001</v>
      </c>
      <c r="P3945" s="5">
        <v>75715</v>
      </c>
      <c r="Q3945" s="5">
        <v>14386</v>
      </c>
      <c r="R3945" s="5">
        <v>90101</v>
      </c>
    </row>
    <row r="3946" spans="1:18" x14ac:dyDescent="0.25">
      <c r="A3946" t="s">
        <v>501</v>
      </c>
      <c r="B3946" t="s">
        <v>494</v>
      </c>
      <c r="C3946">
        <v>90227000</v>
      </c>
      <c r="D3946">
        <v>97</v>
      </c>
      <c r="E3946">
        <v>30862071</v>
      </c>
      <c r="F3946" t="s">
        <v>1560</v>
      </c>
      <c r="G3946" s="1">
        <v>45238</v>
      </c>
      <c r="H3946">
        <v>5415019</v>
      </c>
      <c r="I3946">
        <v>14</v>
      </c>
      <c r="J3946" t="s">
        <v>309</v>
      </c>
      <c r="K3946" t="str">
        <f>IFERROR(IF(AND(VLOOKUP($C3946,Hes!$A:$B, 1, FALSE), $M3946&lt;&gt;" "), "Ingresada", "Falta Ingresar"), " ")</f>
        <v xml:space="preserve"> </v>
      </c>
      <c r="L3946" s="4" t="str">
        <f>IFERROR(VLOOKUP($C3946,Observaciones!$A:$B,2,FALSE)," ")</f>
        <v>OC 45000000... INDIVIDUAL XOC Y CC, EL RESTO VENDEDOR DEBE ENVIAR INF Y OC SINO FACT XRUT</v>
      </c>
      <c r="M3946" t="s">
        <v>681</v>
      </c>
      <c r="O3946" s="5">
        <v>30862071</v>
      </c>
      <c r="P3946" s="5">
        <v>149784</v>
      </c>
      <c r="Q3946" s="5">
        <v>28459</v>
      </c>
      <c r="R3946" s="5">
        <v>178243</v>
      </c>
    </row>
    <row r="3947" spans="1:18" x14ac:dyDescent="0.25">
      <c r="A3947" t="s">
        <v>501</v>
      </c>
      <c r="B3947" t="s">
        <v>494</v>
      </c>
      <c r="C3947">
        <v>90227000</v>
      </c>
      <c r="D3947">
        <v>197</v>
      </c>
      <c r="E3947">
        <v>30863294</v>
      </c>
      <c r="F3947" t="s">
        <v>1560</v>
      </c>
      <c r="G3947" s="1">
        <v>45238</v>
      </c>
      <c r="H3947">
        <v>5415080</v>
      </c>
      <c r="I3947">
        <v>14</v>
      </c>
      <c r="J3947" t="s">
        <v>309</v>
      </c>
      <c r="K3947" t="str">
        <f>IFERROR(IF(AND(VLOOKUP($C3947,Hes!$A:$B, 1, FALSE), $M3947&lt;&gt;" "), "Ingresada", "Falta Ingresar"), " ")</f>
        <v xml:space="preserve"> </v>
      </c>
      <c r="L3947" s="4" t="str">
        <f>IFERROR(VLOOKUP($C3947,Observaciones!$A:$B,2,FALSE)," ")</f>
        <v>OC 45000000... INDIVIDUAL XOC Y CC, EL RESTO VENDEDOR DEBE ENVIAR INF Y OC SINO FACT XRUT</v>
      </c>
      <c r="M3947" t="s">
        <v>681</v>
      </c>
      <c r="O3947" s="5">
        <v>30863294</v>
      </c>
      <c r="P3947" s="5">
        <v>16424</v>
      </c>
      <c r="Q3947" s="5">
        <v>3121</v>
      </c>
      <c r="R3947" s="5">
        <v>19545</v>
      </c>
    </row>
    <row r="3948" spans="1:18" x14ac:dyDescent="0.25">
      <c r="A3948" t="s">
        <v>501</v>
      </c>
      <c r="B3948" t="s">
        <v>494</v>
      </c>
      <c r="C3948">
        <v>90227000</v>
      </c>
      <c r="D3948">
        <v>307</v>
      </c>
      <c r="E3948">
        <v>30860546</v>
      </c>
      <c r="F3948" t="s">
        <v>1560</v>
      </c>
      <c r="G3948" s="1">
        <v>45238</v>
      </c>
      <c r="H3948">
        <v>5415182</v>
      </c>
      <c r="I3948">
        <v>14</v>
      </c>
      <c r="J3948" t="s">
        <v>309</v>
      </c>
      <c r="K3948" t="str">
        <f>IFERROR(IF(AND(VLOOKUP($C3948,Hes!$A:$B, 1, FALSE), $M3948&lt;&gt;" "), "Ingresada", "Falta Ingresar"), " ")</f>
        <v xml:space="preserve"> </v>
      </c>
      <c r="L3948" s="4" t="str">
        <f>IFERROR(VLOOKUP($C3948,Observaciones!$A:$B,2,FALSE)," ")</f>
        <v>OC 45000000... INDIVIDUAL XOC Y CC, EL RESTO VENDEDOR DEBE ENVIAR INF Y OC SINO FACT XRUT</v>
      </c>
      <c r="M3948" t="s">
        <v>681</v>
      </c>
      <c r="O3948" s="5">
        <v>30860546</v>
      </c>
      <c r="P3948" s="5">
        <v>185727</v>
      </c>
      <c r="Q3948" s="5">
        <v>35288</v>
      </c>
      <c r="R3948" s="5">
        <v>221015</v>
      </c>
    </row>
    <row r="3949" spans="1:18" x14ac:dyDescent="0.25">
      <c r="A3949" t="s">
        <v>501</v>
      </c>
      <c r="B3949" t="s">
        <v>494</v>
      </c>
      <c r="C3949">
        <v>90227000</v>
      </c>
      <c r="D3949">
        <v>307</v>
      </c>
      <c r="E3949">
        <v>30860546</v>
      </c>
      <c r="F3949" t="s">
        <v>1560</v>
      </c>
      <c r="G3949" s="1">
        <v>45238</v>
      </c>
      <c r="H3949">
        <v>5415183</v>
      </c>
      <c r="I3949">
        <v>14</v>
      </c>
      <c r="J3949" t="s">
        <v>309</v>
      </c>
      <c r="K3949" t="str">
        <f>IFERROR(IF(AND(VLOOKUP($C3949,Hes!$A:$B, 1, FALSE), $M3949&lt;&gt;" "), "Ingresada", "Falta Ingresar"), " ")</f>
        <v xml:space="preserve"> </v>
      </c>
      <c r="L3949" s="4" t="str">
        <f>IFERROR(VLOOKUP($C3949,Observaciones!$A:$B,2,FALSE)," ")</f>
        <v>OC 45000000... INDIVIDUAL XOC Y CC, EL RESTO VENDEDOR DEBE ENVIAR INF Y OC SINO FACT XRUT</v>
      </c>
      <c r="M3949" t="s">
        <v>681</v>
      </c>
      <c r="O3949" s="5">
        <v>30860546</v>
      </c>
      <c r="P3949" s="5">
        <v>8129</v>
      </c>
      <c r="Q3949" s="5">
        <v>1545</v>
      </c>
      <c r="R3949" s="5">
        <v>9674</v>
      </c>
    </row>
    <row r="3950" spans="1:18" x14ac:dyDescent="0.25">
      <c r="A3950" t="s">
        <v>501</v>
      </c>
      <c r="B3950" t="s">
        <v>494</v>
      </c>
      <c r="C3950">
        <v>90227000</v>
      </c>
      <c r="D3950">
        <v>307</v>
      </c>
      <c r="E3950" t="s">
        <v>1563</v>
      </c>
      <c r="F3950" t="s">
        <v>1560</v>
      </c>
      <c r="G3950" s="1">
        <v>45238</v>
      </c>
      <c r="H3950">
        <v>5415192</v>
      </c>
      <c r="I3950">
        <v>14</v>
      </c>
      <c r="J3950" t="s">
        <v>309</v>
      </c>
      <c r="K3950" t="str">
        <f>IFERROR(IF(AND(VLOOKUP($C3950,Hes!$A:$B, 1, FALSE), $M3950&lt;&gt;" "), "Ingresada", "Falta Ingresar"), " ")</f>
        <v xml:space="preserve"> </v>
      </c>
      <c r="L3950" s="4" t="str">
        <f>IFERROR(VLOOKUP($C3950,Observaciones!$A:$B,2,FALSE)," ")</f>
        <v>OC 45000000... INDIVIDUAL XOC Y CC, EL RESTO VENDEDOR DEBE ENVIAR INF Y OC SINO FACT XRUT</v>
      </c>
      <c r="M3950" t="s">
        <v>681</v>
      </c>
      <c r="O3950" s="5">
        <v>30860854</v>
      </c>
      <c r="P3950" s="5">
        <v>34500</v>
      </c>
      <c r="Q3950" s="5">
        <v>6555</v>
      </c>
      <c r="R3950" s="5">
        <v>41055</v>
      </c>
    </row>
    <row r="3951" spans="1:18" x14ac:dyDescent="0.25">
      <c r="A3951" t="s">
        <v>501</v>
      </c>
      <c r="B3951" t="s">
        <v>494</v>
      </c>
      <c r="C3951">
        <v>90227000</v>
      </c>
      <c r="D3951">
        <v>116</v>
      </c>
      <c r="E3951">
        <v>30863085</v>
      </c>
      <c r="F3951" t="s">
        <v>1560</v>
      </c>
      <c r="G3951" s="1">
        <v>45237</v>
      </c>
      <c r="H3951">
        <v>5415262</v>
      </c>
      <c r="I3951">
        <v>14</v>
      </c>
      <c r="J3951" t="s">
        <v>309</v>
      </c>
      <c r="K3951" t="str">
        <f>IFERROR(IF(AND(VLOOKUP($C3951,Hes!$A:$B, 1, FALSE), $M3951&lt;&gt;" "), "Ingresada", "Falta Ingresar"), " ")</f>
        <v xml:space="preserve"> </v>
      </c>
      <c r="L3951" s="4" t="str">
        <f>IFERROR(VLOOKUP($C3951,Observaciones!$A:$B,2,FALSE)," ")</f>
        <v>OC 45000000... INDIVIDUAL XOC Y CC, EL RESTO VENDEDOR DEBE ENVIAR INF Y OC SINO FACT XRUT</v>
      </c>
      <c r="M3951" t="s">
        <v>681</v>
      </c>
      <c r="O3951" s="5">
        <v>30863085</v>
      </c>
      <c r="P3951" s="5">
        <v>65759</v>
      </c>
      <c r="Q3951" s="5">
        <v>12494</v>
      </c>
      <c r="R3951" s="5">
        <v>78253</v>
      </c>
    </row>
    <row r="3952" spans="1:18" x14ac:dyDescent="0.25">
      <c r="A3952" t="s">
        <v>501</v>
      </c>
      <c r="B3952" t="s">
        <v>494</v>
      </c>
      <c r="C3952">
        <v>90227000</v>
      </c>
      <c r="D3952">
        <v>88</v>
      </c>
      <c r="E3952">
        <v>30859709</v>
      </c>
      <c r="F3952" t="s">
        <v>1560</v>
      </c>
      <c r="G3952" s="1">
        <v>45237</v>
      </c>
      <c r="H3952">
        <v>5415289</v>
      </c>
      <c r="I3952">
        <v>14</v>
      </c>
      <c r="J3952" t="s">
        <v>309</v>
      </c>
      <c r="K3952" t="str">
        <f>IFERROR(IF(AND(VLOOKUP($C3952,Hes!$A:$B, 1, FALSE), $M3952&lt;&gt;" "), "Ingresada", "Falta Ingresar"), " ")</f>
        <v xml:space="preserve"> </v>
      </c>
      <c r="L3952" s="4" t="str">
        <f>IFERROR(VLOOKUP($C3952,Observaciones!$A:$B,2,FALSE)," ")</f>
        <v>OC 45000000... INDIVIDUAL XOC Y CC, EL RESTO VENDEDOR DEBE ENVIAR INF Y OC SINO FACT XRUT</v>
      </c>
      <c r="M3952" t="s">
        <v>681</v>
      </c>
      <c r="O3952" s="5">
        <v>30859709</v>
      </c>
      <c r="P3952" s="5">
        <v>407804</v>
      </c>
      <c r="Q3952" s="5">
        <v>77483</v>
      </c>
      <c r="R3952" s="5">
        <v>485287</v>
      </c>
    </row>
    <row r="3953" spans="1:18" x14ac:dyDescent="0.25">
      <c r="A3953" t="s">
        <v>501</v>
      </c>
      <c r="B3953" t="s">
        <v>494</v>
      </c>
      <c r="C3953">
        <v>90227000</v>
      </c>
      <c r="D3953">
        <v>13</v>
      </c>
      <c r="E3953">
        <v>30864894</v>
      </c>
      <c r="F3953" t="s">
        <v>1560</v>
      </c>
      <c r="G3953" s="1">
        <v>45238</v>
      </c>
      <c r="H3953">
        <v>5415496</v>
      </c>
      <c r="I3953">
        <v>14</v>
      </c>
      <c r="J3953" t="s">
        <v>309</v>
      </c>
      <c r="K3953" t="str">
        <f>IFERROR(IF(AND(VLOOKUP($C3953,Hes!$A:$B, 1, FALSE), $M3953&lt;&gt;" "), "Ingresada", "Falta Ingresar"), " ")</f>
        <v xml:space="preserve"> </v>
      </c>
      <c r="L3953" s="4" t="str">
        <f>IFERROR(VLOOKUP($C3953,Observaciones!$A:$B,2,FALSE)," ")</f>
        <v>OC 45000000... INDIVIDUAL XOC Y CC, EL RESTO VENDEDOR DEBE ENVIAR INF Y OC SINO FACT XRUT</v>
      </c>
      <c r="M3953" t="s">
        <v>681</v>
      </c>
      <c r="O3953" s="5">
        <v>30864894</v>
      </c>
      <c r="P3953" s="5">
        <v>112757</v>
      </c>
      <c r="Q3953" s="5">
        <v>21424</v>
      </c>
      <c r="R3953" s="5">
        <v>134181</v>
      </c>
    </row>
    <row r="3954" spans="1:18" x14ac:dyDescent="0.25">
      <c r="A3954" t="s">
        <v>501</v>
      </c>
      <c r="B3954" t="s">
        <v>494</v>
      </c>
      <c r="C3954">
        <v>90227000</v>
      </c>
      <c r="D3954">
        <v>236</v>
      </c>
      <c r="E3954">
        <v>30860371</v>
      </c>
      <c r="F3954" t="s">
        <v>1560</v>
      </c>
      <c r="G3954" s="1">
        <v>45238</v>
      </c>
      <c r="H3954">
        <v>5415661</v>
      </c>
      <c r="I3954">
        <v>14</v>
      </c>
      <c r="J3954" t="s">
        <v>309</v>
      </c>
      <c r="K3954" t="str">
        <f>IFERROR(IF(AND(VLOOKUP($C3954,Hes!$A:$B, 1, FALSE), $M3954&lt;&gt;" "), "Ingresada", "Falta Ingresar"), " ")</f>
        <v xml:space="preserve"> </v>
      </c>
      <c r="L3954" s="4" t="str">
        <f>IFERROR(VLOOKUP($C3954,Observaciones!$A:$B,2,FALSE)," ")</f>
        <v>OC 45000000... INDIVIDUAL XOC Y CC, EL RESTO VENDEDOR DEBE ENVIAR INF Y OC SINO FACT XRUT</v>
      </c>
      <c r="M3954" t="s">
        <v>681</v>
      </c>
      <c r="O3954" s="5">
        <v>30860371</v>
      </c>
      <c r="P3954" s="5">
        <v>124573</v>
      </c>
      <c r="Q3954" s="5">
        <v>23669</v>
      </c>
      <c r="R3954" s="5">
        <v>148242</v>
      </c>
    </row>
    <row r="3955" spans="1:18" x14ac:dyDescent="0.25">
      <c r="F3955" t="s">
        <v>521</v>
      </c>
      <c r="K3955" t="str">
        <f>IFERROR(IF(AND(VLOOKUP($C3955,Hes!$A:$B, 1, FALSE), $M3955&lt;&gt;" "), "Ingresada", "Falta Ingresar"), " ")</f>
        <v xml:space="preserve"> </v>
      </c>
      <c r="L3955" s="4" t="str">
        <f>IFERROR(VLOOKUP($C3955,Observaciones!$A:$B,2,FALSE)," ")</f>
        <v xml:space="preserve"> </v>
      </c>
      <c r="M3955" t="s">
        <v>681</v>
      </c>
      <c r="P3955" s="5">
        <v>6745804</v>
      </c>
      <c r="Q3955" s="5">
        <v>1281703</v>
      </c>
      <c r="R3955" s="5">
        <v>8027507</v>
      </c>
    </row>
    <row r="3956" spans="1:18" x14ac:dyDescent="0.25">
      <c r="A3956" t="s">
        <v>503</v>
      </c>
      <c r="B3956" t="s">
        <v>494</v>
      </c>
      <c r="C3956">
        <v>90266000</v>
      </c>
      <c r="D3956">
        <v>93</v>
      </c>
      <c r="E3956">
        <v>30849900</v>
      </c>
      <c r="F3956" t="s">
        <v>1564</v>
      </c>
      <c r="G3956" s="1">
        <v>45233</v>
      </c>
      <c r="H3956">
        <v>5411568</v>
      </c>
      <c r="I3956">
        <v>17</v>
      </c>
      <c r="J3956" t="s">
        <v>305</v>
      </c>
      <c r="K3956" t="str">
        <f>IFERROR(IF(AND(VLOOKUP($C3956,Hes!$A:$B, 1, FALSE), $M3956&lt;&gt;" "), "Ingresada", "Falta Ingresar"), " ")</f>
        <v xml:space="preserve"> </v>
      </c>
      <c r="L3956" s="4" t="s">
        <v>681</v>
      </c>
      <c r="M3956" t="s">
        <v>681</v>
      </c>
      <c r="O3956" s="5">
        <v>30849900</v>
      </c>
      <c r="P3956" s="5">
        <v>215617</v>
      </c>
      <c r="Q3956" s="5">
        <v>40967</v>
      </c>
      <c r="R3956" s="5">
        <v>256584</v>
      </c>
    </row>
    <row r="3957" spans="1:18" x14ac:dyDescent="0.25">
      <c r="A3957" t="s">
        <v>503</v>
      </c>
      <c r="B3957" t="s">
        <v>494</v>
      </c>
      <c r="C3957">
        <v>90266000</v>
      </c>
      <c r="D3957">
        <v>146</v>
      </c>
      <c r="E3957">
        <v>30842621</v>
      </c>
      <c r="F3957" t="s">
        <v>1564</v>
      </c>
      <c r="G3957" s="1">
        <v>45234</v>
      </c>
      <c r="H3957">
        <v>5411853</v>
      </c>
      <c r="I3957">
        <v>17</v>
      </c>
      <c r="J3957" t="s">
        <v>305</v>
      </c>
      <c r="K3957" t="str">
        <f>IFERROR(IF(AND(VLOOKUP($C3957,Hes!$A:$B, 1, FALSE), $M3957&lt;&gt;" "), "Ingresada", "Falta Ingresar"), " ")</f>
        <v xml:space="preserve"> </v>
      </c>
      <c r="L3957" s="4" t="s">
        <v>681</v>
      </c>
      <c r="M3957" t="s">
        <v>681</v>
      </c>
      <c r="O3957" s="5">
        <v>30842621</v>
      </c>
      <c r="P3957" s="5">
        <v>199228</v>
      </c>
      <c r="Q3957" s="5">
        <v>37853</v>
      </c>
      <c r="R3957" s="5">
        <v>237081</v>
      </c>
    </row>
    <row r="3958" spans="1:18" x14ac:dyDescent="0.25">
      <c r="A3958" t="s">
        <v>503</v>
      </c>
      <c r="B3958" t="s">
        <v>494</v>
      </c>
      <c r="C3958">
        <v>90266000</v>
      </c>
      <c r="D3958">
        <v>45</v>
      </c>
      <c r="E3958">
        <v>30847733</v>
      </c>
      <c r="F3958" t="s">
        <v>1564</v>
      </c>
      <c r="G3958" s="1">
        <v>45234</v>
      </c>
      <c r="H3958">
        <v>5411854</v>
      </c>
      <c r="I3958">
        <v>17</v>
      </c>
      <c r="J3958" t="s">
        <v>305</v>
      </c>
      <c r="K3958" t="str">
        <f>IFERROR(IF(AND(VLOOKUP($C3958,Hes!$A:$B, 1, FALSE), $M3958&lt;&gt;" "), "Ingresada", "Falta Ingresar"), " ")</f>
        <v xml:space="preserve"> </v>
      </c>
      <c r="L3958" s="4" t="s">
        <v>681</v>
      </c>
      <c r="M3958" t="s">
        <v>681</v>
      </c>
      <c r="O3958" s="5">
        <v>30847733</v>
      </c>
      <c r="P3958" s="5">
        <v>212155</v>
      </c>
      <c r="Q3958" s="5">
        <v>40309</v>
      </c>
      <c r="R3958" s="5">
        <v>252464</v>
      </c>
    </row>
    <row r="3959" spans="1:18" x14ac:dyDescent="0.25">
      <c r="A3959" t="s">
        <v>503</v>
      </c>
      <c r="B3959" t="s">
        <v>494</v>
      </c>
      <c r="C3959">
        <v>90266000</v>
      </c>
      <c r="D3959">
        <v>45</v>
      </c>
      <c r="E3959">
        <v>30848236</v>
      </c>
      <c r="F3959" t="s">
        <v>1564</v>
      </c>
      <c r="G3959" s="1">
        <v>45234</v>
      </c>
      <c r="H3959">
        <v>5411855</v>
      </c>
      <c r="I3959">
        <v>17</v>
      </c>
      <c r="J3959" t="s">
        <v>305</v>
      </c>
      <c r="K3959" t="str">
        <f>IFERROR(IF(AND(VLOOKUP($C3959,Hes!$A:$B, 1, FALSE), $M3959&lt;&gt;" "), "Ingresada", "Falta Ingresar"), " ")</f>
        <v xml:space="preserve"> </v>
      </c>
      <c r="L3959" s="4" t="s">
        <v>681</v>
      </c>
      <c r="M3959" t="s">
        <v>681</v>
      </c>
      <c r="O3959" s="5">
        <v>30848236</v>
      </c>
      <c r="P3959" s="5">
        <v>29410</v>
      </c>
      <c r="Q3959" s="5">
        <v>5588</v>
      </c>
      <c r="R3959" s="5">
        <v>34998</v>
      </c>
    </row>
    <row r="3960" spans="1:18" x14ac:dyDescent="0.25">
      <c r="A3960" t="s">
        <v>503</v>
      </c>
      <c r="B3960" t="s">
        <v>494</v>
      </c>
      <c r="C3960">
        <v>90266000</v>
      </c>
      <c r="D3960">
        <v>53</v>
      </c>
      <c r="E3960">
        <v>30852304</v>
      </c>
      <c r="F3960" t="s">
        <v>1564</v>
      </c>
      <c r="G3960" s="1">
        <v>45236</v>
      </c>
      <c r="H3960">
        <v>5412364</v>
      </c>
      <c r="I3960">
        <v>17</v>
      </c>
      <c r="J3960" t="s">
        <v>305</v>
      </c>
      <c r="K3960" t="str">
        <f>IFERROR(IF(AND(VLOOKUP($C3960,Hes!$A:$B, 1, FALSE), $M3960&lt;&gt;" "), "Ingresada", "Falta Ingresar"), " ")</f>
        <v xml:space="preserve"> </v>
      </c>
      <c r="L3960" s="4" t="s">
        <v>681</v>
      </c>
      <c r="M3960" t="s">
        <v>681</v>
      </c>
      <c r="O3960" s="5">
        <v>30852304</v>
      </c>
      <c r="P3960" s="5">
        <v>485045</v>
      </c>
      <c r="Q3960" s="5">
        <v>92159</v>
      </c>
      <c r="R3960" s="5">
        <v>577204</v>
      </c>
    </row>
    <row r="3961" spans="1:18" x14ac:dyDescent="0.25">
      <c r="A3961" t="s">
        <v>503</v>
      </c>
      <c r="B3961" t="s">
        <v>494</v>
      </c>
      <c r="C3961">
        <v>90266000</v>
      </c>
      <c r="D3961">
        <v>45</v>
      </c>
      <c r="E3961">
        <v>30852399</v>
      </c>
      <c r="F3961" t="s">
        <v>1564</v>
      </c>
      <c r="G3961" s="1">
        <v>45234</v>
      </c>
      <c r="H3961">
        <v>5412416</v>
      </c>
      <c r="I3961">
        <v>17</v>
      </c>
      <c r="J3961" t="s">
        <v>305</v>
      </c>
      <c r="K3961" t="str">
        <f>IFERROR(IF(AND(VLOOKUP($C3961,Hes!$A:$B, 1, FALSE), $M3961&lt;&gt;" "), "Ingresada", "Falta Ingresar"), " ")</f>
        <v xml:space="preserve"> </v>
      </c>
      <c r="L3961" s="4" t="s">
        <v>681</v>
      </c>
      <c r="M3961" t="s">
        <v>681</v>
      </c>
      <c r="O3961" s="5">
        <v>30852399</v>
      </c>
      <c r="P3961" s="5">
        <v>191874</v>
      </c>
      <c r="Q3961" s="5">
        <v>36456</v>
      </c>
      <c r="R3961" s="5">
        <v>228330</v>
      </c>
    </row>
    <row r="3962" spans="1:18" x14ac:dyDescent="0.25">
      <c r="A3962" t="s">
        <v>503</v>
      </c>
      <c r="B3962" t="s">
        <v>494</v>
      </c>
      <c r="C3962">
        <v>90266000</v>
      </c>
      <c r="D3962">
        <v>45</v>
      </c>
      <c r="E3962">
        <v>30854102</v>
      </c>
      <c r="F3962" t="s">
        <v>1564</v>
      </c>
      <c r="G3962" s="1">
        <v>45234</v>
      </c>
      <c r="H3962">
        <v>5412605</v>
      </c>
      <c r="I3962">
        <v>17</v>
      </c>
      <c r="J3962" t="s">
        <v>305</v>
      </c>
      <c r="K3962" t="str">
        <f>IFERROR(IF(AND(VLOOKUP($C3962,Hes!$A:$B, 1, FALSE), $M3962&lt;&gt;" "), "Ingresada", "Falta Ingresar"), " ")</f>
        <v xml:space="preserve"> </v>
      </c>
      <c r="L3962" s="4" t="s">
        <v>681</v>
      </c>
      <c r="M3962" t="s">
        <v>681</v>
      </c>
      <c r="O3962" s="5">
        <v>30854102</v>
      </c>
      <c r="P3962" s="5">
        <v>16730</v>
      </c>
      <c r="Q3962" s="5">
        <v>3179</v>
      </c>
      <c r="R3962" s="5">
        <v>19909</v>
      </c>
    </row>
    <row r="3963" spans="1:18" x14ac:dyDescent="0.25">
      <c r="A3963" t="s">
        <v>503</v>
      </c>
      <c r="B3963" t="s">
        <v>494</v>
      </c>
      <c r="C3963">
        <v>90266000</v>
      </c>
      <c r="D3963">
        <v>93</v>
      </c>
      <c r="E3963">
        <v>30854939</v>
      </c>
      <c r="F3963" t="s">
        <v>1564</v>
      </c>
      <c r="G3963" s="1">
        <v>45236</v>
      </c>
      <c r="H3963">
        <v>5413178</v>
      </c>
      <c r="I3963">
        <v>17</v>
      </c>
      <c r="J3963" t="s">
        <v>305</v>
      </c>
      <c r="K3963" t="str">
        <f>IFERROR(IF(AND(VLOOKUP($C3963,Hes!$A:$B, 1, FALSE), $M3963&lt;&gt;" "), "Ingresada", "Falta Ingresar"), " ")</f>
        <v xml:space="preserve"> </v>
      </c>
      <c r="L3963" s="4" t="s">
        <v>681</v>
      </c>
      <c r="M3963" t="s">
        <v>681</v>
      </c>
      <c r="O3963" s="5">
        <v>30854939</v>
      </c>
      <c r="P3963" s="5">
        <v>452600</v>
      </c>
      <c r="Q3963" s="5">
        <v>85994</v>
      </c>
      <c r="R3963" s="5">
        <v>538594</v>
      </c>
    </row>
    <row r="3964" spans="1:18" x14ac:dyDescent="0.25">
      <c r="A3964" t="s">
        <v>503</v>
      </c>
      <c r="B3964" t="s">
        <v>494</v>
      </c>
      <c r="C3964">
        <v>90266000</v>
      </c>
      <c r="D3964">
        <v>53</v>
      </c>
      <c r="E3964">
        <v>30852720</v>
      </c>
      <c r="F3964" t="s">
        <v>1564</v>
      </c>
      <c r="G3964" s="1">
        <v>45236</v>
      </c>
      <c r="H3964">
        <v>5413253</v>
      </c>
      <c r="I3964">
        <v>17</v>
      </c>
      <c r="J3964" t="s">
        <v>305</v>
      </c>
      <c r="K3964" t="str">
        <f>IFERROR(IF(AND(VLOOKUP($C3964,Hes!$A:$B, 1, FALSE), $M3964&lt;&gt;" "), "Ingresada", "Falta Ingresar"), " ")</f>
        <v xml:space="preserve"> </v>
      </c>
      <c r="L3964" s="4" t="s">
        <v>681</v>
      </c>
      <c r="M3964" t="s">
        <v>681</v>
      </c>
      <c r="O3964" s="5">
        <v>30852720</v>
      </c>
      <c r="P3964" s="5">
        <v>125984</v>
      </c>
      <c r="Q3964" s="5">
        <v>23937</v>
      </c>
      <c r="R3964" s="5">
        <v>149921</v>
      </c>
    </row>
    <row r="3965" spans="1:18" x14ac:dyDescent="0.25">
      <c r="F3965" t="s">
        <v>514</v>
      </c>
      <c r="K3965" t="str">
        <f>IFERROR(IF(AND(VLOOKUP($C3965,Hes!$A:$B, 1, FALSE), $M3965&lt;&gt;" "), "Ingresada", "Falta Ingresar"), " ")</f>
        <v xml:space="preserve"> </v>
      </c>
      <c r="L3965" s="4" t="str">
        <f>IFERROR(VLOOKUP($C3965,Observaciones!$A:$B,2,FALSE)," ")</f>
        <v xml:space="preserve"> </v>
      </c>
      <c r="M3965" t="s">
        <v>681</v>
      </c>
      <c r="P3965" s="5">
        <v>1928643</v>
      </c>
      <c r="Q3965" s="5">
        <v>366442</v>
      </c>
      <c r="R3965" s="5">
        <v>2295085</v>
      </c>
    </row>
    <row r="3966" spans="1:18" x14ac:dyDescent="0.25">
      <c r="A3966" t="s">
        <v>503</v>
      </c>
      <c r="B3966" t="s">
        <v>494</v>
      </c>
      <c r="C3966">
        <v>90299000</v>
      </c>
      <c r="D3966">
        <v>0</v>
      </c>
      <c r="E3966" t="s">
        <v>1565</v>
      </c>
      <c r="F3966" t="s">
        <v>1566</v>
      </c>
      <c r="G3966" s="1">
        <v>45235</v>
      </c>
      <c r="H3966">
        <v>5412208</v>
      </c>
      <c r="I3966">
        <v>96</v>
      </c>
      <c r="J3966" t="s">
        <v>140</v>
      </c>
      <c r="K3966" t="str">
        <f>IFERROR(IF(AND(VLOOKUP($C3966,Hes!$A:$B, 1, FALSE), $M3966&lt;&gt;" "), "Ingresada", "Falta Ingresar"), " ")</f>
        <v xml:space="preserve"> </v>
      </c>
      <c r="L3966" s="4" t="str">
        <f>IFERROR(VLOOKUP($C3966,Observaciones!$A:$B,2,FALSE)," ")</f>
        <v xml:space="preserve"> </v>
      </c>
      <c r="M3966" t="s">
        <v>681</v>
      </c>
      <c r="O3966" s="5">
        <v>30840693</v>
      </c>
      <c r="P3966" s="5">
        <v>139846</v>
      </c>
      <c r="Q3966" s="5">
        <v>26571</v>
      </c>
      <c r="R3966" s="5">
        <v>166417</v>
      </c>
    </row>
    <row r="3967" spans="1:18" x14ac:dyDescent="0.25">
      <c r="F3967" t="s">
        <v>495</v>
      </c>
      <c r="K3967" t="str">
        <f>IFERROR(IF(AND(VLOOKUP($C3967,Hes!$A:$B, 1, FALSE), $M3967&lt;&gt;" "), "Ingresada", "Falta Ingresar"), " ")</f>
        <v xml:space="preserve"> </v>
      </c>
      <c r="L3967" s="4" t="str">
        <f>IFERROR(VLOOKUP($C3967,Observaciones!$A:$B,2,FALSE)," ")</f>
        <v xml:space="preserve"> </v>
      </c>
      <c r="M3967" t="s">
        <v>681</v>
      </c>
      <c r="P3967" s="5">
        <v>139846</v>
      </c>
      <c r="Q3967" s="5">
        <v>26571</v>
      </c>
      <c r="R3967" s="5">
        <v>166417</v>
      </c>
    </row>
    <row r="3968" spans="1:18" x14ac:dyDescent="0.25">
      <c r="A3968" t="s">
        <v>503</v>
      </c>
      <c r="B3968" t="s">
        <v>494</v>
      </c>
      <c r="C3968">
        <v>90413000</v>
      </c>
      <c r="D3968">
        <v>0</v>
      </c>
      <c r="E3968">
        <v>4502187007</v>
      </c>
      <c r="F3968" t="s">
        <v>1567</v>
      </c>
      <c r="G3968" s="1">
        <v>45233</v>
      </c>
      <c r="H3968">
        <v>5411256</v>
      </c>
      <c r="I3968">
        <v>100</v>
      </c>
      <c r="J3968" t="s">
        <v>384</v>
      </c>
      <c r="K3968" s="8" t="str">
        <f>IFERROR(IF(AND(VLOOKUP($C3968,Hes!$A:$B, 1, FALSE), $M3968&lt;&gt;" "), "Ingresada", "Falta Ingresar"), " ")</f>
        <v>Falta Ingresar</v>
      </c>
      <c r="L3968" s="4" t="s">
        <v>681</v>
      </c>
      <c r="M3968" t="s">
        <v>681</v>
      </c>
      <c r="N3968" s="5" t="s">
        <v>841</v>
      </c>
      <c r="O3968" s="5">
        <v>30845304</v>
      </c>
      <c r="P3968" s="5">
        <v>102104</v>
      </c>
      <c r="Q3968" s="5">
        <v>19400</v>
      </c>
      <c r="R3968" s="5">
        <v>121504</v>
      </c>
    </row>
    <row r="3969" spans="1:18" x14ac:dyDescent="0.25">
      <c r="F3969" t="s">
        <v>495</v>
      </c>
      <c r="K3969" t="str">
        <f>IFERROR(IF(AND(VLOOKUP($C3969,Hes!$A:$B, 1, FALSE), $M3969&lt;&gt;" "), "Ingresada", "Falta Ingresar"), " ")</f>
        <v xml:space="preserve"> </v>
      </c>
      <c r="L3969" s="4" t="str">
        <f>IFERROR(VLOOKUP($C3969,Observaciones!$A:$B,2,FALSE)," ")</f>
        <v xml:space="preserve"> </v>
      </c>
      <c r="M3969" t="s">
        <v>681</v>
      </c>
      <c r="P3969" s="5">
        <v>102104</v>
      </c>
      <c r="Q3969" s="5">
        <v>19400</v>
      </c>
      <c r="R3969" s="5">
        <v>121504</v>
      </c>
    </row>
    <row r="3970" spans="1:18" x14ac:dyDescent="0.25">
      <c r="A3970" t="s">
        <v>501</v>
      </c>
      <c r="B3970" t="s">
        <v>509</v>
      </c>
      <c r="C3970">
        <v>90690000</v>
      </c>
      <c r="D3970">
        <v>0</v>
      </c>
      <c r="E3970">
        <v>30861380</v>
      </c>
      <c r="F3970" t="s">
        <v>1568</v>
      </c>
      <c r="G3970" s="1">
        <v>45238</v>
      </c>
      <c r="H3970">
        <v>5414928</v>
      </c>
      <c r="I3970">
        <v>5</v>
      </c>
      <c r="J3970" t="s">
        <v>374</v>
      </c>
      <c r="K3970" t="str">
        <f>IFERROR(IF(AND(VLOOKUP($C3970,Hes!$A:$B, 1, FALSE), $M3970&lt;&gt;" "), "Ingresada", "Falta Ingresar"), " ")</f>
        <v xml:space="preserve"> </v>
      </c>
      <c r="L3970" s="4" t="s">
        <v>681</v>
      </c>
      <c r="M3970" t="s">
        <v>681</v>
      </c>
      <c r="O3970" s="5">
        <v>30861380</v>
      </c>
      <c r="P3970" s="5">
        <v>358305</v>
      </c>
      <c r="Q3970" s="5">
        <v>68078</v>
      </c>
      <c r="R3970" s="5">
        <v>442725</v>
      </c>
    </row>
    <row r="3971" spans="1:18" x14ac:dyDescent="0.25">
      <c r="F3971" t="s">
        <v>495</v>
      </c>
      <c r="K3971" t="str">
        <f>IFERROR(IF(AND(VLOOKUP($C3971,Hes!$A:$B, 1, FALSE), $M3971&lt;&gt;" "), "Ingresada", "Falta Ingresar"), " ")</f>
        <v xml:space="preserve"> </v>
      </c>
      <c r="L3971" s="4" t="str">
        <f>IFERROR(VLOOKUP($C3971,Observaciones!$A:$B,2,FALSE)," ")</f>
        <v xml:space="preserve"> </v>
      </c>
      <c r="M3971" t="s">
        <v>681</v>
      </c>
      <c r="P3971" s="5">
        <v>358305</v>
      </c>
      <c r="Q3971" s="5">
        <v>68078</v>
      </c>
      <c r="R3971" s="5">
        <v>442725</v>
      </c>
    </row>
    <row r="3972" spans="1:18" x14ac:dyDescent="0.25">
      <c r="A3972" t="s">
        <v>496</v>
      </c>
      <c r="B3972" t="s">
        <v>494</v>
      </c>
      <c r="C3972">
        <v>90703000</v>
      </c>
      <c r="D3972">
        <v>80</v>
      </c>
      <c r="E3972">
        <v>4573887819</v>
      </c>
      <c r="F3972" t="s">
        <v>1569</v>
      </c>
      <c r="G3972" s="1">
        <v>45232</v>
      </c>
      <c r="H3972">
        <v>5411114</v>
      </c>
      <c r="I3972">
        <v>364</v>
      </c>
      <c r="J3972" t="s">
        <v>194</v>
      </c>
      <c r="K3972" s="8" t="str">
        <f>IFERROR(IF(AND(VLOOKUP($C3972,Hes!$A:$B, 1, FALSE), $M3972&lt;&gt;" "), "Ingresada", "Falta Ingresar"), " ")</f>
        <v>Falta Ingresar</v>
      </c>
      <c r="L3972" s="4" t="s">
        <v>681</v>
      </c>
      <c r="M3972" t="s">
        <v>681</v>
      </c>
      <c r="N3972" s="5" t="s">
        <v>841</v>
      </c>
      <c r="O3972" s="5">
        <v>30828302</v>
      </c>
      <c r="P3972" s="5">
        <v>807884</v>
      </c>
      <c r="Q3972" s="5">
        <v>153498</v>
      </c>
      <c r="R3972" s="5">
        <v>961382</v>
      </c>
    </row>
    <row r="3973" spans="1:18" x14ac:dyDescent="0.25">
      <c r="F3973" t="s">
        <v>495</v>
      </c>
      <c r="K3973" t="str">
        <f>IFERROR(IF(AND(VLOOKUP($C3973,Hes!$A:$B, 1, FALSE), $M3973&lt;&gt;" "), "Ingresada", "Falta Ingresar"), " ")</f>
        <v xml:space="preserve"> </v>
      </c>
      <c r="L3973" s="4" t="str">
        <f>IFERROR(VLOOKUP($C3973,Observaciones!$A:$B,2,FALSE)," ")</f>
        <v xml:space="preserve"> </v>
      </c>
      <c r="M3973" t="s">
        <v>681</v>
      </c>
      <c r="P3973" s="5">
        <v>807884</v>
      </c>
      <c r="Q3973" s="5">
        <v>153498</v>
      </c>
      <c r="R3973" s="5">
        <v>961382</v>
      </c>
    </row>
    <row r="3974" spans="1:18" x14ac:dyDescent="0.25">
      <c r="A3974" t="s">
        <v>503</v>
      </c>
      <c r="B3974" t="s">
        <v>494</v>
      </c>
      <c r="C3974">
        <v>91041000</v>
      </c>
      <c r="D3974">
        <v>50</v>
      </c>
      <c r="E3974">
        <v>4502177247</v>
      </c>
      <c r="F3974" t="s">
        <v>1570</v>
      </c>
      <c r="G3974" s="1">
        <v>45233</v>
      </c>
      <c r="H3974">
        <v>5411230</v>
      </c>
      <c r="I3974">
        <v>100</v>
      </c>
      <c r="J3974" t="s">
        <v>384</v>
      </c>
      <c r="K3974" s="8" t="str">
        <f>IFERROR(IF(AND(VLOOKUP($C3974,Hes!$A:$B, 1, FALSE), $M3974&lt;&gt;" "), "Ingresada", "Falta Ingresar"), " ")</f>
        <v>Falta Ingresar</v>
      </c>
      <c r="L3974" s="4" t="s">
        <v>681</v>
      </c>
      <c r="M3974" t="s">
        <v>681</v>
      </c>
      <c r="N3974" s="5" t="s">
        <v>841</v>
      </c>
      <c r="O3974" s="5">
        <v>30840945</v>
      </c>
      <c r="P3974" s="5">
        <v>101773</v>
      </c>
      <c r="Q3974" s="5">
        <v>19337</v>
      </c>
      <c r="R3974" s="5">
        <v>121110</v>
      </c>
    </row>
    <row r="3975" spans="1:18" x14ac:dyDescent="0.25">
      <c r="A3975" t="s">
        <v>503</v>
      </c>
      <c r="B3975" t="s">
        <v>494</v>
      </c>
      <c r="C3975">
        <v>91041000</v>
      </c>
      <c r="D3975">
        <v>0</v>
      </c>
      <c r="E3975">
        <v>4502191267</v>
      </c>
      <c r="F3975" t="s">
        <v>1570</v>
      </c>
      <c r="G3975" s="1">
        <v>45236</v>
      </c>
      <c r="H3975">
        <v>5412430</v>
      </c>
      <c r="I3975">
        <v>100</v>
      </c>
      <c r="J3975" t="s">
        <v>384</v>
      </c>
      <c r="K3975" s="8" t="str">
        <f>IFERROR(IF(AND(VLOOKUP($C3975,Hes!$A:$B, 1, FALSE), $M3975&lt;&gt;" "), "Ingresada", "Falta Ingresar"), " ")</f>
        <v>Falta Ingresar</v>
      </c>
      <c r="L3975" s="4" t="s">
        <v>681</v>
      </c>
      <c r="M3975" t="s">
        <v>681</v>
      </c>
      <c r="N3975" s="5" t="s">
        <v>841</v>
      </c>
      <c r="O3975" s="5">
        <v>30846227</v>
      </c>
      <c r="P3975" s="5">
        <v>70494</v>
      </c>
      <c r="Q3975" s="5">
        <v>13394</v>
      </c>
      <c r="R3975" s="5">
        <v>83888</v>
      </c>
    </row>
    <row r="3976" spans="1:18" x14ac:dyDescent="0.25">
      <c r="A3976" t="s">
        <v>503</v>
      </c>
      <c r="B3976" t="s">
        <v>494</v>
      </c>
      <c r="C3976">
        <v>91041000</v>
      </c>
      <c r="D3976">
        <v>0</v>
      </c>
      <c r="E3976">
        <v>4502195626</v>
      </c>
      <c r="F3976" t="s">
        <v>1570</v>
      </c>
      <c r="G3976" s="1">
        <v>45236</v>
      </c>
      <c r="H3976">
        <v>5413628</v>
      </c>
      <c r="I3976">
        <v>100</v>
      </c>
      <c r="J3976" t="s">
        <v>384</v>
      </c>
      <c r="K3976" s="8" t="str">
        <f>IFERROR(IF(AND(VLOOKUP($C3976,Hes!$A:$B, 1, FALSE), $M3976&lt;&gt;" "), "Ingresada", "Falta Ingresar"), " ")</f>
        <v>Falta Ingresar</v>
      </c>
      <c r="L3976" s="4" t="s">
        <v>681</v>
      </c>
      <c r="M3976" t="s">
        <v>681</v>
      </c>
      <c r="N3976" s="5" t="s">
        <v>841</v>
      </c>
      <c r="O3976" s="5">
        <v>30857403</v>
      </c>
      <c r="P3976" s="5">
        <v>39492</v>
      </c>
      <c r="Q3976" s="5">
        <v>7503</v>
      </c>
      <c r="R3976" s="5">
        <v>46995</v>
      </c>
    </row>
    <row r="3977" spans="1:18" x14ac:dyDescent="0.25">
      <c r="A3977" t="s">
        <v>503</v>
      </c>
      <c r="B3977" t="s">
        <v>494</v>
      </c>
      <c r="C3977">
        <v>91041000</v>
      </c>
      <c r="D3977">
        <v>0</v>
      </c>
      <c r="E3977">
        <v>4502195625</v>
      </c>
      <c r="F3977" t="s">
        <v>1570</v>
      </c>
      <c r="G3977" s="1">
        <v>45236</v>
      </c>
      <c r="H3977">
        <v>5413687</v>
      </c>
      <c r="I3977">
        <v>100</v>
      </c>
      <c r="J3977" t="s">
        <v>384</v>
      </c>
      <c r="K3977" s="8" t="str">
        <f>IFERROR(IF(AND(VLOOKUP($C3977,Hes!$A:$B, 1, FALSE), $M3977&lt;&gt;" "), "Ingresada", "Falta Ingresar"), " ")</f>
        <v>Falta Ingresar</v>
      </c>
      <c r="L3977" s="4" t="s">
        <v>681</v>
      </c>
      <c r="M3977" t="s">
        <v>681</v>
      </c>
      <c r="N3977" s="5" t="s">
        <v>841</v>
      </c>
      <c r="O3977" s="5">
        <v>30857080</v>
      </c>
      <c r="P3977" s="5">
        <v>135765</v>
      </c>
      <c r="Q3977" s="5">
        <v>25795</v>
      </c>
      <c r="R3977" s="5">
        <v>161560</v>
      </c>
    </row>
    <row r="3978" spans="1:18" x14ac:dyDescent="0.25">
      <c r="A3978" t="s">
        <v>503</v>
      </c>
      <c r="B3978" t="s">
        <v>494</v>
      </c>
      <c r="C3978">
        <v>91041000</v>
      </c>
      <c r="D3978">
        <v>23</v>
      </c>
      <c r="E3978">
        <v>4502191645</v>
      </c>
      <c r="F3978" t="s">
        <v>1570</v>
      </c>
      <c r="G3978" s="1">
        <v>45236</v>
      </c>
      <c r="H3978">
        <v>5413731</v>
      </c>
      <c r="I3978">
        <v>100</v>
      </c>
      <c r="J3978" t="s">
        <v>384</v>
      </c>
      <c r="K3978" s="8" t="str">
        <f>IFERROR(IF(AND(VLOOKUP($C3978,Hes!$A:$B, 1, FALSE), $M3978&lt;&gt;" "), "Ingresada", "Falta Ingresar"), " ")</f>
        <v>Falta Ingresar</v>
      </c>
      <c r="L3978" s="4" t="s">
        <v>681</v>
      </c>
      <c r="M3978" t="s">
        <v>681</v>
      </c>
      <c r="N3978" s="5" t="s">
        <v>841</v>
      </c>
      <c r="O3978" s="5">
        <v>30857272</v>
      </c>
      <c r="P3978" s="5">
        <v>137474</v>
      </c>
      <c r="Q3978" s="5">
        <v>26120</v>
      </c>
      <c r="R3978" s="5">
        <v>163594</v>
      </c>
    </row>
    <row r="3979" spans="1:18" x14ac:dyDescent="0.25">
      <c r="A3979" t="s">
        <v>503</v>
      </c>
      <c r="B3979" t="s">
        <v>494</v>
      </c>
      <c r="C3979">
        <v>91041000</v>
      </c>
      <c r="D3979">
        <v>23</v>
      </c>
      <c r="E3979">
        <v>4502191644</v>
      </c>
      <c r="F3979" t="s">
        <v>1570</v>
      </c>
      <c r="G3979" s="1">
        <v>45236</v>
      </c>
      <c r="H3979">
        <v>5413803</v>
      </c>
      <c r="I3979">
        <v>100</v>
      </c>
      <c r="J3979" t="s">
        <v>384</v>
      </c>
      <c r="K3979" s="8" t="str">
        <f>IFERROR(IF(AND(VLOOKUP($C3979,Hes!$A:$B, 1, FALSE), $M3979&lt;&gt;" "), "Ingresada", "Falta Ingresar"), " ")</f>
        <v>Falta Ingresar</v>
      </c>
      <c r="L3979" s="4" t="s">
        <v>681</v>
      </c>
      <c r="M3979" t="s">
        <v>681</v>
      </c>
      <c r="N3979" s="5" t="s">
        <v>841</v>
      </c>
      <c r="O3979" s="5">
        <v>30857242</v>
      </c>
      <c r="P3979" s="5">
        <v>59521</v>
      </c>
      <c r="Q3979" s="5">
        <v>11309</v>
      </c>
      <c r="R3979" s="5">
        <v>70830</v>
      </c>
    </row>
    <row r="3980" spans="1:18" x14ac:dyDescent="0.25">
      <c r="A3980" t="s">
        <v>503</v>
      </c>
      <c r="B3980" t="s">
        <v>494</v>
      </c>
      <c r="C3980">
        <v>91041000</v>
      </c>
      <c r="D3980">
        <v>23</v>
      </c>
      <c r="E3980">
        <v>4502191643</v>
      </c>
      <c r="F3980" t="s">
        <v>1570</v>
      </c>
      <c r="G3980" s="1">
        <v>45236</v>
      </c>
      <c r="H3980">
        <v>5413818</v>
      </c>
      <c r="I3980">
        <v>100</v>
      </c>
      <c r="J3980" t="s">
        <v>384</v>
      </c>
      <c r="K3980" s="8" t="str">
        <f>IFERROR(IF(AND(VLOOKUP($C3980,Hes!$A:$B, 1, FALSE), $M3980&lt;&gt;" "), "Ingresada", "Falta Ingresar"), " ")</f>
        <v>Falta Ingresar</v>
      </c>
      <c r="L3980" s="4" t="s">
        <v>681</v>
      </c>
      <c r="M3980" t="s">
        <v>681</v>
      </c>
      <c r="N3980" s="5" t="s">
        <v>841</v>
      </c>
      <c r="O3980" s="5">
        <v>30856869</v>
      </c>
      <c r="P3980" s="5">
        <v>61680</v>
      </c>
      <c r="Q3980" s="5">
        <v>11719</v>
      </c>
      <c r="R3980" s="5">
        <v>73399</v>
      </c>
    </row>
    <row r="3981" spans="1:18" x14ac:dyDescent="0.25">
      <c r="F3981" t="s">
        <v>537</v>
      </c>
      <c r="K3981" t="str">
        <f>IFERROR(IF(AND(VLOOKUP($C3981,Hes!$A:$B, 1, FALSE), $M3981&lt;&gt;" "), "Ingresada", "Falta Ingresar"), " ")</f>
        <v xml:space="preserve"> </v>
      </c>
      <c r="L3981" s="4" t="str">
        <f>IFERROR(VLOOKUP($C3981,Observaciones!$A:$B,2,FALSE)," ")</f>
        <v xml:space="preserve"> </v>
      </c>
      <c r="M3981" t="s">
        <v>681</v>
      </c>
      <c r="P3981" s="5">
        <v>606199</v>
      </c>
      <c r="Q3981" s="5">
        <v>115177</v>
      </c>
      <c r="R3981" s="5">
        <v>721376</v>
      </c>
    </row>
    <row r="3982" spans="1:18" x14ac:dyDescent="0.25">
      <c r="A3982" t="s">
        <v>496</v>
      </c>
      <c r="B3982" t="s">
        <v>494</v>
      </c>
      <c r="C3982">
        <v>91144000</v>
      </c>
      <c r="D3982">
        <v>3</v>
      </c>
      <c r="E3982">
        <v>5000011968</v>
      </c>
      <c r="F3982" t="s">
        <v>1571</v>
      </c>
      <c r="G3982" s="1">
        <v>45238</v>
      </c>
      <c r="H3982">
        <v>5415470</v>
      </c>
      <c r="I3982">
        <v>5</v>
      </c>
      <c r="J3982" t="s">
        <v>374</v>
      </c>
      <c r="K3982" t="str">
        <f>IFERROR(IF(AND(VLOOKUP($C3982,Hes!$A:$B, 1, FALSE), $M3982&lt;&gt;" "), "Ingresada", "Falta Ingresar"), " ")</f>
        <v xml:space="preserve"> </v>
      </c>
      <c r="L3982" s="4" t="str">
        <f>IFERROR(VLOOKUP($C3982,Observaciones!$A:$B,2,FALSE)," ")</f>
        <v xml:space="preserve"> </v>
      </c>
      <c r="M3982" t="s">
        <v>681</v>
      </c>
      <c r="O3982" s="5">
        <v>30847114</v>
      </c>
      <c r="P3982" s="5">
        <v>912480</v>
      </c>
      <c r="Q3982" s="5">
        <v>173371</v>
      </c>
      <c r="R3982" s="5">
        <v>1085851</v>
      </c>
    </row>
    <row r="3983" spans="1:18" x14ac:dyDescent="0.25">
      <c r="F3983" t="s">
        <v>495</v>
      </c>
      <c r="K3983" t="str">
        <f>IFERROR(IF(AND(VLOOKUP($C3983,Hes!$A:$B, 1, FALSE), $M3983&lt;&gt;" "), "Ingresada", "Falta Ingresar"), " ")</f>
        <v xml:space="preserve"> </v>
      </c>
      <c r="L3983" s="4" t="str">
        <f>IFERROR(VLOOKUP($C3983,Observaciones!$A:$B,2,FALSE)," ")</f>
        <v xml:space="preserve"> </v>
      </c>
      <c r="M3983" t="s">
        <v>681</v>
      </c>
      <c r="P3983" s="5">
        <v>912480</v>
      </c>
      <c r="Q3983" s="5">
        <v>173371</v>
      </c>
      <c r="R3983" s="5">
        <v>1085851</v>
      </c>
    </row>
    <row r="3984" spans="1:18" x14ac:dyDescent="0.25">
      <c r="A3984" t="s">
        <v>496</v>
      </c>
      <c r="B3984" t="s">
        <v>494</v>
      </c>
      <c r="C3984">
        <v>91297000</v>
      </c>
      <c r="D3984">
        <v>0</v>
      </c>
      <c r="E3984">
        <v>4531615770</v>
      </c>
      <c r="F3984" t="s">
        <v>1572</v>
      </c>
      <c r="G3984" s="1">
        <v>45236</v>
      </c>
      <c r="H3984">
        <v>5413689</v>
      </c>
      <c r="I3984">
        <v>81</v>
      </c>
      <c r="J3984" t="s">
        <v>144</v>
      </c>
      <c r="K3984" s="8" t="str">
        <f>IFERROR(IF(AND(VLOOKUP($C3984,Hes!$A:$B, 1, FALSE), $M3984&lt;&gt;" "), "Ingresada", "Falta Ingresar"), " ")</f>
        <v>Falta Ingresar</v>
      </c>
      <c r="L3984" s="4" t="s">
        <v>681</v>
      </c>
      <c r="M3984" t="s">
        <v>681</v>
      </c>
      <c r="N3984" s="5" t="s">
        <v>841</v>
      </c>
      <c r="O3984" s="5">
        <v>30840115</v>
      </c>
      <c r="P3984" s="5">
        <v>138525</v>
      </c>
      <c r="Q3984" s="5">
        <v>26320</v>
      </c>
      <c r="R3984" s="5">
        <v>164845</v>
      </c>
    </row>
    <row r="3985" spans="1:18" x14ac:dyDescent="0.25">
      <c r="F3985" t="s">
        <v>495</v>
      </c>
      <c r="K3985" t="str">
        <f>IFERROR(IF(AND(VLOOKUP($C3985,Hes!$A:$B, 1, FALSE), $M3985&lt;&gt;" "), "Ingresada", "Falta Ingresar"), " ")</f>
        <v xml:space="preserve"> </v>
      </c>
      <c r="L3985" s="4" t="str">
        <f>IFERROR(VLOOKUP($C3985,Observaciones!$A:$B,2,FALSE)," ")</f>
        <v xml:space="preserve"> </v>
      </c>
      <c r="M3985" t="s">
        <v>681</v>
      </c>
      <c r="P3985" s="5">
        <v>138525</v>
      </c>
      <c r="Q3985" s="5">
        <v>26320</v>
      </c>
      <c r="R3985" s="5">
        <v>164845</v>
      </c>
    </row>
    <row r="3986" spans="1:18" x14ac:dyDescent="0.25">
      <c r="A3986" t="s">
        <v>503</v>
      </c>
      <c r="B3986" t="s">
        <v>494</v>
      </c>
      <c r="C3986">
        <v>91336000</v>
      </c>
      <c r="D3986">
        <v>16</v>
      </c>
      <c r="E3986" t="s">
        <v>1573</v>
      </c>
      <c r="F3986" t="s">
        <v>1574</v>
      </c>
      <c r="G3986" s="1">
        <v>45233</v>
      </c>
      <c r="H3986">
        <v>5411543</v>
      </c>
      <c r="I3986">
        <v>37</v>
      </c>
      <c r="J3986" t="s">
        <v>156</v>
      </c>
      <c r="K3986" s="8" t="str">
        <f>IFERROR(IF(AND(VLOOKUP($C3986,Hes!$A:$B, 1, FALSE), $M3986&lt;&gt;" "), "Ingresada", "Falta Ingresar"), " ")</f>
        <v>Falta Ingresar</v>
      </c>
      <c r="L3986" s="4" t="s">
        <v>681</v>
      </c>
      <c r="M3986" t="s">
        <v>681</v>
      </c>
      <c r="N3986" s="5" t="s">
        <v>841</v>
      </c>
      <c r="O3986" s="5">
        <v>30845826</v>
      </c>
      <c r="P3986" s="5">
        <v>155510</v>
      </c>
      <c r="Q3986" s="5">
        <v>29547</v>
      </c>
      <c r="R3986" s="5">
        <v>185057</v>
      </c>
    </row>
    <row r="3987" spans="1:18" x14ac:dyDescent="0.25">
      <c r="A3987" t="s">
        <v>503</v>
      </c>
      <c r="B3987" t="s">
        <v>494</v>
      </c>
      <c r="C3987">
        <v>91336000</v>
      </c>
      <c r="D3987">
        <v>16</v>
      </c>
      <c r="E3987" t="s">
        <v>1575</v>
      </c>
      <c r="F3987" t="s">
        <v>1574</v>
      </c>
      <c r="G3987" s="1">
        <v>45233</v>
      </c>
      <c r="H3987">
        <v>5411708</v>
      </c>
      <c r="I3987">
        <v>37</v>
      </c>
      <c r="J3987" t="s">
        <v>156</v>
      </c>
      <c r="K3987" s="8" t="str">
        <f>IFERROR(IF(AND(VLOOKUP($C3987,Hes!$A:$B, 1, FALSE), $M3987&lt;&gt;" "), "Ingresada", "Falta Ingresar"), " ")</f>
        <v>Falta Ingresar</v>
      </c>
      <c r="L3987" s="4" t="s">
        <v>681</v>
      </c>
      <c r="M3987" t="s">
        <v>681</v>
      </c>
      <c r="N3987" s="5" t="s">
        <v>841</v>
      </c>
      <c r="O3987" s="5">
        <v>30845764</v>
      </c>
      <c r="P3987" s="5">
        <v>253925</v>
      </c>
      <c r="Q3987" s="5">
        <v>48246</v>
      </c>
      <c r="R3987" s="5">
        <v>302171</v>
      </c>
    </row>
    <row r="3988" spans="1:18" x14ac:dyDescent="0.25">
      <c r="A3988" t="s">
        <v>503</v>
      </c>
      <c r="B3988" t="s">
        <v>494</v>
      </c>
      <c r="C3988">
        <v>91336000</v>
      </c>
      <c r="D3988">
        <v>16</v>
      </c>
      <c r="E3988" t="s">
        <v>1576</v>
      </c>
      <c r="F3988" t="s">
        <v>1574</v>
      </c>
      <c r="G3988" s="1">
        <v>45236</v>
      </c>
      <c r="H3988">
        <v>5412293</v>
      </c>
      <c r="I3988">
        <v>37</v>
      </c>
      <c r="J3988" t="s">
        <v>156</v>
      </c>
      <c r="K3988" s="8" t="str">
        <f>IFERROR(IF(AND(VLOOKUP($C3988,Hes!$A:$B, 1, FALSE), $M3988&lt;&gt;" "), "Ingresada", "Falta Ingresar"), " ")</f>
        <v>Falta Ingresar</v>
      </c>
      <c r="L3988" s="4" t="s">
        <v>681</v>
      </c>
      <c r="M3988" t="s">
        <v>681</v>
      </c>
      <c r="N3988" s="5" t="s">
        <v>841</v>
      </c>
      <c r="O3988" s="5">
        <v>30846307</v>
      </c>
      <c r="P3988" s="5">
        <v>36819</v>
      </c>
      <c r="Q3988" s="5">
        <v>6996</v>
      </c>
      <c r="R3988" s="5">
        <v>43815</v>
      </c>
    </row>
    <row r="3989" spans="1:18" x14ac:dyDescent="0.25">
      <c r="F3989" t="s">
        <v>500</v>
      </c>
      <c r="K3989" t="str">
        <f>IFERROR(IF(AND(VLOOKUP($C3989,Hes!$A:$B, 1, FALSE), $M3989&lt;&gt;" "), "Ingresada", "Falta Ingresar"), " ")</f>
        <v xml:space="preserve"> </v>
      </c>
      <c r="L3989" s="4" t="str">
        <f>IFERROR(VLOOKUP($C3989,Observaciones!$A:$B,2,FALSE)," ")</f>
        <v xml:space="preserve"> </v>
      </c>
      <c r="M3989" t="s">
        <v>681</v>
      </c>
      <c r="P3989" s="5">
        <v>446254</v>
      </c>
      <c r="Q3989" s="5">
        <v>84789</v>
      </c>
      <c r="R3989" s="5">
        <v>531043</v>
      </c>
    </row>
    <row r="3990" spans="1:18" x14ac:dyDescent="0.25">
      <c r="A3990" t="s">
        <v>496</v>
      </c>
      <c r="B3990" t="s">
        <v>494</v>
      </c>
      <c r="C3990">
        <v>91440000</v>
      </c>
      <c r="D3990">
        <v>15</v>
      </c>
      <c r="E3990">
        <v>30858786</v>
      </c>
      <c r="F3990" t="s">
        <v>618</v>
      </c>
      <c r="G3990" s="1">
        <v>45238</v>
      </c>
      <c r="H3990">
        <v>5414596</v>
      </c>
      <c r="I3990">
        <v>63</v>
      </c>
      <c r="J3990" t="s">
        <v>170</v>
      </c>
      <c r="K3990" s="8" t="str">
        <f>IFERROR(IF(AND(VLOOKUP($C3990,Hes!$A:$B, 1, FALSE), $M3990&lt;&gt;" "), "Ingresada", "Falta Ingresar"), " ")</f>
        <v>Falta Ingresar</v>
      </c>
      <c r="L3990" s="4" t="s">
        <v>681</v>
      </c>
      <c r="M3990" t="s">
        <v>681</v>
      </c>
      <c r="O3990" s="5">
        <v>30858786</v>
      </c>
      <c r="P3990" s="5">
        <v>1207194</v>
      </c>
      <c r="Q3990" s="5">
        <v>229367</v>
      </c>
      <c r="R3990" s="5">
        <v>1436561</v>
      </c>
    </row>
    <row r="3991" spans="1:18" x14ac:dyDescent="0.25">
      <c r="F3991" t="s">
        <v>495</v>
      </c>
      <c r="K3991" t="str">
        <f>IFERROR(IF(AND(VLOOKUP($C3991,Hes!$A:$B, 1, FALSE), $M3991&lt;&gt;" "), "Ingresada", "Falta Ingresar"), " ")</f>
        <v xml:space="preserve"> </v>
      </c>
      <c r="L3991" s="4" t="str">
        <f>IFERROR(VLOOKUP($C3991,Observaciones!$A:$B,2,FALSE)," ")</f>
        <v xml:space="preserve"> </v>
      </c>
      <c r="M3991" t="s">
        <v>681</v>
      </c>
      <c r="P3991" s="5">
        <v>1207194</v>
      </c>
      <c r="Q3991" s="5">
        <v>229367</v>
      </c>
      <c r="R3991" s="5">
        <v>1436561</v>
      </c>
    </row>
    <row r="3992" spans="1:18" x14ac:dyDescent="0.25">
      <c r="A3992" t="s">
        <v>71</v>
      </c>
      <c r="B3992" t="s">
        <v>494</v>
      </c>
      <c r="C3992">
        <v>91489000</v>
      </c>
      <c r="D3992">
        <v>15</v>
      </c>
      <c r="E3992">
        <v>4300069298</v>
      </c>
      <c r="F3992" t="s">
        <v>1577</v>
      </c>
      <c r="G3992" s="1">
        <v>45238</v>
      </c>
      <c r="H3992">
        <v>5415427</v>
      </c>
      <c r="I3992">
        <v>411</v>
      </c>
      <c r="J3992" t="s">
        <v>204</v>
      </c>
      <c r="K3992" s="8" t="str">
        <f>IFERROR(IF(AND(VLOOKUP($C3992,Hes!$A:$B, 1, FALSE), $M3992&lt;&gt;" "), "Ingresada", "Falta Ingresar"), " ")</f>
        <v>Falta Ingresar</v>
      </c>
      <c r="L3992" s="4" t="str">
        <f>IFERROR(VLOOKUP($C3992,Observaciones!$A:$B,2,FALSE)," ")</f>
        <v xml:space="preserve"> </v>
      </c>
      <c r="M3992" t="s">
        <v>681</v>
      </c>
      <c r="N3992" s="5" t="s">
        <v>841</v>
      </c>
      <c r="O3992" s="5">
        <v>30849772</v>
      </c>
      <c r="P3992" s="5">
        <v>32473</v>
      </c>
      <c r="Q3992" s="5">
        <v>6170</v>
      </c>
      <c r="R3992" s="5">
        <v>38643</v>
      </c>
    </row>
    <row r="3993" spans="1:18" x14ac:dyDescent="0.25">
      <c r="A3993" t="s">
        <v>71</v>
      </c>
      <c r="B3993" t="s">
        <v>494</v>
      </c>
      <c r="C3993">
        <v>91489000</v>
      </c>
      <c r="D3993">
        <v>19</v>
      </c>
      <c r="E3993">
        <v>4300069352</v>
      </c>
      <c r="F3993" t="s">
        <v>1577</v>
      </c>
      <c r="G3993" s="1">
        <v>45238</v>
      </c>
      <c r="H3993">
        <v>5415444</v>
      </c>
      <c r="I3993">
        <v>411</v>
      </c>
      <c r="J3993" t="s">
        <v>204</v>
      </c>
      <c r="K3993" s="8" t="str">
        <f>IFERROR(IF(AND(VLOOKUP($C3993,Hes!$A:$B, 1, FALSE), $M3993&lt;&gt;" "), "Ingresada", "Falta Ingresar"), " ")</f>
        <v>Falta Ingresar</v>
      </c>
      <c r="L3993" s="4" t="str">
        <f>IFERROR(VLOOKUP($C3993,Observaciones!$A:$B,2,FALSE)," ")</f>
        <v xml:space="preserve"> </v>
      </c>
      <c r="M3993" t="s">
        <v>681</v>
      </c>
      <c r="N3993" s="5" t="s">
        <v>841</v>
      </c>
      <c r="O3993" s="5">
        <v>30849389</v>
      </c>
      <c r="P3993" s="5">
        <v>498674</v>
      </c>
      <c r="Q3993" s="5">
        <v>94748</v>
      </c>
      <c r="R3993" s="5">
        <v>593422</v>
      </c>
    </row>
    <row r="3994" spans="1:18" x14ac:dyDescent="0.25">
      <c r="F3994" t="s">
        <v>497</v>
      </c>
      <c r="K3994" t="str">
        <f>IFERROR(IF(AND(VLOOKUP($C3994,Hes!$A:$B, 1, FALSE), $M3994&lt;&gt;" "), "Ingresada", "Falta Ingresar"), " ")</f>
        <v xml:space="preserve"> </v>
      </c>
      <c r="L3994" s="4" t="str">
        <f>IFERROR(VLOOKUP($C3994,Observaciones!$A:$B,2,FALSE)," ")</f>
        <v xml:space="preserve"> </v>
      </c>
      <c r="M3994" t="s">
        <v>681</v>
      </c>
      <c r="P3994" s="5">
        <v>531147</v>
      </c>
      <c r="Q3994" s="5">
        <v>100918</v>
      </c>
      <c r="R3994" s="5">
        <v>632065</v>
      </c>
    </row>
    <row r="3995" spans="1:18" x14ac:dyDescent="0.25">
      <c r="A3995" t="s">
        <v>1578</v>
      </c>
      <c r="B3995" t="s">
        <v>494</v>
      </c>
      <c r="C3995">
        <v>91520000</v>
      </c>
      <c r="D3995">
        <v>29</v>
      </c>
      <c r="E3995">
        <v>30849779</v>
      </c>
      <c r="F3995" t="s">
        <v>1579</v>
      </c>
      <c r="G3995" s="1">
        <v>45233</v>
      </c>
      <c r="H3995">
        <v>5411403</v>
      </c>
      <c r="I3995">
        <v>63</v>
      </c>
      <c r="J3995" t="s">
        <v>170</v>
      </c>
      <c r="K3995" t="str">
        <f>IFERROR(IF(AND(VLOOKUP($C3995,Hes!$A:$B, 1, FALSE), $M3995&lt;&gt;" "), "Ingresada", "Falta Ingresar"), " ")</f>
        <v xml:space="preserve"> </v>
      </c>
      <c r="L3995" s="4" t="str">
        <f>IFERROR(VLOOKUP($C3995,Observaciones!$A:$B,2,FALSE)," ")</f>
        <v>XRUT</v>
      </c>
      <c r="M3995" t="s">
        <v>681</v>
      </c>
      <c r="O3995" s="5">
        <v>30849779</v>
      </c>
      <c r="P3995" s="5">
        <v>20593</v>
      </c>
      <c r="Q3995" s="5">
        <v>3913</v>
      </c>
      <c r="R3995" s="5">
        <v>24506</v>
      </c>
    </row>
    <row r="3996" spans="1:18" x14ac:dyDescent="0.25">
      <c r="A3996" t="s">
        <v>1578</v>
      </c>
      <c r="B3996" t="s">
        <v>494</v>
      </c>
      <c r="C3996">
        <v>91520000</v>
      </c>
      <c r="D3996">
        <v>21</v>
      </c>
      <c r="E3996">
        <v>30848826</v>
      </c>
      <c r="F3996" t="s">
        <v>1579</v>
      </c>
      <c r="G3996" s="1">
        <v>45233</v>
      </c>
      <c r="H3996">
        <v>5411505</v>
      </c>
      <c r="I3996">
        <v>63</v>
      </c>
      <c r="J3996" t="s">
        <v>170</v>
      </c>
      <c r="K3996" t="str">
        <f>IFERROR(IF(AND(VLOOKUP($C3996,Hes!$A:$B, 1, FALSE), $M3996&lt;&gt;" "), "Ingresada", "Falta Ingresar"), " ")</f>
        <v xml:space="preserve"> </v>
      </c>
      <c r="L3996" s="4" t="str">
        <f>IFERROR(VLOOKUP($C3996,Observaciones!$A:$B,2,FALSE)," ")</f>
        <v>XRUT</v>
      </c>
      <c r="M3996" t="s">
        <v>681</v>
      </c>
      <c r="O3996" s="5">
        <v>30848826</v>
      </c>
      <c r="P3996" s="5">
        <v>126134</v>
      </c>
      <c r="Q3996" s="5">
        <v>23965</v>
      </c>
      <c r="R3996" s="5">
        <v>150099</v>
      </c>
    </row>
    <row r="3997" spans="1:18" x14ac:dyDescent="0.25">
      <c r="A3997" t="s">
        <v>1578</v>
      </c>
      <c r="B3997" t="s">
        <v>494</v>
      </c>
      <c r="C3997">
        <v>91520000</v>
      </c>
      <c r="D3997">
        <v>25</v>
      </c>
      <c r="E3997">
        <v>30850438</v>
      </c>
      <c r="F3997" t="s">
        <v>1579</v>
      </c>
      <c r="G3997" s="1">
        <v>45233</v>
      </c>
      <c r="H3997">
        <v>5411574</v>
      </c>
      <c r="I3997">
        <v>63</v>
      </c>
      <c r="J3997" t="s">
        <v>170</v>
      </c>
      <c r="K3997" t="str">
        <f>IFERROR(IF(AND(VLOOKUP($C3997,Hes!$A:$B, 1, FALSE), $M3997&lt;&gt;" "), "Ingresada", "Falta Ingresar"), " ")</f>
        <v xml:space="preserve"> </v>
      </c>
      <c r="L3997" s="4" t="str">
        <f>IFERROR(VLOOKUP($C3997,Observaciones!$A:$B,2,FALSE)," ")</f>
        <v>XRUT</v>
      </c>
      <c r="M3997" t="s">
        <v>681</v>
      </c>
      <c r="O3997" s="5">
        <v>30850438</v>
      </c>
      <c r="P3997" s="5">
        <v>22383</v>
      </c>
      <c r="Q3997" s="5">
        <v>4253</v>
      </c>
      <c r="R3997" s="5">
        <v>26636</v>
      </c>
    </row>
    <row r="3998" spans="1:18" x14ac:dyDescent="0.25">
      <c r="A3998" t="s">
        <v>1578</v>
      </c>
      <c r="B3998" t="s">
        <v>494</v>
      </c>
      <c r="C3998">
        <v>91520000</v>
      </c>
      <c r="D3998">
        <v>24</v>
      </c>
      <c r="E3998">
        <v>30851142</v>
      </c>
      <c r="F3998" t="s">
        <v>1579</v>
      </c>
      <c r="G3998" s="1">
        <v>45233</v>
      </c>
      <c r="H3998">
        <v>5411642</v>
      </c>
      <c r="I3998">
        <v>63</v>
      </c>
      <c r="J3998" t="s">
        <v>170</v>
      </c>
      <c r="K3998" t="str">
        <f>IFERROR(IF(AND(VLOOKUP($C3998,Hes!$A:$B, 1, FALSE), $M3998&lt;&gt;" "), "Ingresada", "Falta Ingresar"), " ")</f>
        <v xml:space="preserve"> </v>
      </c>
      <c r="L3998" s="4" t="str">
        <f>IFERROR(VLOOKUP($C3998,Observaciones!$A:$B,2,FALSE)," ")</f>
        <v>XRUT</v>
      </c>
      <c r="M3998" t="s">
        <v>681</v>
      </c>
      <c r="O3998" s="5">
        <v>30851142</v>
      </c>
      <c r="P3998" s="5">
        <v>21634</v>
      </c>
      <c r="Q3998" s="5">
        <v>4110</v>
      </c>
      <c r="R3998" s="5">
        <v>25744</v>
      </c>
    </row>
    <row r="3999" spans="1:18" x14ac:dyDescent="0.25">
      <c r="A3999" t="s">
        <v>1578</v>
      </c>
      <c r="B3999" t="s">
        <v>494</v>
      </c>
      <c r="C3999">
        <v>91520000</v>
      </c>
      <c r="D3999">
        <v>1</v>
      </c>
      <c r="E3999">
        <v>30848834</v>
      </c>
      <c r="F3999" t="s">
        <v>1579</v>
      </c>
      <c r="G3999" s="1">
        <v>45236</v>
      </c>
      <c r="H3999">
        <v>5412001</v>
      </c>
      <c r="I3999">
        <v>63</v>
      </c>
      <c r="J3999" t="s">
        <v>170</v>
      </c>
      <c r="K3999" t="str">
        <f>IFERROR(IF(AND(VLOOKUP($C3999,Hes!$A:$B, 1, FALSE), $M3999&lt;&gt;" "), "Ingresada", "Falta Ingresar"), " ")</f>
        <v xml:space="preserve"> </v>
      </c>
      <c r="L3999" s="4" t="str">
        <f>IFERROR(VLOOKUP($C3999,Observaciones!$A:$B,2,FALSE)," ")</f>
        <v>XRUT</v>
      </c>
      <c r="M3999" t="s">
        <v>681</v>
      </c>
      <c r="O3999" s="5">
        <v>30848834</v>
      </c>
      <c r="P3999" s="5">
        <v>141310</v>
      </c>
      <c r="Q3999" s="5">
        <v>26849</v>
      </c>
      <c r="R3999" s="5">
        <v>168159</v>
      </c>
    </row>
    <row r="4000" spans="1:18" x14ac:dyDescent="0.25">
      <c r="F4000" t="s">
        <v>499</v>
      </c>
      <c r="K4000" t="str">
        <f>IFERROR(IF(AND(VLOOKUP($C4000,Hes!$A:$B, 1, FALSE), $M4000&lt;&gt;" "), "Ingresada", "Falta Ingresar"), " ")</f>
        <v xml:space="preserve"> </v>
      </c>
      <c r="L4000" s="4" t="str">
        <f>IFERROR(VLOOKUP($C4000,Observaciones!$A:$B,2,FALSE)," ")</f>
        <v xml:space="preserve"> </v>
      </c>
      <c r="M4000" t="s">
        <v>681</v>
      </c>
      <c r="P4000" s="5">
        <v>332054</v>
      </c>
      <c r="Q4000" s="5">
        <v>63090</v>
      </c>
      <c r="R4000" s="5">
        <v>395144</v>
      </c>
    </row>
    <row r="4001" spans="1:18" x14ac:dyDescent="0.25">
      <c r="A4001" t="s">
        <v>496</v>
      </c>
      <c r="B4001" t="s">
        <v>494</v>
      </c>
      <c r="C4001">
        <v>91546000</v>
      </c>
      <c r="D4001">
        <v>3</v>
      </c>
      <c r="E4001">
        <v>4501399439</v>
      </c>
      <c r="F4001" t="s">
        <v>1580</v>
      </c>
      <c r="G4001" s="1">
        <v>45236</v>
      </c>
      <c r="H4001">
        <v>5412344</v>
      </c>
      <c r="I4001">
        <v>42</v>
      </c>
      <c r="J4001" t="s">
        <v>297</v>
      </c>
      <c r="K4001" s="8" t="str">
        <f>IFERROR(IF(AND(VLOOKUP($C4001,Hes!$A:$B, 1, FALSE), $M4001&lt;&gt;" "), "Ingresada", "Falta Ingresar"), " ")</f>
        <v>Falta Ingresar</v>
      </c>
      <c r="L4001" s="4" t="s">
        <v>681</v>
      </c>
      <c r="M4001" t="s">
        <v>681</v>
      </c>
      <c r="N4001" s="5" t="s">
        <v>841</v>
      </c>
      <c r="O4001" s="5">
        <v>30851788</v>
      </c>
      <c r="P4001" s="5">
        <v>95192</v>
      </c>
      <c r="Q4001" s="5">
        <v>18086</v>
      </c>
      <c r="R4001" s="5">
        <v>113278</v>
      </c>
    </row>
    <row r="4002" spans="1:18" x14ac:dyDescent="0.25">
      <c r="A4002" t="s">
        <v>496</v>
      </c>
      <c r="B4002" t="s">
        <v>494</v>
      </c>
      <c r="C4002">
        <v>91546000</v>
      </c>
      <c r="D4002">
        <v>13</v>
      </c>
      <c r="E4002">
        <v>4501465768</v>
      </c>
      <c r="F4002" t="s">
        <v>1580</v>
      </c>
      <c r="G4002" s="1">
        <v>45236</v>
      </c>
      <c r="H4002">
        <v>5412711</v>
      </c>
      <c r="I4002">
        <v>42</v>
      </c>
      <c r="J4002" t="s">
        <v>297</v>
      </c>
      <c r="K4002" s="8" t="str">
        <f>IFERROR(IF(AND(VLOOKUP($C4002,Hes!$A:$B, 1, FALSE), $M4002&lt;&gt;" "), "Ingresada", "Falta Ingresar"), " ")</f>
        <v>Falta Ingresar</v>
      </c>
      <c r="L4002" s="4" t="s">
        <v>681</v>
      </c>
      <c r="M4002" t="s">
        <v>681</v>
      </c>
      <c r="N4002" s="5" t="s">
        <v>841</v>
      </c>
      <c r="O4002" s="5">
        <v>30852253</v>
      </c>
      <c r="P4002" s="5">
        <v>214954</v>
      </c>
      <c r="Q4002" s="5">
        <v>40841</v>
      </c>
      <c r="R4002" s="5">
        <v>255795</v>
      </c>
    </row>
    <row r="4003" spans="1:18" x14ac:dyDescent="0.25">
      <c r="A4003" t="s">
        <v>496</v>
      </c>
      <c r="B4003" t="s">
        <v>494</v>
      </c>
      <c r="C4003">
        <v>91546000</v>
      </c>
      <c r="D4003">
        <v>18</v>
      </c>
      <c r="E4003">
        <v>4501466098</v>
      </c>
      <c r="F4003" t="s">
        <v>1580</v>
      </c>
      <c r="G4003" s="1">
        <v>45238</v>
      </c>
      <c r="H4003">
        <v>5414949</v>
      </c>
      <c r="I4003">
        <v>42</v>
      </c>
      <c r="J4003" t="s">
        <v>297</v>
      </c>
      <c r="K4003" s="8" t="str">
        <f>IFERROR(IF(AND(VLOOKUP($C4003,Hes!$A:$B, 1, FALSE), $M4003&lt;&gt;" "), "Ingresada", "Falta Ingresar"), " ")</f>
        <v>Falta Ingresar</v>
      </c>
      <c r="L4003" s="4" t="s">
        <v>681</v>
      </c>
      <c r="M4003" t="s">
        <v>681</v>
      </c>
      <c r="N4003" s="5" t="s">
        <v>841</v>
      </c>
      <c r="O4003" s="5">
        <v>30861660</v>
      </c>
      <c r="P4003" s="5">
        <v>62869</v>
      </c>
      <c r="Q4003" s="5">
        <v>11945</v>
      </c>
      <c r="R4003" s="5">
        <v>74814</v>
      </c>
    </row>
    <row r="4004" spans="1:18" x14ac:dyDescent="0.25">
      <c r="F4004" t="s">
        <v>500</v>
      </c>
      <c r="K4004" t="str">
        <f>IFERROR(IF(AND(VLOOKUP($C4004,Hes!$A:$B, 1, FALSE), $M4004&lt;&gt;" "), "Ingresada", "Falta Ingresar"), " ")</f>
        <v xml:space="preserve"> </v>
      </c>
      <c r="L4004" s="4" t="str">
        <f>IFERROR(VLOOKUP($C4004,Observaciones!$A:$B,2,FALSE)," ")</f>
        <v xml:space="preserve"> </v>
      </c>
      <c r="M4004" t="s">
        <v>681</v>
      </c>
      <c r="P4004" s="5">
        <v>373015</v>
      </c>
      <c r="Q4004" s="5">
        <v>70872</v>
      </c>
      <c r="R4004" s="5">
        <v>443887</v>
      </c>
    </row>
    <row r="4005" spans="1:18" x14ac:dyDescent="0.25">
      <c r="A4005" t="s">
        <v>501</v>
      </c>
      <c r="B4005" t="s">
        <v>494</v>
      </c>
      <c r="C4005">
        <v>91619000</v>
      </c>
      <c r="D4005">
        <v>301</v>
      </c>
      <c r="E4005">
        <v>30850763</v>
      </c>
      <c r="F4005" t="s">
        <v>1581</v>
      </c>
      <c r="G4005" s="1">
        <v>45233</v>
      </c>
      <c r="H4005">
        <v>5411569</v>
      </c>
      <c r="I4005">
        <v>82</v>
      </c>
      <c r="J4005" t="s">
        <v>238</v>
      </c>
      <c r="K4005" t="str">
        <f>IFERROR(IF(AND(VLOOKUP($C4005,Hes!$A:$B, 1, FALSE), $M4005&lt;&gt;" "), "Ingresada", "Falta Ingresar"), " ")</f>
        <v xml:space="preserve"> </v>
      </c>
      <c r="L4005" s="4" t="str">
        <f>IFERROR(VLOOKUP($C4005,Observaciones!$A:$B,2,FALSE)," ")</f>
        <v>OC 45000000... INDIVIDUAL XOC Y CC, EL RESTO VENDEDOR DEBE ENVIAR INF Y OC SINO FACT XRUT</v>
      </c>
      <c r="M4005" t="s">
        <v>681</v>
      </c>
      <c r="O4005" s="5">
        <v>30850763</v>
      </c>
      <c r="P4005" s="5">
        <v>29917</v>
      </c>
      <c r="Q4005" s="5">
        <v>5684</v>
      </c>
      <c r="R4005" s="5">
        <v>35601</v>
      </c>
    </row>
    <row r="4006" spans="1:18" x14ac:dyDescent="0.25">
      <c r="A4006" t="s">
        <v>501</v>
      </c>
      <c r="B4006" t="s">
        <v>494</v>
      </c>
      <c r="C4006">
        <v>91619000</v>
      </c>
      <c r="D4006">
        <v>905</v>
      </c>
      <c r="E4006">
        <v>30851110</v>
      </c>
      <c r="F4006" t="s">
        <v>1581</v>
      </c>
      <c r="G4006" s="1">
        <v>45233</v>
      </c>
      <c r="H4006">
        <v>5411719</v>
      </c>
      <c r="I4006">
        <v>82</v>
      </c>
      <c r="J4006" t="s">
        <v>238</v>
      </c>
      <c r="K4006" t="str">
        <f>IFERROR(IF(AND(VLOOKUP($C4006,Hes!$A:$B, 1, FALSE), $M4006&lt;&gt;" "), "Ingresada", "Falta Ingresar"), " ")</f>
        <v xml:space="preserve"> </v>
      </c>
      <c r="L4006" s="4" t="str">
        <f>IFERROR(VLOOKUP($C4006,Observaciones!$A:$B,2,FALSE)," ")</f>
        <v>OC 45000000... INDIVIDUAL XOC Y CC, EL RESTO VENDEDOR DEBE ENVIAR INF Y OC SINO FACT XRUT</v>
      </c>
      <c r="M4006" t="s">
        <v>681</v>
      </c>
      <c r="O4006" s="5">
        <v>30851110</v>
      </c>
      <c r="P4006" s="5">
        <v>99814</v>
      </c>
      <c r="Q4006" s="5">
        <v>18965</v>
      </c>
      <c r="R4006" s="5">
        <v>118779</v>
      </c>
    </row>
    <row r="4007" spans="1:18" x14ac:dyDescent="0.25">
      <c r="A4007" t="s">
        <v>501</v>
      </c>
      <c r="B4007" t="s">
        <v>494</v>
      </c>
      <c r="C4007">
        <v>91619000</v>
      </c>
      <c r="D4007">
        <v>906</v>
      </c>
      <c r="E4007">
        <v>30856940</v>
      </c>
      <c r="F4007" t="s">
        <v>1581</v>
      </c>
      <c r="G4007" s="1">
        <v>45236</v>
      </c>
      <c r="H4007">
        <v>5413244</v>
      </c>
      <c r="I4007">
        <v>82</v>
      </c>
      <c r="J4007" t="s">
        <v>238</v>
      </c>
      <c r="K4007" t="str">
        <f>IFERROR(IF(AND(VLOOKUP($C4007,Hes!$A:$B, 1, FALSE), $M4007&lt;&gt;" "), "Ingresada", "Falta Ingresar"), " ")</f>
        <v xml:space="preserve"> </v>
      </c>
      <c r="L4007" s="4" t="str">
        <f>IFERROR(VLOOKUP($C4007,Observaciones!$A:$B,2,FALSE)," ")</f>
        <v>OC 45000000... INDIVIDUAL XOC Y CC, EL RESTO VENDEDOR DEBE ENVIAR INF Y OC SINO FACT XRUT</v>
      </c>
      <c r="M4007" t="s">
        <v>681</v>
      </c>
      <c r="O4007" s="5">
        <v>30856940</v>
      </c>
      <c r="P4007" s="5">
        <v>20050</v>
      </c>
      <c r="Q4007" s="5">
        <v>3810</v>
      </c>
      <c r="R4007" s="5">
        <v>23860</v>
      </c>
    </row>
    <row r="4008" spans="1:18" x14ac:dyDescent="0.25">
      <c r="A4008" t="s">
        <v>501</v>
      </c>
      <c r="B4008" t="s">
        <v>494</v>
      </c>
      <c r="C4008">
        <v>91619000</v>
      </c>
      <c r="D4008">
        <v>902</v>
      </c>
      <c r="E4008">
        <v>30854274</v>
      </c>
      <c r="F4008" t="s">
        <v>1581</v>
      </c>
      <c r="G4008" s="1">
        <v>45236</v>
      </c>
      <c r="H4008">
        <v>5413267</v>
      </c>
      <c r="I4008">
        <v>82</v>
      </c>
      <c r="J4008" t="s">
        <v>238</v>
      </c>
      <c r="K4008" t="str">
        <f>IFERROR(IF(AND(VLOOKUP($C4008,Hes!$A:$B, 1, FALSE), $M4008&lt;&gt;" "), "Ingresada", "Falta Ingresar"), " ")</f>
        <v xml:space="preserve"> </v>
      </c>
      <c r="L4008" s="4" t="str">
        <f>IFERROR(VLOOKUP($C4008,Observaciones!$A:$B,2,FALSE)," ")</f>
        <v>OC 45000000... INDIVIDUAL XOC Y CC, EL RESTO VENDEDOR DEBE ENVIAR INF Y OC SINO FACT XRUT</v>
      </c>
      <c r="M4008" t="s">
        <v>681</v>
      </c>
      <c r="O4008" s="5">
        <v>30854274</v>
      </c>
      <c r="P4008" s="5">
        <v>83306</v>
      </c>
      <c r="Q4008" s="5">
        <v>15828</v>
      </c>
      <c r="R4008" s="5">
        <v>99134</v>
      </c>
    </row>
    <row r="4009" spans="1:18" x14ac:dyDescent="0.25">
      <c r="A4009" t="s">
        <v>501</v>
      </c>
      <c r="B4009" t="s">
        <v>494</v>
      </c>
      <c r="C4009">
        <v>91619000</v>
      </c>
      <c r="D4009">
        <v>906</v>
      </c>
      <c r="E4009">
        <v>30850385</v>
      </c>
      <c r="F4009" t="s">
        <v>1581</v>
      </c>
      <c r="G4009" s="1">
        <v>45236</v>
      </c>
      <c r="H4009">
        <v>5413331</v>
      </c>
      <c r="I4009">
        <v>82</v>
      </c>
      <c r="J4009" t="s">
        <v>238</v>
      </c>
      <c r="K4009" t="str">
        <f>IFERROR(IF(AND(VLOOKUP($C4009,Hes!$A:$B, 1, FALSE), $M4009&lt;&gt;" "), "Ingresada", "Falta Ingresar"), " ")</f>
        <v xml:space="preserve"> </v>
      </c>
      <c r="L4009" s="4" t="str">
        <f>IFERROR(VLOOKUP($C4009,Observaciones!$A:$B,2,FALSE)," ")</f>
        <v>OC 45000000... INDIVIDUAL XOC Y CC, EL RESTO VENDEDOR DEBE ENVIAR INF Y OC SINO FACT XRUT</v>
      </c>
      <c r="M4009" t="s">
        <v>681</v>
      </c>
      <c r="O4009" s="5">
        <v>30850385</v>
      </c>
      <c r="P4009" s="5">
        <v>79825</v>
      </c>
      <c r="Q4009" s="5">
        <v>15167</v>
      </c>
      <c r="R4009" s="5">
        <v>94992</v>
      </c>
    </row>
    <row r="4010" spans="1:18" x14ac:dyDescent="0.25">
      <c r="A4010" t="s">
        <v>501</v>
      </c>
      <c r="B4010" t="s">
        <v>494</v>
      </c>
      <c r="C4010">
        <v>91619000</v>
      </c>
      <c r="D4010">
        <v>0</v>
      </c>
      <c r="E4010">
        <v>4501174008</v>
      </c>
      <c r="F4010" t="s">
        <v>1581</v>
      </c>
      <c r="G4010" s="1">
        <v>45236</v>
      </c>
      <c r="H4010">
        <v>5413831</v>
      </c>
      <c r="I4010">
        <v>82</v>
      </c>
      <c r="J4010" t="s">
        <v>238</v>
      </c>
      <c r="K4010" t="str">
        <f>IFERROR(IF(AND(VLOOKUP($C4010,Hes!$A:$B, 1, FALSE), $M4010&lt;&gt;" "), "Ingresada", "Falta Ingresar"), " ")</f>
        <v xml:space="preserve"> </v>
      </c>
      <c r="L4010" s="4" t="str">
        <f>IFERROR(VLOOKUP($C4010,Observaciones!$A:$B,2,FALSE)," ")</f>
        <v>OC 45000000... INDIVIDUAL XOC Y CC, EL RESTO VENDEDOR DEBE ENVIAR INF Y OC SINO FACT XRUT</v>
      </c>
      <c r="M4010" t="s">
        <v>681</v>
      </c>
      <c r="O4010" s="5">
        <v>30855075</v>
      </c>
      <c r="P4010" s="5">
        <v>72560</v>
      </c>
      <c r="Q4010" s="5">
        <v>13786</v>
      </c>
      <c r="R4010" s="5">
        <v>86346</v>
      </c>
    </row>
    <row r="4011" spans="1:18" x14ac:dyDescent="0.25">
      <c r="A4011" t="s">
        <v>501</v>
      </c>
      <c r="B4011" t="s">
        <v>494</v>
      </c>
      <c r="C4011">
        <v>91619000</v>
      </c>
      <c r="D4011">
        <v>909</v>
      </c>
      <c r="E4011">
        <v>30859374</v>
      </c>
      <c r="F4011" t="s">
        <v>1581</v>
      </c>
      <c r="G4011" s="1">
        <v>45237</v>
      </c>
      <c r="H4011">
        <v>5414020</v>
      </c>
      <c r="I4011">
        <v>82</v>
      </c>
      <c r="J4011" t="s">
        <v>238</v>
      </c>
      <c r="K4011" t="str">
        <f>IFERROR(IF(AND(VLOOKUP($C4011,Hes!$A:$B, 1, FALSE), $M4011&lt;&gt;" "), "Ingresada", "Falta Ingresar"), " ")</f>
        <v xml:space="preserve"> </v>
      </c>
      <c r="L4011" s="4" t="str">
        <f>IFERROR(VLOOKUP($C4011,Observaciones!$A:$B,2,FALSE)," ")</f>
        <v>OC 45000000... INDIVIDUAL XOC Y CC, EL RESTO VENDEDOR DEBE ENVIAR INF Y OC SINO FACT XRUT</v>
      </c>
      <c r="M4011" t="s">
        <v>681</v>
      </c>
      <c r="O4011" s="5">
        <v>30859374</v>
      </c>
      <c r="P4011" s="5">
        <v>20496</v>
      </c>
      <c r="Q4011" s="5">
        <v>3894</v>
      </c>
      <c r="R4011" s="5">
        <v>24390</v>
      </c>
    </row>
    <row r="4012" spans="1:18" x14ac:dyDescent="0.25">
      <c r="A4012" t="s">
        <v>501</v>
      </c>
      <c r="B4012" t="s">
        <v>494</v>
      </c>
      <c r="C4012">
        <v>91619000</v>
      </c>
      <c r="D4012">
        <v>0</v>
      </c>
      <c r="E4012">
        <v>4501174942</v>
      </c>
      <c r="F4012" t="s">
        <v>1581</v>
      </c>
      <c r="G4012" s="1">
        <v>45238</v>
      </c>
      <c r="H4012">
        <v>5415204</v>
      </c>
      <c r="I4012">
        <v>82</v>
      </c>
      <c r="J4012" t="s">
        <v>238</v>
      </c>
      <c r="K4012" t="str">
        <f>IFERROR(IF(AND(VLOOKUP($C4012,Hes!$A:$B, 1, FALSE), $M4012&lt;&gt;" "), "Ingresada", "Falta Ingresar"), " ")</f>
        <v xml:space="preserve"> </v>
      </c>
      <c r="L4012" s="4" t="str">
        <f>IFERROR(VLOOKUP($C4012,Observaciones!$A:$B,2,FALSE)," ")</f>
        <v>OC 45000000... INDIVIDUAL XOC Y CC, EL RESTO VENDEDOR DEBE ENVIAR INF Y OC SINO FACT XRUT</v>
      </c>
      <c r="M4012" t="s">
        <v>681</v>
      </c>
      <c r="O4012" s="5">
        <v>30862073</v>
      </c>
      <c r="P4012" s="5">
        <v>20130</v>
      </c>
      <c r="Q4012" s="5">
        <v>3825</v>
      </c>
      <c r="R4012" s="5">
        <v>23955</v>
      </c>
    </row>
    <row r="4013" spans="1:18" x14ac:dyDescent="0.25">
      <c r="A4013" t="s">
        <v>501</v>
      </c>
      <c r="B4013" t="s">
        <v>494</v>
      </c>
      <c r="C4013">
        <v>91619000</v>
      </c>
      <c r="D4013">
        <v>344</v>
      </c>
      <c r="E4013">
        <v>30861540</v>
      </c>
      <c r="F4013" t="s">
        <v>1581</v>
      </c>
      <c r="G4013" s="1">
        <v>45237</v>
      </c>
      <c r="H4013">
        <v>5415270</v>
      </c>
      <c r="I4013">
        <v>82</v>
      </c>
      <c r="J4013" t="s">
        <v>238</v>
      </c>
      <c r="K4013" t="str">
        <f>IFERROR(IF(AND(VLOOKUP($C4013,Hes!$A:$B, 1, FALSE), $M4013&lt;&gt;" "), "Ingresada", "Falta Ingresar"), " ")</f>
        <v xml:space="preserve"> </v>
      </c>
      <c r="L4013" s="4" t="str">
        <f>IFERROR(VLOOKUP($C4013,Observaciones!$A:$B,2,FALSE)," ")</f>
        <v>OC 45000000... INDIVIDUAL XOC Y CC, EL RESTO VENDEDOR DEBE ENVIAR INF Y OC SINO FACT XRUT</v>
      </c>
      <c r="M4013" t="s">
        <v>681</v>
      </c>
      <c r="O4013" s="5">
        <v>30861540</v>
      </c>
      <c r="P4013" s="5">
        <v>82919</v>
      </c>
      <c r="Q4013" s="5">
        <v>15755</v>
      </c>
      <c r="R4013" s="5">
        <v>98674</v>
      </c>
    </row>
    <row r="4014" spans="1:18" x14ac:dyDescent="0.25">
      <c r="F4014" t="s">
        <v>514</v>
      </c>
      <c r="K4014" t="str">
        <f>IFERROR(IF(AND(VLOOKUP($C4014,Hes!$A:$B, 1, FALSE), $M4014&lt;&gt;" "), "Ingresada", "Falta Ingresar"), " ")</f>
        <v xml:space="preserve"> </v>
      </c>
      <c r="L4014" s="4" t="str">
        <f>IFERROR(VLOOKUP($C4014,Observaciones!$A:$B,2,FALSE)," ")</f>
        <v xml:space="preserve"> </v>
      </c>
      <c r="M4014" t="s">
        <v>681</v>
      </c>
      <c r="P4014" s="5">
        <v>509017</v>
      </c>
      <c r="Q4014" s="5">
        <v>96714</v>
      </c>
      <c r="R4014" s="5">
        <v>605731</v>
      </c>
    </row>
    <row r="4015" spans="1:18" x14ac:dyDescent="0.25">
      <c r="A4015" t="s">
        <v>621</v>
      </c>
      <c r="B4015" t="s">
        <v>502</v>
      </c>
      <c r="C4015">
        <v>91637000</v>
      </c>
      <c r="D4015">
        <v>83</v>
      </c>
      <c r="E4015">
        <v>30851853</v>
      </c>
      <c r="F4015" t="s">
        <v>1582</v>
      </c>
      <c r="G4015" s="1">
        <v>45233</v>
      </c>
      <c r="H4015">
        <v>5411748</v>
      </c>
      <c r="I4015">
        <v>96</v>
      </c>
      <c r="J4015" t="s">
        <v>140</v>
      </c>
      <c r="K4015" s="8" t="str">
        <f>IFERROR(IF(AND(VLOOKUP($C4015,Hes!$A:$B, 1, FALSE), $M4015&lt;&gt;" "), "Ingresada", "Falta Ingresar"), " ")</f>
        <v>Falta Ingresar</v>
      </c>
      <c r="L4015" s="4" t="str">
        <f>IFERROR(VLOOKUP($C4015,Observaciones!$A:$B,2,FALSE)," ")</f>
        <v>OC 41000000... INDIVIDUAL XOC Y CC, EL RESTO VENDEDOR DEBE ENVIAR INF Y OC SINO FACT XRUT</v>
      </c>
      <c r="M4015" t="s">
        <v>681</v>
      </c>
      <c r="N4015" s="5" t="s">
        <v>841</v>
      </c>
      <c r="O4015" s="5">
        <v>30851853</v>
      </c>
      <c r="P4015" s="5">
        <v>49990</v>
      </c>
      <c r="Q4015" s="5">
        <v>9498</v>
      </c>
      <c r="R4015" s="5">
        <v>59488</v>
      </c>
    </row>
    <row r="4016" spans="1:18" x14ac:dyDescent="0.25">
      <c r="A4016" t="s">
        <v>621</v>
      </c>
      <c r="B4016" t="s">
        <v>502</v>
      </c>
      <c r="C4016">
        <v>91637000</v>
      </c>
      <c r="D4016">
        <v>78</v>
      </c>
      <c r="E4016">
        <v>30854003</v>
      </c>
      <c r="F4016" t="s">
        <v>1582</v>
      </c>
      <c r="G4016" s="1">
        <v>45236</v>
      </c>
      <c r="H4016">
        <v>5412642</v>
      </c>
      <c r="I4016">
        <v>96</v>
      </c>
      <c r="J4016" t="s">
        <v>140</v>
      </c>
      <c r="K4016" s="8" t="str">
        <f>IFERROR(IF(AND(VLOOKUP($C4016,Hes!$A:$B, 1, FALSE), $M4016&lt;&gt;" "), "Ingresada", "Falta Ingresar"), " ")</f>
        <v>Falta Ingresar</v>
      </c>
      <c r="L4016" s="4" t="str">
        <f>IFERROR(VLOOKUP($C4016,Observaciones!$A:$B,2,FALSE)," ")</f>
        <v>OC 41000000... INDIVIDUAL XOC Y CC, EL RESTO VENDEDOR DEBE ENVIAR INF Y OC SINO FACT XRUT</v>
      </c>
      <c r="M4016" t="s">
        <v>681</v>
      </c>
      <c r="N4016" s="5" t="s">
        <v>841</v>
      </c>
      <c r="O4016" s="5">
        <v>30854003</v>
      </c>
      <c r="P4016" s="5">
        <v>31498</v>
      </c>
      <c r="Q4016" s="5">
        <v>5985</v>
      </c>
      <c r="R4016" s="5">
        <v>37483</v>
      </c>
    </row>
    <row r="4017" spans="1:18" x14ac:dyDescent="0.25">
      <c r="A4017" t="s">
        <v>621</v>
      </c>
      <c r="B4017" t="s">
        <v>502</v>
      </c>
      <c r="C4017">
        <v>91637000</v>
      </c>
      <c r="D4017">
        <v>43</v>
      </c>
      <c r="E4017">
        <v>30854085</v>
      </c>
      <c r="F4017" t="s">
        <v>1582</v>
      </c>
      <c r="G4017" s="1">
        <v>45236</v>
      </c>
      <c r="H4017">
        <v>5413545</v>
      </c>
      <c r="I4017">
        <v>96</v>
      </c>
      <c r="J4017" t="s">
        <v>140</v>
      </c>
      <c r="K4017" s="8" t="str">
        <f>IFERROR(IF(AND(VLOOKUP($C4017,Hes!$A:$B, 1, FALSE), $M4017&lt;&gt;" "), "Ingresada", "Falta Ingresar"), " ")</f>
        <v>Falta Ingresar</v>
      </c>
      <c r="L4017" s="4" t="str">
        <f>IFERROR(VLOOKUP($C4017,Observaciones!$A:$B,2,FALSE)," ")</f>
        <v>OC 41000000... INDIVIDUAL XOC Y CC, EL RESTO VENDEDOR DEBE ENVIAR INF Y OC SINO FACT XRUT</v>
      </c>
      <c r="M4017" t="s">
        <v>681</v>
      </c>
      <c r="N4017" s="5" t="s">
        <v>841</v>
      </c>
      <c r="O4017" s="5">
        <v>30854085</v>
      </c>
      <c r="P4017" s="5">
        <v>143114</v>
      </c>
      <c r="Q4017" s="5">
        <v>27192</v>
      </c>
      <c r="R4017" s="5">
        <v>170306</v>
      </c>
    </row>
    <row r="4018" spans="1:18" x14ac:dyDescent="0.25">
      <c r="A4018" t="s">
        <v>621</v>
      </c>
      <c r="B4018" t="s">
        <v>502</v>
      </c>
      <c r="C4018">
        <v>91637000</v>
      </c>
      <c r="D4018">
        <v>75</v>
      </c>
      <c r="E4018">
        <v>30854570</v>
      </c>
      <c r="F4018" t="s">
        <v>1582</v>
      </c>
      <c r="G4018" s="1">
        <v>45236</v>
      </c>
      <c r="H4018">
        <v>5413774</v>
      </c>
      <c r="I4018">
        <v>96</v>
      </c>
      <c r="J4018" t="s">
        <v>140</v>
      </c>
      <c r="K4018" s="8" t="str">
        <f>IFERROR(IF(AND(VLOOKUP($C4018,Hes!$A:$B, 1, FALSE), $M4018&lt;&gt;" "), "Ingresada", "Falta Ingresar"), " ")</f>
        <v>Falta Ingresar</v>
      </c>
      <c r="L4018" s="4" t="str">
        <f>IFERROR(VLOOKUP($C4018,Observaciones!$A:$B,2,FALSE)," ")</f>
        <v>OC 41000000... INDIVIDUAL XOC Y CC, EL RESTO VENDEDOR DEBE ENVIAR INF Y OC SINO FACT XRUT</v>
      </c>
      <c r="M4018" t="s">
        <v>681</v>
      </c>
      <c r="N4018" s="5" t="s">
        <v>841</v>
      </c>
      <c r="O4018" s="5">
        <v>30854570</v>
      </c>
      <c r="P4018" s="5">
        <v>232755</v>
      </c>
      <c r="Q4018" s="5">
        <v>44223</v>
      </c>
      <c r="R4018" s="5">
        <v>276978</v>
      </c>
    </row>
    <row r="4019" spans="1:18" x14ac:dyDescent="0.25">
      <c r="A4019" t="s">
        <v>621</v>
      </c>
      <c r="B4019" t="s">
        <v>502</v>
      </c>
      <c r="C4019">
        <v>91637000</v>
      </c>
      <c r="D4019">
        <v>65</v>
      </c>
      <c r="E4019">
        <v>30854316</v>
      </c>
      <c r="F4019" t="s">
        <v>1582</v>
      </c>
      <c r="G4019" s="1">
        <v>45236</v>
      </c>
      <c r="H4019">
        <v>5413778</v>
      </c>
      <c r="I4019">
        <v>96</v>
      </c>
      <c r="J4019" t="s">
        <v>140</v>
      </c>
      <c r="K4019" s="8" t="str">
        <f>IFERROR(IF(AND(VLOOKUP($C4019,Hes!$A:$B, 1, FALSE), $M4019&lt;&gt;" "), "Ingresada", "Falta Ingresar"), " ")</f>
        <v>Falta Ingresar</v>
      </c>
      <c r="L4019" s="4" t="str">
        <f>IFERROR(VLOOKUP($C4019,Observaciones!$A:$B,2,FALSE)," ")</f>
        <v>OC 41000000... INDIVIDUAL XOC Y CC, EL RESTO VENDEDOR DEBE ENVIAR INF Y OC SINO FACT XRUT</v>
      </c>
      <c r="M4019" t="s">
        <v>681</v>
      </c>
      <c r="N4019" s="5" t="s">
        <v>841</v>
      </c>
      <c r="O4019" s="5">
        <v>30854316</v>
      </c>
      <c r="P4019" s="5">
        <v>99616</v>
      </c>
      <c r="Q4019" s="5">
        <v>18927</v>
      </c>
      <c r="R4019" s="5">
        <v>118543</v>
      </c>
    </row>
    <row r="4020" spans="1:18" x14ac:dyDescent="0.25">
      <c r="A4020" t="s">
        <v>621</v>
      </c>
      <c r="B4020" t="s">
        <v>502</v>
      </c>
      <c r="C4020">
        <v>91637000</v>
      </c>
      <c r="D4020">
        <v>62</v>
      </c>
      <c r="E4020">
        <v>30854536</v>
      </c>
      <c r="F4020" t="s">
        <v>1582</v>
      </c>
      <c r="G4020" s="1">
        <v>45236</v>
      </c>
      <c r="H4020">
        <v>5413835</v>
      </c>
      <c r="I4020">
        <v>96</v>
      </c>
      <c r="J4020" t="s">
        <v>140</v>
      </c>
      <c r="K4020" s="8" t="str">
        <f>IFERROR(IF(AND(VLOOKUP($C4020,Hes!$A:$B, 1, FALSE), $M4020&lt;&gt;" "), "Ingresada", "Falta Ingresar"), " ")</f>
        <v>Falta Ingresar</v>
      </c>
      <c r="L4020" s="4" t="str">
        <f>IFERROR(VLOOKUP($C4020,Observaciones!$A:$B,2,FALSE)," ")</f>
        <v>OC 41000000... INDIVIDUAL XOC Y CC, EL RESTO VENDEDOR DEBE ENVIAR INF Y OC SINO FACT XRUT</v>
      </c>
      <c r="M4020" t="s">
        <v>681</v>
      </c>
      <c r="N4020" s="5" t="s">
        <v>841</v>
      </c>
      <c r="O4020" s="5">
        <v>30854536</v>
      </c>
      <c r="P4020" s="5">
        <v>255930</v>
      </c>
      <c r="Q4020" s="5">
        <v>48627</v>
      </c>
      <c r="R4020" s="5">
        <v>304557</v>
      </c>
    </row>
    <row r="4021" spans="1:18" x14ac:dyDescent="0.25">
      <c r="A4021" t="s">
        <v>621</v>
      </c>
      <c r="B4021" t="s">
        <v>502</v>
      </c>
      <c r="C4021">
        <v>91637000</v>
      </c>
      <c r="D4021">
        <v>193</v>
      </c>
      <c r="E4021">
        <v>30859774</v>
      </c>
      <c r="F4021" t="s">
        <v>1582</v>
      </c>
      <c r="G4021" s="1">
        <v>45237</v>
      </c>
      <c r="H4021">
        <v>5414152</v>
      </c>
      <c r="I4021">
        <v>96</v>
      </c>
      <c r="J4021" t="s">
        <v>140</v>
      </c>
      <c r="K4021" s="8" t="str">
        <f>IFERROR(IF(AND(VLOOKUP($C4021,Hes!$A:$B, 1, FALSE), $M4021&lt;&gt;" "), "Ingresada", "Falta Ingresar"), " ")</f>
        <v>Falta Ingresar</v>
      </c>
      <c r="L4021" s="4" t="str">
        <f>IFERROR(VLOOKUP($C4021,Observaciones!$A:$B,2,FALSE)," ")</f>
        <v>OC 41000000... INDIVIDUAL XOC Y CC, EL RESTO VENDEDOR DEBE ENVIAR INF Y OC SINO FACT XRUT</v>
      </c>
      <c r="M4021" t="s">
        <v>681</v>
      </c>
      <c r="N4021" s="5" t="s">
        <v>841</v>
      </c>
      <c r="O4021" s="5">
        <v>30859774</v>
      </c>
      <c r="P4021" s="5">
        <v>49999</v>
      </c>
      <c r="Q4021" s="5">
        <v>9500</v>
      </c>
      <c r="R4021" s="5">
        <v>59499</v>
      </c>
    </row>
    <row r="4022" spans="1:18" x14ac:dyDescent="0.25">
      <c r="A4022" t="s">
        <v>621</v>
      </c>
      <c r="B4022" t="s">
        <v>502</v>
      </c>
      <c r="C4022">
        <v>91637000</v>
      </c>
      <c r="D4022">
        <v>198</v>
      </c>
      <c r="E4022">
        <v>30860377</v>
      </c>
      <c r="F4022" t="s">
        <v>1582</v>
      </c>
      <c r="G4022" s="1">
        <v>45237</v>
      </c>
      <c r="H4022">
        <v>5414166</v>
      </c>
      <c r="I4022">
        <v>96</v>
      </c>
      <c r="J4022" t="s">
        <v>140</v>
      </c>
      <c r="K4022" s="8" t="str">
        <f>IFERROR(IF(AND(VLOOKUP($C4022,Hes!$A:$B, 1, FALSE), $M4022&lt;&gt;" "), "Ingresada", "Falta Ingresar"), " ")</f>
        <v>Falta Ingresar</v>
      </c>
      <c r="L4022" s="4" t="str">
        <f>IFERROR(VLOOKUP($C4022,Observaciones!$A:$B,2,FALSE)," ")</f>
        <v>OC 41000000... INDIVIDUAL XOC Y CC, EL RESTO VENDEDOR DEBE ENVIAR INF Y OC SINO FACT XRUT</v>
      </c>
      <c r="M4022" t="s">
        <v>681</v>
      </c>
      <c r="N4022" s="5" t="s">
        <v>841</v>
      </c>
      <c r="O4022" s="5">
        <v>30860377</v>
      </c>
      <c r="P4022" s="5">
        <v>24904</v>
      </c>
      <c r="Q4022" s="5">
        <v>4732</v>
      </c>
      <c r="R4022" s="5">
        <v>29636</v>
      </c>
    </row>
    <row r="4023" spans="1:18" x14ac:dyDescent="0.25">
      <c r="A4023" t="s">
        <v>621</v>
      </c>
      <c r="B4023" t="s">
        <v>502</v>
      </c>
      <c r="C4023">
        <v>91637000</v>
      </c>
      <c r="D4023">
        <v>37</v>
      </c>
      <c r="E4023">
        <v>30860003</v>
      </c>
      <c r="F4023" t="s">
        <v>1582</v>
      </c>
      <c r="G4023" s="1">
        <v>45237</v>
      </c>
      <c r="H4023">
        <v>5414208</v>
      </c>
      <c r="I4023">
        <v>96</v>
      </c>
      <c r="J4023" t="s">
        <v>140</v>
      </c>
      <c r="K4023" s="8" t="str">
        <f>IFERROR(IF(AND(VLOOKUP($C4023,Hes!$A:$B, 1, FALSE), $M4023&lt;&gt;" "), "Ingresada", "Falta Ingresar"), " ")</f>
        <v>Falta Ingresar</v>
      </c>
      <c r="L4023" s="4" t="str">
        <f>IFERROR(VLOOKUP($C4023,Observaciones!$A:$B,2,FALSE)," ")</f>
        <v>OC 41000000... INDIVIDUAL XOC Y CC, EL RESTO VENDEDOR DEBE ENVIAR INF Y OC SINO FACT XRUT</v>
      </c>
      <c r="M4023" t="s">
        <v>681</v>
      </c>
      <c r="N4023" s="5" t="s">
        <v>841</v>
      </c>
      <c r="O4023" s="5">
        <v>30860003</v>
      </c>
      <c r="P4023" s="5">
        <v>99364</v>
      </c>
      <c r="Q4023" s="5">
        <v>18879</v>
      </c>
      <c r="R4023" s="5">
        <v>118243</v>
      </c>
    </row>
    <row r="4024" spans="1:18" x14ac:dyDescent="0.25">
      <c r="A4024" t="s">
        <v>621</v>
      </c>
      <c r="B4024" t="s">
        <v>502</v>
      </c>
      <c r="C4024">
        <v>91637000</v>
      </c>
      <c r="D4024">
        <v>64</v>
      </c>
      <c r="E4024">
        <v>30860410</v>
      </c>
      <c r="F4024" t="s">
        <v>1582</v>
      </c>
      <c r="G4024" s="1">
        <v>45237</v>
      </c>
      <c r="H4024">
        <v>5414212</v>
      </c>
      <c r="I4024">
        <v>96</v>
      </c>
      <c r="J4024" t="s">
        <v>140</v>
      </c>
      <c r="K4024" s="8" t="str">
        <f>IFERROR(IF(AND(VLOOKUP($C4024,Hes!$A:$B, 1, FALSE), $M4024&lt;&gt;" "), "Ingresada", "Falta Ingresar"), " ")</f>
        <v>Falta Ingresar</v>
      </c>
      <c r="L4024" s="4" t="str">
        <f>IFERROR(VLOOKUP($C4024,Observaciones!$A:$B,2,FALSE)," ")</f>
        <v>OC 41000000... INDIVIDUAL XOC Y CC, EL RESTO VENDEDOR DEBE ENVIAR INF Y OC SINO FACT XRUT</v>
      </c>
      <c r="M4024" t="s">
        <v>681</v>
      </c>
      <c r="N4024" s="5" t="s">
        <v>841</v>
      </c>
      <c r="O4024" s="5">
        <v>30860410</v>
      </c>
      <c r="P4024" s="5">
        <v>90407</v>
      </c>
      <c r="Q4024" s="5">
        <v>17177</v>
      </c>
      <c r="R4024" s="5">
        <v>107584</v>
      </c>
    </row>
    <row r="4025" spans="1:18" x14ac:dyDescent="0.25">
      <c r="A4025" t="s">
        <v>621</v>
      </c>
      <c r="B4025" t="s">
        <v>502</v>
      </c>
      <c r="C4025">
        <v>91637000</v>
      </c>
      <c r="D4025">
        <v>203</v>
      </c>
      <c r="E4025">
        <v>30859506</v>
      </c>
      <c r="F4025" t="s">
        <v>1582</v>
      </c>
      <c r="G4025" s="1">
        <v>45237</v>
      </c>
      <c r="H4025">
        <v>5414276</v>
      </c>
      <c r="I4025">
        <v>96</v>
      </c>
      <c r="J4025" t="s">
        <v>140</v>
      </c>
      <c r="K4025" s="8" t="str">
        <f>IFERROR(IF(AND(VLOOKUP($C4025,Hes!$A:$B, 1, FALSE), $M4025&lt;&gt;" "), "Ingresada", "Falta Ingresar"), " ")</f>
        <v>Falta Ingresar</v>
      </c>
      <c r="L4025" s="4" t="str">
        <f>IFERROR(VLOOKUP($C4025,Observaciones!$A:$B,2,FALSE)," ")</f>
        <v>OC 41000000... INDIVIDUAL XOC Y CC, EL RESTO VENDEDOR DEBE ENVIAR INF Y OC SINO FACT XRUT</v>
      </c>
      <c r="M4025" t="s">
        <v>681</v>
      </c>
      <c r="N4025" s="5" t="s">
        <v>841</v>
      </c>
      <c r="O4025" s="5">
        <v>30859506</v>
      </c>
      <c r="P4025" s="5">
        <v>69630</v>
      </c>
      <c r="Q4025" s="5">
        <v>13230</v>
      </c>
      <c r="R4025" s="5">
        <v>82860</v>
      </c>
    </row>
    <row r="4026" spans="1:18" x14ac:dyDescent="0.25">
      <c r="A4026" t="s">
        <v>621</v>
      </c>
      <c r="B4026" t="s">
        <v>502</v>
      </c>
      <c r="C4026">
        <v>91637000</v>
      </c>
      <c r="D4026">
        <v>4</v>
      </c>
      <c r="E4026">
        <v>30861753</v>
      </c>
      <c r="F4026" t="s">
        <v>1582</v>
      </c>
      <c r="G4026" s="1">
        <v>45237</v>
      </c>
      <c r="H4026">
        <v>5414424</v>
      </c>
      <c r="I4026">
        <v>96</v>
      </c>
      <c r="J4026" t="s">
        <v>140</v>
      </c>
      <c r="K4026" s="8" t="str">
        <f>IFERROR(IF(AND(VLOOKUP($C4026,Hes!$A:$B, 1, FALSE), $M4026&lt;&gt;" "), "Ingresada", "Falta Ingresar"), " ")</f>
        <v>Falta Ingresar</v>
      </c>
      <c r="L4026" s="4" t="str">
        <f>IFERROR(VLOOKUP($C4026,Observaciones!$A:$B,2,FALSE)," ")</f>
        <v>OC 41000000... INDIVIDUAL XOC Y CC, EL RESTO VENDEDOR DEBE ENVIAR INF Y OC SINO FACT XRUT</v>
      </c>
      <c r="M4026" t="s">
        <v>681</v>
      </c>
      <c r="N4026" s="5" t="s">
        <v>841</v>
      </c>
      <c r="O4026" s="5">
        <v>30861753</v>
      </c>
      <c r="P4026" s="5">
        <v>49867</v>
      </c>
      <c r="Q4026" s="5">
        <v>9475</v>
      </c>
      <c r="R4026" s="5">
        <v>59342</v>
      </c>
    </row>
    <row r="4027" spans="1:18" x14ac:dyDescent="0.25">
      <c r="A4027" t="s">
        <v>621</v>
      </c>
      <c r="B4027" t="s">
        <v>502</v>
      </c>
      <c r="C4027">
        <v>91637000</v>
      </c>
      <c r="D4027">
        <v>46</v>
      </c>
      <c r="E4027">
        <v>30860918</v>
      </c>
      <c r="F4027" t="s">
        <v>1582</v>
      </c>
      <c r="G4027" s="1">
        <v>45237</v>
      </c>
      <c r="H4027">
        <v>5414454</v>
      </c>
      <c r="I4027">
        <v>96</v>
      </c>
      <c r="J4027" t="s">
        <v>140</v>
      </c>
      <c r="K4027" s="8" t="str">
        <f>IFERROR(IF(AND(VLOOKUP($C4027,Hes!$A:$B, 1, FALSE), $M4027&lt;&gt;" "), "Ingresada", "Falta Ingresar"), " ")</f>
        <v>Falta Ingresar</v>
      </c>
      <c r="L4027" s="4" t="str">
        <f>IFERROR(VLOOKUP($C4027,Observaciones!$A:$B,2,FALSE)," ")</f>
        <v>OC 41000000... INDIVIDUAL XOC Y CC, EL RESTO VENDEDOR DEBE ENVIAR INF Y OC SINO FACT XRUT</v>
      </c>
      <c r="M4027" t="s">
        <v>681</v>
      </c>
      <c r="N4027" s="5" t="s">
        <v>841</v>
      </c>
      <c r="O4027" s="5">
        <v>30860918</v>
      </c>
      <c r="P4027" s="5">
        <v>79367</v>
      </c>
      <c r="Q4027" s="5">
        <v>15080</v>
      </c>
      <c r="R4027" s="5">
        <v>94447</v>
      </c>
    </row>
    <row r="4028" spans="1:18" x14ac:dyDescent="0.25">
      <c r="A4028" t="s">
        <v>621</v>
      </c>
      <c r="B4028" t="s">
        <v>502</v>
      </c>
      <c r="C4028">
        <v>91637000</v>
      </c>
      <c r="D4028">
        <v>9511</v>
      </c>
      <c r="E4028">
        <v>30860375</v>
      </c>
      <c r="F4028" t="s">
        <v>1582</v>
      </c>
      <c r="G4028" s="1">
        <v>45238</v>
      </c>
      <c r="H4028">
        <v>5414937</v>
      </c>
      <c r="I4028">
        <v>96</v>
      </c>
      <c r="J4028" t="s">
        <v>140</v>
      </c>
      <c r="K4028" s="8" t="str">
        <f>IFERROR(IF(AND(VLOOKUP($C4028,Hes!$A:$B, 1, FALSE), $M4028&lt;&gt;" "), "Ingresada", "Falta Ingresar"), " ")</f>
        <v>Falta Ingresar</v>
      </c>
      <c r="L4028" s="4" t="str">
        <f>IFERROR(VLOOKUP($C4028,Observaciones!$A:$B,2,FALSE)," ")</f>
        <v>OC 41000000... INDIVIDUAL XOC Y CC, EL RESTO VENDEDOR DEBE ENVIAR INF Y OC SINO FACT XRUT</v>
      </c>
      <c r="M4028" t="s">
        <v>681</v>
      </c>
      <c r="N4028" s="5" t="s">
        <v>841</v>
      </c>
      <c r="O4028" s="5">
        <v>30860375</v>
      </c>
      <c r="P4028" s="5">
        <v>279039</v>
      </c>
      <c r="Q4028" s="5">
        <v>53017</v>
      </c>
      <c r="R4028" s="5">
        <v>332056</v>
      </c>
    </row>
    <row r="4029" spans="1:18" x14ac:dyDescent="0.25">
      <c r="A4029" t="s">
        <v>621</v>
      </c>
      <c r="B4029" t="s">
        <v>502</v>
      </c>
      <c r="C4029">
        <v>91637000</v>
      </c>
      <c r="D4029">
        <v>200</v>
      </c>
      <c r="E4029">
        <v>30861699</v>
      </c>
      <c r="F4029" t="s">
        <v>1582</v>
      </c>
      <c r="G4029" s="1">
        <v>45238</v>
      </c>
      <c r="H4029">
        <v>5414999</v>
      </c>
      <c r="I4029">
        <v>96</v>
      </c>
      <c r="J4029" t="s">
        <v>140</v>
      </c>
      <c r="K4029" s="8" t="str">
        <f>IFERROR(IF(AND(VLOOKUP($C4029,Hes!$A:$B, 1, FALSE), $M4029&lt;&gt;" "), "Ingresada", "Falta Ingresar"), " ")</f>
        <v>Falta Ingresar</v>
      </c>
      <c r="L4029" s="4" t="str">
        <f>IFERROR(VLOOKUP($C4029,Observaciones!$A:$B,2,FALSE)," ")</f>
        <v>OC 41000000... INDIVIDUAL XOC Y CC, EL RESTO VENDEDOR DEBE ENVIAR INF Y OC SINO FACT XRUT</v>
      </c>
      <c r="M4029" t="s">
        <v>681</v>
      </c>
      <c r="N4029" s="5" t="s">
        <v>841</v>
      </c>
      <c r="O4029" s="5">
        <v>30861699</v>
      </c>
      <c r="P4029" s="5">
        <v>79211</v>
      </c>
      <c r="Q4029" s="5">
        <v>15050</v>
      </c>
      <c r="R4029" s="5">
        <v>94261</v>
      </c>
    </row>
    <row r="4030" spans="1:18" x14ac:dyDescent="0.25">
      <c r="A4030" t="s">
        <v>621</v>
      </c>
      <c r="B4030" t="s">
        <v>502</v>
      </c>
      <c r="C4030">
        <v>91637000</v>
      </c>
      <c r="D4030">
        <v>209</v>
      </c>
      <c r="E4030">
        <v>30863540</v>
      </c>
      <c r="F4030" t="s">
        <v>1582</v>
      </c>
      <c r="G4030" s="1">
        <v>45238</v>
      </c>
      <c r="H4030">
        <v>5415575</v>
      </c>
      <c r="I4030">
        <v>96</v>
      </c>
      <c r="J4030" t="s">
        <v>140</v>
      </c>
      <c r="K4030" s="8" t="str">
        <f>IFERROR(IF(AND(VLOOKUP($C4030,Hes!$A:$B, 1, FALSE), $M4030&lt;&gt;" "), "Ingresada", "Falta Ingresar"), " ")</f>
        <v>Falta Ingresar</v>
      </c>
      <c r="L4030" s="4" t="str">
        <f>IFERROR(VLOOKUP($C4030,Observaciones!$A:$B,2,FALSE)," ")</f>
        <v>OC 41000000... INDIVIDUAL XOC Y CC, EL RESTO VENDEDOR DEBE ENVIAR INF Y OC SINO FACT XRUT</v>
      </c>
      <c r="M4030" t="s">
        <v>681</v>
      </c>
      <c r="N4030" s="5" t="s">
        <v>841</v>
      </c>
      <c r="O4030" s="5">
        <v>30863540</v>
      </c>
      <c r="P4030" s="5">
        <v>29311</v>
      </c>
      <c r="Q4030" s="5">
        <v>5569</v>
      </c>
      <c r="R4030" s="5">
        <v>34880</v>
      </c>
    </row>
    <row r="4031" spans="1:18" x14ac:dyDescent="0.25">
      <c r="A4031" t="s">
        <v>621</v>
      </c>
      <c r="B4031" t="s">
        <v>502</v>
      </c>
      <c r="C4031">
        <v>91637000</v>
      </c>
      <c r="D4031">
        <v>18</v>
      </c>
      <c r="E4031">
        <v>30864795</v>
      </c>
      <c r="F4031" t="s">
        <v>1582</v>
      </c>
      <c r="G4031" s="1">
        <v>45238</v>
      </c>
      <c r="H4031">
        <v>5415737</v>
      </c>
      <c r="I4031">
        <v>96</v>
      </c>
      <c r="J4031" t="s">
        <v>140</v>
      </c>
      <c r="K4031" s="8" t="str">
        <f>IFERROR(IF(AND(VLOOKUP($C4031,Hes!$A:$B, 1, FALSE), $M4031&lt;&gt;" "), "Ingresada", "Falta Ingresar"), " ")</f>
        <v>Falta Ingresar</v>
      </c>
      <c r="L4031" s="4" t="str">
        <f>IFERROR(VLOOKUP($C4031,Observaciones!$A:$B,2,FALSE)," ")</f>
        <v>OC 41000000... INDIVIDUAL XOC Y CC, EL RESTO VENDEDOR DEBE ENVIAR INF Y OC SINO FACT XRUT</v>
      </c>
      <c r="M4031" t="s">
        <v>681</v>
      </c>
      <c r="N4031" s="5" t="s">
        <v>841</v>
      </c>
      <c r="O4031" s="5">
        <v>30864795</v>
      </c>
      <c r="P4031" s="5">
        <v>86261</v>
      </c>
      <c r="Q4031" s="5">
        <v>16390</v>
      </c>
      <c r="R4031" s="5">
        <v>102651</v>
      </c>
    </row>
    <row r="4032" spans="1:18" x14ac:dyDescent="0.25">
      <c r="F4032" t="s">
        <v>567</v>
      </c>
      <c r="K4032" t="str">
        <f>IFERROR(IF(AND(VLOOKUP($C4032,Hes!$A:$B, 1, FALSE), $M4032&lt;&gt;" "), "Ingresada", "Falta Ingresar"), " ")</f>
        <v xml:space="preserve"> </v>
      </c>
      <c r="L4032" s="4" t="str">
        <f>IFERROR(VLOOKUP($C4032,Observaciones!$A:$B,2,FALSE)," ")</f>
        <v xml:space="preserve"> </v>
      </c>
      <c r="M4032" t="s">
        <v>681</v>
      </c>
      <c r="P4032" s="5">
        <v>1750263</v>
      </c>
      <c r="Q4032" s="5">
        <v>332551</v>
      </c>
      <c r="R4032" s="5">
        <v>2082814</v>
      </c>
    </row>
    <row r="4033" spans="1:18" x14ac:dyDescent="0.25">
      <c r="A4033" t="s">
        <v>501</v>
      </c>
      <c r="B4033" t="s">
        <v>494</v>
      </c>
      <c r="C4033">
        <v>91705000</v>
      </c>
      <c r="D4033">
        <v>0</v>
      </c>
      <c r="E4033">
        <v>30857458</v>
      </c>
      <c r="F4033" t="s">
        <v>1583</v>
      </c>
      <c r="G4033" s="1">
        <v>45236</v>
      </c>
      <c r="H4033">
        <v>5413708</v>
      </c>
      <c r="I4033">
        <v>193</v>
      </c>
      <c r="J4033" t="s">
        <v>346</v>
      </c>
      <c r="K4033" t="str">
        <f>IFERROR(IF(AND(VLOOKUP($C4033,Hes!$A:$B, 1, FALSE), $M4033&lt;&gt;" "), "Ingresada", "Falta Ingresar"), " ")</f>
        <v xml:space="preserve"> </v>
      </c>
      <c r="L4033" s="4" t="str">
        <f>IFERROR(VLOOKUP($C4033,Observaciones!$A:$B,2,FALSE)," ")</f>
        <v xml:space="preserve"> </v>
      </c>
      <c r="M4033" t="s">
        <v>681</v>
      </c>
      <c r="O4033" s="5">
        <v>30857458</v>
      </c>
      <c r="P4033" s="5">
        <v>426579</v>
      </c>
      <c r="Q4033" s="5">
        <v>81050</v>
      </c>
      <c r="R4033" s="5">
        <v>507629</v>
      </c>
    </row>
    <row r="4034" spans="1:18" x14ac:dyDescent="0.25">
      <c r="F4034" t="s">
        <v>495</v>
      </c>
      <c r="K4034" t="str">
        <f>IFERROR(IF(AND(VLOOKUP($C4034,Hes!$A:$B, 1, FALSE), $M4034&lt;&gt;" "), "Ingresada", "Falta Ingresar"), " ")</f>
        <v xml:space="preserve"> </v>
      </c>
      <c r="L4034" s="4" t="str">
        <f>IFERROR(VLOOKUP($C4034,Observaciones!$A:$B,2,FALSE)," ")</f>
        <v xml:space="preserve"> </v>
      </c>
      <c r="M4034" t="s">
        <v>681</v>
      </c>
      <c r="P4034" s="5">
        <v>426579</v>
      </c>
      <c r="Q4034" s="5">
        <v>81050</v>
      </c>
      <c r="R4034" s="5">
        <v>507629</v>
      </c>
    </row>
    <row r="4035" spans="1:18" x14ac:dyDescent="0.25">
      <c r="A4035" t="s">
        <v>3</v>
      </c>
      <c r="B4035" t="s">
        <v>494</v>
      </c>
      <c r="C4035">
        <v>91868000</v>
      </c>
      <c r="D4035">
        <v>6</v>
      </c>
      <c r="E4035">
        <v>30847197</v>
      </c>
      <c r="F4035" t="s">
        <v>1584</v>
      </c>
      <c r="G4035" s="1">
        <v>45236</v>
      </c>
      <c r="H4035">
        <v>5412040</v>
      </c>
      <c r="I4035">
        <v>143</v>
      </c>
      <c r="J4035" t="s">
        <v>111</v>
      </c>
      <c r="K4035" t="str">
        <f>IFERROR(IF(AND(VLOOKUP($C4035,Hes!$A:$B, 1, FALSE), $M4035&lt;&gt;" "), "Ingresada", "Falta Ingresar"), " ")</f>
        <v xml:space="preserve"> </v>
      </c>
      <c r="L4035" s="4" t="str">
        <f>IFERROR(VLOOKUP($C4035,Observaciones!$A:$B,2,FALSE)," ")</f>
        <v xml:space="preserve"> </v>
      </c>
      <c r="M4035" t="s">
        <v>681</v>
      </c>
      <c r="O4035" s="5">
        <v>30847197</v>
      </c>
      <c r="P4035" s="5">
        <v>84353</v>
      </c>
      <c r="Q4035" s="5">
        <v>16027</v>
      </c>
      <c r="R4035" s="5">
        <v>100380</v>
      </c>
    </row>
    <row r="4036" spans="1:18" x14ac:dyDescent="0.25">
      <c r="A4036" t="s">
        <v>3</v>
      </c>
      <c r="B4036" t="s">
        <v>494</v>
      </c>
      <c r="C4036">
        <v>91868000</v>
      </c>
      <c r="D4036">
        <v>12</v>
      </c>
      <c r="E4036">
        <v>30850652</v>
      </c>
      <c r="F4036" t="s">
        <v>1584</v>
      </c>
      <c r="G4036" s="1">
        <v>45236</v>
      </c>
      <c r="H4036">
        <v>5412151</v>
      </c>
      <c r="I4036">
        <v>143</v>
      </c>
      <c r="J4036" t="s">
        <v>111</v>
      </c>
      <c r="K4036" t="str">
        <f>IFERROR(IF(AND(VLOOKUP($C4036,Hes!$A:$B, 1, FALSE), $M4036&lt;&gt;" "), "Ingresada", "Falta Ingresar"), " ")</f>
        <v xml:space="preserve"> </v>
      </c>
      <c r="L4036" s="4" t="str">
        <f>IFERROR(VLOOKUP($C4036,Observaciones!$A:$B,2,FALSE)," ")</f>
        <v xml:space="preserve"> </v>
      </c>
      <c r="M4036" t="s">
        <v>681</v>
      </c>
      <c r="O4036" s="5">
        <v>30850652</v>
      </c>
      <c r="P4036" s="5">
        <v>39030</v>
      </c>
      <c r="Q4036" s="5">
        <v>7416</v>
      </c>
      <c r="R4036" s="5">
        <v>46446</v>
      </c>
    </row>
    <row r="4037" spans="1:18" x14ac:dyDescent="0.25">
      <c r="A4037" t="s">
        <v>3</v>
      </c>
      <c r="B4037" t="s">
        <v>494</v>
      </c>
      <c r="C4037">
        <v>91868000</v>
      </c>
      <c r="D4037">
        <v>4</v>
      </c>
      <c r="E4037">
        <v>30853983</v>
      </c>
      <c r="F4037" t="s">
        <v>1584</v>
      </c>
      <c r="G4037" s="1">
        <v>45236</v>
      </c>
      <c r="H4037">
        <v>5412615</v>
      </c>
      <c r="I4037">
        <v>143</v>
      </c>
      <c r="J4037" t="s">
        <v>111</v>
      </c>
      <c r="K4037" t="str">
        <f>IFERROR(IF(AND(VLOOKUP($C4037,Hes!$A:$B, 1, FALSE), $M4037&lt;&gt;" "), "Ingresada", "Falta Ingresar"), " ")</f>
        <v xml:space="preserve"> </v>
      </c>
      <c r="L4037" s="4" t="str">
        <f>IFERROR(VLOOKUP($C4037,Observaciones!$A:$B,2,FALSE)," ")</f>
        <v xml:space="preserve"> </v>
      </c>
      <c r="M4037" t="s">
        <v>681</v>
      </c>
      <c r="O4037" s="5">
        <v>30853983</v>
      </c>
      <c r="P4037" s="5">
        <v>313141</v>
      </c>
      <c r="Q4037" s="5">
        <v>59497</v>
      </c>
      <c r="R4037" s="5">
        <v>372638</v>
      </c>
    </row>
    <row r="4038" spans="1:18" x14ac:dyDescent="0.25">
      <c r="A4038" t="s">
        <v>3</v>
      </c>
      <c r="B4038" t="s">
        <v>494</v>
      </c>
      <c r="C4038">
        <v>91868000</v>
      </c>
      <c r="D4038">
        <v>4</v>
      </c>
      <c r="E4038">
        <v>30858504</v>
      </c>
      <c r="F4038" t="s">
        <v>1584</v>
      </c>
      <c r="G4038" s="1">
        <v>45238</v>
      </c>
      <c r="H4038">
        <v>5414862</v>
      </c>
      <c r="I4038">
        <v>143</v>
      </c>
      <c r="J4038" t="s">
        <v>111</v>
      </c>
      <c r="K4038" t="str">
        <f>IFERROR(IF(AND(VLOOKUP($C4038,Hes!$A:$B, 1, FALSE), $M4038&lt;&gt;" "), "Ingresada", "Falta Ingresar"), " ")</f>
        <v xml:space="preserve"> </v>
      </c>
      <c r="L4038" s="4" t="str">
        <f>IFERROR(VLOOKUP($C4038,Observaciones!$A:$B,2,FALSE)," ")</f>
        <v xml:space="preserve"> </v>
      </c>
      <c r="M4038" t="s">
        <v>681</v>
      </c>
      <c r="O4038" s="5">
        <v>30858504</v>
      </c>
      <c r="P4038" s="5">
        <v>157241</v>
      </c>
      <c r="Q4038" s="5">
        <v>29876</v>
      </c>
      <c r="R4038" s="5">
        <v>187117</v>
      </c>
    </row>
    <row r="4039" spans="1:18" x14ac:dyDescent="0.25">
      <c r="F4039" t="s">
        <v>498</v>
      </c>
      <c r="K4039" t="str">
        <f>IFERROR(IF(AND(VLOOKUP($C4039,Hes!$A:$B, 1, FALSE), $M4039&lt;&gt;" "), "Ingresada", "Falta Ingresar"), " ")</f>
        <v xml:space="preserve"> </v>
      </c>
      <c r="L4039" s="4" t="str">
        <f>IFERROR(VLOOKUP($C4039,Observaciones!$A:$B,2,FALSE)," ")</f>
        <v xml:space="preserve"> </v>
      </c>
      <c r="M4039" t="s">
        <v>681</v>
      </c>
      <c r="P4039" s="5">
        <v>593765</v>
      </c>
      <c r="Q4039" s="5">
        <v>112816</v>
      </c>
      <c r="R4039" s="5">
        <v>706581</v>
      </c>
    </row>
    <row r="4040" spans="1:18" x14ac:dyDescent="0.25">
      <c r="A4040" t="s">
        <v>496</v>
      </c>
      <c r="B4040" t="s">
        <v>509</v>
      </c>
      <c r="C4040">
        <v>91881000</v>
      </c>
      <c r="D4040">
        <v>0</v>
      </c>
      <c r="E4040">
        <v>4600041009</v>
      </c>
      <c r="F4040" t="s">
        <v>1585</v>
      </c>
      <c r="G4040" s="1">
        <v>45236</v>
      </c>
      <c r="H4040">
        <v>5413110</v>
      </c>
      <c r="I4040">
        <v>349</v>
      </c>
      <c r="J4040" t="s">
        <v>364</v>
      </c>
      <c r="K4040" t="str">
        <f>IFERROR(IF(AND(VLOOKUP($C4040,Hes!$A:$B, 1, FALSE), $M4040&lt;&gt;" "), "Ingresada", "Falta Ingresar"), " ")</f>
        <v xml:space="preserve"> </v>
      </c>
      <c r="L4040" s="4" t="s">
        <v>681</v>
      </c>
      <c r="M4040" t="s">
        <v>681</v>
      </c>
      <c r="O4040" s="5">
        <v>30855580</v>
      </c>
      <c r="P4040" s="5">
        <v>60480</v>
      </c>
      <c r="Q4040" s="5">
        <v>11491</v>
      </c>
      <c r="R4040" s="5">
        <v>71971</v>
      </c>
    </row>
    <row r="4041" spans="1:18" x14ac:dyDescent="0.25">
      <c r="F4041" t="s">
        <v>495</v>
      </c>
      <c r="K4041" t="str">
        <f>IFERROR(IF(AND(VLOOKUP($C4041,Hes!$A:$B, 1, FALSE), $M4041&lt;&gt;" "), "Ingresada", "Falta Ingresar"), " ")</f>
        <v xml:space="preserve"> </v>
      </c>
      <c r="L4041" s="4" t="str">
        <f>IFERROR(VLOOKUP($C4041,Observaciones!$A:$B,2,FALSE)," ")</f>
        <v xml:space="preserve"> </v>
      </c>
      <c r="M4041" t="s">
        <v>681</v>
      </c>
      <c r="P4041" s="5">
        <v>60480</v>
      </c>
      <c r="Q4041" s="5">
        <v>11491</v>
      </c>
      <c r="R4041" s="5">
        <v>71971</v>
      </c>
    </row>
    <row r="4042" spans="1:18" x14ac:dyDescent="0.25">
      <c r="A4042" t="s">
        <v>503</v>
      </c>
      <c r="B4042" t="s">
        <v>494</v>
      </c>
      <c r="C4042">
        <v>92011000</v>
      </c>
      <c r="D4042">
        <v>11</v>
      </c>
      <c r="E4042">
        <v>699184</v>
      </c>
      <c r="F4042" t="s">
        <v>1586</v>
      </c>
      <c r="G4042" s="1">
        <v>45234</v>
      </c>
      <c r="H4042">
        <v>5412393</v>
      </c>
      <c r="I4042">
        <v>37</v>
      </c>
      <c r="J4042" t="s">
        <v>156</v>
      </c>
      <c r="K4042" t="str">
        <f>IFERROR(IF(AND(VLOOKUP($C4042,Hes!$A:$B, 1, FALSE), $M4042&lt;&gt;" "), "Ingresada", "Falta Ingresar"), " ")</f>
        <v xml:space="preserve"> </v>
      </c>
      <c r="L4042" s="4" t="s">
        <v>681</v>
      </c>
      <c r="M4042" t="s">
        <v>681</v>
      </c>
      <c r="O4042" s="5">
        <v>30847691</v>
      </c>
      <c r="P4042" s="5">
        <v>362225</v>
      </c>
      <c r="Q4042" s="5">
        <v>68823</v>
      </c>
      <c r="R4042" s="5">
        <v>431048</v>
      </c>
    </row>
    <row r="4043" spans="1:18" x14ac:dyDescent="0.25">
      <c r="A4043" t="s">
        <v>503</v>
      </c>
      <c r="B4043" t="s">
        <v>494</v>
      </c>
      <c r="C4043">
        <v>92011000</v>
      </c>
      <c r="D4043">
        <v>22</v>
      </c>
      <c r="E4043">
        <v>699279</v>
      </c>
      <c r="F4043" t="s">
        <v>1586</v>
      </c>
      <c r="G4043" s="1">
        <v>45236</v>
      </c>
      <c r="H4043">
        <v>5412693</v>
      </c>
      <c r="I4043">
        <v>37</v>
      </c>
      <c r="J4043" t="s">
        <v>156</v>
      </c>
      <c r="K4043" t="str">
        <f>IFERROR(IF(AND(VLOOKUP($C4043,Hes!$A:$B, 1, FALSE), $M4043&lt;&gt;" "), "Ingresada", "Falta Ingresar"), " ")</f>
        <v xml:space="preserve"> </v>
      </c>
      <c r="L4043" s="4" t="s">
        <v>681</v>
      </c>
      <c r="M4043" t="s">
        <v>681</v>
      </c>
      <c r="O4043" s="5">
        <v>30848178</v>
      </c>
      <c r="P4043" s="5">
        <v>699420</v>
      </c>
      <c r="Q4043" s="5">
        <v>132890</v>
      </c>
      <c r="R4043" s="5">
        <v>832310</v>
      </c>
    </row>
    <row r="4044" spans="1:18" x14ac:dyDescent="0.25">
      <c r="A4044" t="s">
        <v>503</v>
      </c>
      <c r="B4044" t="s">
        <v>494</v>
      </c>
      <c r="C4044">
        <v>92011000</v>
      </c>
      <c r="D4044">
        <v>11</v>
      </c>
      <c r="E4044">
        <v>698738</v>
      </c>
      <c r="F4044" t="s">
        <v>1586</v>
      </c>
      <c r="G4044" s="1">
        <v>45237</v>
      </c>
      <c r="H4044">
        <v>5413969</v>
      </c>
      <c r="I4044">
        <v>37</v>
      </c>
      <c r="J4044" t="s">
        <v>156</v>
      </c>
      <c r="K4044" t="str">
        <f>IFERROR(IF(AND(VLOOKUP($C4044,Hes!$A:$B, 1, FALSE), $M4044&lt;&gt;" "), "Ingresada", "Falta Ingresar"), " ")</f>
        <v xml:space="preserve"> </v>
      </c>
      <c r="L4044" s="4" t="s">
        <v>681</v>
      </c>
      <c r="M4044" t="s">
        <v>681</v>
      </c>
      <c r="O4044" s="5">
        <v>30828886</v>
      </c>
      <c r="P4044" s="5">
        <v>948000</v>
      </c>
      <c r="Q4044" s="5">
        <v>180120</v>
      </c>
      <c r="R4044" s="5">
        <v>1128120</v>
      </c>
    </row>
    <row r="4045" spans="1:18" x14ac:dyDescent="0.25">
      <c r="A4045" t="s">
        <v>503</v>
      </c>
      <c r="B4045" t="s">
        <v>494</v>
      </c>
      <c r="C4045">
        <v>92011000</v>
      </c>
      <c r="D4045">
        <v>11</v>
      </c>
      <c r="E4045">
        <v>699463</v>
      </c>
      <c r="F4045" t="s">
        <v>1586</v>
      </c>
      <c r="G4045" s="1">
        <v>45237</v>
      </c>
      <c r="H4045">
        <v>5415249</v>
      </c>
      <c r="I4045">
        <v>37</v>
      </c>
      <c r="J4045" t="s">
        <v>156</v>
      </c>
      <c r="K4045" t="str">
        <f>IFERROR(IF(AND(VLOOKUP($C4045,Hes!$A:$B, 1, FALSE), $M4045&lt;&gt;" "), "Ingresada", "Falta Ingresar"), " ")</f>
        <v xml:space="preserve"> </v>
      </c>
      <c r="L4045" s="4" t="s">
        <v>681</v>
      </c>
      <c r="M4045" t="s">
        <v>681</v>
      </c>
      <c r="O4045" s="5">
        <v>30858738</v>
      </c>
      <c r="P4045" s="5">
        <v>244518</v>
      </c>
      <c r="Q4045" s="5">
        <v>46458</v>
      </c>
      <c r="R4045" s="5">
        <v>290976</v>
      </c>
    </row>
    <row r="4046" spans="1:18" x14ac:dyDescent="0.25">
      <c r="F4046" t="s">
        <v>498</v>
      </c>
      <c r="K4046" t="str">
        <f>IFERROR(IF(AND(VLOOKUP($C4046,Hes!$A:$B, 1, FALSE), $M4046&lt;&gt;" "), "Ingresada", "Falta Ingresar"), " ")</f>
        <v xml:space="preserve"> </v>
      </c>
      <c r="L4046" s="4" t="str">
        <f>IFERROR(VLOOKUP($C4046,Observaciones!$A:$B,2,FALSE)," ")</f>
        <v xml:space="preserve"> </v>
      </c>
      <c r="M4046" t="s">
        <v>681</v>
      </c>
      <c r="P4046" s="5">
        <v>2254163</v>
      </c>
      <c r="Q4046" s="5">
        <v>428291</v>
      </c>
      <c r="R4046" s="5">
        <v>2682454</v>
      </c>
    </row>
    <row r="4047" spans="1:18" x14ac:dyDescent="0.25">
      <c r="A4047" t="s">
        <v>1587</v>
      </c>
      <c r="B4047" t="s">
        <v>494</v>
      </c>
      <c r="C4047">
        <v>92048000</v>
      </c>
      <c r="D4047">
        <v>6</v>
      </c>
      <c r="E4047">
        <v>4368758</v>
      </c>
      <c r="F4047" t="s">
        <v>1588</v>
      </c>
      <c r="G4047" s="1">
        <v>45232</v>
      </c>
      <c r="H4047">
        <v>5410916</v>
      </c>
      <c r="I4047">
        <v>71</v>
      </c>
      <c r="J4047" t="s">
        <v>250</v>
      </c>
      <c r="K4047" s="8" t="str">
        <f>IFERROR(IF(AND(VLOOKUP($C4047,Hes!$A:$B, 1, FALSE), $M4047&lt;&gt;" "), "Ingresada", "Falta Ingresar"), " ")</f>
        <v>Falta Ingresar</v>
      </c>
      <c r="L4047" s="4" t="str">
        <f>IFERROR(VLOOKUP($C4047,Observaciones!$A:$B,2,FALSE)," ")</f>
        <v>XOC Y CC INDIVIDUAL, LAS OC 34212 TIENEN DOS 00 AL COMIENZO ASI 0034212</v>
      </c>
      <c r="M4047" t="s">
        <v>681</v>
      </c>
      <c r="N4047" s="5" t="s">
        <v>841</v>
      </c>
      <c r="O4047" s="5">
        <v>30845816</v>
      </c>
      <c r="P4047" s="5">
        <v>74234</v>
      </c>
      <c r="Q4047" s="5">
        <v>14104</v>
      </c>
      <c r="R4047" s="5">
        <v>88338</v>
      </c>
    </row>
    <row r="4048" spans="1:18" x14ac:dyDescent="0.25">
      <c r="A4048" t="s">
        <v>1587</v>
      </c>
      <c r="B4048" t="s">
        <v>494</v>
      </c>
      <c r="C4048">
        <v>92048000</v>
      </c>
      <c r="D4048">
        <v>6</v>
      </c>
      <c r="E4048">
        <v>4368752</v>
      </c>
      <c r="F4048" t="s">
        <v>1588</v>
      </c>
      <c r="G4048" s="1">
        <v>45232</v>
      </c>
      <c r="H4048">
        <v>5410984</v>
      </c>
      <c r="I4048">
        <v>71</v>
      </c>
      <c r="J4048" t="s">
        <v>250</v>
      </c>
      <c r="K4048" s="8" t="str">
        <f>IFERROR(IF(AND(VLOOKUP($C4048,Hes!$A:$B, 1, FALSE), $M4048&lt;&gt;" "), "Ingresada", "Falta Ingresar"), " ")</f>
        <v>Falta Ingresar</v>
      </c>
      <c r="L4048" s="4" t="str">
        <f>IFERROR(VLOOKUP($C4048,Observaciones!$A:$B,2,FALSE)," ")</f>
        <v>XOC Y CC INDIVIDUAL, LAS OC 34212 TIENEN DOS 00 AL COMIENZO ASI 0034212</v>
      </c>
      <c r="M4048" t="s">
        <v>681</v>
      </c>
      <c r="N4048" s="5" t="s">
        <v>841</v>
      </c>
      <c r="O4048" s="5">
        <v>30845782</v>
      </c>
      <c r="P4048" s="5">
        <v>70062</v>
      </c>
      <c r="Q4048" s="5">
        <v>13312</v>
      </c>
      <c r="R4048" s="5">
        <v>83374</v>
      </c>
    </row>
    <row r="4049" spans="1:18" x14ac:dyDescent="0.25">
      <c r="A4049" t="s">
        <v>1587</v>
      </c>
      <c r="B4049" t="s">
        <v>494</v>
      </c>
      <c r="C4049">
        <v>92048000</v>
      </c>
      <c r="D4049">
        <v>6</v>
      </c>
      <c r="E4049">
        <v>4368750</v>
      </c>
      <c r="F4049" t="s">
        <v>1588</v>
      </c>
      <c r="G4049" s="1">
        <v>45232</v>
      </c>
      <c r="H4049">
        <v>5410985</v>
      </c>
      <c r="I4049">
        <v>71</v>
      </c>
      <c r="J4049" t="s">
        <v>250</v>
      </c>
      <c r="K4049" s="8" t="str">
        <f>IFERROR(IF(AND(VLOOKUP($C4049,Hes!$A:$B, 1, FALSE), $M4049&lt;&gt;" "), "Ingresada", "Falta Ingresar"), " ")</f>
        <v>Falta Ingresar</v>
      </c>
      <c r="L4049" s="4" t="str">
        <f>IFERROR(VLOOKUP($C4049,Observaciones!$A:$B,2,FALSE)," ")</f>
        <v>XOC Y CC INDIVIDUAL, LAS OC 34212 TIENEN DOS 00 AL COMIENZO ASI 0034212</v>
      </c>
      <c r="M4049" t="s">
        <v>681</v>
      </c>
      <c r="N4049" s="5" t="s">
        <v>841</v>
      </c>
      <c r="O4049" s="5">
        <v>30845558</v>
      </c>
      <c r="P4049" s="5">
        <v>193733</v>
      </c>
      <c r="Q4049" s="5">
        <v>36809</v>
      </c>
      <c r="R4049" s="5">
        <v>230542</v>
      </c>
    </row>
    <row r="4050" spans="1:18" x14ac:dyDescent="0.25">
      <c r="A4050" t="s">
        <v>1587</v>
      </c>
      <c r="B4050" t="s">
        <v>494</v>
      </c>
      <c r="C4050">
        <v>92048000</v>
      </c>
      <c r="D4050">
        <v>6</v>
      </c>
      <c r="E4050">
        <v>4368750</v>
      </c>
      <c r="F4050" t="s">
        <v>1588</v>
      </c>
      <c r="G4050" s="1">
        <v>45232</v>
      </c>
      <c r="H4050">
        <v>5410986</v>
      </c>
      <c r="I4050">
        <v>71</v>
      </c>
      <c r="J4050" t="s">
        <v>250</v>
      </c>
      <c r="K4050" s="8" t="str">
        <f>IFERROR(IF(AND(VLOOKUP($C4050,Hes!$A:$B, 1, FALSE), $M4050&lt;&gt;" "), "Ingresada", "Falta Ingresar"), " ")</f>
        <v>Falta Ingresar</v>
      </c>
      <c r="L4050" s="4" t="str">
        <f>IFERROR(VLOOKUP($C4050,Observaciones!$A:$B,2,FALSE)," ")</f>
        <v>XOC Y CC INDIVIDUAL, LAS OC 34212 TIENEN DOS 00 AL COMIENZO ASI 0034212</v>
      </c>
      <c r="M4050" t="s">
        <v>681</v>
      </c>
      <c r="N4050" s="5" t="s">
        <v>841</v>
      </c>
      <c r="O4050" s="5">
        <v>30845558</v>
      </c>
      <c r="P4050" s="5">
        <v>159125</v>
      </c>
      <c r="Q4050" s="5">
        <v>30234</v>
      </c>
      <c r="R4050" s="5">
        <v>189359</v>
      </c>
    </row>
    <row r="4051" spans="1:18" x14ac:dyDescent="0.25">
      <c r="A4051" t="s">
        <v>1587</v>
      </c>
      <c r="B4051" t="s">
        <v>494</v>
      </c>
      <c r="C4051">
        <v>92048000</v>
      </c>
      <c r="D4051">
        <v>5</v>
      </c>
      <c r="E4051">
        <v>4370306</v>
      </c>
      <c r="F4051" t="s">
        <v>1588</v>
      </c>
      <c r="G4051" s="1">
        <v>45237</v>
      </c>
      <c r="H4051">
        <v>5414269</v>
      </c>
      <c r="I4051">
        <v>71</v>
      </c>
      <c r="J4051" t="s">
        <v>250</v>
      </c>
      <c r="K4051" s="8" t="str">
        <f>IFERROR(IF(AND(VLOOKUP($C4051,Hes!$A:$B, 1, FALSE), $M4051&lt;&gt;" "), "Ingresada", "Falta Ingresar"), " ")</f>
        <v>Falta Ingresar</v>
      </c>
      <c r="L4051" s="4" t="str">
        <f>IFERROR(VLOOKUP($C4051,Observaciones!$A:$B,2,FALSE)," ")</f>
        <v>XOC Y CC INDIVIDUAL, LAS OC 34212 TIENEN DOS 00 AL COMIENZO ASI 0034212</v>
      </c>
      <c r="M4051" t="s">
        <v>681</v>
      </c>
      <c r="N4051" s="5" t="s">
        <v>841</v>
      </c>
      <c r="O4051" s="5">
        <v>30836775</v>
      </c>
      <c r="P4051" s="5">
        <v>293758</v>
      </c>
      <c r="Q4051" s="5">
        <v>55814</v>
      </c>
      <c r="R4051" s="5">
        <v>349572</v>
      </c>
    </row>
    <row r="4052" spans="1:18" x14ac:dyDescent="0.25">
      <c r="F4052" t="s">
        <v>499</v>
      </c>
      <c r="K4052" t="str">
        <f>IFERROR(IF(AND(VLOOKUP($C4052,Hes!$A:$B, 1, FALSE), $M4052&lt;&gt;" "), "Ingresada", "Falta Ingresar"), " ")</f>
        <v xml:space="preserve"> </v>
      </c>
      <c r="L4052" s="4" t="str">
        <f>IFERROR(VLOOKUP($C4052,Observaciones!$A:$B,2,FALSE)," ")</f>
        <v xml:space="preserve"> </v>
      </c>
      <c r="M4052" t="s">
        <v>681</v>
      </c>
      <c r="P4052" s="5">
        <v>790912</v>
      </c>
      <c r="Q4052" s="5">
        <v>150273</v>
      </c>
      <c r="R4052" s="5">
        <v>941185</v>
      </c>
    </row>
    <row r="4053" spans="1:18" x14ac:dyDescent="0.25">
      <c r="A4053" t="s">
        <v>501</v>
      </c>
      <c r="B4053" t="s">
        <v>494</v>
      </c>
      <c r="C4053">
        <v>92051000</v>
      </c>
      <c r="D4053">
        <v>0</v>
      </c>
      <c r="E4053">
        <v>30845267</v>
      </c>
      <c r="F4053" t="s">
        <v>1589</v>
      </c>
      <c r="G4053" s="1">
        <v>45232</v>
      </c>
      <c r="H4053">
        <v>5410722</v>
      </c>
      <c r="I4053">
        <v>16</v>
      </c>
      <c r="J4053" t="s">
        <v>330</v>
      </c>
      <c r="K4053" t="str">
        <f>IFERROR(IF(AND(VLOOKUP($C4053,Hes!$A:$B, 1, FALSE), $M4053&lt;&gt;" "), "Ingresada", "Falta Ingresar"), " ")</f>
        <v xml:space="preserve"> </v>
      </c>
      <c r="L4053" s="4" t="str">
        <f>IFERROR(VLOOKUP($C4053,Observaciones!$A:$B,2,FALSE)," ")</f>
        <v xml:space="preserve">2 FACTURAS CC1802 Y OTRA X EL CC0 </v>
      </c>
      <c r="M4053" t="s">
        <v>681</v>
      </c>
      <c r="O4053" s="5">
        <v>30845267</v>
      </c>
      <c r="P4053" s="5">
        <v>22108</v>
      </c>
      <c r="Q4053" s="5">
        <v>4201</v>
      </c>
      <c r="R4053" s="5">
        <v>26309</v>
      </c>
    </row>
    <row r="4054" spans="1:18" x14ac:dyDescent="0.25">
      <c r="A4054" t="s">
        <v>501</v>
      </c>
      <c r="B4054" t="s">
        <v>494</v>
      </c>
      <c r="C4054">
        <v>92051000</v>
      </c>
      <c r="D4054">
        <v>0</v>
      </c>
      <c r="E4054">
        <v>30847450</v>
      </c>
      <c r="F4054" t="s">
        <v>1589</v>
      </c>
      <c r="G4054" s="1">
        <v>45232</v>
      </c>
      <c r="H4054">
        <v>5411167</v>
      </c>
      <c r="I4054">
        <v>16</v>
      </c>
      <c r="J4054" t="s">
        <v>330</v>
      </c>
      <c r="K4054" t="str">
        <f>IFERROR(IF(AND(VLOOKUP($C4054,Hes!$A:$B, 1, FALSE), $M4054&lt;&gt;" "), "Ingresada", "Falta Ingresar"), " ")</f>
        <v xml:space="preserve"> </v>
      </c>
      <c r="L4054" s="4" t="str">
        <f>IFERROR(VLOOKUP($C4054,Observaciones!$A:$B,2,FALSE)," ")</f>
        <v xml:space="preserve">2 FACTURAS CC1802 Y OTRA X EL CC0 </v>
      </c>
      <c r="M4054" t="s">
        <v>681</v>
      </c>
      <c r="O4054" s="5">
        <v>30847450</v>
      </c>
      <c r="P4054" s="5">
        <v>295520</v>
      </c>
      <c r="Q4054" s="5">
        <v>56149</v>
      </c>
      <c r="R4054" s="5">
        <v>351669</v>
      </c>
    </row>
    <row r="4055" spans="1:18" x14ac:dyDescent="0.25">
      <c r="A4055" t="s">
        <v>501</v>
      </c>
      <c r="B4055" t="s">
        <v>494</v>
      </c>
      <c r="C4055">
        <v>92051000</v>
      </c>
      <c r="D4055">
        <v>0</v>
      </c>
      <c r="E4055">
        <v>30847450</v>
      </c>
      <c r="F4055" t="s">
        <v>1589</v>
      </c>
      <c r="G4055" s="1">
        <v>45232</v>
      </c>
      <c r="H4055">
        <v>5411168</v>
      </c>
      <c r="I4055">
        <v>16</v>
      </c>
      <c r="J4055" t="s">
        <v>330</v>
      </c>
      <c r="K4055" t="str">
        <f>IFERROR(IF(AND(VLOOKUP($C4055,Hes!$A:$B, 1, FALSE), $M4055&lt;&gt;" "), "Ingresada", "Falta Ingresar"), " ")</f>
        <v xml:space="preserve"> </v>
      </c>
      <c r="L4055" s="4" t="str">
        <f>IFERROR(VLOOKUP($C4055,Observaciones!$A:$B,2,FALSE)," ")</f>
        <v xml:space="preserve">2 FACTURAS CC1802 Y OTRA X EL CC0 </v>
      </c>
      <c r="M4055" t="s">
        <v>681</v>
      </c>
      <c r="O4055" s="5">
        <v>30847450</v>
      </c>
      <c r="P4055" s="5">
        <v>76898</v>
      </c>
      <c r="Q4055" s="5">
        <v>14611</v>
      </c>
      <c r="R4055" s="5">
        <v>91509</v>
      </c>
    </row>
    <row r="4056" spans="1:18" x14ac:dyDescent="0.25">
      <c r="A4056" t="s">
        <v>501</v>
      </c>
      <c r="B4056" t="s">
        <v>494</v>
      </c>
      <c r="C4056">
        <v>92051000</v>
      </c>
      <c r="D4056">
        <v>0</v>
      </c>
      <c r="E4056">
        <v>30848219</v>
      </c>
      <c r="F4056" t="s">
        <v>1589</v>
      </c>
      <c r="G4056" s="1">
        <v>45232</v>
      </c>
      <c r="H4056">
        <v>5411171</v>
      </c>
      <c r="I4056">
        <v>16</v>
      </c>
      <c r="J4056" t="s">
        <v>330</v>
      </c>
      <c r="K4056" t="str">
        <f>IFERROR(IF(AND(VLOOKUP($C4056,Hes!$A:$B, 1, FALSE), $M4056&lt;&gt;" "), "Ingresada", "Falta Ingresar"), " ")</f>
        <v xml:space="preserve"> </v>
      </c>
      <c r="L4056" s="4" t="str">
        <f>IFERROR(VLOOKUP($C4056,Observaciones!$A:$B,2,FALSE)," ")</f>
        <v xml:space="preserve">2 FACTURAS CC1802 Y OTRA X EL CC0 </v>
      </c>
      <c r="M4056" t="s">
        <v>681</v>
      </c>
      <c r="O4056" s="5">
        <v>30848219</v>
      </c>
      <c r="P4056" s="5">
        <v>65119</v>
      </c>
      <c r="Q4056" s="5">
        <v>12373</v>
      </c>
      <c r="R4056" s="5">
        <v>77492</v>
      </c>
    </row>
    <row r="4057" spans="1:18" x14ac:dyDescent="0.25">
      <c r="A4057" t="s">
        <v>501</v>
      </c>
      <c r="B4057" t="s">
        <v>494</v>
      </c>
      <c r="C4057">
        <v>92051000</v>
      </c>
      <c r="D4057">
        <v>0</v>
      </c>
      <c r="E4057">
        <v>30849617</v>
      </c>
      <c r="F4057" t="s">
        <v>1589</v>
      </c>
      <c r="G4057" s="1">
        <v>45233</v>
      </c>
      <c r="H4057">
        <v>5411432</v>
      </c>
      <c r="I4057">
        <v>16</v>
      </c>
      <c r="J4057" t="s">
        <v>330</v>
      </c>
      <c r="K4057" t="str">
        <f>IFERROR(IF(AND(VLOOKUP($C4057,Hes!$A:$B, 1, FALSE), $M4057&lt;&gt;" "), "Ingresada", "Falta Ingresar"), " ")</f>
        <v xml:space="preserve"> </v>
      </c>
      <c r="L4057" s="4" t="str">
        <f>IFERROR(VLOOKUP($C4057,Observaciones!$A:$B,2,FALSE)," ")</f>
        <v xml:space="preserve">2 FACTURAS CC1802 Y OTRA X EL CC0 </v>
      </c>
      <c r="M4057" t="s">
        <v>681</v>
      </c>
      <c r="O4057" s="5">
        <v>30849617</v>
      </c>
      <c r="P4057" s="5">
        <v>106033</v>
      </c>
      <c r="Q4057" s="5">
        <v>20146</v>
      </c>
      <c r="R4057" s="5">
        <v>126179</v>
      </c>
    </row>
    <row r="4058" spans="1:18" x14ac:dyDescent="0.25">
      <c r="A4058" t="s">
        <v>501</v>
      </c>
      <c r="B4058" t="s">
        <v>494</v>
      </c>
      <c r="C4058">
        <v>92051000</v>
      </c>
      <c r="D4058">
        <v>0</v>
      </c>
      <c r="E4058">
        <v>30849589</v>
      </c>
      <c r="F4058" t="s">
        <v>1589</v>
      </c>
      <c r="G4058" s="1">
        <v>45233</v>
      </c>
      <c r="H4058">
        <v>5411472</v>
      </c>
      <c r="I4058">
        <v>16</v>
      </c>
      <c r="J4058" t="s">
        <v>330</v>
      </c>
      <c r="K4058" t="str">
        <f>IFERROR(IF(AND(VLOOKUP($C4058,Hes!$A:$B, 1, FALSE), $M4058&lt;&gt;" "), "Ingresada", "Falta Ingresar"), " ")</f>
        <v xml:space="preserve"> </v>
      </c>
      <c r="L4058" s="4" t="str">
        <f>IFERROR(VLOOKUP($C4058,Observaciones!$A:$B,2,FALSE)," ")</f>
        <v xml:space="preserve">2 FACTURAS CC1802 Y OTRA X EL CC0 </v>
      </c>
      <c r="M4058" t="s">
        <v>681</v>
      </c>
      <c r="O4058" s="5">
        <v>30849589</v>
      </c>
      <c r="P4058" s="5">
        <v>116150</v>
      </c>
      <c r="Q4058" s="5">
        <v>22069</v>
      </c>
      <c r="R4058" s="5">
        <v>138219</v>
      </c>
    </row>
    <row r="4059" spans="1:18" x14ac:dyDescent="0.25">
      <c r="A4059" t="s">
        <v>501</v>
      </c>
      <c r="B4059" t="s">
        <v>494</v>
      </c>
      <c r="C4059">
        <v>92051000</v>
      </c>
      <c r="D4059">
        <v>0</v>
      </c>
      <c r="E4059">
        <v>30850547</v>
      </c>
      <c r="F4059" t="s">
        <v>1589</v>
      </c>
      <c r="G4059" s="1">
        <v>45233</v>
      </c>
      <c r="H4059">
        <v>5411538</v>
      </c>
      <c r="I4059">
        <v>16</v>
      </c>
      <c r="J4059" t="s">
        <v>330</v>
      </c>
      <c r="K4059" t="str">
        <f>IFERROR(IF(AND(VLOOKUP($C4059,Hes!$A:$B, 1, FALSE), $M4059&lt;&gt;" "), "Ingresada", "Falta Ingresar"), " ")</f>
        <v xml:space="preserve"> </v>
      </c>
      <c r="L4059" s="4" t="str">
        <f>IFERROR(VLOOKUP($C4059,Observaciones!$A:$B,2,FALSE)," ")</f>
        <v xml:space="preserve">2 FACTURAS CC1802 Y OTRA X EL CC0 </v>
      </c>
      <c r="M4059" t="s">
        <v>681</v>
      </c>
      <c r="O4059" s="5">
        <v>30850547</v>
      </c>
      <c r="P4059" s="5">
        <v>80944</v>
      </c>
      <c r="Q4059" s="5">
        <v>15379</v>
      </c>
      <c r="R4059" s="5">
        <v>96323</v>
      </c>
    </row>
    <row r="4060" spans="1:18" x14ac:dyDescent="0.25">
      <c r="A4060" t="s">
        <v>501</v>
      </c>
      <c r="B4060" t="s">
        <v>494</v>
      </c>
      <c r="C4060">
        <v>92051000</v>
      </c>
      <c r="D4060">
        <v>0</v>
      </c>
      <c r="E4060">
        <v>30851851</v>
      </c>
      <c r="F4060" t="s">
        <v>1589</v>
      </c>
      <c r="G4060" s="1">
        <v>45233</v>
      </c>
      <c r="H4060">
        <v>5411944</v>
      </c>
      <c r="I4060">
        <v>16</v>
      </c>
      <c r="J4060" t="s">
        <v>330</v>
      </c>
      <c r="K4060" t="str">
        <f>IFERROR(IF(AND(VLOOKUP($C4060,Hes!$A:$B, 1, FALSE), $M4060&lt;&gt;" "), "Ingresada", "Falta Ingresar"), " ")</f>
        <v xml:space="preserve"> </v>
      </c>
      <c r="L4060" s="4" t="str">
        <f>IFERROR(VLOOKUP($C4060,Observaciones!$A:$B,2,FALSE)," ")</f>
        <v xml:space="preserve">2 FACTURAS CC1802 Y OTRA X EL CC0 </v>
      </c>
      <c r="M4060" t="s">
        <v>681</v>
      </c>
      <c r="O4060" s="5">
        <v>30851851</v>
      </c>
      <c r="P4060" s="5">
        <v>113562</v>
      </c>
      <c r="Q4060" s="5">
        <v>21577</v>
      </c>
      <c r="R4060" s="5">
        <v>135139</v>
      </c>
    </row>
    <row r="4061" spans="1:18" x14ac:dyDescent="0.25">
      <c r="A4061" t="s">
        <v>501</v>
      </c>
      <c r="B4061" t="s">
        <v>494</v>
      </c>
      <c r="C4061">
        <v>92051000</v>
      </c>
      <c r="D4061">
        <v>1802</v>
      </c>
      <c r="E4061">
        <v>30852774</v>
      </c>
      <c r="F4061" t="s">
        <v>1589</v>
      </c>
      <c r="G4061" s="1">
        <v>45236</v>
      </c>
      <c r="H4061">
        <v>5412454</v>
      </c>
      <c r="I4061">
        <v>16</v>
      </c>
      <c r="J4061" t="s">
        <v>330</v>
      </c>
      <c r="K4061" t="str">
        <f>IFERROR(IF(AND(VLOOKUP($C4061,Hes!$A:$B, 1, FALSE), $M4061&lt;&gt;" "), "Ingresada", "Falta Ingresar"), " ")</f>
        <v xml:space="preserve"> </v>
      </c>
      <c r="L4061" s="4" t="str">
        <f>IFERROR(VLOOKUP($C4061,Observaciones!$A:$B,2,FALSE)," ")</f>
        <v xml:space="preserve">2 FACTURAS CC1802 Y OTRA X EL CC0 </v>
      </c>
      <c r="M4061" t="s">
        <v>681</v>
      </c>
      <c r="O4061" s="5">
        <v>30852774</v>
      </c>
      <c r="P4061" s="5">
        <v>238965</v>
      </c>
      <c r="Q4061" s="5">
        <v>45403</v>
      </c>
      <c r="R4061" s="5">
        <v>284368</v>
      </c>
    </row>
    <row r="4062" spans="1:18" x14ac:dyDescent="0.25">
      <c r="A4062" t="s">
        <v>501</v>
      </c>
      <c r="B4062" t="s">
        <v>494</v>
      </c>
      <c r="C4062">
        <v>92051000</v>
      </c>
      <c r="D4062">
        <v>0</v>
      </c>
      <c r="E4062">
        <v>30853708</v>
      </c>
      <c r="F4062" t="s">
        <v>1589</v>
      </c>
      <c r="G4062" s="1">
        <v>45236</v>
      </c>
      <c r="H4062">
        <v>5413473</v>
      </c>
      <c r="I4062">
        <v>16</v>
      </c>
      <c r="J4062" t="s">
        <v>330</v>
      </c>
      <c r="K4062" t="str">
        <f>IFERROR(IF(AND(VLOOKUP($C4062,Hes!$A:$B, 1, FALSE), $M4062&lt;&gt;" "), "Ingresada", "Falta Ingresar"), " ")</f>
        <v xml:space="preserve"> </v>
      </c>
      <c r="L4062" s="4" t="str">
        <f>IFERROR(VLOOKUP($C4062,Observaciones!$A:$B,2,FALSE)," ")</f>
        <v xml:space="preserve">2 FACTURAS CC1802 Y OTRA X EL CC0 </v>
      </c>
      <c r="M4062" t="s">
        <v>681</v>
      </c>
      <c r="O4062" s="5">
        <v>30853708</v>
      </c>
      <c r="P4062" s="5">
        <v>66509</v>
      </c>
      <c r="Q4062" s="5">
        <v>12637</v>
      </c>
      <c r="R4062" s="5">
        <v>79146</v>
      </c>
    </row>
    <row r="4063" spans="1:18" x14ac:dyDescent="0.25">
      <c r="A4063" t="s">
        <v>501</v>
      </c>
      <c r="B4063" t="s">
        <v>494</v>
      </c>
      <c r="C4063">
        <v>92051000</v>
      </c>
      <c r="D4063">
        <v>1802</v>
      </c>
      <c r="E4063">
        <v>30857853</v>
      </c>
      <c r="F4063" t="s">
        <v>1589</v>
      </c>
      <c r="G4063" s="1">
        <v>45236</v>
      </c>
      <c r="H4063">
        <v>5413813</v>
      </c>
      <c r="I4063">
        <v>16</v>
      </c>
      <c r="J4063" t="s">
        <v>330</v>
      </c>
      <c r="K4063" t="str">
        <f>IFERROR(IF(AND(VLOOKUP($C4063,Hes!$A:$B, 1, FALSE), $M4063&lt;&gt;" "), "Ingresada", "Falta Ingresar"), " ")</f>
        <v xml:space="preserve"> </v>
      </c>
      <c r="L4063" s="4" t="str">
        <f>IFERROR(VLOOKUP($C4063,Observaciones!$A:$B,2,FALSE)," ")</f>
        <v xml:space="preserve">2 FACTURAS CC1802 Y OTRA X EL CC0 </v>
      </c>
      <c r="M4063" t="s">
        <v>681</v>
      </c>
      <c r="O4063" s="5">
        <v>30857853</v>
      </c>
      <c r="P4063" s="5">
        <v>23309</v>
      </c>
      <c r="Q4063" s="5">
        <v>4429</v>
      </c>
      <c r="R4063" s="5">
        <v>27738</v>
      </c>
    </row>
    <row r="4064" spans="1:18" x14ac:dyDescent="0.25">
      <c r="A4064" t="s">
        <v>501</v>
      </c>
      <c r="B4064" t="s">
        <v>494</v>
      </c>
      <c r="C4064">
        <v>92051000</v>
      </c>
      <c r="D4064">
        <v>1802</v>
      </c>
      <c r="E4064">
        <v>30857785</v>
      </c>
      <c r="F4064" t="s">
        <v>1589</v>
      </c>
      <c r="G4064" s="1">
        <v>45236</v>
      </c>
      <c r="H4064">
        <v>5413816</v>
      </c>
      <c r="I4064">
        <v>16</v>
      </c>
      <c r="J4064" t="s">
        <v>330</v>
      </c>
      <c r="K4064" t="str">
        <f>IFERROR(IF(AND(VLOOKUP($C4064,Hes!$A:$B, 1, FALSE), $M4064&lt;&gt;" "), "Ingresada", "Falta Ingresar"), " ")</f>
        <v xml:space="preserve"> </v>
      </c>
      <c r="L4064" s="4" t="str">
        <f>IFERROR(VLOOKUP($C4064,Observaciones!$A:$B,2,FALSE)," ")</f>
        <v xml:space="preserve">2 FACTURAS CC1802 Y OTRA X EL CC0 </v>
      </c>
      <c r="M4064" t="s">
        <v>681</v>
      </c>
      <c r="O4064" s="5">
        <v>30857785</v>
      </c>
      <c r="P4064" s="5">
        <v>105258</v>
      </c>
      <c r="Q4064" s="5">
        <v>19999</v>
      </c>
      <c r="R4064" s="5">
        <v>125257</v>
      </c>
    </row>
    <row r="4065" spans="1:18" x14ac:dyDescent="0.25">
      <c r="A4065" t="s">
        <v>501</v>
      </c>
      <c r="B4065" t="s">
        <v>494</v>
      </c>
      <c r="C4065">
        <v>92051000</v>
      </c>
      <c r="D4065">
        <v>0</v>
      </c>
      <c r="E4065">
        <v>30858882</v>
      </c>
      <c r="F4065" t="s">
        <v>1589</v>
      </c>
      <c r="G4065" s="1">
        <v>45237</v>
      </c>
      <c r="H4065">
        <v>5414080</v>
      </c>
      <c r="I4065">
        <v>16</v>
      </c>
      <c r="J4065" t="s">
        <v>330</v>
      </c>
      <c r="K4065" t="str">
        <f>IFERROR(IF(AND(VLOOKUP($C4065,Hes!$A:$B, 1, FALSE), $M4065&lt;&gt;" "), "Ingresada", "Falta Ingresar"), " ")</f>
        <v xml:space="preserve"> </v>
      </c>
      <c r="L4065" s="4" t="str">
        <f>IFERROR(VLOOKUP($C4065,Observaciones!$A:$B,2,FALSE)," ")</f>
        <v xml:space="preserve">2 FACTURAS CC1802 Y OTRA X EL CC0 </v>
      </c>
      <c r="M4065" t="s">
        <v>681</v>
      </c>
      <c r="O4065" s="5">
        <v>30858882</v>
      </c>
      <c r="P4065" s="5">
        <v>136700</v>
      </c>
      <c r="Q4065" s="5">
        <v>25973</v>
      </c>
      <c r="R4065" s="5">
        <v>162673</v>
      </c>
    </row>
    <row r="4066" spans="1:18" x14ac:dyDescent="0.25">
      <c r="A4066" t="s">
        <v>501</v>
      </c>
      <c r="B4066" t="s">
        <v>494</v>
      </c>
      <c r="C4066">
        <v>92051000</v>
      </c>
      <c r="D4066">
        <v>0</v>
      </c>
      <c r="E4066">
        <v>30858744</v>
      </c>
      <c r="F4066" t="s">
        <v>1589</v>
      </c>
      <c r="G4066" s="1">
        <v>45237</v>
      </c>
      <c r="H4066">
        <v>5414092</v>
      </c>
      <c r="I4066">
        <v>16</v>
      </c>
      <c r="J4066" t="s">
        <v>330</v>
      </c>
      <c r="K4066" t="str">
        <f>IFERROR(IF(AND(VLOOKUP($C4066,Hes!$A:$B, 1, FALSE), $M4066&lt;&gt;" "), "Ingresada", "Falta Ingresar"), " ")</f>
        <v xml:space="preserve"> </v>
      </c>
      <c r="L4066" s="4" t="str">
        <f>IFERROR(VLOOKUP($C4066,Observaciones!$A:$B,2,FALSE)," ")</f>
        <v xml:space="preserve">2 FACTURAS CC1802 Y OTRA X EL CC0 </v>
      </c>
      <c r="M4066" t="s">
        <v>681</v>
      </c>
      <c r="O4066" s="5">
        <v>30858744</v>
      </c>
      <c r="P4066" s="5">
        <v>86111</v>
      </c>
      <c r="Q4066" s="5">
        <v>16361</v>
      </c>
      <c r="R4066" s="5">
        <v>102472</v>
      </c>
    </row>
    <row r="4067" spans="1:18" x14ac:dyDescent="0.25">
      <c r="A4067" t="s">
        <v>501</v>
      </c>
      <c r="B4067" t="s">
        <v>494</v>
      </c>
      <c r="C4067">
        <v>92051000</v>
      </c>
      <c r="D4067">
        <v>0</v>
      </c>
      <c r="E4067">
        <v>30861406</v>
      </c>
      <c r="F4067" t="s">
        <v>1589</v>
      </c>
      <c r="G4067" s="1">
        <v>45238</v>
      </c>
      <c r="H4067">
        <v>5414974</v>
      </c>
      <c r="I4067">
        <v>16</v>
      </c>
      <c r="J4067" t="s">
        <v>330</v>
      </c>
      <c r="K4067" t="str">
        <f>IFERROR(IF(AND(VLOOKUP($C4067,Hes!$A:$B, 1, FALSE), $M4067&lt;&gt;" "), "Ingresada", "Falta Ingresar"), " ")</f>
        <v xml:space="preserve"> </v>
      </c>
      <c r="L4067" s="4" t="str">
        <f>IFERROR(VLOOKUP($C4067,Observaciones!$A:$B,2,FALSE)," ")</f>
        <v xml:space="preserve">2 FACTURAS CC1802 Y OTRA X EL CC0 </v>
      </c>
      <c r="M4067" t="s">
        <v>681</v>
      </c>
      <c r="O4067" s="5">
        <v>30861406</v>
      </c>
      <c r="P4067" s="5">
        <v>119972</v>
      </c>
      <c r="Q4067" s="5">
        <v>22795</v>
      </c>
      <c r="R4067" s="5">
        <v>142767</v>
      </c>
    </row>
    <row r="4068" spans="1:18" x14ac:dyDescent="0.25">
      <c r="A4068" t="s">
        <v>501</v>
      </c>
      <c r="B4068" t="s">
        <v>494</v>
      </c>
      <c r="C4068">
        <v>92051000</v>
      </c>
      <c r="D4068">
        <v>0</v>
      </c>
      <c r="E4068">
        <v>30863205</v>
      </c>
      <c r="F4068" t="s">
        <v>1589</v>
      </c>
      <c r="G4068" s="1">
        <v>45238</v>
      </c>
      <c r="H4068">
        <v>5415423</v>
      </c>
      <c r="I4068">
        <v>16</v>
      </c>
      <c r="J4068" t="s">
        <v>330</v>
      </c>
      <c r="K4068" t="str">
        <f>IFERROR(IF(AND(VLOOKUP($C4068,Hes!$A:$B, 1, FALSE), $M4068&lt;&gt;" "), "Ingresada", "Falta Ingresar"), " ")</f>
        <v xml:space="preserve"> </v>
      </c>
      <c r="L4068" s="4" t="str">
        <f>IFERROR(VLOOKUP($C4068,Observaciones!$A:$B,2,FALSE)," ")</f>
        <v xml:space="preserve">2 FACTURAS CC1802 Y OTRA X EL CC0 </v>
      </c>
      <c r="M4068" t="s">
        <v>681</v>
      </c>
      <c r="O4068" s="5">
        <v>30863205</v>
      </c>
      <c r="P4068" s="5">
        <v>80376</v>
      </c>
      <c r="Q4068" s="5">
        <v>15271</v>
      </c>
      <c r="R4068" s="5">
        <v>95647</v>
      </c>
    </row>
    <row r="4069" spans="1:18" x14ac:dyDescent="0.25">
      <c r="A4069" t="s">
        <v>501</v>
      </c>
      <c r="B4069" t="s">
        <v>494</v>
      </c>
      <c r="C4069">
        <v>92051000</v>
      </c>
      <c r="D4069">
        <v>0</v>
      </c>
      <c r="E4069">
        <v>432081</v>
      </c>
      <c r="F4069" t="s">
        <v>1589</v>
      </c>
      <c r="G4069" s="1">
        <v>45238</v>
      </c>
      <c r="H4069">
        <v>5415439</v>
      </c>
      <c r="I4069">
        <v>16</v>
      </c>
      <c r="J4069" t="s">
        <v>330</v>
      </c>
      <c r="K4069" t="str">
        <f>IFERROR(IF(AND(VLOOKUP($C4069,Hes!$A:$B, 1, FALSE), $M4069&lt;&gt;" "), "Ingresada", "Falta Ingresar"), " ")</f>
        <v xml:space="preserve"> </v>
      </c>
      <c r="L4069" s="4" t="str">
        <f>IFERROR(VLOOKUP($C4069,Observaciones!$A:$B,2,FALSE)," ")</f>
        <v xml:space="preserve">2 FACTURAS CC1802 Y OTRA X EL CC0 </v>
      </c>
      <c r="M4069" t="s">
        <v>681</v>
      </c>
      <c r="O4069" s="5">
        <v>30864397</v>
      </c>
      <c r="P4069" s="5">
        <v>1345000</v>
      </c>
      <c r="Q4069" s="5">
        <v>255550</v>
      </c>
      <c r="R4069" s="5">
        <v>1600550</v>
      </c>
    </row>
    <row r="4070" spans="1:18" x14ac:dyDescent="0.25">
      <c r="A4070" t="s">
        <v>501</v>
      </c>
      <c r="B4070" t="s">
        <v>494</v>
      </c>
      <c r="C4070">
        <v>92051000</v>
      </c>
      <c r="D4070">
        <v>0</v>
      </c>
      <c r="E4070">
        <v>30865512</v>
      </c>
      <c r="F4070" t="s">
        <v>1589</v>
      </c>
      <c r="G4070" s="1">
        <v>45238</v>
      </c>
      <c r="H4070">
        <v>5415605</v>
      </c>
      <c r="I4070">
        <v>16</v>
      </c>
      <c r="J4070" t="s">
        <v>330</v>
      </c>
      <c r="K4070" t="str">
        <f>IFERROR(IF(AND(VLOOKUP($C4070,Hes!$A:$B, 1, FALSE), $M4070&lt;&gt;" "), "Ingresada", "Falta Ingresar"), " ")</f>
        <v xml:space="preserve"> </v>
      </c>
      <c r="L4070" s="4" t="str">
        <f>IFERROR(VLOOKUP($C4070,Observaciones!$A:$B,2,FALSE)," ")</f>
        <v xml:space="preserve">2 FACTURAS CC1802 Y OTRA X EL CC0 </v>
      </c>
      <c r="M4070" t="s">
        <v>681</v>
      </c>
      <c r="O4070" s="5">
        <v>30865512</v>
      </c>
      <c r="P4070" s="5">
        <v>361950</v>
      </c>
      <c r="Q4070" s="5">
        <v>68771</v>
      </c>
      <c r="R4070" s="5">
        <v>430721</v>
      </c>
    </row>
    <row r="4071" spans="1:18" x14ac:dyDescent="0.25">
      <c r="F4071" t="s">
        <v>526</v>
      </c>
      <c r="K4071" t="str">
        <f>IFERROR(IF(AND(VLOOKUP($C4071,Hes!$A:$B, 1, FALSE), $M4071&lt;&gt;" "), "Ingresada", "Falta Ingresar"), " ")</f>
        <v xml:space="preserve"> </v>
      </c>
      <c r="L4071" s="4" t="str">
        <f>IFERROR(VLOOKUP($C4071,Observaciones!$A:$B,2,FALSE)," ")</f>
        <v xml:space="preserve"> </v>
      </c>
      <c r="M4071" t="s">
        <v>681</v>
      </c>
      <c r="P4071" s="5">
        <v>3440484</v>
      </c>
      <c r="Q4071" s="5">
        <v>653694</v>
      </c>
      <c r="R4071" s="5">
        <v>4094178</v>
      </c>
    </row>
    <row r="4072" spans="1:18" x14ac:dyDescent="0.25">
      <c r="A4072" t="s">
        <v>1590</v>
      </c>
      <c r="B4072" t="s">
        <v>494</v>
      </c>
      <c r="C4072">
        <v>92083000</v>
      </c>
      <c r="D4072">
        <v>29</v>
      </c>
      <c r="E4072">
        <v>44247</v>
      </c>
      <c r="F4072" t="s">
        <v>1591</v>
      </c>
      <c r="G4072" s="1">
        <v>45233</v>
      </c>
      <c r="H4072">
        <v>5411737</v>
      </c>
      <c r="I4072">
        <v>32</v>
      </c>
      <c r="J4072" t="s">
        <v>338</v>
      </c>
      <c r="K4072" t="str">
        <f>IFERROR(IF(AND(VLOOKUP($C4072,Hes!$A:$B, 1, FALSE), $M4072&lt;&gt;" "), "Ingresada", "Falta Ingresar"), " ")</f>
        <v xml:space="preserve"> </v>
      </c>
      <c r="L4072" s="4" t="str">
        <f>IFERROR(VLOOKUP($C4072,Observaciones!$A:$B,2,FALSE)," ")</f>
        <v xml:space="preserve"> </v>
      </c>
      <c r="M4072" t="s">
        <v>681</v>
      </c>
      <c r="O4072" s="5">
        <v>30815876</v>
      </c>
      <c r="P4072" s="5">
        <v>31364</v>
      </c>
      <c r="Q4072" s="5">
        <v>5959</v>
      </c>
      <c r="R4072" s="5">
        <v>37323</v>
      </c>
    </row>
    <row r="4073" spans="1:18" x14ac:dyDescent="0.25">
      <c r="F4073" t="s">
        <v>495</v>
      </c>
      <c r="K4073" t="str">
        <f>IFERROR(IF(AND(VLOOKUP($C4073,Hes!$A:$B, 1, FALSE), $M4073&lt;&gt;" "), "Ingresada", "Falta Ingresar"), " ")</f>
        <v xml:space="preserve"> </v>
      </c>
      <c r="L4073" s="4" t="str">
        <f>IFERROR(VLOOKUP($C4073,Observaciones!$A:$B,2,FALSE)," ")</f>
        <v xml:space="preserve"> </v>
      </c>
      <c r="M4073" t="s">
        <v>681</v>
      </c>
      <c r="P4073" s="5">
        <v>31364</v>
      </c>
      <c r="Q4073" s="5">
        <v>5959</v>
      </c>
      <c r="R4073" s="5">
        <v>37323</v>
      </c>
    </row>
    <row r="4074" spans="1:18" x14ac:dyDescent="0.25">
      <c r="A4074" t="s">
        <v>881</v>
      </c>
      <c r="B4074" t="s">
        <v>494</v>
      </c>
      <c r="C4074">
        <v>92121000</v>
      </c>
      <c r="D4074">
        <v>0</v>
      </c>
      <c r="E4074">
        <v>4500024670</v>
      </c>
      <c r="F4074" t="s">
        <v>1592</v>
      </c>
      <c r="G4074" s="1">
        <v>45233</v>
      </c>
      <c r="H4074">
        <v>5411357</v>
      </c>
      <c r="I4074">
        <v>129</v>
      </c>
      <c r="J4074" t="s">
        <v>414</v>
      </c>
      <c r="K4074" t="str">
        <f>IFERROR(IF(AND(VLOOKUP($C4074,Hes!$A:$B, 1, FALSE), $M4074&lt;&gt;" "), "Ingresada", "Falta Ingresar"), " ")</f>
        <v xml:space="preserve"> </v>
      </c>
      <c r="L4074" s="4" t="str">
        <f>IFERROR(VLOOKUP($C4074,Observaciones!$A:$B,2,FALSE)," ")</f>
        <v>XOC Y CC</v>
      </c>
      <c r="M4074" t="s">
        <v>681</v>
      </c>
      <c r="O4074" s="5">
        <v>30840394</v>
      </c>
      <c r="P4074" s="5">
        <v>27864</v>
      </c>
      <c r="Q4074" s="5">
        <v>5294</v>
      </c>
      <c r="R4074" s="5">
        <v>33158</v>
      </c>
    </row>
    <row r="4075" spans="1:18" x14ac:dyDescent="0.25">
      <c r="A4075" t="s">
        <v>881</v>
      </c>
      <c r="B4075" t="s">
        <v>494</v>
      </c>
      <c r="C4075">
        <v>92121000</v>
      </c>
      <c r="D4075">
        <v>15</v>
      </c>
      <c r="E4075">
        <v>4500024615</v>
      </c>
      <c r="F4075" t="s">
        <v>1592</v>
      </c>
      <c r="G4075" s="1">
        <v>45233</v>
      </c>
      <c r="H4075">
        <v>5412162</v>
      </c>
      <c r="I4075">
        <v>129</v>
      </c>
      <c r="J4075" t="s">
        <v>414</v>
      </c>
      <c r="K4075" t="str">
        <f>IFERROR(IF(AND(VLOOKUP($C4075,Hes!$A:$B, 1, FALSE), $M4075&lt;&gt;" "), "Ingresada", "Falta Ingresar"), " ")</f>
        <v xml:space="preserve"> </v>
      </c>
      <c r="L4075" s="4" t="str">
        <f>IFERROR(VLOOKUP($C4075,Observaciones!$A:$B,2,FALSE)," ")</f>
        <v>XOC Y CC</v>
      </c>
      <c r="M4075" t="s">
        <v>681</v>
      </c>
      <c r="O4075" s="5">
        <v>30827226</v>
      </c>
      <c r="P4075" s="5">
        <v>493150</v>
      </c>
      <c r="Q4075" s="5">
        <v>93699</v>
      </c>
      <c r="R4075" s="5">
        <v>586849</v>
      </c>
    </row>
    <row r="4076" spans="1:18" x14ac:dyDescent="0.25">
      <c r="F4076" t="s">
        <v>497</v>
      </c>
      <c r="K4076" t="str">
        <f>IFERROR(IF(AND(VLOOKUP($C4076,Hes!$A:$B, 1, FALSE), $M4076&lt;&gt;" "), "Ingresada", "Falta Ingresar"), " ")</f>
        <v xml:space="preserve"> </v>
      </c>
      <c r="L4076" s="4" t="str">
        <f>IFERROR(VLOOKUP($C4076,Observaciones!$A:$B,2,FALSE)," ")</f>
        <v xml:space="preserve"> </v>
      </c>
      <c r="M4076" t="s">
        <v>681</v>
      </c>
      <c r="P4076" s="5">
        <v>521014</v>
      </c>
      <c r="Q4076" s="5">
        <v>98993</v>
      </c>
      <c r="R4076" s="5">
        <v>620007</v>
      </c>
    </row>
    <row r="4077" spans="1:18" x14ac:dyDescent="0.25">
      <c r="A4077" t="s">
        <v>503</v>
      </c>
      <c r="B4077" t="s">
        <v>494</v>
      </c>
      <c r="C4077">
        <v>92147000</v>
      </c>
      <c r="D4077">
        <v>0</v>
      </c>
      <c r="E4077">
        <v>72347</v>
      </c>
      <c r="F4077" t="s">
        <v>1593</v>
      </c>
      <c r="G4077" s="1">
        <v>45232</v>
      </c>
      <c r="H4077">
        <v>5410705</v>
      </c>
      <c r="I4077">
        <v>58</v>
      </c>
      <c r="J4077" t="s">
        <v>230</v>
      </c>
      <c r="K4077" t="str">
        <f>IFERROR(IF(AND(VLOOKUP($C4077,Hes!$A:$B, 1, FALSE), $M4077&lt;&gt;" "), "Ingresada", "Falta Ingresar"), " ")</f>
        <v xml:space="preserve"> </v>
      </c>
      <c r="L4077" s="4" t="s">
        <v>681</v>
      </c>
      <c r="M4077" t="s">
        <v>681</v>
      </c>
      <c r="O4077" s="5">
        <v>30843919</v>
      </c>
      <c r="P4077" s="5">
        <v>13975</v>
      </c>
      <c r="Q4077" s="5">
        <v>2655</v>
      </c>
      <c r="R4077" s="5">
        <v>16630</v>
      </c>
    </row>
    <row r="4078" spans="1:18" x14ac:dyDescent="0.25">
      <c r="F4078" t="s">
        <v>495</v>
      </c>
      <c r="K4078" t="str">
        <f>IFERROR(IF(AND(VLOOKUP($C4078,Hes!$A:$B, 1, FALSE), $M4078&lt;&gt;" "), "Ingresada", "Falta Ingresar"), " ")</f>
        <v xml:space="preserve"> </v>
      </c>
      <c r="L4078" s="4" t="str">
        <f>IFERROR(VLOOKUP($C4078,Observaciones!$A:$B,2,FALSE)," ")</f>
        <v xml:space="preserve"> </v>
      </c>
      <c r="M4078" t="s">
        <v>681</v>
      </c>
      <c r="P4078" s="5">
        <v>13975</v>
      </c>
      <c r="Q4078" s="5">
        <v>2655</v>
      </c>
      <c r="R4078" s="5">
        <v>16630</v>
      </c>
    </row>
    <row r="4079" spans="1:18" x14ac:dyDescent="0.25">
      <c r="A4079" t="s">
        <v>503</v>
      </c>
      <c r="B4079" t="s">
        <v>509</v>
      </c>
      <c r="C4079">
        <v>92176000</v>
      </c>
      <c r="D4079">
        <v>0</v>
      </c>
      <c r="E4079">
        <v>3000035604</v>
      </c>
      <c r="F4079" t="s">
        <v>1594</v>
      </c>
      <c r="G4079" s="1">
        <v>45233</v>
      </c>
      <c r="H4079">
        <v>5411272</v>
      </c>
      <c r="I4079">
        <v>181</v>
      </c>
      <c r="J4079" t="s">
        <v>206</v>
      </c>
      <c r="K4079" t="str">
        <f>IFERROR(IF(AND(VLOOKUP($C4079,Hes!$A:$B, 1, FALSE), $M4079&lt;&gt;" "), "Ingresada", "Falta Ingresar"), " ")</f>
        <v xml:space="preserve"> </v>
      </c>
      <c r="L4079" s="4" t="s">
        <v>681</v>
      </c>
      <c r="M4079" t="s">
        <v>681</v>
      </c>
      <c r="O4079" s="5">
        <v>30849286</v>
      </c>
      <c r="P4079" s="5">
        <v>146520</v>
      </c>
      <c r="Q4079" s="5">
        <v>27839</v>
      </c>
      <c r="R4079" s="5">
        <v>174359</v>
      </c>
    </row>
    <row r="4080" spans="1:18" x14ac:dyDescent="0.25">
      <c r="A4080" t="s">
        <v>503</v>
      </c>
      <c r="B4080" t="s">
        <v>509</v>
      </c>
      <c r="C4080">
        <v>92176000</v>
      </c>
      <c r="D4080">
        <v>7</v>
      </c>
      <c r="E4080">
        <v>2000030274</v>
      </c>
      <c r="F4080" t="s">
        <v>1594</v>
      </c>
      <c r="G4080" s="1">
        <v>45233</v>
      </c>
      <c r="H4080">
        <v>5411419</v>
      </c>
      <c r="I4080">
        <v>181</v>
      </c>
      <c r="J4080" t="s">
        <v>206</v>
      </c>
      <c r="K4080" t="str">
        <f>IFERROR(IF(AND(VLOOKUP($C4080,Hes!$A:$B, 1, FALSE), $M4080&lt;&gt;" "), "Ingresada", "Falta Ingresar"), " ")</f>
        <v xml:space="preserve"> </v>
      </c>
      <c r="L4080" s="4" t="s">
        <v>681</v>
      </c>
      <c r="M4080" t="s">
        <v>681</v>
      </c>
      <c r="O4080" s="5">
        <v>30846446</v>
      </c>
      <c r="P4080" s="5">
        <v>248123</v>
      </c>
      <c r="Q4080" s="5">
        <v>47143</v>
      </c>
      <c r="R4080" s="5">
        <v>295266</v>
      </c>
    </row>
    <row r="4081" spans="1:18" x14ac:dyDescent="0.25">
      <c r="A4081" t="s">
        <v>503</v>
      </c>
      <c r="B4081" t="s">
        <v>509</v>
      </c>
      <c r="C4081">
        <v>92176000</v>
      </c>
      <c r="D4081">
        <v>7</v>
      </c>
      <c r="E4081">
        <v>2000030274</v>
      </c>
      <c r="F4081" t="s">
        <v>1594</v>
      </c>
      <c r="G4081" s="1">
        <v>45233</v>
      </c>
      <c r="H4081">
        <v>5411464</v>
      </c>
      <c r="I4081">
        <v>181</v>
      </c>
      <c r="J4081" t="s">
        <v>206</v>
      </c>
      <c r="K4081" t="str">
        <f>IFERROR(IF(AND(VLOOKUP($C4081,Hes!$A:$B, 1, FALSE), $M4081&lt;&gt;" "), "Ingresada", "Falta Ingresar"), " ")</f>
        <v xml:space="preserve"> </v>
      </c>
      <c r="L4081" s="4" t="s">
        <v>681</v>
      </c>
      <c r="M4081" t="s">
        <v>681</v>
      </c>
      <c r="O4081" s="5">
        <v>30846428</v>
      </c>
      <c r="P4081" s="5">
        <v>1125502</v>
      </c>
      <c r="Q4081" s="5">
        <v>213845</v>
      </c>
      <c r="R4081" s="5">
        <v>1339347</v>
      </c>
    </row>
    <row r="4082" spans="1:18" x14ac:dyDescent="0.25">
      <c r="A4082" t="s">
        <v>503</v>
      </c>
      <c r="B4082" t="s">
        <v>509</v>
      </c>
      <c r="C4082">
        <v>92176000</v>
      </c>
      <c r="D4082">
        <v>7</v>
      </c>
      <c r="E4082">
        <v>2000030274</v>
      </c>
      <c r="F4082" t="s">
        <v>1594</v>
      </c>
      <c r="G4082" s="1">
        <v>45233</v>
      </c>
      <c r="H4082">
        <v>5411469</v>
      </c>
      <c r="I4082">
        <v>181</v>
      </c>
      <c r="J4082" t="s">
        <v>206</v>
      </c>
      <c r="K4082" t="str">
        <f>IFERROR(IF(AND(VLOOKUP($C4082,Hes!$A:$B, 1, FALSE), $M4082&lt;&gt;" "), "Ingresada", "Falta Ingresar"), " ")</f>
        <v xml:space="preserve"> </v>
      </c>
      <c r="L4082" s="4" t="s">
        <v>681</v>
      </c>
      <c r="M4082" t="s">
        <v>681</v>
      </c>
      <c r="O4082" s="5">
        <v>30846438</v>
      </c>
      <c r="P4082" s="5">
        <v>185535</v>
      </c>
      <c r="Q4082" s="5">
        <v>35252</v>
      </c>
      <c r="R4082" s="5">
        <v>220787</v>
      </c>
    </row>
    <row r="4083" spans="1:18" x14ac:dyDescent="0.25">
      <c r="A4083" t="s">
        <v>503</v>
      </c>
      <c r="B4083" t="s">
        <v>509</v>
      </c>
      <c r="C4083">
        <v>92176000</v>
      </c>
      <c r="D4083">
        <v>7</v>
      </c>
      <c r="E4083">
        <v>2000030281</v>
      </c>
      <c r="F4083" t="s">
        <v>1594</v>
      </c>
      <c r="G4083" s="1">
        <v>45233</v>
      </c>
      <c r="H4083">
        <v>5411547</v>
      </c>
      <c r="I4083">
        <v>181</v>
      </c>
      <c r="J4083" t="s">
        <v>206</v>
      </c>
      <c r="K4083" t="str">
        <f>IFERROR(IF(AND(VLOOKUP($C4083,Hes!$A:$B, 1, FALSE), $M4083&lt;&gt;" "), "Ingresada", "Falta Ingresar"), " ")</f>
        <v xml:space="preserve"> </v>
      </c>
      <c r="L4083" s="4" t="s">
        <v>681</v>
      </c>
      <c r="M4083" t="s">
        <v>681</v>
      </c>
      <c r="O4083" s="5">
        <v>30847065</v>
      </c>
      <c r="P4083" s="5">
        <v>434346</v>
      </c>
      <c r="Q4083" s="5">
        <v>82526</v>
      </c>
      <c r="R4083" s="5">
        <v>516872</v>
      </c>
    </row>
    <row r="4084" spans="1:18" x14ac:dyDescent="0.25">
      <c r="A4084" t="s">
        <v>503</v>
      </c>
      <c r="B4084" t="s">
        <v>509</v>
      </c>
      <c r="C4084">
        <v>92176000</v>
      </c>
      <c r="D4084">
        <v>2</v>
      </c>
      <c r="E4084">
        <v>2000030310</v>
      </c>
      <c r="F4084" t="s">
        <v>1594</v>
      </c>
      <c r="G4084" s="1">
        <v>45236</v>
      </c>
      <c r="H4084">
        <v>5413045</v>
      </c>
      <c r="I4084">
        <v>181</v>
      </c>
      <c r="J4084" t="s">
        <v>206</v>
      </c>
      <c r="K4084" t="str">
        <f>IFERROR(IF(AND(VLOOKUP($C4084,Hes!$A:$B, 1, FALSE), $M4084&lt;&gt;" "), "Ingresada", "Falta Ingresar"), " ")</f>
        <v xml:space="preserve"> </v>
      </c>
      <c r="L4084" s="4" t="s">
        <v>681</v>
      </c>
      <c r="M4084" t="s">
        <v>681</v>
      </c>
      <c r="O4084" s="5">
        <v>30851052</v>
      </c>
      <c r="P4084" s="5">
        <v>310893</v>
      </c>
      <c r="Q4084" s="5">
        <v>59070</v>
      </c>
      <c r="R4084" s="5">
        <v>369963</v>
      </c>
    </row>
    <row r="4085" spans="1:18" x14ac:dyDescent="0.25">
      <c r="A4085" t="s">
        <v>503</v>
      </c>
      <c r="B4085" t="s">
        <v>509</v>
      </c>
      <c r="C4085">
        <v>92176000</v>
      </c>
      <c r="D4085">
        <v>2</v>
      </c>
      <c r="E4085">
        <v>2000030310</v>
      </c>
      <c r="F4085" t="s">
        <v>1594</v>
      </c>
      <c r="G4085" s="1">
        <v>45236</v>
      </c>
      <c r="H4085">
        <v>5413046</v>
      </c>
      <c r="I4085">
        <v>181</v>
      </c>
      <c r="J4085" t="s">
        <v>206</v>
      </c>
      <c r="K4085" t="str">
        <f>IFERROR(IF(AND(VLOOKUP($C4085,Hes!$A:$B, 1, FALSE), $M4085&lt;&gt;" "), "Ingresada", "Falta Ingresar"), " ")</f>
        <v xml:space="preserve"> </v>
      </c>
      <c r="L4085" s="4" t="s">
        <v>681</v>
      </c>
      <c r="M4085" t="s">
        <v>681</v>
      </c>
      <c r="O4085" s="5">
        <v>30851052</v>
      </c>
      <c r="P4085" s="5">
        <v>162399</v>
      </c>
      <c r="Q4085" s="5">
        <v>30856</v>
      </c>
      <c r="R4085" s="5">
        <v>193255</v>
      </c>
    </row>
    <row r="4086" spans="1:18" x14ac:dyDescent="0.25">
      <c r="A4086" t="s">
        <v>503</v>
      </c>
      <c r="B4086" t="s">
        <v>509</v>
      </c>
      <c r="C4086">
        <v>92176000</v>
      </c>
      <c r="D4086">
        <v>7</v>
      </c>
      <c r="E4086">
        <v>2000030407</v>
      </c>
      <c r="F4086" t="s">
        <v>1594</v>
      </c>
      <c r="G4086" s="1">
        <v>45238</v>
      </c>
      <c r="H4086">
        <v>5415625</v>
      </c>
      <c r="I4086">
        <v>181</v>
      </c>
      <c r="J4086" t="s">
        <v>206</v>
      </c>
      <c r="K4086" t="str">
        <f>IFERROR(IF(AND(VLOOKUP($C4086,Hes!$A:$B, 1, FALSE), $M4086&lt;&gt;" "), "Ingresada", "Falta Ingresar"), " ")</f>
        <v xml:space="preserve"> </v>
      </c>
      <c r="L4086" s="4" t="s">
        <v>681</v>
      </c>
      <c r="M4086" t="s">
        <v>681</v>
      </c>
      <c r="O4086" s="5">
        <v>30856757</v>
      </c>
      <c r="P4086" s="5">
        <v>625048</v>
      </c>
      <c r="Q4086" s="5">
        <v>118759</v>
      </c>
      <c r="R4086" s="5">
        <v>743807</v>
      </c>
    </row>
    <row r="4087" spans="1:18" x14ac:dyDescent="0.25">
      <c r="A4087" t="s">
        <v>503</v>
      </c>
      <c r="B4087" t="s">
        <v>509</v>
      </c>
      <c r="C4087">
        <v>92176000</v>
      </c>
      <c r="D4087">
        <v>7</v>
      </c>
      <c r="E4087">
        <v>3000035736</v>
      </c>
      <c r="F4087" t="s">
        <v>1594</v>
      </c>
      <c r="G4087" s="1">
        <v>45238</v>
      </c>
      <c r="H4087">
        <v>5415646</v>
      </c>
      <c r="I4087">
        <v>181</v>
      </c>
      <c r="J4087" t="s">
        <v>206</v>
      </c>
      <c r="K4087" t="str">
        <f>IFERROR(IF(AND(VLOOKUP($C4087,Hes!$A:$B, 1, FALSE), $M4087&lt;&gt;" "), "Ingresada", "Falta Ingresar"), " ")</f>
        <v xml:space="preserve"> </v>
      </c>
      <c r="L4087" s="4" t="s">
        <v>681</v>
      </c>
      <c r="M4087" t="s">
        <v>681</v>
      </c>
      <c r="O4087" s="5">
        <v>30863801</v>
      </c>
      <c r="P4087" s="5">
        <v>46263</v>
      </c>
      <c r="Q4087" s="5">
        <v>8790</v>
      </c>
      <c r="R4087" s="5">
        <v>55053</v>
      </c>
    </row>
    <row r="4088" spans="1:18" x14ac:dyDescent="0.25">
      <c r="F4088" t="s">
        <v>514</v>
      </c>
      <c r="K4088" t="str">
        <f>IFERROR(IF(AND(VLOOKUP($C4088,Hes!$A:$B, 1, FALSE), $M4088&lt;&gt;" "), "Ingresada", "Falta Ingresar"), " ")</f>
        <v xml:space="preserve"> </v>
      </c>
      <c r="L4088" s="4" t="str">
        <f>IFERROR(VLOOKUP($C4088,Observaciones!$A:$B,2,FALSE)," ")</f>
        <v xml:space="preserve"> </v>
      </c>
      <c r="M4088" t="s">
        <v>681</v>
      </c>
      <c r="P4088" s="5">
        <v>3284629</v>
      </c>
      <c r="Q4088" s="5">
        <v>624080</v>
      </c>
      <c r="R4088" s="5">
        <v>3908709</v>
      </c>
    </row>
    <row r="4089" spans="1:18" x14ac:dyDescent="0.25">
      <c r="A4089" t="s">
        <v>501</v>
      </c>
      <c r="B4089" t="s">
        <v>494</v>
      </c>
      <c r="C4089">
        <v>92461000</v>
      </c>
      <c r="D4089">
        <v>2</v>
      </c>
      <c r="E4089">
        <v>30845276</v>
      </c>
      <c r="F4089" t="s">
        <v>1595</v>
      </c>
      <c r="G4089" s="1">
        <v>45232</v>
      </c>
      <c r="H4089">
        <v>5410806</v>
      </c>
      <c r="I4089">
        <v>181</v>
      </c>
      <c r="J4089" t="s">
        <v>206</v>
      </c>
      <c r="K4089" t="str">
        <f>IFERROR(IF(AND(VLOOKUP($C4089,Hes!$A:$B, 1, FALSE), $M4089&lt;&gt;" "), "Ingresada", "Falta Ingresar"), " ")</f>
        <v xml:space="preserve"> </v>
      </c>
      <c r="L4089" s="4" t="str">
        <f>IFERROR(VLOOKUP($C4089,Observaciones!$A:$B,2,FALSE)," ")</f>
        <v xml:space="preserve"> </v>
      </c>
      <c r="M4089" t="s">
        <v>681</v>
      </c>
      <c r="O4089" s="5">
        <v>30845276</v>
      </c>
      <c r="P4089" s="5">
        <v>29272</v>
      </c>
      <c r="Q4089" s="5">
        <v>5562</v>
      </c>
      <c r="R4089" s="5">
        <v>34834</v>
      </c>
    </row>
    <row r="4090" spans="1:18" x14ac:dyDescent="0.25">
      <c r="A4090" t="s">
        <v>501</v>
      </c>
      <c r="B4090" t="s">
        <v>494</v>
      </c>
      <c r="C4090">
        <v>92461000</v>
      </c>
      <c r="D4090">
        <v>47</v>
      </c>
      <c r="E4090">
        <v>30854200</v>
      </c>
      <c r="F4090" t="s">
        <v>1595</v>
      </c>
      <c r="G4090" s="1">
        <v>45236</v>
      </c>
      <c r="H4090">
        <v>5413749</v>
      </c>
      <c r="I4090">
        <v>181</v>
      </c>
      <c r="J4090" t="s">
        <v>206</v>
      </c>
      <c r="K4090" t="str">
        <f>IFERROR(IF(AND(VLOOKUP($C4090,Hes!$A:$B, 1, FALSE), $M4090&lt;&gt;" "), "Ingresada", "Falta Ingresar"), " ")</f>
        <v xml:space="preserve"> </v>
      </c>
      <c r="L4090" s="4" t="str">
        <f>IFERROR(VLOOKUP($C4090,Observaciones!$A:$B,2,FALSE)," ")</f>
        <v xml:space="preserve"> </v>
      </c>
      <c r="M4090" t="s">
        <v>681</v>
      </c>
      <c r="O4090" s="5">
        <v>30854200</v>
      </c>
      <c r="P4090" s="5">
        <v>149106</v>
      </c>
      <c r="Q4090" s="5">
        <v>28330</v>
      </c>
      <c r="R4090" s="5">
        <v>177436</v>
      </c>
    </row>
    <row r="4091" spans="1:18" x14ac:dyDescent="0.25">
      <c r="A4091" t="s">
        <v>501</v>
      </c>
      <c r="B4091" t="s">
        <v>494</v>
      </c>
      <c r="C4091">
        <v>92461000</v>
      </c>
      <c r="D4091">
        <v>8</v>
      </c>
      <c r="E4091">
        <v>30855009</v>
      </c>
      <c r="F4091" t="s">
        <v>1595</v>
      </c>
      <c r="G4091" s="1">
        <v>45236</v>
      </c>
      <c r="H4091">
        <v>5413754</v>
      </c>
      <c r="I4091">
        <v>181</v>
      </c>
      <c r="J4091" t="s">
        <v>206</v>
      </c>
      <c r="K4091" t="str">
        <f>IFERROR(IF(AND(VLOOKUP($C4091,Hes!$A:$B, 1, FALSE), $M4091&lt;&gt;" "), "Ingresada", "Falta Ingresar"), " ")</f>
        <v xml:space="preserve"> </v>
      </c>
      <c r="L4091" s="4" t="str">
        <f>IFERROR(VLOOKUP($C4091,Observaciones!$A:$B,2,FALSE)," ")</f>
        <v xml:space="preserve"> </v>
      </c>
      <c r="M4091" t="s">
        <v>681</v>
      </c>
      <c r="O4091" s="5">
        <v>30855009</v>
      </c>
      <c r="P4091" s="5">
        <v>224507</v>
      </c>
      <c r="Q4091" s="5">
        <v>42656</v>
      </c>
      <c r="R4091" s="5">
        <v>267702</v>
      </c>
    </row>
    <row r="4092" spans="1:18" x14ac:dyDescent="0.25">
      <c r="A4092" t="s">
        <v>501</v>
      </c>
      <c r="B4092" t="s">
        <v>494</v>
      </c>
      <c r="C4092">
        <v>92461000</v>
      </c>
      <c r="D4092">
        <v>8</v>
      </c>
      <c r="E4092">
        <v>30855009</v>
      </c>
      <c r="F4092" t="s">
        <v>1595</v>
      </c>
      <c r="G4092" s="1">
        <v>45236</v>
      </c>
      <c r="H4092">
        <v>5413755</v>
      </c>
      <c r="I4092">
        <v>181</v>
      </c>
      <c r="J4092" t="s">
        <v>206</v>
      </c>
      <c r="K4092" t="str">
        <f>IFERROR(IF(AND(VLOOKUP($C4092,Hes!$A:$B, 1, FALSE), $M4092&lt;&gt;" "), "Ingresada", "Falta Ingresar"), " ")</f>
        <v xml:space="preserve"> </v>
      </c>
      <c r="L4092" s="4" t="str">
        <f>IFERROR(VLOOKUP($C4092,Observaciones!$A:$B,2,FALSE)," ")</f>
        <v xml:space="preserve"> </v>
      </c>
      <c r="M4092" t="s">
        <v>681</v>
      </c>
      <c r="O4092" s="5">
        <v>30855009</v>
      </c>
      <c r="P4092" s="5">
        <v>25101</v>
      </c>
      <c r="Q4092" s="5">
        <v>4769</v>
      </c>
      <c r="R4092" s="5">
        <v>29870</v>
      </c>
    </row>
    <row r="4093" spans="1:18" x14ac:dyDescent="0.25">
      <c r="A4093" t="s">
        <v>501</v>
      </c>
      <c r="B4093" t="s">
        <v>494</v>
      </c>
      <c r="C4093">
        <v>92461000</v>
      </c>
      <c r="D4093">
        <v>24</v>
      </c>
      <c r="E4093">
        <v>30856827</v>
      </c>
      <c r="F4093" t="s">
        <v>1595</v>
      </c>
      <c r="G4093" s="1">
        <v>45236</v>
      </c>
      <c r="H4093">
        <v>5413758</v>
      </c>
      <c r="I4093">
        <v>181</v>
      </c>
      <c r="J4093" t="s">
        <v>206</v>
      </c>
      <c r="K4093" t="str">
        <f>IFERROR(IF(AND(VLOOKUP($C4093,Hes!$A:$B, 1, FALSE), $M4093&lt;&gt;" "), "Ingresada", "Falta Ingresar"), " ")</f>
        <v xml:space="preserve"> </v>
      </c>
      <c r="L4093" s="4" t="str">
        <f>IFERROR(VLOOKUP($C4093,Observaciones!$A:$B,2,FALSE)," ")</f>
        <v xml:space="preserve"> </v>
      </c>
      <c r="M4093" t="s">
        <v>681</v>
      </c>
      <c r="O4093" s="5">
        <v>30856827</v>
      </c>
      <c r="P4093" s="5">
        <v>119659</v>
      </c>
      <c r="Q4093" s="5">
        <v>22735</v>
      </c>
      <c r="R4093" s="5">
        <v>142394</v>
      </c>
    </row>
    <row r="4094" spans="1:18" x14ac:dyDescent="0.25">
      <c r="A4094" t="s">
        <v>501</v>
      </c>
      <c r="B4094" t="s">
        <v>494</v>
      </c>
      <c r="C4094">
        <v>92461000</v>
      </c>
      <c r="D4094">
        <v>9</v>
      </c>
      <c r="E4094">
        <v>30863299</v>
      </c>
      <c r="F4094" t="s">
        <v>1595</v>
      </c>
      <c r="G4094" s="1">
        <v>45238</v>
      </c>
      <c r="H4094">
        <v>5415805</v>
      </c>
      <c r="I4094">
        <v>181</v>
      </c>
      <c r="J4094" t="s">
        <v>206</v>
      </c>
      <c r="K4094" t="str">
        <f>IFERROR(IF(AND(VLOOKUP($C4094,Hes!$A:$B, 1, FALSE), $M4094&lt;&gt;" "), "Ingresada", "Falta Ingresar"), " ")</f>
        <v xml:space="preserve"> </v>
      </c>
      <c r="L4094" s="4" t="str">
        <f>IFERROR(VLOOKUP($C4094,Observaciones!$A:$B,2,FALSE)," ")</f>
        <v xml:space="preserve"> </v>
      </c>
      <c r="M4094" t="s">
        <v>681</v>
      </c>
      <c r="O4094" s="5">
        <v>30863299</v>
      </c>
      <c r="P4094" s="5">
        <v>68580</v>
      </c>
      <c r="Q4094" s="5">
        <v>13030</v>
      </c>
      <c r="R4094" s="5">
        <v>84194</v>
      </c>
    </row>
    <row r="4095" spans="1:18" x14ac:dyDescent="0.25">
      <c r="F4095" t="s">
        <v>523</v>
      </c>
      <c r="K4095" t="str">
        <f>IFERROR(IF(AND(VLOOKUP($C4095,Hes!$A:$B, 1, FALSE), $M4095&lt;&gt;" "), "Ingresada", "Falta Ingresar"), " ")</f>
        <v xml:space="preserve"> </v>
      </c>
      <c r="L4095" s="4" t="str">
        <f>IFERROR(VLOOKUP($C4095,Observaciones!$A:$B,2,FALSE)," ")</f>
        <v xml:space="preserve"> </v>
      </c>
      <c r="M4095" t="s">
        <v>681</v>
      </c>
      <c r="P4095" s="5">
        <v>616225</v>
      </c>
      <c r="Q4095" s="5">
        <v>117082</v>
      </c>
      <c r="R4095" s="5">
        <v>736430</v>
      </c>
    </row>
    <row r="4096" spans="1:18" x14ac:dyDescent="0.25">
      <c r="A4096" t="s">
        <v>1027</v>
      </c>
      <c r="B4096" t="s">
        <v>494</v>
      </c>
      <c r="C4096">
        <v>92475000</v>
      </c>
      <c r="D4096">
        <v>198</v>
      </c>
      <c r="E4096">
        <v>30849075</v>
      </c>
      <c r="F4096" t="s">
        <v>1596</v>
      </c>
      <c r="G4096" s="1">
        <v>45233</v>
      </c>
      <c r="H4096">
        <v>5411310</v>
      </c>
      <c r="I4096">
        <v>91</v>
      </c>
      <c r="J4096" t="s">
        <v>172</v>
      </c>
      <c r="K4096" s="8" t="str">
        <f>IFERROR(IF(AND(VLOOKUP($C4096,Hes!$A:$B, 1, FALSE), $M4096&lt;&gt;" "), "Ingresada", "Falta Ingresar"), " ")</f>
        <v>Falta Ingresar</v>
      </c>
      <c r="L4096" s="4" t="str">
        <f>IFERROR(VLOOKUP($C4096,Observaciones!$A:$B,2,FALSE)," ")</f>
        <v xml:space="preserve"> </v>
      </c>
      <c r="M4096" t="s">
        <v>681</v>
      </c>
      <c r="N4096" s="5" t="s">
        <v>841</v>
      </c>
      <c r="O4096" s="5">
        <v>30849075</v>
      </c>
      <c r="P4096" s="5">
        <v>6642</v>
      </c>
      <c r="Q4096" s="5">
        <v>1262</v>
      </c>
      <c r="R4096" s="5">
        <v>7904</v>
      </c>
    </row>
    <row r="4097" spans="1:18" x14ac:dyDescent="0.25">
      <c r="A4097" t="s">
        <v>1027</v>
      </c>
      <c r="B4097" t="s">
        <v>494</v>
      </c>
      <c r="C4097">
        <v>92475000</v>
      </c>
      <c r="D4097">
        <v>177</v>
      </c>
      <c r="E4097">
        <v>30849061</v>
      </c>
      <c r="F4097" t="s">
        <v>1596</v>
      </c>
      <c r="G4097" s="1">
        <v>45233</v>
      </c>
      <c r="H4097">
        <v>5411314</v>
      </c>
      <c r="I4097">
        <v>91</v>
      </c>
      <c r="J4097" t="s">
        <v>172</v>
      </c>
      <c r="K4097" s="8" t="str">
        <f>IFERROR(IF(AND(VLOOKUP($C4097,Hes!$A:$B, 1, FALSE), $M4097&lt;&gt;" "), "Ingresada", "Falta Ingresar"), " ")</f>
        <v>Falta Ingresar</v>
      </c>
      <c r="L4097" s="4" t="str">
        <f>IFERROR(VLOOKUP($C4097,Observaciones!$A:$B,2,FALSE)," ")</f>
        <v xml:space="preserve"> </v>
      </c>
      <c r="M4097" t="s">
        <v>681</v>
      </c>
      <c r="N4097" s="5" t="s">
        <v>841</v>
      </c>
      <c r="O4097" s="5">
        <v>30849061</v>
      </c>
      <c r="P4097" s="5">
        <v>13599</v>
      </c>
      <c r="Q4097" s="5">
        <v>2584</v>
      </c>
      <c r="R4097" s="5">
        <v>16183</v>
      </c>
    </row>
    <row r="4098" spans="1:18" x14ac:dyDescent="0.25">
      <c r="A4098" t="s">
        <v>1027</v>
      </c>
      <c r="B4098" t="s">
        <v>494</v>
      </c>
      <c r="C4098">
        <v>92475000</v>
      </c>
      <c r="D4098">
        <v>202</v>
      </c>
      <c r="E4098">
        <v>30849074</v>
      </c>
      <c r="F4098" t="s">
        <v>1596</v>
      </c>
      <c r="G4098" s="1">
        <v>45233</v>
      </c>
      <c r="H4098">
        <v>5411319</v>
      </c>
      <c r="I4098">
        <v>91</v>
      </c>
      <c r="J4098" t="s">
        <v>172</v>
      </c>
      <c r="K4098" s="8" t="str">
        <f>IFERROR(IF(AND(VLOOKUP($C4098,Hes!$A:$B, 1, FALSE), $M4098&lt;&gt;" "), "Ingresada", "Falta Ingresar"), " ")</f>
        <v>Falta Ingresar</v>
      </c>
      <c r="L4098" s="4" t="str">
        <f>IFERROR(VLOOKUP($C4098,Observaciones!$A:$B,2,FALSE)," ")</f>
        <v xml:space="preserve"> </v>
      </c>
      <c r="M4098" t="s">
        <v>681</v>
      </c>
      <c r="N4098" s="5" t="s">
        <v>841</v>
      </c>
      <c r="O4098" s="5">
        <v>30849074</v>
      </c>
      <c r="P4098" s="5">
        <v>15033</v>
      </c>
      <c r="Q4098" s="5">
        <v>2856</v>
      </c>
      <c r="R4098" s="5">
        <v>17889</v>
      </c>
    </row>
    <row r="4099" spans="1:18" x14ac:dyDescent="0.25">
      <c r="A4099" t="s">
        <v>1027</v>
      </c>
      <c r="B4099" t="s">
        <v>494</v>
      </c>
      <c r="C4099">
        <v>92475000</v>
      </c>
      <c r="D4099">
        <v>252</v>
      </c>
      <c r="E4099">
        <v>30849084</v>
      </c>
      <c r="F4099" t="s">
        <v>1596</v>
      </c>
      <c r="G4099" s="1">
        <v>45233</v>
      </c>
      <c r="H4099">
        <v>5411325</v>
      </c>
      <c r="I4099">
        <v>91</v>
      </c>
      <c r="J4099" t="s">
        <v>172</v>
      </c>
      <c r="K4099" s="8" t="str">
        <f>IFERROR(IF(AND(VLOOKUP($C4099,Hes!$A:$B, 1, FALSE), $M4099&lt;&gt;" "), "Ingresada", "Falta Ingresar"), " ")</f>
        <v>Falta Ingresar</v>
      </c>
      <c r="L4099" s="4" t="str">
        <f>IFERROR(VLOOKUP($C4099,Observaciones!$A:$B,2,FALSE)," ")</f>
        <v xml:space="preserve"> </v>
      </c>
      <c r="M4099" t="s">
        <v>681</v>
      </c>
      <c r="N4099" s="5" t="s">
        <v>841</v>
      </c>
      <c r="O4099" s="5">
        <v>30849084</v>
      </c>
      <c r="P4099" s="5">
        <v>15790</v>
      </c>
      <c r="Q4099" s="5">
        <v>3000</v>
      </c>
      <c r="R4099" s="5">
        <v>18790</v>
      </c>
    </row>
    <row r="4100" spans="1:18" x14ac:dyDescent="0.25">
      <c r="A4100" t="s">
        <v>1027</v>
      </c>
      <c r="B4100" t="s">
        <v>494</v>
      </c>
      <c r="C4100">
        <v>92475000</v>
      </c>
      <c r="D4100">
        <v>136</v>
      </c>
      <c r="E4100">
        <v>30849063</v>
      </c>
      <c r="F4100" t="s">
        <v>1596</v>
      </c>
      <c r="G4100" s="1">
        <v>45233</v>
      </c>
      <c r="H4100">
        <v>5411358</v>
      </c>
      <c r="I4100">
        <v>91</v>
      </c>
      <c r="J4100" t="s">
        <v>172</v>
      </c>
      <c r="K4100" s="8" t="str">
        <f>IFERROR(IF(AND(VLOOKUP($C4100,Hes!$A:$B, 1, FALSE), $M4100&lt;&gt;" "), "Ingresada", "Falta Ingresar"), " ")</f>
        <v>Falta Ingresar</v>
      </c>
      <c r="L4100" s="4" t="str">
        <f>IFERROR(VLOOKUP($C4100,Observaciones!$A:$B,2,FALSE)," ")</f>
        <v xml:space="preserve"> </v>
      </c>
      <c r="M4100" t="s">
        <v>681</v>
      </c>
      <c r="N4100" s="5" t="s">
        <v>841</v>
      </c>
      <c r="O4100" s="5">
        <v>30849063</v>
      </c>
      <c r="P4100" s="5">
        <v>58309</v>
      </c>
      <c r="Q4100" s="5">
        <v>11079</v>
      </c>
      <c r="R4100" s="5">
        <v>69388</v>
      </c>
    </row>
    <row r="4101" spans="1:18" x14ac:dyDescent="0.25">
      <c r="A4101" t="s">
        <v>1027</v>
      </c>
      <c r="B4101" t="s">
        <v>494</v>
      </c>
      <c r="C4101">
        <v>92475000</v>
      </c>
      <c r="D4101">
        <v>183</v>
      </c>
      <c r="E4101">
        <v>30849077</v>
      </c>
      <c r="F4101" t="s">
        <v>1596</v>
      </c>
      <c r="G4101" s="1">
        <v>45233</v>
      </c>
      <c r="H4101">
        <v>5411426</v>
      </c>
      <c r="I4101">
        <v>91</v>
      </c>
      <c r="J4101" t="s">
        <v>172</v>
      </c>
      <c r="K4101" s="8" t="str">
        <f>IFERROR(IF(AND(VLOOKUP($C4101,Hes!$A:$B, 1, FALSE), $M4101&lt;&gt;" "), "Ingresada", "Falta Ingresar"), " ")</f>
        <v>Falta Ingresar</v>
      </c>
      <c r="L4101" s="4" t="str">
        <f>IFERROR(VLOOKUP($C4101,Observaciones!$A:$B,2,FALSE)," ")</f>
        <v xml:space="preserve"> </v>
      </c>
      <c r="M4101" t="s">
        <v>681</v>
      </c>
      <c r="N4101" s="5" t="s">
        <v>841</v>
      </c>
      <c r="O4101" s="5">
        <v>30849077</v>
      </c>
      <c r="P4101" s="5">
        <v>10692</v>
      </c>
      <c r="Q4101" s="5">
        <v>2031</v>
      </c>
      <c r="R4101" s="5">
        <v>12723</v>
      </c>
    </row>
    <row r="4102" spans="1:18" x14ac:dyDescent="0.25">
      <c r="A4102" t="s">
        <v>1027</v>
      </c>
      <c r="B4102" t="s">
        <v>494</v>
      </c>
      <c r="C4102">
        <v>92475000</v>
      </c>
      <c r="D4102">
        <v>109</v>
      </c>
      <c r="E4102">
        <v>30849080</v>
      </c>
      <c r="F4102" t="s">
        <v>1596</v>
      </c>
      <c r="G4102" s="1">
        <v>45233</v>
      </c>
      <c r="H4102">
        <v>5411428</v>
      </c>
      <c r="I4102">
        <v>91</v>
      </c>
      <c r="J4102" t="s">
        <v>172</v>
      </c>
      <c r="K4102" s="8" t="str">
        <f>IFERROR(IF(AND(VLOOKUP($C4102,Hes!$A:$B, 1, FALSE), $M4102&lt;&gt;" "), "Ingresada", "Falta Ingresar"), " ")</f>
        <v>Falta Ingresar</v>
      </c>
      <c r="L4102" s="4" t="str">
        <f>IFERROR(VLOOKUP($C4102,Observaciones!$A:$B,2,FALSE)," ")</f>
        <v xml:space="preserve"> </v>
      </c>
      <c r="M4102" t="s">
        <v>681</v>
      </c>
      <c r="N4102" s="5" t="s">
        <v>841</v>
      </c>
      <c r="O4102" s="5">
        <v>30849080</v>
      </c>
      <c r="P4102" s="5">
        <v>19474</v>
      </c>
      <c r="Q4102" s="5">
        <v>3700</v>
      </c>
      <c r="R4102" s="5">
        <v>23174</v>
      </c>
    </row>
    <row r="4103" spans="1:18" x14ac:dyDescent="0.25">
      <c r="A4103" t="s">
        <v>1027</v>
      </c>
      <c r="B4103" t="s">
        <v>494</v>
      </c>
      <c r="C4103">
        <v>92475000</v>
      </c>
      <c r="D4103">
        <v>106</v>
      </c>
      <c r="E4103">
        <v>30849062</v>
      </c>
      <c r="F4103" t="s">
        <v>1596</v>
      </c>
      <c r="G4103" s="1">
        <v>45233</v>
      </c>
      <c r="H4103">
        <v>5411436</v>
      </c>
      <c r="I4103">
        <v>91</v>
      </c>
      <c r="J4103" t="s">
        <v>172</v>
      </c>
      <c r="K4103" s="8" t="str">
        <f>IFERROR(IF(AND(VLOOKUP($C4103,Hes!$A:$B, 1, FALSE), $M4103&lt;&gt;" "), "Ingresada", "Falta Ingresar"), " ")</f>
        <v>Falta Ingresar</v>
      </c>
      <c r="L4103" s="4" t="str">
        <f>IFERROR(VLOOKUP($C4103,Observaciones!$A:$B,2,FALSE)," ")</f>
        <v xml:space="preserve"> </v>
      </c>
      <c r="M4103" t="s">
        <v>681</v>
      </c>
      <c r="N4103" s="5" t="s">
        <v>841</v>
      </c>
      <c r="O4103" s="5">
        <v>30849062</v>
      </c>
      <c r="P4103" s="5">
        <v>17273</v>
      </c>
      <c r="Q4103" s="5">
        <v>3282</v>
      </c>
      <c r="R4103" s="5">
        <v>20555</v>
      </c>
    </row>
    <row r="4104" spans="1:18" x14ac:dyDescent="0.25">
      <c r="A4104" t="s">
        <v>1027</v>
      </c>
      <c r="B4104" t="s">
        <v>494</v>
      </c>
      <c r="C4104">
        <v>92475000</v>
      </c>
      <c r="D4104">
        <v>105</v>
      </c>
      <c r="E4104">
        <v>30849059</v>
      </c>
      <c r="F4104" t="s">
        <v>1596</v>
      </c>
      <c r="G4104" s="1">
        <v>45233</v>
      </c>
      <c r="H4104">
        <v>5411449</v>
      </c>
      <c r="I4104">
        <v>91</v>
      </c>
      <c r="J4104" t="s">
        <v>172</v>
      </c>
      <c r="K4104" s="8" t="str">
        <f>IFERROR(IF(AND(VLOOKUP($C4104,Hes!$A:$B, 1, FALSE), $M4104&lt;&gt;" "), "Ingresada", "Falta Ingresar"), " ")</f>
        <v>Falta Ingresar</v>
      </c>
      <c r="L4104" s="4" t="str">
        <f>IFERROR(VLOOKUP($C4104,Observaciones!$A:$B,2,FALSE)," ")</f>
        <v xml:space="preserve"> </v>
      </c>
      <c r="M4104" t="s">
        <v>681</v>
      </c>
      <c r="N4104" s="5" t="s">
        <v>841</v>
      </c>
      <c r="O4104" s="5">
        <v>30849059</v>
      </c>
      <c r="P4104" s="5">
        <v>34828</v>
      </c>
      <c r="Q4104" s="5">
        <v>6617</v>
      </c>
      <c r="R4104" s="5">
        <v>41445</v>
      </c>
    </row>
    <row r="4105" spans="1:18" x14ac:dyDescent="0.25">
      <c r="A4105" t="s">
        <v>1027</v>
      </c>
      <c r="B4105" t="s">
        <v>494</v>
      </c>
      <c r="C4105">
        <v>92475000</v>
      </c>
      <c r="D4105">
        <v>206</v>
      </c>
      <c r="E4105">
        <v>30849065</v>
      </c>
      <c r="F4105" t="s">
        <v>1596</v>
      </c>
      <c r="G4105" s="1">
        <v>45233</v>
      </c>
      <c r="H4105">
        <v>5411450</v>
      </c>
      <c r="I4105">
        <v>91</v>
      </c>
      <c r="J4105" t="s">
        <v>172</v>
      </c>
      <c r="K4105" s="8" t="str">
        <f>IFERROR(IF(AND(VLOOKUP($C4105,Hes!$A:$B, 1, FALSE), $M4105&lt;&gt;" "), "Ingresada", "Falta Ingresar"), " ")</f>
        <v>Falta Ingresar</v>
      </c>
      <c r="L4105" s="4" t="str">
        <f>IFERROR(VLOOKUP($C4105,Observaciones!$A:$B,2,FALSE)," ")</f>
        <v xml:space="preserve"> </v>
      </c>
      <c r="M4105" t="s">
        <v>681</v>
      </c>
      <c r="N4105" s="5" t="s">
        <v>841</v>
      </c>
      <c r="O4105" s="5">
        <v>30849065</v>
      </c>
      <c r="P4105" s="5">
        <v>174628</v>
      </c>
      <c r="Q4105" s="5">
        <v>33179</v>
      </c>
      <c r="R4105" s="5">
        <v>215594</v>
      </c>
    </row>
    <row r="4106" spans="1:18" x14ac:dyDescent="0.25">
      <c r="A4106" t="s">
        <v>1027</v>
      </c>
      <c r="B4106" t="s">
        <v>494</v>
      </c>
      <c r="C4106">
        <v>92475000</v>
      </c>
      <c r="D4106">
        <v>245</v>
      </c>
      <c r="E4106">
        <v>30849069</v>
      </c>
      <c r="F4106" t="s">
        <v>1596</v>
      </c>
      <c r="G4106" s="1">
        <v>45233</v>
      </c>
      <c r="H4106">
        <v>5411452</v>
      </c>
      <c r="I4106">
        <v>91</v>
      </c>
      <c r="J4106" t="s">
        <v>172</v>
      </c>
      <c r="K4106" s="8" t="str">
        <f>IFERROR(IF(AND(VLOOKUP($C4106,Hes!$A:$B, 1, FALSE), $M4106&lt;&gt;" "), "Ingresada", "Falta Ingresar"), " ")</f>
        <v>Falta Ingresar</v>
      </c>
      <c r="L4106" s="4" t="str">
        <f>IFERROR(VLOOKUP($C4106,Observaciones!$A:$B,2,FALSE)," ")</f>
        <v xml:space="preserve"> </v>
      </c>
      <c r="M4106" t="s">
        <v>681</v>
      </c>
      <c r="N4106" s="5" t="s">
        <v>841</v>
      </c>
      <c r="O4106" s="5">
        <v>30849069</v>
      </c>
      <c r="P4106" s="5">
        <v>213504</v>
      </c>
      <c r="Q4106" s="5">
        <v>40566</v>
      </c>
      <c r="R4106" s="5">
        <v>254070</v>
      </c>
    </row>
    <row r="4107" spans="1:18" x14ac:dyDescent="0.25">
      <c r="A4107" t="s">
        <v>1027</v>
      </c>
      <c r="B4107" t="s">
        <v>494</v>
      </c>
      <c r="C4107">
        <v>92475000</v>
      </c>
      <c r="D4107">
        <v>105</v>
      </c>
      <c r="E4107">
        <v>30849078</v>
      </c>
      <c r="F4107" t="s">
        <v>1596</v>
      </c>
      <c r="G4107" s="1">
        <v>45233</v>
      </c>
      <c r="H4107">
        <v>5411455</v>
      </c>
      <c r="I4107">
        <v>91</v>
      </c>
      <c r="J4107" t="s">
        <v>172</v>
      </c>
      <c r="K4107" s="8" t="str">
        <f>IFERROR(IF(AND(VLOOKUP($C4107,Hes!$A:$B, 1, FALSE), $M4107&lt;&gt;" "), "Ingresada", "Falta Ingresar"), " ")</f>
        <v>Falta Ingresar</v>
      </c>
      <c r="L4107" s="4" t="str">
        <f>IFERROR(VLOOKUP($C4107,Observaciones!$A:$B,2,FALSE)," ")</f>
        <v xml:space="preserve"> </v>
      </c>
      <c r="M4107" t="s">
        <v>681</v>
      </c>
      <c r="N4107" s="5" t="s">
        <v>841</v>
      </c>
      <c r="O4107" s="5">
        <v>30849078</v>
      </c>
      <c r="P4107" s="5">
        <v>41894</v>
      </c>
      <c r="Q4107" s="5">
        <v>7960</v>
      </c>
      <c r="R4107" s="5">
        <v>53302</v>
      </c>
    </row>
    <row r="4108" spans="1:18" x14ac:dyDescent="0.25">
      <c r="A4108" t="s">
        <v>1027</v>
      </c>
      <c r="B4108" t="s">
        <v>494</v>
      </c>
      <c r="C4108">
        <v>92475000</v>
      </c>
      <c r="D4108">
        <v>204</v>
      </c>
      <c r="E4108">
        <v>30849067</v>
      </c>
      <c r="F4108" t="s">
        <v>1596</v>
      </c>
      <c r="G4108" s="1">
        <v>45233</v>
      </c>
      <c r="H4108">
        <v>5411476</v>
      </c>
      <c r="I4108">
        <v>91</v>
      </c>
      <c r="J4108" t="s">
        <v>172</v>
      </c>
      <c r="K4108" s="8" t="str">
        <f>IFERROR(IF(AND(VLOOKUP($C4108,Hes!$A:$B, 1, FALSE), $M4108&lt;&gt;" "), "Ingresada", "Falta Ingresar"), " ")</f>
        <v>Falta Ingresar</v>
      </c>
      <c r="L4108" s="4" t="str">
        <f>IFERROR(VLOOKUP($C4108,Observaciones!$A:$B,2,FALSE)," ")</f>
        <v xml:space="preserve"> </v>
      </c>
      <c r="M4108" t="s">
        <v>681</v>
      </c>
      <c r="N4108" s="5" t="s">
        <v>841</v>
      </c>
      <c r="O4108" s="5">
        <v>30849067</v>
      </c>
      <c r="P4108" s="5">
        <v>998784</v>
      </c>
      <c r="Q4108" s="5">
        <v>189769</v>
      </c>
      <c r="R4108" s="5">
        <v>1188553</v>
      </c>
    </row>
    <row r="4109" spans="1:18" x14ac:dyDescent="0.25">
      <c r="A4109" t="s">
        <v>1027</v>
      </c>
      <c r="B4109" t="s">
        <v>494</v>
      </c>
      <c r="C4109">
        <v>92475000</v>
      </c>
      <c r="D4109">
        <v>132</v>
      </c>
      <c r="E4109">
        <v>30850151</v>
      </c>
      <c r="F4109" t="s">
        <v>1596</v>
      </c>
      <c r="G4109" s="1">
        <v>45233</v>
      </c>
      <c r="H4109">
        <v>5411490</v>
      </c>
      <c r="I4109">
        <v>91</v>
      </c>
      <c r="J4109" t="s">
        <v>172</v>
      </c>
      <c r="K4109" s="8" t="str">
        <f>IFERROR(IF(AND(VLOOKUP($C4109,Hes!$A:$B, 1, FALSE), $M4109&lt;&gt;" "), "Ingresada", "Falta Ingresar"), " ")</f>
        <v>Falta Ingresar</v>
      </c>
      <c r="L4109" s="4" t="str">
        <f>IFERROR(VLOOKUP($C4109,Observaciones!$A:$B,2,FALSE)," ")</f>
        <v xml:space="preserve"> </v>
      </c>
      <c r="M4109" t="s">
        <v>681</v>
      </c>
      <c r="N4109" s="5" t="s">
        <v>841</v>
      </c>
      <c r="O4109" s="5">
        <v>30850151</v>
      </c>
      <c r="P4109" s="5">
        <v>564936</v>
      </c>
      <c r="Q4109" s="5">
        <v>107338</v>
      </c>
      <c r="R4109" s="5">
        <v>672274</v>
      </c>
    </row>
    <row r="4110" spans="1:18" x14ac:dyDescent="0.25">
      <c r="A4110" t="s">
        <v>1027</v>
      </c>
      <c r="B4110" t="s">
        <v>494</v>
      </c>
      <c r="C4110">
        <v>92475000</v>
      </c>
      <c r="D4110">
        <v>244</v>
      </c>
      <c r="E4110">
        <v>30850027</v>
      </c>
      <c r="F4110" t="s">
        <v>1596</v>
      </c>
      <c r="G4110" s="1">
        <v>45233</v>
      </c>
      <c r="H4110">
        <v>5411537</v>
      </c>
      <c r="I4110">
        <v>91</v>
      </c>
      <c r="J4110" t="s">
        <v>172</v>
      </c>
      <c r="K4110" s="8" t="str">
        <f>IFERROR(IF(AND(VLOOKUP($C4110,Hes!$A:$B, 1, FALSE), $M4110&lt;&gt;" "), "Ingresada", "Falta Ingresar"), " ")</f>
        <v>Falta Ingresar</v>
      </c>
      <c r="L4110" s="4" t="str">
        <f>IFERROR(VLOOKUP($C4110,Observaciones!$A:$B,2,FALSE)," ")</f>
        <v xml:space="preserve"> </v>
      </c>
      <c r="M4110" t="s">
        <v>681</v>
      </c>
      <c r="N4110" s="5" t="s">
        <v>841</v>
      </c>
      <c r="O4110" s="5">
        <v>30850027</v>
      </c>
      <c r="P4110" s="5">
        <v>121893</v>
      </c>
      <c r="Q4110" s="5">
        <v>23160</v>
      </c>
      <c r="R4110" s="5">
        <v>150977</v>
      </c>
    </row>
    <row r="4111" spans="1:18" x14ac:dyDescent="0.25">
      <c r="A4111" t="s">
        <v>1027</v>
      </c>
      <c r="B4111" t="s">
        <v>494</v>
      </c>
      <c r="C4111">
        <v>92475000</v>
      </c>
      <c r="D4111">
        <v>291</v>
      </c>
      <c r="E4111">
        <v>30849856</v>
      </c>
      <c r="F4111" t="s">
        <v>1596</v>
      </c>
      <c r="G4111" s="1">
        <v>45233</v>
      </c>
      <c r="H4111">
        <v>5411573</v>
      </c>
      <c r="I4111">
        <v>91</v>
      </c>
      <c r="J4111" t="s">
        <v>172</v>
      </c>
      <c r="K4111" s="8" t="str">
        <f>IFERROR(IF(AND(VLOOKUP($C4111,Hes!$A:$B, 1, FALSE), $M4111&lt;&gt;" "), "Ingresada", "Falta Ingresar"), " ")</f>
        <v>Falta Ingresar</v>
      </c>
      <c r="L4111" s="4" t="str">
        <f>IFERROR(VLOOKUP($C4111,Observaciones!$A:$B,2,FALSE)," ")</f>
        <v xml:space="preserve"> </v>
      </c>
      <c r="M4111" t="s">
        <v>681</v>
      </c>
      <c r="N4111" s="5" t="s">
        <v>841</v>
      </c>
      <c r="O4111" s="5">
        <v>30849856</v>
      </c>
      <c r="P4111" s="5">
        <v>47795</v>
      </c>
      <c r="Q4111" s="5">
        <v>9081</v>
      </c>
      <c r="R4111" s="5">
        <v>56876</v>
      </c>
    </row>
    <row r="4112" spans="1:18" x14ac:dyDescent="0.25">
      <c r="A4112" t="s">
        <v>1027</v>
      </c>
      <c r="B4112" t="s">
        <v>494</v>
      </c>
      <c r="C4112">
        <v>92475000</v>
      </c>
      <c r="D4112">
        <v>243</v>
      </c>
      <c r="E4112">
        <v>30850031</v>
      </c>
      <c r="F4112" t="s">
        <v>1596</v>
      </c>
      <c r="G4112" s="1">
        <v>45233</v>
      </c>
      <c r="H4112">
        <v>5411580</v>
      </c>
      <c r="I4112">
        <v>91</v>
      </c>
      <c r="J4112" t="s">
        <v>172</v>
      </c>
      <c r="K4112" s="8" t="str">
        <f>IFERROR(IF(AND(VLOOKUP($C4112,Hes!$A:$B, 1, FALSE), $M4112&lt;&gt;" "), "Ingresada", "Falta Ingresar"), " ")</f>
        <v>Falta Ingresar</v>
      </c>
      <c r="L4112" s="4" t="str">
        <f>IFERROR(VLOOKUP($C4112,Observaciones!$A:$B,2,FALSE)," ")</f>
        <v xml:space="preserve"> </v>
      </c>
      <c r="M4112" t="s">
        <v>681</v>
      </c>
      <c r="N4112" s="5" t="s">
        <v>841</v>
      </c>
      <c r="O4112" s="5">
        <v>30850031</v>
      </c>
      <c r="P4112" s="5">
        <v>95878</v>
      </c>
      <c r="Q4112" s="5">
        <v>18217</v>
      </c>
      <c r="R4112" s="5">
        <v>114095</v>
      </c>
    </row>
    <row r="4113" spans="1:18" x14ac:dyDescent="0.25">
      <c r="A4113" t="s">
        <v>1027</v>
      </c>
      <c r="B4113" t="s">
        <v>494</v>
      </c>
      <c r="C4113">
        <v>92475000</v>
      </c>
      <c r="D4113">
        <v>36</v>
      </c>
      <c r="E4113">
        <v>30849839</v>
      </c>
      <c r="F4113" t="s">
        <v>1596</v>
      </c>
      <c r="G4113" s="1">
        <v>45233</v>
      </c>
      <c r="H4113">
        <v>5411586</v>
      </c>
      <c r="I4113">
        <v>91</v>
      </c>
      <c r="J4113" t="s">
        <v>172</v>
      </c>
      <c r="K4113" s="8" t="str">
        <f>IFERROR(IF(AND(VLOOKUP($C4113,Hes!$A:$B, 1, FALSE), $M4113&lt;&gt;" "), "Ingresada", "Falta Ingresar"), " ")</f>
        <v>Falta Ingresar</v>
      </c>
      <c r="L4113" s="4" t="str">
        <f>IFERROR(VLOOKUP($C4113,Observaciones!$A:$B,2,FALSE)," ")</f>
        <v xml:space="preserve"> </v>
      </c>
      <c r="M4113" t="s">
        <v>681</v>
      </c>
      <c r="N4113" s="5" t="s">
        <v>841</v>
      </c>
      <c r="O4113" s="5">
        <v>30849839</v>
      </c>
      <c r="P4113" s="5">
        <v>138363</v>
      </c>
      <c r="Q4113" s="5">
        <v>26289</v>
      </c>
      <c r="R4113" s="5">
        <v>164652</v>
      </c>
    </row>
    <row r="4114" spans="1:18" x14ac:dyDescent="0.25">
      <c r="A4114" t="s">
        <v>1027</v>
      </c>
      <c r="B4114" t="s">
        <v>494</v>
      </c>
      <c r="C4114">
        <v>92475000</v>
      </c>
      <c r="D4114">
        <v>17</v>
      </c>
      <c r="E4114">
        <v>30850034</v>
      </c>
      <c r="F4114" t="s">
        <v>1596</v>
      </c>
      <c r="G4114" s="1">
        <v>45233</v>
      </c>
      <c r="H4114">
        <v>5411617</v>
      </c>
      <c r="I4114">
        <v>91</v>
      </c>
      <c r="J4114" t="s">
        <v>172</v>
      </c>
      <c r="K4114" s="8" t="str">
        <f>IFERROR(IF(AND(VLOOKUP($C4114,Hes!$A:$B, 1, FALSE), $M4114&lt;&gt;" "), "Ingresada", "Falta Ingresar"), " ")</f>
        <v>Falta Ingresar</v>
      </c>
      <c r="L4114" s="4" t="str">
        <f>IFERROR(VLOOKUP($C4114,Observaciones!$A:$B,2,FALSE)," ")</f>
        <v xml:space="preserve"> </v>
      </c>
      <c r="M4114" t="s">
        <v>681</v>
      </c>
      <c r="N4114" s="5" t="s">
        <v>841</v>
      </c>
      <c r="O4114" s="5">
        <v>30850034</v>
      </c>
      <c r="P4114" s="5">
        <v>161858</v>
      </c>
      <c r="Q4114" s="5">
        <v>30753</v>
      </c>
      <c r="R4114" s="5">
        <v>192611</v>
      </c>
    </row>
    <row r="4115" spans="1:18" x14ac:dyDescent="0.25">
      <c r="A4115" t="s">
        <v>1027</v>
      </c>
      <c r="B4115" t="s">
        <v>494</v>
      </c>
      <c r="C4115">
        <v>92475000</v>
      </c>
      <c r="D4115">
        <v>162</v>
      </c>
      <c r="E4115">
        <v>30850501</v>
      </c>
      <c r="F4115" t="s">
        <v>1596</v>
      </c>
      <c r="G4115" s="1">
        <v>45233</v>
      </c>
      <c r="H4115">
        <v>5411619</v>
      </c>
      <c r="I4115">
        <v>91</v>
      </c>
      <c r="J4115" t="s">
        <v>172</v>
      </c>
      <c r="K4115" s="8" t="str">
        <f>IFERROR(IF(AND(VLOOKUP($C4115,Hes!$A:$B, 1, FALSE), $M4115&lt;&gt;" "), "Ingresada", "Falta Ingresar"), " ")</f>
        <v>Falta Ingresar</v>
      </c>
      <c r="L4115" s="4" t="str">
        <f>IFERROR(VLOOKUP($C4115,Observaciones!$A:$B,2,FALSE)," ")</f>
        <v xml:space="preserve"> </v>
      </c>
      <c r="M4115" t="s">
        <v>681</v>
      </c>
      <c r="N4115" s="5" t="s">
        <v>841</v>
      </c>
      <c r="O4115" s="5">
        <v>30850501</v>
      </c>
      <c r="P4115" s="5">
        <v>163672</v>
      </c>
      <c r="Q4115" s="5">
        <v>31098</v>
      </c>
      <c r="R4115" s="5">
        <v>204925</v>
      </c>
    </row>
    <row r="4116" spans="1:18" x14ac:dyDescent="0.25">
      <c r="A4116" t="s">
        <v>1027</v>
      </c>
      <c r="B4116" t="s">
        <v>494</v>
      </c>
      <c r="C4116">
        <v>92475000</v>
      </c>
      <c r="D4116">
        <v>35</v>
      </c>
      <c r="E4116">
        <v>30850778</v>
      </c>
      <c r="F4116" t="s">
        <v>1596</v>
      </c>
      <c r="G4116" s="1">
        <v>45233</v>
      </c>
      <c r="H4116">
        <v>5411638</v>
      </c>
      <c r="I4116">
        <v>91</v>
      </c>
      <c r="J4116" t="s">
        <v>172</v>
      </c>
      <c r="K4116" s="8" t="str">
        <f>IFERROR(IF(AND(VLOOKUP($C4116,Hes!$A:$B, 1, FALSE), $M4116&lt;&gt;" "), "Ingresada", "Falta Ingresar"), " ")</f>
        <v>Falta Ingresar</v>
      </c>
      <c r="L4116" s="4" t="str">
        <f>IFERROR(VLOOKUP($C4116,Observaciones!$A:$B,2,FALSE)," ")</f>
        <v xml:space="preserve"> </v>
      </c>
      <c r="M4116" t="s">
        <v>681</v>
      </c>
      <c r="N4116" s="5" t="s">
        <v>841</v>
      </c>
      <c r="O4116" s="5">
        <v>30850778</v>
      </c>
      <c r="P4116" s="5">
        <v>29074</v>
      </c>
      <c r="Q4116" s="5">
        <v>5524</v>
      </c>
      <c r="R4116" s="5">
        <v>34598</v>
      </c>
    </row>
    <row r="4117" spans="1:18" x14ac:dyDescent="0.25">
      <c r="A4117" t="s">
        <v>1027</v>
      </c>
      <c r="B4117" t="s">
        <v>494</v>
      </c>
      <c r="C4117">
        <v>92475000</v>
      </c>
      <c r="D4117">
        <v>214</v>
      </c>
      <c r="E4117">
        <v>30852091</v>
      </c>
      <c r="F4117" t="s">
        <v>1596</v>
      </c>
      <c r="G4117" s="1">
        <v>45233</v>
      </c>
      <c r="H4117">
        <v>5411733</v>
      </c>
      <c r="I4117">
        <v>91</v>
      </c>
      <c r="J4117" t="s">
        <v>172</v>
      </c>
      <c r="K4117" s="8" t="str">
        <f>IFERROR(IF(AND(VLOOKUP($C4117,Hes!$A:$B, 1, FALSE), $M4117&lt;&gt;" "), "Ingresada", "Falta Ingresar"), " ")</f>
        <v>Falta Ingresar</v>
      </c>
      <c r="L4117" s="4" t="str">
        <f>IFERROR(VLOOKUP($C4117,Observaciones!$A:$B,2,FALSE)," ")</f>
        <v xml:space="preserve"> </v>
      </c>
      <c r="M4117" t="s">
        <v>681</v>
      </c>
      <c r="N4117" s="5" t="s">
        <v>841</v>
      </c>
      <c r="O4117" s="5">
        <v>30852091</v>
      </c>
      <c r="P4117" s="5">
        <v>6400</v>
      </c>
      <c r="Q4117" s="5">
        <v>1216</v>
      </c>
      <c r="R4117" s="5">
        <v>7616</v>
      </c>
    </row>
    <row r="4118" spans="1:18" x14ac:dyDescent="0.25">
      <c r="A4118" t="s">
        <v>1027</v>
      </c>
      <c r="B4118" t="s">
        <v>494</v>
      </c>
      <c r="C4118">
        <v>92475000</v>
      </c>
      <c r="D4118">
        <v>286</v>
      </c>
      <c r="E4118">
        <v>30849055</v>
      </c>
      <c r="F4118" t="s">
        <v>1596</v>
      </c>
      <c r="G4118" s="1">
        <v>45234</v>
      </c>
      <c r="H4118">
        <v>5411822</v>
      </c>
      <c r="I4118">
        <v>91</v>
      </c>
      <c r="J4118" t="s">
        <v>172</v>
      </c>
      <c r="K4118" s="8" t="str">
        <f>IFERROR(IF(AND(VLOOKUP($C4118,Hes!$A:$B, 1, FALSE), $M4118&lt;&gt;" "), "Ingresada", "Falta Ingresar"), " ")</f>
        <v>Falta Ingresar</v>
      </c>
      <c r="L4118" s="4" t="str">
        <f>IFERROR(VLOOKUP($C4118,Observaciones!$A:$B,2,FALSE)," ")</f>
        <v xml:space="preserve"> </v>
      </c>
      <c r="M4118" t="s">
        <v>681</v>
      </c>
      <c r="N4118" s="5" t="s">
        <v>841</v>
      </c>
      <c r="O4118" s="5">
        <v>30849055</v>
      </c>
      <c r="P4118" s="5">
        <v>27294</v>
      </c>
      <c r="Q4118" s="5">
        <v>5186</v>
      </c>
      <c r="R4118" s="5">
        <v>32480</v>
      </c>
    </row>
    <row r="4119" spans="1:18" x14ac:dyDescent="0.25">
      <c r="A4119" t="s">
        <v>1027</v>
      </c>
      <c r="B4119" t="s">
        <v>494</v>
      </c>
      <c r="C4119">
        <v>92475000</v>
      </c>
      <c r="D4119">
        <v>2647</v>
      </c>
      <c r="E4119">
        <v>30849054</v>
      </c>
      <c r="F4119" t="s">
        <v>1596</v>
      </c>
      <c r="G4119" s="1">
        <v>45234</v>
      </c>
      <c r="H4119">
        <v>5411830</v>
      </c>
      <c r="I4119">
        <v>91</v>
      </c>
      <c r="J4119" t="s">
        <v>172</v>
      </c>
      <c r="K4119" s="8" t="str">
        <f>IFERROR(IF(AND(VLOOKUP($C4119,Hes!$A:$B, 1, FALSE), $M4119&lt;&gt;" "), "Ingresada", "Falta Ingresar"), " ")</f>
        <v>Falta Ingresar</v>
      </c>
      <c r="L4119" s="4" t="str">
        <f>IFERROR(VLOOKUP($C4119,Observaciones!$A:$B,2,FALSE)," ")</f>
        <v xml:space="preserve"> </v>
      </c>
      <c r="M4119" t="s">
        <v>681</v>
      </c>
      <c r="N4119" s="5" t="s">
        <v>841</v>
      </c>
      <c r="O4119" s="5">
        <v>30849054</v>
      </c>
      <c r="P4119" s="5">
        <v>20169</v>
      </c>
      <c r="Q4119" s="5">
        <v>3832</v>
      </c>
      <c r="R4119" s="5">
        <v>24001</v>
      </c>
    </row>
    <row r="4120" spans="1:18" x14ac:dyDescent="0.25">
      <c r="A4120" t="s">
        <v>1027</v>
      </c>
      <c r="B4120" t="s">
        <v>494</v>
      </c>
      <c r="C4120">
        <v>92475000</v>
      </c>
      <c r="D4120">
        <v>2648</v>
      </c>
      <c r="E4120">
        <v>30849053</v>
      </c>
      <c r="F4120" t="s">
        <v>1596</v>
      </c>
      <c r="G4120" s="1">
        <v>45234</v>
      </c>
      <c r="H4120">
        <v>5411831</v>
      </c>
      <c r="I4120">
        <v>91</v>
      </c>
      <c r="J4120" t="s">
        <v>172</v>
      </c>
      <c r="K4120" s="8" t="str">
        <f>IFERROR(IF(AND(VLOOKUP($C4120,Hes!$A:$B, 1, FALSE), $M4120&lt;&gt;" "), "Ingresada", "Falta Ingresar"), " ")</f>
        <v>Falta Ingresar</v>
      </c>
      <c r="L4120" s="4" t="str">
        <f>IFERROR(VLOOKUP($C4120,Observaciones!$A:$B,2,FALSE)," ")</f>
        <v xml:space="preserve"> </v>
      </c>
      <c r="M4120" t="s">
        <v>681</v>
      </c>
      <c r="N4120" s="5" t="s">
        <v>841</v>
      </c>
      <c r="O4120" s="5">
        <v>30849053</v>
      </c>
      <c r="P4120" s="5">
        <v>16815</v>
      </c>
      <c r="Q4120" s="5">
        <v>3195</v>
      </c>
      <c r="R4120" s="5">
        <v>20010</v>
      </c>
    </row>
    <row r="4121" spans="1:18" x14ac:dyDescent="0.25">
      <c r="A4121" t="s">
        <v>1027</v>
      </c>
      <c r="B4121" t="s">
        <v>494</v>
      </c>
      <c r="C4121">
        <v>92475000</v>
      </c>
      <c r="D4121">
        <v>286</v>
      </c>
      <c r="E4121">
        <v>30849058</v>
      </c>
      <c r="F4121" t="s">
        <v>1596</v>
      </c>
      <c r="G4121" s="1">
        <v>45234</v>
      </c>
      <c r="H4121">
        <v>5411832</v>
      </c>
      <c r="I4121">
        <v>91</v>
      </c>
      <c r="J4121" t="s">
        <v>172</v>
      </c>
      <c r="K4121" s="8" t="str">
        <f>IFERROR(IF(AND(VLOOKUP($C4121,Hes!$A:$B, 1, FALSE), $M4121&lt;&gt;" "), "Ingresada", "Falta Ingresar"), " ")</f>
        <v>Falta Ingresar</v>
      </c>
      <c r="L4121" s="4" t="str">
        <f>IFERROR(VLOOKUP($C4121,Observaciones!$A:$B,2,FALSE)," ")</f>
        <v xml:space="preserve"> </v>
      </c>
      <c r="M4121" t="s">
        <v>681</v>
      </c>
      <c r="N4121" s="5" t="s">
        <v>841</v>
      </c>
      <c r="O4121" s="5">
        <v>30849058</v>
      </c>
      <c r="P4121" s="5">
        <v>8549</v>
      </c>
      <c r="Q4121" s="5">
        <v>1624</v>
      </c>
      <c r="R4121" s="5">
        <v>10173</v>
      </c>
    </row>
    <row r="4122" spans="1:18" x14ac:dyDescent="0.25">
      <c r="A4122" t="s">
        <v>1027</v>
      </c>
      <c r="B4122" t="s">
        <v>494</v>
      </c>
      <c r="C4122">
        <v>92475000</v>
      </c>
      <c r="D4122">
        <v>16</v>
      </c>
      <c r="E4122">
        <v>30849056</v>
      </c>
      <c r="F4122" t="s">
        <v>1596</v>
      </c>
      <c r="G4122" s="1">
        <v>45234</v>
      </c>
      <c r="H4122">
        <v>5411837</v>
      </c>
      <c r="I4122">
        <v>91</v>
      </c>
      <c r="J4122" t="s">
        <v>172</v>
      </c>
      <c r="K4122" s="8" t="str">
        <f>IFERROR(IF(AND(VLOOKUP($C4122,Hes!$A:$B, 1, FALSE), $M4122&lt;&gt;" "), "Ingresada", "Falta Ingresar"), " ")</f>
        <v>Falta Ingresar</v>
      </c>
      <c r="L4122" s="4" t="str">
        <f>IFERROR(VLOOKUP($C4122,Observaciones!$A:$B,2,FALSE)," ")</f>
        <v xml:space="preserve"> </v>
      </c>
      <c r="M4122" t="s">
        <v>681</v>
      </c>
      <c r="N4122" s="5" t="s">
        <v>841</v>
      </c>
      <c r="O4122" s="5">
        <v>30849056</v>
      </c>
      <c r="P4122" s="5">
        <v>87215</v>
      </c>
      <c r="Q4122" s="5">
        <v>16571</v>
      </c>
      <c r="R4122" s="5">
        <v>103786</v>
      </c>
    </row>
    <row r="4123" spans="1:18" x14ac:dyDescent="0.25">
      <c r="A4123" t="s">
        <v>1027</v>
      </c>
      <c r="B4123" t="s">
        <v>494</v>
      </c>
      <c r="C4123">
        <v>92475000</v>
      </c>
      <c r="D4123">
        <v>39</v>
      </c>
      <c r="E4123">
        <v>30849140</v>
      </c>
      <c r="F4123" t="s">
        <v>1596</v>
      </c>
      <c r="G4123" s="1">
        <v>45234</v>
      </c>
      <c r="H4123">
        <v>5411910</v>
      </c>
      <c r="I4123">
        <v>91</v>
      </c>
      <c r="J4123" t="s">
        <v>172</v>
      </c>
      <c r="K4123" s="8" t="str">
        <f>IFERROR(IF(AND(VLOOKUP($C4123,Hes!$A:$B, 1, FALSE), $M4123&lt;&gt;" "), "Ingresada", "Falta Ingresar"), " ")</f>
        <v>Falta Ingresar</v>
      </c>
      <c r="L4123" s="4" t="str">
        <f>IFERROR(VLOOKUP($C4123,Observaciones!$A:$B,2,FALSE)," ")</f>
        <v xml:space="preserve"> </v>
      </c>
      <c r="M4123" t="s">
        <v>681</v>
      </c>
      <c r="N4123" s="5" t="s">
        <v>841</v>
      </c>
      <c r="O4123" s="5">
        <v>30849140</v>
      </c>
      <c r="P4123" s="5">
        <v>39041</v>
      </c>
      <c r="Q4123" s="5">
        <v>7418</v>
      </c>
      <c r="R4123" s="5">
        <v>46459</v>
      </c>
    </row>
    <row r="4124" spans="1:18" x14ac:dyDescent="0.25">
      <c r="A4124" t="s">
        <v>1027</v>
      </c>
      <c r="B4124" t="s">
        <v>494</v>
      </c>
      <c r="C4124">
        <v>92475000</v>
      </c>
      <c r="D4124">
        <v>108</v>
      </c>
      <c r="E4124">
        <v>30849083</v>
      </c>
      <c r="F4124" t="s">
        <v>1596</v>
      </c>
      <c r="G4124" s="1">
        <v>45236</v>
      </c>
      <c r="H4124">
        <v>5411927</v>
      </c>
      <c r="I4124">
        <v>91</v>
      </c>
      <c r="J4124" t="s">
        <v>172</v>
      </c>
      <c r="K4124" s="8" t="str">
        <f>IFERROR(IF(AND(VLOOKUP($C4124,Hes!$A:$B, 1, FALSE), $M4124&lt;&gt;" "), "Ingresada", "Falta Ingresar"), " ")</f>
        <v>Falta Ingresar</v>
      </c>
      <c r="L4124" s="4" t="str">
        <f>IFERROR(VLOOKUP($C4124,Observaciones!$A:$B,2,FALSE)," ")</f>
        <v xml:space="preserve"> </v>
      </c>
      <c r="M4124" t="s">
        <v>681</v>
      </c>
      <c r="N4124" s="5" t="s">
        <v>841</v>
      </c>
      <c r="O4124" s="5">
        <v>30849083</v>
      </c>
      <c r="P4124" s="5">
        <v>247336</v>
      </c>
      <c r="Q4124" s="5">
        <v>46994</v>
      </c>
      <c r="R4124" s="5">
        <v>294330</v>
      </c>
    </row>
    <row r="4125" spans="1:18" x14ac:dyDescent="0.25">
      <c r="A4125" t="s">
        <v>1027</v>
      </c>
      <c r="B4125" t="s">
        <v>494</v>
      </c>
      <c r="C4125">
        <v>92475000</v>
      </c>
      <c r="D4125">
        <v>287</v>
      </c>
      <c r="E4125">
        <v>30850490</v>
      </c>
      <c r="F4125" t="s">
        <v>1596</v>
      </c>
      <c r="G4125" s="1">
        <v>45236</v>
      </c>
      <c r="H4125">
        <v>5412006</v>
      </c>
      <c r="I4125">
        <v>91</v>
      </c>
      <c r="J4125" t="s">
        <v>172</v>
      </c>
      <c r="K4125" s="8" t="str">
        <f>IFERROR(IF(AND(VLOOKUP($C4125,Hes!$A:$B, 1, FALSE), $M4125&lt;&gt;" "), "Ingresada", "Falta Ingresar"), " ")</f>
        <v>Falta Ingresar</v>
      </c>
      <c r="L4125" s="4" t="str">
        <f>IFERROR(VLOOKUP($C4125,Observaciones!$A:$B,2,FALSE)," ")</f>
        <v xml:space="preserve"> </v>
      </c>
      <c r="M4125" t="s">
        <v>681</v>
      </c>
      <c r="N4125" s="5" t="s">
        <v>841</v>
      </c>
      <c r="O4125" s="5">
        <v>30850490</v>
      </c>
      <c r="P4125" s="5">
        <v>79940</v>
      </c>
      <c r="Q4125" s="5">
        <v>15189</v>
      </c>
      <c r="R4125" s="5">
        <v>95129</v>
      </c>
    </row>
    <row r="4126" spans="1:18" x14ac:dyDescent="0.25">
      <c r="A4126" t="s">
        <v>1027</v>
      </c>
      <c r="B4126" t="s">
        <v>494</v>
      </c>
      <c r="C4126">
        <v>92475000</v>
      </c>
      <c r="D4126">
        <v>40</v>
      </c>
      <c r="E4126">
        <v>30850482</v>
      </c>
      <c r="F4126" t="s">
        <v>1596</v>
      </c>
      <c r="G4126" s="1">
        <v>45236</v>
      </c>
      <c r="H4126">
        <v>5412013</v>
      </c>
      <c r="I4126">
        <v>91</v>
      </c>
      <c r="J4126" t="s">
        <v>172</v>
      </c>
      <c r="K4126" s="8" t="str">
        <f>IFERROR(IF(AND(VLOOKUP($C4126,Hes!$A:$B, 1, FALSE), $M4126&lt;&gt;" "), "Ingresada", "Falta Ingresar"), " ")</f>
        <v>Falta Ingresar</v>
      </c>
      <c r="L4126" s="4" t="str">
        <f>IFERROR(VLOOKUP($C4126,Observaciones!$A:$B,2,FALSE)," ")</f>
        <v xml:space="preserve"> </v>
      </c>
      <c r="M4126" t="s">
        <v>681</v>
      </c>
      <c r="N4126" s="5" t="s">
        <v>841</v>
      </c>
      <c r="O4126" s="5">
        <v>30850482</v>
      </c>
      <c r="P4126" s="5">
        <v>258255</v>
      </c>
      <c r="Q4126" s="5">
        <v>49068</v>
      </c>
      <c r="R4126" s="5">
        <v>307323</v>
      </c>
    </row>
    <row r="4127" spans="1:18" x14ac:dyDescent="0.25">
      <c r="A4127" t="s">
        <v>1027</v>
      </c>
      <c r="B4127" t="s">
        <v>494</v>
      </c>
      <c r="C4127">
        <v>92475000</v>
      </c>
      <c r="D4127">
        <v>52</v>
      </c>
      <c r="E4127">
        <v>30849847</v>
      </c>
      <c r="F4127" t="s">
        <v>1596</v>
      </c>
      <c r="G4127" s="1">
        <v>45236</v>
      </c>
      <c r="H4127">
        <v>5412047</v>
      </c>
      <c r="I4127">
        <v>91</v>
      </c>
      <c r="J4127" t="s">
        <v>172</v>
      </c>
      <c r="K4127" s="8" t="str">
        <f>IFERROR(IF(AND(VLOOKUP($C4127,Hes!$A:$B, 1, FALSE), $M4127&lt;&gt;" "), "Ingresada", "Falta Ingresar"), " ")</f>
        <v>Falta Ingresar</v>
      </c>
      <c r="L4127" s="4" t="str">
        <f>IFERROR(VLOOKUP($C4127,Observaciones!$A:$B,2,FALSE)," ")</f>
        <v xml:space="preserve"> </v>
      </c>
      <c r="M4127" t="s">
        <v>681</v>
      </c>
      <c r="N4127" s="5" t="s">
        <v>841</v>
      </c>
      <c r="O4127" s="5">
        <v>30849847</v>
      </c>
      <c r="P4127" s="5">
        <v>83401</v>
      </c>
      <c r="Q4127" s="5">
        <v>15846</v>
      </c>
      <c r="R4127" s="5">
        <v>99247</v>
      </c>
    </row>
    <row r="4128" spans="1:18" x14ac:dyDescent="0.25">
      <c r="A4128" t="s">
        <v>1027</v>
      </c>
      <c r="B4128" t="s">
        <v>494</v>
      </c>
      <c r="C4128">
        <v>92475000</v>
      </c>
      <c r="D4128">
        <v>55</v>
      </c>
      <c r="E4128">
        <v>30849845</v>
      </c>
      <c r="F4128" t="s">
        <v>1596</v>
      </c>
      <c r="G4128" s="1">
        <v>45236</v>
      </c>
      <c r="H4128">
        <v>5412048</v>
      </c>
      <c r="I4128">
        <v>91</v>
      </c>
      <c r="J4128" t="s">
        <v>172</v>
      </c>
      <c r="K4128" s="8" t="str">
        <f>IFERROR(IF(AND(VLOOKUP($C4128,Hes!$A:$B, 1, FALSE), $M4128&lt;&gt;" "), "Ingresada", "Falta Ingresar"), " ")</f>
        <v>Falta Ingresar</v>
      </c>
      <c r="L4128" s="4" t="str">
        <f>IFERROR(VLOOKUP($C4128,Observaciones!$A:$B,2,FALSE)," ")</f>
        <v xml:space="preserve"> </v>
      </c>
      <c r="M4128" t="s">
        <v>681</v>
      </c>
      <c r="N4128" s="5" t="s">
        <v>841</v>
      </c>
      <c r="O4128" s="5">
        <v>30849845</v>
      </c>
      <c r="P4128" s="5">
        <v>62524</v>
      </c>
      <c r="Q4128" s="5">
        <v>11880</v>
      </c>
      <c r="R4128" s="5">
        <v>74404</v>
      </c>
    </row>
    <row r="4129" spans="1:18" x14ac:dyDescent="0.25">
      <c r="A4129" t="s">
        <v>1027</v>
      </c>
      <c r="B4129" t="s">
        <v>494</v>
      </c>
      <c r="C4129">
        <v>92475000</v>
      </c>
      <c r="D4129">
        <v>128</v>
      </c>
      <c r="E4129">
        <v>30852088</v>
      </c>
      <c r="F4129" t="s">
        <v>1596</v>
      </c>
      <c r="G4129" s="1">
        <v>45234</v>
      </c>
      <c r="H4129">
        <v>5412082</v>
      </c>
      <c r="I4129">
        <v>91</v>
      </c>
      <c r="J4129" t="s">
        <v>172</v>
      </c>
      <c r="K4129" s="8" t="str">
        <f>IFERROR(IF(AND(VLOOKUP($C4129,Hes!$A:$B, 1, FALSE), $M4129&lt;&gt;" "), "Ingresada", "Falta Ingresar"), " ")</f>
        <v>Falta Ingresar</v>
      </c>
      <c r="L4129" s="4" t="str">
        <f>IFERROR(VLOOKUP($C4129,Observaciones!$A:$B,2,FALSE)," ")</f>
        <v xml:space="preserve"> </v>
      </c>
      <c r="M4129" t="s">
        <v>681</v>
      </c>
      <c r="N4129" s="5" t="s">
        <v>841</v>
      </c>
      <c r="O4129" s="5">
        <v>30852088</v>
      </c>
      <c r="P4129" s="5">
        <v>181057</v>
      </c>
      <c r="Q4129" s="5">
        <v>34401</v>
      </c>
      <c r="R4129" s="5">
        <v>215458</v>
      </c>
    </row>
    <row r="4130" spans="1:18" x14ac:dyDescent="0.25">
      <c r="A4130" t="s">
        <v>1027</v>
      </c>
      <c r="B4130" t="s">
        <v>494</v>
      </c>
      <c r="C4130">
        <v>92475000</v>
      </c>
      <c r="D4130">
        <v>2000</v>
      </c>
      <c r="E4130">
        <v>30849051</v>
      </c>
      <c r="F4130" t="s">
        <v>1596</v>
      </c>
      <c r="G4130" s="1">
        <v>45236</v>
      </c>
      <c r="H4130">
        <v>5412109</v>
      </c>
      <c r="I4130">
        <v>91</v>
      </c>
      <c r="J4130" t="s">
        <v>172</v>
      </c>
      <c r="K4130" s="8" t="str">
        <f>IFERROR(IF(AND(VLOOKUP($C4130,Hes!$A:$B, 1, FALSE), $M4130&lt;&gt;" "), "Ingresada", "Falta Ingresar"), " ")</f>
        <v>Falta Ingresar</v>
      </c>
      <c r="L4130" s="4" t="str">
        <f>IFERROR(VLOOKUP($C4130,Observaciones!$A:$B,2,FALSE)," ")</f>
        <v xml:space="preserve"> </v>
      </c>
      <c r="M4130" t="s">
        <v>681</v>
      </c>
      <c r="N4130" s="5" t="s">
        <v>841</v>
      </c>
      <c r="O4130" s="5">
        <v>30849051</v>
      </c>
      <c r="P4130" s="5">
        <v>99991</v>
      </c>
      <c r="Q4130" s="5">
        <v>18998</v>
      </c>
      <c r="R4130" s="5">
        <v>120615</v>
      </c>
    </row>
    <row r="4131" spans="1:18" x14ac:dyDescent="0.25">
      <c r="A4131" t="s">
        <v>1027</v>
      </c>
      <c r="B4131" t="s">
        <v>494</v>
      </c>
      <c r="C4131">
        <v>92475000</v>
      </c>
      <c r="D4131">
        <v>41</v>
      </c>
      <c r="E4131">
        <v>30850500</v>
      </c>
      <c r="F4131" t="s">
        <v>1596</v>
      </c>
      <c r="G4131" s="1">
        <v>45236</v>
      </c>
      <c r="H4131">
        <v>5412114</v>
      </c>
      <c r="I4131">
        <v>91</v>
      </c>
      <c r="J4131" t="s">
        <v>172</v>
      </c>
      <c r="K4131" s="8" t="str">
        <f>IFERROR(IF(AND(VLOOKUP($C4131,Hes!$A:$B, 1, FALSE), $M4131&lt;&gt;" "), "Ingresada", "Falta Ingresar"), " ")</f>
        <v>Falta Ingresar</v>
      </c>
      <c r="L4131" s="4" t="str">
        <f>IFERROR(VLOOKUP($C4131,Observaciones!$A:$B,2,FALSE)," ")</f>
        <v xml:space="preserve"> </v>
      </c>
      <c r="M4131" t="s">
        <v>681</v>
      </c>
      <c r="N4131" s="5" t="s">
        <v>841</v>
      </c>
      <c r="O4131" s="5">
        <v>30850500</v>
      </c>
      <c r="P4131" s="5">
        <v>221683</v>
      </c>
      <c r="Q4131" s="5">
        <v>42120</v>
      </c>
      <c r="R4131" s="5">
        <v>263803</v>
      </c>
    </row>
    <row r="4132" spans="1:18" x14ac:dyDescent="0.25">
      <c r="A4132" t="s">
        <v>1027</v>
      </c>
      <c r="B4132" t="s">
        <v>494</v>
      </c>
      <c r="C4132">
        <v>92475000</v>
      </c>
      <c r="D4132">
        <v>130</v>
      </c>
      <c r="E4132">
        <v>30849052</v>
      </c>
      <c r="F4132" t="s">
        <v>1596</v>
      </c>
      <c r="G4132" s="1">
        <v>45236</v>
      </c>
      <c r="H4132">
        <v>5412150</v>
      </c>
      <c r="I4132">
        <v>91</v>
      </c>
      <c r="J4132" t="s">
        <v>172</v>
      </c>
      <c r="K4132" s="8" t="str">
        <f>IFERROR(IF(AND(VLOOKUP($C4132,Hes!$A:$B, 1, FALSE), $M4132&lt;&gt;" "), "Ingresada", "Falta Ingresar"), " ")</f>
        <v>Falta Ingresar</v>
      </c>
      <c r="L4132" s="4" t="str">
        <f>IFERROR(VLOOKUP($C4132,Observaciones!$A:$B,2,FALSE)," ")</f>
        <v xml:space="preserve"> </v>
      </c>
      <c r="M4132" t="s">
        <v>681</v>
      </c>
      <c r="N4132" s="5" t="s">
        <v>841</v>
      </c>
      <c r="O4132" s="5">
        <v>30849052</v>
      </c>
      <c r="P4132" s="5">
        <v>98298</v>
      </c>
      <c r="Q4132" s="5">
        <v>18677</v>
      </c>
      <c r="R4132" s="5">
        <v>116975</v>
      </c>
    </row>
    <row r="4133" spans="1:18" x14ac:dyDescent="0.25">
      <c r="A4133" t="s">
        <v>1027</v>
      </c>
      <c r="B4133" t="s">
        <v>494</v>
      </c>
      <c r="C4133">
        <v>92475000</v>
      </c>
      <c r="D4133">
        <v>9</v>
      </c>
      <c r="E4133">
        <v>30849071</v>
      </c>
      <c r="F4133" t="s">
        <v>1596</v>
      </c>
      <c r="G4133" s="1">
        <v>45233</v>
      </c>
      <c r="H4133">
        <v>5412160</v>
      </c>
      <c r="I4133">
        <v>91</v>
      </c>
      <c r="J4133" t="s">
        <v>172</v>
      </c>
      <c r="K4133" s="8" t="str">
        <f>IFERROR(IF(AND(VLOOKUP($C4133,Hes!$A:$B, 1, FALSE), $M4133&lt;&gt;" "), "Ingresada", "Falta Ingresar"), " ")</f>
        <v>Falta Ingresar</v>
      </c>
      <c r="L4133" s="4" t="str">
        <f>IFERROR(VLOOKUP($C4133,Observaciones!$A:$B,2,FALSE)," ")</f>
        <v xml:space="preserve"> </v>
      </c>
      <c r="M4133" t="s">
        <v>681</v>
      </c>
      <c r="N4133" s="5" t="s">
        <v>841</v>
      </c>
      <c r="O4133" s="5">
        <v>30849071</v>
      </c>
      <c r="P4133" s="5">
        <v>702924</v>
      </c>
      <c r="Q4133" s="5">
        <v>133556</v>
      </c>
      <c r="R4133" s="5">
        <v>836480</v>
      </c>
    </row>
    <row r="4134" spans="1:18" x14ac:dyDescent="0.25">
      <c r="A4134" t="s">
        <v>1027</v>
      </c>
      <c r="B4134" t="s">
        <v>494</v>
      </c>
      <c r="C4134">
        <v>92475000</v>
      </c>
      <c r="D4134">
        <v>161</v>
      </c>
      <c r="E4134">
        <v>30850618</v>
      </c>
      <c r="F4134" t="s">
        <v>1596</v>
      </c>
      <c r="G4134" s="1">
        <v>45236</v>
      </c>
      <c r="H4134">
        <v>5412191</v>
      </c>
      <c r="I4134">
        <v>91</v>
      </c>
      <c r="J4134" t="s">
        <v>172</v>
      </c>
      <c r="K4134" s="8" t="str">
        <f>IFERROR(IF(AND(VLOOKUP($C4134,Hes!$A:$B, 1, FALSE), $M4134&lt;&gt;" "), "Ingresada", "Falta Ingresar"), " ")</f>
        <v>Falta Ingresar</v>
      </c>
      <c r="L4134" s="4" t="str">
        <f>IFERROR(VLOOKUP($C4134,Observaciones!$A:$B,2,FALSE)," ")</f>
        <v xml:space="preserve"> </v>
      </c>
      <c r="M4134" t="s">
        <v>681</v>
      </c>
      <c r="N4134" s="5" t="s">
        <v>841</v>
      </c>
      <c r="O4134" s="5">
        <v>30850618</v>
      </c>
      <c r="P4134" s="5">
        <v>152843</v>
      </c>
      <c r="Q4134" s="5">
        <v>29040</v>
      </c>
      <c r="R4134" s="5">
        <v>181883</v>
      </c>
    </row>
    <row r="4135" spans="1:18" x14ac:dyDescent="0.25">
      <c r="A4135" t="s">
        <v>1027</v>
      </c>
      <c r="B4135" t="s">
        <v>494</v>
      </c>
      <c r="C4135">
        <v>92475000</v>
      </c>
      <c r="D4135">
        <v>107</v>
      </c>
      <c r="E4135">
        <v>30852090</v>
      </c>
      <c r="F4135" t="s">
        <v>1596</v>
      </c>
      <c r="G4135" s="1">
        <v>45236</v>
      </c>
      <c r="H4135">
        <v>5412230</v>
      </c>
      <c r="I4135">
        <v>91</v>
      </c>
      <c r="J4135" t="s">
        <v>172</v>
      </c>
      <c r="K4135" s="8" t="str">
        <f>IFERROR(IF(AND(VLOOKUP($C4135,Hes!$A:$B, 1, FALSE), $M4135&lt;&gt;" "), "Ingresada", "Falta Ingresar"), " ")</f>
        <v>Falta Ingresar</v>
      </c>
      <c r="L4135" s="4" t="str">
        <f>IFERROR(VLOOKUP($C4135,Observaciones!$A:$B,2,FALSE)," ")</f>
        <v xml:space="preserve"> </v>
      </c>
      <c r="M4135" t="s">
        <v>681</v>
      </c>
      <c r="N4135" s="5" t="s">
        <v>841</v>
      </c>
      <c r="O4135" s="5">
        <v>30852090</v>
      </c>
      <c r="P4135" s="5">
        <v>86918</v>
      </c>
      <c r="Q4135" s="5">
        <v>16514</v>
      </c>
      <c r="R4135" s="5">
        <v>103432</v>
      </c>
    </row>
    <row r="4136" spans="1:18" x14ac:dyDescent="0.25">
      <c r="A4136" t="s">
        <v>1027</v>
      </c>
      <c r="B4136" t="s">
        <v>494</v>
      </c>
      <c r="C4136">
        <v>92475000</v>
      </c>
      <c r="D4136">
        <v>47</v>
      </c>
      <c r="E4136">
        <v>30852079</v>
      </c>
      <c r="F4136" t="s">
        <v>1596</v>
      </c>
      <c r="G4136" s="1">
        <v>45236</v>
      </c>
      <c r="H4136">
        <v>5412233</v>
      </c>
      <c r="I4136">
        <v>91</v>
      </c>
      <c r="J4136" t="s">
        <v>172</v>
      </c>
      <c r="K4136" s="8" t="str">
        <f>IFERROR(IF(AND(VLOOKUP($C4136,Hes!$A:$B, 1, FALSE), $M4136&lt;&gt;" "), "Ingresada", "Falta Ingresar"), " ")</f>
        <v>Falta Ingresar</v>
      </c>
      <c r="L4136" s="4" t="str">
        <f>IFERROR(VLOOKUP($C4136,Observaciones!$A:$B,2,FALSE)," ")</f>
        <v xml:space="preserve"> </v>
      </c>
      <c r="M4136" t="s">
        <v>681</v>
      </c>
      <c r="N4136" s="5" t="s">
        <v>841</v>
      </c>
      <c r="O4136" s="5">
        <v>30852079</v>
      </c>
      <c r="P4136" s="5">
        <v>93858</v>
      </c>
      <c r="Q4136" s="5">
        <v>17833</v>
      </c>
      <c r="R4136" s="5">
        <v>111691</v>
      </c>
    </row>
    <row r="4137" spans="1:18" x14ac:dyDescent="0.25">
      <c r="A4137" t="s">
        <v>1027</v>
      </c>
      <c r="B4137" t="s">
        <v>494</v>
      </c>
      <c r="C4137">
        <v>92475000</v>
      </c>
      <c r="D4137">
        <v>232</v>
      </c>
      <c r="E4137">
        <v>30852110</v>
      </c>
      <c r="F4137" t="s">
        <v>1596</v>
      </c>
      <c r="G4137" s="1">
        <v>45236</v>
      </c>
      <c r="H4137">
        <v>5412251</v>
      </c>
      <c r="I4137">
        <v>91</v>
      </c>
      <c r="J4137" t="s">
        <v>172</v>
      </c>
      <c r="K4137" s="8" t="str">
        <f>IFERROR(IF(AND(VLOOKUP($C4137,Hes!$A:$B, 1, FALSE), $M4137&lt;&gt;" "), "Ingresada", "Falta Ingresar"), " ")</f>
        <v>Falta Ingresar</v>
      </c>
      <c r="L4137" s="4" t="str">
        <f>IFERROR(VLOOKUP($C4137,Observaciones!$A:$B,2,FALSE)," ")</f>
        <v xml:space="preserve"> </v>
      </c>
      <c r="M4137" t="s">
        <v>681</v>
      </c>
      <c r="N4137" s="5" t="s">
        <v>841</v>
      </c>
      <c r="O4137" s="5">
        <v>30852110</v>
      </c>
      <c r="P4137" s="5">
        <v>181834</v>
      </c>
      <c r="Q4137" s="5">
        <v>34548</v>
      </c>
      <c r="R4137" s="5">
        <v>217503</v>
      </c>
    </row>
    <row r="4138" spans="1:18" x14ac:dyDescent="0.25">
      <c r="A4138" t="s">
        <v>1027</v>
      </c>
      <c r="B4138" t="s">
        <v>494</v>
      </c>
      <c r="C4138">
        <v>92475000</v>
      </c>
      <c r="D4138">
        <v>81</v>
      </c>
      <c r="E4138">
        <v>30850608</v>
      </c>
      <c r="F4138" t="s">
        <v>1596</v>
      </c>
      <c r="G4138" s="1">
        <v>45236</v>
      </c>
      <c r="H4138">
        <v>5412271</v>
      </c>
      <c r="I4138">
        <v>91</v>
      </c>
      <c r="J4138" t="s">
        <v>172</v>
      </c>
      <c r="K4138" s="8" t="str">
        <f>IFERROR(IF(AND(VLOOKUP($C4138,Hes!$A:$B, 1, FALSE), $M4138&lt;&gt;" "), "Ingresada", "Falta Ingresar"), " ")</f>
        <v>Falta Ingresar</v>
      </c>
      <c r="L4138" s="4" t="str">
        <f>IFERROR(VLOOKUP($C4138,Observaciones!$A:$B,2,FALSE)," ")</f>
        <v xml:space="preserve"> </v>
      </c>
      <c r="M4138" t="s">
        <v>681</v>
      </c>
      <c r="N4138" s="5" t="s">
        <v>841</v>
      </c>
      <c r="O4138" s="5">
        <v>30850608</v>
      </c>
      <c r="P4138" s="5">
        <v>356107</v>
      </c>
      <c r="Q4138" s="5">
        <v>67660</v>
      </c>
      <c r="R4138" s="5">
        <v>423767</v>
      </c>
    </row>
    <row r="4139" spans="1:18" x14ac:dyDescent="0.25">
      <c r="A4139" t="s">
        <v>1027</v>
      </c>
      <c r="B4139" t="s">
        <v>494</v>
      </c>
      <c r="C4139">
        <v>92475000</v>
      </c>
      <c r="D4139">
        <v>45</v>
      </c>
      <c r="E4139">
        <v>30850615</v>
      </c>
      <c r="F4139" t="s">
        <v>1596</v>
      </c>
      <c r="G4139" s="1">
        <v>45236</v>
      </c>
      <c r="H4139">
        <v>5412306</v>
      </c>
      <c r="I4139">
        <v>91</v>
      </c>
      <c r="J4139" t="s">
        <v>172</v>
      </c>
      <c r="K4139" s="8" t="str">
        <f>IFERROR(IF(AND(VLOOKUP($C4139,Hes!$A:$B, 1, FALSE), $M4139&lt;&gt;" "), "Ingresada", "Falta Ingresar"), " ")</f>
        <v>Falta Ingresar</v>
      </c>
      <c r="L4139" s="4" t="str">
        <f>IFERROR(VLOOKUP($C4139,Observaciones!$A:$B,2,FALSE)," ")</f>
        <v xml:space="preserve"> </v>
      </c>
      <c r="M4139" t="s">
        <v>681</v>
      </c>
      <c r="N4139" s="5" t="s">
        <v>841</v>
      </c>
      <c r="O4139" s="5">
        <v>30850615</v>
      </c>
      <c r="P4139" s="5">
        <v>31171</v>
      </c>
      <c r="Q4139" s="5">
        <v>5922</v>
      </c>
      <c r="R4139" s="5">
        <v>37093</v>
      </c>
    </row>
    <row r="4140" spans="1:18" x14ac:dyDescent="0.25">
      <c r="A4140" t="s">
        <v>1027</v>
      </c>
      <c r="B4140" t="s">
        <v>494</v>
      </c>
      <c r="C4140">
        <v>92475000</v>
      </c>
      <c r="D4140">
        <v>24</v>
      </c>
      <c r="E4140">
        <v>30851182</v>
      </c>
      <c r="F4140" t="s">
        <v>1596</v>
      </c>
      <c r="G4140" s="1">
        <v>45236</v>
      </c>
      <c r="H4140">
        <v>5412353</v>
      </c>
      <c r="I4140">
        <v>91</v>
      </c>
      <c r="J4140" t="s">
        <v>172</v>
      </c>
      <c r="K4140" s="8" t="str">
        <f>IFERROR(IF(AND(VLOOKUP($C4140,Hes!$A:$B, 1, FALSE), $M4140&lt;&gt;" "), "Ingresada", "Falta Ingresar"), " ")</f>
        <v>Falta Ingresar</v>
      </c>
      <c r="L4140" s="4" t="str">
        <f>IFERROR(VLOOKUP($C4140,Observaciones!$A:$B,2,FALSE)," ")</f>
        <v xml:space="preserve"> </v>
      </c>
      <c r="M4140" t="s">
        <v>681</v>
      </c>
      <c r="N4140" s="5" t="s">
        <v>841</v>
      </c>
      <c r="O4140" s="5">
        <v>30851182</v>
      </c>
      <c r="P4140" s="5">
        <v>88580</v>
      </c>
      <c r="Q4140" s="5">
        <v>16830</v>
      </c>
      <c r="R4140" s="5">
        <v>105410</v>
      </c>
    </row>
    <row r="4141" spans="1:18" x14ac:dyDescent="0.25">
      <c r="A4141" t="s">
        <v>1027</v>
      </c>
      <c r="B4141" t="s">
        <v>494</v>
      </c>
      <c r="C4141">
        <v>92475000</v>
      </c>
      <c r="D4141">
        <v>296</v>
      </c>
      <c r="E4141">
        <v>30853147</v>
      </c>
      <c r="F4141" t="s">
        <v>1596</v>
      </c>
      <c r="G4141" s="1">
        <v>45236</v>
      </c>
      <c r="H4141">
        <v>5412354</v>
      </c>
      <c r="I4141">
        <v>91</v>
      </c>
      <c r="J4141" t="s">
        <v>172</v>
      </c>
      <c r="K4141" s="8" t="str">
        <f>IFERROR(IF(AND(VLOOKUP($C4141,Hes!$A:$B, 1, FALSE), $M4141&lt;&gt;" "), "Ingresada", "Falta Ingresar"), " ")</f>
        <v>Falta Ingresar</v>
      </c>
      <c r="L4141" s="4" t="str">
        <f>IFERROR(VLOOKUP($C4141,Observaciones!$A:$B,2,FALSE)," ")</f>
        <v xml:space="preserve"> </v>
      </c>
      <c r="M4141" t="s">
        <v>681</v>
      </c>
      <c r="N4141" s="5" t="s">
        <v>841</v>
      </c>
      <c r="O4141" s="5">
        <v>30853147</v>
      </c>
      <c r="P4141" s="5">
        <v>16583</v>
      </c>
      <c r="Q4141" s="5">
        <v>3151</v>
      </c>
      <c r="R4141" s="5">
        <v>19734</v>
      </c>
    </row>
    <row r="4142" spans="1:18" x14ac:dyDescent="0.25">
      <c r="A4142" t="s">
        <v>1027</v>
      </c>
      <c r="B4142" t="s">
        <v>494</v>
      </c>
      <c r="C4142">
        <v>92475000</v>
      </c>
      <c r="D4142">
        <v>67</v>
      </c>
      <c r="E4142">
        <v>30851595</v>
      </c>
      <c r="F4142" t="s">
        <v>1596</v>
      </c>
      <c r="G4142" s="1">
        <v>45236</v>
      </c>
      <c r="H4142">
        <v>5412365</v>
      </c>
      <c r="I4142">
        <v>91</v>
      </c>
      <c r="J4142" t="s">
        <v>172</v>
      </c>
      <c r="K4142" s="8" t="str">
        <f>IFERROR(IF(AND(VLOOKUP($C4142,Hes!$A:$B, 1, FALSE), $M4142&lt;&gt;" "), "Ingresada", "Falta Ingresar"), " ")</f>
        <v>Falta Ingresar</v>
      </c>
      <c r="L4142" s="4" t="str">
        <f>IFERROR(VLOOKUP($C4142,Observaciones!$A:$B,2,FALSE)," ")</f>
        <v xml:space="preserve"> </v>
      </c>
      <c r="M4142" t="s">
        <v>681</v>
      </c>
      <c r="N4142" s="5" t="s">
        <v>841</v>
      </c>
      <c r="O4142" s="5">
        <v>30851595</v>
      </c>
      <c r="P4142" s="5">
        <v>263448</v>
      </c>
      <c r="Q4142" s="5">
        <v>50055</v>
      </c>
      <c r="R4142" s="5">
        <v>313503</v>
      </c>
    </row>
    <row r="4143" spans="1:18" x14ac:dyDescent="0.25">
      <c r="A4143" t="s">
        <v>1027</v>
      </c>
      <c r="B4143" t="s">
        <v>494</v>
      </c>
      <c r="C4143">
        <v>92475000</v>
      </c>
      <c r="D4143">
        <v>2630</v>
      </c>
      <c r="E4143">
        <v>30852089</v>
      </c>
      <c r="F4143" t="s">
        <v>1596</v>
      </c>
      <c r="G4143" s="1">
        <v>45234</v>
      </c>
      <c r="H4143">
        <v>5412396</v>
      </c>
      <c r="I4143">
        <v>91</v>
      </c>
      <c r="J4143" t="s">
        <v>172</v>
      </c>
      <c r="K4143" s="8" t="str">
        <f>IFERROR(IF(AND(VLOOKUP($C4143,Hes!$A:$B, 1, FALSE), $M4143&lt;&gt;" "), "Ingresada", "Falta Ingresar"), " ")</f>
        <v>Falta Ingresar</v>
      </c>
      <c r="L4143" s="4" t="str">
        <f>IFERROR(VLOOKUP($C4143,Observaciones!$A:$B,2,FALSE)," ")</f>
        <v xml:space="preserve"> </v>
      </c>
      <c r="M4143" t="s">
        <v>681</v>
      </c>
      <c r="N4143" s="5" t="s">
        <v>841</v>
      </c>
      <c r="O4143" s="5">
        <v>30852089</v>
      </c>
      <c r="P4143" s="5">
        <v>170868</v>
      </c>
      <c r="Q4143" s="5">
        <v>32465</v>
      </c>
      <c r="R4143" s="5">
        <v>204550</v>
      </c>
    </row>
    <row r="4144" spans="1:18" x14ac:dyDescent="0.25">
      <c r="A4144" t="s">
        <v>1027</v>
      </c>
      <c r="B4144" t="s">
        <v>494</v>
      </c>
      <c r="C4144">
        <v>92475000</v>
      </c>
      <c r="D4144">
        <v>300</v>
      </c>
      <c r="E4144">
        <v>30853163</v>
      </c>
      <c r="F4144" t="s">
        <v>1596</v>
      </c>
      <c r="G4144" s="1">
        <v>45236</v>
      </c>
      <c r="H4144">
        <v>5412440</v>
      </c>
      <c r="I4144">
        <v>91</v>
      </c>
      <c r="J4144" t="s">
        <v>172</v>
      </c>
      <c r="K4144" s="8" t="str">
        <f>IFERROR(IF(AND(VLOOKUP($C4144,Hes!$A:$B, 1, FALSE), $M4144&lt;&gt;" "), "Ingresada", "Falta Ingresar"), " ")</f>
        <v>Falta Ingresar</v>
      </c>
      <c r="L4144" s="4" t="str">
        <f>IFERROR(VLOOKUP($C4144,Observaciones!$A:$B,2,FALSE)," ")</f>
        <v xml:space="preserve"> </v>
      </c>
      <c r="M4144" t="s">
        <v>681</v>
      </c>
      <c r="N4144" s="5" t="s">
        <v>841</v>
      </c>
      <c r="O4144" s="5">
        <v>30853163</v>
      </c>
      <c r="P4144" s="5">
        <v>16583</v>
      </c>
      <c r="Q4144" s="5">
        <v>3151</v>
      </c>
      <c r="R4144" s="5">
        <v>19734</v>
      </c>
    </row>
    <row r="4145" spans="1:18" x14ac:dyDescent="0.25">
      <c r="A4145" t="s">
        <v>1027</v>
      </c>
      <c r="B4145" t="s">
        <v>494</v>
      </c>
      <c r="C4145">
        <v>92475000</v>
      </c>
      <c r="D4145">
        <v>165</v>
      </c>
      <c r="E4145">
        <v>30851189</v>
      </c>
      <c r="F4145" t="s">
        <v>1596</v>
      </c>
      <c r="G4145" s="1">
        <v>45236</v>
      </c>
      <c r="H4145">
        <v>5412450</v>
      </c>
      <c r="I4145">
        <v>91</v>
      </c>
      <c r="J4145" t="s">
        <v>172</v>
      </c>
      <c r="K4145" s="8" t="str">
        <f>IFERROR(IF(AND(VLOOKUP($C4145,Hes!$A:$B, 1, FALSE), $M4145&lt;&gt;" "), "Ingresada", "Falta Ingresar"), " ")</f>
        <v>Falta Ingresar</v>
      </c>
      <c r="L4145" s="4" t="str">
        <f>IFERROR(VLOOKUP($C4145,Observaciones!$A:$B,2,FALSE)," ")</f>
        <v xml:space="preserve"> </v>
      </c>
      <c r="M4145" t="s">
        <v>681</v>
      </c>
      <c r="N4145" s="5" t="s">
        <v>841</v>
      </c>
      <c r="O4145" s="5">
        <v>30851189</v>
      </c>
      <c r="P4145" s="5">
        <v>134274</v>
      </c>
      <c r="Q4145" s="5">
        <v>25512</v>
      </c>
      <c r="R4145" s="5">
        <v>159786</v>
      </c>
    </row>
    <row r="4146" spans="1:18" x14ac:dyDescent="0.25">
      <c r="A4146" t="s">
        <v>1027</v>
      </c>
      <c r="B4146" t="s">
        <v>494</v>
      </c>
      <c r="C4146">
        <v>92475000</v>
      </c>
      <c r="D4146">
        <v>34</v>
      </c>
      <c r="E4146">
        <v>30852083</v>
      </c>
      <c r="F4146" t="s">
        <v>1596</v>
      </c>
      <c r="G4146" s="1">
        <v>45236</v>
      </c>
      <c r="H4146">
        <v>5412457</v>
      </c>
      <c r="I4146">
        <v>91</v>
      </c>
      <c r="J4146" t="s">
        <v>172</v>
      </c>
      <c r="K4146" s="8" t="str">
        <f>IFERROR(IF(AND(VLOOKUP($C4146,Hes!$A:$B, 1, FALSE), $M4146&lt;&gt;" "), "Ingresada", "Falta Ingresar"), " ")</f>
        <v>Falta Ingresar</v>
      </c>
      <c r="L4146" s="4" t="str">
        <f>IFERROR(VLOOKUP($C4146,Observaciones!$A:$B,2,FALSE)," ")</f>
        <v xml:space="preserve"> </v>
      </c>
      <c r="M4146" t="s">
        <v>681</v>
      </c>
      <c r="N4146" s="5" t="s">
        <v>841</v>
      </c>
      <c r="O4146" s="5">
        <v>30852083</v>
      </c>
      <c r="P4146" s="5">
        <v>19860</v>
      </c>
      <c r="Q4146" s="5">
        <v>3773</v>
      </c>
      <c r="R4146" s="5">
        <v>23633</v>
      </c>
    </row>
    <row r="4147" spans="1:18" x14ac:dyDescent="0.25">
      <c r="A4147" t="s">
        <v>1027</v>
      </c>
      <c r="B4147" t="s">
        <v>494</v>
      </c>
      <c r="C4147">
        <v>92475000</v>
      </c>
      <c r="D4147">
        <v>174</v>
      </c>
      <c r="E4147">
        <v>30851186</v>
      </c>
      <c r="F4147" t="s">
        <v>1596</v>
      </c>
      <c r="G4147" s="1">
        <v>45236</v>
      </c>
      <c r="H4147">
        <v>5412468</v>
      </c>
      <c r="I4147">
        <v>91</v>
      </c>
      <c r="J4147" t="s">
        <v>172</v>
      </c>
      <c r="K4147" s="8" t="str">
        <f>IFERROR(IF(AND(VLOOKUP($C4147,Hes!$A:$B, 1, FALSE), $M4147&lt;&gt;" "), "Ingresada", "Falta Ingresar"), " ")</f>
        <v>Falta Ingresar</v>
      </c>
      <c r="L4147" s="4" t="str">
        <f>IFERROR(VLOOKUP($C4147,Observaciones!$A:$B,2,FALSE)," ")</f>
        <v xml:space="preserve"> </v>
      </c>
      <c r="M4147" t="s">
        <v>681</v>
      </c>
      <c r="N4147" s="5" t="s">
        <v>841</v>
      </c>
      <c r="O4147" s="5">
        <v>30851186</v>
      </c>
      <c r="P4147" s="5">
        <v>75069</v>
      </c>
      <c r="Q4147" s="5">
        <v>14263</v>
      </c>
      <c r="R4147" s="5">
        <v>89332</v>
      </c>
    </row>
    <row r="4148" spans="1:18" x14ac:dyDescent="0.25">
      <c r="A4148" t="s">
        <v>1027</v>
      </c>
      <c r="B4148" t="s">
        <v>494</v>
      </c>
      <c r="C4148">
        <v>92475000</v>
      </c>
      <c r="D4148">
        <v>101</v>
      </c>
      <c r="E4148">
        <v>30852086</v>
      </c>
      <c r="F4148" t="s">
        <v>1596</v>
      </c>
      <c r="G4148" s="1">
        <v>45234</v>
      </c>
      <c r="H4148">
        <v>5412532</v>
      </c>
      <c r="I4148">
        <v>91</v>
      </c>
      <c r="J4148" t="s">
        <v>172</v>
      </c>
      <c r="K4148" s="8" t="str">
        <f>IFERROR(IF(AND(VLOOKUP($C4148,Hes!$A:$B, 1, FALSE), $M4148&lt;&gt;" "), "Ingresada", "Falta Ingresar"), " ")</f>
        <v>Falta Ingresar</v>
      </c>
      <c r="L4148" s="4" t="str">
        <f>IFERROR(VLOOKUP($C4148,Observaciones!$A:$B,2,FALSE)," ")</f>
        <v xml:space="preserve"> </v>
      </c>
      <c r="M4148" t="s">
        <v>681</v>
      </c>
      <c r="N4148" s="5" t="s">
        <v>841</v>
      </c>
      <c r="O4148" s="5">
        <v>30852086</v>
      </c>
      <c r="P4148" s="5">
        <v>887197</v>
      </c>
      <c r="Q4148" s="5">
        <v>168567</v>
      </c>
      <c r="R4148" s="5">
        <v>1055764</v>
      </c>
    </row>
    <row r="4149" spans="1:18" x14ac:dyDescent="0.25">
      <c r="A4149" t="s">
        <v>1027</v>
      </c>
      <c r="B4149" t="s">
        <v>494</v>
      </c>
      <c r="C4149">
        <v>92475000</v>
      </c>
      <c r="D4149">
        <v>18</v>
      </c>
      <c r="E4149">
        <v>30850046</v>
      </c>
      <c r="F4149" t="s">
        <v>1596</v>
      </c>
      <c r="G4149" s="1">
        <v>45236</v>
      </c>
      <c r="H4149">
        <v>5412634</v>
      </c>
      <c r="I4149">
        <v>91</v>
      </c>
      <c r="J4149" t="s">
        <v>172</v>
      </c>
      <c r="K4149" s="8" t="str">
        <f>IFERROR(IF(AND(VLOOKUP($C4149,Hes!$A:$B, 1, FALSE), $M4149&lt;&gt;" "), "Ingresada", "Falta Ingresar"), " ")</f>
        <v>Falta Ingresar</v>
      </c>
      <c r="L4149" s="4" t="str">
        <f>IFERROR(VLOOKUP($C4149,Observaciones!$A:$B,2,FALSE)," ")</f>
        <v xml:space="preserve"> </v>
      </c>
      <c r="M4149" t="s">
        <v>681</v>
      </c>
      <c r="N4149" s="5" t="s">
        <v>841</v>
      </c>
      <c r="O4149" s="5">
        <v>30850046</v>
      </c>
      <c r="P4149" s="5">
        <v>200357</v>
      </c>
      <c r="Q4149" s="5">
        <v>38068</v>
      </c>
      <c r="R4149" s="5">
        <v>239863</v>
      </c>
    </row>
    <row r="4150" spans="1:18" x14ac:dyDescent="0.25">
      <c r="A4150" t="s">
        <v>1027</v>
      </c>
      <c r="B4150" t="s">
        <v>494</v>
      </c>
      <c r="C4150">
        <v>92475000</v>
      </c>
      <c r="D4150">
        <v>18</v>
      </c>
      <c r="E4150">
        <v>30850046</v>
      </c>
      <c r="F4150" t="s">
        <v>1596</v>
      </c>
      <c r="G4150" s="1">
        <v>45236</v>
      </c>
      <c r="H4150">
        <v>5412635</v>
      </c>
      <c r="I4150">
        <v>91</v>
      </c>
      <c r="J4150" t="s">
        <v>172</v>
      </c>
      <c r="K4150" s="8" t="str">
        <f>IFERROR(IF(AND(VLOOKUP($C4150,Hes!$A:$B, 1, FALSE), $M4150&lt;&gt;" "), "Ingresada", "Falta Ingresar"), " ")</f>
        <v>Falta Ingresar</v>
      </c>
      <c r="L4150" s="4" t="str">
        <f>IFERROR(VLOOKUP($C4150,Observaciones!$A:$B,2,FALSE)," ")</f>
        <v xml:space="preserve"> </v>
      </c>
      <c r="M4150" t="s">
        <v>681</v>
      </c>
      <c r="N4150" s="5" t="s">
        <v>841</v>
      </c>
      <c r="O4150" s="5">
        <v>30850046</v>
      </c>
      <c r="P4150" s="5">
        <v>38904</v>
      </c>
      <c r="Q4150" s="5">
        <v>7392</v>
      </c>
      <c r="R4150" s="5">
        <v>53138</v>
      </c>
    </row>
    <row r="4151" spans="1:18" x14ac:dyDescent="0.25">
      <c r="A4151" t="s">
        <v>1027</v>
      </c>
      <c r="B4151" t="s">
        <v>494</v>
      </c>
      <c r="C4151">
        <v>92475000</v>
      </c>
      <c r="D4151">
        <v>3</v>
      </c>
      <c r="E4151">
        <v>30852298</v>
      </c>
      <c r="F4151" t="s">
        <v>1596</v>
      </c>
      <c r="G4151" s="1">
        <v>45236</v>
      </c>
      <c r="H4151">
        <v>5412638</v>
      </c>
      <c r="I4151">
        <v>91</v>
      </c>
      <c r="J4151" t="s">
        <v>172</v>
      </c>
      <c r="K4151" s="8" t="str">
        <f>IFERROR(IF(AND(VLOOKUP($C4151,Hes!$A:$B, 1, FALSE), $M4151&lt;&gt;" "), "Ingresada", "Falta Ingresar"), " ")</f>
        <v>Falta Ingresar</v>
      </c>
      <c r="L4151" s="4" t="str">
        <f>IFERROR(VLOOKUP($C4151,Observaciones!$A:$B,2,FALSE)," ")</f>
        <v xml:space="preserve"> </v>
      </c>
      <c r="M4151" t="s">
        <v>681</v>
      </c>
      <c r="N4151" s="5" t="s">
        <v>841</v>
      </c>
      <c r="O4151" s="5">
        <v>30852298</v>
      </c>
      <c r="P4151" s="5">
        <v>46124</v>
      </c>
      <c r="Q4151" s="5">
        <v>8764</v>
      </c>
      <c r="R4151" s="5">
        <v>57116</v>
      </c>
    </row>
    <row r="4152" spans="1:18" x14ac:dyDescent="0.25">
      <c r="A4152" t="s">
        <v>1027</v>
      </c>
      <c r="B4152" t="s">
        <v>494</v>
      </c>
      <c r="C4152">
        <v>92475000</v>
      </c>
      <c r="D4152">
        <v>4</v>
      </c>
      <c r="E4152">
        <v>30852311</v>
      </c>
      <c r="F4152" t="s">
        <v>1596</v>
      </c>
      <c r="G4152" s="1">
        <v>45236</v>
      </c>
      <c r="H4152">
        <v>5412691</v>
      </c>
      <c r="I4152">
        <v>91</v>
      </c>
      <c r="J4152" t="s">
        <v>172</v>
      </c>
      <c r="K4152" s="8" t="str">
        <f>IFERROR(IF(AND(VLOOKUP($C4152,Hes!$A:$B, 1, FALSE), $M4152&lt;&gt;" "), "Ingresada", "Falta Ingresar"), " ")</f>
        <v>Falta Ingresar</v>
      </c>
      <c r="L4152" s="4" t="str">
        <f>IFERROR(VLOOKUP($C4152,Observaciones!$A:$B,2,FALSE)," ")</f>
        <v xml:space="preserve"> </v>
      </c>
      <c r="M4152" t="s">
        <v>681</v>
      </c>
      <c r="N4152" s="5" t="s">
        <v>841</v>
      </c>
      <c r="O4152" s="5">
        <v>30852311</v>
      </c>
      <c r="P4152" s="5">
        <v>57960</v>
      </c>
      <c r="Q4152" s="5">
        <v>11012</v>
      </c>
      <c r="R4152" s="5">
        <v>68972</v>
      </c>
    </row>
    <row r="4153" spans="1:18" x14ac:dyDescent="0.25">
      <c r="A4153" t="s">
        <v>1027</v>
      </c>
      <c r="B4153" t="s">
        <v>494</v>
      </c>
      <c r="C4153">
        <v>92475000</v>
      </c>
      <c r="D4153">
        <v>245</v>
      </c>
      <c r="E4153">
        <v>30852296</v>
      </c>
      <c r="F4153" t="s">
        <v>1596</v>
      </c>
      <c r="G4153" s="1">
        <v>45236</v>
      </c>
      <c r="H4153">
        <v>5412695</v>
      </c>
      <c r="I4153">
        <v>91</v>
      </c>
      <c r="J4153" t="s">
        <v>172</v>
      </c>
      <c r="K4153" s="8" t="str">
        <f>IFERROR(IF(AND(VLOOKUP($C4153,Hes!$A:$B, 1, FALSE), $M4153&lt;&gt;" "), "Ingresada", "Falta Ingresar"), " ")</f>
        <v>Falta Ingresar</v>
      </c>
      <c r="L4153" s="4" t="str">
        <f>IFERROR(VLOOKUP($C4153,Observaciones!$A:$B,2,FALSE)," ")</f>
        <v xml:space="preserve"> </v>
      </c>
      <c r="M4153" t="s">
        <v>681</v>
      </c>
      <c r="N4153" s="5" t="s">
        <v>841</v>
      </c>
      <c r="O4153" s="5">
        <v>30852296</v>
      </c>
      <c r="P4153" s="5">
        <v>16839</v>
      </c>
      <c r="Q4153" s="5">
        <v>3199</v>
      </c>
      <c r="R4153" s="5">
        <v>20038</v>
      </c>
    </row>
    <row r="4154" spans="1:18" x14ac:dyDescent="0.25">
      <c r="A4154" t="s">
        <v>1027</v>
      </c>
      <c r="B4154" t="s">
        <v>494</v>
      </c>
      <c r="C4154">
        <v>92475000</v>
      </c>
      <c r="D4154">
        <v>298</v>
      </c>
      <c r="E4154">
        <v>30853159</v>
      </c>
      <c r="F4154" t="s">
        <v>1596</v>
      </c>
      <c r="G4154" s="1">
        <v>45236</v>
      </c>
      <c r="H4154">
        <v>5412944</v>
      </c>
      <c r="I4154">
        <v>91</v>
      </c>
      <c r="J4154" t="s">
        <v>172</v>
      </c>
      <c r="K4154" s="8" t="str">
        <f>IFERROR(IF(AND(VLOOKUP($C4154,Hes!$A:$B, 1, FALSE), $M4154&lt;&gt;" "), "Ingresada", "Falta Ingresar"), " ")</f>
        <v>Falta Ingresar</v>
      </c>
      <c r="L4154" s="4" t="str">
        <f>IFERROR(VLOOKUP($C4154,Observaciones!$A:$B,2,FALSE)," ")</f>
        <v xml:space="preserve"> </v>
      </c>
      <c r="M4154" t="s">
        <v>681</v>
      </c>
      <c r="N4154" s="5" t="s">
        <v>841</v>
      </c>
      <c r="O4154" s="5">
        <v>30853159</v>
      </c>
      <c r="P4154" s="5">
        <v>79991</v>
      </c>
      <c r="Q4154" s="5">
        <v>15198</v>
      </c>
      <c r="R4154" s="5">
        <v>100362</v>
      </c>
    </row>
    <row r="4155" spans="1:18" x14ac:dyDescent="0.25">
      <c r="A4155" t="s">
        <v>1027</v>
      </c>
      <c r="B4155" t="s">
        <v>494</v>
      </c>
      <c r="C4155">
        <v>92475000</v>
      </c>
      <c r="D4155">
        <v>69</v>
      </c>
      <c r="E4155">
        <v>30852084</v>
      </c>
      <c r="F4155" t="s">
        <v>1596</v>
      </c>
      <c r="G4155" s="1">
        <v>45236</v>
      </c>
      <c r="H4155">
        <v>5413022</v>
      </c>
      <c r="I4155">
        <v>91</v>
      </c>
      <c r="J4155" t="s">
        <v>172</v>
      </c>
      <c r="K4155" s="8" t="str">
        <f>IFERROR(IF(AND(VLOOKUP($C4155,Hes!$A:$B, 1, FALSE), $M4155&lt;&gt;" "), "Ingresada", "Falta Ingresar"), " ")</f>
        <v>Falta Ingresar</v>
      </c>
      <c r="L4155" s="4" t="str">
        <f>IFERROR(VLOOKUP($C4155,Observaciones!$A:$B,2,FALSE)," ")</f>
        <v xml:space="preserve"> </v>
      </c>
      <c r="M4155" t="s">
        <v>681</v>
      </c>
      <c r="N4155" s="5" t="s">
        <v>841</v>
      </c>
      <c r="O4155" s="5">
        <v>30852084</v>
      </c>
      <c r="P4155" s="5">
        <v>74691</v>
      </c>
      <c r="Q4155" s="5">
        <v>14191</v>
      </c>
      <c r="R4155" s="5">
        <v>88882</v>
      </c>
    </row>
    <row r="4156" spans="1:18" x14ac:dyDescent="0.25">
      <c r="A4156" t="s">
        <v>1027</v>
      </c>
      <c r="B4156" t="s">
        <v>494</v>
      </c>
      <c r="C4156">
        <v>92475000</v>
      </c>
      <c r="D4156">
        <v>213</v>
      </c>
      <c r="E4156">
        <v>30852108</v>
      </c>
      <c r="F4156" t="s">
        <v>1596</v>
      </c>
      <c r="G4156" s="1">
        <v>45236</v>
      </c>
      <c r="H4156">
        <v>5413027</v>
      </c>
      <c r="I4156">
        <v>91</v>
      </c>
      <c r="J4156" t="s">
        <v>172</v>
      </c>
      <c r="K4156" s="8" t="str">
        <f>IFERROR(IF(AND(VLOOKUP($C4156,Hes!$A:$B, 1, FALSE), $M4156&lt;&gt;" "), "Ingresada", "Falta Ingresar"), " ")</f>
        <v>Falta Ingresar</v>
      </c>
      <c r="L4156" s="4" t="str">
        <f>IFERROR(VLOOKUP($C4156,Observaciones!$A:$B,2,FALSE)," ")</f>
        <v xml:space="preserve"> </v>
      </c>
      <c r="M4156" t="s">
        <v>681</v>
      </c>
      <c r="N4156" s="5" t="s">
        <v>841</v>
      </c>
      <c r="O4156" s="5">
        <v>30852108</v>
      </c>
      <c r="P4156" s="5">
        <v>90657</v>
      </c>
      <c r="Q4156" s="5">
        <v>17225</v>
      </c>
      <c r="R4156" s="5">
        <v>116727</v>
      </c>
    </row>
    <row r="4157" spans="1:18" x14ac:dyDescent="0.25">
      <c r="A4157" t="s">
        <v>1027</v>
      </c>
      <c r="B4157" t="s">
        <v>494</v>
      </c>
      <c r="C4157">
        <v>92475000</v>
      </c>
      <c r="D4157">
        <v>149</v>
      </c>
      <c r="E4157">
        <v>30856353</v>
      </c>
      <c r="F4157" t="s">
        <v>1596</v>
      </c>
      <c r="G4157" s="1">
        <v>45236</v>
      </c>
      <c r="H4157">
        <v>5413107</v>
      </c>
      <c r="I4157">
        <v>91</v>
      </c>
      <c r="J4157" t="s">
        <v>172</v>
      </c>
      <c r="K4157" s="8" t="str">
        <f>IFERROR(IF(AND(VLOOKUP($C4157,Hes!$A:$B, 1, FALSE), $M4157&lt;&gt;" "), "Ingresada", "Falta Ingresar"), " ")</f>
        <v>Falta Ingresar</v>
      </c>
      <c r="L4157" s="4" t="str">
        <f>IFERROR(VLOOKUP($C4157,Observaciones!$A:$B,2,FALSE)," ")</f>
        <v xml:space="preserve"> </v>
      </c>
      <c r="M4157" t="s">
        <v>681</v>
      </c>
      <c r="N4157" s="5" t="s">
        <v>841</v>
      </c>
      <c r="O4157" s="5">
        <v>30856353</v>
      </c>
      <c r="P4157" s="5">
        <v>8433</v>
      </c>
      <c r="Q4157" s="5">
        <v>1602</v>
      </c>
      <c r="R4157" s="5">
        <v>10035</v>
      </c>
    </row>
    <row r="4158" spans="1:18" x14ac:dyDescent="0.25">
      <c r="A4158" t="s">
        <v>1027</v>
      </c>
      <c r="B4158" t="s">
        <v>494</v>
      </c>
      <c r="C4158">
        <v>92475000</v>
      </c>
      <c r="D4158">
        <v>68</v>
      </c>
      <c r="E4158">
        <v>30852293</v>
      </c>
      <c r="F4158" t="s">
        <v>1596</v>
      </c>
      <c r="G4158" s="1">
        <v>45236</v>
      </c>
      <c r="H4158">
        <v>5413109</v>
      </c>
      <c r="I4158">
        <v>91</v>
      </c>
      <c r="J4158" t="s">
        <v>172</v>
      </c>
      <c r="K4158" s="8" t="str">
        <f>IFERROR(IF(AND(VLOOKUP($C4158,Hes!$A:$B, 1, FALSE), $M4158&lt;&gt;" "), "Ingresada", "Falta Ingresar"), " ")</f>
        <v>Falta Ingresar</v>
      </c>
      <c r="L4158" s="4" t="str">
        <f>IFERROR(VLOOKUP($C4158,Observaciones!$A:$B,2,FALSE)," ")</f>
        <v xml:space="preserve"> </v>
      </c>
      <c r="M4158" t="s">
        <v>681</v>
      </c>
      <c r="N4158" s="5" t="s">
        <v>841</v>
      </c>
      <c r="O4158" s="5">
        <v>30852293</v>
      </c>
      <c r="P4158" s="5">
        <v>6921</v>
      </c>
      <c r="Q4158" s="5">
        <v>1315</v>
      </c>
      <c r="R4158" s="5">
        <v>8236</v>
      </c>
    </row>
    <row r="4159" spans="1:18" x14ac:dyDescent="0.25">
      <c r="A4159" t="s">
        <v>1027</v>
      </c>
      <c r="B4159" t="s">
        <v>494</v>
      </c>
      <c r="C4159">
        <v>92475000</v>
      </c>
      <c r="D4159">
        <v>146</v>
      </c>
      <c r="E4159">
        <v>30856438</v>
      </c>
      <c r="F4159" t="s">
        <v>1596</v>
      </c>
      <c r="G4159" s="1">
        <v>45236</v>
      </c>
      <c r="H4159">
        <v>5413115</v>
      </c>
      <c r="I4159">
        <v>91</v>
      </c>
      <c r="J4159" t="s">
        <v>172</v>
      </c>
      <c r="K4159" s="8" t="str">
        <f>IFERROR(IF(AND(VLOOKUP($C4159,Hes!$A:$B, 1, FALSE), $M4159&lt;&gt;" "), "Ingresada", "Falta Ingresar"), " ")</f>
        <v>Falta Ingresar</v>
      </c>
      <c r="L4159" s="4" t="str">
        <f>IFERROR(VLOOKUP($C4159,Observaciones!$A:$B,2,FALSE)," ")</f>
        <v xml:space="preserve"> </v>
      </c>
      <c r="M4159" t="s">
        <v>681</v>
      </c>
      <c r="N4159" s="5" t="s">
        <v>841</v>
      </c>
      <c r="O4159" s="5">
        <v>30856438</v>
      </c>
      <c r="P4159" s="5">
        <v>40545</v>
      </c>
      <c r="Q4159" s="5">
        <v>7704</v>
      </c>
      <c r="R4159" s="5">
        <v>48249</v>
      </c>
    </row>
    <row r="4160" spans="1:18" x14ac:dyDescent="0.25">
      <c r="A4160" t="s">
        <v>1027</v>
      </c>
      <c r="B4160" t="s">
        <v>494</v>
      </c>
      <c r="C4160">
        <v>92475000</v>
      </c>
      <c r="D4160">
        <v>247</v>
      </c>
      <c r="E4160">
        <v>30852305</v>
      </c>
      <c r="F4160" t="s">
        <v>1596</v>
      </c>
      <c r="G4160" s="1">
        <v>45236</v>
      </c>
      <c r="H4160">
        <v>5413116</v>
      </c>
      <c r="I4160">
        <v>91</v>
      </c>
      <c r="J4160" t="s">
        <v>172</v>
      </c>
      <c r="K4160" s="8" t="str">
        <f>IFERROR(IF(AND(VLOOKUP($C4160,Hes!$A:$B, 1, FALSE), $M4160&lt;&gt;" "), "Ingresada", "Falta Ingresar"), " ")</f>
        <v>Falta Ingresar</v>
      </c>
      <c r="L4160" s="4" t="str">
        <f>IFERROR(VLOOKUP($C4160,Observaciones!$A:$B,2,FALSE)," ")</f>
        <v xml:space="preserve"> </v>
      </c>
      <c r="M4160" t="s">
        <v>681</v>
      </c>
      <c r="N4160" s="5" t="s">
        <v>841</v>
      </c>
      <c r="O4160" s="5">
        <v>30852305</v>
      </c>
      <c r="P4160" s="5">
        <v>28736</v>
      </c>
      <c r="Q4160" s="5">
        <v>5460</v>
      </c>
      <c r="R4160" s="5">
        <v>34196</v>
      </c>
    </row>
    <row r="4161" spans="1:18" x14ac:dyDescent="0.25">
      <c r="A4161" t="s">
        <v>1027</v>
      </c>
      <c r="B4161" t="s">
        <v>494</v>
      </c>
      <c r="C4161">
        <v>92475000</v>
      </c>
      <c r="D4161">
        <v>133</v>
      </c>
      <c r="E4161">
        <v>30856436</v>
      </c>
      <c r="F4161" t="s">
        <v>1596</v>
      </c>
      <c r="G4161" s="1">
        <v>45236</v>
      </c>
      <c r="H4161">
        <v>5413189</v>
      </c>
      <c r="I4161">
        <v>91</v>
      </c>
      <c r="J4161" t="s">
        <v>172</v>
      </c>
      <c r="K4161" s="8" t="str">
        <f>IFERROR(IF(AND(VLOOKUP($C4161,Hes!$A:$B, 1, FALSE), $M4161&lt;&gt;" "), "Ingresada", "Falta Ingresar"), " ")</f>
        <v>Falta Ingresar</v>
      </c>
      <c r="L4161" s="4" t="str">
        <f>IFERROR(VLOOKUP($C4161,Observaciones!$A:$B,2,FALSE)," ")</f>
        <v xml:space="preserve"> </v>
      </c>
      <c r="M4161" t="s">
        <v>681</v>
      </c>
      <c r="N4161" s="5" t="s">
        <v>841</v>
      </c>
      <c r="O4161" s="5">
        <v>30856436</v>
      </c>
      <c r="P4161" s="5">
        <v>22108</v>
      </c>
      <c r="Q4161" s="5">
        <v>4201</v>
      </c>
      <c r="R4161" s="5">
        <v>26309</v>
      </c>
    </row>
    <row r="4162" spans="1:18" x14ac:dyDescent="0.25">
      <c r="A4162" t="s">
        <v>1027</v>
      </c>
      <c r="B4162" t="s">
        <v>494</v>
      </c>
      <c r="C4162">
        <v>92475000</v>
      </c>
      <c r="D4162">
        <v>150</v>
      </c>
      <c r="E4162">
        <v>30856373</v>
      </c>
      <c r="F4162" t="s">
        <v>1596</v>
      </c>
      <c r="G4162" s="1">
        <v>45236</v>
      </c>
      <c r="H4162">
        <v>5413191</v>
      </c>
      <c r="I4162">
        <v>91</v>
      </c>
      <c r="J4162" t="s">
        <v>172</v>
      </c>
      <c r="K4162" s="8" t="str">
        <f>IFERROR(IF(AND(VLOOKUP($C4162,Hes!$A:$B, 1, FALSE), $M4162&lt;&gt;" "), "Ingresada", "Falta Ingresar"), " ")</f>
        <v>Falta Ingresar</v>
      </c>
      <c r="L4162" s="4" t="str">
        <f>IFERROR(VLOOKUP($C4162,Observaciones!$A:$B,2,FALSE)," ")</f>
        <v xml:space="preserve"> </v>
      </c>
      <c r="M4162" t="s">
        <v>681</v>
      </c>
      <c r="N4162" s="5" t="s">
        <v>841</v>
      </c>
      <c r="O4162" s="5">
        <v>30856373</v>
      </c>
      <c r="P4162" s="5">
        <v>38885</v>
      </c>
      <c r="Q4162" s="5">
        <v>7388</v>
      </c>
      <c r="R4162" s="5">
        <v>46273</v>
      </c>
    </row>
    <row r="4163" spans="1:18" x14ac:dyDescent="0.25">
      <c r="A4163" t="s">
        <v>1027</v>
      </c>
      <c r="B4163" t="s">
        <v>494</v>
      </c>
      <c r="C4163">
        <v>92475000</v>
      </c>
      <c r="D4163">
        <v>2644</v>
      </c>
      <c r="E4163">
        <v>30856387</v>
      </c>
      <c r="F4163" t="s">
        <v>1596</v>
      </c>
      <c r="G4163" s="1">
        <v>45236</v>
      </c>
      <c r="H4163">
        <v>5413224</v>
      </c>
      <c r="I4163">
        <v>91</v>
      </c>
      <c r="J4163" t="s">
        <v>172</v>
      </c>
      <c r="K4163" s="8" t="str">
        <f>IFERROR(IF(AND(VLOOKUP($C4163,Hes!$A:$B, 1, FALSE), $M4163&lt;&gt;" "), "Ingresada", "Falta Ingresar"), " ")</f>
        <v>Falta Ingresar</v>
      </c>
      <c r="L4163" s="4" t="str">
        <f>IFERROR(VLOOKUP($C4163,Observaciones!$A:$B,2,FALSE)," ")</f>
        <v xml:space="preserve"> </v>
      </c>
      <c r="M4163" t="s">
        <v>681</v>
      </c>
      <c r="N4163" s="5" t="s">
        <v>841</v>
      </c>
      <c r="O4163" s="5">
        <v>30856387</v>
      </c>
      <c r="P4163" s="5">
        <v>7123</v>
      </c>
      <c r="Q4163" s="5">
        <v>1353</v>
      </c>
      <c r="R4163" s="5">
        <v>8476</v>
      </c>
    </row>
    <row r="4164" spans="1:18" x14ac:dyDescent="0.25">
      <c r="A4164" t="s">
        <v>1027</v>
      </c>
      <c r="B4164" t="s">
        <v>494</v>
      </c>
      <c r="C4164">
        <v>92475000</v>
      </c>
      <c r="D4164">
        <v>300</v>
      </c>
      <c r="E4164">
        <v>30857010</v>
      </c>
      <c r="F4164" t="s">
        <v>1596</v>
      </c>
      <c r="G4164" s="1">
        <v>45236</v>
      </c>
      <c r="H4164">
        <v>5413236</v>
      </c>
      <c r="I4164">
        <v>91</v>
      </c>
      <c r="J4164" t="s">
        <v>172</v>
      </c>
      <c r="K4164" s="8" t="str">
        <f>IFERROR(IF(AND(VLOOKUP($C4164,Hes!$A:$B, 1, FALSE), $M4164&lt;&gt;" "), "Ingresada", "Falta Ingresar"), " ")</f>
        <v>Falta Ingresar</v>
      </c>
      <c r="L4164" s="4" t="str">
        <f>IFERROR(VLOOKUP($C4164,Observaciones!$A:$B,2,FALSE)," ")</f>
        <v xml:space="preserve"> </v>
      </c>
      <c r="M4164" t="s">
        <v>681</v>
      </c>
      <c r="N4164" s="5" t="s">
        <v>841</v>
      </c>
      <c r="O4164" s="5">
        <v>30857010</v>
      </c>
      <c r="P4164" s="5">
        <v>6681</v>
      </c>
      <c r="Q4164" s="5">
        <v>1269</v>
      </c>
      <c r="R4164" s="5">
        <v>7950</v>
      </c>
    </row>
    <row r="4165" spans="1:18" x14ac:dyDescent="0.25">
      <c r="A4165" t="s">
        <v>1027</v>
      </c>
      <c r="B4165" t="s">
        <v>494</v>
      </c>
      <c r="C4165">
        <v>92475000</v>
      </c>
      <c r="D4165">
        <v>296</v>
      </c>
      <c r="E4165">
        <v>30857009</v>
      </c>
      <c r="F4165" t="s">
        <v>1596</v>
      </c>
      <c r="G4165" s="1">
        <v>45236</v>
      </c>
      <c r="H4165">
        <v>5413237</v>
      </c>
      <c r="I4165">
        <v>91</v>
      </c>
      <c r="J4165" t="s">
        <v>172</v>
      </c>
      <c r="K4165" s="8" t="str">
        <f>IFERROR(IF(AND(VLOOKUP($C4165,Hes!$A:$B, 1, FALSE), $M4165&lt;&gt;" "), "Ingresada", "Falta Ingresar"), " ")</f>
        <v>Falta Ingresar</v>
      </c>
      <c r="L4165" s="4" t="str">
        <f>IFERROR(VLOOKUP($C4165,Observaciones!$A:$B,2,FALSE)," ")</f>
        <v xml:space="preserve"> </v>
      </c>
      <c r="M4165" t="s">
        <v>681</v>
      </c>
      <c r="N4165" s="5" t="s">
        <v>841</v>
      </c>
      <c r="O4165" s="5">
        <v>30857009</v>
      </c>
      <c r="P4165" s="5">
        <v>6681</v>
      </c>
      <c r="Q4165" s="5">
        <v>1269</v>
      </c>
      <c r="R4165" s="5">
        <v>7950</v>
      </c>
    </row>
    <row r="4166" spans="1:18" x14ac:dyDescent="0.25">
      <c r="A4166" t="s">
        <v>1027</v>
      </c>
      <c r="B4166" t="s">
        <v>494</v>
      </c>
      <c r="C4166">
        <v>92475000</v>
      </c>
      <c r="D4166">
        <v>214</v>
      </c>
      <c r="E4166">
        <v>30856401</v>
      </c>
      <c r="F4166" t="s">
        <v>1596</v>
      </c>
      <c r="G4166" s="1">
        <v>45236</v>
      </c>
      <c r="H4166">
        <v>5413239</v>
      </c>
      <c r="I4166">
        <v>91</v>
      </c>
      <c r="J4166" t="s">
        <v>172</v>
      </c>
      <c r="K4166" s="8" t="str">
        <f>IFERROR(IF(AND(VLOOKUP($C4166,Hes!$A:$B, 1, FALSE), $M4166&lt;&gt;" "), "Ingresada", "Falta Ingresar"), " ")</f>
        <v>Falta Ingresar</v>
      </c>
      <c r="L4166" s="4" t="str">
        <f>IFERROR(VLOOKUP($C4166,Observaciones!$A:$B,2,FALSE)," ")</f>
        <v xml:space="preserve"> </v>
      </c>
      <c r="M4166" t="s">
        <v>681</v>
      </c>
      <c r="N4166" s="5" t="s">
        <v>841</v>
      </c>
      <c r="O4166" s="5">
        <v>30856401</v>
      </c>
      <c r="P4166" s="5">
        <v>5800</v>
      </c>
      <c r="Q4166" s="5">
        <v>1102</v>
      </c>
      <c r="R4166" s="5">
        <v>6902</v>
      </c>
    </row>
    <row r="4167" spans="1:18" x14ac:dyDescent="0.25">
      <c r="A4167" t="s">
        <v>1027</v>
      </c>
      <c r="B4167" t="s">
        <v>494</v>
      </c>
      <c r="C4167">
        <v>92475000</v>
      </c>
      <c r="D4167">
        <v>151</v>
      </c>
      <c r="E4167">
        <v>30856433</v>
      </c>
      <c r="F4167" t="s">
        <v>1596</v>
      </c>
      <c r="G4167" s="1">
        <v>45236</v>
      </c>
      <c r="H4167">
        <v>5413251</v>
      </c>
      <c r="I4167">
        <v>91</v>
      </c>
      <c r="J4167" t="s">
        <v>172</v>
      </c>
      <c r="K4167" s="8" t="str">
        <f>IFERROR(IF(AND(VLOOKUP($C4167,Hes!$A:$B, 1, FALSE), $M4167&lt;&gt;" "), "Ingresada", "Falta Ingresar"), " ")</f>
        <v>Falta Ingresar</v>
      </c>
      <c r="L4167" s="4" t="str">
        <f>IFERROR(VLOOKUP($C4167,Observaciones!$A:$B,2,FALSE)," ")</f>
        <v xml:space="preserve"> </v>
      </c>
      <c r="M4167" t="s">
        <v>681</v>
      </c>
      <c r="N4167" s="5" t="s">
        <v>841</v>
      </c>
      <c r="O4167" s="5">
        <v>30856433</v>
      </c>
      <c r="P4167" s="5">
        <v>28065</v>
      </c>
      <c r="Q4167" s="5">
        <v>5332</v>
      </c>
      <c r="R4167" s="5">
        <v>33397</v>
      </c>
    </row>
    <row r="4168" spans="1:18" x14ac:dyDescent="0.25">
      <c r="A4168" t="s">
        <v>1027</v>
      </c>
      <c r="B4168" t="s">
        <v>494</v>
      </c>
      <c r="C4168">
        <v>92475000</v>
      </c>
      <c r="D4168">
        <v>212</v>
      </c>
      <c r="E4168">
        <v>30852074</v>
      </c>
      <c r="F4168" t="s">
        <v>1596</v>
      </c>
      <c r="G4168" s="1">
        <v>45236</v>
      </c>
      <c r="H4168">
        <v>5413252</v>
      </c>
      <c r="I4168">
        <v>91</v>
      </c>
      <c r="J4168" t="s">
        <v>172</v>
      </c>
      <c r="K4168" s="8" t="str">
        <f>IFERROR(IF(AND(VLOOKUP($C4168,Hes!$A:$B, 1, FALSE), $M4168&lt;&gt;" "), "Ingresada", "Falta Ingresar"), " ")</f>
        <v>Falta Ingresar</v>
      </c>
      <c r="L4168" s="4" t="str">
        <f>IFERROR(VLOOKUP($C4168,Observaciones!$A:$B,2,FALSE)," ")</f>
        <v xml:space="preserve"> </v>
      </c>
      <c r="M4168" t="s">
        <v>681</v>
      </c>
      <c r="N4168" s="5" t="s">
        <v>841</v>
      </c>
      <c r="O4168" s="5">
        <v>30852074</v>
      </c>
      <c r="P4168" s="5">
        <v>186462</v>
      </c>
      <c r="Q4168" s="5">
        <v>35428</v>
      </c>
      <c r="R4168" s="5">
        <v>221890</v>
      </c>
    </row>
    <row r="4169" spans="1:18" x14ac:dyDescent="0.25">
      <c r="A4169" t="s">
        <v>1027</v>
      </c>
      <c r="B4169" t="s">
        <v>494</v>
      </c>
      <c r="C4169">
        <v>92475000</v>
      </c>
      <c r="D4169">
        <v>178</v>
      </c>
      <c r="E4169">
        <v>30856419</v>
      </c>
      <c r="F4169" t="s">
        <v>1596</v>
      </c>
      <c r="G4169" s="1">
        <v>45236</v>
      </c>
      <c r="H4169">
        <v>5413254</v>
      </c>
      <c r="I4169">
        <v>91</v>
      </c>
      <c r="J4169" t="s">
        <v>172</v>
      </c>
      <c r="K4169" s="8" t="str">
        <f>IFERROR(IF(AND(VLOOKUP($C4169,Hes!$A:$B, 1, FALSE), $M4169&lt;&gt;" "), "Ingresada", "Falta Ingresar"), " ")</f>
        <v>Falta Ingresar</v>
      </c>
      <c r="L4169" s="4" t="str">
        <f>IFERROR(VLOOKUP($C4169,Observaciones!$A:$B,2,FALSE)," ")</f>
        <v xml:space="preserve"> </v>
      </c>
      <c r="M4169" t="s">
        <v>681</v>
      </c>
      <c r="N4169" s="5" t="s">
        <v>841</v>
      </c>
      <c r="O4169" s="5">
        <v>30856419</v>
      </c>
      <c r="P4169" s="5">
        <v>122350</v>
      </c>
      <c r="Q4169" s="5">
        <v>23247</v>
      </c>
      <c r="R4169" s="5">
        <v>148008</v>
      </c>
    </row>
    <row r="4170" spans="1:18" x14ac:dyDescent="0.25">
      <c r="A4170" t="s">
        <v>1027</v>
      </c>
      <c r="B4170" t="s">
        <v>494</v>
      </c>
      <c r="C4170">
        <v>92475000</v>
      </c>
      <c r="D4170">
        <v>295</v>
      </c>
      <c r="E4170">
        <v>30853171</v>
      </c>
      <c r="F4170" t="s">
        <v>1596</v>
      </c>
      <c r="G4170" s="1">
        <v>45236</v>
      </c>
      <c r="H4170">
        <v>5413262</v>
      </c>
      <c r="I4170">
        <v>91</v>
      </c>
      <c r="J4170" t="s">
        <v>172</v>
      </c>
      <c r="K4170" s="8" t="str">
        <f>IFERROR(IF(AND(VLOOKUP($C4170,Hes!$A:$B, 1, FALSE), $M4170&lt;&gt;" "), "Ingresada", "Falta Ingresar"), " ")</f>
        <v>Falta Ingresar</v>
      </c>
      <c r="L4170" s="4" t="str">
        <f>IFERROR(VLOOKUP($C4170,Observaciones!$A:$B,2,FALSE)," ")</f>
        <v xml:space="preserve"> </v>
      </c>
      <c r="M4170" t="s">
        <v>681</v>
      </c>
      <c r="N4170" s="5" t="s">
        <v>841</v>
      </c>
      <c r="O4170" s="5">
        <v>30853171</v>
      </c>
      <c r="P4170" s="5">
        <v>96129</v>
      </c>
      <c r="Q4170" s="5">
        <v>18265</v>
      </c>
      <c r="R4170" s="5">
        <v>114394</v>
      </c>
    </row>
    <row r="4171" spans="1:18" x14ac:dyDescent="0.25">
      <c r="A4171" t="s">
        <v>1027</v>
      </c>
      <c r="B4171" t="s">
        <v>494</v>
      </c>
      <c r="C4171">
        <v>92475000</v>
      </c>
      <c r="D4171">
        <v>297</v>
      </c>
      <c r="E4171">
        <v>30853162</v>
      </c>
      <c r="F4171" t="s">
        <v>1596</v>
      </c>
      <c r="G4171" s="1">
        <v>45236</v>
      </c>
      <c r="H4171">
        <v>5413263</v>
      </c>
      <c r="I4171">
        <v>91</v>
      </c>
      <c r="J4171" t="s">
        <v>172</v>
      </c>
      <c r="K4171" s="8" t="str">
        <f>IFERROR(IF(AND(VLOOKUP($C4171,Hes!$A:$B, 1, FALSE), $M4171&lt;&gt;" "), "Ingresada", "Falta Ingresar"), " ")</f>
        <v>Falta Ingresar</v>
      </c>
      <c r="L4171" s="4" t="str">
        <f>IFERROR(VLOOKUP($C4171,Observaciones!$A:$B,2,FALSE)," ")</f>
        <v xml:space="preserve"> </v>
      </c>
      <c r="M4171" t="s">
        <v>681</v>
      </c>
      <c r="N4171" s="5" t="s">
        <v>841</v>
      </c>
      <c r="O4171" s="5">
        <v>30853162</v>
      </c>
      <c r="P4171" s="5">
        <v>96129</v>
      </c>
      <c r="Q4171" s="5">
        <v>18265</v>
      </c>
      <c r="R4171" s="5">
        <v>114394</v>
      </c>
    </row>
    <row r="4172" spans="1:18" x14ac:dyDescent="0.25">
      <c r="A4172" t="s">
        <v>1027</v>
      </c>
      <c r="B4172" t="s">
        <v>494</v>
      </c>
      <c r="C4172">
        <v>92475000</v>
      </c>
      <c r="D4172">
        <v>30</v>
      </c>
      <c r="E4172">
        <v>30856420</v>
      </c>
      <c r="F4172" t="s">
        <v>1596</v>
      </c>
      <c r="G4172" s="1">
        <v>45236</v>
      </c>
      <c r="H4172">
        <v>5413273</v>
      </c>
      <c r="I4172">
        <v>91</v>
      </c>
      <c r="J4172" t="s">
        <v>172</v>
      </c>
      <c r="K4172" s="8" t="str">
        <f>IFERROR(IF(AND(VLOOKUP($C4172,Hes!$A:$B, 1, FALSE), $M4172&lt;&gt;" "), "Ingresada", "Falta Ingresar"), " ")</f>
        <v>Falta Ingresar</v>
      </c>
      <c r="L4172" s="4" t="str">
        <f>IFERROR(VLOOKUP($C4172,Observaciones!$A:$B,2,FALSE)," ")</f>
        <v xml:space="preserve"> </v>
      </c>
      <c r="M4172" t="s">
        <v>681</v>
      </c>
      <c r="N4172" s="5" t="s">
        <v>841</v>
      </c>
      <c r="O4172" s="5">
        <v>30856420</v>
      </c>
      <c r="P4172" s="5">
        <v>63840</v>
      </c>
      <c r="Q4172" s="5">
        <v>12130</v>
      </c>
      <c r="R4172" s="5">
        <v>75970</v>
      </c>
    </row>
    <row r="4173" spans="1:18" x14ac:dyDescent="0.25">
      <c r="A4173" t="s">
        <v>1027</v>
      </c>
      <c r="B4173" t="s">
        <v>494</v>
      </c>
      <c r="C4173">
        <v>92475000</v>
      </c>
      <c r="D4173">
        <v>98</v>
      </c>
      <c r="E4173">
        <v>30857338</v>
      </c>
      <c r="F4173" t="s">
        <v>1596</v>
      </c>
      <c r="G4173" s="1">
        <v>45236</v>
      </c>
      <c r="H4173">
        <v>5413281</v>
      </c>
      <c r="I4173">
        <v>91</v>
      </c>
      <c r="J4173" t="s">
        <v>172</v>
      </c>
      <c r="K4173" s="8" t="str">
        <f>IFERROR(IF(AND(VLOOKUP($C4173,Hes!$A:$B, 1, FALSE), $M4173&lt;&gt;" "), "Ingresada", "Falta Ingresar"), " ")</f>
        <v>Falta Ingresar</v>
      </c>
      <c r="L4173" s="4" t="str">
        <f>IFERROR(VLOOKUP($C4173,Observaciones!$A:$B,2,FALSE)," ")</f>
        <v xml:space="preserve"> </v>
      </c>
      <c r="M4173" t="s">
        <v>681</v>
      </c>
      <c r="N4173" s="5" t="s">
        <v>841</v>
      </c>
      <c r="O4173" s="5">
        <v>30857338</v>
      </c>
      <c r="P4173" s="5">
        <v>28116</v>
      </c>
      <c r="Q4173" s="5">
        <v>5342</v>
      </c>
      <c r="R4173" s="5">
        <v>33458</v>
      </c>
    </row>
    <row r="4174" spans="1:18" x14ac:dyDescent="0.25">
      <c r="A4174" t="s">
        <v>1027</v>
      </c>
      <c r="B4174" t="s">
        <v>494</v>
      </c>
      <c r="C4174">
        <v>92475000</v>
      </c>
      <c r="D4174">
        <v>33</v>
      </c>
      <c r="E4174">
        <v>30856445</v>
      </c>
      <c r="F4174" t="s">
        <v>1596</v>
      </c>
      <c r="G4174" s="1">
        <v>45236</v>
      </c>
      <c r="H4174">
        <v>5413311</v>
      </c>
      <c r="I4174">
        <v>91</v>
      </c>
      <c r="J4174" t="s">
        <v>172</v>
      </c>
      <c r="K4174" s="8" t="str">
        <f>IFERROR(IF(AND(VLOOKUP($C4174,Hes!$A:$B, 1, FALSE), $M4174&lt;&gt;" "), "Ingresada", "Falta Ingresar"), " ")</f>
        <v>Falta Ingresar</v>
      </c>
      <c r="L4174" s="4" t="str">
        <f>IFERROR(VLOOKUP($C4174,Observaciones!$A:$B,2,FALSE)," ")</f>
        <v xml:space="preserve"> </v>
      </c>
      <c r="M4174" t="s">
        <v>681</v>
      </c>
      <c r="N4174" s="5" t="s">
        <v>841</v>
      </c>
      <c r="O4174" s="5">
        <v>30856445</v>
      </c>
      <c r="P4174" s="5">
        <v>18339</v>
      </c>
      <c r="Q4174" s="5">
        <v>3484</v>
      </c>
      <c r="R4174" s="5">
        <v>21823</v>
      </c>
    </row>
    <row r="4175" spans="1:18" x14ac:dyDescent="0.25">
      <c r="A4175" t="s">
        <v>1027</v>
      </c>
      <c r="B4175" t="s">
        <v>494</v>
      </c>
      <c r="C4175">
        <v>92475000</v>
      </c>
      <c r="D4175">
        <v>151</v>
      </c>
      <c r="E4175">
        <v>30856832</v>
      </c>
      <c r="F4175" t="s">
        <v>1596</v>
      </c>
      <c r="G4175" s="1">
        <v>45236</v>
      </c>
      <c r="H4175">
        <v>5413320</v>
      </c>
      <c r="I4175">
        <v>91</v>
      </c>
      <c r="J4175" t="s">
        <v>172</v>
      </c>
      <c r="K4175" s="8" t="str">
        <f>IFERROR(IF(AND(VLOOKUP($C4175,Hes!$A:$B, 1, FALSE), $M4175&lt;&gt;" "), "Ingresada", "Falta Ingresar"), " ")</f>
        <v>Falta Ingresar</v>
      </c>
      <c r="L4175" s="4" t="str">
        <f>IFERROR(VLOOKUP($C4175,Observaciones!$A:$B,2,FALSE)," ")</f>
        <v xml:space="preserve"> </v>
      </c>
      <c r="M4175" t="s">
        <v>681</v>
      </c>
      <c r="N4175" s="5" t="s">
        <v>841</v>
      </c>
      <c r="O4175" s="5">
        <v>30856832</v>
      </c>
      <c r="P4175" s="5">
        <v>18050</v>
      </c>
      <c r="Q4175" s="5">
        <v>3430</v>
      </c>
      <c r="R4175" s="5">
        <v>21480</v>
      </c>
    </row>
    <row r="4176" spans="1:18" x14ac:dyDescent="0.25">
      <c r="A4176" t="s">
        <v>1027</v>
      </c>
      <c r="B4176" t="s">
        <v>494</v>
      </c>
      <c r="C4176">
        <v>92475000</v>
      </c>
      <c r="D4176">
        <v>2643</v>
      </c>
      <c r="E4176">
        <v>30856383</v>
      </c>
      <c r="F4176" t="s">
        <v>1596</v>
      </c>
      <c r="G4176" s="1">
        <v>45236</v>
      </c>
      <c r="H4176">
        <v>5413351</v>
      </c>
      <c r="I4176">
        <v>91</v>
      </c>
      <c r="J4176" t="s">
        <v>172</v>
      </c>
      <c r="K4176" s="8" t="str">
        <f>IFERROR(IF(AND(VLOOKUP($C4176,Hes!$A:$B, 1, FALSE), $M4176&lt;&gt;" "), "Ingresada", "Falta Ingresar"), " ")</f>
        <v>Falta Ingresar</v>
      </c>
      <c r="L4176" s="4" t="str">
        <f>IFERROR(VLOOKUP($C4176,Observaciones!$A:$B,2,FALSE)," ")</f>
        <v xml:space="preserve"> </v>
      </c>
      <c r="M4176" t="s">
        <v>681</v>
      </c>
      <c r="N4176" s="5" t="s">
        <v>841</v>
      </c>
      <c r="O4176" s="5">
        <v>30856383</v>
      </c>
      <c r="P4176" s="5">
        <v>7794</v>
      </c>
      <c r="Q4176" s="5">
        <v>1481</v>
      </c>
      <c r="R4176" s="5">
        <v>9275</v>
      </c>
    </row>
    <row r="4177" spans="1:18" x14ac:dyDescent="0.25">
      <c r="A4177" t="s">
        <v>1027</v>
      </c>
      <c r="B4177" t="s">
        <v>494</v>
      </c>
      <c r="C4177">
        <v>92475000</v>
      </c>
      <c r="D4177">
        <v>48</v>
      </c>
      <c r="E4177">
        <v>30856358</v>
      </c>
      <c r="F4177" t="s">
        <v>1596</v>
      </c>
      <c r="G4177" s="1">
        <v>45236</v>
      </c>
      <c r="H4177">
        <v>5413352</v>
      </c>
      <c r="I4177">
        <v>91</v>
      </c>
      <c r="J4177" t="s">
        <v>172</v>
      </c>
      <c r="K4177" s="8" t="str">
        <f>IFERROR(IF(AND(VLOOKUP($C4177,Hes!$A:$B, 1, FALSE), $M4177&lt;&gt;" "), "Ingresada", "Falta Ingresar"), " ")</f>
        <v>Falta Ingresar</v>
      </c>
      <c r="L4177" s="4" t="str">
        <f>IFERROR(VLOOKUP($C4177,Observaciones!$A:$B,2,FALSE)," ")</f>
        <v xml:space="preserve"> </v>
      </c>
      <c r="M4177" t="s">
        <v>681</v>
      </c>
      <c r="N4177" s="5" t="s">
        <v>841</v>
      </c>
      <c r="O4177" s="5">
        <v>30856358</v>
      </c>
      <c r="P4177" s="5">
        <v>7960</v>
      </c>
      <c r="Q4177" s="5">
        <v>1512</v>
      </c>
      <c r="R4177" s="5">
        <v>9472</v>
      </c>
    </row>
    <row r="4178" spans="1:18" x14ac:dyDescent="0.25">
      <c r="A4178" t="s">
        <v>1027</v>
      </c>
      <c r="B4178" t="s">
        <v>494</v>
      </c>
      <c r="C4178">
        <v>92475000</v>
      </c>
      <c r="D4178">
        <v>273</v>
      </c>
      <c r="E4178">
        <v>30856366</v>
      </c>
      <c r="F4178" t="s">
        <v>1596</v>
      </c>
      <c r="G4178" s="1">
        <v>45236</v>
      </c>
      <c r="H4178">
        <v>5413353</v>
      </c>
      <c r="I4178">
        <v>91</v>
      </c>
      <c r="J4178" t="s">
        <v>172</v>
      </c>
      <c r="K4178" s="8" t="str">
        <f>IFERROR(IF(AND(VLOOKUP($C4178,Hes!$A:$B, 1, FALSE), $M4178&lt;&gt;" "), "Ingresada", "Falta Ingresar"), " ")</f>
        <v>Falta Ingresar</v>
      </c>
      <c r="L4178" s="4" t="str">
        <f>IFERROR(VLOOKUP($C4178,Observaciones!$A:$B,2,FALSE)," ")</f>
        <v xml:space="preserve"> </v>
      </c>
      <c r="M4178" t="s">
        <v>681</v>
      </c>
      <c r="N4178" s="5" t="s">
        <v>841</v>
      </c>
      <c r="O4178" s="5">
        <v>30856366</v>
      </c>
      <c r="P4178" s="5">
        <v>24064</v>
      </c>
      <c r="Q4178" s="5">
        <v>4572</v>
      </c>
      <c r="R4178" s="5">
        <v>28636</v>
      </c>
    </row>
    <row r="4179" spans="1:18" x14ac:dyDescent="0.25">
      <c r="A4179" t="s">
        <v>1027</v>
      </c>
      <c r="B4179" t="s">
        <v>494</v>
      </c>
      <c r="C4179">
        <v>92475000</v>
      </c>
      <c r="D4179">
        <v>123</v>
      </c>
      <c r="E4179">
        <v>30856371</v>
      </c>
      <c r="F4179" t="s">
        <v>1596</v>
      </c>
      <c r="G4179" s="1">
        <v>45236</v>
      </c>
      <c r="H4179">
        <v>5413357</v>
      </c>
      <c r="I4179">
        <v>91</v>
      </c>
      <c r="J4179" t="s">
        <v>172</v>
      </c>
      <c r="K4179" s="8" t="str">
        <f>IFERROR(IF(AND(VLOOKUP($C4179,Hes!$A:$B, 1, FALSE), $M4179&lt;&gt;" "), "Ingresada", "Falta Ingresar"), " ")</f>
        <v>Falta Ingresar</v>
      </c>
      <c r="L4179" s="4" t="str">
        <f>IFERROR(VLOOKUP($C4179,Observaciones!$A:$B,2,FALSE)," ")</f>
        <v xml:space="preserve"> </v>
      </c>
      <c r="M4179" t="s">
        <v>681</v>
      </c>
      <c r="N4179" s="5" t="s">
        <v>841</v>
      </c>
      <c r="O4179" s="5">
        <v>30856371</v>
      </c>
      <c r="P4179" s="5">
        <v>1237571</v>
      </c>
      <c r="Q4179" s="5">
        <v>235138</v>
      </c>
      <c r="R4179" s="5">
        <v>1472709</v>
      </c>
    </row>
    <row r="4180" spans="1:18" x14ac:dyDescent="0.25">
      <c r="A4180" t="s">
        <v>1027</v>
      </c>
      <c r="B4180" t="s">
        <v>494</v>
      </c>
      <c r="C4180">
        <v>92475000</v>
      </c>
      <c r="D4180">
        <v>126</v>
      </c>
      <c r="E4180">
        <v>30856431</v>
      </c>
      <c r="F4180" t="s">
        <v>1596</v>
      </c>
      <c r="G4180" s="1">
        <v>45236</v>
      </c>
      <c r="H4180">
        <v>5413366</v>
      </c>
      <c r="I4180">
        <v>91</v>
      </c>
      <c r="J4180" t="s">
        <v>172</v>
      </c>
      <c r="K4180" s="8" t="str">
        <f>IFERROR(IF(AND(VLOOKUP($C4180,Hes!$A:$B, 1, FALSE), $M4180&lt;&gt;" "), "Ingresada", "Falta Ingresar"), " ")</f>
        <v>Falta Ingresar</v>
      </c>
      <c r="L4180" s="4" t="str">
        <f>IFERROR(VLOOKUP($C4180,Observaciones!$A:$B,2,FALSE)," ")</f>
        <v xml:space="preserve"> </v>
      </c>
      <c r="M4180" t="s">
        <v>681</v>
      </c>
      <c r="N4180" s="5" t="s">
        <v>841</v>
      </c>
      <c r="O4180" s="5">
        <v>30856431</v>
      </c>
      <c r="P4180" s="5">
        <v>571581</v>
      </c>
      <c r="Q4180" s="5">
        <v>108600</v>
      </c>
      <c r="R4180" s="5">
        <v>680181</v>
      </c>
    </row>
    <row r="4181" spans="1:18" x14ac:dyDescent="0.25">
      <c r="A4181" t="s">
        <v>1027</v>
      </c>
      <c r="B4181" t="s">
        <v>494</v>
      </c>
      <c r="C4181">
        <v>92475000</v>
      </c>
      <c r="D4181">
        <v>126</v>
      </c>
      <c r="E4181">
        <v>30856431</v>
      </c>
      <c r="F4181" t="s">
        <v>1596</v>
      </c>
      <c r="G4181" s="1">
        <v>45236</v>
      </c>
      <c r="H4181">
        <v>5413367</v>
      </c>
      <c r="I4181">
        <v>91</v>
      </c>
      <c r="J4181" t="s">
        <v>172</v>
      </c>
      <c r="K4181" s="8" t="str">
        <f>IFERROR(IF(AND(VLOOKUP($C4181,Hes!$A:$B, 1, FALSE), $M4181&lt;&gt;" "), "Ingresada", "Falta Ingresar"), " ")</f>
        <v>Falta Ingresar</v>
      </c>
      <c r="L4181" s="4" t="str">
        <f>IFERROR(VLOOKUP($C4181,Observaciones!$A:$B,2,FALSE)," ")</f>
        <v xml:space="preserve"> </v>
      </c>
      <c r="M4181" t="s">
        <v>681</v>
      </c>
      <c r="N4181" s="5" t="s">
        <v>841</v>
      </c>
      <c r="O4181" s="5">
        <v>30856431</v>
      </c>
      <c r="P4181" s="5">
        <v>53085</v>
      </c>
      <c r="Q4181" s="5">
        <v>10086</v>
      </c>
      <c r="R4181" s="5">
        <v>63171</v>
      </c>
    </row>
    <row r="4182" spans="1:18" x14ac:dyDescent="0.25">
      <c r="A4182" t="s">
        <v>1027</v>
      </c>
      <c r="B4182" t="s">
        <v>494</v>
      </c>
      <c r="C4182">
        <v>92475000</v>
      </c>
      <c r="D4182">
        <v>153</v>
      </c>
      <c r="E4182">
        <v>30856899</v>
      </c>
      <c r="F4182" t="s">
        <v>1596</v>
      </c>
      <c r="G4182" s="1">
        <v>45236</v>
      </c>
      <c r="H4182">
        <v>5413387</v>
      </c>
      <c r="I4182">
        <v>91</v>
      </c>
      <c r="J4182" t="s">
        <v>172</v>
      </c>
      <c r="K4182" s="8" t="str">
        <f>IFERROR(IF(AND(VLOOKUP($C4182,Hes!$A:$B, 1, FALSE), $M4182&lt;&gt;" "), "Ingresada", "Falta Ingresar"), " ")</f>
        <v>Falta Ingresar</v>
      </c>
      <c r="L4182" s="4" t="str">
        <f>IFERROR(VLOOKUP($C4182,Observaciones!$A:$B,2,FALSE)," ")</f>
        <v xml:space="preserve"> </v>
      </c>
      <c r="M4182" t="s">
        <v>681</v>
      </c>
      <c r="N4182" s="5" t="s">
        <v>841</v>
      </c>
      <c r="O4182" s="5">
        <v>30856899</v>
      </c>
      <c r="P4182" s="5">
        <v>44596</v>
      </c>
      <c r="Q4182" s="5">
        <v>8473</v>
      </c>
      <c r="R4182" s="5">
        <v>53069</v>
      </c>
    </row>
    <row r="4183" spans="1:18" x14ac:dyDescent="0.25">
      <c r="A4183" t="s">
        <v>1027</v>
      </c>
      <c r="B4183" t="s">
        <v>494</v>
      </c>
      <c r="C4183">
        <v>92475000</v>
      </c>
      <c r="D4183">
        <v>225</v>
      </c>
      <c r="E4183">
        <v>30856361</v>
      </c>
      <c r="F4183" t="s">
        <v>1596</v>
      </c>
      <c r="G4183" s="1">
        <v>45236</v>
      </c>
      <c r="H4183">
        <v>5413397</v>
      </c>
      <c r="I4183">
        <v>91</v>
      </c>
      <c r="J4183" t="s">
        <v>172</v>
      </c>
      <c r="K4183" s="8" t="str">
        <f>IFERROR(IF(AND(VLOOKUP($C4183,Hes!$A:$B, 1, FALSE), $M4183&lt;&gt;" "), "Ingresada", "Falta Ingresar"), " ")</f>
        <v>Falta Ingresar</v>
      </c>
      <c r="L4183" s="4" t="str">
        <f>IFERROR(VLOOKUP($C4183,Observaciones!$A:$B,2,FALSE)," ")</f>
        <v xml:space="preserve"> </v>
      </c>
      <c r="M4183" t="s">
        <v>681</v>
      </c>
      <c r="N4183" s="5" t="s">
        <v>841</v>
      </c>
      <c r="O4183" s="5">
        <v>30856361</v>
      </c>
      <c r="P4183" s="5">
        <v>30664</v>
      </c>
      <c r="Q4183" s="5">
        <v>5826</v>
      </c>
      <c r="R4183" s="5">
        <v>36490</v>
      </c>
    </row>
    <row r="4184" spans="1:18" x14ac:dyDescent="0.25">
      <c r="A4184" t="s">
        <v>1027</v>
      </c>
      <c r="B4184" t="s">
        <v>494</v>
      </c>
      <c r="C4184">
        <v>92475000</v>
      </c>
      <c r="D4184">
        <v>268</v>
      </c>
      <c r="E4184">
        <v>30857984</v>
      </c>
      <c r="F4184" t="s">
        <v>1596</v>
      </c>
      <c r="G4184" s="1">
        <v>45236</v>
      </c>
      <c r="H4184">
        <v>5413444</v>
      </c>
      <c r="I4184">
        <v>91</v>
      </c>
      <c r="J4184" t="s">
        <v>172</v>
      </c>
      <c r="K4184" s="8" t="str">
        <f>IFERROR(IF(AND(VLOOKUP($C4184,Hes!$A:$B, 1, FALSE), $M4184&lt;&gt;" "), "Ingresada", "Falta Ingresar"), " ")</f>
        <v>Falta Ingresar</v>
      </c>
      <c r="L4184" s="4" t="str">
        <f>IFERROR(VLOOKUP($C4184,Observaciones!$A:$B,2,FALSE)," ")</f>
        <v xml:space="preserve"> </v>
      </c>
      <c r="M4184" t="s">
        <v>681</v>
      </c>
      <c r="N4184" s="5" t="s">
        <v>841</v>
      </c>
      <c r="O4184" s="5">
        <v>30857984</v>
      </c>
      <c r="P4184" s="5">
        <v>5042</v>
      </c>
      <c r="Q4184" s="5">
        <v>958</v>
      </c>
      <c r="R4184" s="5">
        <v>6000</v>
      </c>
    </row>
    <row r="4185" spans="1:18" x14ac:dyDescent="0.25">
      <c r="A4185" t="s">
        <v>1027</v>
      </c>
      <c r="B4185" t="s">
        <v>494</v>
      </c>
      <c r="C4185">
        <v>92475000</v>
      </c>
      <c r="D4185">
        <v>152</v>
      </c>
      <c r="E4185">
        <v>30856834</v>
      </c>
      <c r="F4185" t="s">
        <v>1596</v>
      </c>
      <c r="G4185" s="1">
        <v>45236</v>
      </c>
      <c r="H4185">
        <v>5413463</v>
      </c>
      <c r="I4185">
        <v>91</v>
      </c>
      <c r="J4185" t="s">
        <v>172</v>
      </c>
      <c r="K4185" s="8" t="str">
        <f>IFERROR(IF(AND(VLOOKUP($C4185,Hes!$A:$B, 1, FALSE), $M4185&lt;&gt;" "), "Ingresada", "Falta Ingresar"), " ")</f>
        <v>Falta Ingresar</v>
      </c>
      <c r="L4185" s="4" t="str">
        <f>IFERROR(VLOOKUP($C4185,Observaciones!$A:$B,2,FALSE)," ")</f>
        <v xml:space="preserve"> </v>
      </c>
      <c r="M4185" t="s">
        <v>681</v>
      </c>
      <c r="N4185" s="5" t="s">
        <v>841</v>
      </c>
      <c r="O4185" s="5">
        <v>30856834</v>
      </c>
      <c r="P4185" s="5">
        <v>6450</v>
      </c>
      <c r="Q4185" s="5">
        <v>1226</v>
      </c>
      <c r="R4185" s="5">
        <v>7676</v>
      </c>
    </row>
    <row r="4186" spans="1:18" x14ac:dyDescent="0.25">
      <c r="A4186" t="s">
        <v>1027</v>
      </c>
      <c r="B4186" t="s">
        <v>494</v>
      </c>
      <c r="C4186">
        <v>92475000</v>
      </c>
      <c r="D4186">
        <v>176</v>
      </c>
      <c r="E4186">
        <v>30856412</v>
      </c>
      <c r="F4186" t="s">
        <v>1596</v>
      </c>
      <c r="G4186" s="1">
        <v>45236</v>
      </c>
      <c r="H4186">
        <v>5413491</v>
      </c>
      <c r="I4186">
        <v>91</v>
      </c>
      <c r="J4186" t="s">
        <v>172</v>
      </c>
      <c r="K4186" s="8" t="str">
        <f>IFERROR(IF(AND(VLOOKUP($C4186,Hes!$A:$B, 1, FALSE), $M4186&lt;&gt;" "), "Ingresada", "Falta Ingresar"), " ")</f>
        <v>Falta Ingresar</v>
      </c>
      <c r="L4186" s="4" t="str">
        <f>IFERROR(VLOOKUP($C4186,Observaciones!$A:$B,2,FALSE)," ")</f>
        <v xml:space="preserve"> </v>
      </c>
      <c r="M4186" t="s">
        <v>681</v>
      </c>
      <c r="N4186" s="5" t="s">
        <v>841</v>
      </c>
      <c r="O4186" s="5">
        <v>30856412</v>
      </c>
      <c r="P4186" s="5">
        <v>42646</v>
      </c>
      <c r="Q4186" s="5">
        <v>8103</v>
      </c>
      <c r="R4186" s="5">
        <v>50749</v>
      </c>
    </row>
    <row r="4187" spans="1:18" x14ac:dyDescent="0.25">
      <c r="A4187" t="s">
        <v>1027</v>
      </c>
      <c r="B4187" t="s">
        <v>494</v>
      </c>
      <c r="C4187">
        <v>92475000</v>
      </c>
      <c r="D4187">
        <v>155</v>
      </c>
      <c r="E4187">
        <v>30856535</v>
      </c>
      <c r="F4187" t="s">
        <v>1596</v>
      </c>
      <c r="G4187" s="1">
        <v>45236</v>
      </c>
      <c r="H4187">
        <v>5413510</v>
      </c>
      <c r="I4187">
        <v>91</v>
      </c>
      <c r="J4187" t="s">
        <v>172</v>
      </c>
      <c r="K4187" s="8" t="str">
        <f>IFERROR(IF(AND(VLOOKUP($C4187,Hes!$A:$B, 1, FALSE), $M4187&lt;&gt;" "), "Ingresada", "Falta Ingresar"), " ")</f>
        <v>Falta Ingresar</v>
      </c>
      <c r="L4187" s="4" t="str">
        <f>IFERROR(VLOOKUP($C4187,Observaciones!$A:$B,2,FALSE)," ")</f>
        <v xml:space="preserve"> </v>
      </c>
      <c r="M4187" t="s">
        <v>681</v>
      </c>
      <c r="N4187" s="5" t="s">
        <v>841</v>
      </c>
      <c r="O4187" s="5">
        <v>30856535</v>
      </c>
      <c r="P4187" s="5">
        <v>78000</v>
      </c>
      <c r="Q4187" s="5">
        <v>14820</v>
      </c>
      <c r="R4187" s="5">
        <v>92820</v>
      </c>
    </row>
    <row r="4188" spans="1:18" x14ac:dyDescent="0.25">
      <c r="A4188" t="s">
        <v>1027</v>
      </c>
      <c r="B4188" t="s">
        <v>494</v>
      </c>
      <c r="C4188">
        <v>92475000</v>
      </c>
      <c r="D4188">
        <v>173</v>
      </c>
      <c r="E4188">
        <v>30851191</v>
      </c>
      <c r="F4188" t="s">
        <v>1596</v>
      </c>
      <c r="G4188" s="1">
        <v>45236</v>
      </c>
      <c r="H4188">
        <v>5413525</v>
      </c>
      <c r="I4188">
        <v>91</v>
      </c>
      <c r="J4188" t="s">
        <v>172</v>
      </c>
      <c r="K4188" s="8" t="str">
        <f>IFERROR(IF(AND(VLOOKUP($C4188,Hes!$A:$B, 1, FALSE), $M4188&lt;&gt;" "), "Ingresada", "Falta Ingresar"), " ")</f>
        <v>Falta Ingresar</v>
      </c>
      <c r="L4188" s="4" t="str">
        <f>IFERROR(VLOOKUP($C4188,Observaciones!$A:$B,2,FALSE)," ")</f>
        <v xml:space="preserve"> </v>
      </c>
      <c r="M4188" t="s">
        <v>681</v>
      </c>
      <c r="N4188" s="5" t="s">
        <v>841</v>
      </c>
      <c r="O4188" s="5">
        <v>30851191</v>
      </c>
      <c r="P4188" s="5">
        <v>129877</v>
      </c>
      <c r="Q4188" s="5">
        <v>24677</v>
      </c>
      <c r="R4188" s="5">
        <v>164009</v>
      </c>
    </row>
    <row r="4189" spans="1:18" x14ac:dyDescent="0.25">
      <c r="A4189" t="s">
        <v>1027</v>
      </c>
      <c r="B4189" t="s">
        <v>494</v>
      </c>
      <c r="C4189">
        <v>92475000</v>
      </c>
      <c r="D4189">
        <v>102</v>
      </c>
      <c r="E4189">
        <v>30856378</v>
      </c>
      <c r="F4189" t="s">
        <v>1596</v>
      </c>
      <c r="G4189" s="1">
        <v>45236</v>
      </c>
      <c r="H4189">
        <v>5413656</v>
      </c>
      <c r="I4189">
        <v>91</v>
      </c>
      <c r="J4189" t="s">
        <v>172</v>
      </c>
      <c r="K4189" s="8" t="str">
        <f>IFERROR(IF(AND(VLOOKUP($C4189,Hes!$A:$B, 1, FALSE), $M4189&lt;&gt;" "), "Ingresada", "Falta Ingresar"), " ")</f>
        <v>Falta Ingresar</v>
      </c>
      <c r="L4189" s="4" t="str">
        <f>IFERROR(VLOOKUP($C4189,Observaciones!$A:$B,2,FALSE)," ")</f>
        <v xml:space="preserve"> </v>
      </c>
      <c r="M4189" t="s">
        <v>681</v>
      </c>
      <c r="N4189" s="5" t="s">
        <v>841</v>
      </c>
      <c r="O4189" s="5">
        <v>30856378</v>
      </c>
      <c r="P4189" s="5">
        <v>290168</v>
      </c>
      <c r="Q4189" s="5">
        <v>55132</v>
      </c>
      <c r="R4189" s="5">
        <v>348959</v>
      </c>
    </row>
    <row r="4190" spans="1:18" x14ac:dyDescent="0.25">
      <c r="A4190" t="s">
        <v>1027</v>
      </c>
      <c r="B4190" t="s">
        <v>494</v>
      </c>
      <c r="C4190">
        <v>92475000</v>
      </c>
      <c r="D4190">
        <v>78</v>
      </c>
      <c r="E4190">
        <v>30856390</v>
      </c>
      <c r="F4190" t="s">
        <v>1596</v>
      </c>
      <c r="G4190" s="1">
        <v>45236</v>
      </c>
      <c r="H4190">
        <v>5413699</v>
      </c>
      <c r="I4190">
        <v>91</v>
      </c>
      <c r="J4190" t="s">
        <v>172</v>
      </c>
      <c r="K4190" s="8" t="str">
        <f>IFERROR(IF(AND(VLOOKUP($C4190,Hes!$A:$B, 1, FALSE), $M4190&lt;&gt;" "), "Ingresada", "Falta Ingresar"), " ")</f>
        <v>Falta Ingresar</v>
      </c>
      <c r="L4190" s="4" t="str">
        <f>IFERROR(VLOOKUP($C4190,Observaciones!$A:$B,2,FALSE)," ")</f>
        <v xml:space="preserve"> </v>
      </c>
      <c r="M4190" t="s">
        <v>681</v>
      </c>
      <c r="N4190" s="5" t="s">
        <v>841</v>
      </c>
      <c r="O4190" s="5">
        <v>30856390</v>
      </c>
      <c r="P4190" s="5">
        <v>53698</v>
      </c>
      <c r="Q4190" s="5">
        <v>10203</v>
      </c>
      <c r="R4190" s="5">
        <v>63901</v>
      </c>
    </row>
    <row r="4191" spans="1:18" x14ac:dyDescent="0.25">
      <c r="A4191" t="s">
        <v>1027</v>
      </c>
      <c r="B4191" t="s">
        <v>494</v>
      </c>
      <c r="C4191">
        <v>92475000</v>
      </c>
      <c r="D4191">
        <v>271</v>
      </c>
      <c r="E4191">
        <v>30856379</v>
      </c>
      <c r="F4191" t="s">
        <v>1596</v>
      </c>
      <c r="G4191" s="1">
        <v>45236</v>
      </c>
      <c r="H4191">
        <v>5413704</v>
      </c>
      <c r="I4191">
        <v>91</v>
      </c>
      <c r="J4191" t="s">
        <v>172</v>
      </c>
      <c r="K4191" s="8" t="str">
        <f>IFERROR(IF(AND(VLOOKUP($C4191,Hes!$A:$B, 1, FALSE), $M4191&lt;&gt;" "), "Ingresada", "Falta Ingresar"), " ")</f>
        <v>Falta Ingresar</v>
      </c>
      <c r="L4191" s="4" t="str">
        <f>IFERROR(VLOOKUP($C4191,Observaciones!$A:$B,2,FALSE)," ")</f>
        <v xml:space="preserve"> </v>
      </c>
      <c r="M4191" t="s">
        <v>681</v>
      </c>
      <c r="N4191" s="5" t="s">
        <v>841</v>
      </c>
      <c r="O4191" s="5">
        <v>30856379</v>
      </c>
      <c r="P4191" s="5">
        <v>75492</v>
      </c>
      <c r="Q4191" s="5">
        <v>14343</v>
      </c>
      <c r="R4191" s="5">
        <v>89835</v>
      </c>
    </row>
    <row r="4192" spans="1:18" x14ac:dyDescent="0.25">
      <c r="A4192" t="s">
        <v>1027</v>
      </c>
      <c r="B4192" t="s">
        <v>494</v>
      </c>
      <c r="C4192">
        <v>92475000</v>
      </c>
      <c r="D4192">
        <v>2640</v>
      </c>
      <c r="E4192">
        <v>30857980</v>
      </c>
      <c r="F4192" t="s">
        <v>1596</v>
      </c>
      <c r="G4192" s="1">
        <v>45236</v>
      </c>
      <c r="H4192">
        <v>5413706</v>
      </c>
      <c r="I4192">
        <v>91</v>
      </c>
      <c r="J4192" t="s">
        <v>172</v>
      </c>
      <c r="K4192" s="8" t="str">
        <f>IFERROR(IF(AND(VLOOKUP($C4192,Hes!$A:$B, 1, FALSE), $M4192&lt;&gt;" "), "Ingresada", "Falta Ingresar"), " ")</f>
        <v>Falta Ingresar</v>
      </c>
      <c r="L4192" s="4" t="str">
        <f>IFERROR(VLOOKUP($C4192,Observaciones!$A:$B,2,FALSE)," ")</f>
        <v xml:space="preserve"> </v>
      </c>
      <c r="M4192" t="s">
        <v>681</v>
      </c>
      <c r="N4192" s="5" t="s">
        <v>841</v>
      </c>
      <c r="O4192" s="5">
        <v>30857980</v>
      </c>
      <c r="P4192" s="5">
        <v>282416</v>
      </c>
      <c r="Q4192" s="5">
        <v>53659</v>
      </c>
      <c r="R4192" s="5">
        <v>336075</v>
      </c>
    </row>
    <row r="4193" spans="1:18" x14ac:dyDescent="0.25">
      <c r="A4193" t="s">
        <v>1027</v>
      </c>
      <c r="B4193" t="s">
        <v>494</v>
      </c>
      <c r="C4193">
        <v>92475000</v>
      </c>
      <c r="D4193">
        <v>33</v>
      </c>
      <c r="E4193">
        <v>30856444</v>
      </c>
      <c r="F4193" t="s">
        <v>1596</v>
      </c>
      <c r="G4193" s="1">
        <v>45236</v>
      </c>
      <c r="H4193">
        <v>5413707</v>
      </c>
      <c r="I4193">
        <v>91</v>
      </c>
      <c r="J4193" t="s">
        <v>172</v>
      </c>
      <c r="K4193" s="8" t="str">
        <f>IFERROR(IF(AND(VLOOKUP($C4193,Hes!$A:$B, 1, FALSE), $M4193&lt;&gt;" "), "Ingresada", "Falta Ingresar"), " ")</f>
        <v>Falta Ingresar</v>
      </c>
      <c r="L4193" s="4" t="str">
        <f>IFERROR(VLOOKUP($C4193,Observaciones!$A:$B,2,FALSE)," ")</f>
        <v xml:space="preserve"> </v>
      </c>
      <c r="M4193" t="s">
        <v>681</v>
      </c>
      <c r="N4193" s="5" t="s">
        <v>841</v>
      </c>
      <c r="O4193" s="5">
        <v>30856444</v>
      </c>
      <c r="P4193" s="5">
        <v>80794</v>
      </c>
      <c r="Q4193" s="5">
        <v>15351</v>
      </c>
      <c r="R4193" s="5">
        <v>96145</v>
      </c>
    </row>
    <row r="4194" spans="1:18" x14ac:dyDescent="0.25">
      <c r="A4194" t="s">
        <v>1027</v>
      </c>
      <c r="B4194" t="s">
        <v>494</v>
      </c>
      <c r="C4194">
        <v>92475000</v>
      </c>
      <c r="D4194">
        <v>185</v>
      </c>
      <c r="E4194">
        <v>30856526</v>
      </c>
      <c r="F4194" t="s">
        <v>1596</v>
      </c>
      <c r="G4194" s="1">
        <v>45236</v>
      </c>
      <c r="H4194">
        <v>5413733</v>
      </c>
      <c r="I4194">
        <v>91</v>
      </c>
      <c r="J4194" t="s">
        <v>172</v>
      </c>
      <c r="K4194" s="8" t="str">
        <f>IFERROR(IF(AND(VLOOKUP($C4194,Hes!$A:$B, 1, FALSE), $M4194&lt;&gt;" "), "Ingresada", "Falta Ingresar"), " ")</f>
        <v>Falta Ingresar</v>
      </c>
      <c r="L4194" s="4" t="str">
        <f>IFERROR(VLOOKUP($C4194,Observaciones!$A:$B,2,FALSE)," ")</f>
        <v xml:space="preserve"> </v>
      </c>
      <c r="M4194" t="s">
        <v>681</v>
      </c>
      <c r="N4194" s="5" t="s">
        <v>841</v>
      </c>
      <c r="O4194" s="5">
        <v>30856526</v>
      </c>
      <c r="P4194" s="5">
        <v>16392</v>
      </c>
      <c r="Q4194" s="5">
        <v>3114</v>
      </c>
      <c r="R4194" s="5">
        <v>19506</v>
      </c>
    </row>
    <row r="4195" spans="1:18" x14ac:dyDescent="0.25">
      <c r="A4195" t="s">
        <v>1027</v>
      </c>
      <c r="B4195" t="s">
        <v>494</v>
      </c>
      <c r="C4195">
        <v>92475000</v>
      </c>
      <c r="D4195">
        <v>183</v>
      </c>
      <c r="E4195">
        <v>30856842</v>
      </c>
      <c r="F4195" t="s">
        <v>1596</v>
      </c>
      <c r="G4195" s="1">
        <v>45236</v>
      </c>
      <c r="H4195">
        <v>5413752</v>
      </c>
      <c r="I4195">
        <v>91</v>
      </c>
      <c r="J4195" t="s">
        <v>172</v>
      </c>
      <c r="K4195" s="8" t="str">
        <f>IFERROR(IF(AND(VLOOKUP($C4195,Hes!$A:$B, 1, FALSE), $M4195&lt;&gt;" "), "Ingresada", "Falta Ingresar"), " ")</f>
        <v>Falta Ingresar</v>
      </c>
      <c r="L4195" s="4" t="str">
        <f>IFERROR(VLOOKUP($C4195,Observaciones!$A:$B,2,FALSE)," ")</f>
        <v xml:space="preserve"> </v>
      </c>
      <c r="M4195" t="s">
        <v>681</v>
      </c>
      <c r="N4195" s="5" t="s">
        <v>841</v>
      </c>
      <c r="O4195" s="5">
        <v>30856842</v>
      </c>
      <c r="P4195" s="5">
        <v>8574</v>
      </c>
      <c r="Q4195" s="5">
        <v>1629</v>
      </c>
      <c r="R4195" s="5">
        <v>10203</v>
      </c>
    </row>
    <row r="4196" spans="1:18" x14ac:dyDescent="0.25">
      <c r="A4196" t="s">
        <v>1027</v>
      </c>
      <c r="B4196" t="s">
        <v>494</v>
      </c>
      <c r="C4196">
        <v>92475000</v>
      </c>
      <c r="D4196">
        <v>294</v>
      </c>
      <c r="E4196">
        <v>30853497</v>
      </c>
      <c r="F4196" t="s">
        <v>1596</v>
      </c>
      <c r="G4196" s="1">
        <v>45236</v>
      </c>
      <c r="H4196">
        <v>5413787</v>
      </c>
      <c r="I4196">
        <v>91</v>
      </c>
      <c r="J4196" t="s">
        <v>172</v>
      </c>
      <c r="K4196" s="8" t="str">
        <f>IFERROR(IF(AND(VLOOKUP($C4196,Hes!$A:$B, 1, FALSE), $M4196&lt;&gt;" "), "Ingresada", "Falta Ingresar"), " ")</f>
        <v>Falta Ingresar</v>
      </c>
      <c r="L4196" s="4" t="str">
        <f>IFERROR(VLOOKUP($C4196,Observaciones!$A:$B,2,FALSE)," ")</f>
        <v xml:space="preserve"> </v>
      </c>
      <c r="M4196" t="s">
        <v>681</v>
      </c>
      <c r="N4196" s="5" t="s">
        <v>841</v>
      </c>
      <c r="O4196" s="5">
        <v>30853497</v>
      </c>
      <c r="P4196" s="5">
        <v>77471</v>
      </c>
      <c r="Q4196" s="5">
        <v>14719</v>
      </c>
      <c r="R4196" s="5">
        <v>97363</v>
      </c>
    </row>
    <row r="4197" spans="1:18" x14ac:dyDescent="0.25">
      <c r="A4197" t="s">
        <v>1027</v>
      </c>
      <c r="B4197" t="s">
        <v>494</v>
      </c>
      <c r="C4197">
        <v>92475000</v>
      </c>
      <c r="D4197">
        <v>134</v>
      </c>
      <c r="E4197">
        <v>30856354</v>
      </c>
      <c r="F4197" t="s">
        <v>1596</v>
      </c>
      <c r="G4197" s="1">
        <v>45236</v>
      </c>
      <c r="H4197">
        <v>5413810</v>
      </c>
      <c r="I4197">
        <v>91</v>
      </c>
      <c r="J4197" t="s">
        <v>172</v>
      </c>
      <c r="K4197" s="8" t="str">
        <f>IFERROR(IF(AND(VLOOKUP($C4197,Hes!$A:$B, 1, FALSE), $M4197&lt;&gt;" "), "Ingresada", "Falta Ingresar"), " ")</f>
        <v>Falta Ingresar</v>
      </c>
      <c r="L4197" s="4" t="str">
        <f>IFERROR(VLOOKUP($C4197,Observaciones!$A:$B,2,FALSE)," ")</f>
        <v xml:space="preserve"> </v>
      </c>
      <c r="M4197" t="s">
        <v>681</v>
      </c>
      <c r="N4197" s="5" t="s">
        <v>841</v>
      </c>
      <c r="O4197" s="5">
        <v>30856354</v>
      </c>
      <c r="P4197" s="5">
        <v>192205</v>
      </c>
      <c r="Q4197" s="5">
        <v>36519</v>
      </c>
      <c r="R4197" s="5">
        <v>235056</v>
      </c>
    </row>
    <row r="4198" spans="1:18" x14ac:dyDescent="0.25">
      <c r="A4198" t="s">
        <v>1027</v>
      </c>
      <c r="B4198" t="s">
        <v>494</v>
      </c>
      <c r="C4198">
        <v>92475000</v>
      </c>
      <c r="D4198">
        <v>2642</v>
      </c>
      <c r="E4198">
        <v>30857989</v>
      </c>
      <c r="F4198" t="s">
        <v>1596</v>
      </c>
      <c r="G4198" s="1">
        <v>45236</v>
      </c>
      <c r="H4198">
        <v>5413811</v>
      </c>
      <c r="I4198">
        <v>91</v>
      </c>
      <c r="J4198" t="s">
        <v>172</v>
      </c>
      <c r="K4198" s="8" t="str">
        <f>IFERROR(IF(AND(VLOOKUP($C4198,Hes!$A:$B, 1, FALSE), $M4198&lt;&gt;" "), "Ingresada", "Falta Ingresar"), " ")</f>
        <v>Falta Ingresar</v>
      </c>
      <c r="L4198" s="4" t="str">
        <f>IFERROR(VLOOKUP($C4198,Observaciones!$A:$B,2,FALSE)," ")</f>
        <v xml:space="preserve"> </v>
      </c>
      <c r="M4198" t="s">
        <v>681</v>
      </c>
      <c r="N4198" s="5" t="s">
        <v>841</v>
      </c>
      <c r="O4198" s="5">
        <v>30857989</v>
      </c>
      <c r="P4198" s="5">
        <v>53716</v>
      </c>
      <c r="Q4198" s="5">
        <v>10206</v>
      </c>
      <c r="R4198" s="5">
        <v>69195</v>
      </c>
    </row>
    <row r="4199" spans="1:18" x14ac:dyDescent="0.25">
      <c r="A4199" t="s">
        <v>1027</v>
      </c>
      <c r="B4199" t="s">
        <v>494</v>
      </c>
      <c r="C4199">
        <v>92475000</v>
      </c>
      <c r="D4199">
        <v>270</v>
      </c>
      <c r="E4199">
        <v>30857982</v>
      </c>
      <c r="F4199" t="s">
        <v>1596</v>
      </c>
      <c r="G4199" s="1">
        <v>45236</v>
      </c>
      <c r="H4199">
        <v>5413812</v>
      </c>
      <c r="I4199">
        <v>91</v>
      </c>
      <c r="J4199" t="s">
        <v>172</v>
      </c>
      <c r="K4199" s="8" t="str">
        <f>IFERROR(IF(AND(VLOOKUP($C4199,Hes!$A:$B, 1, FALSE), $M4199&lt;&gt;" "), "Ingresada", "Falta Ingresar"), " ")</f>
        <v>Falta Ingresar</v>
      </c>
      <c r="L4199" s="4" t="str">
        <f>IFERROR(VLOOKUP($C4199,Observaciones!$A:$B,2,FALSE)," ")</f>
        <v xml:space="preserve"> </v>
      </c>
      <c r="M4199" t="s">
        <v>681</v>
      </c>
      <c r="N4199" s="5" t="s">
        <v>841</v>
      </c>
      <c r="O4199" s="5">
        <v>30857982</v>
      </c>
      <c r="P4199" s="5">
        <v>9283</v>
      </c>
      <c r="Q4199" s="5">
        <v>1764</v>
      </c>
      <c r="R4199" s="5">
        <v>11047</v>
      </c>
    </row>
    <row r="4200" spans="1:18" x14ac:dyDescent="0.25">
      <c r="A4200" t="s">
        <v>1027</v>
      </c>
      <c r="B4200" t="s">
        <v>494</v>
      </c>
      <c r="C4200">
        <v>92475000</v>
      </c>
      <c r="D4200">
        <v>2642</v>
      </c>
      <c r="E4200">
        <v>30857979</v>
      </c>
      <c r="F4200" t="s">
        <v>1596</v>
      </c>
      <c r="G4200" s="1">
        <v>45236</v>
      </c>
      <c r="H4200">
        <v>5413815</v>
      </c>
      <c r="I4200">
        <v>91</v>
      </c>
      <c r="J4200" t="s">
        <v>172</v>
      </c>
      <c r="K4200" s="8" t="str">
        <f>IFERROR(IF(AND(VLOOKUP($C4200,Hes!$A:$B, 1, FALSE), $M4200&lt;&gt;" "), "Ingresada", "Falta Ingresar"), " ")</f>
        <v>Falta Ingresar</v>
      </c>
      <c r="L4200" s="4" t="str">
        <f>IFERROR(VLOOKUP($C4200,Observaciones!$A:$B,2,FALSE)," ")</f>
        <v xml:space="preserve"> </v>
      </c>
      <c r="M4200" t="s">
        <v>681</v>
      </c>
      <c r="N4200" s="5" t="s">
        <v>841</v>
      </c>
      <c r="O4200" s="5">
        <v>30857979</v>
      </c>
      <c r="P4200" s="5">
        <v>74496</v>
      </c>
      <c r="Q4200" s="5">
        <v>14154</v>
      </c>
      <c r="R4200" s="5">
        <v>88650</v>
      </c>
    </row>
    <row r="4201" spans="1:18" x14ac:dyDescent="0.25">
      <c r="A4201" t="s">
        <v>1027</v>
      </c>
      <c r="B4201" t="s">
        <v>494</v>
      </c>
      <c r="C4201">
        <v>92475000</v>
      </c>
      <c r="D4201">
        <v>89</v>
      </c>
      <c r="E4201">
        <v>30857977</v>
      </c>
      <c r="F4201" t="s">
        <v>1596</v>
      </c>
      <c r="G4201" s="1">
        <v>45236</v>
      </c>
      <c r="H4201">
        <v>5413827</v>
      </c>
      <c r="I4201">
        <v>91</v>
      </c>
      <c r="J4201" t="s">
        <v>172</v>
      </c>
      <c r="K4201" s="8" t="str">
        <f>IFERROR(IF(AND(VLOOKUP($C4201,Hes!$A:$B, 1, FALSE), $M4201&lt;&gt;" "), "Ingresada", "Falta Ingresar"), " ")</f>
        <v>Falta Ingresar</v>
      </c>
      <c r="L4201" s="4" t="str">
        <f>IFERROR(VLOOKUP($C4201,Observaciones!$A:$B,2,FALSE)," ")</f>
        <v xml:space="preserve"> </v>
      </c>
      <c r="M4201" t="s">
        <v>681</v>
      </c>
      <c r="N4201" s="5" t="s">
        <v>841</v>
      </c>
      <c r="O4201" s="5">
        <v>30857977</v>
      </c>
      <c r="P4201" s="5">
        <v>119146</v>
      </c>
      <c r="Q4201" s="5">
        <v>22638</v>
      </c>
      <c r="R4201" s="5">
        <v>141784</v>
      </c>
    </row>
    <row r="4202" spans="1:18" x14ac:dyDescent="0.25">
      <c r="A4202" t="s">
        <v>1027</v>
      </c>
      <c r="B4202" t="s">
        <v>494</v>
      </c>
      <c r="C4202">
        <v>92475000</v>
      </c>
      <c r="D4202">
        <v>32</v>
      </c>
      <c r="E4202">
        <v>30857964</v>
      </c>
      <c r="F4202" t="s">
        <v>1596</v>
      </c>
      <c r="G4202" s="1">
        <v>45236</v>
      </c>
      <c r="H4202">
        <v>5413843</v>
      </c>
      <c r="I4202">
        <v>91</v>
      </c>
      <c r="J4202" t="s">
        <v>172</v>
      </c>
      <c r="K4202" s="8" t="str">
        <f>IFERROR(IF(AND(VLOOKUP($C4202,Hes!$A:$B, 1, FALSE), $M4202&lt;&gt;" "), "Ingresada", "Falta Ingresar"), " ")</f>
        <v>Falta Ingresar</v>
      </c>
      <c r="L4202" s="4" t="str">
        <f>IFERROR(VLOOKUP($C4202,Observaciones!$A:$B,2,FALSE)," ")</f>
        <v xml:space="preserve"> </v>
      </c>
      <c r="M4202" t="s">
        <v>681</v>
      </c>
      <c r="N4202" s="5" t="s">
        <v>841</v>
      </c>
      <c r="O4202" s="5">
        <v>30857964</v>
      </c>
      <c r="P4202" s="5">
        <v>73157</v>
      </c>
      <c r="Q4202" s="5">
        <v>13900</v>
      </c>
      <c r="R4202" s="5">
        <v>87057</v>
      </c>
    </row>
    <row r="4203" spans="1:18" x14ac:dyDescent="0.25">
      <c r="A4203" t="s">
        <v>1027</v>
      </c>
      <c r="B4203" t="s">
        <v>494</v>
      </c>
      <c r="C4203">
        <v>92475000</v>
      </c>
      <c r="D4203">
        <v>129</v>
      </c>
      <c r="E4203">
        <v>30857968</v>
      </c>
      <c r="F4203" t="s">
        <v>1596</v>
      </c>
      <c r="G4203" s="1">
        <v>45236</v>
      </c>
      <c r="H4203">
        <v>5413856</v>
      </c>
      <c r="I4203">
        <v>91</v>
      </c>
      <c r="J4203" t="s">
        <v>172</v>
      </c>
      <c r="K4203" s="8" t="str">
        <f>IFERROR(IF(AND(VLOOKUP($C4203,Hes!$A:$B, 1, FALSE), $M4203&lt;&gt;" "), "Ingresada", "Falta Ingresar"), " ")</f>
        <v>Falta Ingresar</v>
      </c>
      <c r="L4203" s="4" t="str">
        <f>IFERROR(VLOOKUP($C4203,Observaciones!$A:$B,2,FALSE)," ")</f>
        <v xml:space="preserve"> </v>
      </c>
      <c r="M4203" t="s">
        <v>681</v>
      </c>
      <c r="N4203" s="5" t="s">
        <v>841</v>
      </c>
      <c r="O4203" s="5">
        <v>30857968</v>
      </c>
      <c r="P4203" s="5">
        <v>33584</v>
      </c>
      <c r="Q4203" s="5">
        <v>6381</v>
      </c>
      <c r="R4203" s="5">
        <v>39965</v>
      </c>
    </row>
    <row r="4204" spans="1:18" x14ac:dyDescent="0.25">
      <c r="A4204" t="s">
        <v>1027</v>
      </c>
      <c r="B4204" t="s">
        <v>494</v>
      </c>
      <c r="C4204">
        <v>92475000</v>
      </c>
      <c r="D4204">
        <v>168</v>
      </c>
      <c r="E4204">
        <v>30857991</v>
      </c>
      <c r="F4204" t="s">
        <v>1596</v>
      </c>
      <c r="G4204" s="1">
        <v>45236</v>
      </c>
      <c r="H4204">
        <v>5413858</v>
      </c>
      <c r="I4204">
        <v>91</v>
      </c>
      <c r="J4204" t="s">
        <v>172</v>
      </c>
      <c r="K4204" s="8" t="str">
        <f>IFERROR(IF(AND(VLOOKUP($C4204,Hes!$A:$B, 1, FALSE), $M4204&lt;&gt;" "), "Ingresada", "Falta Ingresar"), " ")</f>
        <v>Falta Ingresar</v>
      </c>
      <c r="L4204" s="4" t="str">
        <f>IFERROR(VLOOKUP($C4204,Observaciones!$A:$B,2,FALSE)," ")</f>
        <v xml:space="preserve"> </v>
      </c>
      <c r="M4204" t="s">
        <v>681</v>
      </c>
      <c r="N4204" s="5" t="s">
        <v>841</v>
      </c>
      <c r="O4204" s="5">
        <v>30857991</v>
      </c>
      <c r="P4204" s="5">
        <v>60709</v>
      </c>
      <c r="Q4204" s="5">
        <v>11535</v>
      </c>
      <c r="R4204" s="5">
        <v>72244</v>
      </c>
    </row>
    <row r="4205" spans="1:18" x14ac:dyDescent="0.25">
      <c r="A4205" t="s">
        <v>1027</v>
      </c>
      <c r="B4205" t="s">
        <v>494</v>
      </c>
      <c r="C4205">
        <v>92475000</v>
      </c>
      <c r="D4205">
        <v>2645</v>
      </c>
      <c r="E4205">
        <v>30856385</v>
      </c>
      <c r="F4205" t="s">
        <v>1596</v>
      </c>
      <c r="G4205" s="1">
        <v>45236</v>
      </c>
      <c r="H4205">
        <v>5413893</v>
      </c>
      <c r="I4205">
        <v>91</v>
      </c>
      <c r="J4205" t="s">
        <v>172</v>
      </c>
      <c r="K4205" s="8" t="str">
        <f>IFERROR(IF(AND(VLOOKUP($C4205,Hes!$A:$B, 1, FALSE), $M4205&lt;&gt;" "), "Ingresada", "Falta Ingresar"), " ")</f>
        <v>Falta Ingresar</v>
      </c>
      <c r="L4205" s="4" t="str">
        <f>IFERROR(VLOOKUP($C4205,Observaciones!$A:$B,2,FALSE)," ")</f>
        <v xml:space="preserve"> </v>
      </c>
      <c r="M4205" t="s">
        <v>681</v>
      </c>
      <c r="N4205" s="5" t="s">
        <v>841</v>
      </c>
      <c r="O4205" s="5">
        <v>30856385</v>
      </c>
      <c r="P4205" s="5">
        <v>7866</v>
      </c>
      <c r="Q4205" s="5">
        <v>1495</v>
      </c>
      <c r="R4205" s="5">
        <v>9361</v>
      </c>
    </row>
    <row r="4206" spans="1:18" x14ac:dyDescent="0.25">
      <c r="A4206" t="s">
        <v>1027</v>
      </c>
      <c r="B4206" t="s">
        <v>494</v>
      </c>
      <c r="C4206">
        <v>92475000</v>
      </c>
      <c r="D4206">
        <v>75</v>
      </c>
      <c r="E4206">
        <v>30856393</v>
      </c>
      <c r="F4206" t="s">
        <v>1596</v>
      </c>
      <c r="G4206" s="1">
        <v>45236</v>
      </c>
      <c r="H4206">
        <v>5413894</v>
      </c>
      <c r="I4206">
        <v>91</v>
      </c>
      <c r="J4206" t="s">
        <v>172</v>
      </c>
      <c r="K4206" s="8" t="str">
        <f>IFERROR(IF(AND(VLOOKUP($C4206,Hes!$A:$B, 1, FALSE), $M4206&lt;&gt;" "), "Ingresada", "Falta Ingresar"), " ")</f>
        <v>Falta Ingresar</v>
      </c>
      <c r="L4206" s="4" t="str">
        <f>IFERROR(VLOOKUP($C4206,Observaciones!$A:$B,2,FALSE)," ")</f>
        <v xml:space="preserve"> </v>
      </c>
      <c r="M4206" t="s">
        <v>681</v>
      </c>
      <c r="N4206" s="5" t="s">
        <v>841</v>
      </c>
      <c r="O4206" s="5">
        <v>30856393</v>
      </c>
      <c r="P4206" s="5">
        <v>23499</v>
      </c>
      <c r="Q4206" s="5">
        <v>4465</v>
      </c>
      <c r="R4206" s="5">
        <v>27964</v>
      </c>
    </row>
    <row r="4207" spans="1:18" x14ac:dyDescent="0.25">
      <c r="A4207" t="s">
        <v>1027</v>
      </c>
      <c r="B4207" t="s">
        <v>494</v>
      </c>
      <c r="C4207">
        <v>92475000</v>
      </c>
      <c r="D4207">
        <v>31</v>
      </c>
      <c r="E4207">
        <v>30856370</v>
      </c>
      <c r="F4207" t="s">
        <v>1596</v>
      </c>
      <c r="G4207" s="1">
        <v>45236</v>
      </c>
      <c r="H4207">
        <v>5413895</v>
      </c>
      <c r="I4207">
        <v>91</v>
      </c>
      <c r="J4207" t="s">
        <v>172</v>
      </c>
      <c r="K4207" s="8" t="str">
        <f>IFERROR(IF(AND(VLOOKUP($C4207,Hes!$A:$B, 1, FALSE), $M4207&lt;&gt;" "), "Ingresada", "Falta Ingresar"), " ")</f>
        <v>Falta Ingresar</v>
      </c>
      <c r="L4207" s="4" t="str">
        <f>IFERROR(VLOOKUP($C4207,Observaciones!$A:$B,2,FALSE)," ")</f>
        <v xml:space="preserve"> </v>
      </c>
      <c r="M4207" t="s">
        <v>681</v>
      </c>
      <c r="N4207" s="5" t="s">
        <v>841</v>
      </c>
      <c r="O4207" s="5">
        <v>30856370</v>
      </c>
      <c r="P4207" s="5">
        <v>303710</v>
      </c>
      <c r="Q4207" s="5">
        <v>57705</v>
      </c>
      <c r="R4207" s="5">
        <v>361415</v>
      </c>
    </row>
    <row r="4208" spans="1:18" x14ac:dyDescent="0.25">
      <c r="A4208" t="s">
        <v>1027</v>
      </c>
      <c r="B4208" t="s">
        <v>494</v>
      </c>
      <c r="C4208">
        <v>92475000</v>
      </c>
      <c r="D4208">
        <v>31</v>
      </c>
      <c r="E4208">
        <v>30856848</v>
      </c>
      <c r="F4208" t="s">
        <v>1596</v>
      </c>
      <c r="G4208" s="1">
        <v>45236</v>
      </c>
      <c r="H4208">
        <v>5413897</v>
      </c>
      <c r="I4208">
        <v>91</v>
      </c>
      <c r="J4208" t="s">
        <v>172</v>
      </c>
      <c r="K4208" s="8" t="str">
        <f>IFERROR(IF(AND(VLOOKUP($C4208,Hes!$A:$B, 1, FALSE), $M4208&lt;&gt;" "), "Ingresada", "Falta Ingresar"), " ")</f>
        <v>Falta Ingresar</v>
      </c>
      <c r="L4208" s="4" t="str">
        <f>IFERROR(VLOOKUP($C4208,Observaciones!$A:$B,2,FALSE)," ")</f>
        <v xml:space="preserve"> </v>
      </c>
      <c r="M4208" t="s">
        <v>681</v>
      </c>
      <c r="N4208" s="5" t="s">
        <v>841</v>
      </c>
      <c r="O4208" s="5">
        <v>30856848</v>
      </c>
      <c r="P4208" s="5">
        <v>56483</v>
      </c>
      <c r="Q4208" s="5">
        <v>10732</v>
      </c>
      <c r="R4208" s="5">
        <v>67215</v>
      </c>
    </row>
    <row r="4209" spans="1:18" x14ac:dyDescent="0.25">
      <c r="A4209" t="s">
        <v>1027</v>
      </c>
      <c r="B4209" t="s">
        <v>494</v>
      </c>
      <c r="C4209">
        <v>92475000</v>
      </c>
      <c r="D4209">
        <v>114</v>
      </c>
      <c r="E4209">
        <v>30857973</v>
      </c>
      <c r="F4209" t="s">
        <v>1596</v>
      </c>
      <c r="G4209" s="1">
        <v>45236</v>
      </c>
      <c r="H4209">
        <v>5413898</v>
      </c>
      <c r="I4209">
        <v>91</v>
      </c>
      <c r="J4209" t="s">
        <v>172</v>
      </c>
      <c r="K4209" s="8" t="str">
        <f>IFERROR(IF(AND(VLOOKUP($C4209,Hes!$A:$B, 1, FALSE), $M4209&lt;&gt;" "), "Ingresada", "Falta Ingresar"), " ")</f>
        <v>Falta Ingresar</v>
      </c>
      <c r="L4209" s="4" t="str">
        <f>IFERROR(VLOOKUP($C4209,Observaciones!$A:$B,2,FALSE)," ")</f>
        <v xml:space="preserve"> </v>
      </c>
      <c r="M4209" t="s">
        <v>681</v>
      </c>
      <c r="N4209" s="5" t="s">
        <v>841</v>
      </c>
      <c r="O4209" s="5">
        <v>30857973</v>
      </c>
      <c r="P4209" s="5">
        <v>94856</v>
      </c>
      <c r="Q4209" s="5">
        <v>18023</v>
      </c>
      <c r="R4209" s="5">
        <v>112879</v>
      </c>
    </row>
    <row r="4210" spans="1:18" x14ac:dyDescent="0.25">
      <c r="A4210" t="s">
        <v>1027</v>
      </c>
      <c r="B4210" t="s">
        <v>494</v>
      </c>
      <c r="C4210">
        <v>92475000</v>
      </c>
      <c r="D4210">
        <v>115</v>
      </c>
      <c r="E4210">
        <v>30857967</v>
      </c>
      <c r="F4210" t="s">
        <v>1596</v>
      </c>
      <c r="G4210" s="1">
        <v>45236</v>
      </c>
      <c r="H4210">
        <v>5413901</v>
      </c>
      <c r="I4210">
        <v>91</v>
      </c>
      <c r="J4210" t="s">
        <v>172</v>
      </c>
      <c r="K4210" s="8" t="str">
        <f>IFERROR(IF(AND(VLOOKUP($C4210,Hes!$A:$B, 1, FALSE), $M4210&lt;&gt;" "), "Ingresada", "Falta Ingresar"), " ")</f>
        <v>Falta Ingresar</v>
      </c>
      <c r="L4210" s="4" t="str">
        <f>IFERROR(VLOOKUP($C4210,Observaciones!$A:$B,2,FALSE)," ")</f>
        <v xml:space="preserve"> </v>
      </c>
      <c r="M4210" t="s">
        <v>681</v>
      </c>
      <c r="N4210" s="5" t="s">
        <v>841</v>
      </c>
      <c r="O4210" s="5">
        <v>30857967</v>
      </c>
      <c r="P4210" s="5">
        <v>125622</v>
      </c>
      <c r="Q4210" s="5">
        <v>23868</v>
      </c>
      <c r="R4210" s="5">
        <v>149490</v>
      </c>
    </row>
    <row r="4211" spans="1:18" x14ac:dyDescent="0.25">
      <c r="A4211" t="s">
        <v>1027</v>
      </c>
      <c r="B4211" t="s">
        <v>494</v>
      </c>
      <c r="C4211">
        <v>92475000</v>
      </c>
      <c r="D4211">
        <v>116</v>
      </c>
      <c r="E4211">
        <v>30857975</v>
      </c>
      <c r="F4211" t="s">
        <v>1596</v>
      </c>
      <c r="G4211" s="1">
        <v>45236</v>
      </c>
      <c r="H4211">
        <v>5413903</v>
      </c>
      <c r="I4211">
        <v>91</v>
      </c>
      <c r="J4211" t="s">
        <v>172</v>
      </c>
      <c r="K4211" s="8" t="str">
        <f>IFERROR(IF(AND(VLOOKUP($C4211,Hes!$A:$B, 1, FALSE), $M4211&lt;&gt;" "), "Ingresada", "Falta Ingresar"), " ")</f>
        <v>Falta Ingresar</v>
      </c>
      <c r="L4211" s="4" t="str">
        <f>IFERROR(VLOOKUP($C4211,Observaciones!$A:$B,2,FALSE)," ")</f>
        <v xml:space="preserve"> </v>
      </c>
      <c r="M4211" t="s">
        <v>681</v>
      </c>
      <c r="N4211" s="5" t="s">
        <v>841</v>
      </c>
      <c r="O4211" s="5">
        <v>30857975</v>
      </c>
      <c r="P4211" s="5">
        <v>94856</v>
      </c>
      <c r="Q4211" s="5">
        <v>18023</v>
      </c>
      <c r="R4211" s="5">
        <v>112879</v>
      </c>
    </row>
    <row r="4212" spans="1:18" x14ac:dyDescent="0.25">
      <c r="A4212" t="s">
        <v>1027</v>
      </c>
      <c r="B4212" t="s">
        <v>494</v>
      </c>
      <c r="C4212">
        <v>92475000</v>
      </c>
      <c r="D4212">
        <v>118</v>
      </c>
      <c r="E4212">
        <v>30857966</v>
      </c>
      <c r="F4212" t="s">
        <v>1596</v>
      </c>
      <c r="G4212" s="1">
        <v>45236</v>
      </c>
      <c r="H4212">
        <v>5413905</v>
      </c>
      <c r="I4212">
        <v>91</v>
      </c>
      <c r="J4212" t="s">
        <v>172</v>
      </c>
      <c r="K4212" s="8" t="str">
        <f>IFERROR(IF(AND(VLOOKUP($C4212,Hes!$A:$B, 1, FALSE), $M4212&lt;&gt;" "), "Ingresada", "Falta Ingresar"), " ")</f>
        <v>Falta Ingresar</v>
      </c>
      <c r="L4212" s="4" t="str">
        <f>IFERROR(VLOOKUP($C4212,Observaciones!$A:$B,2,FALSE)," ")</f>
        <v xml:space="preserve"> </v>
      </c>
      <c r="M4212" t="s">
        <v>681</v>
      </c>
      <c r="N4212" s="5" t="s">
        <v>841</v>
      </c>
      <c r="O4212" s="5">
        <v>30857966</v>
      </c>
      <c r="P4212" s="5">
        <v>521879</v>
      </c>
      <c r="Q4212" s="5">
        <v>99157</v>
      </c>
      <c r="R4212" s="5">
        <v>621036</v>
      </c>
    </row>
    <row r="4213" spans="1:18" x14ac:dyDescent="0.25">
      <c r="A4213" t="s">
        <v>1027</v>
      </c>
      <c r="B4213" t="s">
        <v>494</v>
      </c>
      <c r="C4213">
        <v>92475000</v>
      </c>
      <c r="D4213">
        <v>117</v>
      </c>
      <c r="E4213">
        <v>30857963</v>
      </c>
      <c r="F4213" t="s">
        <v>1596</v>
      </c>
      <c r="G4213" s="1">
        <v>45236</v>
      </c>
      <c r="H4213">
        <v>5413906</v>
      </c>
      <c r="I4213">
        <v>91</v>
      </c>
      <c r="J4213" t="s">
        <v>172</v>
      </c>
      <c r="K4213" s="8" t="str">
        <f>IFERROR(IF(AND(VLOOKUP($C4213,Hes!$A:$B, 1, FALSE), $M4213&lt;&gt;" "), "Ingresada", "Falta Ingresar"), " ")</f>
        <v>Falta Ingresar</v>
      </c>
      <c r="L4213" s="4" t="str">
        <f>IFERROR(VLOOKUP($C4213,Observaciones!$A:$B,2,FALSE)," ")</f>
        <v xml:space="preserve"> </v>
      </c>
      <c r="M4213" t="s">
        <v>681</v>
      </c>
      <c r="N4213" s="5" t="s">
        <v>841</v>
      </c>
      <c r="O4213" s="5">
        <v>30857963</v>
      </c>
      <c r="P4213" s="5">
        <v>521879</v>
      </c>
      <c r="Q4213" s="5">
        <v>99157</v>
      </c>
      <c r="R4213" s="5">
        <v>621036</v>
      </c>
    </row>
    <row r="4214" spans="1:18" x14ac:dyDescent="0.25">
      <c r="A4214" t="s">
        <v>1027</v>
      </c>
      <c r="B4214" t="s">
        <v>494</v>
      </c>
      <c r="C4214">
        <v>92475000</v>
      </c>
      <c r="D4214">
        <v>119</v>
      </c>
      <c r="E4214">
        <v>30857970</v>
      </c>
      <c r="F4214" t="s">
        <v>1596</v>
      </c>
      <c r="G4214" s="1">
        <v>45236</v>
      </c>
      <c r="H4214">
        <v>5413908</v>
      </c>
      <c r="I4214">
        <v>91</v>
      </c>
      <c r="J4214" t="s">
        <v>172</v>
      </c>
      <c r="K4214" s="8" t="str">
        <f>IFERROR(IF(AND(VLOOKUP($C4214,Hes!$A:$B, 1, FALSE), $M4214&lt;&gt;" "), "Ingresada", "Falta Ingresar"), " ")</f>
        <v>Falta Ingresar</v>
      </c>
      <c r="L4214" s="4" t="str">
        <f>IFERROR(VLOOKUP($C4214,Observaciones!$A:$B,2,FALSE)," ")</f>
        <v xml:space="preserve"> </v>
      </c>
      <c r="M4214" t="s">
        <v>681</v>
      </c>
      <c r="N4214" s="5" t="s">
        <v>841</v>
      </c>
      <c r="O4214" s="5">
        <v>30857970</v>
      </c>
      <c r="P4214" s="5">
        <v>131403</v>
      </c>
      <c r="Q4214" s="5">
        <v>24967</v>
      </c>
      <c r="R4214" s="5">
        <v>156370</v>
      </c>
    </row>
    <row r="4215" spans="1:18" x14ac:dyDescent="0.25">
      <c r="A4215" t="s">
        <v>1027</v>
      </c>
      <c r="B4215" t="s">
        <v>494</v>
      </c>
      <c r="C4215">
        <v>92475000</v>
      </c>
      <c r="D4215">
        <v>113</v>
      </c>
      <c r="E4215">
        <v>30856839</v>
      </c>
      <c r="F4215" t="s">
        <v>1596</v>
      </c>
      <c r="G4215" s="1">
        <v>45237</v>
      </c>
      <c r="H4215">
        <v>5413919</v>
      </c>
      <c r="I4215">
        <v>91</v>
      </c>
      <c r="J4215" t="s">
        <v>172</v>
      </c>
      <c r="K4215" s="8" t="str">
        <f>IFERROR(IF(AND(VLOOKUP($C4215,Hes!$A:$B, 1, FALSE), $M4215&lt;&gt;" "), "Ingresada", "Falta Ingresar"), " ")</f>
        <v>Falta Ingresar</v>
      </c>
      <c r="L4215" s="4" t="str">
        <f>IFERROR(VLOOKUP($C4215,Observaciones!$A:$B,2,FALSE)," ")</f>
        <v xml:space="preserve"> </v>
      </c>
      <c r="M4215" t="s">
        <v>681</v>
      </c>
      <c r="N4215" s="5" t="s">
        <v>841</v>
      </c>
      <c r="O4215" s="5">
        <v>30856839</v>
      </c>
      <c r="P4215" s="5">
        <v>126455</v>
      </c>
      <c r="Q4215" s="5">
        <v>24026</v>
      </c>
      <c r="R4215" s="5">
        <v>150481</v>
      </c>
    </row>
    <row r="4216" spans="1:18" x14ac:dyDescent="0.25">
      <c r="A4216" t="s">
        <v>1027</v>
      </c>
      <c r="B4216" t="s">
        <v>494</v>
      </c>
      <c r="C4216">
        <v>92475000</v>
      </c>
      <c r="D4216">
        <v>120</v>
      </c>
      <c r="E4216">
        <v>30856345</v>
      </c>
      <c r="F4216" t="s">
        <v>1596</v>
      </c>
      <c r="G4216" s="1">
        <v>45237</v>
      </c>
      <c r="H4216">
        <v>5413920</v>
      </c>
      <c r="I4216">
        <v>91</v>
      </c>
      <c r="J4216" t="s">
        <v>172</v>
      </c>
      <c r="K4216" s="8" t="str">
        <f>IFERROR(IF(AND(VLOOKUP($C4216,Hes!$A:$B, 1, FALSE), $M4216&lt;&gt;" "), "Ingresada", "Falta Ingresar"), " ")</f>
        <v>Falta Ingresar</v>
      </c>
      <c r="L4216" s="4" t="str">
        <f>IFERROR(VLOOKUP($C4216,Observaciones!$A:$B,2,FALSE)," ")</f>
        <v xml:space="preserve"> </v>
      </c>
      <c r="M4216" t="s">
        <v>681</v>
      </c>
      <c r="N4216" s="5" t="s">
        <v>841</v>
      </c>
      <c r="O4216" s="5">
        <v>30856345</v>
      </c>
      <c r="P4216" s="5">
        <v>139575</v>
      </c>
      <c r="Q4216" s="5">
        <v>26519</v>
      </c>
      <c r="R4216" s="5">
        <v>166094</v>
      </c>
    </row>
    <row r="4217" spans="1:18" x14ac:dyDescent="0.25">
      <c r="A4217" t="s">
        <v>1027</v>
      </c>
      <c r="B4217" t="s">
        <v>494</v>
      </c>
      <c r="C4217">
        <v>92475000</v>
      </c>
      <c r="D4217">
        <v>172</v>
      </c>
      <c r="E4217">
        <v>30856348</v>
      </c>
      <c r="F4217" t="s">
        <v>1596</v>
      </c>
      <c r="G4217" s="1">
        <v>45237</v>
      </c>
      <c r="H4217">
        <v>5413921</v>
      </c>
      <c r="I4217">
        <v>91</v>
      </c>
      <c r="J4217" t="s">
        <v>172</v>
      </c>
      <c r="K4217" s="8" t="str">
        <f>IFERROR(IF(AND(VLOOKUP($C4217,Hes!$A:$B, 1, FALSE), $M4217&lt;&gt;" "), "Ingresada", "Falta Ingresar"), " ")</f>
        <v>Falta Ingresar</v>
      </c>
      <c r="L4217" s="4" t="str">
        <f>IFERROR(VLOOKUP($C4217,Observaciones!$A:$B,2,FALSE)," ")</f>
        <v xml:space="preserve"> </v>
      </c>
      <c r="M4217" t="s">
        <v>681</v>
      </c>
      <c r="N4217" s="5" t="s">
        <v>841</v>
      </c>
      <c r="O4217" s="5">
        <v>30856348</v>
      </c>
      <c r="P4217" s="5">
        <v>10204</v>
      </c>
      <c r="Q4217" s="5">
        <v>1939</v>
      </c>
      <c r="R4217" s="5">
        <v>12143</v>
      </c>
    </row>
    <row r="4218" spans="1:18" x14ac:dyDescent="0.25">
      <c r="A4218" t="s">
        <v>1027</v>
      </c>
      <c r="B4218" t="s">
        <v>494</v>
      </c>
      <c r="C4218">
        <v>92475000</v>
      </c>
      <c r="D4218">
        <v>172</v>
      </c>
      <c r="E4218">
        <v>30856824</v>
      </c>
      <c r="F4218" t="s">
        <v>1596</v>
      </c>
      <c r="G4218" s="1">
        <v>45237</v>
      </c>
      <c r="H4218">
        <v>5413922</v>
      </c>
      <c r="I4218">
        <v>91</v>
      </c>
      <c r="J4218" t="s">
        <v>172</v>
      </c>
      <c r="K4218" s="8" t="str">
        <f>IFERROR(IF(AND(VLOOKUP($C4218,Hes!$A:$B, 1, FALSE), $M4218&lt;&gt;" "), "Ingresada", "Falta Ingresar"), " ")</f>
        <v>Falta Ingresar</v>
      </c>
      <c r="L4218" s="4" t="str">
        <f>IFERROR(VLOOKUP($C4218,Observaciones!$A:$B,2,FALSE)," ")</f>
        <v xml:space="preserve"> </v>
      </c>
      <c r="M4218" t="s">
        <v>681</v>
      </c>
      <c r="N4218" s="5" t="s">
        <v>841</v>
      </c>
      <c r="O4218" s="5">
        <v>30856824</v>
      </c>
      <c r="P4218" s="5">
        <v>10204</v>
      </c>
      <c r="Q4218" s="5">
        <v>1939</v>
      </c>
      <c r="R4218" s="5">
        <v>12143</v>
      </c>
    </row>
    <row r="4219" spans="1:18" x14ac:dyDescent="0.25">
      <c r="A4219" t="s">
        <v>1027</v>
      </c>
      <c r="B4219" t="s">
        <v>494</v>
      </c>
      <c r="C4219">
        <v>92475000</v>
      </c>
      <c r="D4219">
        <v>284</v>
      </c>
      <c r="E4219">
        <v>30856529</v>
      </c>
      <c r="F4219" t="s">
        <v>1596</v>
      </c>
      <c r="G4219" s="1">
        <v>45237</v>
      </c>
      <c r="H4219">
        <v>5413979</v>
      </c>
      <c r="I4219">
        <v>91</v>
      </c>
      <c r="J4219" t="s">
        <v>172</v>
      </c>
      <c r="K4219" s="8" t="str">
        <f>IFERROR(IF(AND(VLOOKUP($C4219,Hes!$A:$B, 1, FALSE), $M4219&lt;&gt;" "), "Ingresada", "Falta Ingresar"), " ")</f>
        <v>Falta Ingresar</v>
      </c>
      <c r="L4219" s="4" t="str">
        <f>IFERROR(VLOOKUP($C4219,Observaciones!$A:$B,2,FALSE)," ")</f>
        <v xml:space="preserve"> </v>
      </c>
      <c r="M4219" t="s">
        <v>681</v>
      </c>
      <c r="N4219" s="5" t="s">
        <v>841</v>
      </c>
      <c r="O4219" s="5">
        <v>30856529</v>
      </c>
      <c r="P4219" s="5">
        <v>14265</v>
      </c>
      <c r="Q4219" s="5">
        <v>2710</v>
      </c>
      <c r="R4219" s="5">
        <v>16975</v>
      </c>
    </row>
    <row r="4220" spans="1:18" x14ac:dyDescent="0.25">
      <c r="A4220" t="s">
        <v>1027</v>
      </c>
      <c r="B4220" t="s">
        <v>494</v>
      </c>
      <c r="C4220">
        <v>92475000</v>
      </c>
      <c r="D4220">
        <v>2646</v>
      </c>
      <c r="E4220">
        <v>30856527</v>
      </c>
      <c r="F4220" t="s">
        <v>1596</v>
      </c>
      <c r="G4220" s="1">
        <v>45237</v>
      </c>
      <c r="H4220">
        <v>5413981</v>
      </c>
      <c r="I4220">
        <v>91</v>
      </c>
      <c r="J4220" t="s">
        <v>172</v>
      </c>
      <c r="K4220" s="8" t="str">
        <f>IFERROR(IF(AND(VLOOKUP($C4220,Hes!$A:$B, 1, FALSE), $M4220&lt;&gt;" "), "Ingresada", "Falta Ingresar"), " ")</f>
        <v>Falta Ingresar</v>
      </c>
      <c r="L4220" s="4" t="str">
        <f>IFERROR(VLOOKUP($C4220,Observaciones!$A:$B,2,FALSE)," ")</f>
        <v xml:space="preserve"> </v>
      </c>
      <c r="M4220" t="s">
        <v>681</v>
      </c>
      <c r="N4220" s="5" t="s">
        <v>841</v>
      </c>
      <c r="O4220" s="5">
        <v>30856527</v>
      </c>
      <c r="P4220" s="5">
        <v>11959</v>
      </c>
      <c r="Q4220" s="5">
        <v>2272</v>
      </c>
      <c r="R4220" s="5">
        <v>14231</v>
      </c>
    </row>
    <row r="4221" spans="1:18" x14ac:dyDescent="0.25">
      <c r="A4221" t="s">
        <v>1027</v>
      </c>
      <c r="B4221" t="s">
        <v>494</v>
      </c>
      <c r="C4221">
        <v>92475000</v>
      </c>
      <c r="D4221">
        <v>282</v>
      </c>
      <c r="E4221">
        <v>30856538</v>
      </c>
      <c r="F4221" t="s">
        <v>1596</v>
      </c>
      <c r="G4221" s="1">
        <v>45237</v>
      </c>
      <c r="H4221">
        <v>5413982</v>
      </c>
      <c r="I4221">
        <v>91</v>
      </c>
      <c r="J4221" t="s">
        <v>172</v>
      </c>
      <c r="K4221" s="8" t="str">
        <f>IFERROR(IF(AND(VLOOKUP($C4221,Hes!$A:$B, 1, FALSE), $M4221&lt;&gt;" "), "Ingresada", "Falta Ingresar"), " ")</f>
        <v>Falta Ingresar</v>
      </c>
      <c r="L4221" s="4" t="str">
        <f>IFERROR(VLOOKUP($C4221,Observaciones!$A:$B,2,FALSE)," ")</f>
        <v xml:space="preserve"> </v>
      </c>
      <c r="M4221" t="s">
        <v>681</v>
      </c>
      <c r="N4221" s="5" t="s">
        <v>841</v>
      </c>
      <c r="O4221" s="5">
        <v>30856538</v>
      </c>
      <c r="P4221" s="5">
        <v>23560</v>
      </c>
      <c r="Q4221" s="5">
        <v>4476</v>
      </c>
      <c r="R4221" s="5">
        <v>28036</v>
      </c>
    </row>
    <row r="4222" spans="1:18" x14ac:dyDescent="0.25">
      <c r="A4222" t="s">
        <v>1027</v>
      </c>
      <c r="B4222" t="s">
        <v>494</v>
      </c>
      <c r="C4222">
        <v>92475000</v>
      </c>
      <c r="D4222">
        <v>12</v>
      </c>
      <c r="E4222">
        <v>30856531</v>
      </c>
      <c r="F4222" t="s">
        <v>1596</v>
      </c>
      <c r="G4222" s="1">
        <v>45237</v>
      </c>
      <c r="H4222">
        <v>5413984</v>
      </c>
      <c r="I4222">
        <v>91</v>
      </c>
      <c r="J4222" t="s">
        <v>172</v>
      </c>
      <c r="K4222" s="8" t="str">
        <f>IFERROR(IF(AND(VLOOKUP($C4222,Hes!$A:$B, 1, FALSE), $M4222&lt;&gt;" "), "Ingresada", "Falta Ingresar"), " ")</f>
        <v>Falta Ingresar</v>
      </c>
      <c r="L4222" s="4" t="str">
        <f>IFERROR(VLOOKUP($C4222,Observaciones!$A:$B,2,FALSE)," ")</f>
        <v xml:space="preserve"> </v>
      </c>
      <c r="M4222" t="s">
        <v>681</v>
      </c>
      <c r="N4222" s="5" t="s">
        <v>841</v>
      </c>
      <c r="O4222" s="5">
        <v>30856531</v>
      </c>
      <c r="P4222" s="5">
        <v>68520</v>
      </c>
      <c r="Q4222" s="5">
        <v>13019</v>
      </c>
      <c r="R4222" s="5">
        <v>81539</v>
      </c>
    </row>
    <row r="4223" spans="1:18" x14ac:dyDescent="0.25">
      <c r="A4223" t="s">
        <v>1027</v>
      </c>
      <c r="B4223" t="s">
        <v>494</v>
      </c>
      <c r="C4223">
        <v>92475000</v>
      </c>
      <c r="D4223">
        <v>13</v>
      </c>
      <c r="E4223">
        <v>30856351</v>
      </c>
      <c r="F4223" t="s">
        <v>1596</v>
      </c>
      <c r="G4223" s="1">
        <v>45237</v>
      </c>
      <c r="H4223">
        <v>5413985</v>
      </c>
      <c r="I4223">
        <v>91</v>
      </c>
      <c r="J4223" t="s">
        <v>172</v>
      </c>
      <c r="K4223" s="8" t="str">
        <f>IFERROR(IF(AND(VLOOKUP($C4223,Hes!$A:$B, 1, FALSE), $M4223&lt;&gt;" "), "Ingresada", "Falta Ingresar"), " ")</f>
        <v>Falta Ingresar</v>
      </c>
      <c r="L4223" s="4" t="str">
        <f>IFERROR(VLOOKUP($C4223,Observaciones!$A:$B,2,FALSE)," ")</f>
        <v xml:space="preserve"> </v>
      </c>
      <c r="M4223" t="s">
        <v>681</v>
      </c>
      <c r="N4223" s="5" t="s">
        <v>841</v>
      </c>
      <c r="O4223" s="5">
        <v>30856351</v>
      </c>
      <c r="P4223" s="5">
        <v>24723</v>
      </c>
      <c r="Q4223" s="5">
        <v>4697</v>
      </c>
      <c r="R4223" s="5">
        <v>29420</v>
      </c>
    </row>
    <row r="4224" spans="1:18" x14ac:dyDescent="0.25">
      <c r="A4224" t="s">
        <v>1027</v>
      </c>
      <c r="B4224" t="s">
        <v>494</v>
      </c>
      <c r="C4224">
        <v>92475000</v>
      </c>
      <c r="D4224">
        <v>275</v>
      </c>
      <c r="E4224">
        <v>30856343</v>
      </c>
      <c r="F4224" t="s">
        <v>1596</v>
      </c>
      <c r="G4224" s="1">
        <v>45237</v>
      </c>
      <c r="H4224">
        <v>5413986</v>
      </c>
      <c r="I4224">
        <v>91</v>
      </c>
      <c r="J4224" t="s">
        <v>172</v>
      </c>
      <c r="K4224" s="8" t="str">
        <f>IFERROR(IF(AND(VLOOKUP($C4224,Hes!$A:$B, 1, FALSE), $M4224&lt;&gt;" "), "Ingresada", "Falta Ingresar"), " ")</f>
        <v>Falta Ingresar</v>
      </c>
      <c r="L4224" s="4" t="str">
        <f>IFERROR(VLOOKUP($C4224,Observaciones!$A:$B,2,FALSE)," ")</f>
        <v xml:space="preserve"> </v>
      </c>
      <c r="M4224" t="s">
        <v>681</v>
      </c>
      <c r="N4224" s="5" t="s">
        <v>841</v>
      </c>
      <c r="O4224" s="5">
        <v>30856343</v>
      </c>
      <c r="P4224" s="5">
        <v>20163</v>
      </c>
      <c r="Q4224" s="5">
        <v>3831</v>
      </c>
      <c r="R4224" s="5">
        <v>23994</v>
      </c>
    </row>
    <row r="4225" spans="1:18" x14ac:dyDescent="0.25">
      <c r="A4225" t="s">
        <v>1027</v>
      </c>
      <c r="B4225" t="s">
        <v>494</v>
      </c>
      <c r="C4225">
        <v>92475000</v>
      </c>
      <c r="D4225">
        <v>93</v>
      </c>
      <c r="E4225">
        <v>30856533</v>
      </c>
      <c r="F4225" t="s">
        <v>1596</v>
      </c>
      <c r="G4225" s="1">
        <v>45237</v>
      </c>
      <c r="H4225">
        <v>5413987</v>
      </c>
      <c r="I4225">
        <v>91</v>
      </c>
      <c r="J4225" t="s">
        <v>172</v>
      </c>
      <c r="K4225" s="8" t="str">
        <f>IFERROR(IF(AND(VLOOKUP($C4225,Hes!$A:$B, 1, FALSE), $M4225&lt;&gt;" "), "Ingresada", "Falta Ingresar"), " ")</f>
        <v>Falta Ingresar</v>
      </c>
      <c r="L4225" s="4" t="str">
        <f>IFERROR(VLOOKUP($C4225,Observaciones!$A:$B,2,FALSE)," ")</f>
        <v xml:space="preserve"> </v>
      </c>
      <c r="M4225" t="s">
        <v>681</v>
      </c>
      <c r="N4225" s="5" t="s">
        <v>841</v>
      </c>
      <c r="O4225" s="5">
        <v>30856533</v>
      </c>
      <c r="P4225" s="5">
        <v>52053</v>
      </c>
      <c r="Q4225" s="5">
        <v>9890</v>
      </c>
      <c r="R4225" s="5">
        <v>61943</v>
      </c>
    </row>
    <row r="4226" spans="1:18" x14ac:dyDescent="0.25">
      <c r="A4226" t="s">
        <v>1027</v>
      </c>
      <c r="B4226" t="s">
        <v>494</v>
      </c>
      <c r="C4226">
        <v>92475000</v>
      </c>
      <c r="D4226">
        <v>34</v>
      </c>
      <c r="E4226">
        <v>30859378</v>
      </c>
      <c r="F4226" t="s">
        <v>1596</v>
      </c>
      <c r="G4226" s="1">
        <v>45237</v>
      </c>
      <c r="H4226">
        <v>5414002</v>
      </c>
      <c r="I4226">
        <v>91</v>
      </c>
      <c r="J4226" t="s">
        <v>172</v>
      </c>
      <c r="K4226" s="8" t="str">
        <f>IFERROR(IF(AND(VLOOKUP($C4226,Hes!$A:$B, 1, FALSE), $M4226&lt;&gt;" "), "Ingresada", "Falta Ingresar"), " ")</f>
        <v>Falta Ingresar</v>
      </c>
      <c r="L4226" s="4" t="str">
        <f>IFERROR(VLOOKUP($C4226,Observaciones!$A:$B,2,FALSE)," ")</f>
        <v xml:space="preserve"> </v>
      </c>
      <c r="M4226" t="s">
        <v>681</v>
      </c>
      <c r="N4226" s="5" t="s">
        <v>841</v>
      </c>
      <c r="O4226" s="5">
        <v>30859378</v>
      </c>
      <c r="P4226" s="5">
        <v>29751</v>
      </c>
      <c r="Q4226" s="5">
        <v>5653</v>
      </c>
      <c r="R4226" s="5">
        <v>35404</v>
      </c>
    </row>
    <row r="4227" spans="1:18" x14ac:dyDescent="0.25">
      <c r="A4227" t="s">
        <v>1027</v>
      </c>
      <c r="B4227" t="s">
        <v>494</v>
      </c>
      <c r="C4227">
        <v>92475000</v>
      </c>
      <c r="D4227">
        <v>170</v>
      </c>
      <c r="E4227">
        <v>30859499</v>
      </c>
      <c r="F4227" t="s">
        <v>1596</v>
      </c>
      <c r="G4227" s="1">
        <v>45237</v>
      </c>
      <c r="H4227">
        <v>5414088</v>
      </c>
      <c r="I4227">
        <v>91</v>
      </c>
      <c r="J4227" t="s">
        <v>172</v>
      </c>
      <c r="K4227" s="8" t="str">
        <f>IFERROR(IF(AND(VLOOKUP($C4227,Hes!$A:$B, 1, FALSE), $M4227&lt;&gt;" "), "Ingresada", "Falta Ingresar"), " ")</f>
        <v>Falta Ingresar</v>
      </c>
      <c r="L4227" s="4" t="str">
        <f>IFERROR(VLOOKUP($C4227,Observaciones!$A:$B,2,FALSE)," ")</f>
        <v xml:space="preserve"> </v>
      </c>
      <c r="M4227" t="s">
        <v>681</v>
      </c>
      <c r="N4227" s="5" t="s">
        <v>841</v>
      </c>
      <c r="O4227" s="5">
        <v>30859499</v>
      </c>
      <c r="P4227" s="5">
        <v>37030</v>
      </c>
      <c r="Q4227" s="5">
        <v>7036</v>
      </c>
      <c r="R4227" s="5">
        <v>44066</v>
      </c>
    </row>
    <row r="4228" spans="1:18" x14ac:dyDescent="0.25">
      <c r="A4228" t="s">
        <v>1027</v>
      </c>
      <c r="B4228" t="s">
        <v>494</v>
      </c>
      <c r="C4228">
        <v>92475000</v>
      </c>
      <c r="D4228">
        <v>138</v>
      </c>
      <c r="E4228">
        <v>30859564</v>
      </c>
      <c r="F4228" t="s">
        <v>1596</v>
      </c>
      <c r="G4228" s="1">
        <v>45237</v>
      </c>
      <c r="H4228">
        <v>5414136</v>
      </c>
      <c r="I4228">
        <v>91</v>
      </c>
      <c r="J4228" t="s">
        <v>172</v>
      </c>
      <c r="K4228" s="8" t="str">
        <f>IFERROR(IF(AND(VLOOKUP($C4228,Hes!$A:$B, 1, FALSE), $M4228&lt;&gt;" "), "Ingresada", "Falta Ingresar"), " ")</f>
        <v>Falta Ingresar</v>
      </c>
      <c r="L4228" s="4" t="str">
        <f>IFERROR(VLOOKUP($C4228,Observaciones!$A:$B,2,FALSE)," ")</f>
        <v xml:space="preserve"> </v>
      </c>
      <c r="M4228" t="s">
        <v>681</v>
      </c>
      <c r="N4228" s="5" t="s">
        <v>841</v>
      </c>
      <c r="O4228" s="5">
        <v>30859564</v>
      </c>
      <c r="P4228" s="5">
        <v>49820</v>
      </c>
      <c r="Q4228" s="5">
        <v>9466</v>
      </c>
      <c r="R4228" s="5">
        <v>59286</v>
      </c>
    </row>
    <row r="4229" spans="1:18" x14ac:dyDescent="0.25">
      <c r="A4229" t="s">
        <v>1027</v>
      </c>
      <c r="B4229" t="s">
        <v>494</v>
      </c>
      <c r="C4229">
        <v>92475000</v>
      </c>
      <c r="D4229">
        <v>140</v>
      </c>
      <c r="E4229">
        <v>30859557</v>
      </c>
      <c r="F4229" t="s">
        <v>1596</v>
      </c>
      <c r="G4229" s="1">
        <v>45237</v>
      </c>
      <c r="H4229">
        <v>5414142</v>
      </c>
      <c r="I4229">
        <v>91</v>
      </c>
      <c r="J4229" t="s">
        <v>172</v>
      </c>
      <c r="K4229" s="8" t="str">
        <f>IFERROR(IF(AND(VLOOKUP($C4229,Hes!$A:$B, 1, FALSE), $M4229&lt;&gt;" "), "Ingresada", "Falta Ingresar"), " ")</f>
        <v>Falta Ingresar</v>
      </c>
      <c r="L4229" s="4" t="str">
        <f>IFERROR(VLOOKUP($C4229,Observaciones!$A:$B,2,FALSE)," ")</f>
        <v xml:space="preserve"> </v>
      </c>
      <c r="M4229" t="s">
        <v>681</v>
      </c>
      <c r="N4229" s="5" t="s">
        <v>841</v>
      </c>
      <c r="O4229" s="5">
        <v>30859557</v>
      </c>
      <c r="P4229" s="5">
        <v>18998</v>
      </c>
      <c r="Q4229" s="5">
        <v>3610</v>
      </c>
      <c r="R4229" s="5">
        <v>22608</v>
      </c>
    </row>
    <row r="4230" spans="1:18" x14ac:dyDescent="0.25">
      <c r="A4230" t="s">
        <v>1027</v>
      </c>
      <c r="B4230" t="s">
        <v>494</v>
      </c>
      <c r="C4230">
        <v>92475000</v>
      </c>
      <c r="D4230">
        <v>144</v>
      </c>
      <c r="E4230">
        <v>30859579</v>
      </c>
      <c r="F4230" t="s">
        <v>1596</v>
      </c>
      <c r="G4230" s="1">
        <v>45237</v>
      </c>
      <c r="H4230">
        <v>5414144</v>
      </c>
      <c r="I4230">
        <v>91</v>
      </c>
      <c r="J4230" t="s">
        <v>172</v>
      </c>
      <c r="K4230" s="8" t="str">
        <f>IFERROR(IF(AND(VLOOKUP($C4230,Hes!$A:$B, 1, FALSE), $M4230&lt;&gt;" "), "Ingresada", "Falta Ingresar"), " ")</f>
        <v>Falta Ingresar</v>
      </c>
      <c r="L4230" s="4" t="str">
        <f>IFERROR(VLOOKUP($C4230,Observaciones!$A:$B,2,FALSE)," ")</f>
        <v xml:space="preserve"> </v>
      </c>
      <c r="M4230" t="s">
        <v>681</v>
      </c>
      <c r="N4230" s="5" t="s">
        <v>841</v>
      </c>
      <c r="O4230" s="5">
        <v>30859579</v>
      </c>
      <c r="P4230" s="5">
        <v>22949</v>
      </c>
      <c r="Q4230" s="5">
        <v>4360</v>
      </c>
      <c r="R4230" s="5">
        <v>27309</v>
      </c>
    </row>
    <row r="4231" spans="1:18" x14ac:dyDescent="0.25">
      <c r="A4231" t="s">
        <v>1027</v>
      </c>
      <c r="B4231" t="s">
        <v>494</v>
      </c>
      <c r="C4231">
        <v>92475000</v>
      </c>
      <c r="D4231">
        <v>112</v>
      </c>
      <c r="E4231">
        <v>30859588</v>
      </c>
      <c r="F4231" t="s">
        <v>1596</v>
      </c>
      <c r="G4231" s="1">
        <v>45237</v>
      </c>
      <c r="H4231">
        <v>5414146</v>
      </c>
      <c r="I4231">
        <v>91</v>
      </c>
      <c r="J4231" t="s">
        <v>172</v>
      </c>
      <c r="K4231" s="8" t="str">
        <f>IFERROR(IF(AND(VLOOKUP($C4231,Hes!$A:$B, 1, FALSE), $M4231&lt;&gt;" "), "Ingresada", "Falta Ingresar"), " ")</f>
        <v>Falta Ingresar</v>
      </c>
      <c r="L4231" s="4" t="str">
        <f>IFERROR(VLOOKUP($C4231,Observaciones!$A:$B,2,FALSE)," ")</f>
        <v xml:space="preserve"> </v>
      </c>
      <c r="M4231" t="s">
        <v>681</v>
      </c>
      <c r="N4231" s="5" t="s">
        <v>841</v>
      </c>
      <c r="O4231" s="5">
        <v>30859588</v>
      </c>
      <c r="P4231" s="5">
        <v>95422</v>
      </c>
      <c r="Q4231" s="5">
        <v>18130</v>
      </c>
      <c r="R4231" s="5">
        <v>113552</v>
      </c>
    </row>
    <row r="4232" spans="1:18" x14ac:dyDescent="0.25">
      <c r="A4232" t="s">
        <v>1027</v>
      </c>
      <c r="B4232" t="s">
        <v>494</v>
      </c>
      <c r="C4232">
        <v>92475000</v>
      </c>
      <c r="D4232">
        <v>15</v>
      </c>
      <c r="E4232">
        <v>30861038</v>
      </c>
      <c r="F4232" t="s">
        <v>1596</v>
      </c>
      <c r="G4232" s="1">
        <v>45237</v>
      </c>
      <c r="H4232">
        <v>5414265</v>
      </c>
      <c r="I4232">
        <v>91</v>
      </c>
      <c r="J4232" t="s">
        <v>172</v>
      </c>
      <c r="K4232" s="8" t="str">
        <f>IFERROR(IF(AND(VLOOKUP($C4232,Hes!$A:$B, 1, FALSE), $M4232&lt;&gt;" "), "Ingresada", "Falta Ingresar"), " ")</f>
        <v>Falta Ingresar</v>
      </c>
      <c r="L4232" s="4" t="str">
        <f>IFERROR(VLOOKUP($C4232,Observaciones!$A:$B,2,FALSE)," ")</f>
        <v xml:space="preserve"> </v>
      </c>
      <c r="M4232" t="s">
        <v>681</v>
      </c>
      <c r="N4232" s="5" t="s">
        <v>841</v>
      </c>
      <c r="O4232" s="5">
        <v>30861038</v>
      </c>
      <c r="P4232" s="5">
        <v>62055</v>
      </c>
      <c r="Q4232" s="5">
        <v>11790</v>
      </c>
      <c r="R4232" s="5">
        <v>73845</v>
      </c>
    </row>
    <row r="4233" spans="1:18" x14ac:dyDescent="0.25">
      <c r="A4233" t="s">
        <v>1027</v>
      </c>
      <c r="B4233" t="s">
        <v>494</v>
      </c>
      <c r="C4233">
        <v>92475000</v>
      </c>
      <c r="D4233">
        <v>169</v>
      </c>
      <c r="E4233">
        <v>30859527</v>
      </c>
      <c r="F4233" t="s">
        <v>1596</v>
      </c>
      <c r="G4233" s="1">
        <v>45237</v>
      </c>
      <c r="H4233">
        <v>5414286</v>
      </c>
      <c r="I4233">
        <v>91</v>
      </c>
      <c r="J4233" t="s">
        <v>172</v>
      </c>
      <c r="K4233" s="8" t="str">
        <f>IFERROR(IF(AND(VLOOKUP($C4233,Hes!$A:$B, 1, FALSE), $M4233&lt;&gt;" "), "Ingresada", "Falta Ingresar"), " ")</f>
        <v>Falta Ingresar</v>
      </c>
      <c r="L4233" s="4" t="str">
        <f>IFERROR(VLOOKUP($C4233,Observaciones!$A:$B,2,FALSE)," ")</f>
        <v xml:space="preserve"> </v>
      </c>
      <c r="M4233" t="s">
        <v>681</v>
      </c>
      <c r="N4233" s="5" t="s">
        <v>841</v>
      </c>
      <c r="O4233" s="5">
        <v>30859527</v>
      </c>
      <c r="P4233" s="5">
        <v>198590</v>
      </c>
      <c r="Q4233" s="5">
        <v>37732</v>
      </c>
      <c r="R4233" s="5">
        <v>236322</v>
      </c>
    </row>
    <row r="4234" spans="1:18" x14ac:dyDescent="0.25">
      <c r="A4234" t="s">
        <v>1027</v>
      </c>
      <c r="B4234" t="s">
        <v>494</v>
      </c>
      <c r="C4234">
        <v>92475000</v>
      </c>
      <c r="D4234">
        <v>233</v>
      </c>
      <c r="E4234">
        <v>30859463</v>
      </c>
      <c r="F4234" t="s">
        <v>1596</v>
      </c>
      <c r="G4234" s="1">
        <v>45237</v>
      </c>
      <c r="H4234">
        <v>5414321</v>
      </c>
      <c r="I4234">
        <v>91</v>
      </c>
      <c r="J4234" t="s">
        <v>172</v>
      </c>
      <c r="K4234" s="8" t="str">
        <f>IFERROR(IF(AND(VLOOKUP($C4234,Hes!$A:$B, 1, FALSE), $M4234&lt;&gt;" "), "Ingresada", "Falta Ingresar"), " ")</f>
        <v>Falta Ingresar</v>
      </c>
      <c r="L4234" s="4" t="str">
        <f>IFERROR(VLOOKUP($C4234,Observaciones!$A:$B,2,FALSE)," ")</f>
        <v xml:space="preserve"> </v>
      </c>
      <c r="M4234" t="s">
        <v>681</v>
      </c>
      <c r="N4234" s="5" t="s">
        <v>841</v>
      </c>
      <c r="O4234" s="5">
        <v>30859463</v>
      </c>
      <c r="P4234" s="5">
        <v>10813</v>
      </c>
      <c r="Q4234" s="5">
        <v>2054</v>
      </c>
      <c r="R4234" s="5">
        <v>12867</v>
      </c>
    </row>
    <row r="4235" spans="1:18" x14ac:dyDescent="0.25">
      <c r="A4235" t="s">
        <v>1027</v>
      </c>
      <c r="B4235" t="s">
        <v>494</v>
      </c>
      <c r="C4235">
        <v>92475000</v>
      </c>
      <c r="D4235">
        <v>223</v>
      </c>
      <c r="E4235">
        <v>30861040</v>
      </c>
      <c r="F4235" t="s">
        <v>1596</v>
      </c>
      <c r="G4235" s="1">
        <v>45237</v>
      </c>
      <c r="H4235">
        <v>5414367</v>
      </c>
      <c r="I4235">
        <v>91</v>
      </c>
      <c r="J4235" t="s">
        <v>172</v>
      </c>
      <c r="K4235" s="8" t="str">
        <f>IFERROR(IF(AND(VLOOKUP($C4235,Hes!$A:$B, 1, FALSE), $M4235&lt;&gt;" "), "Ingresada", "Falta Ingresar"), " ")</f>
        <v>Falta Ingresar</v>
      </c>
      <c r="L4235" s="4" t="str">
        <f>IFERROR(VLOOKUP($C4235,Observaciones!$A:$B,2,FALSE)," ")</f>
        <v xml:space="preserve"> </v>
      </c>
      <c r="M4235" t="s">
        <v>681</v>
      </c>
      <c r="N4235" s="5" t="s">
        <v>841</v>
      </c>
      <c r="O4235" s="5">
        <v>30861040</v>
      </c>
      <c r="P4235" s="5">
        <v>9820</v>
      </c>
      <c r="Q4235" s="5">
        <v>1866</v>
      </c>
      <c r="R4235" s="5">
        <v>11686</v>
      </c>
    </row>
    <row r="4236" spans="1:18" x14ac:dyDescent="0.25">
      <c r="A4236" t="s">
        <v>1027</v>
      </c>
      <c r="B4236" t="s">
        <v>494</v>
      </c>
      <c r="C4236">
        <v>92475000</v>
      </c>
      <c r="D4236">
        <v>181</v>
      </c>
      <c r="E4236">
        <v>30861048</v>
      </c>
      <c r="F4236" t="s">
        <v>1596</v>
      </c>
      <c r="G4236" s="1">
        <v>45237</v>
      </c>
      <c r="H4236">
        <v>5414407</v>
      </c>
      <c r="I4236">
        <v>91</v>
      </c>
      <c r="J4236" t="s">
        <v>172</v>
      </c>
      <c r="K4236" s="8" t="str">
        <f>IFERROR(IF(AND(VLOOKUP($C4236,Hes!$A:$B, 1, FALSE), $M4236&lt;&gt;" "), "Ingresada", "Falta Ingresar"), " ")</f>
        <v>Falta Ingresar</v>
      </c>
      <c r="L4236" s="4" t="str">
        <f>IFERROR(VLOOKUP($C4236,Observaciones!$A:$B,2,FALSE)," ")</f>
        <v xml:space="preserve"> </v>
      </c>
      <c r="M4236" t="s">
        <v>681</v>
      </c>
      <c r="N4236" s="5" t="s">
        <v>841</v>
      </c>
      <c r="O4236" s="5">
        <v>30861048</v>
      </c>
      <c r="P4236" s="5">
        <v>153034</v>
      </c>
      <c r="Q4236" s="5">
        <v>29076</v>
      </c>
      <c r="R4236" s="5">
        <v>182110</v>
      </c>
    </row>
    <row r="4237" spans="1:18" x14ac:dyDescent="0.25">
      <c r="A4237" t="s">
        <v>1027</v>
      </c>
      <c r="B4237" t="s">
        <v>494</v>
      </c>
      <c r="C4237">
        <v>92475000</v>
      </c>
      <c r="D4237">
        <v>275</v>
      </c>
      <c r="E4237">
        <v>30861032</v>
      </c>
      <c r="F4237" t="s">
        <v>1596</v>
      </c>
      <c r="G4237" s="1">
        <v>45237</v>
      </c>
      <c r="H4237">
        <v>5414498</v>
      </c>
      <c r="I4237">
        <v>91</v>
      </c>
      <c r="J4237" t="s">
        <v>172</v>
      </c>
      <c r="K4237" s="8" t="str">
        <f>IFERROR(IF(AND(VLOOKUP($C4237,Hes!$A:$B, 1, FALSE), $M4237&lt;&gt;" "), "Ingresada", "Falta Ingresar"), " ")</f>
        <v>Falta Ingresar</v>
      </c>
      <c r="L4237" s="4" t="str">
        <f>IFERROR(VLOOKUP($C4237,Observaciones!$A:$B,2,FALSE)," ")</f>
        <v xml:space="preserve"> </v>
      </c>
      <c r="M4237" t="s">
        <v>681</v>
      </c>
      <c r="N4237" s="5" t="s">
        <v>841</v>
      </c>
      <c r="O4237" s="5">
        <v>30861032</v>
      </c>
      <c r="P4237" s="5">
        <v>33792</v>
      </c>
      <c r="Q4237" s="5">
        <v>6420</v>
      </c>
      <c r="R4237" s="5">
        <v>40212</v>
      </c>
    </row>
    <row r="4238" spans="1:18" x14ac:dyDescent="0.25">
      <c r="A4238" t="s">
        <v>1027</v>
      </c>
      <c r="B4238" t="s">
        <v>494</v>
      </c>
      <c r="C4238">
        <v>92475000</v>
      </c>
      <c r="D4238">
        <v>121</v>
      </c>
      <c r="E4238">
        <v>30861049</v>
      </c>
      <c r="F4238" t="s">
        <v>1596</v>
      </c>
      <c r="G4238" s="1">
        <v>45238</v>
      </c>
      <c r="H4238">
        <v>5414572</v>
      </c>
      <c r="I4238">
        <v>91</v>
      </c>
      <c r="J4238" t="s">
        <v>172</v>
      </c>
      <c r="K4238" s="8" t="str">
        <f>IFERROR(IF(AND(VLOOKUP($C4238,Hes!$A:$B, 1, FALSE), $M4238&lt;&gt;" "), "Ingresada", "Falta Ingresar"), " ")</f>
        <v>Falta Ingresar</v>
      </c>
      <c r="L4238" s="4" t="str">
        <f>IFERROR(VLOOKUP($C4238,Observaciones!$A:$B,2,FALSE)," ")</f>
        <v xml:space="preserve"> </v>
      </c>
      <c r="M4238" t="s">
        <v>681</v>
      </c>
      <c r="N4238" s="5" t="s">
        <v>841</v>
      </c>
      <c r="O4238" s="5">
        <v>30861049</v>
      </c>
      <c r="P4238" s="5">
        <v>117416</v>
      </c>
      <c r="Q4238" s="5">
        <v>22309</v>
      </c>
      <c r="R4238" s="5">
        <v>139725</v>
      </c>
    </row>
    <row r="4239" spans="1:18" x14ac:dyDescent="0.25">
      <c r="A4239" t="s">
        <v>1027</v>
      </c>
      <c r="B4239" t="s">
        <v>494</v>
      </c>
      <c r="C4239">
        <v>92475000</v>
      </c>
      <c r="D4239">
        <v>108</v>
      </c>
      <c r="E4239">
        <v>30857141</v>
      </c>
      <c r="F4239" t="s">
        <v>1596</v>
      </c>
      <c r="G4239" s="1">
        <v>45238</v>
      </c>
      <c r="H4239">
        <v>5414577</v>
      </c>
      <c r="I4239">
        <v>91</v>
      </c>
      <c r="J4239" t="s">
        <v>172</v>
      </c>
      <c r="K4239" s="8" t="str">
        <f>IFERROR(IF(AND(VLOOKUP($C4239,Hes!$A:$B, 1, FALSE), $M4239&lt;&gt;" "), "Ingresada", "Falta Ingresar"), " ")</f>
        <v>Falta Ingresar</v>
      </c>
      <c r="L4239" s="4" t="str">
        <f>IFERROR(VLOOKUP($C4239,Observaciones!$A:$B,2,FALSE)," ")</f>
        <v xml:space="preserve"> </v>
      </c>
      <c r="M4239" t="s">
        <v>681</v>
      </c>
      <c r="N4239" s="5" t="s">
        <v>841</v>
      </c>
      <c r="O4239" s="5">
        <v>30857141</v>
      </c>
      <c r="P4239" s="5">
        <v>62816</v>
      </c>
      <c r="Q4239" s="5">
        <v>11935</v>
      </c>
      <c r="R4239" s="5">
        <v>74751</v>
      </c>
    </row>
    <row r="4240" spans="1:18" x14ac:dyDescent="0.25">
      <c r="A4240" t="s">
        <v>1027</v>
      </c>
      <c r="B4240" t="s">
        <v>494</v>
      </c>
      <c r="C4240">
        <v>92475000</v>
      </c>
      <c r="D4240">
        <v>60</v>
      </c>
      <c r="E4240">
        <v>30856427</v>
      </c>
      <c r="F4240" t="s">
        <v>1596</v>
      </c>
      <c r="G4240" s="1">
        <v>45238</v>
      </c>
      <c r="H4240">
        <v>5414602</v>
      </c>
      <c r="I4240">
        <v>91</v>
      </c>
      <c r="J4240" t="s">
        <v>172</v>
      </c>
      <c r="K4240" s="8" t="str">
        <f>IFERROR(IF(AND(VLOOKUP($C4240,Hes!$A:$B, 1, FALSE), $M4240&lt;&gt;" "), "Ingresada", "Falta Ingresar"), " ")</f>
        <v>Falta Ingresar</v>
      </c>
      <c r="L4240" s="4" t="str">
        <f>IFERROR(VLOOKUP($C4240,Observaciones!$A:$B,2,FALSE)," ")</f>
        <v xml:space="preserve"> </v>
      </c>
      <c r="M4240" t="s">
        <v>681</v>
      </c>
      <c r="N4240" s="5" t="s">
        <v>841</v>
      </c>
      <c r="O4240" s="5">
        <v>30856427</v>
      </c>
      <c r="P4240" s="5">
        <v>73369</v>
      </c>
      <c r="Q4240" s="5">
        <v>13940</v>
      </c>
      <c r="R4240" s="5">
        <v>89166</v>
      </c>
    </row>
    <row r="4241" spans="1:18" x14ac:dyDescent="0.25">
      <c r="A4241" t="s">
        <v>1027</v>
      </c>
      <c r="B4241" t="s">
        <v>494</v>
      </c>
      <c r="C4241">
        <v>92475000</v>
      </c>
      <c r="D4241">
        <v>111</v>
      </c>
      <c r="E4241">
        <v>30861055</v>
      </c>
      <c r="F4241" t="s">
        <v>1596</v>
      </c>
      <c r="G4241" s="1">
        <v>45238</v>
      </c>
      <c r="H4241">
        <v>5414627</v>
      </c>
      <c r="I4241">
        <v>91</v>
      </c>
      <c r="J4241" t="s">
        <v>172</v>
      </c>
      <c r="K4241" s="8" t="str">
        <f>IFERROR(IF(AND(VLOOKUP($C4241,Hes!$A:$B, 1, FALSE), $M4241&lt;&gt;" "), "Ingresada", "Falta Ingresar"), " ")</f>
        <v>Falta Ingresar</v>
      </c>
      <c r="L4241" s="4" t="str">
        <f>IFERROR(VLOOKUP($C4241,Observaciones!$A:$B,2,FALSE)," ")</f>
        <v xml:space="preserve"> </v>
      </c>
      <c r="M4241" t="s">
        <v>681</v>
      </c>
      <c r="N4241" s="5" t="s">
        <v>841</v>
      </c>
      <c r="O4241" s="5">
        <v>30861055</v>
      </c>
      <c r="P4241" s="5">
        <v>258031</v>
      </c>
      <c r="Q4241" s="5">
        <v>49026</v>
      </c>
      <c r="R4241" s="5">
        <v>307057</v>
      </c>
    </row>
    <row r="4242" spans="1:18" x14ac:dyDescent="0.25">
      <c r="A4242" t="s">
        <v>1027</v>
      </c>
      <c r="B4242" t="s">
        <v>494</v>
      </c>
      <c r="C4242">
        <v>92475000</v>
      </c>
      <c r="D4242">
        <v>58</v>
      </c>
      <c r="E4242">
        <v>30861053</v>
      </c>
      <c r="F4242" t="s">
        <v>1596</v>
      </c>
      <c r="G4242" s="1">
        <v>45238</v>
      </c>
      <c r="H4242">
        <v>5414657</v>
      </c>
      <c r="I4242">
        <v>91</v>
      </c>
      <c r="J4242" t="s">
        <v>172</v>
      </c>
      <c r="K4242" s="8" t="str">
        <f>IFERROR(IF(AND(VLOOKUP($C4242,Hes!$A:$B, 1, FALSE), $M4242&lt;&gt;" "), "Ingresada", "Falta Ingresar"), " ")</f>
        <v>Falta Ingresar</v>
      </c>
      <c r="L4242" s="4" t="str">
        <f>IFERROR(VLOOKUP($C4242,Observaciones!$A:$B,2,FALSE)," ")</f>
        <v xml:space="preserve"> </v>
      </c>
      <c r="M4242" t="s">
        <v>681</v>
      </c>
      <c r="N4242" s="5" t="s">
        <v>841</v>
      </c>
      <c r="O4242" s="5">
        <v>30861053</v>
      </c>
      <c r="P4242" s="5">
        <v>53820</v>
      </c>
      <c r="Q4242" s="5">
        <v>10226</v>
      </c>
      <c r="R4242" s="5">
        <v>64046</v>
      </c>
    </row>
    <row r="4243" spans="1:18" x14ac:dyDescent="0.25">
      <c r="A4243" t="s">
        <v>1027</v>
      </c>
      <c r="B4243" t="s">
        <v>494</v>
      </c>
      <c r="C4243">
        <v>92475000</v>
      </c>
      <c r="D4243">
        <v>94</v>
      </c>
      <c r="E4243">
        <v>30862871</v>
      </c>
      <c r="F4243" t="s">
        <v>1596</v>
      </c>
      <c r="G4243" s="1">
        <v>45238</v>
      </c>
      <c r="H4243">
        <v>5414745</v>
      </c>
      <c r="I4243">
        <v>91</v>
      </c>
      <c r="J4243" t="s">
        <v>172</v>
      </c>
      <c r="K4243" s="8" t="str">
        <f>IFERROR(IF(AND(VLOOKUP($C4243,Hes!$A:$B, 1, FALSE), $M4243&lt;&gt;" "), "Ingresada", "Falta Ingresar"), " ")</f>
        <v>Falta Ingresar</v>
      </c>
      <c r="L4243" s="4" t="str">
        <f>IFERROR(VLOOKUP($C4243,Observaciones!$A:$B,2,FALSE)," ")</f>
        <v xml:space="preserve"> </v>
      </c>
      <c r="M4243" t="s">
        <v>681</v>
      </c>
      <c r="N4243" s="5" t="s">
        <v>841</v>
      </c>
      <c r="O4243" s="5">
        <v>30862871</v>
      </c>
      <c r="P4243" s="5">
        <v>24958</v>
      </c>
      <c r="Q4243" s="5">
        <v>4742</v>
      </c>
      <c r="R4243" s="5">
        <v>29700</v>
      </c>
    </row>
    <row r="4244" spans="1:18" x14ac:dyDescent="0.25">
      <c r="A4244" t="s">
        <v>1027</v>
      </c>
      <c r="B4244" t="s">
        <v>494</v>
      </c>
      <c r="C4244">
        <v>92475000</v>
      </c>
      <c r="D4244">
        <v>147</v>
      </c>
      <c r="E4244">
        <v>30859585</v>
      </c>
      <c r="F4244" t="s">
        <v>1596</v>
      </c>
      <c r="G4244" s="1">
        <v>45237</v>
      </c>
      <c r="H4244">
        <v>5414766</v>
      </c>
      <c r="I4244">
        <v>91</v>
      </c>
      <c r="J4244" t="s">
        <v>172</v>
      </c>
      <c r="K4244" s="8" t="str">
        <f>IFERROR(IF(AND(VLOOKUP($C4244,Hes!$A:$B, 1, FALSE), $M4244&lt;&gt;" "), "Ingresada", "Falta Ingresar"), " ")</f>
        <v>Falta Ingresar</v>
      </c>
      <c r="L4244" s="4" t="str">
        <f>IFERROR(VLOOKUP($C4244,Observaciones!$A:$B,2,FALSE)," ")</f>
        <v xml:space="preserve"> </v>
      </c>
      <c r="M4244" t="s">
        <v>681</v>
      </c>
      <c r="N4244" s="5" t="s">
        <v>841</v>
      </c>
      <c r="O4244" s="5">
        <v>30859585</v>
      </c>
      <c r="P4244" s="5">
        <v>126730</v>
      </c>
      <c r="Q4244" s="5">
        <v>24079</v>
      </c>
      <c r="R4244" s="5">
        <v>150809</v>
      </c>
    </row>
    <row r="4245" spans="1:18" x14ac:dyDescent="0.25">
      <c r="A4245" t="s">
        <v>1027</v>
      </c>
      <c r="B4245" t="s">
        <v>494</v>
      </c>
      <c r="C4245">
        <v>92475000</v>
      </c>
      <c r="D4245">
        <v>127</v>
      </c>
      <c r="E4245">
        <v>30859568</v>
      </c>
      <c r="F4245" t="s">
        <v>1596</v>
      </c>
      <c r="G4245" s="1">
        <v>45237</v>
      </c>
      <c r="H4245">
        <v>5414785</v>
      </c>
      <c r="I4245">
        <v>91</v>
      </c>
      <c r="J4245" t="s">
        <v>172</v>
      </c>
      <c r="K4245" s="8" t="str">
        <f>IFERROR(IF(AND(VLOOKUP($C4245,Hes!$A:$B, 1, FALSE), $M4245&lt;&gt;" "), "Ingresada", "Falta Ingresar"), " ")</f>
        <v>Falta Ingresar</v>
      </c>
      <c r="L4245" s="4" t="str">
        <f>IFERROR(VLOOKUP($C4245,Observaciones!$A:$B,2,FALSE)," ")</f>
        <v xml:space="preserve"> </v>
      </c>
      <c r="M4245" t="s">
        <v>681</v>
      </c>
      <c r="N4245" s="5" t="s">
        <v>841</v>
      </c>
      <c r="O4245" s="5">
        <v>30859568</v>
      </c>
      <c r="P4245" s="5">
        <v>111830</v>
      </c>
      <c r="Q4245" s="5">
        <v>21248</v>
      </c>
      <c r="R4245" s="5">
        <v>133078</v>
      </c>
    </row>
    <row r="4246" spans="1:18" x14ac:dyDescent="0.25">
      <c r="A4246" t="s">
        <v>1027</v>
      </c>
      <c r="B4246" t="s">
        <v>494</v>
      </c>
      <c r="C4246">
        <v>92475000</v>
      </c>
      <c r="D4246">
        <v>110</v>
      </c>
      <c r="E4246">
        <v>30862875</v>
      </c>
      <c r="F4246" t="s">
        <v>1596</v>
      </c>
      <c r="G4246" s="1">
        <v>45238</v>
      </c>
      <c r="H4246">
        <v>5415043</v>
      </c>
      <c r="I4246">
        <v>91</v>
      </c>
      <c r="J4246" t="s">
        <v>172</v>
      </c>
      <c r="K4246" s="8" t="str">
        <f>IFERROR(IF(AND(VLOOKUP($C4246,Hes!$A:$B, 1, FALSE), $M4246&lt;&gt;" "), "Ingresada", "Falta Ingresar"), " ")</f>
        <v>Falta Ingresar</v>
      </c>
      <c r="L4246" s="4" t="str">
        <f>IFERROR(VLOOKUP($C4246,Observaciones!$A:$B,2,FALSE)," ")</f>
        <v xml:space="preserve"> </v>
      </c>
      <c r="M4246" t="s">
        <v>681</v>
      </c>
      <c r="N4246" s="5" t="s">
        <v>841</v>
      </c>
      <c r="O4246" s="5">
        <v>30862875</v>
      </c>
      <c r="P4246" s="5">
        <v>142540</v>
      </c>
      <c r="Q4246" s="5">
        <v>27083</v>
      </c>
      <c r="R4246" s="5">
        <v>169623</v>
      </c>
    </row>
    <row r="4247" spans="1:18" x14ac:dyDescent="0.25">
      <c r="A4247" t="s">
        <v>1027</v>
      </c>
      <c r="B4247" t="s">
        <v>494</v>
      </c>
      <c r="C4247">
        <v>92475000</v>
      </c>
      <c r="D4247">
        <v>2633</v>
      </c>
      <c r="E4247">
        <v>30863391</v>
      </c>
      <c r="F4247" t="s">
        <v>1596</v>
      </c>
      <c r="G4247" s="1">
        <v>45238</v>
      </c>
      <c r="H4247">
        <v>5415066</v>
      </c>
      <c r="I4247">
        <v>91</v>
      </c>
      <c r="J4247" t="s">
        <v>172</v>
      </c>
      <c r="K4247" s="8" t="str">
        <f>IFERROR(IF(AND(VLOOKUP($C4247,Hes!$A:$B, 1, FALSE), $M4247&lt;&gt;" "), "Ingresada", "Falta Ingresar"), " ")</f>
        <v>Falta Ingresar</v>
      </c>
      <c r="L4247" s="4" t="str">
        <f>IFERROR(VLOOKUP($C4247,Observaciones!$A:$B,2,FALSE)," ")</f>
        <v xml:space="preserve"> </v>
      </c>
      <c r="M4247" t="s">
        <v>681</v>
      </c>
      <c r="N4247" s="5" t="s">
        <v>841</v>
      </c>
      <c r="O4247" s="5">
        <v>30863391</v>
      </c>
      <c r="P4247" s="5">
        <v>19188</v>
      </c>
      <c r="Q4247" s="5">
        <v>3646</v>
      </c>
      <c r="R4247" s="5">
        <v>22834</v>
      </c>
    </row>
    <row r="4248" spans="1:18" x14ac:dyDescent="0.25">
      <c r="A4248" t="s">
        <v>1027</v>
      </c>
      <c r="B4248" t="s">
        <v>494</v>
      </c>
      <c r="C4248">
        <v>92475000</v>
      </c>
      <c r="D4248">
        <v>99</v>
      </c>
      <c r="E4248">
        <v>30863394</v>
      </c>
      <c r="F4248" t="s">
        <v>1596</v>
      </c>
      <c r="G4248" s="1">
        <v>45238</v>
      </c>
      <c r="H4248">
        <v>5415094</v>
      </c>
      <c r="I4248">
        <v>91</v>
      </c>
      <c r="J4248" t="s">
        <v>172</v>
      </c>
      <c r="K4248" s="8" t="str">
        <f>IFERROR(IF(AND(VLOOKUP($C4248,Hes!$A:$B, 1, FALSE), $M4248&lt;&gt;" "), "Ingresada", "Falta Ingresar"), " ")</f>
        <v>Falta Ingresar</v>
      </c>
      <c r="L4248" s="4" t="str">
        <f>IFERROR(VLOOKUP($C4248,Observaciones!$A:$B,2,FALSE)," ")</f>
        <v xml:space="preserve"> </v>
      </c>
      <c r="M4248" t="s">
        <v>681</v>
      </c>
      <c r="N4248" s="5" t="s">
        <v>841</v>
      </c>
      <c r="O4248" s="5">
        <v>30863394</v>
      </c>
      <c r="P4248" s="5">
        <v>21759</v>
      </c>
      <c r="Q4248" s="5">
        <v>4134</v>
      </c>
      <c r="R4248" s="5">
        <v>25893</v>
      </c>
    </row>
    <row r="4249" spans="1:18" x14ac:dyDescent="0.25">
      <c r="A4249" t="s">
        <v>1027</v>
      </c>
      <c r="B4249" t="s">
        <v>494</v>
      </c>
      <c r="C4249">
        <v>92475000</v>
      </c>
      <c r="D4249">
        <v>140</v>
      </c>
      <c r="E4249">
        <v>30859571</v>
      </c>
      <c r="F4249" t="s">
        <v>1596</v>
      </c>
      <c r="G4249" s="1">
        <v>45238</v>
      </c>
      <c r="H4249">
        <v>5415156</v>
      </c>
      <c r="I4249">
        <v>91</v>
      </c>
      <c r="J4249" t="s">
        <v>172</v>
      </c>
      <c r="K4249" s="8" t="str">
        <f>IFERROR(IF(AND(VLOOKUP($C4249,Hes!$A:$B, 1, FALSE), $M4249&lt;&gt;" "), "Ingresada", "Falta Ingresar"), " ")</f>
        <v>Falta Ingresar</v>
      </c>
      <c r="L4249" s="4" t="str">
        <f>IFERROR(VLOOKUP($C4249,Observaciones!$A:$B,2,FALSE)," ")</f>
        <v xml:space="preserve"> </v>
      </c>
      <c r="M4249" t="s">
        <v>681</v>
      </c>
      <c r="N4249" s="5" t="s">
        <v>841</v>
      </c>
      <c r="O4249" s="5">
        <v>30859571</v>
      </c>
      <c r="P4249" s="5">
        <v>15286</v>
      </c>
      <c r="Q4249" s="5">
        <v>2904</v>
      </c>
      <c r="R4249" s="5">
        <v>18190</v>
      </c>
    </row>
    <row r="4250" spans="1:18" x14ac:dyDescent="0.25">
      <c r="A4250" t="s">
        <v>1027</v>
      </c>
      <c r="B4250" t="s">
        <v>494</v>
      </c>
      <c r="C4250">
        <v>92475000</v>
      </c>
      <c r="D4250">
        <v>74</v>
      </c>
      <c r="E4250">
        <v>30863397</v>
      </c>
      <c r="F4250" t="s">
        <v>1596</v>
      </c>
      <c r="G4250" s="1">
        <v>45238</v>
      </c>
      <c r="H4250">
        <v>5415166</v>
      </c>
      <c r="I4250">
        <v>91</v>
      </c>
      <c r="J4250" t="s">
        <v>172</v>
      </c>
      <c r="K4250" s="8" t="str">
        <f>IFERROR(IF(AND(VLOOKUP($C4250,Hes!$A:$B, 1, FALSE), $M4250&lt;&gt;" "), "Ingresada", "Falta Ingresar"), " ")</f>
        <v>Falta Ingresar</v>
      </c>
      <c r="L4250" s="4" t="str">
        <f>IFERROR(VLOOKUP($C4250,Observaciones!$A:$B,2,FALSE)," ")</f>
        <v xml:space="preserve"> </v>
      </c>
      <c r="M4250" t="s">
        <v>681</v>
      </c>
      <c r="N4250" s="5" t="s">
        <v>841</v>
      </c>
      <c r="O4250" s="5">
        <v>30863397</v>
      </c>
      <c r="P4250" s="5">
        <v>41844</v>
      </c>
      <c r="Q4250" s="5">
        <v>7950</v>
      </c>
      <c r="R4250" s="5">
        <v>49794</v>
      </c>
    </row>
    <row r="4251" spans="1:18" x14ac:dyDescent="0.25">
      <c r="A4251" t="s">
        <v>1027</v>
      </c>
      <c r="B4251" t="s">
        <v>494</v>
      </c>
      <c r="C4251">
        <v>92475000</v>
      </c>
      <c r="D4251">
        <v>306</v>
      </c>
      <c r="E4251">
        <v>30863388</v>
      </c>
      <c r="F4251" t="s">
        <v>1596</v>
      </c>
      <c r="G4251" s="1">
        <v>45238</v>
      </c>
      <c r="H4251">
        <v>5415221</v>
      </c>
      <c r="I4251">
        <v>91</v>
      </c>
      <c r="J4251" t="s">
        <v>172</v>
      </c>
      <c r="K4251" s="8" t="str">
        <f>IFERROR(IF(AND(VLOOKUP($C4251,Hes!$A:$B, 1, FALSE), $M4251&lt;&gt;" "), "Ingresada", "Falta Ingresar"), " ")</f>
        <v>Falta Ingresar</v>
      </c>
      <c r="L4251" s="4" t="str">
        <f>IFERROR(VLOOKUP($C4251,Observaciones!$A:$B,2,FALSE)," ")</f>
        <v xml:space="preserve"> </v>
      </c>
      <c r="M4251" t="s">
        <v>681</v>
      </c>
      <c r="N4251" s="5" t="s">
        <v>841</v>
      </c>
      <c r="O4251" s="5">
        <v>30863388</v>
      </c>
      <c r="P4251" s="5">
        <v>14642</v>
      </c>
      <c r="Q4251" s="5">
        <v>2782</v>
      </c>
      <c r="R4251" s="5">
        <v>17424</v>
      </c>
    </row>
    <row r="4252" spans="1:18" x14ac:dyDescent="0.25">
      <c r="A4252" t="s">
        <v>1027</v>
      </c>
      <c r="B4252" t="s">
        <v>494</v>
      </c>
      <c r="C4252">
        <v>92475000</v>
      </c>
      <c r="D4252">
        <v>71</v>
      </c>
      <c r="E4252">
        <v>30864167</v>
      </c>
      <c r="F4252" t="s">
        <v>1596</v>
      </c>
      <c r="G4252" s="1">
        <v>45238</v>
      </c>
      <c r="H4252">
        <v>5415367</v>
      </c>
      <c r="I4252">
        <v>91</v>
      </c>
      <c r="J4252" t="s">
        <v>172</v>
      </c>
      <c r="K4252" s="8" t="str">
        <f>IFERROR(IF(AND(VLOOKUP($C4252,Hes!$A:$B, 1, FALSE), $M4252&lt;&gt;" "), "Ingresada", "Falta Ingresar"), " ")</f>
        <v>Falta Ingresar</v>
      </c>
      <c r="L4252" s="4" t="str">
        <f>IFERROR(VLOOKUP($C4252,Observaciones!$A:$B,2,FALSE)," ")</f>
        <v xml:space="preserve"> </v>
      </c>
      <c r="M4252" t="s">
        <v>681</v>
      </c>
      <c r="N4252" s="5" t="s">
        <v>841</v>
      </c>
      <c r="O4252" s="5">
        <v>30864167</v>
      </c>
      <c r="P4252" s="5">
        <v>196539</v>
      </c>
      <c r="Q4252" s="5">
        <v>37342</v>
      </c>
      <c r="R4252" s="5">
        <v>233881</v>
      </c>
    </row>
    <row r="4253" spans="1:18" x14ac:dyDescent="0.25">
      <c r="A4253" t="s">
        <v>1027</v>
      </c>
      <c r="B4253" t="s">
        <v>494</v>
      </c>
      <c r="C4253">
        <v>92475000</v>
      </c>
      <c r="D4253">
        <v>62</v>
      </c>
      <c r="E4253">
        <v>30866027</v>
      </c>
      <c r="F4253" t="s">
        <v>1596</v>
      </c>
      <c r="G4253" s="1">
        <v>45238</v>
      </c>
      <c r="H4253">
        <v>5415478</v>
      </c>
      <c r="I4253">
        <v>91</v>
      </c>
      <c r="J4253" t="s">
        <v>172</v>
      </c>
      <c r="K4253" s="8" t="str">
        <f>IFERROR(IF(AND(VLOOKUP($C4253,Hes!$A:$B, 1, FALSE), $M4253&lt;&gt;" "), "Ingresada", "Falta Ingresar"), " ")</f>
        <v>Falta Ingresar</v>
      </c>
      <c r="L4253" s="4" t="str">
        <f>IFERROR(VLOOKUP($C4253,Observaciones!$A:$B,2,FALSE)," ")</f>
        <v xml:space="preserve"> </v>
      </c>
      <c r="M4253" t="s">
        <v>681</v>
      </c>
      <c r="N4253" s="5" t="s">
        <v>841</v>
      </c>
      <c r="O4253" s="5">
        <v>30866027</v>
      </c>
      <c r="P4253" s="5">
        <v>154259</v>
      </c>
      <c r="Q4253" s="5">
        <v>29309</v>
      </c>
      <c r="R4253" s="5">
        <v>183568</v>
      </c>
    </row>
    <row r="4254" spans="1:18" x14ac:dyDescent="0.25">
      <c r="A4254" t="s">
        <v>1027</v>
      </c>
      <c r="B4254" t="s">
        <v>494</v>
      </c>
      <c r="C4254">
        <v>92475000</v>
      </c>
      <c r="D4254">
        <v>73</v>
      </c>
      <c r="E4254">
        <v>30866060</v>
      </c>
      <c r="F4254" t="s">
        <v>1596</v>
      </c>
      <c r="G4254" s="1">
        <v>45238</v>
      </c>
      <c r="H4254">
        <v>5415485</v>
      </c>
      <c r="I4254">
        <v>91</v>
      </c>
      <c r="J4254" t="s">
        <v>172</v>
      </c>
      <c r="K4254" s="8" t="str">
        <f>IFERROR(IF(AND(VLOOKUP($C4254,Hes!$A:$B, 1, FALSE), $M4254&lt;&gt;" "), "Ingresada", "Falta Ingresar"), " ")</f>
        <v>Falta Ingresar</v>
      </c>
      <c r="L4254" s="4" t="str">
        <f>IFERROR(VLOOKUP($C4254,Observaciones!$A:$B,2,FALSE)," ")</f>
        <v xml:space="preserve"> </v>
      </c>
      <c r="M4254" t="s">
        <v>681</v>
      </c>
      <c r="N4254" s="5" t="s">
        <v>841</v>
      </c>
      <c r="O4254" s="5">
        <v>30866060</v>
      </c>
      <c r="P4254" s="5">
        <v>236510</v>
      </c>
      <c r="Q4254" s="5">
        <v>44937</v>
      </c>
      <c r="R4254" s="5">
        <v>281447</v>
      </c>
    </row>
    <row r="4255" spans="1:18" x14ac:dyDescent="0.25">
      <c r="A4255" t="s">
        <v>1027</v>
      </c>
      <c r="B4255" t="s">
        <v>494</v>
      </c>
      <c r="C4255">
        <v>92475000</v>
      </c>
      <c r="D4255">
        <v>58</v>
      </c>
      <c r="E4255">
        <v>30866030</v>
      </c>
      <c r="F4255" t="s">
        <v>1596</v>
      </c>
      <c r="G4255" s="1">
        <v>45238</v>
      </c>
      <c r="H4255">
        <v>5415486</v>
      </c>
      <c r="I4255">
        <v>91</v>
      </c>
      <c r="J4255" t="s">
        <v>172</v>
      </c>
      <c r="K4255" s="8" t="str">
        <f>IFERROR(IF(AND(VLOOKUP($C4255,Hes!$A:$B, 1, FALSE), $M4255&lt;&gt;" "), "Ingresada", "Falta Ingresar"), " ")</f>
        <v>Falta Ingresar</v>
      </c>
      <c r="L4255" s="4" t="str">
        <f>IFERROR(VLOOKUP($C4255,Observaciones!$A:$B,2,FALSE)," ")</f>
        <v xml:space="preserve"> </v>
      </c>
      <c r="M4255" t="s">
        <v>681</v>
      </c>
      <c r="N4255" s="5" t="s">
        <v>841</v>
      </c>
      <c r="O4255" s="5">
        <v>30866030</v>
      </c>
      <c r="P4255" s="5">
        <v>468196</v>
      </c>
      <c r="Q4255" s="5">
        <v>88957</v>
      </c>
      <c r="R4255" s="5">
        <v>557153</v>
      </c>
    </row>
    <row r="4256" spans="1:18" x14ac:dyDescent="0.25">
      <c r="A4256" t="s">
        <v>1027</v>
      </c>
      <c r="B4256" t="s">
        <v>494</v>
      </c>
      <c r="C4256">
        <v>92475000</v>
      </c>
      <c r="D4256">
        <v>145</v>
      </c>
      <c r="E4256">
        <v>30859591</v>
      </c>
      <c r="F4256" t="s">
        <v>1596</v>
      </c>
      <c r="G4256" s="1">
        <v>45238</v>
      </c>
      <c r="H4256">
        <v>5415499</v>
      </c>
      <c r="I4256">
        <v>91</v>
      </c>
      <c r="J4256" t="s">
        <v>172</v>
      </c>
      <c r="K4256" s="8" t="str">
        <f>IFERROR(IF(AND(VLOOKUP($C4256,Hes!$A:$B, 1, FALSE), $M4256&lt;&gt;" "), "Ingresada", "Falta Ingresar"), " ")</f>
        <v>Falta Ingresar</v>
      </c>
      <c r="L4256" s="4" t="str">
        <f>IFERROR(VLOOKUP($C4256,Observaciones!$A:$B,2,FALSE)," ")</f>
        <v xml:space="preserve"> </v>
      </c>
      <c r="M4256" t="s">
        <v>681</v>
      </c>
      <c r="N4256" s="5" t="s">
        <v>841</v>
      </c>
      <c r="O4256" s="5">
        <v>30859591</v>
      </c>
      <c r="P4256" s="5">
        <v>27234</v>
      </c>
      <c r="Q4256" s="5">
        <v>5174</v>
      </c>
      <c r="R4256" s="5">
        <v>32408</v>
      </c>
    </row>
    <row r="4257" spans="1:18" x14ac:dyDescent="0.25">
      <c r="A4257" t="s">
        <v>1027</v>
      </c>
      <c r="B4257" t="s">
        <v>494</v>
      </c>
      <c r="C4257">
        <v>92475000</v>
      </c>
      <c r="D4257">
        <v>37</v>
      </c>
      <c r="E4257">
        <v>30866017</v>
      </c>
      <c r="F4257" t="s">
        <v>1596</v>
      </c>
      <c r="G4257" s="1">
        <v>45238</v>
      </c>
      <c r="H4257">
        <v>5415516</v>
      </c>
      <c r="I4257">
        <v>91</v>
      </c>
      <c r="J4257" t="s">
        <v>172</v>
      </c>
      <c r="K4257" s="8" t="str">
        <f>IFERROR(IF(AND(VLOOKUP($C4257,Hes!$A:$B, 1, FALSE), $M4257&lt;&gt;" "), "Ingresada", "Falta Ingresar"), " ")</f>
        <v>Falta Ingresar</v>
      </c>
      <c r="L4257" s="4" t="str">
        <f>IFERROR(VLOOKUP($C4257,Observaciones!$A:$B,2,FALSE)," ")</f>
        <v xml:space="preserve"> </v>
      </c>
      <c r="M4257" t="s">
        <v>681</v>
      </c>
      <c r="N4257" s="5" t="s">
        <v>841</v>
      </c>
      <c r="O4257" s="5">
        <v>30866017</v>
      </c>
      <c r="P4257" s="5">
        <v>552191</v>
      </c>
      <c r="Q4257" s="5">
        <v>104916</v>
      </c>
      <c r="R4257" s="5">
        <v>657107</v>
      </c>
    </row>
    <row r="4258" spans="1:18" x14ac:dyDescent="0.25">
      <c r="A4258" t="s">
        <v>1027</v>
      </c>
      <c r="B4258" t="s">
        <v>494</v>
      </c>
      <c r="C4258">
        <v>92475000</v>
      </c>
      <c r="D4258">
        <v>103</v>
      </c>
      <c r="E4258">
        <v>30863383</v>
      </c>
      <c r="F4258" t="s">
        <v>1596</v>
      </c>
      <c r="G4258" s="1">
        <v>45238</v>
      </c>
      <c r="H4258">
        <v>5415576</v>
      </c>
      <c r="I4258">
        <v>91</v>
      </c>
      <c r="J4258" t="s">
        <v>172</v>
      </c>
      <c r="K4258" s="8" t="str">
        <f>IFERROR(IF(AND(VLOOKUP($C4258,Hes!$A:$B, 1, FALSE), $M4258&lt;&gt;" "), "Ingresada", "Falta Ingresar"), " ")</f>
        <v>Falta Ingresar</v>
      </c>
      <c r="L4258" s="4" t="str">
        <f>IFERROR(VLOOKUP($C4258,Observaciones!$A:$B,2,FALSE)," ")</f>
        <v xml:space="preserve"> </v>
      </c>
      <c r="M4258" t="s">
        <v>681</v>
      </c>
      <c r="N4258" s="5" t="s">
        <v>841</v>
      </c>
      <c r="O4258" s="5">
        <v>30863383</v>
      </c>
      <c r="P4258" s="5">
        <v>14362</v>
      </c>
      <c r="Q4258" s="5">
        <v>2729</v>
      </c>
      <c r="R4258" s="5">
        <v>17091</v>
      </c>
    </row>
    <row r="4259" spans="1:18" x14ac:dyDescent="0.25">
      <c r="A4259" t="s">
        <v>1027</v>
      </c>
      <c r="B4259" t="s">
        <v>494</v>
      </c>
      <c r="C4259">
        <v>92475000</v>
      </c>
      <c r="D4259">
        <v>64</v>
      </c>
      <c r="E4259">
        <v>30866015</v>
      </c>
      <c r="F4259" t="s">
        <v>1596</v>
      </c>
      <c r="G4259" s="1">
        <v>45238</v>
      </c>
      <c r="H4259">
        <v>5415690</v>
      </c>
      <c r="I4259">
        <v>91</v>
      </c>
      <c r="J4259" t="s">
        <v>172</v>
      </c>
      <c r="K4259" s="8" t="str">
        <f>IFERROR(IF(AND(VLOOKUP($C4259,Hes!$A:$B, 1, FALSE), $M4259&lt;&gt;" "), "Ingresada", "Falta Ingresar"), " ")</f>
        <v>Falta Ingresar</v>
      </c>
      <c r="L4259" s="4" t="str">
        <f>IFERROR(VLOOKUP($C4259,Observaciones!$A:$B,2,FALSE)," ")</f>
        <v xml:space="preserve"> </v>
      </c>
      <c r="M4259" t="s">
        <v>681</v>
      </c>
      <c r="N4259" s="5" t="s">
        <v>841</v>
      </c>
      <c r="O4259" s="5">
        <v>30866015</v>
      </c>
      <c r="P4259" s="5">
        <v>134306</v>
      </c>
      <c r="Q4259" s="5">
        <v>25518</v>
      </c>
      <c r="R4259" s="5">
        <v>159824</v>
      </c>
    </row>
    <row r="4260" spans="1:18" x14ac:dyDescent="0.25">
      <c r="F4260" t="s">
        <v>1597</v>
      </c>
      <c r="K4260" t="str">
        <f>IFERROR(IF(AND(VLOOKUP($C4260,Hes!$A:$B, 1, FALSE), $M4260&lt;&gt;" "), "Ingresada", "Falta Ingresar"), " ")</f>
        <v xml:space="preserve"> </v>
      </c>
      <c r="L4260" s="4" t="str">
        <f>IFERROR(VLOOKUP($C4260,Observaciones!$A:$B,2,FALSE)," ")</f>
        <v xml:space="preserve"> </v>
      </c>
      <c r="M4260" t="s">
        <v>681</v>
      </c>
      <c r="P4260" s="5">
        <v>18909185</v>
      </c>
      <c r="Q4260" s="5">
        <v>3592743</v>
      </c>
      <c r="R4260" s="5">
        <v>22591892</v>
      </c>
    </row>
    <row r="4261" spans="1:18" x14ac:dyDescent="0.25">
      <c r="A4261" t="s">
        <v>501</v>
      </c>
      <c r="B4261" t="s">
        <v>494</v>
      </c>
      <c r="C4261">
        <v>92734000</v>
      </c>
      <c r="D4261">
        <v>0</v>
      </c>
      <c r="E4261" t="s">
        <v>1598</v>
      </c>
      <c r="F4261" t="s">
        <v>1599</v>
      </c>
      <c r="G4261" s="1">
        <v>45236</v>
      </c>
      <c r="H4261">
        <v>5413516</v>
      </c>
      <c r="I4261">
        <v>93</v>
      </c>
      <c r="J4261" t="s">
        <v>356</v>
      </c>
      <c r="K4261" t="str">
        <f>IFERROR(IF(AND(VLOOKUP($C4261,Hes!$A:$B, 1, FALSE), $M4261&lt;&gt;" "), "Ingresada", "Falta Ingresar"), " ")</f>
        <v xml:space="preserve"> </v>
      </c>
      <c r="L4261" s="4" t="str">
        <f>IFERROR(VLOOKUP($C4261,Observaciones!$A:$B,2,FALSE)," ")</f>
        <v xml:space="preserve"> </v>
      </c>
      <c r="M4261" t="s">
        <v>681</v>
      </c>
      <c r="O4261" s="5">
        <v>30855974</v>
      </c>
      <c r="P4261" s="5">
        <v>124568</v>
      </c>
      <c r="Q4261" s="5">
        <v>23668</v>
      </c>
      <c r="R4261" s="5">
        <v>151616</v>
      </c>
    </row>
    <row r="4262" spans="1:18" x14ac:dyDescent="0.25">
      <c r="F4262" t="s">
        <v>495</v>
      </c>
      <c r="K4262" t="str">
        <f>IFERROR(IF(AND(VLOOKUP($C4262,Hes!$A:$B, 1, FALSE), $M4262&lt;&gt;" "), "Ingresada", "Falta Ingresar"), " ")</f>
        <v xml:space="preserve"> </v>
      </c>
      <c r="L4262" s="4" t="str">
        <f>IFERROR(VLOOKUP($C4262,Observaciones!$A:$B,2,FALSE)," ")</f>
        <v xml:space="preserve"> </v>
      </c>
      <c r="M4262" t="s">
        <v>681</v>
      </c>
      <c r="P4262" s="5">
        <v>124568</v>
      </c>
      <c r="Q4262" s="5">
        <v>23668</v>
      </c>
      <c r="R4262" s="5">
        <v>151616</v>
      </c>
    </row>
    <row r="4263" spans="1:18" x14ac:dyDescent="0.25">
      <c r="A4263" t="s">
        <v>501</v>
      </c>
      <c r="B4263" t="s">
        <v>494</v>
      </c>
      <c r="C4263">
        <v>92844000</v>
      </c>
      <c r="D4263">
        <v>0</v>
      </c>
      <c r="E4263">
        <v>30851016</v>
      </c>
      <c r="F4263" t="s">
        <v>1600</v>
      </c>
      <c r="G4263" s="1">
        <v>45233</v>
      </c>
      <c r="H4263">
        <v>5411588</v>
      </c>
      <c r="I4263">
        <v>12</v>
      </c>
      <c r="J4263" t="s">
        <v>319</v>
      </c>
      <c r="K4263" t="str">
        <f>IFERROR(IF(AND(VLOOKUP($C4263,Hes!$A:$B, 1, FALSE), $M4263&lt;&gt;" "), "Ingresada", "Falta Ingresar"), " ")</f>
        <v xml:space="preserve"> </v>
      </c>
      <c r="L4263" s="4" t="str">
        <f>IFERROR(VLOOKUP($C4263,Observaciones!$A:$B,2,FALSE)," ")</f>
        <v xml:space="preserve"> </v>
      </c>
      <c r="M4263" t="s">
        <v>681</v>
      </c>
      <c r="O4263" s="5">
        <v>30851016</v>
      </c>
      <c r="P4263" s="5">
        <v>24410</v>
      </c>
      <c r="Q4263" s="5">
        <v>4638</v>
      </c>
      <c r="R4263" s="5">
        <v>29048</v>
      </c>
    </row>
    <row r="4264" spans="1:18" x14ac:dyDescent="0.25">
      <c r="A4264" t="s">
        <v>501</v>
      </c>
      <c r="B4264" t="s">
        <v>494</v>
      </c>
      <c r="C4264">
        <v>92844000</v>
      </c>
      <c r="D4264">
        <v>0</v>
      </c>
      <c r="E4264">
        <v>30863758</v>
      </c>
      <c r="F4264" t="s">
        <v>1600</v>
      </c>
      <c r="G4264" s="1">
        <v>45238</v>
      </c>
      <c r="H4264">
        <v>5415469</v>
      </c>
      <c r="I4264">
        <v>12</v>
      </c>
      <c r="J4264" t="s">
        <v>319</v>
      </c>
      <c r="K4264" t="str">
        <f>IFERROR(IF(AND(VLOOKUP($C4264,Hes!$A:$B, 1, FALSE), $M4264&lt;&gt;" "), "Ingresada", "Falta Ingresar"), " ")</f>
        <v xml:space="preserve"> </v>
      </c>
      <c r="L4264" s="4" t="str">
        <f>IFERROR(VLOOKUP($C4264,Observaciones!$A:$B,2,FALSE)," ")</f>
        <v xml:space="preserve"> </v>
      </c>
      <c r="M4264" t="s">
        <v>681</v>
      </c>
      <c r="O4264" s="5">
        <v>30863758</v>
      </c>
      <c r="P4264" s="5">
        <v>90221</v>
      </c>
      <c r="Q4264" s="5">
        <v>17142</v>
      </c>
      <c r="R4264" s="5">
        <v>107363</v>
      </c>
    </row>
    <row r="4265" spans="1:18" x14ac:dyDescent="0.25">
      <c r="F4265" t="s">
        <v>497</v>
      </c>
      <c r="K4265" t="str">
        <f>IFERROR(IF(AND(VLOOKUP($C4265,Hes!$A:$B, 1, FALSE), $M4265&lt;&gt;" "), "Ingresada", "Falta Ingresar"), " ")</f>
        <v xml:space="preserve"> </v>
      </c>
      <c r="L4265" s="4" t="str">
        <f>IFERROR(VLOOKUP($C4265,Observaciones!$A:$B,2,FALSE)," ")</f>
        <v xml:space="preserve"> </v>
      </c>
      <c r="M4265" t="s">
        <v>681</v>
      </c>
      <c r="P4265" s="5">
        <v>114631</v>
      </c>
      <c r="Q4265" s="5">
        <v>21780</v>
      </c>
      <c r="R4265" s="5">
        <v>136411</v>
      </c>
    </row>
    <row r="4266" spans="1:18" x14ac:dyDescent="0.25">
      <c r="A4266" t="s">
        <v>513</v>
      </c>
      <c r="B4266" t="s">
        <v>494</v>
      </c>
      <c r="C4266">
        <v>92909000</v>
      </c>
      <c r="D4266">
        <v>15</v>
      </c>
      <c r="E4266">
        <v>46797</v>
      </c>
      <c r="F4266" t="s">
        <v>1601</v>
      </c>
      <c r="G4266" s="1">
        <v>45233</v>
      </c>
      <c r="H4266">
        <v>5411750</v>
      </c>
      <c r="I4266">
        <v>157</v>
      </c>
      <c r="J4266" t="s">
        <v>418</v>
      </c>
      <c r="K4266" t="str">
        <f>IFERROR(IF(AND(VLOOKUP($C4266,Hes!$A:$B, 1, FALSE), $M4266&lt;&gt;" "), "Ingresada", "Falta Ingresar"), " ")</f>
        <v xml:space="preserve"> </v>
      </c>
      <c r="L4266" s="4" t="s">
        <v>681</v>
      </c>
      <c r="M4266" t="s">
        <v>681</v>
      </c>
      <c r="O4266" s="5">
        <v>30851907</v>
      </c>
      <c r="P4266" s="5">
        <v>26818</v>
      </c>
      <c r="Q4266" s="5">
        <v>5095</v>
      </c>
      <c r="R4266" s="5">
        <v>31913</v>
      </c>
    </row>
    <row r="4267" spans="1:18" x14ac:dyDescent="0.25">
      <c r="A4267" t="s">
        <v>513</v>
      </c>
      <c r="B4267" t="s">
        <v>494</v>
      </c>
      <c r="C4267">
        <v>92909000</v>
      </c>
      <c r="D4267">
        <v>11</v>
      </c>
      <c r="E4267">
        <v>46806</v>
      </c>
      <c r="F4267" t="s">
        <v>1601</v>
      </c>
      <c r="G4267" s="1">
        <v>45236</v>
      </c>
      <c r="H4267">
        <v>5412141</v>
      </c>
      <c r="I4267">
        <v>157</v>
      </c>
      <c r="J4267" t="s">
        <v>418</v>
      </c>
      <c r="K4267" t="str">
        <f>IFERROR(IF(AND(VLOOKUP($C4267,Hes!$A:$B, 1, FALSE), $M4267&lt;&gt;" "), "Ingresada", "Falta Ingresar"), " ")</f>
        <v xml:space="preserve"> </v>
      </c>
      <c r="L4267" s="4" t="s">
        <v>681</v>
      </c>
      <c r="M4267" t="s">
        <v>681</v>
      </c>
      <c r="O4267" s="5">
        <v>30851900</v>
      </c>
      <c r="P4267" s="5">
        <v>49945</v>
      </c>
      <c r="Q4267" s="5">
        <v>9490</v>
      </c>
      <c r="R4267" s="5">
        <v>59435</v>
      </c>
    </row>
    <row r="4268" spans="1:18" x14ac:dyDescent="0.25">
      <c r="A4268" t="s">
        <v>513</v>
      </c>
      <c r="B4268" t="s">
        <v>494</v>
      </c>
      <c r="C4268">
        <v>92909000</v>
      </c>
      <c r="D4268">
        <v>10</v>
      </c>
      <c r="E4268">
        <v>46810</v>
      </c>
      <c r="F4268" t="s">
        <v>1601</v>
      </c>
      <c r="G4268" s="1">
        <v>45236</v>
      </c>
      <c r="H4268">
        <v>5412156</v>
      </c>
      <c r="I4268">
        <v>157</v>
      </c>
      <c r="J4268" t="s">
        <v>418</v>
      </c>
      <c r="K4268" t="str">
        <f>IFERROR(IF(AND(VLOOKUP($C4268,Hes!$A:$B, 1, FALSE), $M4268&lt;&gt;" "), "Ingresada", "Falta Ingresar"), " ")</f>
        <v xml:space="preserve"> </v>
      </c>
      <c r="L4268" s="4" t="s">
        <v>681</v>
      </c>
      <c r="M4268" t="s">
        <v>681</v>
      </c>
      <c r="O4268" s="5">
        <v>30852150</v>
      </c>
      <c r="P4268" s="5">
        <v>66716</v>
      </c>
      <c r="Q4268" s="5">
        <v>12676</v>
      </c>
      <c r="R4268" s="5">
        <v>79392</v>
      </c>
    </row>
    <row r="4269" spans="1:18" x14ac:dyDescent="0.25">
      <c r="A4269" t="s">
        <v>513</v>
      </c>
      <c r="B4269" t="s">
        <v>494</v>
      </c>
      <c r="C4269">
        <v>92909000</v>
      </c>
      <c r="D4269">
        <v>6</v>
      </c>
      <c r="E4269">
        <v>46787</v>
      </c>
      <c r="F4269" t="s">
        <v>1601</v>
      </c>
      <c r="G4269" s="1">
        <v>45236</v>
      </c>
      <c r="H4269">
        <v>5412564</v>
      </c>
      <c r="I4269">
        <v>157</v>
      </c>
      <c r="J4269" t="s">
        <v>418</v>
      </c>
      <c r="K4269" t="str">
        <f>IFERROR(IF(AND(VLOOKUP($C4269,Hes!$A:$B, 1, FALSE), $M4269&lt;&gt;" "), "Ingresada", "Falta Ingresar"), " ")</f>
        <v xml:space="preserve"> </v>
      </c>
      <c r="L4269" s="4" t="s">
        <v>681</v>
      </c>
      <c r="M4269" t="s">
        <v>681</v>
      </c>
      <c r="O4269" s="5">
        <v>30851906</v>
      </c>
      <c r="P4269" s="5">
        <v>147499</v>
      </c>
      <c r="Q4269" s="5">
        <v>28025</v>
      </c>
      <c r="R4269" s="5">
        <v>175524</v>
      </c>
    </row>
    <row r="4270" spans="1:18" x14ac:dyDescent="0.25">
      <c r="A4270" t="s">
        <v>513</v>
      </c>
      <c r="B4270" t="s">
        <v>494</v>
      </c>
      <c r="C4270">
        <v>92909000</v>
      </c>
      <c r="D4270">
        <v>6</v>
      </c>
      <c r="E4270">
        <v>46787</v>
      </c>
      <c r="F4270" t="s">
        <v>1601</v>
      </c>
      <c r="G4270" s="1">
        <v>45236</v>
      </c>
      <c r="H4270">
        <v>5412565</v>
      </c>
      <c r="I4270">
        <v>157</v>
      </c>
      <c r="J4270" t="s">
        <v>418</v>
      </c>
      <c r="K4270" t="str">
        <f>IFERROR(IF(AND(VLOOKUP($C4270,Hes!$A:$B, 1, FALSE), $M4270&lt;&gt;" "), "Ingresada", "Falta Ingresar"), " ")</f>
        <v xml:space="preserve"> </v>
      </c>
      <c r="L4270" s="4" t="s">
        <v>681</v>
      </c>
      <c r="M4270" t="s">
        <v>681</v>
      </c>
      <c r="O4270" s="5">
        <v>30851906</v>
      </c>
      <c r="P4270" s="5">
        <v>2479</v>
      </c>
      <c r="Q4270" s="5">
        <v>471</v>
      </c>
      <c r="R4270" s="5">
        <v>2950</v>
      </c>
    </row>
    <row r="4271" spans="1:18" x14ac:dyDescent="0.25">
      <c r="A4271" t="s">
        <v>513</v>
      </c>
      <c r="B4271" t="s">
        <v>494</v>
      </c>
      <c r="C4271">
        <v>92909000</v>
      </c>
      <c r="D4271">
        <v>7</v>
      </c>
      <c r="E4271">
        <v>30852630</v>
      </c>
      <c r="F4271" t="s">
        <v>1601</v>
      </c>
      <c r="G4271" s="1">
        <v>45236</v>
      </c>
      <c r="H4271">
        <v>5412566</v>
      </c>
      <c r="I4271">
        <v>157</v>
      </c>
      <c r="J4271" t="s">
        <v>418</v>
      </c>
      <c r="K4271" t="str">
        <f>IFERROR(IF(AND(VLOOKUP($C4271,Hes!$A:$B, 1, FALSE), $M4271&lt;&gt;" "), "Ingresada", "Falta Ingresar"), " ")</f>
        <v xml:space="preserve"> </v>
      </c>
      <c r="L4271" s="4" t="s">
        <v>681</v>
      </c>
      <c r="M4271" t="s">
        <v>681</v>
      </c>
      <c r="O4271" s="5">
        <v>30852630</v>
      </c>
      <c r="P4271" s="5">
        <v>138814</v>
      </c>
      <c r="Q4271" s="5">
        <v>26375</v>
      </c>
      <c r="R4271" s="5">
        <v>165189</v>
      </c>
    </row>
    <row r="4272" spans="1:18" x14ac:dyDescent="0.25">
      <c r="A4272" t="s">
        <v>513</v>
      </c>
      <c r="B4272" t="s">
        <v>494</v>
      </c>
      <c r="C4272">
        <v>92909000</v>
      </c>
      <c r="D4272">
        <v>9</v>
      </c>
      <c r="E4272">
        <v>46817</v>
      </c>
      <c r="F4272" t="s">
        <v>1601</v>
      </c>
      <c r="G4272" s="1">
        <v>45236</v>
      </c>
      <c r="H4272">
        <v>5412577</v>
      </c>
      <c r="I4272">
        <v>157</v>
      </c>
      <c r="J4272" t="s">
        <v>418</v>
      </c>
      <c r="K4272" t="str">
        <f>IFERROR(IF(AND(VLOOKUP($C4272,Hes!$A:$B, 1, FALSE), $M4272&lt;&gt;" "), "Ingresada", "Falta Ingresar"), " ")</f>
        <v xml:space="preserve"> </v>
      </c>
      <c r="L4272" s="4" t="s">
        <v>681</v>
      </c>
      <c r="M4272" t="s">
        <v>681</v>
      </c>
      <c r="O4272" s="5">
        <v>30852955</v>
      </c>
      <c r="P4272" s="5">
        <v>28918</v>
      </c>
      <c r="Q4272" s="5">
        <v>5494</v>
      </c>
      <c r="R4272" s="5">
        <v>34412</v>
      </c>
    </row>
    <row r="4273" spans="1:18" x14ac:dyDescent="0.25">
      <c r="A4273" t="s">
        <v>513</v>
      </c>
      <c r="B4273" t="s">
        <v>494</v>
      </c>
      <c r="C4273">
        <v>92909000</v>
      </c>
      <c r="D4273">
        <v>12</v>
      </c>
      <c r="E4273">
        <v>30851899</v>
      </c>
      <c r="F4273" t="s">
        <v>1601</v>
      </c>
      <c r="G4273" s="1">
        <v>45236</v>
      </c>
      <c r="H4273">
        <v>5412618</v>
      </c>
      <c r="I4273">
        <v>157</v>
      </c>
      <c r="J4273" t="s">
        <v>418</v>
      </c>
      <c r="K4273" t="str">
        <f>IFERROR(IF(AND(VLOOKUP($C4273,Hes!$A:$B, 1, FALSE), $M4273&lt;&gt;" "), "Ingresada", "Falta Ingresar"), " ")</f>
        <v xml:space="preserve"> </v>
      </c>
      <c r="L4273" s="4" t="s">
        <v>681</v>
      </c>
      <c r="M4273" t="s">
        <v>681</v>
      </c>
      <c r="O4273" s="5">
        <v>30851899</v>
      </c>
      <c r="P4273" s="5">
        <v>98682</v>
      </c>
      <c r="Q4273" s="5">
        <v>18750</v>
      </c>
      <c r="R4273" s="5">
        <v>117432</v>
      </c>
    </row>
    <row r="4274" spans="1:18" x14ac:dyDescent="0.25">
      <c r="A4274" t="s">
        <v>513</v>
      </c>
      <c r="B4274" t="s">
        <v>494</v>
      </c>
      <c r="C4274">
        <v>92909000</v>
      </c>
      <c r="D4274">
        <v>19</v>
      </c>
      <c r="E4274">
        <v>46832</v>
      </c>
      <c r="F4274" t="s">
        <v>1601</v>
      </c>
      <c r="G4274" s="1">
        <v>45236</v>
      </c>
      <c r="H4274">
        <v>5412626</v>
      </c>
      <c r="I4274">
        <v>157</v>
      </c>
      <c r="J4274" t="s">
        <v>418</v>
      </c>
      <c r="K4274" t="str">
        <f>IFERROR(IF(AND(VLOOKUP($C4274,Hes!$A:$B, 1, FALSE), $M4274&lt;&gt;" "), "Ingresada", "Falta Ingresar"), " ")</f>
        <v xml:space="preserve"> </v>
      </c>
      <c r="L4274" s="4" t="s">
        <v>681</v>
      </c>
      <c r="M4274" t="s">
        <v>681</v>
      </c>
      <c r="O4274" s="5">
        <v>30852953</v>
      </c>
      <c r="P4274" s="5">
        <v>41923</v>
      </c>
      <c r="Q4274" s="5">
        <v>7965</v>
      </c>
      <c r="R4274" s="5">
        <v>49888</v>
      </c>
    </row>
    <row r="4275" spans="1:18" x14ac:dyDescent="0.25">
      <c r="A4275" t="s">
        <v>513</v>
      </c>
      <c r="B4275" t="s">
        <v>494</v>
      </c>
      <c r="C4275">
        <v>92909000</v>
      </c>
      <c r="D4275">
        <v>5</v>
      </c>
      <c r="E4275">
        <v>46830</v>
      </c>
      <c r="F4275" t="s">
        <v>1601</v>
      </c>
      <c r="G4275" s="1">
        <v>45236</v>
      </c>
      <c r="H4275">
        <v>5412809</v>
      </c>
      <c r="I4275">
        <v>157</v>
      </c>
      <c r="J4275" t="s">
        <v>418</v>
      </c>
      <c r="K4275" t="str">
        <f>IFERROR(IF(AND(VLOOKUP($C4275,Hes!$A:$B, 1, FALSE), $M4275&lt;&gt;" "), "Ingresada", "Falta Ingresar"), " ")</f>
        <v xml:space="preserve"> </v>
      </c>
      <c r="L4275" s="4" t="s">
        <v>681</v>
      </c>
      <c r="M4275" t="s">
        <v>681</v>
      </c>
      <c r="O4275" s="5">
        <v>30852957</v>
      </c>
      <c r="P4275" s="5">
        <v>139941</v>
      </c>
      <c r="Q4275" s="5">
        <v>26589</v>
      </c>
      <c r="R4275" s="5">
        <v>166530</v>
      </c>
    </row>
    <row r="4276" spans="1:18" x14ac:dyDescent="0.25">
      <c r="A4276" t="s">
        <v>513</v>
      </c>
      <c r="B4276" t="s">
        <v>494</v>
      </c>
      <c r="C4276">
        <v>92909000</v>
      </c>
      <c r="D4276">
        <v>17</v>
      </c>
      <c r="E4276">
        <v>46809</v>
      </c>
      <c r="F4276" t="s">
        <v>1601</v>
      </c>
      <c r="G4276" s="1">
        <v>45236</v>
      </c>
      <c r="H4276">
        <v>5412820</v>
      </c>
      <c r="I4276">
        <v>157</v>
      </c>
      <c r="J4276" t="s">
        <v>418</v>
      </c>
      <c r="K4276" t="str">
        <f>IFERROR(IF(AND(VLOOKUP($C4276,Hes!$A:$B, 1, FALSE), $M4276&lt;&gt;" "), "Ingresada", "Falta Ingresar"), " ")</f>
        <v xml:space="preserve"> </v>
      </c>
      <c r="L4276" s="4" t="s">
        <v>681</v>
      </c>
      <c r="M4276" t="s">
        <v>681</v>
      </c>
      <c r="O4276" s="5">
        <v>30851904</v>
      </c>
      <c r="P4276" s="5">
        <v>44981</v>
      </c>
      <c r="Q4276" s="5">
        <v>8546</v>
      </c>
      <c r="R4276" s="5">
        <v>53527</v>
      </c>
    </row>
    <row r="4277" spans="1:18" x14ac:dyDescent="0.25">
      <c r="F4277" t="s">
        <v>510</v>
      </c>
      <c r="K4277" t="str">
        <f>IFERROR(IF(AND(VLOOKUP($C4277,Hes!$A:$B, 1, FALSE), $M4277&lt;&gt;" "), "Ingresada", "Falta Ingresar"), " ")</f>
        <v xml:space="preserve"> </v>
      </c>
      <c r="L4277" s="4" t="str">
        <f>IFERROR(VLOOKUP($C4277,Observaciones!$A:$B,2,FALSE)," ")</f>
        <v xml:space="preserve"> </v>
      </c>
      <c r="M4277" t="s">
        <v>681</v>
      </c>
      <c r="P4277" s="5">
        <v>786716</v>
      </c>
      <c r="Q4277" s="5">
        <v>149476</v>
      </c>
      <c r="R4277" s="5">
        <v>936192</v>
      </c>
    </row>
    <row r="4278" spans="1:18" x14ac:dyDescent="0.25">
      <c r="A4278" t="s">
        <v>1326</v>
      </c>
      <c r="B4278" t="s">
        <v>494</v>
      </c>
      <c r="C4278">
        <v>93007000</v>
      </c>
      <c r="D4278">
        <v>32</v>
      </c>
      <c r="E4278">
        <v>30857224</v>
      </c>
      <c r="F4278" t="s">
        <v>1602</v>
      </c>
      <c r="G4278" s="1">
        <v>45236</v>
      </c>
      <c r="H4278">
        <v>5413876</v>
      </c>
      <c r="I4278">
        <v>81</v>
      </c>
      <c r="J4278" t="s">
        <v>144</v>
      </c>
      <c r="K4278" t="str">
        <f>IFERROR(IF(AND(VLOOKUP($C4278,Hes!$A:$B, 1, FALSE), $M4278&lt;&gt;" "), "Ingresada", "Falta Ingresar"), " ")</f>
        <v xml:space="preserve"> </v>
      </c>
      <c r="L4278" s="4" t="str">
        <f>IFERROR(VLOOKUP($C4278,Observaciones!$A:$B,2,FALSE)," ")</f>
        <v>SEGUN INFORME VENDEDOR</v>
      </c>
      <c r="M4278" t="s">
        <v>681</v>
      </c>
      <c r="O4278" s="5">
        <v>30857224</v>
      </c>
      <c r="P4278" s="5">
        <v>382661</v>
      </c>
      <c r="Q4278" s="5">
        <v>72706</v>
      </c>
      <c r="R4278" s="5">
        <v>474244</v>
      </c>
    </row>
    <row r="4279" spans="1:18" x14ac:dyDescent="0.25">
      <c r="A4279" t="s">
        <v>1326</v>
      </c>
      <c r="B4279" t="s">
        <v>494</v>
      </c>
      <c r="C4279">
        <v>93007000</v>
      </c>
      <c r="D4279">
        <v>32</v>
      </c>
      <c r="E4279">
        <v>30857224</v>
      </c>
      <c r="F4279" t="s">
        <v>1602</v>
      </c>
      <c r="G4279" s="1">
        <v>45236</v>
      </c>
      <c r="H4279">
        <v>5413877</v>
      </c>
      <c r="I4279">
        <v>81</v>
      </c>
      <c r="J4279" t="s">
        <v>144</v>
      </c>
      <c r="K4279" t="str">
        <f>IFERROR(IF(AND(VLOOKUP($C4279,Hes!$A:$B, 1, FALSE), $M4279&lt;&gt;" "), "Ingresada", "Falta Ingresar"), " ")</f>
        <v xml:space="preserve"> </v>
      </c>
      <c r="L4279" s="4" t="str">
        <f>IFERROR(VLOOKUP($C4279,Observaciones!$A:$B,2,FALSE)," ")</f>
        <v>SEGUN INFORME VENDEDOR</v>
      </c>
      <c r="M4279" t="s">
        <v>681</v>
      </c>
      <c r="O4279" s="5">
        <v>30857224</v>
      </c>
      <c r="P4279" s="5">
        <v>57777</v>
      </c>
      <c r="Q4279" s="5">
        <v>10978</v>
      </c>
      <c r="R4279" s="5">
        <v>68755</v>
      </c>
    </row>
    <row r="4280" spans="1:18" x14ac:dyDescent="0.25">
      <c r="A4280" t="s">
        <v>1326</v>
      </c>
      <c r="B4280" t="s">
        <v>494</v>
      </c>
      <c r="C4280">
        <v>93007000</v>
      </c>
      <c r="D4280">
        <v>5023</v>
      </c>
      <c r="E4280">
        <v>30861263</v>
      </c>
      <c r="F4280" t="s">
        <v>1602</v>
      </c>
      <c r="G4280" s="1">
        <v>45238</v>
      </c>
      <c r="H4280">
        <v>5414960</v>
      </c>
      <c r="I4280">
        <v>81</v>
      </c>
      <c r="J4280" t="s">
        <v>144</v>
      </c>
      <c r="K4280" t="str">
        <f>IFERROR(IF(AND(VLOOKUP($C4280,Hes!$A:$B, 1, FALSE), $M4280&lt;&gt;" "), "Ingresada", "Falta Ingresar"), " ")</f>
        <v xml:space="preserve"> </v>
      </c>
      <c r="L4280" s="4" t="str">
        <f>IFERROR(VLOOKUP($C4280,Observaciones!$A:$B,2,FALSE)," ")</f>
        <v>SEGUN INFORME VENDEDOR</v>
      </c>
      <c r="M4280" t="s">
        <v>681</v>
      </c>
      <c r="O4280" s="5">
        <v>30861263</v>
      </c>
      <c r="P4280" s="5">
        <v>1017687</v>
      </c>
      <c r="Q4280" s="5">
        <v>193361</v>
      </c>
      <c r="R4280" s="5">
        <v>1211048</v>
      </c>
    </row>
    <row r="4281" spans="1:18" x14ac:dyDescent="0.25">
      <c r="A4281" t="s">
        <v>1326</v>
      </c>
      <c r="B4281" t="s">
        <v>494</v>
      </c>
      <c r="C4281">
        <v>93007000</v>
      </c>
      <c r="D4281">
        <v>21</v>
      </c>
      <c r="E4281">
        <v>30864277</v>
      </c>
      <c r="F4281" t="s">
        <v>1602</v>
      </c>
      <c r="G4281" s="1">
        <v>45238</v>
      </c>
      <c r="H4281">
        <v>5415667</v>
      </c>
      <c r="I4281">
        <v>81</v>
      </c>
      <c r="J4281" t="s">
        <v>144</v>
      </c>
      <c r="K4281" t="str">
        <f>IFERROR(IF(AND(VLOOKUP($C4281,Hes!$A:$B, 1, FALSE), $M4281&lt;&gt;" "), "Ingresada", "Falta Ingresar"), " ")</f>
        <v xml:space="preserve"> </v>
      </c>
      <c r="L4281" s="4" t="str">
        <f>IFERROR(VLOOKUP($C4281,Observaciones!$A:$B,2,FALSE)," ")</f>
        <v>SEGUN INFORME VENDEDOR</v>
      </c>
      <c r="M4281" t="s">
        <v>681</v>
      </c>
      <c r="O4281" s="5">
        <v>30864277</v>
      </c>
      <c r="P4281" s="5">
        <v>176858</v>
      </c>
      <c r="Q4281" s="5">
        <v>33603</v>
      </c>
      <c r="R4281" s="5">
        <v>218672</v>
      </c>
    </row>
    <row r="4282" spans="1:18" x14ac:dyDescent="0.25">
      <c r="F4282" t="s">
        <v>498</v>
      </c>
      <c r="K4282" t="str">
        <f>IFERROR(IF(AND(VLOOKUP($C4282,Hes!$A:$B, 1, FALSE), $M4282&lt;&gt;" "), "Ingresada", "Falta Ingresar"), " ")</f>
        <v xml:space="preserve"> </v>
      </c>
      <c r="L4282" s="4" t="str">
        <f>IFERROR(VLOOKUP($C4282,Observaciones!$A:$B,2,FALSE)," ")</f>
        <v xml:space="preserve"> </v>
      </c>
      <c r="M4282" t="s">
        <v>681</v>
      </c>
      <c r="P4282" s="5">
        <v>1634983</v>
      </c>
      <c r="Q4282" s="5">
        <v>310648</v>
      </c>
      <c r="R4282" s="5">
        <v>1972719</v>
      </c>
    </row>
    <row r="4283" spans="1:18" x14ac:dyDescent="0.25">
      <c r="A4283" t="s">
        <v>1603</v>
      </c>
      <c r="B4283" t="s">
        <v>494</v>
      </c>
      <c r="C4283">
        <v>93077000</v>
      </c>
      <c r="D4283">
        <v>6</v>
      </c>
      <c r="E4283">
        <v>4200279218</v>
      </c>
      <c r="F4283" t="s">
        <v>1604</v>
      </c>
      <c r="G4283" s="1">
        <v>45232</v>
      </c>
      <c r="H4283">
        <v>5410674</v>
      </c>
      <c r="I4283">
        <v>18</v>
      </c>
      <c r="J4283" t="s">
        <v>168</v>
      </c>
      <c r="K4283" t="str">
        <f>IFERROR(IF(AND(VLOOKUP($C4283,Hes!$A:$B, 1, FALSE), $M4283&lt;&gt;" "), "Ingresada", "Falta Ingresar"), " ")</f>
        <v xml:space="preserve"> </v>
      </c>
      <c r="L4283" s="4" t="str">
        <f>IFERROR(VLOOKUP($C4283,Observaciones!$A:$B,2,FALSE)," ")</f>
        <v xml:space="preserve"> </v>
      </c>
      <c r="M4283" t="s">
        <v>681</v>
      </c>
      <c r="O4283" s="5">
        <v>30829278</v>
      </c>
      <c r="P4283" s="5">
        <v>267500</v>
      </c>
      <c r="Q4283" s="5">
        <v>50825</v>
      </c>
      <c r="R4283" s="5">
        <v>318325</v>
      </c>
    </row>
    <row r="4284" spans="1:18" x14ac:dyDescent="0.25">
      <c r="A4284" t="s">
        <v>1603</v>
      </c>
      <c r="B4284" t="s">
        <v>494</v>
      </c>
      <c r="C4284">
        <v>93077000</v>
      </c>
      <c r="D4284">
        <v>3</v>
      </c>
      <c r="E4284">
        <v>30844709</v>
      </c>
      <c r="F4284" t="s">
        <v>1604</v>
      </c>
      <c r="G4284" s="1">
        <v>45232</v>
      </c>
      <c r="H4284">
        <v>5410744</v>
      </c>
      <c r="I4284">
        <v>176</v>
      </c>
      <c r="J4284" t="s">
        <v>158</v>
      </c>
      <c r="K4284" t="str">
        <f>IFERROR(IF(AND(VLOOKUP($C4284,Hes!$A:$B, 1, FALSE), $M4284&lt;&gt;" "), "Ingresada", "Falta Ingresar"), " ")</f>
        <v xml:space="preserve"> </v>
      </c>
      <c r="L4284" s="4" t="str">
        <f>IFERROR(VLOOKUP($C4284,Observaciones!$A:$B,2,FALSE)," ")</f>
        <v xml:space="preserve"> </v>
      </c>
      <c r="M4284" t="s">
        <v>681</v>
      </c>
      <c r="O4284" s="5">
        <v>30844709</v>
      </c>
      <c r="P4284" s="5">
        <v>75587</v>
      </c>
      <c r="Q4284" s="5">
        <v>14362</v>
      </c>
      <c r="R4284" s="5">
        <v>89949</v>
      </c>
    </row>
    <row r="4285" spans="1:18" x14ac:dyDescent="0.25">
      <c r="A4285" t="s">
        <v>1603</v>
      </c>
      <c r="B4285" t="s">
        <v>494</v>
      </c>
      <c r="C4285">
        <v>93077000</v>
      </c>
      <c r="D4285">
        <v>7</v>
      </c>
      <c r="E4285">
        <v>30846643</v>
      </c>
      <c r="F4285" t="s">
        <v>1604</v>
      </c>
      <c r="G4285" s="1">
        <v>45234</v>
      </c>
      <c r="H4285">
        <v>5411779</v>
      </c>
      <c r="I4285">
        <v>18</v>
      </c>
      <c r="J4285" t="s">
        <v>168</v>
      </c>
      <c r="K4285" t="str">
        <f>IFERROR(IF(AND(VLOOKUP($C4285,Hes!$A:$B, 1, FALSE), $M4285&lt;&gt;" "), "Ingresada", "Falta Ingresar"), " ")</f>
        <v xml:space="preserve"> </v>
      </c>
      <c r="L4285" s="4" t="str">
        <f>IFERROR(VLOOKUP($C4285,Observaciones!$A:$B,2,FALSE)," ")</f>
        <v xml:space="preserve"> </v>
      </c>
      <c r="M4285" t="s">
        <v>681</v>
      </c>
      <c r="O4285" s="5">
        <v>30846643</v>
      </c>
      <c r="P4285" s="5">
        <v>1327675</v>
      </c>
      <c r="Q4285" s="5">
        <v>252258</v>
      </c>
      <c r="R4285" s="5">
        <v>1579933</v>
      </c>
    </row>
    <row r="4286" spans="1:18" x14ac:dyDescent="0.25">
      <c r="A4286" t="s">
        <v>1603</v>
      </c>
      <c r="B4286" t="s">
        <v>494</v>
      </c>
      <c r="C4286">
        <v>93077000</v>
      </c>
      <c r="D4286">
        <v>7</v>
      </c>
      <c r="E4286">
        <v>30846643</v>
      </c>
      <c r="F4286" t="s">
        <v>1604</v>
      </c>
      <c r="G4286" s="1">
        <v>45234</v>
      </c>
      <c r="H4286">
        <v>5411780</v>
      </c>
      <c r="I4286">
        <v>18</v>
      </c>
      <c r="J4286" t="s">
        <v>168</v>
      </c>
      <c r="K4286" t="str">
        <f>IFERROR(IF(AND(VLOOKUP($C4286,Hes!$A:$B, 1, FALSE), $M4286&lt;&gt;" "), "Ingresada", "Falta Ingresar"), " ")</f>
        <v xml:space="preserve"> </v>
      </c>
      <c r="L4286" s="4" t="str">
        <f>IFERROR(VLOOKUP($C4286,Observaciones!$A:$B,2,FALSE)," ")</f>
        <v xml:space="preserve"> </v>
      </c>
      <c r="M4286" t="s">
        <v>681</v>
      </c>
      <c r="O4286" s="5">
        <v>30846643</v>
      </c>
      <c r="P4286" s="5">
        <v>342884</v>
      </c>
      <c r="Q4286" s="5">
        <v>65148</v>
      </c>
      <c r="R4286" s="5">
        <v>408032</v>
      </c>
    </row>
    <row r="4287" spans="1:18" x14ac:dyDescent="0.25">
      <c r="A4287" t="s">
        <v>1603</v>
      </c>
      <c r="B4287" t="s">
        <v>494</v>
      </c>
      <c r="C4287">
        <v>93077000</v>
      </c>
      <c r="D4287">
        <v>41</v>
      </c>
      <c r="E4287">
        <v>30842158</v>
      </c>
      <c r="F4287" t="s">
        <v>1604</v>
      </c>
      <c r="G4287" s="1">
        <v>45234</v>
      </c>
      <c r="H4287">
        <v>5411781</v>
      </c>
      <c r="I4287">
        <v>176</v>
      </c>
      <c r="J4287" t="s">
        <v>158</v>
      </c>
      <c r="K4287" t="str">
        <f>IFERROR(IF(AND(VLOOKUP($C4287,Hes!$A:$B, 1, FALSE), $M4287&lt;&gt;" "), "Ingresada", "Falta Ingresar"), " ")</f>
        <v xml:space="preserve"> </v>
      </c>
      <c r="L4287" s="4" t="str">
        <f>IFERROR(VLOOKUP($C4287,Observaciones!$A:$B,2,FALSE)," ")</f>
        <v xml:space="preserve"> </v>
      </c>
      <c r="M4287" t="s">
        <v>681</v>
      </c>
      <c r="O4287" s="5">
        <v>30842158</v>
      </c>
      <c r="P4287" s="5">
        <v>516594</v>
      </c>
      <c r="Q4287" s="5">
        <v>98153</v>
      </c>
      <c r="R4287" s="5">
        <v>614747</v>
      </c>
    </row>
    <row r="4288" spans="1:18" x14ac:dyDescent="0.25">
      <c r="A4288" t="s">
        <v>1603</v>
      </c>
      <c r="B4288" t="s">
        <v>494</v>
      </c>
      <c r="C4288">
        <v>93077000</v>
      </c>
      <c r="D4288">
        <v>56</v>
      </c>
      <c r="E4288">
        <v>30840648</v>
      </c>
      <c r="F4288" t="s">
        <v>1604</v>
      </c>
      <c r="G4288" s="1">
        <v>45234</v>
      </c>
      <c r="H4288">
        <v>5411793</v>
      </c>
      <c r="I4288">
        <v>176</v>
      </c>
      <c r="J4288" t="s">
        <v>158</v>
      </c>
      <c r="K4288" t="str">
        <f>IFERROR(IF(AND(VLOOKUP($C4288,Hes!$A:$B, 1, FALSE), $M4288&lt;&gt;" "), "Ingresada", "Falta Ingresar"), " ")</f>
        <v xml:space="preserve"> </v>
      </c>
      <c r="L4288" s="4" t="str">
        <f>IFERROR(VLOOKUP($C4288,Observaciones!$A:$B,2,FALSE)," ")</f>
        <v xml:space="preserve"> </v>
      </c>
      <c r="M4288" t="s">
        <v>681</v>
      </c>
      <c r="O4288" s="5">
        <v>30840648</v>
      </c>
      <c r="P4288" s="5">
        <v>269588</v>
      </c>
      <c r="Q4288" s="5">
        <v>51222</v>
      </c>
      <c r="R4288" s="5">
        <v>320810</v>
      </c>
    </row>
    <row r="4289" spans="1:18" x14ac:dyDescent="0.25">
      <c r="A4289" t="s">
        <v>1603</v>
      </c>
      <c r="B4289" t="s">
        <v>494</v>
      </c>
      <c r="C4289">
        <v>93077000</v>
      </c>
      <c r="D4289">
        <v>59</v>
      </c>
      <c r="E4289">
        <v>30846619</v>
      </c>
      <c r="F4289" t="s">
        <v>1604</v>
      </c>
      <c r="G4289" s="1">
        <v>45234</v>
      </c>
      <c r="H4289">
        <v>5411805</v>
      </c>
      <c r="I4289">
        <v>18</v>
      </c>
      <c r="J4289" t="s">
        <v>168</v>
      </c>
      <c r="K4289" t="str">
        <f>IFERROR(IF(AND(VLOOKUP($C4289,Hes!$A:$B, 1, FALSE), $M4289&lt;&gt;" "), "Ingresada", "Falta Ingresar"), " ")</f>
        <v xml:space="preserve"> </v>
      </c>
      <c r="L4289" s="4" t="str">
        <f>IFERROR(VLOOKUP($C4289,Observaciones!$A:$B,2,FALSE)," ")</f>
        <v xml:space="preserve"> </v>
      </c>
      <c r="M4289" t="s">
        <v>681</v>
      </c>
      <c r="O4289" s="5">
        <v>30846619</v>
      </c>
      <c r="P4289" s="5">
        <v>408203</v>
      </c>
      <c r="Q4289" s="5">
        <v>77559</v>
      </c>
      <c r="R4289" s="5">
        <v>485762</v>
      </c>
    </row>
    <row r="4290" spans="1:18" x14ac:dyDescent="0.25">
      <c r="A4290" t="s">
        <v>1603</v>
      </c>
      <c r="B4290" t="s">
        <v>494</v>
      </c>
      <c r="C4290">
        <v>93077000</v>
      </c>
      <c r="D4290">
        <v>17</v>
      </c>
      <c r="E4290">
        <v>30860053</v>
      </c>
      <c r="F4290" t="s">
        <v>1604</v>
      </c>
      <c r="G4290" s="1">
        <v>45237</v>
      </c>
      <c r="H4290">
        <v>5414261</v>
      </c>
      <c r="I4290">
        <v>176</v>
      </c>
      <c r="J4290" t="s">
        <v>158</v>
      </c>
      <c r="K4290" t="str">
        <f>IFERROR(IF(AND(VLOOKUP($C4290,Hes!$A:$B, 1, FALSE), $M4290&lt;&gt;" "), "Ingresada", "Falta Ingresar"), " ")</f>
        <v xml:space="preserve"> </v>
      </c>
      <c r="L4290" s="4" t="str">
        <f>IFERROR(VLOOKUP($C4290,Observaciones!$A:$B,2,FALSE)," ")</f>
        <v xml:space="preserve"> </v>
      </c>
      <c r="M4290" t="s">
        <v>681</v>
      </c>
      <c r="O4290" s="5">
        <v>30860053</v>
      </c>
      <c r="P4290" s="5">
        <v>414385</v>
      </c>
      <c r="Q4290" s="5">
        <v>78733</v>
      </c>
      <c r="R4290" s="5">
        <v>493118</v>
      </c>
    </row>
    <row r="4291" spans="1:18" x14ac:dyDescent="0.25">
      <c r="A4291" t="s">
        <v>1603</v>
      </c>
      <c r="B4291" t="s">
        <v>494</v>
      </c>
      <c r="C4291">
        <v>93077000</v>
      </c>
      <c r="D4291">
        <v>2</v>
      </c>
      <c r="E4291">
        <v>30860073</v>
      </c>
      <c r="F4291" t="s">
        <v>1604</v>
      </c>
      <c r="G4291" s="1">
        <v>45237</v>
      </c>
      <c r="H4291">
        <v>5414272</v>
      </c>
      <c r="I4291">
        <v>176</v>
      </c>
      <c r="J4291" t="s">
        <v>158</v>
      </c>
      <c r="K4291" t="str">
        <f>IFERROR(IF(AND(VLOOKUP($C4291,Hes!$A:$B, 1, FALSE), $M4291&lt;&gt;" "), "Ingresada", "Falta Ingresar"), " ")</f>
        <v xml:space="preserve"> </v>
      </c>
      <c r="L4291" s="4" t="str">
        <f>IFERROR(VLOOKUP($C4291,Observaciones!$A:$B,2,FALSE)," ")</f>
        <v xml:space="preserve"> </v>
      </c>
      <c r="M4291" t="s">
        <v>681</v>
      </c>
      <c r="O4291" s="5">
        <v>30860073</v>
      </c>
      <c r="P4291" s="5">
        <v>238442</v>
      </c>
      <c r="Q4291" s="5">
        <v>45304</v>
      </c>
      <c r="R4291" s="5">
        <v>283746</v>
      </c>
    </row>
    <row r="4292" spans="1:18" x14ac:dyDescent="0.25">
      <c r="A4292" t="s">
        <v>1603</v>
      </c>
      <c r="B4292" t="s">
        <v>494</v>
      </c>
      <c r="C4292">
        <v>93077000</v>
      </c>
      <c r="D4292">
        <v>15</v>
      </c>
      <c r="E4292">
        <v>30860012</v>
      </c>
      <c r="F4292" t="s">
        <v>1604</v>
      </c>
      <c r="G4292" s="1">
        <v>45238</v>
      </c>
      <c r="H4292">
        <v>5415152</v>
      </c>
      <c r="I4292">
        <v>176</v>
      </c>
      <c r="J4292" t="s">
        <v>158</v>
      </c>
      <c r="K4292" t="str">
        <f>IFERROR(IF(AND(VLOOKUP($C4292,Hes!$A:$B, 1, FALSE), $M4292&lt;&gt;" "), "Ingresada", "Falta Ingresar"), " ")</f>
        <v xml:space="preserve"> </v>
      </c>
      <c r="L4292" s="4" t="str">
        <f>IFERROR(VLOOKUP($C4292,Observaciones!$A:$B,2,FALSE)," ")</f>
        <v xml:space="preserve"> </v>
      </c>
      <c r="M4292" t="s">
        <v>681</v>
      </c>
      <c r="O4292" s="5">
        <v>30860012</v>
      </c>
      <c r="P4292" s="5">
        <v>195180</v>
      </c>
      <c r="Q4292" s="5">
        <v>37084</v>
      </c>
      <c r="R4292" s="5">
        <v>232264</v>
      </c>
    </row>
    <row r="4293" spans="1:18" x14ac:dyDescent="0.25">
      <c r="A4293" t="s">
        <v>1603</v>
      </c>
      <c r="B4293" t="s">
        <v>494</v>
      </c>
      <c r="C4293">
        <v>93077000</v>
      </c>
      <c r="D4293">
        <v>7</v>
      </c>
      <c r="E4293">
        <v>30864760</v>
      </c>
      <c r="F4293" t="s">
        <v>1604</v>
      </c>
      <c r="G4293" s="1">
        <v>45238</v>
      </c>
      <c r="H4293">
        <v>5415741</v>
      </c>
      <c r="I4293">
        <v>176</v>
      </c>
      <c r="J4293" t="s">
        <v>158</v>
      </c>
      <c r="K4293" t="str">
        <f>IFERROR(IF(AND(VLOOKUP($C4293,Hes!$A:$B, 1, FALSE), $M4293&lt;&gt;" "), "Ingresada", "Falta Ingresar"), " ")</f>
        <v xml:space="preserve"> </v>
      </c>
      <c r="L4293" s="4" t="str">
        <f>IFERROR(VLOOKUP($C4293,Observaciones!$A:$B,2,FALSE)," ")</f>
        <v xml:space="preserve"> </v>
      </c>
      <c r="M4293" t="s">
        <v>681</v>
      </c>
      <c r="O4293" s="5">
        <v>30864760</v>
      </c>
      <c r="P4293" s="5">
        <v>654222</v>
      </c>
      <c r="Q4293" s="5">
        <v>124302</v>
      </c>
      <c r="R4293" s="5">
        <v>778524</v>
      </c>
    </row>
    <row r="4294" spans="1:18" x14ac:dyDescent="0.25">
      <c r="F4294" t="s">
        <v>510</v>
      </c>
      <c r="K4294" t="str">
        <f>IFERROR(IF(AND(VLOOKUP($C4294,Hes!$A:$B, 1, FALSE), $M4294&lt;&gt;" "), "Ingresada", "Falta Ingresar"), " ")</f>
        <v xml:space="preserve"> </v>
      </c>
      <c r="L4294" s="4" t="str">
        <f>IFERROR(VLOOKUP($C4294,Observaciones!$A:$B,2,FALSE)," ")</f>
        <v xml:space="preserve"> </v>
      </c>
      <c r="M4294" t="s">
        <v>681</v>
      </c>
      <c r="P4294" s="5">
        <v>4710260</v>
      </c>
      <c r="Q4294" s="5">
        <v>894950</v>
      </c>
      <c r="R4294" s="5">
        <v>5605210</v>
      </c>
    </row>
    <row r="4295" spans="1:18" x14ac:dyDescent="0.25">
      <c r="A4295" t="s">
        <v>496</v>
      </c>
      <c r="B4295" t="s">
        <v>494</v>
      </c>
      <c r="C4295">
        <v>93458000</v>
      </c>
      <c r="D4295">
        <v>0</v>
      </c>
      <c r="E4295">
        <v>4506362740</v>
      </c>
      <c r="F4295" t="s">
        <v>625</v>
      </c>
      <c r="G4295" s="1">
        <v>45236</v>
      </c>
      <c r="H4295">
        <v>5413563</v>
      </c>
      <c r="I4295">
        <v>81</v>
      </c>
      <c r="J4295" t="s">
        <v>144</v>
      </c>
      <c r="K4295" s="8" t="str">
        <f>IFERROR(IF(AND(VLOOKUP($C4295,Hes!$A:$B, 1, FALSE), $M4295&lt;&gt;" "), "Ingresada", "Falta Ingresar"), " ")</f>
        <v>Falta Ingresar</v>
      </c>
      <c r="L4295" s="4" t="str">
        <f>IFERROR(VLOOKUP($C4295,Observaciones!$A:$B,2,FALSE)," ")</f>
        <v>XOC Y CC</v>
      </c>
      <c r="M4295" t="s">
        <v>681</v>
      </c>
      <c r="N4295" s="5" t="s">
        <v>841</v>
      </c>
      <c r="O4295" s="5">
        <v>30854212</v>
      </c>
      <c r="P4295" s="5">
        <v>117340</v>
      </c>
      <c r="Q4295" s="5">
        <v>22295</v>
      </c>
      <c r="R4295" s="5">
        <v>143715</v>
      </c>
    </row>
    <row r="4296" spans="1:18" x14ac:dyDescent="0.25">
      <c r="F4296" t="s">
        <v>495</v>
      </c>
      <c r="K4296" t="str">
        <f>IFERROR(IF(AND(VLOOKUP($C4296,Hes!$A:$B, 1, FALSE), $M4296&lt;&gt;" "), "Ingresada", "Falta Ingresar"), " ")</f>
        <v xml:space="preserve"> </v>
      </c>
      <c r="L4296" s="4" t="str">
        <f>IFERROR(VLOOKUP($C4296,Observaciones!$A:$B,2,FALSE)," ")</f>
        <v xml:space="preserve"> </v>
      </c>
      <c r="M4296" t="s">
        <v>681</v>
      </c>
      <c r="P4296" s="5">
        <v>117340</v>
      </c>
      <c r="Q4296" s="5">
        <v>22295</v>
      </c>
      <c r="R4296" s="5">
        <v>143715</v>
      </c>
    </row>
    <row r="4297" spans="1:18" x14ac:dyDescent="0.25">
      <c r="A4297" t="s">
        <v>496</v>
      </c>
      <c r="B4297" t="s">
        <v>494</v>
      </c>
      <c r="C4297">
        <v>93626000</v>
      </c>
      <c r="D4297">
        <v>100</v>
      </c>
      <c r="E4297" t="s">
        <v>1605</v>
      </c>
      <c r="F4297" t="s">
        <v>1606</v>
      </c>
      <c r="G4297" s="1">
        <v>45232</v>
      </c>
      <c r="H4297">
        <v>5410697</v>
      </c>
      <c r="I4297">
        <v>81</v>
      </c>
      <c r="J4297" t="s">
        <v>144</v>
      </c>
      <c r="K4297" t="str">
        <f>IFERROR(IF(AND(VLOOKUP($C4297,Hes!$A:$B, 1, FALSE), $M4297&lt;&gt;" "), "Ingresada", "Falta Ingresar"), " ")</f>
        <v xml:space="preserve"> </v>
      </c>
      <c r="L4297" s="4" t="s">
        <v>681</v>
      </c>
      <c r="M4297" t="s">
        <v>681</v>
      </c>
      <c r="O4297" s="5">
        <v>30839755</v>
      </c>
      <c r="P4297" s="5">
        <v>702610</v>
      </c>
      <c r="Q4297" s="5">
        <v>133496</v>
      </c>
      <c r="R4297" s="5">
        <v>900225</v>
      </c>
    </row>
    <row r="4298" spans="1:18" x14ac:dyDescent="0.25">
      <c r="A4298" t="s">
        <v>496</v>
      </c>
      <c r="B4298" t="s">
        <v>494</v>
      </c>
      <c r="C4298">
        <v>93626000</v>
      </c>
      <c r="D4298">
        <v>100</v>
      </c>
      <c r="E4298" t="s">
        <v>1607</v>
      </c>
      <c r="F4298" t="s">
        <v>1606</v>
      </c>
      <c r="G4298" s="1">
        <v>45238</v>
      </c>
      <c r="H4298">
        <v>5415772</v>
      </c>
      <c r="I4298">
        <v>81</v>
      </c>
      <c r="J4298" t="s">
        <v>144</v>
      </c>
      <c r="K4298" t="str">
        <f>IFERROR(IF(AND(VLOOKUP($C4298,Hes!$A:$B, 1, FALSE), $M4298&lt;&gt;" "), "Ingresada", "Falta Ingresar"), " ")</f>
        <v xml:space="preserve"> </v>
      </c>
      <c r="L4298" s="4" t="s">
        <v>681</v>
      </c>
      <c r="M4298" t="s">
        <v>681</v>
      </c>
      <c r="O4298" s="5">
        <v>30839769</v>
      </c>
      <c r="P4298" s="5">
        <v>1163300</v>
      </c>
      <c r="Q4298" s="5">
        <v>221027</v>
      </c>
      <c r="R4298" s="5">
        <v>1425907</v>
      </c>
    </row>
    <row r="4299" spans="1:18" x14ac:dyDescent="0.25">
      <c r="F4299" t="s">
        <v>497</v>
      </c>
      <c r="K4299" t="str">
        <f>IFERROR(IF(AND(VLOOKUP($C4299,Hes!$A:$B, 1, FALSE), $M4299&lt;&gt;" "), "Ingresada", "Falta Ingresar"), " ")</f>
        <v xml:space="preserve"> </v>
      </c>
      <c r="L4299" s="4" t="str">
        <f>IFERROR(VLOOKUP($C4299,Observaciones!$A:$B,2,FALSE)," ")</f>
        <v xml:space="preserve"> </v>
      </c>
      <c r="M4299" t="s">
        <v>681</v>
      </c>
      <c r="P4299" s="5">
        <v>1865910</v>
      </c>
      <c r="Q4299" s="5">
        <v>354523</v>
      </c>
      <c r="R4299" s="5">
        <v>2326132</v>
      </c>
    </row>
    <row r="4300" spans="1:18" x14ac:dyDescent="0.25">
      <c r="A4300" t="s">
        <v>503</v>
      </c>
      <c r="B4300" t="s">
        <v>494</v>
      </c>
      <c r="C4300">
        <v>93658000</v>
      </c>
      <c r="D4300">
        <v>0</v>
      </c>
      <c r="E4300">
        <v>30848930</v>
      </c>
      <c r="F4300" t="s">
        <v>1608</v>
      </c>
      <c r="G4300" s="1">
        <v>45233</v>
      </c>
      <c r="H4300">
        <v>5411649</v>
      </c>
      <c r="I4300">
        <v>63</v>
      </c>
      <c r="J4300" t="s">
        <v>170</v>
      </c>
      <c r="K4300" s="8" t="str">
        <f>IFERROR(IF(AND(VLOOKUP($C4300,Hes!$A:$B, 1, FALSE), $M4300&lt;&gt;" "), "Ingresada", "Falta Ingresar"), " ")</f>
        <v>Falta Ingresar</v>
      </c>
      <c r="L4300" s="4" t="s">
        <v>681</v>
      </c>
      <c r="M4300" t="s">
        <v>681</v>
      </c>
      <c r="N4300" s="5" t="s">
        <v>841</v>
      </c>
      <c r="O4300" s="5">
        <v>30848930</v>
      </c>
      <c r="P4300" s="5">
        <v>80018</v>
      </c>
      <c r="Q4300" s="5">
        <v>15203</v>
      </c>
      <c r="R4300" s="5">
        <v>95221</v>
      </c>
    </row>
    <row r="4301" spans="1:18" x14ac:dyDescent="0.25">
      <c r="A4301" t="s">
        <v>503</v>
      </c>
      <c r="B4301" t="s">
        <v>494</v>
      </c>
      <c r="C4301">
        <v>93658000</v>
      </c>
      <c r="D4301">
        <v>0</v>
      </c>
      <c r="E4301">
        <v>30852145</v>
      </c>
      <c r="F4301" t="s">
        <v>1608</v>
      </c>
      <c r="G4301" s="1">
        <v>45236</v>
      </c>
      <c r="H4301">
        <v>5412361</v>
      </c>
      <c r="I4301">
        <v>63</v>
      </c>
      <c r="J4301" t="s">
        <v>170</v>
      </c>
      <c r="K4301" s="8" t="str">
        <f>IFERROR(IF(AND(VLOOKUP($C4301,Hes!$A:$B, 1, FALSE), $M4301&lt;&gt;" "), "Ingresada", "Falta Ingresar"), " ")</f>
        <v>Falta Ingresar</v>
      </c>
      <c r="L4301" s="4" t="s">
        <v>681</v>
      </c>
      <c r="M4301" t="s">
        <v>681</v>
      </c>
      <c r="N4301" s="5" t="s">
        <v>841</v>
      </c>
      <c r="O4301" s="5">
        <v>30852145</v>
      </c>
      <c r="P4301" s="5">
        <v>568299</v>
      </c>
      <c r="Q4301" s="5">
        <v>107977</v>
      </c>
      <c r="R4301" s="5">
        <v>676276</v>
      </c>
    </row>
    <row r="4302" spans="1:18" x14ac:dyDescent="0.25">
      <c r="A4302" t="s">
        <v>503</v>
      </c>
      <c r="B4302" t="s">
        <v>494</v>
      </c>
      <c r="C4302">
        <v>93658000</v>
      </c>
      <c r="D4302">
        <v>0</v>
      </c>
      <c r="E4302">
        <v>30852045</v>
      </c>
      <c r="F4302" t="s">
        <v>1608</v>
      </c>
      <c r="G4302" s="1">
        <v>45236</v>
      </c>
      <c r="H4302">
        <v>5412444</v>
      </c>
      <c r="I4302">
        <v>63</v>
      </c>
      <c r="J4302" t="s">
        <v>170</v>
      </c>
      <c r="K4302" s="8" t="str">
        <f>IFERROR(IF(AND(VLOOKUP($C4302,Hes!$A:$B, 1, FALSE), $M4302&lt;&gt;" "), "Ingresada", "Falta Ingresar"), " ")</f>
        <v>Falta Ingresar</v>
      </c>
      <c r="L4302" s="4" t="s">
        <v>681</v>
      </c>
      <c r="M4302" t="s">
        <v>681</v>
      </c>
      <c r="N4302" s="5" t="s">
        <v>841</v>
      </c>
      <c r="O4302" s="5">
        <v>30852045</v>
      </c>
      <c r="P4302" s="5">
        <v>1910606</v>
      </c>
      <c r="Q4302" s="5">
        <v>363015</v>
      </c>
      <c r="R4302" s="5">
        <v>2273621</v>
      </c>
    </row>
    <row r="4303" spans="1:18" x14ac:dyDescent="0.25">
      <c r="F4303" t="s">
        <v>500</v>
      </c>
      <c r="K4303" t="str">
        <f>IFERROR(IF(AND(VLOOKUP($C4303,Hes!$A:$B, 1, FALSE), $M4303&lt;&gt;" "), "Ingresada", "Falta Ingresar"), " ")</f>
        <v xml:space="preserve"> </v>
      </c>
      <c r="L4303" s="4" t="str">
        <f>IFERROR(VLOOKUP($C4303,Observaciones!$A:$B,2,FALSE)," ")</f>
        <v xml:space="preserve"> </v>
      </c>
      <c r="M4303" t="s">
        <v>681</v>
      </c>
      <c r="P4303" s="5">
        <v>2558923</v>
      </c>
      <c r="Q4303" s="5">
        <v>486195</v>
      </c>
      <c r="R4303" s="5">
        <v>3045118</v>
      </c>
    </row>
    <row r="4304" spans="1:18" x14ac:dyDescent="0.25">
      <c r="A4304" t="s">
        <v>522</v>
      </c>
      <c r="B4304" t="s">
        <v>494</v>
      </c>
      <c r="C4304">
        <v>93681000</v>
      </c>
      <c r="D4304">
        <v>8</v>
      </c>
      <c r="E4304">
        <v>30860163</v>
      </c>
      <c r="F4304" t="s">
        <v>1609</v>
      </c>
      <c r="G4304" s="1">
        <v>45237</v>
      </c>
      <c r="H4304">
        <v>5414246</v>
      </c>
      <c r="I4304">
        <v>396</v>
      </c>
      <c r="J4304" t="s">
        <v>184</v>
      </c>
      <c r="K4304" t="str">
        <f>IFERROR(IF(AND(VLOOKUP($C4304,Hes!$A:$B, 1, FALSE), $M4304&lt;&gt;" "), "Ingresada", "Falta Ingresar"), " ")</f>
        <v xml:space="preserve"> </v>
      </c>
      <c r="L4304" s="4" t="str">
        <f>IFERROR(VLOOKUP($C4304,Observaciones!$A:$B,2,FALSE)," ")</f>
        <v xml:space="preserve"> </v>
      </c>
      <c r="M4304" t="s">
        <v>681</v>
      </c>
      <c r="O4304" s="5">
        <v>30860163</v>
      </c>
      <c r="P4304" s="5">
        <v>51340</v>
      </c>
      <c r="Q4304" s="5">
        <v>9755</v>
      </c>
      <c r="R4304" s="5">
        <v>61095</v>
      </c>
    </row>
    <row r="4305" spans="1:18" x14ac:dyDescent="0.25">
      <c r="F4305" t="s">
        <v>495</v>
      </c>
      <c r="K4305" t="str">
        <f>IFERROR(IF(AND(VLOOKUP($C4305,Hes!$A:$B, 1, FALSE), $M4305&lt;&gt;" "), "Ingresada", "Falta Ingresar"), " ")</f>
        <v xml:space="preserve"> </v>
      </c>
      <c r="L4305" s="4" t="str">
        <f>IFERROR(VLOOKUP($C4305,Observaciones!$A:$B,2,FALSE)," ")</f>
        <v xml:space="preserve"> </v>
      </c>
      <c r="M4305" t="s">
        <v>681</v>
      </c>
      <c r="P4305" s="5">
        <v>51340</v>
      </c>
      <c r="Q4305" s="5">
        <v>9755</v>
      </c>
      <c r="R4305" s="5">
        <v>61095</v>
      </c>
    </row>
    <row r="4306" spans="1:18" x14ac:dyDescent="0.25">
      <c r="A4306" t="s">
        <v>501</v>
      </c>
      <c r="B4306" t="s">
        <v>494</v>
      </c>
      <c r="C4306">
        <v>93783000</v>
      </c>
      <c r="D4306">
        <v>2</v>
      </c>
      <c r="E4306">
        <v>30854690</v>
      </c>
      <c r="F4306" t="s">
        <v>1610</v>
      </c>
      <c r="G4306" s="1">
        <v>45236</v>
      </c>
      <c r="H4306">
        <v>5413683</v>
      </c>
      <c r="I4306">
        <v>104</v>
      </c>
      <c r="J4306" t="s">
        <v>210</v>
      </c>
      <c r="K4306" t="str">
        <f>IFERROR(IF(AND(VLOOKUP($C4306,Hes!$A:$B, 1, FALSE), $M4306&lt;&gt;" "), "Ingresada", "Falta Ingresar"), " ")</f>
        <v xml:space="preserve"> </v>
      </c>
      <c r="L4306" s="4" t="str">
        <f>IFERROR(VLOOKUP($C4306,Observaciones!$A:$B,2,FALSE)," ")</f>
        <v xml:space="preserve"> </v>
      </c>
      <c r="M4306" t="s">
        <v>681</v>
      </c>
      <c r="O4306" s="5">
        <v>30854690</v>
      </c>
      <c r="P4306" s="5">
        <v>293768</v>
      </c>
      <c r="Q4306" s="5">
        <v>55816</v>
      </c>
      <c r="R4306" s="5">
        <v>364110</v>
      </c>
    </row>
    <row r="4307" spans="1:18" x14ac:dyDescent="0.25">
      <c r="F4307" t="s">
        <v>495</v>
      </c>
      <c r="K4307" t="str">
        <f>IFERROR(IF(AND(VLOOKUP($C4307,Hes!$A:$B, 1, FALSE), $M4307&lt;&gt;" "), "Ingresada", "Falta Ingresar"), " ")</f>
        <v xml:space="preserve"> </v>
      </c>
      <c r="L4307" s="4" t="str">
        <f>IFERROR(VLOOKUP($C4307,Observaciones!$A:$B,2,FALSE)," ")</f>
        <v xml:space="preserve"> </v>
      </c>
      <c r="M4307" t="s">
        <v>681</v>
      </c>
      <c r="P4307" s="5">
        <v>293768</v>
      </c>
      <c r="Q4307" s="5">
        <v>55816</v>
      </c>
      <c r="R4307" s="5">
        <v>364110</v>
      </c>
    </row>
    <row r="4308" spans="1:18" x14ac:dyDescent="0.25">
      <c r="A4308" t="s">
        <v>503</v>
      </c>
      <c r="B4308" t="s">
        <v>494</v>
      </c>
      <c r="C4308">
        <v>93797000</v>
      </c>
      <c r="D4308">
        <v>0</v>
      </c>
      <c r="E4308">
        <v>4503102483</v>
      </c>
      <c r="F4308" t="s">
        <v>1611</v>
      </c>
      <c r="G4308" s="1">
        <v>45236</v>
      </c>
      <c r="H4308">
        <v>5412038</v>
      </c>
      <c r="I4308">
        <v>409</v>
      </c>
      <c r="J4308" t="s">
        <v>186</v>
      </c>
      <c r="K4308" t="str">
        <f>IFERROR(IF(AND(VLOOKUP($C4308,Hes!$A:$B, 1, FALSE), $M4308&lt;&gt;" "), "Ingresada", "Falta Ingresar"), " ")</f>
        <v xml:space="preserve"> </v>
      </c>
      <c r="L4308" s="4" t="str">
        <f>IFERROR(VLOOKUP($C4308,Observaciones!$A:$B,2,FALSE)," ")</f>
        <v xml:space="preserve"> </v>
      </c>
      <c r="M4308" t="s">
        <v>681</v>
      </c>
      <c r="O4308" s="5">
        <v>30841763</v>
      </c>
      <c r="P4308" s="5">
        <v>139800</v>
      </c>
      <c r="Q4308" s="5">
        <v>26562</v>
      </c>
      <c r="R4308" s="5">
        <v>166362</v>
      </c>
    </row>
    <row r="4309" spans="1:18" x14ac:dyDescent="0.25">
      <c r="F4309" t="s">
        <v>495</v>
      </c>
      <c r="K4309" t="str">
        <f>IFERROR(IF(AND(VLOOKUP($C4309,Hes!$A:$B, 1, FALSE), $M4309&lt;&gt;" "), "Ingresada", "Falta Ingresar"), " ")</f>
        <v xml:space="preserve"> </v>
      </c>
      <c r="L4309" s="4" t="str">
        <f>IFERROR(VLOOKUP($C4309,Observaciones!$A:$B,2,FALSE)," ")</f>
        <v xml:space="preserve"> </v>
      </c>
      <c r="M4309" t="s">
        <v>681</v>
      </c>
      <c r="P4309" s="5">
        <v>139800</v>
      </c>
      <c r="Q4309" s="5">
        <v>26562</v>
      </c>
      <c r="R4309" s="5">
        <v>166362</v>
      </c>
    </row>
    <row r="4310" spans="1:18" x14ac:dyDescent="0.25">
      <c r="A4310" t="s">
        <v>501</v>
      </c>
      <c r="B4310" t="s">
        <v>494</v>
      </c>
      <c r="C4310">
        <v>94099000</v>
      </c>
      <c r="D4310">
        <v>10</v>
      </c>
      <c r="E4310">
        <v>30845023</v>
      </c>
      <c r="F4310" t="s">
        <v>1612</v>
      </c>
      <c r="G4310" s="1">
        <v>45232</v>
      </c>
      <c r="H4310">
        <v>5410728</v>
      </c>
      <c r="I4310">
        <v>109</v>
      </c>
      <c r="J4310" t="s">
        <v>392</v>
      </c>
      <c r="K4310" t="str">
        <f>IFERROR(IF(AND(VLOOKUP($C4310,Hes!$A:$B, 1, FALSE), $M4310&lt;&gt;" "), "Ingresada", "Falta Ingresar"), " ")</f>
        <v xml:space="preserve"> </v>
      </c>
      <c r="L4310" s="4" t="str">
        <f>IFERROR(VLOOKUP($C4310,Observaciones!$A:$B,2,FALSE)," ")</f>
        <v xml:space="preserve"> </v>
      </c>
      <c r="M4310" t="s">
        <v>681</v>
      </c>
      <c r="O4310" s="5">
        <v>30845023</v>
      </c>
      <c r="P4310" s="5">
        <v>46362</v>
      </c>
      <c r="Q4310" s="5">
        <v>8809</v>
      </c>
      <c r="R4310" s="5">
        <v>55171</v>
      </c>
    </row>
    <row r="4311" spans="1:18" x14ac:dyDescent="0.25">
      <c r="A4311" t="s">
        <v>501</v>
      </c>
      <c r="B4311" t="s">
        <v>494</v>
      </c>
      <c r="C4311">
        <v>94099000</v>
      </c>
      <c r="D4311">
        <v>16</v>
      </c>
      <c r="E4311">
        <v>30853540</v>
      </c>
      <c r="F4311" t="s">
        <v>1612</v>
      </c>
      <c r="G4311" s="1">
        <v>45236</v>
      </c>
      <c r="H4311">
        <v>5413229</v>
      </c>
      <c r="I4311">
        <v>109</v>
      </c>
      <c r="J4311" t="s">
        <v>392</v>
      </c>
      <c r="K4311" t="str">
        <f>IFERROR(IF(AND(VLOOKUP($C4311,Hes!$A:$B, 1, FALSE), $M4311&lt;&gt;" "), "Ingresada", "Falta Ingresar"), " ")</f>
        <v xml:space="preserve"> </v>
      </c>
      <c r="L4311" s="4" t="str">
        <f>IFERROR(VLOOKUP($C4311,Observaciones!$A:$B,2,FALSE)," ")</f>
        <v xml:space="preserve"> </v>
      </c>
      <c r="M4311" t="s">
        <v>681</v>
      </c>
      <c r="O4311" s="5">
        <v>30853540</v>
      </c>
      <c r="P4311" s="5">
        <v>32736</v>
      </c>
      <c r="Q4311" s="5">
        <v>6220</v>
      </c>
      <c r="R4311" s="5">
        <v>38956</v>
      </c>
    </row>
    <row r="4312" spans="1:18" x14ac:dyDescent="0.25">
      <c r="A4312" t="s">
        <v>501</v>
      </c>
      <c r="B4312" t="s">
        <v>494</v>
      </c>
      <c r="C4312">
        <v>94099000</v>
      </c>
      <c r="D4312">
        <v>10</v>
      </c>
      <c r="E4312">
        <v>30853611</v>
      </c>
      <c r="F4312" t="s">
        <v>1612</v>
      </c>
      <c r="G4312" s="1">
        <v>45236</v>
      </c>
      <c r="H4312">
        <v>5413328</v>
      </c>
      <c r="I4312">
        <v>109</v>
      </c>
      <c r="J4312" t="s">
        <v>392</v>
      </c>
      <c r="K4312" t="str">
        <f>IFERROR(IF(AND(VLOOKUP($C4312,Hes!$A:$B, 1, FALSE), $M4312&lt;&gt;" "), "Ingresada", "Falta Ingresar"), " ")</f>
        <v xml:space="preserve"> </v>
      </c>
      <c r="L4312" s="4" t="str">
        <f>IFERROR(VLOOKUP($C4312,Observaciones!$A:$B,2,FALSE)," ")</f>
        <v xml:space="preserve"> </v>
      </c>
      <c r="M4312" t="s">
        <v>681</v>
      </c>
      <c r="O4312" s="5">
        <v>30853611</v>
      </c>
      <c r="P4312" s="5">
        <v>239224</v>
      </c>
      <c r="Q4312" s="5">
        <v>45453</v>
      </c>
      <c r="R4312" s="5">
        <v>284677</v>
      </c>
    </row>
    <row r="4313" spans="1:18" x14ac:dyDescent="0.25">
      <c r="A4313" t="s">
        <v>501</v>
      </c>
      <c r="B4313" t="s">
        <v>494</v>
      </c>
      <c r="C4313">
        <v>94099000</v>
      </c>
      <c r="D4313">
        <v>40</v>
      </c>
      <c r="E4313">
        <v>30857641</v>
      </c>
      <c r="F4313" t="s">
        <v>1612</v>
      </c>
      <c r="G4313" s="1">
        <v>45236</v>
      </c>
      <c r="H4313">
        <v>5413552</v>
      </c>
      <c r="I4313">
        <v>109</v>
      </c>
      <c r="J4313" t="s">
        <v>392</v>
      </c>
      <c r="K4313" t="str">
        <f>IFERROR(IF(AND(VLOOKUP($C4313,Hes!$A:$B, 1, FALSE), $M4313&lt;&gt;" "), "Ingresada", "Falta Ingresar"), " ")</f>
        <v xml:space="preserve"> </v>
      </c>
      <c r="L4313" s="4" t="str">
        <f>IFERROR(VLOOKUP($C4313,Observaciones!$A:$B,2,FALSE)," ")</f>
        <v xml:space="preserve"> </v>
      </c>
      <c r="M4313" t="s">
        <v>681</v>
      </c>
      <c r="O4313" s="5">
        <v>30857641</v>
      </c>
      <c r="P4313" s="5">
        <v>30622</v>
      </c>
      <c r="Q4313" s="5">
        <v>5818</v>
      </c>
      <c r="R4313" s="5">
        <v>36440</v>
      </c>
    </row>
    <row r="4314" spans="1:18" x14ac:dyDescent="0.25">
      <c r="A4314" t="s">
        <v>501</v>
      </c>
      <c r="B4314" t="s">
        <v>494</v>
      </c>
      <c r="C4314">
        <v>94099000</v>
      </c>
      <c r="D4314">
        <v>53</v>
      </c>
      <c r="E4314">
        <v>30857593</v>
      </c>
      <c r="F4314" t="s">
        <v>1612</v>
      </c>
      <c r="G4314" s="1">
        <v>45236</v>
      </c>
      <c r="H4314">
        <v>5413573</v>
      </c>
      <c r="I4314">
        <v>109</v>
      </c>
      <c r="J4314" t="s">
        <v>392</v>
      </c>
      <c r="K4314" t="str">
        <f>IFERROR(IF(AND(VLOOKUP($C4314,Hes!$A:$B, 1, FALSE), $M4314&lt;&gt;" "), "Ingresada", "Falta Ingresar"), " ")</f>
        <v xml:space="preserve"> </v>
      </c>
      <c r="L4314" s="4" t="str">
        <f>IFERROR(VLOOKUP($C4314,Observaciones!$A:$B,2,FALSE)," ")</f>
        <v xml:space="preserve"> </v>
      </c>
      <c r="M4314" t="s">
        <v>681</v>
      </c>
      <c r="O4314" s="5">
        <v>30857593</v>
      </c>
      <c r="P4314" s="5">
        <v>82230</v>
      </c>
      <c r="Q4314" s="5">
        <v>15624</v>
      </c>
      <c r="R4314" s="5">
        <v>97854</v>
      </c>
    </row>
    <row r="4315" spans="1:18" x14ac:dyDescent="0.25">
      <c r="F4315" t="s">
        <v>499</v>
      </c>
      <c r="K4315" t="str">
        <f>IFERROR(IF(AND(VLOOKUP($C4315,Hes!$A:$B, 1, FALSE), $M4315&lt;&gt;" "), "Ingresada", "Falta Ingresar"), " ")</f>
        <v xml:space="preserve"> </v>
      </c>
      <c r="L4315" s="4" t="str">
        <f>IFERROR(VLOOKUP($C4315,Observaciones!$A:$B,2,FALSE)," ")</f>
        <v xml:space="preserve"> </v>
      </c>
      <c r="M4315" t="s">
        <v>681</v>
      </c>
      <c r="P4315" s="5">
        <v>431174</v>
      </c>
      <c r="Q4315" s="5">
        <v>81924</v>
      </c>
      <c r="R4315" s="5">
        <v>513098</v>
      </c>
    </row>
    <row r="4316" spans="1:18" x14ac:dyDescent="0.25">
      <c r="A4316" t="s">
        <v>1613</v>
      </c>
      <c r="B4316" t="s">
        <v>494</v>
      </c>
      <c r="C4316">
        <v>94141000</v>
      </c>
      <c r="D4316">
        <v>54</v>
      </c>
      <c r="E4316">
        <v>30857920</v>
      </c>
      <c r="F4316" t="s">
        <v>1614</v>
      </c>
      <c r="G4316" s="1">
        <v>45236</v>
      </c>
      <c r="H4316">
        <v>5413622</v>
      </c>
      <c r="I4316">
        <v>25</v>
      </c>
      <c r="J4316" t="s">
        <v>323</v>
      </c>
      <c r="K4316" t="str">
        <f>IFERROR(IF(AND(VLOOKUP($C4316,Hes!$A:$B, 1, FALSE), $M4316&lt;&gt;" "), "Ingresada", "Falta Ingresar"), " ")</f>
        <v xml:space="preserve"> </v>
      </c>
      <c r="L4316" s="4" t="str">
        <f>IFERROR(VLOOKUP($C4316,Observaciones!$A:$B,2,FALSE)," ")</f>
        <v>ULTIMO DIA, ESPERAR INFORME DE LUCIA, DEBE CUADRAR MONTOS</v>
      </c>
      <c r="M4316" t="s">
        <v>681</v>
      </c>
      <c r="O4316" s="5">
        <v>30857920</v>
      </c>
      <c r="P4316" s="5">
        <v>247687</v>
      </c>
      <c r="Q4316" s="5">
        <v>47061</v>
      </c>
      <c r="R4316" s="5">
        <v>294748</v>
      </c>
    </row>
    <row r="4317" spans="1:18" x14ac:dyDescent="0.25">
      <c r="A4317" t="s">
        <v>1613</v>
      </c>
      <c r="B4317" t="s">
        <v>494</v>
      </c>
      <c r="C4317">
        <v>94141000</v>
      </c>
      <c r="D4317">
        <v>201</v>
      </c>
      <c r="E4317">
        <v>30858428</v>
      </c>
      <c r="F4317" t="s">
        <v>1614</v>
      </c>
      <c r="G4317" s="1">
        <v>45237</v>
      </c>
      <c r="H4317">
        <v>5414050</v>
      </c>
      <c r="I4317">
        <v>25</v>
      </c>
      <c r="J4317" t="s">
        <v>323</v>
      </c>
      <c r="K4317" t="str">
        <f>IFERROR(IF(AND(VLOOKUP($C4317,Hes!$A:$B, 1, FALSE), $M4317&lt;&gt;" "), "Ingresada", "Falta Ingresar"), " ")</f>
        <v xml:space="preserve"> </v>
      </c>
      <c r="L4317" s="4" t="str">
        <f>IFERROR(VLOOKUP($C4317,Observaciones!$A:$B,2,FALSE)," ")</f>
        <v>ULTIMO DIA, ESPERAR INFORME DE LUCIA, DEBE CUADRAR MONTOS</v>
      </c>
      <c r="M4317" t="s">
        <v>681</v>
      </c>
      <c r="O4317" s="5">
        <v>30858428</v>
      </c>
      <c r="P4317" s="5">
        <v>24964</v>
      </c>
      <c r="Q4317" s="5">
        <v>4743</v>
      </c>
      <c r="R4317" s="5">
        <v>29707</v>
      </c>
    </row>
    <row r="4318" spans="1:18" x14ac:dyDescent="0.25">
      <c r="A4318" t="s">
        <v>1613</v>
      </c>
      <c r="B4318" t="s">
        <v>494</v>
      </c>
      <c r="C4318">
        <v>94141000</v>
      </c>
      <c r="D4318">
        <v>72</v>
      </c>
      <c r="E4318">
        <v>30858412</v>
      </c>
      <c r="F4318" t="s">
        <v>1614</v>
      </c>
      <c r="G4318" s="1">
        <v>45237</v>
      </c>
      <c r="H4318">
        <v>5414054</v>
      </c>
      <c r="I4318">
        <v>25</v>
      </c>
      <c r="J4318" t="s">
        <v>323</v>
      </c>
      <c r="K4318" t="str">
        <f>IFERROR(IF(AND(VLOOKUP($C4318,Hes!$A:$B, 1, FALSE), $M4318&lt;&gt;" "), "Ingresada", "Falta Ingresar"), " ")</f>
        <v xml:space="preserve"> </v>
      </c>
      <c r="L4318" s="4" t="str">
        <f>IFERROR(VLOOKUP($C4318,Observaciones!$A:$B,2,FALSE)," ")</f>
        <v>ULTIMO DIA, ESPERAR INFORME DE LUCIA, DEBE CUADRAR MONTOS</v>
      </c>
      <c r="M4318" t="s">
        <v>681</v>
      </c>
      <c r="O4318" s="5">
        <v>30858412</v>
      </c>
      <c r="P4318" s="5">
        <v>24593</v>
      </c>
      <c r="Q4318" s="5">
        <v>4673</v>
      </c>
      <c r="R4318" s="5">
        <v>29266</v>
      </c>
    </row>
    <row r="4319" spans="1:18" x14ac:dyDescent="0.25">
      <c r="A4319" t="s">
        <v>1613</v>
      </c>
      <c r="B4319" t="s">
        <v>494</v>
      </c>
      <c r="C4319">
        <v>94141000</v>
      </c>
      <c r="D4319">
        <v>2027</v>
      </c>
      <c r="E4319">
        <v>30858827</v>
      </c>
      <c r="F4319" t="s">
        <v>1614</v>
      </c>
      <c r="G4319" s="1">
        <v>45237</v>
      </c>
      <c r="H4319">
        <v>5414062</v>
      </c>
      <c r="I4319">
        <v>25</v>
      </c>
      <c r="J4319" t="s">
        <v>323</v>
      </c>
      <c r="K4319" t="str">
        <f>IFERROR(IF(AND(VLOOKUP($C4319,Hes!$A:$B, 1, FALSE), $M4319&lt;&gt;" "), "Ingresada", "Falta Ingresar"), " ")</f>
        <v xml:space="preserve"> </v>
      </c>
      <c r="L4319" s="4" t="str">
        <f>IFERROR(VLOOKUP($C4319,Observaciones!$A:$B,2,FALSE)," ")</f>
        <v>ULTIMO DIA, ESPERAR INFORME DE LUCIA, DEBE CUADRAR MONTOS</v>
      </c>
      <c r="M4319" t="s">
        <v>681</v>
      </c>
      <c r="O4319" s="5">
        <v>30858827</v>
      </c>
      <c r="P4319" s="5">
        <v>94233</v>
      </c>
      <c r="Q4319" s="5">
        <v>17904</v>
      </c>
      <c r="R4319" s="5">
        <v>112137</v>
      </c>
    </row>
    <row r="4320" spans="1:18" x14ac:dyDescent="0.25">
      <c r="A4320" t="s">
        <v>1613</v>
      </c>
      <c r="B4320" t="s">
        <v>494</v>
      </c>
      <c r="C4320">
        <v>94141000</v>
      </c>
      <c r="D4320">
        <v>10</v>
      </c>
      <c r="E4320">
        <v>30866601</v>
      </c>
      <c r="F4320" t="s">
        <v>1614</v>
      </c>
      <c r="G4320" s="1">
        <v>45238</v>
      </c>
      <c r="H4320">
        <v>5415817</v>
      </c>
      <c r="I4320">
        <v>25</v>
      </c>
      <c r="J4320" t="s">
        <v>323</v>
      </c>
      <c r="K4320" t="str">
        <f>IFERROR(IF(AND(VLOOKUP($C4320,Hes!$A:$B, 1, FALSE), $M4320&lt;&gt;" "), "Ingresada", "Falta Ingresar"), " ")</f>
        <v xml:space="preserve"> </v>
      </c>
      <c r="L4320" s="4" t="str">
        <f>IFERROR(VLOOKUP($C4320,Observaciones!$A:$B,2,FALSE)," ")</f>
        <v>ULTIMO DIA, ESPERAR INFORME DE LUCIA, DEBE CUADRAR MONTOS</v>
      </c>
      <c r="M4320" t="s">
        <v>681</v>
      </c>
      <c r="O4320" s="5">
        <v>30866601</v>
      </c>
      <c r="P4320" s="5">
        <v>182046</v>
      </c>
      <c r="Q4320" s="5">
        <v>34589</v>
      </c>
      <c r="R4320" s="5">
        <v>216635</v>
      </c>
    </row>
    <row r="4321" spans="1:18" x14ac:dyDescent="0.25">
      <c r="F4321" t="s">
        <v>499</v>
      </c>
      <c r="K4321" t="str">
        <f>IFERROR(IF(AND(VLOOKUP($C4321,Hes!$A:$B, 1, FALSE), $M4321&lt;&gt;" "), "Ingresada", "Falta Ingresar"), " ")</f>
        <v xml:space="preserve"> </v>
      </c>
      <c r="L4321" s="4" t="str">
        <f>IFERROR(VLOOKUP($C4321,Observaciones!$A:$B,2,FALSE)," ")</f>
        <v xml:space="preserve"> </v>
      </c>
      <c r="M4321" t="s">
        <v>681</v>
      </c>
      <c r="P4321" s="5">
        <v>573523</v>
      </c>
      <c r="Q4321" s="5">
        <v>108970</v>
      </c>
      <c r="R4321" s="5">
        <v>682493</v>
      </c>
    </row>
    <row r="4322" spans="1:18" x14ac:dyDescent="0.25">
      <c r="A4322" t="s">
        <v>503</v>
      </c>
      <c r="B4322" t="s">
        <v>494</v>
      </c>
      <c r="C4322">
        <v>94272000</v>
      </c>
      <c r="D4322">
        <v>9005</v>
      </c>
      <c r="E4322" t="s">
        <v>1615</v>
      </c>
      <c r="F4322" t="s">
        <v>1616</v>
      </c>
      <c r="G4322" s="1">
        <v>45234</v>
      </c>
      <c r="H4322">
        <v>5412169</v>
      </c>
      <c r="I4322">
        <v>25</v>
      </c>
      <c r="J4322" t="s">
        <v>323</v>
      </c>
      <c r="K4322" t="str">
        <f>IFERROR(IF(AND(VLOOKUP($C4322,Hes!$A:$B, 1, FALSE), $M4322&lt;&gt;" "), "Ingresada", "Falta Ingresar"), " ")</f>
        <v xml:space="preserve"> </v>
      </c>
      <c r="L4322" s="4" t="s">
        <v>681</v>
      </c>
      <c r="M4322" t="s">
        <v>681</v>
      </c>
      <c r="O4322" s="5">
        <v>30850335</v>
      </c>
      <c r="P4322" s="5">
        <v>1320605</v>
      </c>
      <c r="Q4322" s="5">
        <v>250915</v>
      </c>
      <c r="R4322" s="5">
        <v>1571520</v>
      </c>
    </row>
    <row r="4323" spans="1:18" x14ac:dyDescent="0.25">
      <c r="A4323" t="s">
        <v>503</v>
      </c>
      <c r="B4323" t="s">
        <v>494</v>
      </c>
      <c r="C4323">
        <v>94272000</v>
      </c>
      <c r="D4323">
        <v>9005</v>
      </c>
      <c r="E4323" t="s">
        <v>1615</v>
      </c>
      <c r="F4323" t="s">
        <v>1616</v>
      </c>
      <c r="G4323" s="1">
        <v>45234</v>
      </c>
      <c r="H4323">
        <v>5412170</v>
      </c>
      <c r="I4323">
        <v>25</v>
      </c>
      <c r="J4323" t="s">
        <v>323</v>
      </c>
      <c r="K4323" t="str">
        <f>IFERROR(IF(AND(VLOOKUP($C4323,Hes!$A:$B, 1, FALSE), $M4323&lt;&gt;" "), "Ingresada", "Falta Ingresar"), " ")</f>
        <v xml:space="preserve"> </v>
      </c>
      <c r="L4323" s="4" t="s">
        <v>681</v>
      </c>
      <c r="M4323" t="s">
        <v>681</v>
      </c>
      <c r="O4323" s="5">
        <v>30850335</v>
      </c>
      <c r="P4323" s="5">
        <v>71972</v>
      </c>
      <c r="Q4323" s="5">
        <v>13675</v>
      </c>
      <c r="R4323" s="5">
        <v>85647</v>
      </c>
    </row>
    <row r="4324" spans="1:18" x14ac:dyDescent="0.25">
      <c r="A4324" t="s">
        <v>503</v>
      </c>
      <c r="B4324" t="s">
        <v>494</v>
      </c>
      <c r="C4324">
        <v>94272000</v>
      </c>
      <c r="D4324">
        <v>9300</v>
      </c>
      <c r="E4324" t="s">
        <v>1617</v>
      </c>
      <c r="F4324" t="s">
        <v>1616</v>
      </c>
      <c r="G4324" s="1">
        <v>45234</v>
      </c>
      <c r="H4324">
        <v>5412280</v>
      </c>
      <c r="I4324">
        <v>25</v>
      </c>
      <c r="J4324" t="s">
        <v>323</v>
      </c>
      <c r="K4324" t="str">
        <f>IFERROR(IF(AND(VLOOKUP($C4324,Hes!$A:$B, 1, FALSE), $M4324&lt;&gt;" "), "Ingresada", "Falta Ingresar"), " ")</f>
        <v xml:space="preserve"> </v>
      </c>
      <c r="L4324" s="4" t="s">
        <v>681</v>
      </c>
      <c r="M4324" t="s">
        <v>681</v>
      </c>
      <c r="O4324" s="5">
        <v>30853476</v>
      </c>
      <c r="P4324" s="5">
        <v>98419</v>
      </c>
      <c r="Q4324" s="5">
        <v>18700</v>
      </c>
      <c r="R4324" s="5">
        <v>117119</v>
      </c>
    </row>
    <row r="4325" spans="1:18" x14ac:dyDescent="0.25">
      <c r="F4325" t="s">
        <v>500</v>
      </c>
      <c r="K4325" t="str">
        <f>IFERROR(IF(AND(VLOOKUP($C4325,Hes!$A:$B, 1, FALSE), $M4325&lt;&gt;" "), "Ingresada", "Falta Ingresar"), " ")</f>
        <v xml:space="preserve"> </v>
      </c>
      <c r="L4325" s="4" t="str">
        <f>IFERROR(VLOOKUP($C4325,Observaciones!$A:$B,2,FALSE)," ")</f>
        <v xml:space="preserve"> </v>
      </c>
      <c r="M4325" t="s">
        <v>681</v>
      </c>
      <c r="P4325" s="5">
        <v>1490996</v>
      </c>
      <c r="Q4325" s="5">
        <v>283290</v>
      </c>
      <c r="R4325" s="5">
        <v>1774286</v>
      </c>
    </row>
    <row r="4326" spans="1:18" x14ac:dyDescent="0.25">
      <c r="A4326" t="s">
        <v>496</v>
      </c>
      <c r="B4326" t="s">
        <v>494</v>
      </c>
      <c r="C4326">
        <v>94528000</v>
      </c>
      <c r="D4326">
        <v>11</v>
      </c>
      <c r="E4326" t="s">
        <v>1618</v>
      </c>
      <c r="F4326" t="s">
        <v>627</v>
      </c>
      <c r="G4326" s="1">
        <v>45237</v>
      </c>
      <c r="H4326">
        <v>5414244</v>
      </c>
      <c r="I4326">
        <v>17</v>
      </c>
      <c r="J4326" t="s">
        <v>305</v>
      </c>
      <c r="K4326" s="8" t="str">
        <f>IFERROR(IF(AND(VLOOKUP($C4326,Hes!$A:$B, 1, FALSE), $M4326&lt;&gt;" "), "Ingresada", "Falta Ingresar"), " ")</f>
        <v>Falta Ingresar</v>
      </c>
      <c r="L4326" s="4" t="str">
        <f>IFERROR(VLOOKUP($C4326,Observaciones!$A:$B,2,FALSE)," ")</f>
        <v>XOC Y CC</v>
      </c>
      <c r="M4326" t="s">
        <v>681</v>
      </c>
      <c r="N4326" s="5" t="s">
        <v>841</v>
      </c>
      <c r="O4326" s="5">
        <v>30860367</v>
      </c>
      <c r="P4326" s="5">
        <v>53280</v>
      </c>
      <c r="Q4326" s="5">
        <v>10123</v>
      </c>
      <c r="R4326" s="5">
        <v>63403</v>
      </c>
    </row>
    <row r="4327" spans="1:18" x14ac:dyDescent="0.25">
      <c r="A4327" t="s">
        <v>496</v>
      </c>
      <c r="B4327" t="s">
        <v>494</v>
      </c>
      <c r="C4327">
        <v>94528000</v>
      </c>
      <c r="D4327">
        <v>11</v>
      </c>
      <c r="E4327" t="s">
        <v>1619</v>
      </c>
      <c r="F4327" t="s">
        <v>627</v>
      </c>
      <c r="G4327" s="1">
        <v>45237</v>
      </c>
      <c r="H4327">
        <v>5414285</v>
      </c>
      <c r="I4327">
        <v>17</v>
      </c>
      <c r="J4327" t="s">
        <v>305</v>
      </c>
      <c r="K4327" s="8" t="str">
        <f>IFERROR(IF(AND(VLOOKUP($C4327,Hes!$A:$B, 1, FALSE), $M4327&lt;&gt;" "), "Ingresada", "Falta Ingresar"), " ")</f>
        <v>Falta Ingresar</v>
      </c>
      <c r="L4327" s="4" t="str">
        <f>IFERROR(VLOOKUP($C4327,Observaciones!$A:$B,2,FALSE)," ")</f>
        <v>XOC Y CC</v>
      </c>
      <c r="M4327" t="s">
        <v>681</v>
      </c>
      <c r="N4327" s="5" t="s">
        <v>841</v>
      </c>
      <c r="O4327" s="5">
        <v>30860393</v>
      </c>
      <c r="P4327" s="5">
        <v>1543040</v>
      </c>
      <c r="Q4327" s="5">
        <v>293178</v>
      </c>
      <c r="R4327" s="5">
        <v>1836218</v>
      </c>
    </row>
    <row r="4328" spans="1:18" x14ac:dyDescent="0.25">
      <c r="A4328" t="s">
        <v>496</v>
      </c>
      <c r="B4328" t="s">
        <v>494</v>
      </c>
      <c r="C4328">
        <v>94528000</v>
      </c>
      <c r="D4328">
        <v>2</v>
      </c>
      <c r="E4328" t="s">
        <v>1620</v>
      </c>
      <c r="F4328" t="s">
        <v>627</v>
      </c>
      <c r="G4328" s="1">
        <v>45237</v>
      </c>
      <c r="H4328">
        <v>5414293</v>
      </c>
      <c r="I4328">
        <v>17</v>
      </c>
      <c r="J4328" t="s">
        <v>305</v>
      </c>
      <c r="K4328" s="8" t="str">
        <f>IFERROR(IF(AND(VLOOKUP($C4328,Hes!$A:$B, 1, FALSE), $M4328&lt;&gt;" "), "Ingresada", "Falta Ingresar"), " ")</f>
        <v>Falta Ingresar</v>
      </c>
      <c r="L4328" s="4" t="str">
        <f>IFERROR(VLOOKUP($C4328,Observaciones!$A:$B,2,FALSE)," ")</f>
        <v>XOC Y CC</v>
      </c>
      <c r="M4328" t="s">
        <v>681</v>
      </c>
      <c r="N4328" s="5" t="s">
        <v>841</v>
      </c>
      <c r="O4328" s="5">
        <v>30846970</v>
      </c>
      <c r="P4328" s="5">
        <v>81606</v>
      </c>
      <c r="Q4328" s="5">
        <v>15505</v>
      </c>
      <c r="R4328" s="5">
        <v>97111</v>
      </c>
    </row>
    <row r="4329" spans="1:18" x14ac:dyDescent="0.25">
      <c r="A4329" t="s">
        <v>496</v>
      </c>
      <c r="B4329" t="s">
        <v>494</v>
      </c>
      <c r="C4329">
        <v>94528000</v>
      </c>
      <c r="D4329">
        <v>103</v>
      </c>
      <c r="E4329" t="s">
        <v>1621</v>
      </c>
      <c r="F4329" t="s">
        <v>627</v>
      </c>
      <c r="G4329" s="1">
        <v>45237</v>
      </c>
      <c r="H4329">
        <v>5414356</v>
      </c>
      <c r="I4329">
        <v>17</v>
      </c>
      <c r="J4329" t="s">
        <v>305</v>
      </c>
      <c r="K4329" s="8" t="str">
        <f>IFERROR(IF(AND(VLOOKUP($C4329,Hes!$A:$B, 1, FALSE), $M4329&lt;&gt;" "), "Ingresada", "Falta Ingresar"), " ")</f>
        <v>Falta Ingresar</v>
      </c>
      <c r="L4329" s="4" t="str">
        <f>IFERROR(VLOOKUP($C4329,Observaciones!$A:$B,2,FALSE)," ")</f>
        <v>XOC Y CC</v>
      </c>
      <c r="M4329" t="s">
        <v>681</v>
      </c>
      <c r="N4329" s="5" t="s">
        <v>841</v>
      </c>
      <c r="O4329" s="5">
        <v>30828249</v>
      </c>
      <c r="P4329" s="5">
        <v>237720</v>
      </c>
      <c r="Q4329" s="5">
        <v>45167</v>
      </c>
      <c r="R4329" s="5">
        <v>282887</v>
      </c>
    </row>
    <row r="4330" spans="1:18" x14ac:dyDescent="0.25">
      <c r="A4330" t="s">
        <v>496</v>
      </c>
      <c r="B4330" t="s">
        <v>494</v>
      </c>
      <c r="C4330">
        <v>94528000</v>
      </c>
      <c r="D4330">
        <v>118</v>
      </c>
      <c r="E4330" t="s">
        <v>1622</v>
      </c>
      <c r="F4330" t="s">
        <v>627</v>
      </c>
      <c r="G4330" s="1">
        <v>45238</v>
      </c>
      <c r="H4330">
        <v>5414541</v>
      </c>
      <c r="I4330">
        <v>17</v>
      </c>
      <c r="J4330" t="s">
        <v>305</v>
      </c>
      <c r="K4330" s="8" t="str">
        <f>IFERROR(IF(AND(VLOOKUP($C4330,Hes!$A:$B, 1, FALSE), $M4330&lt;&gt;" "), "Ingresada", "Falta Ingresar"), " ")</f>
        <v>Falta Ingresar</v>
      </c>
      <c r="L4330" s="4" t="str">
        <f>IFERROR(VLOOKUP($C4330,Observaciones!$A:$B,2,FALSE)," ")</f>
        <v>XOC Y CC</v>
      </c>
      <c r="M4330" t="s">
        <v>681</v>
      </c>
      <c r="N4330" s="5" t="s">
        <v>841</v>
      </c>
      <c r="O4330" s="5">
        <v>30860896</v>
      </c>
      <c r="P4330" s="5">
        <v>99917</v>
      </c>
      <c r="Q4330" s="5">
        <v>18984</v>
      </c>
      <c r="R4330" s="5">
        <v>118901</v>
      </c>
    </row>
    <row r="4331" spans="1:18" x14ac:dyDescent="0.25">
      <c r="A4331" t="s">
        <v>496</v>
      </c>
      <c r="B4331" t="s">
        <v>494</v>
      </c>
      <c r="C4331">
        <v>94528000</v>
      </c>
      <c r="D4331">
        <v>418</v>
      </c>
      <c r="E4331" t="s">
        <v>1623</v>
      </c>
      <c r="F4331" t="s">
        <v>627</v>
      </c>
      <c r="G4331" s="1">
        <v>45238</v>
      </c>
      <c r="H4331">
        <v>5414994</v>
      </c>
      <c r="I4331">
        <v>17</v>
      </c>
      <c r="J4331" t="s">
        <v>305</v>
      </c>
      <c r="K4331" s="8" t="str">
        <f>IFERROR(IF(AND(VLOOKUP($C4331,Hes!$A:$B, 1, FALSE), $M4331&lt;&gt;" "), "Ingresada", "Falta Ingresar"), " ")</f>
        <v>Falta Ingresar</v>
      </c>
      <c r="L4331" s="4" t="str">
        <f>IFERROR(VLOOKUP($C4331,Observaciones!$A:$B,2,FALSE)," ")</f>
        <v>XOC Y CC</v>
      </c>
      <c r="M4331" t="s">
        <v>681</v>
      </c>
      <c r="N4331" s="5" t="s">
        <v>841</v>
      </c>
      <c r="O4331" s="5">
        <v>30862106</v>
      </c>
      <c r="P4331" s="5">
        <v>281310</v>
      </c>
      <c r="Q4331" s="5">
        <v>53449</v>
      </c>
      <c r="R4331" s="5">
        <v>334759</v>
      </c>
    </row>
    <row r="4332" spans="1:18" x14ac:dyDescent="0.25">
      <c r="A4332" t="s">
        <v>496</v>
      </c>
      <c r="B4332" t="s">
        <v>494</v>
      </c>
      <c r="C4332">
        <v>94528000</v>
      </c>
      <c r="D4332">
        <v>129</v>
      </c>
      <c r="E4332" t="s">
        <v>1624</v>
      </c>
      <c r="F4332" t="s">
        <v>627</v>
      </c>
      <c r="G4332" s="1">
        <v>45238</v>
      </c>
      <c r="H4332">
        <v>5415087</v>
      </c>
      <c r="I4332">
        <v>17</v>
      </c>
      <c r="J4332" t="s">
        <v>305</v>
      </c>
      <c r="K4332" s="8" t="str">
        <f>IFERROR(IF(AND(VLOOKUP($C4332,Hes!$A:$B, 1, FALSE), $M4332&lt;&gt;" "), "Ingresada", "Falta Ingresar"), " ")</f>
        <v>Falta Ingresar</v>
      </c>
      <c r="L4332" s="4" t="str">
        <f>IFERROR(VLOOKUP($C4332,Observaciones!$A:$B,2,FALSE)," ")</f>
        <v>XOC Y CC</v>
      </c>
      <c r="M4332" t="s">
        <v>681</v>
      </c>
      <c r="N4332" s="5" t="s">
        <v>841</v>
      </c>
      <c r="O4332" s="5">
        <v>30863050</v>
      </c>
      <c r="P4332" s="5">
        <v>457034</v>
      </c>
      <c r="Q4332" s="5">
        <v>86836</v>
      </c>
      <c r="R4332" s="5">
        <v>543870</v>
      </c>
    </row>
    <row r="4333" spans="1:18" x14ac:dyDescent="0.25">
      <c r="A4333" t="s">
        <v>496</v>
      </c>
      <c r="B4333" t="s">
        <v>494</v>
      </c>
      <c r="C4333">
        <v>94528000</v>
      </c>
      <c r="D4333">
        <v>131</v>
      </c>
      <c r="E4333" t="s">
        <v>1625</v>
      </c>
      <c r="F4333" t="s">
        <v>627</v>
      </c>
      <c r="G4333" s="1">
        <v>45237</v>
      </c>
      <c r="H4333">
        <v>5415286</v>
      </c>
      <c r="I4333">
        <v>17</v>
      </c>
      <c r="J4333" t="s">
        <v>305</v>
      </c>
      <c r="K4333" s="8" t="str">
        <f>IFERROR(IF(AND(VLOOKUP($C4333,Hes!$A:$B, 1, FALSE), $M4333&lt;&gt;" "), "Ingresada", "Falta Ingresar"), " ")</f>
        <v>Falta Ingresar</v>
      </c>
      <c r="L4333" s="4" t="str">
        <f>IFERROR(VLOOKUP($C4333,Observaciones!$A:$B,2,FALSE)," ")</f>
        <v>XOC Y CC</v>
      </c>
      <c r="M4333" t="s">
        <v>681</v>
      </c>
      <c r="N4333" s="5" t="s">
        <v>841</v>
      </c>
      <c r="O4333" s="5">
        <v>30863088</v>
      </c>
      <c r="P4333" s="5">
        <v>139020</v>
      </c>
      <c r="Q4333" s="5">
        <v>26414</v>
      </c>
      <c r="R4333" s="5">
        <v>165434</v>
      </c>
    </row>
    <row r="4334" spans="1:18" x14ac:dyDescent="0.25">
      <c r="A4334" t="s">
        <v>496</v>
      </c>
      <c r="B4334" t="s">
        <v>494</v>
      </c>
      <c r="C4334">
        <v>94528000</v>
      </c>
      <c r="D4334">
        <v>116</v>
      </c>
      <c r="E4334" t="s">
        <v>1626</v>
      </c>
      <c r="F4334" t="s">
        <v>627</v>
      </c>
      <c r="G4334" s="1">
        <v>45238</v>
      </c>
      <c r="H4334">
        <v>5415319</v>
      </c>
      <c r="I4334">
        <v>17</v>
      </c>
      <c r="J4334" t="s">
        <v>305</v>
      </c>
      <c r="K4334" s="8" t="str">
        <f>IFERROR(IF(AND(VLOOKUP($C4334,Hes!$A:$B, 1, FALSE), $M4334&lt;&gt;" "), "Ingresada", "Falta Ingresar"), " ")</f>
        <v>Falta Ingresar</v>
      </c>
      <c r="L4334" s="4" t="str">
        <f>IFERROR(VLOOKUP($C4334,Observaciones!$A:$B,2,FALSE)," ")</f>
        <v>XOC Y CC</v>
      </c>
      <c r="M4334" t="s">
        <v>681</v>
      </c>
      <c r="N4334" s="5" t="s">
        <v>841</v>
      </c>
      <c r="O4334" s="5">
        <v>30863061</v>
      </c>
      <c r="P4334" s="5">
        <v>186728</v>
      </c>
      <c r="Q4334" s="5">
        <v>35478</v>
      </c>
      <c r="R4334" s="5">
        <v>222206</v>
      </c>
    </row>
    <row r="4335" spans="1:18" x14ac:dyDescent="0.25">
      <c r="A4335" t="s">
        <v>496</v>
      </c>
      <c r="B4335" t="s">
        <v>494</v>
      </c>
      <c r="C4335">
        <v>94528000</v>
      </c>
      <c r="D4335">
        <v>133</v>
      </c>
      <c r="E4335" t="s">
        <v>1627</v>
      </c>
      <c r="F4335" t="s">
        <v>627</v>
      </c>
      <c r="G4335" s="1">
        <v>45238</v>
      </c>
      <c r="H4335">
        <v>5415578</v>
      </c>
      <c r="I4335">
        <v>17</v>
      </c>
      <c r="J4335" t="s">
        <v>305</v>
      </c>
      <c r="K4335" s="8" t="str">
        <f>IFERROR(IF(AND(VLOOKUP($C4335,Hes!$A:$B, 1, FALSE), $M4335&lt;&gt;" "), "Ingresada", "Falta Ingresar"), " ")</f>
        <v>Falta Ingresar</v>
      </c>
      <c r="L4335" s="4" t="str">
        <f>IFERROR(VLOOKUP($C4335,Observaciones!$A:$B,2,FALSE)," ")</f>
        <v>XOC Y CC</v>
      </c>
      <c r="M4335" t="s">
        <v>681</v>
      </c>
      <c r="N4335" s="5" t="s">
        <v>841</v>
      </c>
      <c r="O4335" s="5">
        <v>30865816</v>
      </c>
      <c r="P4335" s="5">
        <v>129794</v>
      </c>
      <c r="Q4335" s="5">
        <v>24661</v>
      </c>
      <c r="R4335" s="5">
        <v>154455</v>
      </c>
    </row>
    <row r="4336" spans="1:18" x14ac:dyDescent="0.25">
      <c r="A4336" t="s">
        <v>496</v>
      </c>
      <c r="B4336" t="s">
        <v>494</v>
      </c>
      <c r="C4336">
        <v>94528000</v>
      </c>
      <c r="D4336">
        <v>127</v>
      </c>
      <c r="E4336" t="s">
        <v>1628</v>
      </c>
      <c r="F4336" t="s">
        <v>627</v>
      </c>
      <c r="G4336" s="1">
        <v>45238</v>
      </c>
      <c r="H4336">
        <v>5415582</v>
      </c>
      <c r="I4336">
        <v>17</v>
      </c>
      <c r="J4336" t="s">
        <v>305</v>
      </c>
      <c r="K4336" s="8" t="str">
        <f>IFERROR(IF(AND(VLOOKUP($C4336,Hes!$A:$B, 1, FALSE), $M4336&lt;&gt;" "), "Ingresada", "Falta Ingresar"), " ")</f>
        <v>Falta Ingresar</v>
      </c>
      <c r="L4336" s="4" t="str">
        <f>IFERROR(VLOOKUP($C4336,Observaciones!$A:$B,2,FALSE)," ")</f>
        <v>XOC Y CC</v>
      </c>
      <c r="M4336" t="s">
        <v>681</v>
      </c>
      <c r="N4336" s="5" t="s">
        <v>841</v>
      </c>
      <c r="O4336" s="5">
        <v>30865773</v>
      </c>
      <c r="P4336" s="5">
        <v>203681</v>
      </c>
      <c r="Q4336" s="5">
        <v>38699</v>
      </c>
      <c r="R4336" s="5">
        <v>242380</v>
      </c>
    </row>
    <row r="4337" spans="1:18" x14ac:dyDescent="0.25">
      <c r="A4337" t="s">
        <v>496</v>
      </c>
      <c r="B4337" t="s">
        <v>494</v>
      </c>
      <c r="C4337">
        <v>94528000</v>
      </c>
      <c r="D4337">
        <v>119</v>
      </c>
      <c r="E4337" t="s">
        <v>1629</v>
      </c>
      <c r="F4337" t="s">
        <v>627</v>
      </c>
      <c r="G4337" s="1">
        <v>45238</v>
      </c>
      <c r="H4337">
        <v>5415622</v>
      </c>
      <c r="I4337">
        <v>17</v>
      </c>
      <c r="J4337" t="s">
        <v>305</v>
      </c>
      <c r="K4337" s="8" t="str">
        <f>IFERROR(IF(AND(VLOOKUP($C4337,Hes!$A:$B, 1, FALSE), $M4337&lt;&gt;" "), "Ingresada", "Falta Ingresar"), " ")</f>
        <v>Falta Ingresar</v>
      </c>
      <c r="L4337" s="4" t="str">
        <f>IFERROR(VLOOKUP($C4337,Observaciones!$A:$B,2,FALSE)," ")</f>
        <v>XOC Y CC</v>
      </c>
      <c r="M4337" t="s">
        <v>681</v>
      </c>
      <c r="N4337" s="5" t="s">
        <v>841</v>
      </c>
      <c r="O4337" s="5">
        <v>30861990</v>
      </c>
      <c r="P4337" s="5">
        <v>300938</v>
      </c>
      <c r="Q4337" s="5">
        <v>57178</v>
      </c>
      <c r="R4337" s="5">
        <v>358116</v>
      </c>
    </row>
    <row r="4338" spans="1:18" x14ac:dyDescent="0.25">
      <c r="A4338" t="s">
        <v>496</v>
      </c>
      <c r="B4338" t="s">
        <v>494</v>
      </c>
      <c r="C4338">
        <v>94528000</v>
      </c>
      <c r="D4338">
        <v>122</v>
      </c>
      <c r="E4338" t="s">
        <v>1630</v>
      </c>
      <c r="F4338" t="s">
        <v>627</v>
      </c>
      <c r="G4338" s="1">
        <v>45238</v>
      </c>
      <c r="H4338">
        <v>5415679</v>
      </c>
      <c r="I4338">
        <v>17</v>
      </c>
      <c r="J4338" t="s">
        <v>305</v>
      </c>
      <c r="K4338" s="8" t="str">
        <f>IFERROR(IF(AND(VLOOKUP($C4338,Hes!$A:$B, 1, FALSE), $M4338&lt;&gt;" "), "Ingresada", "Falta Ingresar"), " ")</f>
        <v>Falta Ingresar</v>
      </c>
      <c r="L4338" s="4" t="str">
        <f>IFERROR(VLOOKUP($C4338,Observaciones!$A:$B,2,FALSE)," ")</f>
        <v>XOC Y CC</v>
      </c>
      <c r="M4338" t="s">
        <v>681</v>
      </c>
      <c r="N4338" s="5" t="s">
        <v>841</v>
      </c>
      <c r="O4338" s="5">
        <v>30865928</v>
      </c>
      <c r="P4338" s="5">
        <v>106204</v>
      </c>
      <c r="Q4338" s="5">
        <v>20179</v>
      </c>
      <c r="R4338" s="5">
        <v>126383</v>
      </c>
    </row>
    <row r="4339" spans="1:18" x14ac:dyDescent="0.25">
      <c r="F4339" t="s">
        <v>544</v>
      </c>
      <c r="K4339" t="str">
        <f>IFERROR(IF(AND(VLOOKUP($C4339,Hes!$A:$B, 1, FALSE), $M4339&lt;&gt;" "), "Ingresada", "Falta Ingresar"), " ")</f>
        <v xml:space="preserve"> </v>
      </c>
      <c r="L4339" s="4" t="str">
        <f>IFERROR(VLOOKUP($C4339,Observaciones!$A:$B,2,FALSE)," ")</f>
        <v xml:space="preserve"> </v>
      </c>
      <c r="M4339" t="s">
        <v>681</v>
      </c>
      <c r="P4339" s="5">
        <v>3820272</v>
      </c>
      <c r="Q4339" s="5">
        <v>725851</v>
      </c>
      <c r="R4339" s="5">
        <v>4546123</v>
      </c>
    </row>
    <row r="4340" spans="1:18" x14ac:dyDescent="0.25">
      <c r="A4340" t="s">
        <v>513</v>
      </c>
      <c r="B4340" t="s">
        <v>494</v>
      </c>
      <c r="C4340">
        <v>94637000</v>
      </c>
      <c r="D4340">
        <v>2</v>
      </c>
      <c r="E4340">
        <v>30841635</v>
      </c>
      <c r="F4340" t="s">
        <v>1631</v>
      </c>
      <c r="G4340" s="1">
        <v>45231</v>
      </c>
      <c r="H4340">
        <v>5410622</v>
      </c>
      <c r="I4340">
        <v>50</v>
      </c>
      <c r="J4340" t="s">
        <v>376</v>
      </c>
      <c r="K4340" t="str">
        <f>IFERROR(IF(AND(VLOOKUP($C4340,Hes!$A:$B, 1, FALSE), $M4340&lt;&gt;" "), "Ingresada", "Falta Ingresar"), " ")</f>
        <v xml:space="preserve"> </v>
      </c>
      <c r="L4340" s="4" t="s">
        <v>681</v>
      </c>
      <c r="M4340" t="s">
        <v>681</v>
      </c>
      <c r="O4340" s="5">
        <v>30841635</v>
      </c>
      <c r="P4340" s="5">
        <v>43040</v>
      </c>
      <c r="Q4340" s="5">
        <v>8178</v>
      </c>
      <c r="R4340" s="5">
        <v>51218</v>
      </c>
    </row>
    <row r="4341" spans="1:18" x14ac:dyDescent="0.25">
      <c r="A4341" t="s">
        <v>513</v>
      </c>
      <c r="B4341" t="s">
        <v>494</v>
      </c>
      <c r="C4341">
        <v>94637000</v>
      </c>
      <c r="D4341">
        <v>53</v>
      </c>
      <c r="E4341">
        <v>30841751</v>
      </c>
      <c r="F4341" t="s">
        <v>1631</v>
      </c>
      <c r="G4341" s="1">
        <v>45231</v>
      </c>
      <c r="H4341">
        <v>5410623</v>
      </c>
      <c r="I4341">
        <v>50</v>
      </c>
      <c r="J4341" t="s">
        <v>376</v>
      </c>
      <c r="K4341" t="str">
        <f>IFERROR(IF(AND(VLOOKUP($C4341,Hes!$A:$B, 1, FALSE), $M4341&lt;&gt;" "), "Ingresada", "Falta Ingresar"), " ")</f>
        <v xml:space="preserve"> </v>
      </c>
      <c r="L4341" s="4" t="s">
        <v>681</v>
      </c>
      <c r="M4341" t="s">
        <v>681</v>
      </c>
      <c r="O4341" s="5">
        <v>30841751</v>
      </c>
      <c r="P4341" s="5">
        <v>49148</v>
      </c>
      <c r="Q4341" s="5">
        <v>9338</v>
      </c>
      <c r="R4341" s="5">
        <v>58486</v>
      </c>
    </row>
    <row r="4342" spans="1:18" x14ac:dyDescent="0.25">
      <c r="A4342" t="s">
        <v>513</v>
      </c>
      <c r="B4342" t="s">
        <v>494</v>
      </c>
      <c r="C4342">
        <v>94637000</v>
      </c>
      <c r="D4342">
        <v>11</v>
      </c>
      <c r="E4342">
        <v>30844603</v>
      </c>
      <c r="F4342" t="s">
        <v>1631</v>
      </c>
      <c r="G4342" s="1">
        <v>45231</v>
      </c>
      <c r="H4342">
        <v>5410629</v>
      </c>
      <c r="I4342">
        <v>50</v>
      </c>
      <c r="J4342" t="s">
        <v>376</v>
      </c>
      <c r="K4342" t="str">
        <f>IFERROR(IF(AND(VLOOKUP($C4342,Hes!$A:$B, 1, FALSE), $M4342&lt;&gt;" "), "Ingresada", "Falta Ingresar"), " ")</f>
        <v xml:space="preserve"> </v>
      </c>
      <c r="L4342" s="4" t="s">
        <v>681</v>
      </c>
      <c r="M4342" t="s">
        <v>681</v>
      </c>
      <c r="O4342" s="5">
        <v>30844603</v>
      </c>
      <c r="P4342" s="5">
        <v>299240</v>
      </c>
      <c r="Q4342" s="5">
        <v>56856</v>
      </c>
      <c r="R4342" s="5">
        <v>356096</v>
      </c>
    </row>
    <row r="4343" spans="1:18" x14ac:dyDescent="0.25">
      <c r="A4343" t="s">
        <v>513</v>
      </c>
      <c r="B4343" t="s">
        <v>494</v>
      </c>
      <c r="C4343">
        <v>94637000</v>
      </c>
      <c r="D4343">
        <v>43</v>
      </c>
      <c r="E4343">
        <v>30844678</v>
      </c>
      <c r="F4343" t="s">
        <v>1631</v>
      </c>
      <c r="G4343" s="1">
        <v>45231</v>
      </c>
      <c r="H4343">
        <v>5410634</v>
      </c>
      <c r="I4343">
        <v>50</v>
      </c>
      <c r="J4343" t="s">
        <v>376</v>
      </c>
      <c r="K4343" t="str">
        <f>IFERROR(IF(AND(VLOOKUP($C4343,Hes!$A:$B, 1, FALSE), $M4343&lt;&gt;" "), "Ingresada", "Falta Ingresar"), " ")</f>
        <v xml:space="preserve"> </v>
      </c>
      <c r="L4343" s="4" t="s">
        <v>681</v>
      </c>
      <c r="M4343" t="s">
        <v>681</v>
      </c>
      <c r="O4343" s="5">
        <v>30844678</v>
      </c>
      <c r="P4343" s="5">
        <v>122771</v>
      </c>
      <c r="Q4343" s="5">
        <v>23326</v>
      </c>
      <c r="R4343" s="5">
        <v>146097</v>
      </c>
    </row>
    <row r="4344" spans="1:18" x14ac:dyDescent="0.25">
      <c r="A4344" t="s">
        <v>513</v>
      </c>
      <c r="B4344" t="s">
        <v>494</v>
      </c>
      <c r="C4344">
        <v>94637000</v>
      </c>
      <c r="D4344">
        <v>14</v>
      </c>
      <c r="E4344">
        <v>30849673</v>
      </c>
      <c r="F4344" t="s">
        <v>1631</v>
      </c>
      <c r="G4344" s="1">
        <v>45236</v>
      </c>
      <c r="H4344">
        <v>5412221</v>
      </c>
      <c r="I4344">
        <v>50</v>
      </c>
      <c r="J4344" t="s">
        <v>376</v>
      </c>
      <c r="K4344" t="str">
        <f>IFERROR(IF(AND(VLOOKUP($C4344,Hes!$A:$B, 1, FALSE), $M4344&lt;&gt;" "), "Ingresada", "Falta Ingresar"), " ")</f>
        <v xml:space="preserve"> </v>
      </c>
      <c r="L4344" s="4" t="s">
        <v>681</v>
      </c>
      <c r="M4344" t="s">
        <v>681</v>
      </c>
      <c r="O4344" s="5">
        <v>30849673</v>
      </c>
      <c r="P4344" s="5">
        <v>481091</v>
      </c>
      <c r="Q4344" s="5">
        <v>91407</v>
      </c>
      <c r="R4344" s="5">
        <v>572498</v>
      </c>
    </row>
    <row r="4345" spans="1:18" x14ac:dyDescent="0.25">
      <c r="A4345" t="s">
        <v>513</v>
      </c>
      <c r="B4345" t="s">
        <v>494</v>
      </c>
      <c r="C4345">
        <v>94637000</v>
      </c>
      <c r="D4345">
        <v>164</v>
      </c>
      <c r="E4345">
        <v>30852133</v>
      </c>
      <c r="F4345" t="s">
        <v>1631</v>
      </c>
      <c r="G4345" s="1">
        <v>45236</v>
      </c>
      <c r="H4345">
        <v>5412270</v>
      </c>
      <c r="I4345">
        <v>50</v>
      </c>
      <c r="J4345" t="s">
        <v>376</v>
      </c>
      <c r="K4345" t="str">
        <f>IFERROR(IF(AND(VLOOKUP($C4345,Hes!$A:$B, 1, FALSE), $M4345&lt;&gt;" "), "Ingresada", "Falta Ingresar"), " ")</f>
        <v xml:space="preserve"> </v>
      </c>
      <c r="L4345" s="4" t="s">
        <v>681</v>
      </c>
      <c r="M4345" t="s">
        <v>681</v>
      </c>
      <c r="O4345" s="5">
        <v>30852133</v>
      </c>
      <c r="P4345" s="5">
        <v>149912</v>
      </c>
      <c r="Q4345" s="5">
        <v>28483</v>
      </c>
      <c r="R4345" s="5">
        <v>178395</v>
      </c>
    </row>
    <row r="4346" spans="1:18" x14ac:dyDescent="0.25">
      <c r="A4346" t="s">
        <v>513</v>
      </c>
      <c r="B4346" t="s">
        <v>494</v>
      </c>
      <c r="C4346">
        <v>94637000</v>
      </c>
      <c r="D4346">
        <v>19</v>
      </c>
      <c r="E4346">
        <v>30856295</v>
      </c>
      <c r="F4346" t="s">
        <v>1631</v>
      </c>
      <c r="G4346" s="1">
        <v>45236</v>
      </c>
      <c r="H4346">
        <v>5413103</v>
      </c>
      <c r="I4346">
        <v>5</v>
      </c>
      <c r="J4346" t="s">
        <v>374</v>
      </c>
      <c r="K4346" t="str">
        <f>IFERROR(IF(AND(VLOOKUP($C4346,Hes!$A:$B, 1, FALSE), $M4346&lt;&gt;" "), "Ingresada", "Falta Ingresar"), " ")</f>
        <v xml:space="preserve"> </v>
      </c>
      <c r="L4346" s="4" t="s">
        <v>681</v>
      </c>
      <c r="M4346" t="s">
        <v>681</v>
      </c>
      <c r="O4346" s="5">
        <v>30856295</v>
      </c>
      <c r="P4346" s="5">
        <v>349996</v>
      </c>
      <c r="Q4346" s="5">
        <v>66499</v>
      </c>
      <c r="R4346" s="5">
        <v>416495</v>
      </c>
    </row>
    <row r="4347" spans="1:18" x14ac:dyDescent="0.25">
      <c r="A4347" t="s">
        <v>513</v>
      </c>
      <c r="B4347" t="s">
        <v>494</v>
      </c>
      <c r="C4347">
        <v>94637000</v>
      </c>
      <c r="D4347">
        <v>8</v>
      </c>
      <c r="E4347">
        <v>30858687</v>
      </c>
      <c r="F4347" t="s">
        <v>1631</v>
      </c>
      <c r="G4347" s="1">
        <v>45238</v>
      </c>
      <c r="H4347">
        <v>5414544</v>
      </c>
      <c r="I4347">
        <v>5</v>
      </c>
      <c r="J4347" t="s">
        <v>374</v>
      </c>
      <c r="K4347" t="str">
        <f>IFERROR(IF(AND(VLOOKUP($C4347,Hes!$A:$B, 1, FALSE), $M4347&lt;&gt;" "), "Ingresada", "Falta Ingresar"), " ")</f>
        <v xml:space="preserve"> </v>
      </c>
      <c r="L4347" s="4" t="s">
        <v>681</v>
      </c>
      <c r="M4347" t="s">
        <v>681</v>
      </c>
      <c r="O4347" s="5">
        <v>30858687</v>
      </c>
      <c r="P4347" s="5">
        <v>69475</v>
      </c>
      <c r="Q4347" s="5">
        <v>13200</v>
      </c>
      <c r="R4347" s="5">
        <v>82675</v>
      </c>
    </row>
    <row r="4348" spans="1:18" x14ac:dyDescent="0.25">
      <c r="A4348" t="s">
        <v>513</v>
      </c>
      <c r="B4348" t="s">
        <v>494</v>
      </c>
      <c r="C4348">
        <v>94637000</v>
      </c>
      <c r="D4348">
        <v>2</v>
      </c>
      <c r="E4348">
        <v>30863215</v>
      </c>
      <c r="F4348" t="s">
        <v>1631</v>
      </c>
      <c r="G4348" s="1">
        <v>45238</v>
      </c>
      <c r="H4348">
        <v>5415172</v>
      </c>
      <c r="I4348">
        <v>5</v>
      </c>
      <c r="J4348" t="s">
        <v>374</v>
      </c>
      <c r="K4348" t="str">
        <f>IFERROR(IF(AND(VLOOKUP($C4348,Hes!$A:$B, 1, FALSE), $M4348&lt;&gt;" "), "Ingresada", "Falta Ingresar"), " ")</f>
        <v xml:space="preserve"> </v>
      </c>
      <c r="L4348" s="4" t="s">
        <v>681</v>
      </c>
      <c r="M4348" t="s">
        <v>681</v>
      </c>
      <c r="O4348" s="5">
        <v>30863215</v>
      </c>
      <c r="P4348" s="5">
        <v>182419</v>
      </c>
      <c r="Q4348" s="5">
        <v>34660</v>
      </c>
      <c r="R4348" s="5">
        <v>217079</v>
      </c>
    </row>
    <row r="4349" spans="1:18" x14ac:dyDescent="0.25">
      <c r="A4349" t="s">
        <v>513</v>
      </c>
      <c r="B4349" t="s">
        <v>494</v>
      </c>
      <c r="C4349">
        <v>94637000</v>
      </c>
      <c r="D4349">
        <v>57</v>
      </c>
      <c r="E4349">
        <v>30864550</v>
      </c>
      <c r="F4349" t="s">
        <v>1631</v>
      </c>
      <c r="G4349" s="1">
        <v>45238</v>
      </c>
      <c r="H4349">
        <v>5415315</v>
      </c>
      <c r="I4349">
        <v>5</v>
      </c>
      <c r="J4349" t="s">
        <v>374</v>
      </c>
      <c r="K4349" t="str">
        <f>IFERROR(IF(AND(VLOOKUP($C4349,Hes!$A:$B, 1, FALSE), $M4349&lt;&gt;" "), "Ingresada", "Falta Ingresar"), " ")</f>
        <v xml:space="preserve"> </v>
      </c>
      <c r="L4349" s="4" t="s">
        <v>681</v>
      </c>
      <c r="M4349" t="s">
        <v>681</v>
      </c>
      <c r="O4349" s="5">
        <v>30864550</v>
      </c>
      <c r="P4349" s="5">
        <v>106286</v>
      </c>
      <c r="Q4349" s="5">
        <v>20194</v>
      </c>
      <c r="R4349" s="5">
        <v>126480</v>
      </c>
    </row>
    <row r="4350" spans="1:18" x14ac:dyDescent="0.25">
      <c r="A4350" t="s">
        <v>513</v>
      </c>
      <c r="B4350" t="s">
        <v>494</v>
      </c>
      <c r="C4350">
        <v>94637000</v>
      </c>
      <c r="D4350">
        <v>43</v>
      </c>
      <c r="E4350">
        <v>30863726</v>
      </c>
      <c r="F4350" t="s">
        <v>1631</v>
      </c>
      <c r="G4350" s="1">
        <v>45238</v>
      </c>
      <c r="H4350">
        <v>5415318</v>
      </c>
      <c r="I4350">
        <v>5</v>
      </c>
      <c r="J4350" t="s">
        <v>374</v>
      </c>
      <c r="K4350" t="str">
        <f>IFERROR(IF(AND(VLOOKUP($C4350,Hes!$A:$B, 1, FALSE), $M4350&lt;&gt;" "), "Ingresada", "Falta Ingresar"), " ")</f>
        <v xml:space="preserve"> </v>
      </c>
      <c r="L4350" s="4" t="s">
        <v>681</v>
      </c>
      <c r="M4350" t="s">
        <v>681</v>
      </c>
      <c r="O4350" s="5">
        <v>30863726</v>
      </c>
      <c r="P4350" s="5">
        <v>324604</v>
      </c>
      <c r="Q4350" s="5">
        <v>61675</v>
      </c>
      <c r="R4350" s="5">
        <v>386279</v>
      </c>
    </row>
    <row r="4351" spans="1:18" x14ac:dyDescent="0.25">
      <c r="F4351" t="s">
        <v>510</v>
      </c>
      <c r="K4351" t="str">
        <f>IFERROR(IF(AND(VLOOKUP($C4351,Hes!$A:$B, 1, FALSE), $M4351&lt;&gt;" "), "Ingresada", "Falta Ingresar"), " ")</f>
        <v xml:space="preserve"> </v>
      </c>
      <c r="L4351" s="4" t="str">
        <f>IFERROR(VLOOKUP($C4351,Observaciones!$A:$B,2,FALSE)," ")</f>
        <v xml:space="preserve"> </v>
      </c>
      <c r="M4351" t="s">
        <v>681</v>
      </c>
      <c r="P4351" s="5">
        <v>2177982</v>
      </c>
      <c r="Q4351" s="5">
        <v>413816</v>
      </c>
      <c r="R4351" s="5">
        <v>2591798</v>
      </c>
    </row>
    <row r="4352" spans="1:18" x14ac:dyDescent="0.25">
      <c r="A4352" t="s">
        <v>503</v>
      </c>
      <c r="B4352" t="s">
        <v>494</v>
      </c>
      <c r="C4352">
        <v>94716000</v>
      </c>
      <c r="D4352">
        <v>19</v>
      </c>
      <c r="E4352">
        <v>30857729</v>
      </c>
      <c r="F4352" t="s">
        <v>1632</v>
      </c>
      <c r="G4352" s="1">
        <v>45238</v>
      </c>
      <c r="H4352">
        <v>5414635</v>
      </c>
      <c r="I4352">
        <v>143</v>
      </c>
      <c r="J4352" t="s">
        <v>111</v>
      </c>
      <c r="K4352" t="str">
        <f>IFERROR(IF(AND(VLOOKUP($C4352,Hes!$A:$B, 1, FALSE), $M4352&lt;&gt;" "), "Ingresada", "Falta Ingresar"), " ")</f>
        <v xml:space="preserve"> </v>
      </c>
      <c r="L4352" s="4" t="str">
        <f>IFERROR(VLOOKUP($C4352,Observaciones!$A:$B,2,FALSE)," ")</f>
        <v xml:space="preserve"> </v>
      </c>
      <c r="M4352" t="s">
        <v>681</v>
      </c>
      <c r="O4352" s="5">
        <v>30857729</v>
      </c>
      <c r="P4352" s="5">
        <v>46316</v>
      </c>
      <c r="Q4352" s="5">
        <v>8800</v>
      </c>
      <c r="R4352" s="5">
        <v>55116</v>
      </c>
    </row>
    <row r="4353" spans="1:18" x14ac:dyDescent="0.25">
      <c r="F4353" t="s">
        <v>495</v>
      </c>
      <c r="K4353" t="str">
        <f>IFERROR(IF(AND(VLOOKUP($C4353,Hes!$A:$B, 1, FALSE), $M4353&lt;&gt;" "), "Ingresada", "Falta Ingresar"), " ")</f>
        <v xml:space="preserve"> </v>
      </c>
      <c r="L4353" s="4" t="str">
        <f>IFERROR(VLOOKUP($C4353,Observaciones!$A:$B,2,FALSE)," ")</f>
        <v xml:space="preserve"> </v>
      </c>
      <c r="M4353" t="s">
        <v>681</v>
      </c>
      <c r="P4353" s="5">
        <v>46316</v>
      </c>
      <c r="Q4353" s="5">
        <v>8800</v>
      </c>
      <c r="R4353" s="5">
        <v>55116</v>
      </c>
    </row>
    <row r="4354" spans="1:18" x14ac:dyDescent="0.25">
      <c r="A4354" t="s">
        <v>496</v>
      </c>
      <c r="B4354" t="s">
        <v>494</v>
      </c>
      <c r="C4354">
        <v>94879000</v>
      </c>
      <c r="D4354">
        <v>9</v>
      </c>
      <c r="E4354" t="s">
        <v>1633</v>
      </c>
      <c r="F4354" t="s">
        <v>1634</v>
      </c>
      <c r="G4354" s="1">
        <v>45232</v>
      </c>
      <c r="H4354">
        <v>5410725</v>
      </c>
      <c r="I4354">
        <v>108</v>
      </c>
      <c r="J4354" t="s">
        <v>196</v>
      </c>
      <c r="K4354" t="str">
        <f>IFERROR(IF(AND(VLOOKUP($C4354,Hes!$A:$B, 1, FALSE), $M4354&lt;&gt;" "), "Ingresada", "Falta Ingresar"), " ")</f>
        <v xml:space="preserve"> </v>
      </c>
      <c r="L4354" s="4" t="str">
        <f>IFERROR(VLOOKUP($C4354,Observaciones!$A:$B,2,FALSE)," ")</f>
        <v>XOC Y CC</v>
      </c>
      <c r="M4354" t="s">
        <v>681</v>
      </c>
      <c r="O4354" s="5">
        <v>30844855</v>
      </c>
      <c r="P4354" s="5">
        <v>30360</v>
      </c>
      <c r="Q4354" s="5">
        <v>5768</v>
      </c>
      <c r="R4354" s="5">
        <v>36128</v>
      </c>
    </row>
    <row r="4355" spans="1:18" x14ac:dyDescent="0.25">
      <c r="A4355" t="s">
        <v>496</v>
      </c>
      <c r="B4355" t="s">
        <v>494</v>
      </c>
      <c r="C4355">
        <v>94879000</v>
      </c>
      <c r="D4355">
        <v>9</v>
      </c>
      <c r="E4355" t="s">
        <v>1635</v>
      </c>
      <c r="F4355" t="s">
        <v>1634</v>
      </c>
      <c r="G4355" s="1">
        <v>45236</v>
      </c>
      <c r="H4355">
        <v>5413398</v>
      </c>
      <c r="I4355">
        <v>108</v>
      </c>
      <c r="J4355" t="s">
        <v>196</v>
      </c>
      <c r="K4355" t="str">
        <f>IFERROR(IF(AND(VLOOKUP($C4355,Hes!$A:$B, 1, FALSE), $M4355&lt;&gt;" "), "Ingresada", "Falta Ingresar"), " ")</f>
        <v xml:space="preserve"> </v>
      </c>
      <c r="L4355" s="4" t="str">
        <f>IFERROR(VLOOKUP($C4355,Observaciones!$A:$B,2,FALSE)," ")</f>
        <v>XOC Y CC</v>
      </c>
      <c r="M4355" t="s">
        <v>681</v>
      </c>
      <c r="O4355" s="5">
        <v>30850366</v>
      </c>
      <c r="P4355" s="5">
        <v>47690</v>
      </c>
      <c r="Q4355" s="5">
        <v>9061</v>
      </c>
      <c r="R4355" s="5">
        <v>56751</v>
      </c>
    </row>
    <row r="4356" spans="1:18" x14ac:dyDescent="0.25">
      <c r="A4356" t="s">
        <v>496</v>
      </c>
      <c r="B4356" t="s">
        <v>494</v>
      </c>
      <c r="C4356">
        <v>94879000</v>
      </c>
      <c r="D4356">
        <v>4</v>
      </c>
      <c r="E4356" t="s">
        <v>1636</v>
      </c>
      <c r="F4356" t="s">
        <v>1634</v>
      </c>
      <c r="G4356" s="1">
        <v>45236</v>
      </c>
      <c r="H4356">
        <v>5413424</v>
      </c>
      <c r="I4356">
        <v>108</v>
      </c>
      <c r="J4356" t="s">
        <v>196</v>
      </c>
      <c r="K4356" t="str">
        <f>IFERROR(IF(AND(VLOOKUP($C4356,Hes!$A:$B, 1, FALSE), $M4356&lt;&gt;" "), "Ingresada", "Falta Ingresar"), " ")</f>
        <v xml:space="preserve"> </v>
      </c>
      <c r="L4356" s="4" t="str">
        <f>IFERROR(VLOOKUP($C4356,Observaciones!$A:$B,2,FALSE)," ")</f>
        <v>XOC Y CC</v>
      </c>
      <c r="M4356" t="s">
        <v>681</v>
      </c>
      <c r="O4356" s="5">
        <v>30857883</v>
      </c>
      <c r="P4356" s="5">
        <v>413000</v>
      </c>
      <c r="Q4356" s="5">
        <v>78470</v>
      </c>
      <c r="R4356" s="5">
        <v>491470</v>
      </c>
    </row>
    <row r="4357" spans="1:18" x14ac:dyDescent="0.25">
      <c r="A4357" t="s">
        <v>496</v>
      </c>
      <c r="B4357" t="s">
        <v>494</v>
      </c>
      <c r="C4357">
        <v>94879000</v>
      </c>
      <c r="D4357">
        <v>14</v>
      </c>
      <c r="E4357" t="s">
        <v>1637</v>
      </c>
      <c r="F4357" t="s">
        <v>1634</v>
      </c>
      <c r="G4357" s="1">
        <v>45236</v>
      </c>
      <c r="H4357">
        <v>5413454</v>
      </c>
      <c r="I4357">
        <v>108</v>
      </c>
      <c r="J4357" t="s">
        <v>196</v>
      </c>
      <c r="K4357" t="str">
        <f>IFERROR(IF(AND(VLOOKUP($C4357,Hes!$A:$B, 1, FALSE), $M4357&lt;&gt;" "), "Ingresada", "Falta Ingresar"), " ")</f>
        <v xml:space="preserve"> </v>
      </c>
      <c r="L4357" s="4" t="str">
        <f>IFERROR(VLOOKUP($C4357,Observaciones!$A:$B,2,FALSE)," ")</f>
        <v>XOC Y CC</v>
      </c>
      <c r="M4357" t="s">
        <v>681</v>
      </c>
      <c r="O4357" s="5">
        <v>30841753</v>
      </c>
      <c r="P4357" s="5">
        <v>78321</v>
      </c>
      <c r="Q4357" s="5">
        <v>14881</v>
      </c>
      <c r="R4357" s="5">
        <v>93202</v>
      </c>
    </row>
    <row r="4358" spans="1:18" x14ac:dyDescent="0.25">
      <c r="F4358" t="s">
        <v>498</v>
      </c>
      <c r="K4358" t="str">
        <f>IFERROR(IF(AND(VLOOKUP($C4358,Hes!$A:$B, 1, FALSE), $M4358&lt;&gt;" "), "Ingresada", "Falta Ingresar"), " ")</f>
        <v xml:space="preserve"> </v>
      </c>
      <c r="L4358" s="4" t="str">
        <f>IFERROR(VLOOKUP($C4358,Observaciones!$A:$B,2,FALSE)," ")</f>
        <v xml:space="preserve"> </v>
      </c>
      <c r="M4358" t="s">
        <v>681</v>
      </c>
      <c r="P4358" s="5">
        <v>569371</v>
      </c>
      <c r="Q4358" s="5">
        <v>108180</v>
      </c>
      <c r="R4358" s="5">
        <v>677551</v>
      </c>
    </row>
    <row r="4359" spans="1:18" x14ac:dyDescent="0.25">
      <c r="A4359" t="s">
        <v>503</v>
      </c>
      <c r="B4359" t="s">
        <v>494</v>
      </c>
      <c r="C4359">
        <v>95207000</v>
      </c>
      <c r="D4359">
        <v>32</v>
      </c>
      <c r="E4359" t="s">
        <v>1638</v>
      </c>
      <c r="F4359" t="s">
        <v>1639</v>
      </c>
      <c r="G4359" s="1">
        <v>45234</v>
      </c>
      <c r="H4359">
        <v>5411849</v>
      </c>
      <c r="I4359">
        <v>52</v>
      </c>
      <c r="J4359" t="s">
        <v>311</v>
      </c>
      <c r="K4359" t="str">
        <f>IFERROR(IF(AND(VLOOKUP($C4359,Hes!$A:$B, 1, FALSE), $M4359&lt;&gt;" "), "Ingresada", "Falta Ingresar"), " ")</f>
        <v xml:space="preserve"> </v>
      </c>
      <c r="L4359" s="4" t="s">
        <v>681</v>
      </c>
      <c r="M4359" t="s">
        <v>681</v>
      </c>
      <c r="O4359" s="5">
        <v>30831251</v>
      </c>
      <c r="P4359" s="5">
        <v>225776</v>
      </c>
      <c r="Q4359" s="5">
        <v>42897</v>
      </c>
      <c r="R4359" s="5">
        <v>268673</v>
      </c>
    </row>
    <row r="4360" spans="1:18" x14ac:dyDescent="0.25">
      <c r="F4360" t="s">
        <v>495</v>
      </c>
      <c r="K4360" t="str">
        <f>IFERROR(IF(AND(VLOOKUP($C4360,Hes!$A:$B, 1, FALSE), $M4360&lt;&gt;" "), "Ingresada", "Falta Ingresar"), " ")</f>
        <v xml:space="preserve"> </v>
      </c>
      <c r="L4360" s="4" t="str">
        <f>IFERROR(VLOOKUP($C4360,Observaciones!$A:$B,2,FALSE)," ")</f>
        <v xml:space="preserve"> </v>
      </c>
      <c r="M4360" t="s">
        <v>681</v>
      </c>
      <c r="P4360" s="5">
        <v>225776</v>
      </c>
      <c r="Q4360" s="5">
        <v>42897</v>
      </c>
      <c r="R4360" s="5">
        <v>268673</v>
      </c>
    </row>
    <row r="4361" spans="1:18" x14ac:dyDescent="0.25">
      <c r="A4361" t="s">
        <v>503</v>
      </c>
      <c r="B4361" t="s">
        <v>494</v>
      </c>
      <c r="C4361">
        <v>95304000</v>
      </c>
      <c r="D4361">
        <v>8</v>
      </c>
      <c r="E4361">
        <v>4702727122</v>
      </c>
      <c r="F4361" t="s">
        <v>631</v>
      </c>
      <c r="G4361" s="1">
        <v>45232</v>
      </c>
      <c r="H4361">
        <v>5411112</v>
      </c>
      <c r="I4361">
        <v>63</v>
      </c>
      <c r="J4361" t="s">
        <v>170</v>
      </c>
      <c r="K4361" s="8" t="str">
        <f>IFERROR(IF(AND(VLOOKUP($C4361,Hes!$A:$B, 1, FALSE), $M4361&lt;&gt;" "), "Ingresada", "Falta Ingresar"), " ")</f>
        <v>Falta Ingresar</v>
      </c>
      <c r="L4361" s="4" t="str">
        <f>IFERROR(VLOOKUP($C4361,Observaciones!$A:$B,2,FALSE)," ")</f>
        <v>OC 47000000... XOC Y CC INDIVIDUAL, PAGINA WEB VENDEDOR ENVIA CORREO CON OC</v>
      </c>
      <c r="M4361" t="s">
        <v>681</v>
      </c>
      <c r="N4361" s="5" t="s">
        <v>841</v>
      </c>
      <c r="O4361" s="5">
        <v>30847308</v>
      </c>
      <c r="P4361" s="5">
        <v>37716</v>
      </c>
      <c r="Q4361" s="5">
        <v>7166</v>
      </c>
      <c r="R4361" s="5">
        <v>44882</v>
      </c>
    </row>
    <row r="4362" spans="1:18" x14ac:dyDescent="0.25">
      <c r="A4362" t="s">
        <v>503</v>
      </c>
      <c r="B4362" t="s">
        <v>494</v>
      </c>
      <c r="C4362">
        <v>95304000</v>
      </c>
      <c r="D4362">
        <v>7</v>
      </c>
      <c r="E4362">
        <v>4702723456</v>
      </c>
      <c r="F4362" t="s">
        <v>631</v>
      </c>
      <c r="G4362" s="1">
        <v>45236</v>
      </c>
      <c r="H4362">
        <v>5411981</v>
      </c>
      <c r="I4362">
        <v>63</v>
      </c>
      <c r="J4362" t="s">
        <v>170</v>
      </c>
      <c r="K4362" s="8" t="str">
        <f>IFERROR(IF(AND(VLOOKUP($C4362,Hes!$A:$B, 1, FALSE), $M4362&lt;&gt;" "), "Ingresada", "Falta Ingresar"), " ")</f>
        <v>Falta Ingresar</v>
      </c>
      <c r="L4362" s="4" t="str">
        <f>IFERROR(VLOOKUP($C4362,Observaciones!$A:$B,2,FALSE)," ")</f>
        <v>OC 47000000... XOC Y CC INDIVIDUAL, PAGINA WEB VENDEDOR ENVIA CORREO CON OC</v>
      </c>
      <c r="M4362" t="s">
        <v>681</v>
      </c>
      <c r="N4362" s="5" t="s">
        <v>841</v>
      </c>
      <c r="O4362" s="5">
        <v>30846909</v>
      </c>
      <c r="P4362" s="5">
        <v>21606</v>
      </c>
      <c r="Q4362" s="5">
        <v>4105</v>
      </c>
      <c r="R4362" s="5">
        <v>25711</v>
      </c>
    </row>
    <row r="4363" spans="1:18" x14ac:dyDescent="0.25">
      <c r="A4363" t="s">
        <v>503</v>
      </c>
      <c r="B4363" t="s">
        <v>494</v>
      </c>
      <c r="C4363">
        <v>95304000</v>
      </c>
      <c r="D4363">
        <v>7</v>
      </c>
      <c r="E4363">
        <v>4702701588</v>
      </c>
      <c r="F4363" t="s">
        <v>631</v>
      </c>
      <c r="G4363" s="1">
        <v>45236</v>
      </c>
      <c r="H4363">
        <v>5411982</v>
      </c>
      <c r="I4363">
        <v>63</v>
      </c>
      <c r="J4363" t="s">
        <v>170</v>
      </c>
      <c r="K4363" s="8" t="str">
        <f>IFERROR(IF(AND(VLOOKUP($C4363,Hes!$A:$B, 1, FALSE), $M4363&lt;&gt;" "), "Ingresada", "Falta Ingresar"), " ")</f>
        <v>Falta Ingresar</v>
      </c>
      <c r="L4363" s="4" t="str">
        <f>IFERROR(VLOOKUP($C4363,Observaciones!$A:$B,2,FALSE)," ")</f>
        <v>OC 47000000... XOC Y CC INDIVIDUAL, PAGINA WEB VENDEDOR ENVIA CORREO CON OC</v>
      </c>
      <c r="M4363" t="s">
        <v>681</v>
      </c>
      <c r="N4363" s="5" t="s">
        <v>841</v>
      </c>
      <c r="O4363" s="5">
        <v>30846797</v>
      </c>
      <c r="P4363" s="5">
        <v>21606</v>
      </c>
      <c r="Q4363" s="5">
        <v>4105</v>
      </c>
      <c r="R4363" s="5">
        <v>25711</v>
      </c>
    </row>
    <row r="4364" spans="1:18" x14ac:dyDescent="0.25">
      <c r="A4364" t="s">
        <v>503</v>
      </c>
      <c r="B4364" t="s">
        <v>494</v>
      </c>
      <c r="C4364">
        <v>95304000</v>
      </c>
      <c r="D4364">
        <v>8</v>
      </c>
      <c r="E4364">
        <v>4702725484</v>
      </c>
      <c r="F4364" t="s">
        <v>631</v>
      </c>
      <c r="G4364" s="1">
        <v>45236</v>
      </c>
      <c r="H4364">
        <v>5411983</v>
      </c>
      <c r="I4364">
        <v>63</v>
      </c>
      <c r="J4364" t="s">
        <v>170</v>
      </c>
      <c r="K4364" s="8" t="str">
        <f>IFERROR(IF(AND(VLOOKUP($C4364,Hes!$A:$B, 1, FALSE), $M4364&lt;&gt;" "), "Ingresada", "Falta Ingresar"), " ")</f>
        <v>Falta Ingresar</v>
      </c>
      <c r="L4364" s="4" t="str">
        <f>IFERROR(VLOOKUP($C4364,Observaciones!$A:$B,2,FALSE)," ")</f>
        <v>OC 47000000... XOC Y CC INDIVIDUAL, PAGINA WEB VENDEDOR ENVIA CORREO CON OC</v>
      </c>
      <c r="M4364" t="s">
        <v>681</v>
      </c>
      <c r="N4364" s="5" t="s">
        <v>841</v>
      </c>
      <c r="O4364" s="5">
        <v>30849370</v>
      </c>
      <c r="P4364" s="5">
        <v>410276</v>
      </c>
      <c r="Q4364" s="5">
        <v>77952</v>
      </c>
      <c r="R4364" s="5">
        <v>488228</v>
      </c>
    </row>
    <row r="4365" spans="1:18" x14ac:dyDescent="0.25">
      <c r="A4365" t="s">
        <v>503</v>
      </c>
      <c r="B4365" t="s">
        <v>494</v>
      </c>
      <c r="C4365">
        <v>95304000</v>
      </c>
      <c r="D4365">
        <v>14</v>
      </c>
      <c r="E4365">
        <v>4702726598</v>
      </c>
      <c r="F4365" t="s">
        <v>631</v>
      </c>
      <c r="G4365" s="1">
        <v>45236</v>
      </c>
      <c r="H4365">
        <v>5411984</v>
      </c>
      <c r="I4365">
        <v>63</v>
      </c>
      <c r="J4365" t="s">
        <v>170</v>
      </c>
      <c r="K4365" s="8" t="str">
        <f>IFERROR(IF(AND(VLOOKUP($C4365,Hes!$A:$B, 1, FALSE), $M4365&lt;&gt;" "), "Ingresada", "Falta Ingresar"), " ")</f>
        <v>Falta Ingresar</v>
      </c>
      <c r="L4365" s="4" t="str">
        <f>IFERROR(VLOOKUP($C4365,Observaciones!$A:$B,2,FALSE)," ")</f>
        <v>OC 47000000... XOC Y CC INDIVIDUAL, PAGINA WEB VENDEDOR ENVIA CORREO CON OC</v>
      </c>
      <c r="M4365" t="s">
        <v>681</v>
      </c>
      <c r="N4365" s="5" t="s">
        <v>841</v>
      </c>
      <c r="O4365" s="5">
        <v>30849410</v>
      </c>
      <c r="P4365" s="5">
        <v>12906</v>
      </c>
      <c r="Q4365" s="5">
        <v>2452</v>
      </c>
      <c r="R4365" s="5">
        <v>15358</v>
      </c>
    </row>
    <row r="4366" spans="1:18" x14ac:dyDescent="0.25">
      <c r="A4366" t="s">
        <v>503</v>
      </c>
      <c r="B4366" t="s">
        <v>494</v>
      </c>
      <c r="C4366">
        <v>95304000</v>
      </c>
      <c r="D4366">
        <v>10</v>
      </c>
      <c r="E4366">
        <v>30853360</v>
      </c>
      <c r="F4366" t="s">
        <v>631</v>
      </c>
      <c r="G4366" s="1">
        <v>45236</v>
      </c>
      <c r="H4366">
        <v>5412192</v>
      </c>
      <c r="I4366">
        <v>63</v>
      </c>
      <c r="J4366" t="s">
        <v>170</v>
      </c>
      <c r="K4366" s="8" t="str">
        <f>IFERROR(IF(AND(VLOOKUP($C4366,Hes!$A:$B, 1, FALSE), $M4366&lt;&gt;" "), "Ingresada", "Falta Ingresar"), " ")</f>
        <v>Falta Ingresar</v>
      </c>
      <c r="L4366" s="4" t="str">
        <f>IFERROR(VLOOKUP($C4366,Observaciones!$A:$B,2,FALSE)," ")</f>
        <v>OC 47000000... XOC Y CC INDIVIDUAL, PAGINA WEB VENDEDOR ENVIA CORREO CON OC</v>
      </c>
      <c r="M4366" t="s">
        <v>681</v>
      </c>
      <c r="N4366" s="5" t="s">
        <v>841</v>
      </c>
      <c r="O4366" s="5">
        <v>30853360</v>
      </c>
      <c r="P4366" s="5">
        <v>53887</v>
      </c>
      <c r="Q4366" s="5">
        <v>10239</v>
      </c>
      <c r="R4366" s="5">
        <v>64126</v>
      </c>
    </row>
    <row r="4367" spans="1:18" x14ac:dyDescent="0.25">
      <c r="A4367" t="s">
        <v>503</v>
      </c>
      <c r="B4367" t="s">
        <v>494</v>
      </c>
      <c r="C4367">
        <v>95304000</v>
      </c>
      <c r="D4367">
        <v>12</v>
      </c>
      <c r="E4367">
        <v>30865986</v>
      </c>
      <c r="F4367" t="s">
        <v>631</v>
      </c>
      <c r="G4367" s="1">
        <v>45238</v>
      </c>
      <c r="H4367">
        <v>5415681</v>
      </c>
      <c r="I4367">
        <v>63</v>
      </c>
      <c r="J4367" t="s">
        <v>170</v>
      </c>
      <c r="K4367" s="8" t="str">
        <f>IFERROR(IF(AND(VLOOKUP($C4367,Hes!$A:$B, 1, FALSE), $M4367&lt;&gt;" "), "Ingresada", "Falta Ingresar"), " ")</f>
        <v>Falta Ingresar</v>
      </c>
      <c r="L4367" s="4" t="str">
        <f>IFERROR(VLOOKUP($C4367,Observaciones!$A:$B,2,FALSE)," ")</f>
        <v>OC 47000000... XOC Y CC INDIVIDUAL, PAGINA WEB VENDEDOR ENVIA CORREO CON OC</v>
      </c>
      <c r="M4367" t="s">
        <v>681</v>
      </c>
      <c r="N4367" s="5" t="s">
        <v>841</v>
      </c>
      <c r="O4367" s="5">
        <v>30865986</v>
      </c>
      <c r="P4367" s="5">
        <v>506997</v>
      </c>
      <c r="Q4367" s="5">
        <v>96329</v>
      </c>
      <c r="R4367" s="5">
        <v>614686</v>
      </c>
    </row>
    <row r="4368" spans="1:18" x14ac:dyDescent="0.25">
      <c r="F4368" t="s">
        <v>537</v>
      </c>
      <c r="K4368" t="str">
        <f>IFERROR(IF(AND(VLOOKUP($C4368,Hes!$A:$B, 1, FALSE), $M4368&lt;&gt;" "), "Ingresada", "Falta Ingresar"), " ")</f>
        <v xml:space="preserve"> </v>
      </c>
      <c r="L4368" s="4" t="str">
        <f>IFERROR(VLOOKUP($C4368,Observaciones!$A:$B,2,FALSE)," ")</f>
        <v xml:space="preserve"> </v>
      </c>
      <c r="M4368" t="s">
        <v>681</v>
      </c>
      <c r="P4368" s="5">
        <v>1064994</v>
      </c>
      <c r="Q4368" s="5">
        <v>202348</v>
      </c>
      <c r="R4368" s="5">
        <v>1278702</v>
      </c>
    </row>
    <row r="4369" spans="1:18" x14ac:dyDescent="0.25">
      <c r="A4369" t="s">
        <v>503</v>
      </c>
      <c r="B4369" t="s">
        <v>502</v>
      </c>
      <c r="C4369">
        <v>95616000</v>
      </c>
      <c r="D4369">
        <v>0</v>
      </c>
      <c r="E4369">
        <v>4509363707</v>
      </c>
      <c r="F4369" t="s">
        <v>1640</v>
      </c>
      <c r="G4369" s="1">
        <v>45236</v>
      </c>
      <c r="H4369">
        <v>5412509</v>
      </c>
      <c r="I4369">
        <v>394</v>
      </c>
      <c r="J4369" t="s">
        <v>224</v>
      </c>
      <c r="K4369" t="str">
        <f>IFERROR(IF(AND(VLOOKUP($C4369,Hes!$A:$B, 1, FALSE), $M4369&lt;&gt;" "), "Ingresada", "Falta Ingresar"), " ")</f>
        <v xml:space="preserve"> </v>
      </c>
      <c r="L4369" s="4" t="s">
        <v>681</v>
      </c>
      <c r="M4369" t="s">
        <v>681</v>
      </c>
      <c r="O4369" s="5">
        <v>30846202</v>
      </c>
      <c r="P4369" s="5">
        <v>1505456</v>
      </c>
      <c r="Q4369" s="5">
        <v>286037</v>
      </c>
      <c r="R4369" s="5">
        <v>1791493</v>
      </c>
    </row>
    <row r="4370" spans="1:18" x14ac:dyDescent="0.25">
      <c r="A4370" t="s">
        <v>503</v>
      </c>
      <c r="B4370" t="s">
        <v>502</v>
      </c>
      <c r="C4370">
        <v>95616000</v>
      </c>
      <c r="D4370">
        <v>0</v>
      </c>
      <c r="E4370">
        <v>4509363768</v>
      </c>
      <c r="F4370" t="s">
        <v>1640</v>
      </c>
      <c r="G4370" s="1">
        <v>45236</v>
      </c>
      <c r="H4370">
        <v>5412510</v>
      </c>
      <c r="I4370">
        <v>394</v>
      </c>
      <c r="J4370" t="s">
        <v>224</v>
      </c>
      <c r="K4370" t="str">
        <f>IFERROR(IF(AND(VLOOKUP($C4370,Hes!$A:$B, 1, FALSE), $M4370&lt;&gt;" "), "Ingresada", "Falta Ingresar"), " ")</f>
        <v xml:space="preserve"> </v>
      </c>
      <c r="L4370" s="4" t="s">
        <v>681</v>
      </c>
      <c r="M4370" t="s">
        <v>681</v>
      </c>
      <c r="O4370" s="5">
        <v>30846311</v>
      </c>
      <c r="P4370" s="5">
        <v>117540</v>
      </c>
      <c r="Q4370" s="5">
        <v>22333</v>
      </c>
      <c r="R4370" s="5">
        <v>139873</v>
      </c>
    </row>
    <row r="4371" spans="1:18" x14ac:dyDescent="0.25">
      <c r="A4371" t="s">
        <v>503</v>
      </c>
      <c r="B4371" t="s">
        <v>502</v>
      </c>
      <c r="C4371">
        <v>95616000</v>
      </c>
      <c r="D4371">
        <v>1</v>
      </c>
      <c r="E4371">
        <v>4509363793</v>
      </c>
      <c r="F4371" t="s">
        <v>1640</v>
      </c>
      <c r="G4371" s="1">
        <v>45236</v>
      </c>
      <c r="H4371">
        <v>5412511</v>
      </c>
      <c r="I4371">
        <v>394</v>
      </c>
      <c r="J4371" t="s">
        <v>224</v>
      </c>
      <c r="K4371" t="str">
        <f>IFERROR(IF(AND(VLOOKUP($C4371,Hes!$A:$B, 1, FALSE), $M4371&lt;&gt;" "), "Ingresada", "Falta Ingresar"), " ")</f>
        <v xml:space="preserve"> </v>
      </c>
      <c r="L4371" s="4" t="s">
        <v>681</v>
      </c>
      <c r="M4371" t="s">
        <v>681</v>
      </c>
      <c r="O4371" s="5">
        <v>30846403</v>
      </c>
      <c r="P4371" s="5">
        <v>62545</v>
      </c>
      <c r="Q4371" s="5">
        <v>11884</v>
      </c>
      <c r="R4371" s="5">
        <v>74429</v>
      </c>
    </row>
    <row r="4372" spans="1:18" x14ac:dyDescent="0.25">
      <c r="A4372" t="s">
        <v>503</v>
      </c>
      <c r="B4372" t="s">
        <v>502</v>
      </c>
      <c r="C4372">
        <v>95616000</v>
      </c>
      <c r="D4372">
        <v>0</v>
      </c>
      <c r="E4372">
        <v>4509363240</v>
      </c>
      <c r="F4372" t="s">
        <v>1640</v>
      </c>
      <c r="G4372" s="1">
        <v>45236</v>
      </c>
      <c r="H4372">
        <v>5412512</v>
      </c>
      <c r="I4372">
        <v>394</v>
      </c>
      <c r="J4372" t="s">
        <v>224</v>
      </c>
      <c r="K4372" t="str">
        <f>IFERROR(IF(AND(VLOOKUP($C4372,Hes!$A:$B, 1, FALSE), $M4372&lt;&gt;" "), "Ingresada", "Falta Ingresar"), " ")</f>
        <v xml:space="preserve"> </v>
      </c>
      <c r="L4372" s="4" t="s">
        <v>681</v>
      </c>
      <c r="M4372" t="s">
        <v>681</v>
      </c>
      <c r="O4372" s="5">
        <v>30846427</v>
      </c>
      <c r="P4372" s="5">
        <v>37056</v>
      </c>
      <c r="Q4372" s="5">
        <v>7041</v>
      </c>
      <c r="R4372" s="5">
        <v>44097</v>
      </c>
    </row>
    <row r="4373" spans="1:18" x14ac:dyDescent="0.25">
      <c r="A4373" t="s">
        <v>503</v>
      </c>
      <c r="B4373" t="s">
        <v>502</v>
      </c>
      <c r="C4373">
        <v>95616000</v>
      </c>
      <c r="D4373">
        <v>0</v>
      </c>
      <c r="E4373">
        <v>4509365436</v>
      </c>
      <c r="F4373" t="s">
        <v>1640</v>
      </c>
      <c r="G4373" s="1">
        <v>45236</v>
      </c>
      <c r="H4373">
        <v>5412513</v>
      </c>
      <c r="I4373">
        <v>394</v>
      </c>
      <c r="J4373" t="s">
        <v>224</v>
      </c>
      <c r="K4373" t="str">
        <f>IFERROR(IF(AND(VLOOKUP($C4373,Hes!$A:$B, 1, FALSE), $M4373&lt;&gt;" "), "Ingresada", "Falta Ingresar"), " ")</f>
        <v xml:space="preserve"> </v>
      </c>
      <c r="L4373" s="4" t="s">
        <v>681</v>
      </c>
      <c r="M4373" t="s">
        <v>681</v>
      </c>
      <c r="O4373" s="5">
        <v>30847126</v>
      </c>
      <c r="P4373" s="5">
        <v>77030</v>
      </c>
      <c r="Q4373" s="5">
        <v>14636</v>
      </c>
      <c r="R4373" s="5">
        <v>91666</v>
      </c>
    </row>
    <row r="4374" spans="1:18" x14ac:dyDescent="0.25">
      <c r="A4374" t="s">
        <v>503</v>
      </c>
      <c r="B4374" t="s">
        <v>502</v>
      </c>
      <c r="C4374">
        <v>95616000</v>
      </c>
      <c r="D4374">
        <v>0</v>
      </c>
      <c r="E4374">
        <v>4509335350</v>
      </c>
      <c r="F4374" t="s">
        <v>1640</v>
      </c>
      <c r="G4374" s="1">
        <v>45234</v>
      </c>
      <c r="H4374">
        <v>5412550</v>
      </c>
      <c r="I4374">
        <v>394</v>
      </c>
      <c r="J4374" t="s">
        <v>224</v>
      </c>
      <c r="K4374" t="str">
        <f>IFERROR(IF(AND(VLOOKUP($C4374,Hes!$A:$B, 1, FALSE), $M4374&lt;&gt;" "), "Ingresada", "Falta Ingresar"), " ")</f>
        <v xml:space="preserve"> </v>
      </c>
      <c r="L4374" s="4" t="s">
        <v>681</v>
      </c>
      <c r="M4374" t="s">
        <v>681</v>
      </c>
      <c r="O4374" s="5">
        <v>30797102</v>
      </c>
      <c r="P4374" s="5">
        <v>162333</v>
      </c>
      <c r="Q4374" s="5">
        <v>30843</v>
      </c>
      <c r="R4374" s="5">
        <v>193176</v>
      </c>
    </row>
    <row r="4375" spans="1:18" x14ac:dyDescent="0.25">
      <c r="A4375" t="s">
        <v>503</v>
      </c>
      <c r="B4375" t="s">
        <v>502</v>
      </c>
      <c r="C4375">
        <v>95616000</v>
      </c>
      <c r="D4375">
        <v>3</v>
      </c>
      <c r="E4375">
        <v>4509368507</v>
      </c>
      <c r="F4375" t="s">
        <v>1640</v>
      </c>
      <c r="G4375" s="1">
        <v>45238</v>
      </c>
      <c r="H4375">
        <v>5415459</v>
      </c>
      <c r="I4375">
        <v>394</v>
      </c>
      <c r="J4375" t="s">
        <v>224</v>
      </c>
      <c r="K4375" t="str">
        <f>IFERROR(IF(AND(VLOOKUP($C4375,Hes!$A:$B, 1, FALSE), $M4375&lt;&gt;" "), "Ingresada", "Falta Ingresar"), " ")</f>
        <v xml:space="preserve"> </v>
      </c>
      <c r="L4375" s="4" t="s">
        <v>681</v>
      </c>
      <c r="M4375" t="s">
        <v>681</v>
      </c>
      <c r="O4375" s="5">
        <v>30855613</v>
      </c>
      <c r="P4375" s="5">
        <v>318048</v>
      </c>
      <c r="Q4375" s="5">
        <v>60429</v>
      </c>
      <c r="R4375" s="5">
        <v>378477</v>
      </c>
    </row>
    <row r="4376" spans="1:18" x14ac:dyDescent="0.25">
      <c r="A4376" t="s">
        <v>503</v>
      </c>
      <c r="B4376" t="s">
        <v>502</v>
      </c>
      <c r="C4376">
        <v>95616000</v>
      </c>
      <c r="D4376">
        <v>3</v>
      </c>
      <c r="E4376">
        <v>4509369730</v>
      </c>
      <c r="F4376" t="s">
        <v>1640</v>
      </c>
      <c r="G4376" s="1">
        <v>45238</v>
      </c>
      <c r="H4376">
        <v>5415460</v>
      </c>
      <c r="I4376">
        <v>394</v>
      </c>
      <c r="J4376" t="s">
        <v>224</v>
      </c>
      <c r="K4376" t="str">
        <f>IFERROR(IF(AND(VLOOKUP($C4376,Hes!$A:$B, 1, FALSE), $M4376&lt;&gt;" "), "Ingresada", "Falta Ingresar"), " ")</f>
        <v xml:space="preserve"> </v>
      </c>
      <c r="L4376" s="4" t="s">
        <v>681</v>
      </c>
      <c r="M4376" t="s">
        <v>681</v>
      </c>
      <c r="O4376" s="5">
        <v>30858557</v>
      </c>
      <c r="P4376" s="5">
        <v>175550</v>
      </c>
      <c r="Q4376" s="5">
        <v>33355</v>
      </c>
      <c r="R4376" s="5">
        <v>208905</v>
      </c>
    </row>
    <row r="4377" spans="1:18" x14ac:dyDescent="0.25">
      <c r="F4377" t="s">
        <v>511</v>
      </c>
      <c r="K4377" t="str">
        <f>IFERROR(IF(AND(VLOOKUP($C4377,Hes!$A:$B, 1, FALSE), $M4377&lt;&gt;" "), "Ingresada", "Falta Ingresar"), " ")</f>
        <v xml:space="preserve"> </v>
      </c>
      <c r="L4377" s="4" t="str">
        <f>IFERROR(VLOOKUP($C4377,Observaciones!$A:$B,2,FALSE)," ")</f>
        <v xml:space="preserve"> </v>
      </c>
      <c r="M4377" t="s">
        <v>681</v>
      </c>
      <c r="P4377" s="5">
        <v>2455558</v>
      </c>
      <c r="Q4377" s="5">
        <v>466558</v>
      </c>
      <c r="R4377" s="5">
        <v>2922116</v>
      </c>
    </row>
    <row r="4378" spans="1:18" x14ac:dyDescent="0.25">
      <c r="A4378" t="s">
        <v>503</v>
      </c>
      <c r="B4378" t="s">
        <v>494</v>
      </c>
      <c r="C4378">
        <v>95672000</v>
      </c>
      <c r="D4378">
        <v>0</v>
      </c>
      <c r="E4378">
        <v>62859</v>
      </c>
      <c r="F4378" t="s">
        <v>1641</v>
      </c>
      <c r="G4378" s="1">
        <v>45238</v>
      </c>
      <c r="H4378">
        <v>5415248</v>
      </c>
      <c r="I4378">
        <v>150</v>
      </c>
      <c r="J4378" t="s">
        <v>121</v>
      </c>
      <c r="K4378" t="str">
        <f>IFERROR(IF(AND(VLOOKUP($C4378,Hes!$A:$B, 1, FALSE), $M4378&lt;&gt;" "), "Ingresada", "Falta Ingresar"), " ")</f>
        <v xml:space="preserve"> </v>
      </c>
      <c r="L4378" s="4" t="str">
        <f>IFERROR(VLOOKUP($C4378,Observaciones!$A:$B,2,FALSE)," ")</f>
        <v xml:space="preserve"> </v>
      </c>
      <c r="M4378" t="s">
        <v>681</v>
      </c>
      <c r="O4378" s="5">
        <v>30856103</v>
      </c>
      <c r="P4378" s="5">
        <v>43356</v>
      </c>
      <c r="Q4378" s="5">
        <v>8238</v>
      </c>
      <c r="R4378" s="5">
        <v>51594</v>
      </c>
    </row>
    <row r="4379" spans="1:18" x14ac:dyDescent="0.25">
      <c r="F4379" t="s">
        <v>495</v>
      </c>
      <c r="K4379" t="str">
        <f>IFERROR(IF(AND(VLOOKUP($C4379,Hes!$A:$B, 1, FALSE), $M4379&lt;&gt;" "), "Ingresada", "Falta Ingresar"), " ")</f>
        <v xml:space="preserve"> </v>
      </c>
      <c r="L4379" s="4" t="str">
        <f>IFERROR(VLOOKUP($C4379,Observaciones!$A:$B,2,FALSE)," ")</f>
        <v xml:space="preserve"> </v>
      </c>
      <c r="M4379" t="s">
        <v>681</v>
      </c>
      <c r="P4379" s="5">
        <v>43356</v>
      </c>
      <c r="Q4379" s="5">
        <v>8238</v>
      </c>
      <c r="R4379" s="5">
        <v>51594</v>
      </c>
    </row>
    <row r="4380" spans="1:18" x14ac:dyDescent="0.25">
      <c r="A4380" t="s">
        <v>501</v>
      </c>
      <c r="B4380" t="s">
        <v>494</v>
      </c>
      <c r="C4380">
        <v>95888000</v>
      </c>
      <c r="D4380">
        <v>0</v>
      </c>
      <c r="E4380" t="s">
        <v>1642</v>
      </c>
      <c r="F4380" t="s">
        <v>1643</v>
      </c>
      <c r="G4380" s="1">
        <v>45233</v>
      </c>
      <c r="H4380">
        <v>5411429</v>
      </c>
      <c r="I4380">
        <v>281</v>
      </c>
      <c r="J4380" t="s">
        <v>162</v>
      </c>
      <c r="K4380" t="str">
        <f>IFERROR(IF(AND(VLOOKUP($C4380,Hes!$A:$B, 1, FALSE), $M4380&lt;&gt;" "), "Ingresada", "Falta Ingresar"), " ")</f>
        <v xml:space="preserve"> </v>
      </c>
      <c r="L4380" s="4" t="str">
        <f>IFERROR(VLOOKUP($C4380,Observaciones!$A:$B,2,FALSE)," ")</f>
        <v xml:space="preserve"> </v>
      </c>
      <c r="M4380" t="s">
        <v>681</v>
      </c>
      <c r="O4380" s="5">
        <v>30849466</v>
      </c>
      <c r="P4380" s="5">
        <v>134469</v>
      </c>
      <c r="Q4380" s="5">
        <v>25549</v>
      </c>
      <c r="R4380" s="5">
        <v>160018</v>
      </c>
    </row>
    <row r="4381" spans="1:18" x14ac:dyDescent="0.25">
      <c r="A4381" t="s">
        <v>501</v>
      </c>
      <c r="B4381" t="s">
        <v>494</v>
      </c>
      <c r="C4381">
        <v>95888000</v>
      </c>
      <c r="D4381">
        <v>1</v>
      </c>
      <c r="E4381" t="s">
        <v>1644</v>
      </c>
      <c r="F4381" t="s">
        <v>1643</v>
      </c>
      <c r="G4381" s="1">
        <v>45234</v>
      </c>
      <c r="H4381">
        <v>5411850</v>
      </c>
      <c r="I4381">
        <v>281</v>
      </c>
      <c r="J4381" t="s">
        <v>162</v>
      </c>
      <c r="K4381" t="str">
        <f>IFERROR(IF(AND(VLOOKUP($C4381,Hes!$A:$B, 1, FALSE), $M4381&lt;&gt;" "), "Ingresada", "Falta Ingresar"), " ")</f>
        <v xml:space="preserve"> </v>
      </c>
      <c r="L4381" s="4" t="str">
        <f>IFERROR(VLOOKUP($C4381,Observaciones!$A:$B,2,FALSE)," ")</f>
        <v xml:space="preserve"> </v>
      </c>
      <c r="M4381" t="s">
        <v>681</v>
      </c>
      <c r="O4381" s="5">
        <v>30849452</v>
      </c>
      <c r="P4381" s="5">
        <v>57960</v>
      </c>
      <c r="Q4381" s="5">
        <v>11012</v>
      </c>
      <c r="R4381" s="5">
        <v>68972</v>
      </c>
    </row>
    <row r="4382" spans="1:18" x14ac:dyDescent="0.25">
      <c r="F4382" t="s">
        <v>497</v>
      </c>
      <c r="K4382" t="str">
        <f>IFERROR(IF(AND(VLOOKUP($C4382,Hes!$A:$B, 1, FALSE), $M4382&lt;&gt;" "), "Ingresada", "Falta Ingresar"), " ")</f>
        <v xml:space="preserve"> </v>
      </c>
      <c r="L4382" s="4" t="str">
        <f>IFERROR(VLOOKUP($C4382,Observaciones!$A:$B,2,FALSE)," ")</f>
        <v xml:space="preserve"> </v>
      </c>
      <c r="M4382" t="s">
        <v>681</v>
      </c>
      <c r="P4382" s="5">
        <v>192429</v>
      </c>
      <c r="Q4382" s="5">
        <v>36561</v>
      </c>
      <c r="R4382" s="5">
        <v>228990</v>
      </c>
    </row>
    <row r="4383" spans="1:18" x14ac:dyDescent="0.25">
      <c r="A4383" t="s">
        <v>503</v>
      </c>
      <c r="B4383" t="s">
        <v>494</v>
      </c>
      <c r="C4383">
        <v>96501450</v>
      </c>
      <c r="D4383">
        <v>43</v>
      </c>
      <c r="E4383">
        <v>4501061587</v>
      </c>
      <c r="F4383" t="s">
        <v>1645</v>
      </c>
      <c r="G4383" s="1">
        <v>45236</v>
      </c>
      <c r="H4383">
        <v>5412113</v>
      </c>
      <c r="I4383">
        <v>129</v>
      </c>
      <c r="J4383" t="s">
        <v>414</v>
      </c>
      <c r="K4383" t="str">
        <f>IFERROR(IF(AND(VLOOKUP($C4383,Hes!$A:$B, 1, FALSE), $M4383&lt;&gt;" "), "Ingresada", "Falta Ingresar"), " ")</f>
        <v xml:space="preserve"> </v>
      </c>
      <c r="L4383" s="4" t="s">
        <v>681</v>
      </c>
      <c r="M4383" t="s">
        <v>681</v>
      </c>
      <c r="O4383" s="5">
        <v>30838723</v>
      </c>
      <c r="P4383" s="5">
        <v>14110</v>
      </c>
      <c r="Q4383" s="5">
        <v>2681</v>
      </c>
      <c r="R4383" s="5">
        <v>16791</v>
      </c>
    </row>
    <row r="4384" spans="1:18" x14ac:dyDescent="0.25">
      <c r="A4384" t="s">
        <v>503</v>
      </c>
      <c r="B4384" t="s">
        <v>494</v>
      </c>
      <c r="C4384">
        <v>96501450</v>
      </c>
      <c r="D4384">
        <v>25</v>
      </c>
      <c r="E4384">
        <v>4501061868</v>
      </c>
      <c r="F4384" t="s">
        <v>1645</v>
      </c>
      <c r="G4384" s="1">
        <v>45236</v>
      </c>
      <c r="H4384">
        <v>5412243</v>
      </c>
      <c r="I4384">
        <v>129</v>
      </c>
      <c r="J4384" t="s">
        <v>414</v>
      </c>
      <c r="K4384" t="str">
        <f>IFERROR(IF(AND(VLOOKUP($C4384,Hes!$A:$B, 1, FALSE), $M4384&lt;&gt;" "), "Ingresada", "Falta Ingresar"), " ")</f>
        <v xml:space="preserve"> </v>
      </c>
      <c r="L4384" s="4" t="s">
        <v>681</v>
      </c>
      <c r="M4384" t="s">
        <v>681</v>
      </c>
      <c r="O4384" s="5">
        <v>30836046</v>
      </c>
      <c r="P4384" s="5">
        <v>75300</v>
      </c>
      <c r="Q4384" s="5">
        <v>14307</v>
      </c>
      <c r="R4384" s="5">
        <v>89607</v>
      </c>
    </row>
    <row r="4385" spans="1:18" x14ac:dyDescent="0.25">
      <c r="A4385" t="s">
        <v>503</v>
      </c>
      <c r="B4385" t="s">
        <v>494</v>
      </c>
      <c r="C4385">
        <v>96501450</v>
      </c>
      <c r="D4385">
        <v>26</v>
      </c>
      <c r="E4385">
        <v>4501059031</v>
      </c>
      <c r="F4385" t="s">
        <v>1645</v>
      </c>
      <c r="G4385" s="1">
        <v>45236</v>
      </c>
      <c r="H4385">
        <v>5412665</v>
      </c>
      <c r="I4385">
        <v>129</v>
      </c>
      <c r="J4385" t="s">
        <v>414</v>
      </c>
      <c r="K4385" t="str">
        <f>IFERROR(IF(AND(VLOOKUP($C4385,Hes!$A:$B, 1, FALSE), $M4385&lt;&gt;" "), "Ingresada", "Falta Ingresar"), " ")</f>
        <v xml:space="preserve"> </v>
      </c>
      <c r="L4385" s="4" t="s">
        <v>681</v>
      </c>
      <c r="M4385" t="s">
        <v>681</v>
      </c>
      <c r="O4385" s="5">
        <v>30843755</v>
      </c>
      <c r="P4385" s="5">
        <v>49470</v>
      </c>
      <c r="Q4385" s="5">
        <v>9399</v>
      </c>
      <c r="R4385" s="5">
        <v>58869</v>
      </c>
    </row>
    <row r="4386" spans="1:18" x14ac:dyDescent="0.25">
      <c r="A4386" t="s">
        <v>503</v>
      </c>
      <c r="B4386" t="s">
        <v>494</v>
      </c>
      <c r="C4386">
        <v>96501450</v>
      </c>
      <c r="D4386">
        <v>42</v>
      </c>
      <c r="E4386">
        <v>4501057910</v>
      </c>
      <c r="F4386" t="s">
        <v>1645</v>
      </c>
      <c r="G4386" s="1">
        <v>45238</v>
      </c>
      <c r="H4386">
        <v>5414942</v>
      </c>
      <c r="I4386">
        <v>129</v>
      </c>
      <c r="J4386" t="s">
        <v>414</v>
      </c>
      <c r="K4386" t="str">
        <f>IFERROR(IF(AND(VLOOKUP($C4386,Hes!$A:$B, 1, FALSE), $M4386&lt;&gt;" "), "Ingresada", "Falta Ingresar"), " ")</f>
        <v xml:space="preserve"> </v>
      </c>
      <c r="L4386" s="4" t="s">
        <v>681</v>
      </c>
      <c r="M4386" t="s">
        <v>681</v>
      </c>
      <c r="O4386" s="5">
        <v>30843807</v>
      </c>
      <c r="P4386" s="5">
        <v>5200</v>
      </c>
      <c r="Q4386" s="5">
        <v>988</v>
      </c>
      <c r="R4386" s="5">
        <v>6188</v>
      </c>
    </row>
    <row r="4387" spans="1:18" x14ac:dyDescent="0.25">
      <c r="F4387" t="s">
        <v>498</v>
      </c>
      <c r="K4387" t="str">
        <f>IFERROR(IF(AND(VLOOKUP($C4387,Hes!$A:$B, 1, FALSE), $M4387&lt;&gt;" "), "Ingresada", "Falta Ingresar"), " ")</f>
        <v xml:space="preserve"> </v>
      </c>
      <c r="L4387" s="4" t="str">
        <f>IFERROR(VLOOKUP($C4387,Observaciones!$A:$B,2,FALSE)," ")</f>
        <v xml:space="preserve"> </v>
      </c>
      <c r="M4387" t="s">
        <v>681</v>
      </c>
      <c r="P4387" s="5">
        <v>144080</v>
      </c>
      <c r="Q4387" s="5">
        <v>27375</v>
      </c>
      <c r="R4387" s="5">
        <v>171455</v>
      </c>
    </row>
    <row r="4388" spans="1:18" x14ac:dyDescent="0.25">
      <c r="A4388" t="s">
        <v>496</v>
      </c>
      <c r="B4388" t="s">
        <v>494</v>
      </c>
      <c r="C4388">
        <v>96504160</v>
      </c>
      <c r="D4388">
        <v>73</v>
      </c>
      <c r="E4388" t="s">
        <v>1646</v>
      </c>
      <c r="F4388" t="s">
        <v>1647</v>
      </c>
      <c r="G4388" s="1">
        <v>45232</v>
      </c>
      <c r="H4388">
        <v>5411087</v>
      </c>
      <c r="I4388">
        <v>360</v>
      </c>
      <c r="J4388" t="s">
        <v>188</v>
      </c>
      <c r="K4388" t="str">
        <f>IFERROR(IF(AND(VLOOKUP($C4388,Hes!$A:$B, 1, FALSE), $M4388&lt;&gt;" "), "Ingresada", "Falta Ingresar"), " ")</f>
        <v xml:space="preserve"> </v>
      </c>
      <c r="L4388" s="4" t="s">
        <v>681</v>
      </c>
      <c r="M4388" t="s">
        <v>681</v>
      </c>
      <c r="O4388" s="5">
        <v>30848120</v>
      </c>
      <c r="P4388" s="5">
        <v>1126400</v>
      </c>
      <c r="Q4388" s="5">
        <v>214016</v>
      </c>
      <c r="R4388" s="5">
        <v>1340416</v>
      </c>
    </row>
    <row r="4389" spans="1:18" x14ac:dyDescent="0.25">
      <c r="A4389" t="s">
        <v>496</v>
      </c>
      <c r="B4389" t="s">
        <v>494</v>
      </c>
      <c r="C4389">
        <v>96504160</v>
      </c>
      <c r="D4389">
        <v>73</v>
      </c>
      <c r="E4389" t="s">
        <v>1648</v>
      </c>
      <c r="F4389" t="s">
        <v>1647</v>
      </c>
      <c r="G4389" s="1">
        <v>45233</v>
      </c>
      <c r="H4389">
        <v>5411326</v>
      </c>
      <c r="I4389">
        <v>360</v>
      </c>
      <c r="J4389" t="s">
        <v>188</v>
      </c>
      <c r="K4389" t="str">
        <f>IFERROR(IF(AND(VLOOKUP($C4389,Hes!$A:$B, 1, FALSE), $M4389&lt;&gt;" "), "Ingresada", "Falta Ingresar"), " ")</f>
        <v xml:space="preserve"> </v>
      </c>
      <c r="L4389" s="4" t="s">
        <v>681</v>
      </c>
      <c r="M4389" t="s">
        <v>681</v>
      </c>
      <c r="O4389" s="5">
        <v>30848168</v>
      </c>
      <c r="P4389" s="5">
        <v>104990</v>
      </c>
      <c r="Q4389" s="5">
        <v>19948</v>
      </c>
      <c r="R4389" s="5">
        <v>124938</v>
      </c>
    </row>
    <row r="4390" spans="1:18" x14ac:dyDescent="0.25">
      <c r="A4390" t="s">
        <v>496</v>
      </c>
      <c r="B4390" t="s">
        <v>494</v>
      </c>
      <c r="C4390">
        <v>96504160</v>
      </c>
      <c r="D4390">
        <v>73</v>
      </c>
      <c r="E4390" t="s">
        <v>1649</v>
      </c>
      <c r="F4390" t="s">
        <v>1647</v>
      </c>
      <c r="G4390" s="1">
        <v>45233</v>
      </c>
      <c r="H4390">
        <v>5411327</v>
      </c>
      <c r="I4390">
        <v>360</v>
      </c>
      <c r="J4390" t="s">
        <v>188</v>
      </c>
      <c r="K4390" t="str">
        <f>IFERROR(IF(AND(VLOOKUP($C4390,Hes!$A:$B, 1, FALSE), $M4390&lt;&gt;" "), "Ingresada", "Falta Ingresar"), " ")</f>
        <v xml:space="preserve"> </v>
      </c>
      <c r="L4390" s="4" t="s">
        <v>681</v>
      </c>
      <c r="M4390" t="s">
        <v>681</v>
      </c>
      <c r="O4390" s="5">
        <v>30848140</v>
      </c>
      <c r="P4390" s="5">
        <v>101376</v>
      </c>
      <c r="Q4390" s="5">
        <v>19261</v>
      </c>
      <c r="R4390" s="5">
        <v>120637</v>
      </c>
    </row>
    <row r="4391" spans="1:18" x14ac:dyDescent="0.25">
      <c r="F4391" t="s">
        <v>500</v>
      </c>
      <c r="K4391" t="str">
        <f>IFERROR(IF(AND(VLOOKUP($C4391,Hes!$A:$B, 1, FALSE), $M4391&lt;&gt;" "), "Ingresada", "Falta Ingresar"), " ")</f>
        <v xml:space="preserve"> </v>
      </c>
      <c r="L4391" s="4" t="str">
        <f>IFERROR(VLOOKUP($C4391,Observaciones!$A:$B,2,FALSE)," ")</f>
        <v xml:space="preserve"> </v>
      </c>
      <c r="M4391" t="s">
        <v>681</v>
      </c>
      <c r="P4391" s="5">
        <v>1332766</v>
      </c>
      <c r="Q4391" s="5">
        <v>253225</v>
      </c>
      <c r="R4391" s="5">
        <v>1585991</v>
      </c>
    </row>
    <row r="4392" spans="1:18" x14ac:dyDescent="0.25">
      <c r="A4392" t="s">
        <v>496</v>
      </c>
      <c r="B4392" t="s">
        <v>494</v>
      </c>
      <c r="C4392">
        <v>96505760</v>
      </c>
      <c r="D4392">
        <v>16</v>
      </c>
      <c r="E4392">
        <v>4700028095</v>
      </c>
      <c r="F4392" t="s">
        <v>1650</v>
      </c>
      <c r="G4392" s="1">
        <v>45236</v>
      </c>
      <c r="H4392">
        <v>5412247</v>
      </c>
      <c r="I4392">
        <v>96</v>
      </c>
      <c r="J4392" t="s">
        <v>140</v>
      </c>
      <c r="K4392" s="8" t="str">
        <f>IFERROR(IF(AND(VLOOKUP($C4392,Hes!$A:$B, 1, FALSE), $M4392&lt;&gt;" "), "Ingresada", "Falta Ingresar"), " ")</f>
        <v>Falta Ingresar</v>
      </c>
      <c r="L4392" s="4" t="str">
        <f>IFERROR(VLOOKUP($C4392,Observaciones!$A:$B,2,FALSE)," ")</f>
        <v>XOC Y CC</v>
      </c>
      <c r="M4392" t="s">
        <v>681</v>
      </c>
      <c r="N4392" s="5" t="s">
        <v>841</v>
      </c>
      <c r="O4392" s="5">
        <v>30853121</v>
      </c>
      <c r="P4392" s="5">
        <v>24068</v>
      </c>
      <c r="Q4392" s="5">
        <v>4573</v>
      </c>
      <c r="R4392" s="5">
        <v>28641</v>
      </c>
    </row>
    <row r="4393" spans="1:18" x14ac:dyDescent="0.25">
      <c r="A4393" t="s">
        <v>496</v>
      </c>
      <c r="B4393" t="s">
        <v>494</v>
      </c>
      <c r="C4393">
        <v>96505760</v>
      </c>
      <c r="D4393">
        <v>0</v>
      </c>
      <c r="E4393">
        <v>4700029043</v>
      </c>
      <c r="F4393" t="s">
        <v>1650</v>
      </c>
      <c r="G4393" s="1">
        <v>45236</v>
      </c>
      <c r="H4393">
        <v>5413450</v>
      </c>
      <c r="I4393">
        <v>96</v>
      </c>
      <c r="J4393" t="s">
        <v>140</v>
      </c>
      <c r="K4393" s="8" t="str">
        <f>IFERROR(IF(AND(VLOOKUP($C4393,Hes!$A:$B, 1, FALSE), $M4393&lt;&gt;" "), "Ingresada", "Falta Ingresar"), " ")</f>
        <v>Falta Ingresar</v>
      </c>
      <c r="L4393" s="4" t="str">
        <f>IFERROR(VLOOKUP($C4393,Observaciones!$A:$B,2,FALSE)," ")</f>
        <v>XOC Y CC</v>
      </c>
      <c r="M4393" t="s">
        <v>681</v>
      </c>
      <c r="N4393" s="5" t="s">
        <v>841</v>
      </c>
      <c r="O4393" s="5">
        <v>30848247</v>
      </c>
      <c r="P4393" s="5">
        <v>164314</v>
      </c>
      <c r="Q4393" s="5">
        <v>31220</v>
      </c>
      <c r="R4393" s="5">
        <v>200100</v>
      </c>
    </row>
    <row r="4394" spans="1:18" x14ac:dyDescent="0.25">
      <c r="A4394" t="s">
        <v>496</v>
      </c>
      <c r="B4394" t="s">
        <v>494</v>
      </c>
      <c r="C4394">
        <v>96505760</v>
      </c>
      <c r="D4394">
        <v>0</v>
      </c>
      <c r="E4394">
        <v>4700029593</v>
      </c>
      <c r="F4394" t="s">
        <v>1650</v>
      </c>
      <c r="G4394" s="1">
        <v>45238</v>
      </c>
      <c r="H4394">
        <v>5414978</v>
      </c>
      <c r="I4394">
        <v>96</v>
      </c>
      <c r="J4394" t="s">
        <v>140</v>
      </c>
      <c r="K4394" s="8" t="str">
        <f>IFERROR(IF(AND(VLOOKUP($C4394,Hes!$A:$B, 1, FALSE), $M4394&lt;&gt;" "), "Ingresada", "Falta Ingresar"), " ")</f>
        <v>Falta Ingresar</v>
      </c>
      <c r="L4394" s="4" t="str">
        <f>IFERROR(VLOOKUP($C4394,Observaciones!$A:$B,2,FALSE)," ")</f>
        <v>XOC Y CC</v>
      </c>
      <c r="M4394" t="s">
        <v>681</v>
      </c>
      <c r="N4394" s="5" t="s">
        <v>841</v>
      </c>
      <c r="O4394" s="5">
        <v>30846361</v>
      </c>
      <c r="P4394" s="5">
        <v>43560</v>
      </c>
      <c r="Q4394" s="5">
        <v>8276</v>
      </c>
      <c r="R4394" s="5">
        <v>51836</v>
      </c>
    </row>
    <row r="4395" spans="1:18" x14ac:dyDescent="0.25">
      <c r="A4395" t="s">
        <v>496</v>
      </c>
      <c r="B4395" t="s">
        <v>494</v>
      </c>
      <c r="C4395">
        <v>96505760</v>
      </c>
      <c r="D4395">
        <v>1</v>
      </c>
      <c r="E4395">
        <v>4700029608</v>
      </c>
      <c r="F4395" t="s">
        <v>1650</v>
      </c>
      <c r="G4395" s="1">
        <v>45238</v>
      </c>
      <c r="H4395">
        <v>5415362</v>
      </c>
      <c r="I4395">
        <v>96</v>
      </c>
      <c r="J4395" t="s">
        <v>140</v>
      </c>
      <c r="K4395" s="8" t="str">
        <f>IFERROR(IF(AND(VLOOKUP($C4395,Hes!$A:$B, 1, FALSE), $M4395&lt;&gt;" "), "Ingresada", "Falta Ingresar"), " ")</f>
        <v>Falta Ingresar</v>
      </c>
      <c r="L4395" s="4" t="str">
        <f>IFERROR(VLOOKUP($C4395,Observaciones!$A:$B,2,FALSE)," ")</f>
        <v>XOC Y CC</v>
      </c>
      <c r="M4395" t="s">
        <v>681</v>
      </c>
      <c r="N4395" s="5" t="s">
        <v>841</v>
      </c>
      <c r="O4395" s="5">
        <v>30865452</v>
      </c>
      <c r="P4395" s="5">
        <v>224374</v>
      </c>
      <c r="Q4395" s="5">
        <v>42631</v>
      </c>
      <c r="R4395" s="5">
        <v>267005</v>
      </c>
    </row>
    <row r="4396" spans="1:18" x14ac:dyDescent="0.25">
      <c r="A4396" t="s">
        <v>496</v>
      </c>
      <c r="B4396" t="s">
        <v>494</v>
      </c>
      <c r="C4396">
        <v>96505760</v>
      </c>
      <c r="D4396">
        <v>9</v>
      </c>
      <c r="E4396">
        <v>4700029628</v>
      </c>
      <c r="F4396" t="s">
        <v>1650</v>
      </c>
      <c r="G4396" s="1">
        <v>45238</v>
      </c>
      <c r="H4396">
        <v>5415512</v>
      </c>
      <c r="I4396">
        <v>96</v>
      </c>
      <c r="J4396" t="s">
        <v>140</v>
      </c>
      <c r="K4396" s="8" t="str">
        <f>IFERROR(IF(AND(VLOOKUP($C4396,Hes!$A:$B, 1, FALSE), $M4396&lt;&gt;" "), "Ingresada", "Falta Ingresar"), " ")</f>
        <v>Falta Ingresar</v>
      </c>
      <c r="L4396" s="4" t="str">
        <f>IFERROR(VLOOKUP($C4396,Observaciones!$A:$B,2,FALSE)," ")</f>
        <v>XOC Y CC</v>
      </c>
      <c r="M4396" t="s">
        <v>681</v>
      </c>
      <c r="N4396" s="5" t="s">
        <v>841</v>
      </c>
      <c r="O4396" s="5">
        <v>30865825</v>
      </c>
      <c r="P4396" s="5">
        <v>27214</v>
      </c>
      <c r="Q4396" s="5">
        <v>5171</v>
      </c>
      <c r="R4396" s="5">
        <v>32385</v>
      </c>
    </row>
    <row r="4397" spans="1:18" x14ac:dyDescent="0.25">
      <c r="A4397" t="s">
        <v>496</v>
      </c>
      <c r="B4397" t="s">
        <v>494</v>
      </c>
      <c r="C4397">
        <v>96505760</v>
      </c>
      <c r="D4397">
        <v>1</v>
      </c>
      <c r="E4397">
        <v>4700029607</v>
      </c>
      <c r="F4397" t="s">
        <v>1650</v>
      </c>
      <c r="G4397" s="1">
        <v>45238</v>
      </c>
      <c r="H4397">
        <v>5415557</v>
      </c>
      <c r="I4397">
        <v>96</v>
      </c>
      <c r="J4397" t="s">
        <v>140</v>
      </c>
      <c r="K4397" s="8" t="str">
        <f>IFERROR(IF(AND(VLOOKUP($C4397,Hes!$A:$B, 1, FALSE), $M4397&lt;&gt;" "), "Ingresada", "Falta Ingresar"), " ")</f>
        <v>Falta Ingresar</v>
      </c>
      <c r="L4397" s="4" t="str">
        <f>IFERROR(VLOOKUP($C4397,Observaciones!$A:$B,2,FALSE)," ")</f>
        <v>XOC Y CC</v>
      </c>
      <c r="M4397" t="s">
        <v>681</v>
      </c>
      <c r="N4397" s="5" t="s">
        <v>841</v>
      </c>
      <c r="O4397" s="5">
        <v>30865492</v>
      </c>
      <c r="P4397" s="5">
        <v>641095</v>
      </c>
      <c r="Q4397" s="5">
        <v>121808</v>
      </c>
      <c r="R4397" s="5">
        <v>762903</v>
      </c>
    </row>
    <row r="4398" spans="1:18" x14ac:dyDescent="0.25">
      <c r="A4398" t="s">
        <v>496</v>
      </c>
      <c r="B4398" t="s">
        <v>494</v>
      </c>
      <c r="C4398">
        <v>96505760</v>
      </c>
      <c r="D4398">
        <v>9</v>
      </c>
      <c r="E4398">
        <v>4700029627</v>
      </c>
      <c r="F4398" t="s">
        <v>1650</v>
      </c>
      <c r="G4398" s="1">
        <v>45238</v>
      </c>
      <c r="H4398">
        <v>5415682</v>
      </c>
      <c r="I4398">
        <v>96</v>
      </c>
      <c r="J4398" t="s">
        <v>140</v>
      </c>
      <c r="K4398" s="8" t="str">
        <f>IFERROR(IF(AND(VLOOKUP($C4398,Hes!$A:$B, 1, FALSE), $M4398&lt;&gt;" "), "Ingresada", "Falta Ingresar"), " ")</f>
        <v>Falta Ingresar</v>
      </c>
      <c r="L4398" s="4" t="str">
        <f>IFERROR(VLOOKUP($C4398,Observaciones!$A:$B,2,FALSE)," ")</f>
        <v>XOC Y CC</v>
      </c>
      <c r="M4398" t="s">
        <v>681</v>
      </c>
      <c r="N4398" s="5" t="s">
        <v>841</v>
      </c>
      <c r="O4398" s="5">
        <v>30865569</v>
      </c>
      <c r="P4398" s="5">
        <v>904600</v>
      </c>
      <c r="Q4398" s="5">
        <v>171874</v>
      </c>
      <c r="R4398" s="5">
        <v>1081568</v>
      </c>
    </row>
    <row r="4399" spans="1:18" x14ac:dyDescent="0.25">
      <c r="A4399" t="s">
        <v>496</v>
      </c>
      <c r="B4399" t="s">
        <v>494</v>
      </c>
      <c r="C4399">
        <v>96505760</v>
      </c>
      <c r="D4399">
        <v>9</v>
      </c>
      <c r="E4399">
        <v>4700029627</v>
      </c>
      <c r="F4399" t="s">
        <v>1650</v>
      </c>
      <c r="G4399" s="1">
        <v>45238</v>
      </c>
      <c r="H4399">
        <v>5415683</v>
      </c>
      <c r="I4399">
        <v>96</v>
      </c>
      <c r="J4399" t="s">
        <v>140</v>
      </c>
      <c r="K4399" s="8" t="str">
        <f>IFERROR(IF(AND(VLOOKUP($C4399,Hes!$A:$B, 1, FALSE), $M4399&lt;&gt;" "), "Ingresada", "Falta Ingresar"), " ")</f>
        <v>Falta Ingresar</v>
      </c>
      <c r="L4399" s="4" t="str">
        <f>IFERROR(VLOOKUP($C4399,Observaciones!$A:$B,2,FALSE)," ")</f>
        <v>XOC Y CC</v>
      </c>
      <c r="M4399" t="s">
        <v>681</v>
      </c>
      <c r="N4399" s="5" t="s">
        <v>841</v>
      </c>
      <c r="O4399" s="5">
        <v>30865569</v>
      </c>
      <c r="P4399" s="5">
        <v>96110</v>
      </c>
      <c r="Q4399" s="5">
        <v>18261</v>
      </c>
      <c r="R4399" s="5">
        <v>114371</v>
      </c>
    </row>
    <row r="4400" spans="1:18" x14ac:dyDescent="0.25">
      <c r="F4400" t="s">
        <v>511</v>
      </c>
      <c r="K4400" t="str">
        <f>IFERROR(IF(AND(VLOOKUP($C4400,Hes!$A:$B, 1, FALSE), $M4400&lt;&gt;" "), "Ingresada", "Falta Ingresar"), " ")</f>
        <v xml:space="preserve"> </v>
      </c>
      <c r="L4400" s="4" t="str">
        <f>IFERROR(VLOOKUP($C4400,Observaciones!$A:$B,2,FALSE)," ")</f>
        <v xml:space="preserve"> </v>
      </c>
      <c r="M4400" t="s">
        <v>681</v>
      </c>
      <c r="P4400" s="5">
        <v>2125335</v>
      </c>
      <c r="Q4400" s="5">
        <v>403814</v>
      </c>
      <c r="R4400" s="5">
        <v>2538809</v>
      </c>
    </row>
    <row r="4401" spans="1:18" x14ac:dyDescent="0.25">
      <c r="A4401" t="s">
        <v>3</v>
      </c>
      <c r="B4401" t="s">
        <v>494</v>
      </c>
      <c r="C4401">
        <v>96508210</v>
      </c>
      <c r="D4401">
        <v>1235</v>
      </c>
      <c r="E4401">
        <v>30850078</v>
      </c>
      <c r="F4401" t="s">
        <v>1651</v>
      </c>
      <c r="G4401" s="1">
        <v>45233</v>
      </c>
      <c r="H4401">
        <v>5411555</v>
      </c>
      <c r="I4401">
        <v>91</v>
      </c>
      <c r="J4401" t="s">
        <v>172</v>
      </c>
      <c r="K4401" t="str">
        <f>IFERROR(IF(AND(VLOOKUP($C4401,Hes!$A:$B, 1, FALSE), $M4401&lt;&gt;" "), "Ingresada", "Falta Ingresar"), " ")</f>
        <v xml:space="preserve"> </v>
      </c>
      <c r="L4401" s="4" t="str">
        <f>IFERROR(VLOOKUP($C4401,Observaciones!$A:$B,2,FALSE)," ")</f>
        <v xml:space="preserve"> </v>
      </c>
      <c r="M4401" t="s">
        <v>681</v>
      </c>
      <c r="O4401" s="5">
        <v>30850078</v>
      </c>
      <c r="P4401" s="5">
        <v>49804</v>
      </c>
      <c r="Q4401" s="5">
        <v>9463</v>
      </c>
      <c r="R4401" s="5">
        <v>59565</v>
      </c>
    </row>
    <row r="4402" spans="1:18" x14ac:dyDescent="0.25">
      <c r="A4402" t="s">
        <v>3</v>
      </c>
      <c r="B4402" t="s">
        <v>494</v>
      </c>
      <c r="C4402">
        <v>96508210</v>
      </c>
      <c r="D4402">
        <v>181</v>
      </c>
      <c r="E4402">
        <v>30849338</v>
      </c>
      <c r="F4402" t="s">
        <v>1651</v>
      </c>
      <c r="G4402" s="1">
        <v>45233</v>
      </c>
      <c r="H4402">
        <v>5411570</v>
      </c>
      <c r="I4402">
        <v>91</v>
      </c>
      <c r="J4402" t="s">
        <v>172</v>
      </c>
      <c r="K4402" t="str">
        <f>IFERROR(IF(AND(VLOOKUP($C4402,Hes!$A:$B, 1, FALSE), $M4402&lt;&gt;" "), "Ingresada", "Falta Ingresar"), " ")</f>
        <v xml:space="preserve"> </v>
      </c>
      <c r="L4402" s="4" t="str">
        <f>IFERROR(VLOOKUP($C4402,Observaciones!$A:$B,2,FALSE)," ")</f>
        <v xml:space="preserve"> </v>
      </c>
      <c r="M4402" t="s">
        <v>681</v>
      </c>
      <c r="O4402" s="5">
        <v>30849338</v>
      </c>
      <c r="P4402" s="5">
        <v>70306</v>
      </c>
      <c r="Q4402" s="5">
        <v>13358</v>
      </c>
      <c r="R4402" s="5">
        <v>83664</v>
      </c>
    </row>
    <row r="4403" spans="1:18" x14ac:dyDescent="0.25">
      <c r="A4403" t="s">
        <v>3</v>
      </c>
      <c r="B4403" t="s">
        <v>494</v>
      </c>
      <c r="C4403">
        <v>96508210</v>
      </c>
      <c r="D4403">
        <v>14</v>
      </c>
      <c r="E4403">
        <v>30850533</v>
      </c>
      <c r="F4403" t="s">
        <v>1651</v>
      </c>
      <c r="G4403" s="1">
        <v>45236</v>
      </c>
      <c r="H4403">
        <v>5412049</v>
      </c>
      <c r="I4403">
        <v>91</v>
      </c>
      <c r="J4403" t="s">
        <v>172</v>
      </c>
      <c r="K4403" t="str">
        <f>IFERROR(IF(AND(VLOOKUP($C4403,Hes!$A:$B, 1, FALSE), $M4403&lt;&gt;" "), "Ingresada", "Falta Ingresar"), " ")</f>
        <v xml:space="preserve"> </v>
      </c>
      <c r="L4403" s="4" t="str">
        <f>IFERROR(VLOOKUP($C4403,Observaciones!$A:$B,2,FALSE)," ")</f>
        <v xml:space="preserve"> </v>
      </c>
      <c r="M4403" t="s">
        <v>681</v>
      </c>
      <c r="O4403" s="5">
        <v>30850533</v>
      </c>
      <c r="P4403" s="5">
        <v>25470</v>
      </c>
      <c r="Q4403" s="5">
        <v>4839</v>
      </c>
      <c r="R4403" s="5">
        <v>30309</v>
      </c>
    </row>
    <row r="4404" spans="1:18" x14ac:dyDescent="0.25">
      <c r="A4404" t="s">
        <v>3</v>
      </c>
      <c r="B4404" t="s">
        <v>494</v>
      </c>
      <c r="C4404">
        <v>96508210</v>
      </c>
      <c r="D4404">
        <v>19</v>
      </c>
      <c r="E4404">
        <v>30852682</v>
      </c>
      <c r="F4404" t="s">
        <v>1651</v>
      </c>
      <c r="G4404" s="1">
        <v>45236</v>
      </c>
      <c r="H4404">
        <v>5412226</v>
      </c>
      <c r="I4404">
        <v>91</v>
      </c>
      <c r="J4404" t="s">
        <v>172</v>
      </c>
      <c r="K4404" t="str">
        <f>IFERROR(IF(AND(VLOOKUP($C4404,Hes!$A:$B, 1, FALSE), $M4404&lt;&gt;" "), "Ingresada", "Falta Ingresar"), " ")</f>
        <v xml:space="preserve"> </v>
      </c>
      <c r="L4404" s="4" t="str">
        <f>IFERROR(VLOOKUP($C4404,Observaciones!$A:$B,2,FALSE)," ")</f>
        <v xml:space="preserve"> </v>
      </c>
      <c r="M4404" t="s">
        <v>681</v>
      </c>
      <c r="O4404" s="5">
        <v>30852682</v>
      </c>
      <c r="P4404" s="5">
        <v>54235</v>
      </c>
      <c r="Q4404" s="5">
        <v>10305</v>
      </c>
      <c r="R4404" s="5">
        <v>64540</v>
      </c>
    </row>
    <row r="4405" spans="1:18" x14ac:dyDescent="0.25">
      <c r="A4405" t="s">
        <v>3</v>
      </c>
      <c r="B4405" t="s">
        <v>494</v>
      </c>
      <c r="C4405">
        <v>96508210</v>
      </c>
      <c r="D4405">
        <v>90</v>
      </c>
      <c r="E4405">
        <v>30852560</v>
      </c>
      <c r="F4405" t="s">
        <v>1651</v>
      </c>
      <c r="G4405" s="1">
        <v>45236</v>
      </c>
      <c r="H4405">
        <v>5412259</v>
      </c>
      <c r="I4405">
        <v>91</v>
      </c>
      <c r="J4405" t="s">
        <v>172</v>
      </c>
      <c r="K4405" t="str">
        <f>IFERROR(IF(AND(VLOOKUP($C4405,Hes!$A:$B, 1, FALSE), $M4405&lt;&gt;" "), "Ingresada", "Falta Ingresar"), " ")</f>
        <v xml:space="preserve"> </v>
      </c>
      <c r="L4405" s="4" t="str">
        <f>IFERROR(VLOOKUP($C4405,Observaciones!$A:$B,2,FALSE)," ")</f>
        <v xml:space="preserve"> </v>
      </c>
      <c r="M4405" t="s">
        <v>681</v>
      </c>
      <c r="O4405" s="5">
        <v>30852560</v>
      </c>
      <c r="P4405" s="5">
        <v>24325</v>
      </c>
      <c r="Q4405" s="5">
        <v>4622</v>
      </c>
      <c r="R4405" s="5">
        <v>28947</v>
      </c>
    </row>
    <row r="4406" spans="1:18" x14ac:dyDescent="0.25">
      <c r="A4406" t="s">
        <v>3</v>
      </c>
      <c r="B4406" t="s">
        <v>494</v>
      </c>
      <c r="C4406">
        <v>96508210</v>
      </c>
      <c r="D4406">
        <v>19</v>
      </c>
      <c r="E4406">
        <v>30852812</v>
      </c>
      <c r="F4406" t="s">
        <v>1651</v>
      </c>
      <c r="G4406" s="1">
        <v>45236</v>
      </c>
      <c r="H4406">
        <v>5412260</v>
      </c>
      <c r="I4406">
        <v>91</v>
      </c>
      <c r="J4406" t="s">
        <v>172</v>
      </c>
      <c r="K4406" t="str">
        <f>IFERROR(IF(AND(VLOOKUP($C4406,Hes!$A:$B, 1, FALSE), $M4406&lt;&gt;" "), "Ingresada", "Falta Ingresar"), " ")</f>
        <v xml:space="preserve"> </v>
      </c>
      <c r="L4406" s="4" t="str">
        <f>IFERROR(VLOOKUP($C4406,Observaciones!$A:$B,2,FALSE)," ")</f>
        <v xml:space="preserve"> </v>
      </c>
      <c r="M4406" t="s">
        <v>681</v>
      </c>
      <c r="O4406" s="5">
        <v>30852812</v>
      </c>
      <c r="P4406" s="5">
        <v>20702</v>
      </c>
      <c r="Q4406" s="5">
        <v>3933</v>
      </c>
      <c r="R4406" s="5">
        <v>24635</v>
      </c>
    </row>
    <row r="4407" spans="1:18" x14ac:dyDescent="0.25">
      <c r="A4407" t="s">
        <v>3</v>
      </c>
      <c r="B4407" t="s">
        <v>494</v>
      </c>
      <c r="C4407">
        <v>96508210</v>
      </c>
      <c r="D4407">
        <v>1234</v>
      </c>
      <c r="E4407">
        <v>30852179</v>
      </c>
      <c r="F4407" t="s">
        <v>1651</v>
      </c>
      <c r="G4407" s="1">
        <v>45236</v>
      </c>
      <c r="H4407">
        <v>5412336</v>
      </c>
      <c r="I4407">
        <v>91</v>
      </c>
      <c r="J4407" t="s">
        <v>172</v>
      </c>
      <c r="K4407" t="str">
        <f>IFERROR(IF(AND(VLOOKUP($C4407,Hes!$A:$B, 1, FALSE), $M4407&lt;&gt;" "), "Ingresada", "Falta Ingresar"), " ")</f>
        <v xml:space="preserve"> </v>
      </c>
      <c r="L4407" s="4" t="str">
        <f>IFERROR(VLOOKUP($C4407,Observaciones!$A:$B,2,FALSE)," ")</f>
        <v xml:space="preserve"> </v>
      </c>
      <c r="M4407" t="s">
        <v>681</v>
      </c>
      <c r="O4407" s="5">
        <v>30852179</v>
      </c>
      <c r="P4407" s="5">
        <v>23001</v>
      </c>
      <c r="Q4407" s="5">
        <v>4370</v>
      </c>
      <c r="R4407" s="5">
        <v>27371</v>
      </c>
    </row>
    <row r="4408" spans="1:18" x14ac:dyDescent="0.25">
      <c r="A4408" t="s">
        <v>3</v>
      </c>
      <c r="B4408" t="s">
        <v>494</v>
      </c>
      <c r="C4408">
        <v>96508210</v>
      </c>
      <c r="D4408">
        <v>25</v>
      </c>
      <c r="E4408">
        <v>30852061</v>
      </c>
      <c r="F4408" t="s">
        <v>1651</v>
      </c>
      <c r="G4408" s="1">
        <v>45236</v>
      </c>
      <c r="H4408">
        <v>5412339</v>
      </c>
      <c r="I4408">
        <v>91</v>
      </c>
      <c r="J4408" t="s">
        <v>172</v>
      </c>
      <c r="K4408" t="str">
        <f>IFERROR(IF(AND(VLOOKUP($C4408,Hes!$A:$B, 1, FALSE), $M4408&lt;&gt;" "), "Ingresada", "Falta Ingresar"), " ")</f>
        <v xml:space="preserve"> </v>
      </c>
      <c r="L4408" s="4" t="str">
        <f>IFERROR(VLOOKUP($C4408,Observaciones!$A:$B,2,FALSE)," ")</f>
        <v xml:space="preserve"> </v>
      </c>
      <c r="M4408" t="s">
        <v>681</v>
      </c>
      <c r="O4408" s="5">
        <v>30852061</v>
      </c>
      <c r="P4408" s="5">
        <v>21491</v>
      </c>
      <c r="Q4408" s="5">
        <v>4083</v>
      </c>
      <c r="R4408" s="5">
        <v>25574</v>
      </c>
    </row>
    <row r="4409" spans="1:18" x14ac:dyDescent="0.25">
      <c r="A4409" t="s">
        <v>3</v>
      </c>
      <c r="B4409" t="s">
        <v>494</v>
      </c>
      <c r="C4409">
        <v>96508210</v>
      </c>
      <c r="D4409">
        <v>166</v>
      </c>
      <c r="E4409">
        <v>30851917</v>
      </c>
      <c r="F4409" t="s">
        <v>1651</v>
      </c>
      <c r="G4409" s="1">
        <v>45236</v>
      </c>
      <c r="H4409">
        <v>5412341</v>
      </c>
      <c r="I4409">
        <v>91</v>
      </c>
      <c r="J4409" t="s">
        <v>172</v>
      </c>
      <c r="K4409" t="str">
        <f>IFERROR(IF(AND(VLOOKUP($C4409,Hes!$A:$B, 1, FALSE), $M4409&lt;&gt;" "), "Ingresada", "Falta Ingresar"), " ")</f>
        <v xml:space="preserve"> </v>
      </c>
      <c r="L4409" s="4" t="str">
        <f>IFERROR(VLOOKUP($C4409,Observaciones!$A:$B,2,FALSE)," ")</f>
        <v xml:space="preserve"> </v>
      </c>
      <c r="M4409" t="s">
        <v>681</v>
      </c>
      <c r="O4409" s="5">
        <v>30851917</v>
      </c>
      <c r="P4409" s="5">
        <v>47419</v>
      </c>
      <c r="Q4409" s="5">
        <v>9010</v>
      </c>
      <c r="R4409" s="5">
        <v>56429</v>
      </c>
    </row>
    <row r="4410" spans="1:18" x14ac:dyDescent="0.25">
      <c r="A4410" t="s">
        <v>3</v>
      </c>
      <c r="B4410" t="s">
        <v>494</v>
      </c>
      <c r="C4410">
        <v>96508210</v>
      </c>
      <c r="D4410">
        <v>76</v>
      </c>
      <c r="E4410">
        <v>30850517</v>
      </c>
      <c r="F4410" t="s">
        <v>1651</v>
      </c>
      <c r="G4410" s="1">
        <v>45236</v>
      </c>
      <c r="H4410">
        <v>5412732</v>
      </c>
      <c r="I4410">
        <v>91</v>
      </c>
      <c r="J4410" t="s">
        <v>172</v>
      </c>
      <c r="K4410" t="str">
        <f>IFERROR(IF(AND(VLOOKUP($C4410,Hes!$A:$B, 1, FALSE), $M4410&lt;&gt;" "), "Ingresada", "Falta Ingresar"), " ")</f>
        <v xml:space="preserve"> </v>
      </c>
      <c r="L4410" s="4" t="str">
        <f>IFERROR(VLOOKUP($C4410,Observaciones!$A:$B,2,FALSE)," ")</f>
        <v xml:space="preserve"> </v>
      </c>
      <c r="M4410" t="s">
        <v>681</v>
      </c>
      <c r="O4410" s="5">
        <v>30850517</v>
      </c>
      <c r="P4410" s="5">
        <v>35784</v>
      </c>
      <c r="Q4410" s="5">
        <v>6799</v>
      </c>
      <c r="R4410" s="5">
        <v>42583</v>
      </c>
    </row>
    <row r="4411" spans="1:18" x14ac:dyDescent="0.25">
      <c r="A4411" t="s">
        <v>3</v>
      </c>
      <c r="B4411" t="s">
        <v>494</v>
      </c>
      <c r="C4411">
        <v>96508210</v>
      </c>
      <c r="D4411">
        <v>159</v>
      </c>
      <c r="E4411">
        <v>30855721</v>
      </c>
      <c r="F4411" t="s">
        <v>1651</v>
      </c>
      <c r="G4411" s="1">
        <v>45234</v>
      </c>
      <c r="H4411">
        <v>5412743</v>
      </c>
      <c r="I4411">
        <v>91</v>
      </c>
      <c r="J4411" t="s">
        <v>172</v>
      </c>
      <c r="K4411" t="str">
        <f>IFERROR(IF(AND(VLOOKUP($C4411,Hes!$A:$B, 1, FALSE), $M4411&lt;&gt;" "), "Ingresada", "Falta Ingresar"), " ")</f>
        <v xml:space="preserve"> </v>
      </c>
      <c r="L4411" s="4" t="str">
        <f>IFERROR(VLOOKUP($C4411,Observaciones!$A:$B,2,FALSE)," ")</f>
        <v xml:space="preserve"> </v>
      </c>
      <c r="M4411" t="s">
        <v>681</v>
      </c>
      <c r="O4411" s="5">
        <v>30855721</v>
      </c>
      <c r="P4411" s="5">
        <v>20794</v>
      </c>
      <c r="Q4411" s="5">
        <v>3951</v>
      </c>
      <c r="R4411" s="5">
        <v>24745</v>
      </c>
    </row>
    <row r="4412" spans="1:18" x14ac:dyDescent="0.25">
      <c r="A4412" t="s">
        <v>3</v>
      </c>
      <c r="B4412" t="s">
        <v>494</v>
      </c>
      <c r="C4412">
        <v>96508210</v>
      </c>
      <c r="D4412">
        <v>3</v>
      </c>
      <c r="E4412">
        <v>30854110</v>
      </c>
      <c r="F4412" t="s">
        <v>1651</v>
      </c>
      <c r="G4412" s="1">
        <v>45236</v>
      </c>
      <c r="H4412">
        <v>5412893</v>
      </c>
      <c r="I4412">
        <v>91</v>
      </c>
      <c r="J4412" t="s">
        <v>172</v>
      </c>
      <c r="K4412" t="str">
        <f>IFERROR(IF(AND(VLOOKUP($C4412,Hes!$A:$B, 1, FALSE), $M4412&lt;&gt;" "), "Ingresada", "Falta Ingresar"), " ")</f>
        <v xml:space="preserve"> </v>
      </c>
      <c r="L4412" s="4" t="str">
        <f>IFERROR(VLOOKUP($C4412,Observaciones!$A:$B,2,FALSE)," ")</f>
        <v xml:space="preserve"> </v>
      </c>
      <c r="M4412" t="s">
        <v>681</v>
      </c>
      <c r="O4412" s="5">
        <v>30854110</v>
      </c>
      <c r="P4412" s="5">
        <v>119202</v>
      </c>
      <c r="Q4412" s="5">
        <v>22648</v>
      </c>
      <c r="R4412" s="5">
        <v>141850</v>
      </c>
    </row>
    <row r="4413" spans="1:18" x14ac:dyDescent="0.25">
      <c r="A4413" t="s">
        <v>3</v>
      </c>
      <c r="B4413" t="s">
        <v>494</v>
      </c>
      <c r="C4413">
        <v>96508210</v>
      </c>
      <c r="D4413">
        <v>98</v>
      </c>
      <c r="E4413">
        <v>30855687</v>
      </c>
      <c r="F4413" t="s">
        <v>1651</v>
      </c>
      <c r="G4413" s="1">
        <v>45234</v>
      </c>
      <c r="H4413">
        <v>5412912</v>
      </c>
      <c r="I4413">
        <v>91</v>
      </c>
      <c r="J4413" t="s">
        <v>172</v>
      </c>
      <c r="K4413" t="str">
        <f>IFERROR(IF(AND(VLOOKUP($C4413,Hes!$A:$B, 1, FALSE), $M4413&lt;&gt;" "), "Ingresada", "Falta Ingresar"), " ")</f>
        <v xml:space="preserve"> </v>
      </c>
      <c r="L4413" s="4" t="str">
        <f>IFERROR(VLOOKUP($C4413,Observaciones!$A:$B,2,FALSE)," ")</f>
        <v xml:space="preserve"> </v>
      </c>
      <c r="M4413" t="s">
        <v>681</v>
      </c>
      <c r="O4413" s="5">
        <v>30855687</v>
      </c>
      <c r="P4413" s="5">
        <v>23912</v>
      </c>
      <c r="Q4413" s="5">
        <v>4543</v>
      </c>
      <c r="R4413" s="5">
        <v>28455</v>
      </c>
    </row>
    <row r="4414" spans="1:18" x14ac:dyDescent="0.25">
      <c r="A4414" t="s">
        <v>3</v>
      </c>
      <c r="B4414" t="s">
        <v>494</v>
      </c>
      <c r="C4414">
        <v>96508210</v>
      </c>
      <c r="D4414">
        <v>1233</v>
      </c>
      <c r="E4414">
        <v>30852225</v>
      </c>
      <c r="F4414" t="s">
        <v>1651</v>
      </c>
      <c r="G4414" s="1">
        <v>45236</v>
      </c>
      <c r="H4414">
        <v>5413026</v>
      </c>
      <c r="I4414">
        <v>91</v>
      </c>
      <c r="J4414" t="s">
        <v>172</v>
      </c>
      <c r="K4414" t="str">
        <f>IFERROR(IF(AND(VLOOKUP($C4414,Hes!$A:$B, 1, FALSE), $M4414&lt;&gt;" "), "Ingresada", "Falta Ingresar"), " ")</f>
        <v xml:space="preserve"> </v>
      </c>
      <c r="L4414" s="4" t="str">
        <f>IFERROR(VLOOKUP($C4414,Observaciones!$A:$B,2,FALSE)," ")</f>
        <v xml:space="preserve"> </v>
      </c>
      <c r="M4414" t="s">
        <v>681</v>
      </c>
      <c r="O4414" s="5">
        <v>30852225</v>
      </c>
      <c r="P4414" s="5">
        <v>53695</v>
      </c>
      <c r="Q4414" s="5">
        <v>10202</v>
      </c>
      <c r="R4414" s="5">
        <v>63897</v>
      </c>
    </row>
    <row r="4415" spans="1:18" x14ac:dyDescent="0.25">
      <c r="A4415" t="s">
        <v>3</v>
      </c>
      <c r="B4415" t="s">
        <v>494</v>
      </c>
      <c r="C4415">
        <v>96508210</v>
      </c>
      <c r="D4415">
        <v>1232</v>
      </c>
      <c r="E4415">
        <v>30851982</v>
      </c>
      <c r="F4415" t="s">
        <v>1651</v>
      </c>
      <c r="G4415" s="1">
        <v>45236</v>
      </c>
      <c r="H4415">
        <v>5413257</v>
      </c>
      <c r="I4415">
        <v>91</v>
      </c>
      <c r="J4415" t="s">
        <v>172</v>
      </c>
      <c r="K4415" t="str">
        <f>IFERROR(IF(AND(VLOOKUP($C4415,Hes!$A:$B, 1, FALSE), $M4415&lt;&gt;" "), "Ingresada", "Falta Ingresar"), " ")</f>
        <v xml:space="preserve"> </v>
      </c>
      <c r="L4415" s="4" t="str">
        <f>IFERROR(VLOOKUP($C4415,Observaciones!$A:$B,2,FALSE)," ")</f>
        <v xml:space="preserve"> </v>
      </c>
      <c r="M4415" t="s">
        <v>681</v>
      </c>
      <c r="O4415" s="5">
        <v>30851982</v>
      </c>
      <c r="P4415" s="5">
        <v>44474</v>
      </c>
      <c r="Q4415" s="5">
        <v>8450</v>
      </c>
      <c r="R4415" s="5">
        <v>52924</v>
      </c>
    </row>
    <row r="4416" spans="1:18" x14ac:dyDescent="0.25">
      <c r="A4416" t="s">
        <v>3</v>
      </c>
      <c r="B4416" t="s">
        <v>494</v>
      </c>
      <c r="C4416">
        <v>96508210</v>
      </c>
      <c r="D4416">
        <v>1231</v>
      </c>
      <c r="E4416">
        <v>30857083</v>
      </c>
      <c r="F4416" t="s">
        <v>1651</v>
      </c>
      <c r="G4416" s="1">
        <v>45236</v>
      </c>
      <c r="H4416">
        <v>5413625</v>
      </c>
      <c r="I4416">
        <v>91</v>
      </c>
      <c r="J4416" t="s">
        <v>172</v>
      </c>
      <c r="K4416" t="str">
        <f>IFERROR(IF(AND(VLOOKUP($C4416,Hes!$A:$B, 1, FALSE), $M4416&lt;&gt;" "), "Ingresada", "Falta Ingresar"), " ")</f>
        <v xml:space="preserve"> </v>
      </c>
      <c r="L4416" s="4" t="str">
        <f>IFERROR(VLOOKUP($C4416,Observaciones!$A:$B,2,FALSE)," ")</f>
        <v xml:space="preserve"> </v>
      </c>
      <c r="M4416" t="s">
        <v>681</v>
      </c>
      <c r="O4416" s="5">
        <v>30857083</v>
      </c>
      <c r="P4416" s="5">
        <v>40440</v>
      </c>
      <c r="Q4416" s="5">
        <v>7684</v>
      </c>
      <c r="R4416" s="5">
        <v>49361</v>
      </c>
    </row>
    <row r="4417" spans="1:18" x14ac:dyDescent="0.25">
      <c r="A4417" t="s">
        <v>3</v>
      </c>
      <c r="B4417" t="s">
        <v>494</v>
      </c>
      <c r="C4417">
        <v>96508210</v>
      </c>
      <c r="D4417">
        <v>2</v>
      </c>
      <c r="E4417">
        <v>30858645</v>
      </c>
      <c r="F4417" t="s">
        <v>1651</v>
      </c>
      <c r="G4417" s="1">
        <v>45237</v>
      </c>
      <c r="H4417">
        <v>5414072</v>
      </c>
      <c r="I4417">
        <v>91</v>
      </c>
      <c r="J4417" t="s">
        <v>172</v>
      </c>
      <c r="K4417" t="str">
        <f>IFERROR(IF(AND(VLOOKUP($C4417,Hes!$A:$B, 1, FALSE), $M4417&lt;&gt;" "), "Ingresada", "Falta Ingresar"), " ")</f>
        <v xml:space="preserve"> </v>
      </c>
      <c r="L4417" s="4" t="str">
        <f>IFERROR(VLOOKUP($C4417,Observaciones!$A:$B,2,FALSE)," ")</f>
        <v xml:space="preserve"> </v>
      </c>
      <c r="M4417" t="s">
        <v>681</v>
      </c>
      <c r="O4417" s="5">
        <v>30858645</v>
      </c>
      <c r="P4417" s="5">
        <v>97647</v>
      </c>
      <c r="Q4417" s="5">
        <v>18553</v>
      </c>
      <c r="R4417" s="5">
        <v>116200</v>
      </c>
    </row>
    <row r="4418" spans="1:18" x14ac:dyDescent="0.25">
      <c r="A4418" t="s">
        <v>3</v>
      </c>
      <c r="B4418" t="s">
        <v>494</v>
      </c>
      <c r="C4418">
        <v>96508210</v>
      </c>
      <c r="D4418">
        <v>93</v>
      </c>
      <c r="E4418">
        <v>30858767</v>
      </c>
      <c r="F4418" t="s">
        <v>1651</v>
      </c>
      <c r="G4418" s="1">
        <v>45238</v>
      </c>
      <c r="H4418">
        <v>5414522</v>
      </c>
      <c r="I4418">
        <v>91</v>
      </c>
      <c r="J4418" t="s">
        <v>172</v>
      </c>
      <c r="K4418" t="str">
        <f>IFERROR(IF(AND(VLOOKUP($C4418,Hes!$A:$B, 1, FALSE), $M4418&lt;&gt;" "), "Ingresada", "Falta Ingresar"), " ")</f>
        <v xml:space="preserve"> </v>
      </c>
      <c r="L4418" s="4" t="str">
        <f>IFERROR(VLOOKUP($C4418,Observaciones!$A:$B,2,FALSE)," ")</f>
        <v xml:space="preserve"> </v>
      </c>
      <c r="M4418" t="s">
        <v>681</v>
      </c>
      <c r="O4418" s="5">
        <v>30858767</v>
      </c>
      <c r="P4418" s="5">
        <v>29276</v>
      </c>
      <c r="Q4418" s="5">
        <v>5562</v>
      </c>
      <c r="R4418" s="5">
        <v>34838</v>
      </c>
    </row>
    <row r="4419" spans="1:18" x14ac:dyDescent="0.25">
      <c r="A4419" t="s">
        <v>3</v>
      </c>
      <c r="B4419" t="s">
        <v>494</v>
      </c>
      <c r="C4419">
        <v>96508210</v>
      </c>
      <c r="D4419">
        <v>20</v>
      </c>
      <c r="E4419">
        <v>30860745</v>
      </c>
      <c r="F4419" t="s">
        <v>1651</v>
      </c>
      <c r="G4419" s="1">
        <v>45238</v>
      </c>
      <c r="H4419">
        <v>5414658</v>
      </c>
      <c r="I4419">
        <v>91</v>
      </c>
      <c r="J4419" t="s">
        <v>172</v>
      </c>
      <c r="K4419" t="str">
        <f>IFERROR(IF(AND(VLOOKUP($C4419,Hes!$A:$B, 1, FALSE), $M4419&lt;&gt;" "), "Ingresada", "Falta Ingresar"), " ")</f>
        <v xml:space="preserve"> </v>
      </c>
      <c r="L4419" s="4" t="str">
        <f>IFERROR(VLOOKUP($C4419,Observaciones!$A:$B,2,FALSE)," ")</f>
        <v xml:space="preserve"> </v>
      </c>
      <c r="M4419" t="s">
        <v>681</v>
      </c>
      <c r="O4419" s="5">
        <v>30860745</v>
      </c>
      <c r="P4419" s="5">
        <v>285627</v>
      </c>
      <c r="Q4419" s="5">
        <v>54269</v>
      </c>
      <c r="R4419" s="5">
        <v>339896</v>
      </c>
    </row>
    <row r="4420" spans="1:18" x14ac:dyDescent="0.25">
      <c r="A4420" t="s">
        <v>3</v>
      </c>
      <c r="B4420" t="s">
        <v>494</v>
      </c>
      <c r="C4420">
        <v>96508210</v>
      </c>
      <c r="D4420">
        <v>78</v>
      </c>
      <c r="E4420">
        <v>30860732</v>
      </c>
      <c r="F4420" t="s">
        <v>1651</v>
      </c>
      <c r="G4420" s="1">
        <v>45238</v>
      </c>
      <c r="H4420">
        <v>5414695</v>
      </c>
      <c r="I4420">
        <v>91</v>
      </c>
      <c r="J4420" t="s">
        <v>172</v>
      </c>
      <c r="K4420" t="str">
        <f>IFERROR(IF(AND(VLOOKUP($C4420,Hes!$A:$B, 1, FALSE), $M4420&lt;&gt;" "), "Ingresada", "Falta Ingresar"), " ")</f>
        <v xml:space="preserve"> </v>
      </c>
      <c r="L4420" s="4" t="str">
        <f>IFERROR(VLOOKUP($C4420,Observaciones!$A:$B,2,FALSE)," ")</f>
        <v xml:space="preserve"> </v>
      </c>
      <c r="M4420" t="s">
        <v>681</v>
      </c>
      <c r="O4420" s="5">
        <v>30860732</v>
      </c>
      <c r="P4420" s="5">
        <v>57648</v>
      </c>
      <c r="Q4420" s="5">
        <v>10953</v>
      </c>
      <c r="R4420" s="5">
        <v>68601</v>
      </c>
    </row>
    <row r="4421" spans="1:18" x14ac:dyDescent="0.25">
      <c r="A4421" t="s">
        <v>3</v>
      </c>
      <c r="B4421" t="s">
        <v>494</v>
      </c>
      <c r="C4421">
        <v>96508210</v>
      </c>
      <c r="D4421">
        <v>9</v>
      </c>
      <c r="E4421">
        <v>30858790</v>
      </c>
      <c r="F4421" t="s">
        <v>1651</v>
      </c>
      <c r="G4421" s="1">
        <v>45237</v>
      </c>
      <c r="H4421">
        <v>5414723</v>
      </c>
      <c r="I4421">
        <v>91</v>
      </c>
      <c r="J4421" t="s">
        <v>172</v>
      </c>
      <c r="K4421" t="str">
        <f>IFERROR(IF(AND(VLOOKUP($C4421,Hes!$A:$B, 1, FALSE), $M4421&lt;&gt;" "), "Ingresada", "Falta Ingresar"), " ")</f>
        <v xml:space="preserve"> </v>
      </c>
      <c r="L4421" s="4" t="str">
        <f>IFERROR(VLOOKUP($C4421,Observaciones!$A:$B,2,FALSE)," ")</f>
        <v xml:space="preserve"> </v>
      </c>
      <c r="M4421" t="s">
        <v>681</v>
      </c>
      <c r="O4421" s="5">
        <v>30858790</v>
      </c>
      <c r="P4421" s="5">
        <v>42158</v>
      </c>
      <c r="Q4421" s="5">
        <v>8010</v>
      </c>
      <c r="R4421" s="5">
        <v>50168</v>
      </c>
    </row>
    <row r="4422" spans="1:18" x14ac:dyDescent="0.25">
      <c r="A4422" t="s">
        <v>3</v>
      </c>
      <c r="B4422" t="s">
        <v>494</v>
      </c>
      <c r="C4422">
        <v>96508210</v>
      </c>
      <c r="D4422">
        <v>8</v>
      </c>
      <c r="E4422">
        <v>30858780</v>
      </c>
      <c r="F4422" t="s">
        <v>1651</v>
      </c>
      <c r="G4422" s="1">
        <v>45238</v>
      </c>
      <c r="H4422">
        <v>5414814</v>
      </c>
      <c r="I4422">
        <v>91</v>
      </c>
      <c r="J4422" t="s">
        <v>172</v>
      </c>
      <c r="K4422" t="str">
        <f>IFERROR(IF(AND(VLOOKUP($C4422,Hes!$A:$B, 1, FALSE), $M4422&lt;&gt;" "), "Ingresada", "Falta Ingresar"), " ")</f>
        <v xml:space="preserve"> </v>
      </c>
      <c r="L4422" s="4" t="str">
        <f>IFERROR(VLOOKUP($C4422,Observaciones!$A:$B,2,FALSE)," ")</f>
        <v xml:space="preserve"> </v>
      </c>
      <c r="M4422" t="s">
        <v>681</v>
      </c>
      <c r="O4422" s="5">
        <v>30858780</v>
      </c>
      <c r="P4422" s="5">
        <v>32263</v>
      </c>
      <c r="Q4422" s="5">
        <v>6130</v>
      </c>
      <c r="R4422" s="5">
        <v>38393</v>
      </c>
    </row>
    <row r="4423" spans="1:18" x14ac:dyDescent="0.25">
      <c r="A4423" t="s">
        <v>3</v>
      </c>
      <c r="B4423" t="s">
        <v>494</v>
      </c>
      <c r="C4423">
        <v>96508210</v>
      </c>
      <c r="D4423">
        <v>77</v>
      </c>
      <c r="E4423">
        <v>30860986</v>
      </c>
      <c r="F4423" t="s">
        <v>1651</v>
      </c>
      <c r="G4423" s="1">
        <v>45237</v>
      </c>
      <c r="H4423">
        <v>5414871</v>
      </c>
      <c r="I4423">
        <v>91</v>
      </c>
      <c r="J4423" t="s">
        <v>172</v>
      </c>
      <c r="K4423" t="str">
        <f>IFERROR(IF(AND(VLOOKUP($C4423,Hes!$A:$B, 1, FALSE), $M4423&lt;&gt;" "), "Ingresada", "Falta Ingresar"), " ")</f>
        <v xml:space="preserve"> </v>
      </c>
      <c r="L4423" s="4" t="str">
        <f>IFERROR(VLOOKUP($C4423,Observaciones!$A:$B,2,FALSE)," ")</f>
        <v xml:space="preserve"> </v>
      </c>
      <c r="M4423" t="s">
        <v>681</v>
      </c>
      <c r="O4423" s="5">
        <v>30860986</v>
      </c>
      <c r="P4423" s="5">
        <v>49687</v>
      </c>
      <c r="Q4423" s="5">
        <v>9441</v>
      </c>
      <c r="R4423" s="5">
        <v>59128</v>
      </c>
    </row>
    <row r="4424" spans="1:18" x14ac:dyDescent="0.25">
      <c r="A4424" t="s">
        <v>3</v>
      </c>
      <c r="B4424" t="s">
        <v>494</v>
      </c>
      <c r="C4424">
        <v>96508210</v>
      </c>
      <c r="D4424">
        <v>169</v>
      </c>
      <c r="E4424">
        <v>30863339</v>
      </c>
      <c r="F4424" t="s">
        <v>1651</v>
      </c>
      <c r="G4424" s="1">
        <v>45237</v>
      </c>
      <c r="H4424">
        <v>5415261</v>
      </c>
      <c r="I4424">
        <v>91</v>
      </c>
      <c r="J4424" t="s">
        <v>172</v>
      </c>
      <c r="K4424" t="str">
        <f>IFERROR(IF(AND(VLOOKUP($C4424,Hes!$A:$B, 1, FALSE), $M4424&lt;&gt;" "), "Ingresada", "Falta Ingresar"), " ")</f>
        <v xml:space="preserve"> </v>
      </c>
      <c r="L4424" s="4" t="str">
        <f>IFERROR(VLOOKUP($C4424,Observaciones!$A:$B,2,FALSE)," ")</f>
        <v xml:space="preserve"> </v>
      </c>
      <c r="M4424" t="s">
        <v>681</v>
      </c>
      <c r="O4424" s="5">
        <v>30863339</v>
      </c>
      <c r="P4424" s="5">
        <v>27365</v>
      </c>
      <c r="Q4424" s="5">
        <v>5199</v>
      </c>
      <c r="R4424" s="5">
        <v>32564</v>
      </c>
    </row>
    <row r="4425" spans="1:18" x14ac:dyDescent="0.25">
      <c r="A4425" t="s">
        <v>3</v>
      </c>
      <c r="B4425" t="s">
        <v>494</v>
      </c>
      <c r="C4425">
        <v>96508210</v>
      </c>
      <c r="D4425">
        <v>6</v>
      </c>
      <c r="E4425">
        <v>30862270</v>
      </c>
      <c r="F4425" t="s">
        <v>1651</v>
      </c>
      <c r="G4425" s="1">
        <v>45237</v>
      </c>
      <c r="H4425">
        <v>5415265</v>
      </c>
      <c r="I4425">
        <v>91</v>
      </c>
      <c r="J4425" t="s">
        <v>172</v>
      </c>
      <c r="K4425" t="str">
        <f>IFERROR(IF(AND(VLOOKUP($C4425,Hes!$A:$B, 1, FALSE), $M4425&lt;&gt;" "), "Ingresada", "Falta Ingresar"), " ")</f>
        <v xml:space="preserve"> </v>
      </c>
      <c r="L4425" s="4" t="str">
        <f>IFERROR(VLOOKUP($C4425,Observaciones!$A:$B,2,FALSE)," ")</f>
        <v xml:space="preserve"> </v>
      </c>
      <c r="M4425" t="s">
        <v>681</v>
      </c>
      <c r="O4425" s="5">
        <v>30862270</v>
      </c>
      <c r="P4425" s="5">
        <v>23165</v>
      </c>
      <c r="Q4425" s="5">
        <v>4401</v>
      </c>
      <c r="R4425" s="5">
        <v>27566</v>
      </c>
    </row>
    <row r="4426" spans="1:18" x14ac:dyDescent="0.25">
      <c r="A4426" t="s">
        <v>3</v>
      </c>
      <c r="B4426" t="s">
        <v>494</v>
      </c>
      <c r="C4426">
        <v>96508210</v>
      </c>
      <c r="D4426">
        <v>34</v>
      </c>
      <c r="E4426">
        <v>30863800</v>
      </c>
      <c r="F4426" t="s">
        <v>1651</v>
      </c>
      <c r="G4426" s="1">
        <v>45238</v>
      </c>
      <c r="H4426">
        <v>5415425</v>
      </c>
      <c r="I4426">
        <v>91</v>
      </c>
      <c r="J4426" t="s">
        <v>172</v>
      </c>
      <c r="K4426" t="str">
        <f>IFERROR(IF(AND(VLOOKUP($C4426,Hes!$A:$B, 1, FALSE), $M4426&lt;&gt;" "), "Ingresada", "Falta Ingresar"), " ")</f>
        <v xml:space="preserve"> </v>
      </c>
      <c r="L4426" s="4" t="str">
        <f>IFERROR(VLOOKUP($C4426,Observaciones!$A:$B,2,FALSE)," ")</f>
        <v xml:space="preserve"> </v>
      </c>
      <c r="M4426" t="s">
        <v>681</v>
      </c>
      <c r="O4426" s="5">
        <v>30863800</v>
      </c>
      <c r="P4426" s="5">
        <v>73508</v>
      </c>
      <c r="Q4426" s="5">
        <v>13967</v>
      </c>
      <c r="R4426" s="5">
        <v>87475</v>
      </c>
    </row>
    <row r="4427" spans="1:18" x14ac:dyDescent="0.25">
      <c r="F4427" t="s">
        <v>1020</v>
      </c>
      <c r="K4427" t="str">
        <f>IFERROR(IF(AND(VLOOKUP($C4427,Hes!$A:$B, 1, FALSE), $M4427&lt;&gt;" "), "Ingresada", "Falta Ingresar"), " ")</f>
        <v xml:space="preserve"> </v>
      </c>
      <c r="L4427" s="4" t="str">
        <f>IFERROR(VLOOKUP($C4427,Observaciones!$A:$B,2,FALSE)," ")</f>
        <v xml:space="preserve"> </v>
      </c>
      <c r="M4427" t="s">
        <v>681</v>
      </c>
      <c r="P4427" s="5">
        <v>1393398</v>
      </c>
      <c r="Q4427" s="5">
        <v>264745</v>
      </c>
      <c r="R4427" s="5">
        <v>1659678</v>
      </c>
    </row>
    <row r="4428" spans="1:18" x14ac:dyDescent="0.25">
      <c r="A4428" t="s">
        <v>501</v>
      </c>
      <c r="B4428" t="s">
        <v>494</v>
      </c>
      <c r="C4428">
        <v>96516000</v>
      </c>
      <c r="D4428">
        <v>41</v>
      </c>
      <c r="E4428">
        <v>30848732</v>
      </c>
      <c r="F4428" t="s">
        <v>1652</v>
      </c>
      <c r="G4428" s="1">
        <v>45233</v>
      </c>
      <c r="H4428">
        <v>5411365</v>
      </c>
      <c r="I4428">
        <v>321</v>
      </c>
      <c r="J4428" t="s">
        <v>202</v>
      </c>
      <c r="K4428" t="str">
        <f>IFERROR(IF(AND(VLOOKUP($C4428,Hes!$A:$B, 1, FALSE), $M4428&lt;&gt;" "), "Ingresada", "Falta Ingresar"), " ")</f>
        <v xml:space="preserve"> </v>
      </c>
      <c r="L4428" s="4" t="str">
        <f>IFERROR(VLOOKUP($C4428,Observaciones!$A:$B,2,FALSE)," ")</f>
        <v>OC 33 (5DIGITOS) POR OC Y CC EL RESTO UNA SOLA</v>
      </c>
      <c r="M4428" t="s">
        <v>681</v>
      </c>
      <c r="O4428" s="5">
        <v>30848732</v>
      </c>
      <c r="P4428" s="5">
        <v>20400</v>
      </c>
      <c r="Q4428" s="5">
        <v>3876</v>
      </c>
      <c r="R4428" s="5">
        <v>24276</v>
      </c>
    </row>
    <row r="4429" spans="1:18" x14ac:dyDescent="0.25">
      <c r="A4429" t="s">
        <v>501</v>
      </c>
      <c r="B4429" t="s">
        <v>494</v>
      </c>
      <c r="C4429">
        <v>96516000</v>
      </c>
      <c r="D4429">
        <v>137</v>
      </c>
      <c r="E4429">
        <v>30849151</v>
      </c>
      <c r="F4429" t="s">
        <v>1652</v>
      </c>
      <c r="G4429" s="1">
        <v>45233</v>
      </c>
      <c r="H4429">
        <v>5411471</v>
      </c>
      <c r="I4429">
        <v>321</v>
      </c>
      <c r="J4429" t="s">
        <v>202</v>
      </c>
      <c r="K4429" t="str">
        <f>IFERROR(IF(AND(VLOOKUP($C4429,Hes!$A:$B, 1, FALSE), $M4429&lt;&gt;" "), "Ingresada", "Falta Ingresar"), " ")</f>
        <v xml:space="preserve"> </v>
      </c>
      <c r="L4429" s="4" t="str">
        <f>IFERROR(VLOOKUP($C4429,Observaciones!$A:$B,2,FALSE)," ")</f>
        <v>OC 33 (5DIGITOS) POR OC Y CC EL RESTO UNA SOLA</v>
      </c>
      <c r="M4429" t="s">
        <v>681</v>
      </c>
      <c r="O4429" s="5">
        <v>30849151</v>
      </c>
      <c r="P4429" s="5">
        <v>22902</v>
      </c>
      <c r="Q4429" s="5">
        <v>4351</v>
      </c>
      <c r="R4429" s="5">
        <v>27253</v>
      </c>
    </row>
    <row r="4430" spans="1:18" x14ac:dyDescent="0.25">
      <c r="A4430" t="s">
        <v>501</v>
      </c>
      <c r="B4430" t="s">
        <v>494</v>
      </c>
      <c r="C4430">
        <v>96516000</v>
      </c>
      <c r="D4430">
        <v>27</v>
      </c>
      <c r="E4430">
        <v>30849747</v>
      </c>
      <c r="F4430" t="s">
        <v>1652</v>
      </c>
      <c r="G4430" s="1">
        <v>45233</v>
      </c>
      <c r="H4430">
        <v>5411480</v>
      </c>
      <c r="I4430">
        <v>321</v>
      </c>
      <c r="J4430" t="s">
        <v>202</v>
      </c>
      <c r="K4430" t="str">
        <f>IFERROR(IF(AND(VLOOKUP($C4430,Hes!$A:$B, 1, FALSE), $M4430&lt;&gt;" "), "Ingresada", "Falta Ingresar"), " ")</f>
        <v xml:space="preserve"> </v>
      </c>
      <c r="L4430" s="4" t="str">
        <f>IFERROR(VLOOKUP($C4430,Observaciones!$A:$B,2,FALSE)," ")</f>
        <v>OC 33 (5DIGITOS) POR OC Y CC EL RESTO UNA SOLA</v>
      </c>
      <c r="M4430" t="s">
        <v>681</v>
      </c>
      <c r="O4430" s="5">
        <v>30849747</v>
      </c>
      <c r="P4430" s="5">
        <v>157226</v>
      </c>
      <c r="Q4430" s="5">
        <v>29873</v>
      </c>
      <c r="R4430" s="5">
        <v>187099</v>
      </c>
    </row>
    <row r="4431" spans="1:18" x14ac:dyDescent="0.25">
      <c r="A4431" t="s">
        <v>501</v>
      </c>
      <c r="B4431" t="s">
        <v>494</v>
      </c>
      <c r="C4431">
        <v>96516000</v>
      </c>
      <c r="D4431">
        <v>39</v>
      </c>
      <c r="E4431">
        <v>30849160</v>
      </c>
      <c r="F4431" t="s">
        <v>1652</v>
      </c>
      <c r="G4431" s="1">
        <v>45233</v>
      </c>
      <c r="H4431">
        <v>5411687</v>
      </c>
      <c r="I4431">
        <v>321</v>
      </c>
      <c r="J4431" t="s">
        <v>202</v>
      </c>
      <c r="K4431" t="str">
        <f>IFERROR(IF(AND(VLOOKUP($C4431,Hes!$A:$B, 1, FALSE), $M4431&lt;&gt;" "), "Ingresada", "Falta Ingresar"), " ")</f>
        <v xml:space="preserve"> </v>
      </c>
      <c r="L4431" s="4" t="str">
        <f>IFERROR(VLOOKUP($C4431,Observaciones!$A:$B,2,FALSE)," ")</f>
        <v>OC 33 (5DIGITOS) POR OC Y CC EL RESTO UNA SOLA</v>
      </c>
      <c r="M4431" t="s">
        <v>681</v>
      </c>
      <c r="O4431" s="5">
        <v>30849160</v>
      </c>
      <c r="P4431" s="5">
        <v>23135</v>
      </c>
      <c r="Q4431" s="5">
        <v>4396</v>
      </c>
      <c r="R4431" s="5">
        <v>27531</v>
      </c>
    </row>
    <row r="4432" spans="1:18" x14ac:dyDescent="0.25">
      <c r="A4432" t="s">
        <v>501</v>
      </c>
      <c r="B4432" t="s">
        <v>494</v>
      </c>
      <c r="C4432">
        <v>96516000</v>
      </c>
      <c r="D4432">
        <v>56</v>
      </c>
      <c r="E4432">
        <v>30852403</v>
      </c>
      <c r="F4432" t="s">
        <v>1652</v>
      </c>
      <c r="G4432" s="1">
        <v>45233</v>
      </c>
      <c r="H4432">
        <v>5411752</v>
      </c>
      <c r="I4432">
        <v>321</v>
      </c>
      <c r="J4432" t="s">
        <v>202</v>
      </c>
      <c r="K4432" t="str">
        <f>IFERROR(IF(AND(VLOOKUP($C4432,Hes!$A:$B, 1, FALSE), $M4432&lt;&gt;" "), "Ingresada", "Falta Ingresar"), " ")</f>
        <v xml:space="preserve"> </v>
      </c>
      <c r="L4432" s="4" t="str">
        <f>IFERROR(VLOOKUP($C4432,Observaciones!$A:$B,2,FALSE)," ")</f>
        <v>OC 33 (5DIGITOS) POR OC Y CC EL RESTO UNA SOLA</v>
      </c>
      <c r="M4432" t="s">
        <v>681</v>
      </c>
      <c r="O4432" s="5">
        <v>30852403</v>
      </c>
      <c r="P4432" s="5">
        <v>11100</v>
      </c>
      <c r="Q4432" s="5">
        <v>2109</v>
      </c>
      <c r="R4432" s="5">
        <v>13209</v>
      </c>
    </row>
    <row r="4433" spans="1:18" x14ac:dyDescent="0.25">
      <c r="A4433" t="s">
        <v>501</v>
      </c>
      <c r="B4433" t="s">
        <v>494</v>
      </c>
      <c r="C4433">
        <v>96516000</v>
      </c>
      <c r="D4433">
        <v>162</v>
      </c>
      <c r="E4433">
        <v>30849718</v>
      </c>
      <c r="F4433" t="s">
        <v>1652</v>
      </c>
      <c r="G4433" s="1">
        <v>45236</v>
      </c>
      <c r="H4433">
        <v>5412225</v>
      </c>
      <c r="I4433">
        <v>321</v>
      </c>
      <c r="J4433" t="s">
        <v>202</v>
      </c>
      <c r="K4433" t="str">
        <f>IFERROR(IF(AND(VLOOKUP($C4433,Hes!$A:$B, 1, FALSE), $M4433&lt;&gt;" "), "Ingresada", "Falta Ingresar"), " ")</f>
        <v xml:space="preserve"> </v>
      </c>
      <c r="L4433" s="4" t="str">
        <f>IFERROR(VLOOKUP($C4433,Observaciones!$A:$B,2,FALSE)," ")</f>
        <v>OC 33 (5DIGITOS) POR OC Y CC EL RESTO UNA SOLA</v>
      </c>
      <c r="M4433" t="s">
        <v>681</v>
      </c>
      <c r="O4433" s="5">
        <v>30849718</v>
      </c>
      <c r="P4433" s="5">
        <v>77396</v>
      </c>
      <c r="Q4433" s="5">
        <v>14705</v>
      </c>
      <c r="R4433" s="5">
        <v>92101</v>
      </c>
    </row>
    <row r="4434" spans="1:18" x14ac:dyDescent="0.25">
      <c r="A4434" t="s">
        <v>501</v>
      </c>
      <c r="B4434" t="s">
        <v>494</v>
      </c>
      <c r="C4434">
        <v>96516000</v>
      </c>
      <c r="D4434">
        <v>98</v>
      </c>
      <c r="E4434">
        <v>30852388</v>
      </c>
      <c r="F4434" t="s">
        <v>1652</v>
      </c>
      <c r="G4434" s="1">
        <v>45236</v>
      </c>
      <c r="H4434">
        <v>5412234</v>
      </c>
      <c r="I4434">
        <v>321</v>
      </c>
      <c r="J4434" t="s">
        <v>202</v>
      </c>
      <c r="K4434" t="str">
        <f>IFERROR(IF(AND(VLOOKUP($C4434,Hes!$A:$B, 1, FALSE), $M4434&lt;&gt;" "), "Ingresada", "Falta Ingresar"), " ")</f>
        <v xml:space="preserve"> </v>
      </c>
      <c r="L4434" s="4" t="str">
        <f>IFERROR(VLOOKUP($C4434,Observaciones!$A:$B,2,FALSE)," ")</f>
        <v>OC 33 (5DIGITOS) POR OC Y CC EL RESTO UNA SOLA</v>
      </c>
      <c r="M4434" t="s">
        <v>681</v>
      </c>
      <c r="O4434" s="5">
        <v>30852388</v>
      </c>
      <c r="P4434" s="5">
        <v>89972</v>
      </c>
      <c r="Q4434" s="5">
        <v>17095</v>
      </c>
      <c r="R4434" s="5">
        <v>107067</v>
      </c>
    </row>
    <row r="4435" spans="1:18" x14ac:dyDescent="0.25">
      <c r="A4435" t="s">
        <v>501</v>
      </c>
      <c r="B4435" t="s">
        <v>494</v>
      </c>
      <c r="C4435">
        <v>96516000</v>
      </c>
      <c r="D4435">
        <v>74</v>
      </c>
      <c r="E4435">
        <v>30852149</v>
      </c>
      <c r="F4435" t="s">
        <v>1652</v>
      </c>
      <c r="G4435" s="1">
        <v>45236</v>
      </c>
      <c r="H4435">
        <v>5412269</v>
      </c>
      <c r="I4435">
        <v>321</v>
      </c>
      <c r="J4435" t="s">
        <v>202</v>
      </c>
      <c r="K4435" t="str">
        <f>IFERROR(IF(AND(VLOOKUP($C4435,Hes!$A:$B, 1, FALSE), $M4435&lt;&gt;" "), "Ingresada", "Falta Ingresar"), " ")</f>
        <v xml:space="preserve"> </v>
      </c>
      <c r="L4435" s="4" t="str">
        <f>IFERROR(VLOOKUP($C4435,Observaciones!$A:$B,2,FALSE)," ")</f>
        <v>OC 33 (5DIGITOS) POR OC Y CC EL RESTO UNA SOLA</v>
      </c>
      <c r="M4435" t="s">
        <v>681</v>
      </c>
      <c r="O4435" s="5">
        <v>30852149</v>
      </c>
      <c r="P4435" s="5">
        <v>89947</v>
      </c>
      <c r="Q4435" s="5">
        <v>17090</v>
      </c>
      <c r="R4435" s="5">
        <v>107037</v>
      </c>
    </row>
    <row r="4436" spans="1:18" x14ac:dyDescent="0.25">
      <c r="A4436" t="s">
        <v>501</v>
      </c>
      <c r="B4436" t="s">
        <v>494</v>
      </c>
      <c r="C4436">
        <v>96516000</v>
      </c>
      <c r="D4436">
        <v>161</v>
      </c>
      <c r="E4436">
        <v>30849738</v>
      </c>
      <c r="F4436" t="s">
        <v>1652</v>
      </c>
      <c r="G4436" s="1">
        <v>45236</v>
      </c>
      <c r="H4436">
        <v>5412286</v>
      </c>
      <c r="I4436">
        <v>321</v>
      </c>
      <c r="J4436" t="s">
        <v>202</v>
      </c>
      <c r="K4436" t="str">
        <f>IFERROR(IF(AND(VLOOKUP($C4436,Hes!$A:$B, 1, FALSE), $M4436&lt;&gt;" "), "Ingresada", "Falta Ingresar"), " ")</f>
        <v xml:space="preserve"> </v>
      </c>
      <c r="L4436" s="4" t="str">
        <f>IFERROR(VLOOKUP($C4436,Observaciones!$A:$B,2,FALSE)," ")</f>
        <v>OC 33 (5DIGITOS) POR OC Y CC EL RESTO UNA SOLA</v>
      </c>
      <c r="M4436" t="s">
        <v>681</v>
      </c>
      <c r="O4436" s="5">
        <v>30849738</v>
      </c>
      <c r="P4436" s="5">
        <v>184999</v>
      </c>
      <c r="Q4436" s="5">
        <v>35150</v>
      </c>
      <c r="R4436" s="5">
        <v>220149</v>
      </c>
    </row>
    <row r="4437" spans="1:18" x14ac:dyDescent="0.25">
      <c r="A4437" t="s">
        <v>501</v>
      </c>
      <c r="B4437" t="s">
        <v>494</v>
      </c>
      <c r="C4437">
        <v>96516000</v>
      </c>
      <c r="D4437">
        <v>163</v>
      </c>
      <c r="E4437">
        <v>30852743</v>
      </c>
      <c r="F4437" t="s">
        <v>1652</v>
      </c>
      <c r="G4437" s="1">
        <v>45236</v>
      </c>
      <c r="H4437">
        <v>5412301</v>
      </c>
      <c r="I4437">
        <v>321</v>
      </c>
      <c r="J4437" t="s">
        <v>202</v>
      </c>
      <c r="K4437" t="str">
        <f>IFERROR(IF(AND(VLOOKUP($C4437,Hes!$A:$B, 1, FALSE), $M4437&lt;&gt;" "), "Ingresada", "Falta Ingresar"), " ")</f>
        <v xml:space="preserve"> </v>
      </c>
      <c r="L4437" s="4" t="str">
        <f>IFERROR(VLOOKUP($C4437,Observaciones!$A:$B,2,FALSE)," ")</f>
        <v>OC 33 (5DIGITOS) POR OC Y CC EL RESTO UNA SOLA</v>
      </c>
      <c r="M4437" t="s">
        <v>681</v>
      </c>
      <c r="O4437" s="5">
        <v>30852743</v>
      </c>
      <c r="P4437" s="5">
        <v>99259</v>
      </c>
      <c r="Q4437" s="5">
        <v>18859</v>
      </c>
      <c r="R4437" s="5">
        <v>118118</v>
      </c>
    </row>
    <row r="4438" spans="1:18" x14ac:dyDescent="0.25">
      <c r="A4438" t="s">
        <v>501</v>
      </c>
      <c r="B4438" t="s">
        <v>494</v>
      </c>
      <c r="C4438">
        <v>96516000</v>
      </c>
      <c r="D4438">
        <v>17</v>
      </c>
      <c r="E4438">
        <v>30849134</v>
      </c>
      <c r="F4438" t="s">
        <v>1652</v>
      </c>
      <c r="G4438" s="1">
        <v>45236</v>
      </c>
      <c r="H4438">
        <v>5412367</v>
      </c>
      <c r="I4438">
        <v>321</v>
      </c>
      <c r="J4438" t="s">
        <v>202</v>
      </c>
      <c r="K4438" t="str">
        <f>IFERROR(IF(AND(VLOOKUP($C4438,Hes!$A:$B, 1, FALSE), $M4438&lt;&gt;" "), "Ingresada", "Falta Ingresar"), " ")</f>
        <v xml:space="preserve"> </v>
      </c>
      <c r="L4438" s="4" t="str">
        <f>IFERROR(VLOOKUP($C4438,Observaciones!$A:$B,2,FALSE)," ")</f>
        <v>OC 33 (5DIGITOS) POR OC Y CC EL RESTO UNA SOLA</v>
      </c>
      <c r="M4438" t="s">
        <v>681</v>
      </c>
      <c r="O4438" s="5">
        <v>30849134</v>
      </c>
      <c r="P4438" s="5">
        <v>16719</v>
      </c>
      <c r="Q4438" s="5">
        <v>3177</v>
      </c>
      <c r="R4438" s="5">
        <v>19896</v>
      </c>
    </row>
    <row r="4439" spans="1:18" x14ac:dyDescent="0.25">
      <c r="A4439" t="s">
        <v>501</v>
      </c>
      <c r="B4439" t="s">
        <v>494</v>
      </c>
      <c r="C4439">
        <v>96516000</v>
      </c>
      <c r="D4439">
        <v>33</v>
      </c>
      <c r="E4439">
        <v>30849109</v>
      </c>
      <c r="F4439" t="s">
        <v>1652</v>
      </c>
      <c r="G4439" s="1">
        <v>45236</v>
      </c>
      <c r="H4439">
        <v>5412442</v>
      </c>
      <c r="I4439">
        <v>321</v>
      </c>
      <c r="J4439" t="s">
        <v>202</v>
      </c>
      <c r="K4439" t="str">
        <f>IFERROR(IF(AND(VLOOKUP($C4439,Hes!$A:$B, 1, FALSE), $M4439&lt;&gt;" "), "Ingresada", "Falta Ingresar"), " ")</f>
        <v xml:space="preserve"> </v>
      </c>
      <c r="L4439" s="4" t="str">
        <f>IFERROR(VLOOKUP($C4439,Observaciones!$A:$B,2,FALSE)," ")</f>
        <v>OC 33 (5DIGITOS) POR OC Y CC EL RESTO UNA SOLA</v>
      </c>
      <c r="M4439" t="s">
        <v>681</v>
      </c>
      <c r="O4439" s="5">
        <v>30849109</v>
      </c>
      <c r="P4439" s="5">
        <v>373971</v>
      </c>
      <c r="Q4439" s="5">
        <v>71054</v>
      </c>
      <c r="R4439" s="5">
        <v>445025</v>
      </c>
    </row>
    <row r="4440" spans="1:18" x14ac:dyDescent="0.25">
      <c r="A4440" t="s">
        <v>501</v>
      </c>
      <c r="B4440" t="s">
        <v>494</v>
      </c>
      <c r="C4440">
        <v>96516000</v>
      </c>
      <c r="D4440">
        <v>97</v>
      </c>
      <c r="E4440">
        <v>30852445</v>
      </c>
      <c r="F4440" t="s">
        <v>1652</v>
      </c>
      <c r="G4440" s="1">
        <v>45236</v>
      </c>
      <c r="H4440">
        <v>5412619</v>
      </c>
      <c r="I4440">
        <v>321</v>
      </c>
      <c r="J4440" t="s">
        <v>202</v>
      </c>
      <c r="K4440" t="str">
        <f>IFERROR(IF(AND(VLOOKUP($C4440,Hes!$A:$B, 1, FALSE), $M4440&lt;&gt;" "), "Ingresada", "Falta Ingresar"), " ")</f>
        <v xml:space="preserve"> </v>
      </c>
      <c r="L4440" s="4" t="str">
        <f>IFERROR(VLOOKUP($C4440,Observaciones!$A:$B,2,FALSE)," ")</f>
        <v>OC 33 (5DIGITOS) POR OC Y CC EL RESTO UNA SOLA</v>
      </c>
      <c r="M4440" t="s">
        <v>681</v>
      </c>
      <c r="O4440" s="5">
        <v>30852445</v>
      </c>
      <c r="P4440" s="5">
        <v>27733</v>
      </c>
      <c r="Q4440" s="5">
        <v>5269</v>
      </c>
      <c r="R4440" s="5">
        <v>33002</v>
      </c>
    </row>
    <row r="4441" spans="1:18" x14ac:dyDescent="0.25">
      <c r="A4441" t="s">
        <v>501</v>
      </c>
      <c r="B4441" t="s">
        <v>494</v>
      </c>
      <c r="C4441">
        <v>96516000</v>
      </c>
      <c r="D4441">
        <v>11</v>
      </c>
      <c r="E4441">
        <v>30852436</v>
      </c>
      <c r="F4441" t="s">
        <v>1652</v>
      </c>
      <c r="G4441" s="1">
        <v>45236</v>
      </c>
      <c r="H4441">
        <v>5412896</v>
      </c>
      <c r="I4441">
        <v>321</v>
      </c>
      <c r="J4441" t="s">
        <v>202</v>
      </c>
      <c r="K4441" t="str">
        <f>IFERROR(IF(AND(VLOOKUP($C4441,Hes!$A:$B, 1, FALSE), $M4441&lt;&gt;" "), "Ingresada", "Falta Ingresar"), " ")</f>
        <v xml:space="preserve"> </v>
      </c>
      <c r="L4441" s="4" t="str">
        <f>IFERROR(VLOOKUP($C4441,Observaciones!$A:$B,2,FALSE)," ")</f>
        <v>OC 33 (5DIGITOS) POR OC Y CC EL RESTO UNA SOLA</v>
      </c>
      <c r="M4441" t="s">
        <v>681</v>
      </c>
      <c r="O4441" s="5">
        <v>30852436</v>
      </c>
      <c r="P4441" s="5">
        <v>107355</v>
      </c>
      <c r="Q4441" s="5">
        <v>20397</v>
      </c>
      <c r="R4441" s="5">
        <v>127752</v>
      </c>
    </row>
    <row r="4442" spans="1:18" x14ac:dyDescent="0.25">
      <c r="A4442" t="s">
        <v>501</v>
      </c>
      <c r="B4442" t="s">
        <v>494</v>
      </c>
      <c r="C4442">
        <v>96516000</v>
      </c>
      <c r="D4442">
        <v>11</v>
      </c>
      <c r="E4442">
        <v>30852436</v>
      </c>
      <c r="F4442" t="s">
        <v>1652</v>
      </c>
      <c r="G4442" s="1">
        <v>45236</v>
      </c>
      <c r="H4442">
        <v>5412897</v>
      </c>
      <c r="I4442">
        <v>321</v>
      </c>
      <c r="J4442" t="s">
        <v>202</v>
      </c>
      <c r="K4442" t="str">
        <f>IFERROR(IF(AND(VLOOKUP($C4442,Hes!$A:$B, 1, FALSE), $M4442&lt;&gt;" "), "Ingresada", "Falta Ingresar"), " ")</f>
        <v xml:space="preserve"> </v>
      </c>
      <c r="L4442" s="4" t="str">
        <f>IFERROR(VLOOKUP($C4442,Observaciones!$A:$B,2,FALSE)," ")</f>
        <v>OC 33 (5DIGITOS) POR OC Y CC EL RESTO UNA SOLA</v>
      </c>
      <c r="M4442" t="s">
        <v>681</v>
      </c>
      <c r="O4442" s="5">
        <v>30852436</v>
      </c>
      <c r="P4442" s="5">
        <v>7560</v>
      </c>
      <c r="Q4442" s="5">
        <v>1436</v>
      </c>
      <c r="R4442" s="5">
        <v>8996</v>
      </c>
    </row>
    <row r="4443" spans="1:18" x14ac:dyDescent="0.25">
      <c r="A4443" t="s">
        <v>501</v>
      </c>
      <c r="B4443" t="s">
        <v>494</v>
      </c>
      <c r="C4443">
        <v>96516000</v>
      </c>
      <c r="D4443">
        <v>193</v>
      </c>
      <c r="E4443">
        <v>30851673</v>
      </c>
      <c r="F4443" t="s">
        <v>1652</v>
      </c>
      <c r="G4443" s="1">
        <v>45236</v>
      </c>
      <c r="H4443">
        <v>5413125</v>
      </c>
      <c r="I4443">
        <v>321</v>
      </c>
      <c r="J4443" t="s">
        <v>202</v>
      </c>
      <c r="K4443" t="str">
        <f>IFERROR(IF(AND(VLOOKUP($C4443,Hes!$A:$B, 1, FALSE), $M4443&lt;&gt;" "), "Ingresada", "Falta Ingresar"), " ")</f>
        <v xml:space="preserve"> </v>
      </c>
      <c r="L4443" s="4" t="str">
        <f>IFERROR(VLOOKUP($C4443,Observaciones!$A:$B,2,FALSE)," ")</f>
        <v>OC 33 (5DIGITOS) POR OC Y CC EL RESTO UNA SOLA</v>
      </c>
      <c r="M4443" t="s">
        <v>681</v>
      </c>
      <c r="O4443" s="5">
        <v>30851673</v>
      </c>
      <c r="P4443" s="5">
        <v>140121</v>
      </c>
      <c r="Q4443" s="5">
        <v>26623</v>
      </c>
      <c r="R4443" s="5">
        <v>166744</v>
      </c>
    </row>
    <row r="4444" spans="1:18" x14ac:dyDescent="0.25">
      <c r="A4444" t="s">
        <v>501</v>
      </c>
      <c r="B4444" t="s">
        <v>494</v>
      </c>
      <c r="C4444">
        <v>96516000</v>
      </c>
      <c r="D4444">
        <v>90</v>
      </c>
      <c r="E4444">
        <v>30853975</v>
      </c>
      <c r="F4444" t="s">
        <v>1652</v>
      </c>
      <c r="G4444" s="1">
        <v>45236</v>
      </c>
      <c r="H4444">
        <v>5413196</v>
      </c>
      <c r="I4444">
        <v>321</v>
      </c>
      <c r="J4444" t="s">
        <v>202</v>
      </c>
      <c r="K4444" t="str">
        <f>IFERROR(IF(AND(VLOOKUP($C4444,Hes!$A:$B, 1, FALSE), $M4444&lt;&gt;" "), "Ingresada", "Falta Ingresar"), " ")</f>
        <v xml:space="preserve"> </v>
      </c>
      <c r="L4444" s="4" t="str">
        <f>IFERROR(VLOOKUP($C4444,Observaciones!$A:$B,2,FALSE)," ")</f>
        <v>OC 33 (5DIGITOS) POR OC Y CC EL RESTO UNA SOLA</v>
      </c>
      <c r="M4444" t="s">
        <v>681</v>
      </c>
      <c r="O4444" s="5">
        <v>30853975</v>
      </c>
      <c r="P4444" s="5">
        <v>149818</v>
      </c>
      <c r="Q4444" s="5">
        <v>28465</v>
      </c>
      <c r="R4444" s="5">
        <v>178283</v>
      </c>
    </row>
    <row r="4445" spans="1:18" x14ac:dyDescent="0.25">
      <c r="A4445" t="s">
        <v>501</v>
      </c>
      <c r="B4445" t="s">
        <v>494</v>
      </c>
      <c r="C4445">
        <v>96516000</v>
      </c>
      <c r="D4445">
        <v>63</v>
      </c>
      <c r="E4445">
        <v>30853970</v>
      </c>
      <c r="F4445" t="s">
        <v>1652</v>
      </c>
      <c r="G4445" s="1">
        <v>45236</v>
      </c>
      <c r="H4445">
        <v>5413202</v>
      </c>
      <c r="I4445">
        <v>321</v>
      </c>
      <c r="J4445" t="s">
        <v>202</v>
      </c>
      <c r="K4445" t="str">
        <f>IFERROR(IF(AND(VLOOKUP($C4445,Hes!$A:$B, 1, FALSE), $M4445&lt;&gt;" "), "Ingresada", "Falta Ingresar"), " ")</f>
        <v xml:space="preserve"> </v>
      </c>
      <c r="L4445" s="4" t="str">
        <f>IFERROR(VLOOKUP($C4445,Observaciones!$A:$B,2,FALSE)," ")</f>
        <v>OC 33 (5DIGITOS) POR OC Y CC EL RESTO UNA SOLA</v>
      </c>
      <c r="M4445" t="s">
        <v>681</v>
      </c>
      <c r="O4445" s="5">
        <v>30853970</v>
      </c>
      <c r="P4445" s="5">
        <v>69927</v>
      </c>
      <c r="Q4445" s="5">
        <v>13286</v>
      </c>
      <c r="R4445" s="5">
        <v>83213</v>
      </c>
    </row>
    <row r="4446" spans="1:18" x14ac:dyDescent="0.25">
      <c r="A4446" t="s">
        <v>501</v>
      </c>
      <c r="B4446" t="s">
        <v>494</v>
      </c>
      <c r="C4446">
        <v>96516000</v>
      </c>
      <c r="D4446">
        <v>32</v>
      </c>
      <c r="E4446">
        <v>30852410</v>
      </c>
      <c r="F4446" t="s">
        <v>1652</v>
      </c>
      <c r="G4446" s="1">
        <v>45236</v>
      </c>
      <c r="H4446">
        <v>5413312</v>
      </c>
      <c r="I4446">
        <v>321</v>
      </c>
      <c r="J4446" t="s">
        <v>202</v>
      </c>
      <c r="K4446" t="str">
        <f>IFERROR(IF(AND(VLOOKUP($C4446,Hes!$A:$B, 1, FALSE), $M4446&lt;&gt;" "), "Ingresada", "Falta Ingresar"), " ")</f>
        <v xml:space="preserve"> </v>
      </c>
      <c r="L4446" s="4" t="str">
        <f>IFERROR(VLOOKUP($C4446,Observaciones!$A:$B,2,FALSE)," ")</f>
        <v>OC 33 (5DIGITOS) POR OC Y CC EL RESTO UNA SOLA</v>
      </c>
      <c r="M4446" t="s">
        <v>681</v>
      </c>
      <c r="O4446" s="5">
        <v>30852410</v>
      </c>
      <c r="P4446" s="5">
        <v>180187</v>
      </c>
      <c r="Q4446" s="5">
        <v>34236</v>
      </c>
      <c r="R4446" s="5">
        <v>214423</v>
      </c>
    </row>
    <row r="4447" spans="1:18" x14ac:dyDescent="0.25">
      <c r="A4447" t="s">
        <v>501</v>
      </c>
      <c r="B4447" t="s">
        <v>494</v>
      </c>
      <c r="C4447">
        <v>96516000</v>
      </c>
      <c r="D4447">
        <v>32</v>
      </c>
      <c r="E4447">
        <v>30852410</v>
      </c>
      <c r="F4447" t="s">
        <v>1652</v>
      </c>
      <c r="G4447" s="1">
        <v>45236</v>
      </c>
      <c r="H4447">
        <v>5413313</v>
      </c>
      <c r="I4447">
        <v>321</v>
      </c>
      <c r="J4447" t="s">
        <v>202</v>
      </c>
      <c r="K4447" t="str">
        <f>IFERROR(IF(AND(VLOOKUP($C4447,Hes!$A:$B, 1, FALSE), $M4447&lt;&gt;" "), "Ingresada", "Falta Ingresar"), " ")</f>
        <v xml:space="preserve"> </v>
      </c>
      <c r="L4447" s="4" t="str">
        <f>IFERROR(VLOOKUP($C4447,Observaciones!$A:$B,2,FALSE)," ")</f>
        <v>OC 33 (5DIGITOS) POR OC Y CC EL RESTO UNA SOLA</v>
      </c>
      <c r="M4447" t="s">
        <v>681</v>
      </c>
      <c r="O4447" s="5">
        <v>30852410</v>
      </c>
      <c r="P4447" s="5">
        <v>54803</v>
      </c>
      <c r="Q4447" s="5">
        <v>10413</v>
      </c>
      <c r="R4447" s="5">
        <v>65216</v>
      </c>
    </row>
    <row r="4448" spans="1:18" x14ac:dyDescent="0.25">
      <c r="A4448" t="s">
        <v>501</v>
      </c>
      <c r="B4448" t="s">
        <v>494</v>
      </c>
      <c r="C4448">
        <v>96516000</v>
      </c>
      <c r="D4448">
        <v>19</v>
      </c>
      <c r="E4448">
        <v>30852473</v>
      </c>
      <c r="F4448" t="s">
        <v>1652</v>
      </c>
      <c r="G4448" s="1">
        <v>45236</v>
      </c>
      <c r="H4448">
        <v>5413390</v>
      </c>
      <c r="I4448">
        <v>321</v>
      </c>
      <c r="J4448" t="s">
        <v>202</v>
      </c>
      <c r="K4448" t="str">
        <f>IFERROR(IF(AND(VLOOKUP($C4448,Hes!$A:$B, 1, FALSE), $M4448&lt;&gt;" "), "Ingresada", "Falta Ingresar"), " ")</f>
        <v xml:space="preserve"> </v>
      </c>
      <c r="L4448" s="4" t="str">
        <f>IFERROR(VLOOKUP($C4448,Observaciones!$A:$B,2,FALSE)," ")</f>
        <v>OC 33 (5DIGITOS) POR OC Y CC EL RESTO UNA SOLA</v>
      </c>
      <c r="M4448" t="s">
        <v>681</v>
      </c>
      <c r="O4448" s="5">
        <v>30852473</v>
      </c>
      <c r="P4448" s="5">
        <v>188630</v>
      </c>
      <c r="Q4448" s="5">
        <v>35840</v>
      </c>
      <c r="R4448" s="5">
        <v>224470</v>
      </c>
    </row>
    <row r="4449" spans="1:18" x14ac:dyDescent="0.25">
      <c r="A4449" t="s">
        <v>501</v>
      </c>
      <c r="B4449" t="s">
        <v>494</v>
      </c>
      <c r="C4449">
        <v>96516000</v>
      </c>
      <c r="D4449">
        <v>19</v>
      </c>
      <c r="E4449">
        <v>30852473</v>
      </c>
      <c r="F4449" t="s">
        <v>1652</v>
      </c>
      <c r="G4449" s="1">
        <v>45236</v>
      </c>
      <c r="H4449">
        <v>5413391</v>
      </c>
      <c r="I4449">
        <v>321</v>
      </c>
      <c r="J4449" t="s">
        <v>202</v>
      </c>
      <c r="K4449" t="str">
        <f>IFERROR(IF(AND(VLOOKUP($C4449,Hes!$A:$B, 1, FALSE), $M4449&lt;&gt;" "), "Ingresada", "Falta Ingresar"), " ")</f>
        <v xml:space="preserve"> </v>
      </c>
      <c r="L4449" s="4" t="str">
        <f>IFERROR(VLOOKUP($C4449,Observaciones!$A:$B,2,FALSE)," ")</f>
        <v>OC 33 (5DIGITOS) POR OC Y CC EL RESTO UNA SOLA</v>
      </c>
      <c r="M4449" t="s">
        <v>681</v>
      </c>
      <c r="O4449" s="5">
        <v>30852473</v>
      </c>
      <c r="P4449" s="5">
        <v>5840</v>
      </c>
      <c r="Q4449" s="5">
        <v>1110</v>
      </c>
      <c r="R4449" s="5">
        <v>6950</v>
      </c>
    </row>
    <row r="4450" spans="1:18" x14ac:dyDescent="0.25">
      <c r="A4450" t="s">
        <v>501</v>
      </c>
      <c r="B4450" t="s">
        <v>494</v>
      </c>
      <c r="C4450">
        <v>96516000</v>
      </c>
      <c r="D4450">
        <v>158</v>
      </c>
      <c r="E4450">
        <v>30852414</v>
      </c>
      <c r="F4450" t="s">
        <v>1652</v>
      </c>
      <c r="G4450" s="1">
        <v>45236</v>
      </c>
      <c r="H4450">
        <v>5413392</v>
      </c>
      <c r="I4450">
        <v>321</v>
      </c>
      <c r="J4450" t="s">
        <v>202</v>
      </c>
      <c r="K4450" t="str">
        <f>IFERROR(IF(AND(VLOOKUP($C4450,Hes!$A:$B, 1, FALSE), $M4450&lt;&gt;" "), "Ingresada", "Falta Ingresar"), " ")</f>
        <v xml:space="preserve"> </v>
      </c>
      <c r="L4450" s="4" t="str">
        <f>IFERROR(VLOOKUP($C4450,Observaciones!$A:$B,2,FALSE)," ")</f>
        <v>OC 33 (5DIGITOS) POR OC Y CC EL RESTO UNA SOLA</v>
      </c>
      <c r="M4450" t="s">
        <v>681</v>
      </c>
      <c r="O4450" s="5">
        <v>30852414</v>
      </c>
      <c r="P4450" s="5">
        <v>171455</v>
      </c>
      <c r="Q4450" s="5">
        <v>32576</v>
      </c>
      <c r="R4450" s="5">
        <v>204031</v>
      </c>
    </row>
    <row r="4451" spans="1:18" x14ac:dyDescent="0.25">
      <c r="A4451" t="s">
        <v>501</v>
      </c>
      <c r="B4451" t="s">
        <v>494</v>
      </c>
      <c r="C4451">
        <v>96516000</v>
      </c>
      <c r="D4451">
        <v>159</v>
      </c>
      <c r="E4451">
        <v>30852404</v>
      </c>
      <c r="F4451" t="s">
        <v>1652</v>
      </c>
      <c r="G4451" s="1">
        <v>45236</v>
      </c>
      <c r="H4451">
        <v>5413393</v>
      </c>
      <c r="I4451">
        <v>321</v>
      </c>
      <c r="J4451" t="s">
        <v>202</v>
      </c>
      <c r="K4451" t="str">
        <f>IFERROR(IF(AND(VLOOKUP($C4451,Hes!$A:$B, 1, FALSE), $M4451&lt;&gt;" "), "Ingresada", "Falta Ingresar"), " ")</f>
        <v xml:space="preserve"> </v>
      </c>
      <c r="L4451" s="4" t="str">
        <f>IFERROR(VLOOKUP($C4451,Observaciones!$A:$B,2,FALSE)," ")</f>
        <v>OC 33 (5DIGITOS) POR OC Y CC EL RESTO UNA SOLA</v>
      </c>
      <c r="M4451" t="s">
        <v>681</v>
      </c>
      <c r="O4451" s="5">
        <v>30852404</v>
      </c>
      <c r="P4451" s="5">
        <v>25489</v>
      </c>
      <c r="Q4451" s="5">
        <v>4843</v>
      </c>
      <c r="R4451" s="5">
        <v>30332</v>
      </c>
    </row>
    <row r="4452" spans="1:18" x14ac:dyDescent="0.25">
      <c r="A4452" t="s">
        <v>501</v>
      </c>
      <c r="B4452" t="s">
        <v>494</v>
      </c>
      <c r="C4452">
        <v>96516000</v>
      </c>
      <c r="D4452">
        <v>192</v>
      </c>
      <c r="E4452">
        <v>30854674</v>
      </c>
      <c r="F4452" t="s">
        <v>1652</v>
      </c>
      <c r="G4452" s="1">
        <v>45236</v>
      </c>
      <c r="H4452">
        <v>5413674</v>
      </c>
      <c r="I4452">
        <v>321</v>
      </c>
      <c r="J4452" t="s">
        <v>202</v>
      </c>
      <c r="K4452" t="str">
        <f>IFERROR(IF(AND(VLOOKUP($C4452,Hes!$A:$B, 1, FALSE), $M4452&lt;&gt;" "), "Ingresada", "Falta Ingresar"), " ")</f>
        <v xml:space="preserve"> </v>
      </c>
      <c r="L4452" s="4" t="str">
        <f>IFERROR(VLOOKUP($C4452,Observaciones!$A:$B,2,FALSE)," ")</f>
        <v>OC 33 (5DIGITOS) POR OC Y CC EL RESTO UNA SOLA</v>
      </c>
      <c r="M4452" t="s">
        <v>681</v>
      </c>
      <c r="O4452" s="5">
        <v>30854674</v>
      </c>
      <c r="P4452" s="5">
        <v>28423</v>
      </c>
      <c r="Q4452" s="5">
        <v>5400</v>
      </c>
      <c r="R4452" s="5">
        <v>33823</v>
      </c>
    </row>
    <row r="4453" spans="1:18" x14ac:dyDescent="0.25">
      <c r="A4453" t="s">
        <v>501</v>
      </c>
      <c r="B4453" t="s">
        <v>494</v>
      </c>
      <c r="C4453">
        <v>96516000</v>
      </c>
      <c r="D4453">
        <v>151</v>
      </c>
      <c r="E4453">
        <v>30854221</v>
      </c>
      <c r="F4453" t="s">
        <v>1652</v>
      </c>
      <c r="G4453" s="1">
        <v>45236</v>
      </c>
      <c r="H4453">
        <v>5413700</v>
      </c>
      <c r="I4453">
        <v>321</v>
      </c>
      <c r="J4453" t="s">
        <v>202</v>
      </c>
      <c r="K4453" t="str">
        <f>IFERROR(IF(AND(VLOOKUP($C4453,Hes!$A:$B, 1, FALSE), $M4453&lt;&gt;" "), "Ingresada", "Falta Ingresar"), " ")</f>
        <v xml:space="preserve"> </v>
      </c>
      <c r="L4453" s="4" t="str">
        <f>IFERROR(VLOOKUP($C4453,Observaciones!$A:$B,2,FALSE)," ")</f>
        <v>OC 33 (5DIGITOS) POR OC Y CC EL RESTO UNA SOLA</v>
      </c>
      <c r="M4453" t="s">
        <v>681</v>
      </c>
      <c r="O4453" s="5">
        <v>30854221</v>
      </c>
      <c r="P4453" s="5">
        <v>49218</v>
      </c>
      <c r="Q4453" s="5">
        <v>9351</v>
      </c>
      <c r="R4453" s="5">
        <v>58569</v>
      </c>
    </row>
    <row r="4454" spans="1:18" x14ac:dyDescent="0.25">
      <c r="A4454" t="s">
        <v>501</v>
      </c>
      <c r="B4454" t="s">
        <v>494</v>
      </c>
      <c r="C4454">
        <v>96516000</v>
      </c>
      <c r="D4454">
        <v>27</v>
      </c>
      <c r="E4454">
        <v>30853462</v>
      </c>
      <c r="F4454" t="s">
        <v>1652</v>
      </c>
      <c r="G4454" s="1">
        <v>45236</v>
      </c>
      <c r="H4454">
        <v>5413747</v>
      </c>
      <c r="I4454">
        <v>321</v>
      </c>
      <c r="J4454" t="s">
        <v>202</v>
      </c>
      <c r="K4454" t="str">
        <f>IFERROR(IF(AND(VLOOKUP($C4454,Hes!$A:$B, 1, FALSE), $M4454&lt;&gt;" "), "Ingresada", "Falta Ingresar"), " ")</f>
        <v xml:space="preserve"> </v>
      </c>
      <c r="L4454" s="4" t="str">
        <f>IFERROR(VLOOKUP($C4454,Observaciones!$A:$B,2,FALSE)," ")</f>
        <v>OC 33 (5DIGITOS) POR OC Y CC EL RESTO UNA SOLA</v>
      </c>
      <c r="M4454" t="s">
        <v>681</v>
      </c>
      <c r="O4454" s="5">
        <v>30853462</v>
      </c>
      <c r="P4454" s="5">
        <v>192512</v>
      </c>
      <c r="Q4454" s="5">
        <v>36577</v>
      </c>
      <c r="R4454" s="5">
        <v>229089</v>
      </c>
    </row>
    <row r="4455" spans="1:18" x14ac:dyDescent="0.25">
      <c r="A4455" t="s">
        <v>501</v>
      </c>
      <c r="B4455" t="s">
        <v>494</v>
      </c>
      <c r="C4455">
        <v>96516000</v>
      </c>
      <c r="D4455">
        <v>195</v>
      </c>
      <c r="E4455">
        <v>30854064</v>
      </c>
      <c r="F4455" t="s">
        <v>1652</v>
      </c>
      <c r="G4455" s="1">
        <v>45236</v>
      </c>
      <c r="H4455">
        <v>5413751</v>
      </c>
      <c r="I4455">
        <v>321</v>
      </c>
      <c r="J4455" t="s">
        <v>202</v>
      </c>
      <c r="K4455" t="str">
        <f>IFERROR(IF(AND(VLOOKUP($C4455,Hes!$A:$B, 1, FALSE), $M4455&lt;&gt;" "), "Ingresada", "Falta Ingresar"), " ")</f>
        <v xml:space="preserve"> </v>
      </c>
      <c r="L4455" s="4" t="str">
        <f>IFERROR(VLOOKUP($C4455,Observaciones!$A:$B,2,FALSE)," ")</f>
        <v>OC 33 (5DIGITOS) POR OC Y CC EL RESTO UNA SOLA</v>
      </c>
      <c r="M4455" t="s">
        <v>681</v>
      </c>
      <c r="O4455" s="5">
        <v>30854064</v>
      </c>
      <c r="P4455" s="5">
        <v>439267</v>
      </c>
      <c r="Q4455" s="5">
        <v>83461</v>
      </c>
      <c r="R4455" s="5">
        <v>522728</v>
      </c>
    </row>
    <row r="4456" spans="1:18" x14ac:dyDescent="0.25">
      <c r="A4456" t="s">
        <v>501</v>
      </c>
      <c r="B4456" t="s">
        <v>494</v>
      </c>
      <c r="C4456">
        <v>96516000</v>
      </c>
      <c r="D4456">
        <v>87</v>
      </c>
      <c r="E4456">
        <v>30855164</v>
      </c>
      <c r="F4456" t="s">
        <v>1652</v>
      </c>
      <c r="G4456" s="1">
        <v>45236</v>
      </c>
      <c r="H4456">
        <v>5413863</v>
      </c>
      <c r="I4456">
        <v>321</v>
      </c>
      <c r="J4456" t="s">
        <v>202</v>
      </c>
      <c r="K4456" t="str">
        <f>IFERROR(IF(AND(VLOOKUP($C4456,Hes!$A:$B, 1, FALSE), $M4456&lt;&gt;" "), "Ingresada", "Falta Ingresar"), " ")</f>
        <v xml:space="preserve"> </v>
      </c>
      <c r="L4456" s="4" t="str">
        <f>IFERROR(VLOOKUP($C4456,Observaciones!$A:$B,2,FALSE)," ")</f>
        <v>OC 33 (5DIGITOS) POR OC Y CC EL RESTO UNA SOLA</v>
      </c>
      <c r="M4456" t="s">
        <v>681</v>
      </c>
      <c r="O4456" s="5">
        <v>30855164</v>
      </c>
      <c r="P4456" s="5">
        <v>499857</v>
      </c>
      <c r="Q4456" s="5">
        <v>94973</v>
      </c>
      <c r="R4456" s="5">
        <v>594830</v>
      </c>
    </row>
    <row r="4457" spans="1:18" x14ac:dyDescent="0.25">
      <c r="A4457" t="s">
        <v>501</v>
      </c>
      <c r="B4457" t="s">
        <v>494</v>
      </c>
      <c r="C4457">
        <v>96516000</v>
      </c>
      <c r="D4457">
        <v>152</v>
      </c>
      <c r="E4457">
        <v>30858686</v>
      </c>
      <c r="F4457" t="s">
        <v>1652</v>
      </c>
      <c r="G4457" s="1">
        <v>45237</v>
      </c>
      <c r="H4457">
        <v>5414282</v>
      </c>
      <c r="I4457">
        <v>321</v>
      </c>
      <c r="J4457" t="s">
        <v>202</v>
      </c>
      <c r="K4457" t="str">
        <f>IFERROR(IF(AND(VLOOKUP($C4457,Hes!$A:$B, 1, FALSE), $M4457&lt;&gt;" "), "Ingresada", "Falta Ingresar"), " ")</f>
        <v xml:space="preserve"> </v>
      </c>
      <c r="L4457" s="4" t="str">
        <f>IFERROR(VLOOKUP($C4457,Observaciones!$A:$B,2,FALSE)," ")</f>
        <v>OC 33 (5DIGITOS) POR OC Y CC EL RESTO UNA SOLA</v>
      </c>
      <c r="M4457" t="s">
        <v>681</v>
      </c>
      <c r="O4457" s="5">
        <v>30858686</v>
      </c>
      <c r="P4457" s="5">
        <v>173918</v>
      </c>
      <c r="Q4457" s="5">
        <v>33044</v>
      </c>
      <c r="R4457" s="5">
        <v>206962</v>
      </c>
    </row>
    <row r="4458" spans="1:18" x14ac:dyDescent="0.25">
      <c r="A4458" t="s">
        <v>501</v>
      </c>
      <c r="B4458" t="s">
        <v>494</v>
      </c>
      <c r="C4458">
        <v>96516000</v>
      </c>
      <c r="D4458">
        <v>20</v>
      </c>
      <c r="E4458">
        <v>30861738</v>
      </c>
      <c r="F4458" t="s">
        <v>1652</v>
      </c>
      <c r="G4458" s="1">
        <v>45237</v>
      </c>
      <c r="H4458">
        <v>5414464</v>
      </c>
      <c r="I4458">
        <v>321</v>
      </c>
      <c r="J4458" t="s">
        <v>202</v>
      </c>
      <c r="K4458" t="str">
        <f>IFERROR(IF(AND(VLOOKUP($C4458,Hes!$A:$B, 1, FALSE), $M4458&lt;&gt;" "), "Ingresada", "Falta Ingresar"), " ")</f>
        <v xml:space="preserve"> </v>
      </c>
      <c r="L4458" s="4" t="str">
        <f>IFERROR(VLOOKUP($C4458,Observaciones!$A:$B,2,FALSE)," ")</f>
        <v>OC 33 (5DIGITOS) POR OC Y CC EL RESTO UNA SOLA</v>
      </c>
      <c r="M4458" t="s">
        <v>681</v>
      </c>
      <c r="O4458" s="5">
        <v>30861738</v>
      </c>
      <c r="P4458" s="5">
        <v>62111</v>
      </c>
      <c r="Q4458" s="5">
        <v>11801</v>
      </c>
      <c r="R4458" s="5">
        <v>73912</v>
      </c>
    </row>
    <row r="4459" spans="1:18" x14ac:dyDescent="0.25">
      <c r="A4459" t="s">
        <v>501</v>
      </c>
      <c r="B4459" t="s">
        <v>494</v>
      </c>
      <c r="C4459">
        <v>96516000</v>
      </c>
      <c r="D4459">
        <v>46</v>
      </c>
      <c r="E4459">
        <v>30861082</v>
      </c>
      <c r="F4459" t="s">
        <v>1652</v>
      </c>
      <c r="G4459" s="1">
        <v>45238</v>
      </c>
      <c r="H4459">
        <v>5414622</v>
      </c>
      <c r="I4459">
        <v>321</v>
      </c>
      <c r="J4459" t="s">
        <v>202</v>
      </c>
      <c r="K4459" t="str">
        <f>IFERROR(IF(AND(VLOOKUP($C4459,Hes!$A:$B, 1, FALSE), $M4459&lt;&gt;" "), "Ingresada", "Falta Ingresar"), " ")</f>
        <v xml:space="preserve"> </v>
      </c>
      <c r="L4459" s="4" t="str">
        <f>IFERROR(VLOOKUP($C4459,Observaciones!$A:$B,2,FALSE)," ")</f>
        <v>OC 33 (5DIGITOS) POR OC Y CC EL RESTO UNA SOLA</v>
      </c>
      <c r="M4459" t="s">
        <v>681</v>
      </c>
      <c r="O4459" s="5">
        <v>30861082</v>
      </c>
      <c r="P4459" s="5">
        <v>134994</v>
      </c>
      <c r="Q4459" s="5">
        <v>25649</v>
      </c>
      <c r="R4459" s="5">
        <v>160643</v>
      </c>
    </row>
    <row r="4460" spans="1:18" x14ac:dyDescent="0.25">
      <c r="A4460" t="s">
        <v>501</v>
      </c>
      <c r="B4460" t="s">
        <v>494</v>
      </c>
      <c r="C4460">
        <v>96516000</v>
      </c>
      <c r="D4460">
        <v>133</v>
      </c>
      <c r="E4460">
        <v>30861071</v>
      </c>
      <c r="F4460" t="s">
        <v>1652</v>
      </c>
      <c r="G4460" s="1">
        <v>45238</v>
      </c>
      <c r="H4460">
        <v>5414810</v>
      </c>
      <c r="I4460">
        <v>321</v>
      </c>
      <c r="J4460" t="s">
        <v>202</v>
      </c>
      <c r="K4460" t="str">
        <f>IFERROR(IF(AND(VLOOKUP($C4460,Hes!$A:$B, 1, FALSE), $M4460&lt;&gt;" "), "Ingresada", "Falta Ingresar"), " ")</f>
        <v xml:space="preserve"> </v>
      </c>
      <c r="L4460" s="4" t="str">
        <f>IFERROR(VLOOKUP($C4460,Observaciones!$A:$B,2,FALSE)," ")</f>
        <v>OC 33 (5DIGITOS) POR OC Y CC EL RESTO UNA SOLA</v>
      </c>
      <c r="M4460" t="s">
        <v>681</v>
      </c>
      <c r="O4460" s="5">
        <v>30861071</v>
      </c>
      <c r="P4460" s="5">
        <v>84945</v>
      </c>
      <c r="Q4460" s="5">
        <v>16140</v>
      </c>
      <c r="R4460" s="5">
        <v>101085</v>
      </c>
    </row>
    <row r="4461" spans="1:18" x14ac:dyDescent="0.25">
      <c r="A4461" t="s">
        <v>501</v>
      </c>
      <c r="B4461" t="s">
        <v>494</v>
      </c>
      <c r="C4461">
        <v>96516000</v>
      </c>
      <c r="D4461">
        <v>21</v>
      </c>
      <c r="E4461">
        <v>30861670</v>
      </c>
      <c r="F4461" t="s">
        <v>1652</v>
      </c>
      <c r="G4461" s="1">
        <v>45238</v>
      </c>
      <c r="H4461">
        <v>5414986</v>
      </c>
      <c r="I4461">
        <v>321</v>
      </c>
      <c r="J4461" t="s">
        <v>202</v>
      </c>
      <c r="K4461" t="str">
        <f>IFERROR(IF(AND(VLOOKUP($C4461,Hes!$A:$B, 1, FALSE), $M4461&lt;&gt;" "), "Ingresada", "Falta Ingresar"), " ")</f>
        <v xml:space="preserve"> </v>
      </c>
      <c r="L4461" s="4" t="str">
        <f>IFERROR(VLOOKUP($C4461,Observaciones!$A:$B,2,FALSE)," ")</f>
        <v>OC 33 (5DIGITOS) POR OC Y CC EL RESTO UNA SOLA</v>
      </c>
      <c r="M4461" t="s">
        <v>681</v>
      </c>
      <c r="O4461" s="5">
        <v>30861670</v>
      </c>
      <c r="P4461" s="5">
        <v>158900</v>
      </c>
      <c r="Q4461" s="5">
        <v>30191</v>
      </c>
      <c r="R4461" s="5">
        <v>189091</v>
      </c>
    </row>
    <row r="4462" spans="1:18" x14ac:dyDescent="0.25">
      <c r="A4462" t="s">
        <v>501</v>
      </c>
      <c r="B4462" t="s">
        <v>494</v>
      </c>
      <c r="C4462">
        <v>96516000</v>
      </c>
      <c r="D4462">
        <v>99</v>
      </c>
      <c r="E4462">
        <v>30861063</v>
      </c>
      <c r="F4462" t="s">
        <v>1652</v>
      </c>
      <c r="G4462" s="1">
        <v>45238</v>
      </c>
      <c r="H4462">
        <v>5415159</v>
      </c>
      <c r="I4462">
        <v>321</v>
      </c>
      <c r="J4462" t="s">
        <v>202</v>
      </c>
      <c r="K4462" t="str">
        <f>IFERROR(IF(AND(VLOOKUP($C4462,Hes!$A:$B, 1, FALSE), $M4462&lt;&gt;" "), "Ingresada", "Falta Ingresar"), " ")</f>
        <v xml:space="preserve"> </v>
      </c>
      <c r="L4462" s="4" t="str">
        <f>IFERROR(VLOOKUP($C4462,Observaciones!$A:$B,2,FALSE)," ")</f>
        <v>OC 33 (5DIGITOS) POR OC Y CC EL RESTO UNA SOLA</v>
      </c>
      <c r="M4462" t="s">
        <v>681</v>
      </c>
      <c r="O4462" s="5">
        <v>30861063</v>
      </c>
      <c r="P4462" s="5">
        <v>86912</v>
      </c>
      <c r="Q4462" s="5">
        <v>16513</v>
      </c>
      <c r="R4462" s="5">
        <v>103425</v>
      </c>
    </row>
    <row r="4463" spans="1:18" x14ac:dyDescent="0.25">
      <c r="A4463" t="s">
        <v>501</v>
      </c>
      <c r="B4463" t="s">
        <v>494</v>
      </c>
      <c r="C4463">
        <v>96516000</v>
      </c>
      <c r="D4463">
        <v>154</v>
      </c>
      <c r="E4463">
        <v>30864561</v>
      </c>
      <c r="F4463" t="s">
        <v>1652</v>
      </c>
      <c r="G4463" s="1">
        <v>45238</v>
      </c>
      <c r="H4463">
        <v>5415300</v>
      </c>
      <c r="I4463">
        <v>321</v>
      </c>
      <c r="J4463" t="s">
        <v>202</v>
      </c>
      <c r="K4463" t="str">
        <f>IFERROR(IF(AND(VLOOKUP($C4463,Hes!$A:$B, 1, FALSE), $M4463&lt;&gt;" "), "Ingresada", "Falta Ingresar"), " ")</f>
        <v xml:space="preserve"> </v>
      </c>
      <c r="L4463" s="4" t="str">
        <f>IFERROR(VLOOKUP($C4463,Observaciones!$A:$B,2,FALSE)," ")</f>
        <v>OC 33 (5DIGITOS) POR OC Y CC EL RESTO UNA SOLA</v>
      </c>
      <c r="M4463" t="s">
        <v>681</v>
      </c>
      <c r="O4463" s="5">
        <v>30864561</v>
      </c>
      <c r="P4463" s="5">
        <v>29978</v>
      </c>
      <c r="Q4463" s="5">
        <v>5696</v>
      </c>
      <c r="R4463" s="5">
        <v>35674</v>
      </c>
    </row>
    <row r="4464" spans="1:18" x14ac:dyDescent="0.25">
      <c r="A4464" t="s">
        <v>501</v>
      </c>
      <c r="B4464" t="s">
        <v>494</v>
      </c>
      <c r="C4464">
        <v>96516000</v>
      </c>
      <c r="D4464">
        <v>153</v>
      </c>
      <c r="E4464">
        <v>30864491</v>
      </c>
      <c r="F4464" t="s">
        <v>1652</v>
      </c>
      <c r="G4464" s="1">
        <v>45238</v>
      </c>
      <c r="H4464">
        <v>5415556</v>
      </c>
      <c r="I4464">
        <v>321</v>
      </c>
      <c r="J4464" t="s">
        <v>202</v>
      </c>
      <c r="K4464" t="str">
        <f>IFERROR(IF(AND(VLOOKUP($C4464,Hes!$A:$B, 1, FALSE), $M4464&lt;&gt;" "), "Ingresada", "Falta Ingresar"), " ")</f>
        <v xml:space="preserve"> </v>
      </c>
      <c r="L4464" s="4" t="str">
        <f>IFERROR(VLOOKUP($C4464,Observaciones!$A:$B,2,FALSE)," ")</f>
        <v>OC 33 (5DIGITOS) POR OC Y CC EL RESTO UNA SOLA</v>
      </c>
      <c r="M4464" t="s">
        <v>681</v>
      </c>
      <c r="O4464" s="5">
        <v>30864491</v>
      </c>
      <c r="P4464" s="5">
        <v>99264</v>
      </c>
      <c r="Q4464" s="5">
        <v>18860</v>
      </c>
      <c r="R4464" s="5">
        <v>118124</v>
      </c>
    </row>
    <row r="4465" spans="1:18" x14ac:dyDescent="0.25">
      <c r="A4465" t="s">
        <v>501</v>
      </c>
      <c r="B4465" t="s">
        <v>494</v>
      </c>
      <c r="C4465">
        <v>96516000</v>
      </c>
      <c r="D4465">
        <v>16</v>
      </c>
      <c r="E4465">
        <v>30861914</v>
      </c>
      <c r="F4465" t="s">
        <v>1652</v>
      </c>
      <c r="G4465" s="1">
        <v>45238</v>
      </c>
      <c r="H4465">
        <v>5415642</v>
      </c>
      <c r="I4465">
        <v>321</v>
      </c>
      <c r="J4465" t="s">
        <v>202</v>
      </c>
      <c r="K4465" t="str">
        <f>IFERROR(IF(AND(VLOOKUP($C4465,Hes!$A:$B, 1, FALSE), $M4465&lt;&gt;" "), "Ingresada", "Falta Ingresar"), " ")</f>
        <v xml:space="preserve"> </v>
      </c>
      <c r="L4465" s="4" t="str">
        <f>IFERROR(VLOOKUP($C4465,Observaciones!$A:$B,2,FALSE)," ")</f>
        <v>OC 33 (5DIGITOS) POR OC Y CC EL RESTO UNA SOLA</v>
      </c>
      <c r="M4465" t="s">
        <v>681</v>
      </c>
      <c r="O4465" s="5">
        <v>30861914</v>
      </c>
      <c r="P4465" s="5">
        <v>178968</v>
      </c>
      <c r="Q4465" s="5">
        <v>34004</v>
      </c>
      <c r="R4465" s="5">
        <v>212972</v>
      </c>
    </row>
    <row r="4466" spans="1:18" x14ac:dyDescent="0.25">
      <c r="F4466" t="s">
        <v>805</v>
      </c>
      <c r="K4466" t="str">
        <f>IFERROR(IF(AND(VLOOKUP($C4466,Hes!$A:$B, 1, FALSE), $M4466&lt;&gt;" "), "Ingresada", "Falta Ingresar"), " ")</f>
        <v xml:space="preserve"> </v>
      </c>
      <c r="L4466" s="4" t="str">
        <f>IFERROR(VLOOKUP($C4466,Observaciones!$A:$B,2,FALSE)," ")</f>
        <v xml:space="preserve"> </v>
      </c>
      <c r="M4466" t="s">
        <v>681</v>
      </c>
      <c r="P4466" s="5">
        <v>4515211</v>
      </c>
      <c r="Q4466" s="5">
        <v>857889</v>
      </c>
      <c r="R4466" s="5">
        <v>5373100</v>
      </c>
    </row>
    <row r="4467" spans="1:18" x14ac:dyDescent="0.25">
      <c r="A4467" t="s">
        <v>496</v>
      </c>
      <c r="B4467" t="s">
        <v>494</v>
      </c>
      <c r="C4467">
        <v>96521440</v>
      </c>
      <c r="D4467">
        <v>0</v>
      </c>
      <c r="E4467">
        <v>4501275014</v>
      </c>
      <c r="F4467" t="s">
        <v>1653</v>
      </c>
      <c r="G4467" s="1">
        <v>45238</v>
      </c>
      <c r="H4467">
        <v>5414919</v>
      </c>
      <c r="I4467">
        <v>176</v>
      </c>
      <c r="J4467" t="s">
        <v>158</v>
      </c>
      <c r="K4467" t="str">
        <f>IFERROR(IF(AND(VLOOKUP($C4467,Hes!$A:$B, 1, FALSE), $M4467&lt;&gt;" "), "Ingresada", "Falta Ingresar"), " ")</f>
        <v xml:space="preserve"> </v>
      </c>
      <c r="L4467" s="4" t="s">
        <v>681</v>
      </c>
      <c r="M4467" t="s">
        <v>681</v>
      </c>
      <c r="O4467" s="5">
        <v>30862065</v>
      </c>
      <c r="P4467" s="5">
        <v>318960</v>
      </c>
      <c r="Q4467" s="5">
        <v>60602</v>
      </c>
      <c r="R4467" s="5">
        <v>379562</v>
      </c>
    </row>
    <row r="4468" spans="1:18" x14ac:dyDescent="0.25">
      <c r="A4468" t="s">
        <v>496</v>
      </c>
      <c r="B4468" t="s">
        <v>494</v>
      </c>
      <c r="C4468">
        <v>96521440</v>
      </c>
      <c r="D4468">
        <v>0</v>
      </c>
      <c r="E4468">
        <v>4501274994</v>
      </c>
      <c r="F4468" t="s">
        <v>1653</v>
      </c>
      <c r="G4468" s="1">
        <v>45238</v>
      </c>
      <c r="H4468">
        <v>5415247</v>
      </c>
      <c r="I4468">
        <v>18</v>
      </c>
      <c r="J4468" t="s">
        <v>168</v>
      </c>
      <c r="K4468" t="str">
        <f>IFERROR(IF(AND(VLOOKUP($C4468,Hes!$A:$B, 1, FALSE), $M4468&lt;&gt;" "), "Ingresada", "Falta Ingresar"), " ")</f>
        <v xml:space="preserve"> </v>
      </c>
      <c r="L4468" s="4" t="s">
        <v>681</v>
      </c>
      <c r="M4468" t="s">
        <v>681</v>
      </c>
      <c r="O4468" s="5">
        <v>30852691</v>
      </c>
      <c r="P4468" s="5">
        <v>643569</v>
      </c>
      <c r="Q4468" s="5">
        <v>122278</v>
      </c>
      <c r="R4468" s="5">
        <v>765847</v>
      </c>
    </row>
    <row r="4469" spans="1:18" x14ac:dyDescent="0.25">
      <c r="F4469" t="s">
        <v>497</v>
      </c>
      <c r="K4469" t="str">
        <f>IFERROR(IF(AND(VLOOKUP($C4469,Hes!$A:$B, 1, FALSE), $M4469&lt;&gt;" "), "Ingresada", "Falta Ingresar"), " ")</f>
        <v xml:space="preserve"> </v>
      </c>
      <c r="L4469" s="4" t="str">
        <f>IFERROR(VLOOKUP($C4469,Observaciones!$A:$B,2,FALSE)," ")</f>
        <v xml:space="preserve"> </v>
      </c>
      <c r="M4469" t="s">
        <v>681</v>
      </c>
      <c r="P4469" s="5">
        <v>962529</v>
      </c>
      <c r="Q4469" s="5">
        <v>182880</v>
      </c>
      <c r="R4469" s="5">
        <v>1145409</v>
      </c>
    </row>
    <row r="4470" spans="1:18" x14ac:dyDescent="0.25">
      <c r="A4470" t="s">
        <v>512</v>
      </c>
      <c r="B4470" t="s">
        <v>494</v>
      </c>
      <c r="C4470">
        <v>96529310</v>
      </c>
      <c r="D4470">
        <v>41</v>
      </c>
      <c r="E4470">
        <v>4702728381</v>
      </c>
      <c r="F4470" t="s">
        <v>1654</v>
      </c>
      <c r="G4470" s="1">
        <v>45233</v>
      </c>
      <c r="H4470">
        <v>5411692</v>
      </c>
      <c r="I4470">
        <v>63</v>
      </c>
      <c r="J4470" t="s">
        <v>170</v>
      </c>
      <c r="K4470" s="8" t="str">
        <f>IFERROR(IF(AND(VLOOKUP($C4470,Hes!$A:$B, 1, FALSE), $M4470&lt;&gt;" "), "Ingresada", "Falta Ingresar"), " ")</f>
        <v>Falta Ingresar</v>
      </c>
      <c r="L4470" s="4" t="str">
        <f>IFERROR(VLOOKUP($C4470,Observaciones!$A:$B,2,FALSE)," ")</f>
        <v>OC 47000000... XOC Y CC INDIVIDUAL, PAGINA WEB VENDEDOR ENVIA CORREO CON OC</v>
      </c>
      <c r="M4470" t="s">
        <v>681</v>
      </c>
      <c r="N4470" s="5" t="s">
        <v>841</v>
      </c>
      <c r="O4470" s="5">
        <v>30845391</v>
      </c>
      <c r="P4470" s="5">
        <v>3715544</v>
      </c>
      <c r="Q4470" s="5">
        <v>705953</v>
      </c>
      <c r="R4470" s="5">
        <v>4421497</v>
      </c>
    </row>
    <row r="4471" spans="1:18" x14ac:dyDescent="0.25">
      <c r="A4471" t="s">
        <v>512</v>
      </c>
      <c r="B4471" t="s">
        <v>494</v>
      </c>
      <c r="C4471">
        <v>96529310</v>
      </c>
      <c r="D4471">
        <v>53</v>
      </c>
      <c r="E4471">
        <v>30795262</v>
      </c>
      <c r="F4471" t="s">
        <v>1655</v>
      </c>
      <c r="G4471" s="1">
        <v>45236</v>
      </c>
      <c r="H4471">
        <v>5413245</v>
      </c>
      <c r="I4471">
        <v>63</v>
      </c>
      <c r="J4471" t="s">
        <v>170</v>
      </c>
      <c r="K4471" s="8" t="str">
        <f>IFERROR(IF(AND(VLOOKUP($C4471,Hes!$A:$B, 1, FALSE), $M4471&lt;&gt;" "), "Ingresada", "Falta Ingresar"), " ")</f>
        <v>Falta Ingresar</v>
      </c>
      <c r="L4471" s="4" t="str">
        <f>IFERROR(VLOOKUP($C4471,Observaciones!$A:$B,2,FALSE)," ")</f>
        <v>OC 47000000... XOC Y CC INDIVIDUAL, PAGINA WEB VENDEDOR ENVIA CORREO CON OC</v>
      </c>
      <c r="M4471" t="s">
        <v>681</v>
      </c>
      <c r="N4471" s="5" t="s">
        <v>841</v>
      </c>
      <c r="O4471" s="5">
        <v>30841999</v>
      </c>
      <c r="P4471" s="5">
        <v>148214</v>
      </c>
      <c r="Q4471" s="5">
        <v>28161</v>
      </c>
      <c r="R4471" s="5">
        <v>176375</v>
      </c>
    </row>
    <row r="4472" spans="1:18" x14ac:dyDescent="0.25">
      <c r="A4472" t="s">
        <v>512</v>
      </c>
      <c r="B4472" t="s">
        <v>494</v>
      </c>
      <c r="C4472">
        <v>96529310</v>
      </c>
      <c r="D4472">
        <v>65</v>
      </c>
      <c r="E4472">
        <v>30864395</v>
      </c>
      <c r="F4472" t="s">
        <v>1655</v>
      </c>
      <c r="G4472" s="1">
        <v>45238</v>
      </c>
      <c r="H4472">
        <v>5415604</v>
      </c>
      <c r="I4472">
        <v>63</v>
      </c>
      <c r="J4472" t="s">
        <v>170</v>
      </c>
      <c r="K4472" s="8" t="str">
        <f>IFERROR(IF(AND(VLOOKUP($C4472,Hes!$A:$B, 1, FALSE), $M4472&lt;&gt;" "), "Ingresada", "Falta Ingresar"), " ")</f>
        <v>Falta Ingresar</v>
      </c>
      <c r="L4472" s="4" t="str">
        <f>IFERROR(VLOOKUP($C4472,Observaciones!$A:$B,2,FALSE)," ")</f>
        <v>OC 47000000... XOC Y CC INDIVIDUAL, PAGINA WEB VENDEDOR ENVIA CORREO CON OC</v>
      </c>
      <c r="M4472" t="s">
        <v>681</v>
      </c>
      <c r="N4472" s="5" t="s">
        <v>841</v>
      </c>
      <c r="O4472" s="5">
        <v>30864395</v>
      </c>
      <c r="P4472" s="5">
        <v>42908</v>
      </c>
      <c r="Q4472" s="5">
        <v>8153</v>
      </c>
      <c r="R4472" s="5">
        <v>51061</v>
      </c>
    </row>
    <row r="4473" spans="1:18" x14ac:dyDescent="0.25">
      <c r="A4473" t="s">
        <v>512</v>
      </c>
      <c r="B4473" t="s">
        <v>494</v>
      </c>
      <c r="C4473">
        <v>96529310</v>
      </c>
      <c r="D4473">
        <v>146</v>
      </c>
      <c r="E4473">
        <v>30864374</v>
      </c>
      <c r="F4473" t="s">
        <v>1655</v>
      </c>
      <c r="G4473" s="1">
        <v>45238</v>
      </c>
      <c r="H4473">
        <v>5415749</v>
      </c>
      <c r="I4473">
        <v>63</v>
      </c>
      <c r="J4473" t="s">
        <v>170</v>
      </c>
      <c r="K4473" s="8" t="str">
        <f>IFERROR(IF(AND(VLOOKUP($C4473,Hes!$A:$B, 1, FALSE), $M4473&lt;&gt;" "), "Ingresada", "Falta Ingresar"), " ")</f>
        <v>Falta Ingresar</v>
      </c>
      <c r="L4473" s="4" t="str">
        <f>IFERROR(VLOOKUP($C4473,Observaciones!$A:$B,2,FALSE)," ")</f>
        <v>OC 47000000... XOC Y CC INDIVIDUAL, PAGINA WEB VENDEDOR ENVIA CORREO CON OC</v>
      </c>
      <c r="M4473" t="s">
        <v>681</v>
      </c>
      <c r="N4473" s="5" t="s">
        <v>841</v>
      </c>
      <c r="O4473" s="5">
        <v>30864374</v>
      </c>
      <c r="P4473" s="5">
        <v>100097</v>
      </c>
      <c r="Q4473" s="5">
        <v>19018</v>
      </c>
      <c r="R4473" s="5">
        <v>119115</v>
      </c>
    </row>
    <row r="4474" spans="1:18" x14ac:dyDescent="0.25">
      <c r="A4474" t="s">
        <v>512</v>
      </c>
      <c r="B4474" t="s">
        <v>494</v>
      </c>
      <c r="C4474">
        <v>96529310</v>
      </c>
      <c r="D4474">
        <v>53</v>
      </c>
      <c r="E4474">
        <v>30864403</v>
      </c>
      <c r="F4474" t="s">
        <v>1655</v>
      </c>
      <c r="G4474" s="1">
        <v>45238</v>
      </c>
      <c r="H4474">
        <v>5415777</v>
      </c>
      <c r="I4474">
        <v>63</v>
      </c>
      <c r="J4474" t="s">
        <v>170</v>
      </c>
      <c r="K4474" s="8" t="str">
        <f>IFERROR(IF(AND(VLOOKUP($C4474,Hes!$A:$B, 1, FALSE), $M4474&lt;&gt;" "), "Ingresada", "Falta Ingresar"), " ")</f>
        <v>Falta Ingresar</v>
      </c>
      <c r="L4474" s="4" t="str">
        <f>IFERROR(VLOOKUP($C4474,Observaciones!$A:$B,2,FALSE)," ")</f>
        <v>OC 47000000... XOC Y CC INDIVIDUAL, PAGINA WEB VENDEDOR ENVIA CORREO CON OC</v>
      </c>
      <c r="M4474" t="s">
        <v>681</v>
      </c>
      <c r="N4474" s="5" t="s">
        <v>841</v>
      </c>
      <c r="O4474" s="5">
        <v>30864403</v>
      </c>
      <c r="P4474" s="5">
        <v>37748</v>
      </c>
      <c r="Q4474" s="5">
        <v>7172</v>
      </c>
      <c r="R4474" s="5">
        <v>44920</v>
      </c>
    </row>
    <row r="4475" spans="1:18" x14ac:dyDescent="0.25">
      <c r="A4475" t="s">
        <v>512</v>
      </c>
      <c r="B4475" t="s">
        <v>494</v>
      </c>
      <c r="C4475">
        <v>96529310</v>
      </c>
      <c r="D4475">
        <v>65</v>
      </c>
      <c r="E4475">
        <v>30864384</v>
      </c>
      <c r="F4475" t="s">
        <v>1655</v>
      </c>
      <c r="G4475" s="1">
        <v>45238</v>
      </c>
      <c r="H4475">
        <v>5415778</v>
      </c>
      <c r="I4475">
        <v>63</v>
      </c>
      <c r="J4475" t="s">
        <v>170</v>
      </c>
      <c r="K4475" s="8" t="str">
        <f>IFERROR(IF(AND(VLOOKUP($C4475,Hes!$A:$B, 1, FALSE), $M4475&lt;&gt;" "), "Ingresada", "Falta Ingresar"), " ")</f>
        <v>Falta Ingresar</v>
      </c>
      <c r="L4475" s="4" t="str">
        <f>IFERROR(VLOOKUP($C4475,Observaciones!$A:$B,2,FALSE)," ")</f>
        <v>OC 47000000... XOC Y CC INDIVIDUAL, PAGINA WEB VENDEDOR ENVIA CORREO CON OC</v>
      </c>
      <c r="M4475" t="s">
        <v>681</v>
      </c>
      <c r="N4475" s="5" t="s">
        <v>841</v>
      </c>
      <c r="O4475" s="5">
        <v>30864384</v>
      </c>
      <c r="P4475" s="5">
        <v>106407</v>
      </c>
      <c r="Q4475" s="5">
        <v>20217</v>
      </c>
      <c r="R4475" s="5">
        <v>126624</v>
      </c>
    </row>
    <row r="4476" spans="1:18" x14ac:dyDescent="0.25">
      <c r="F4476" t="s">
        <v>523</v>
      </c>
      <c r="K4476" t="str">
        <f>IFERROR(IF(AND(VLOOKUP($C4476,Hes!$A:$B, 1, FALSE), $M4476&lt;&gt;" "), "Ingresada", "Falta Ingresar"), " ")</f>
        <v xml:space="preserve"> </v>
      </c>
      <c r="L4476" s="4" t="str">
        <f>IFERROR(VLOOKUP($C4476,Observaciones!$A:$B,2,FALSE)," ")</f>
        <v xml:space="preserve"> </v>
      </c>
      <c r="M4476" t="s">
        <v>681</v>
      </c>
      <c r="P4476" s="5">
        <v>4150918</v>
      </c>
      <c r="Q4476" s="5">
        <v>788674</v>
      </c>
      <c r="R4476" s="5">
        <v>4939592</v>
      </c>
    </row>
    <row r="4477" spans="1:18" x14ac:dyDescent="0.25">
      <c r="A4477" t="s">
        <v>503</v>
      </c>
      <c r="B4477" t="s">
        <v>494</v>
      </c>
      <c r="C4477">
        <v>96532330</v>
      </c>
      <c r="D4477">
        <v>5</v>
      </c>
      <c r="E4477">
        <v>30849610</v>
      </c>
      <c r="F4477" t="s">
        <v>635</v>
      </c>
      <c r="G4477" s="1">
        <v>45236</v>
      </c>
      <c r="H4477">
        <v>5411985</v>
      </c>
      <c r="I4477">
        <v>63</v>
      </c>
      <c r="J4477" t="s">
        <v>170</v>
      </c>
      <c r="K4477" s="8" t="str">
        <f>IFERROR(IF(AND(VLOOKUP($C4477,Hes!$A:$B, 1, FALSE), $M4477&lt;&gt;" "), "Ingresada", "Falta Ingresar"), " ")</f>
        <v>Falta Ingresar</v>
      </c>
      <c r="L4477" s="4" t="str">
        <f>IFERROR(VLOOKUP($C4477,Observaciones!$A:$B,2,FALSE)," ")</f>
        <v>VENDEDOR DEBE ENVIAR OC</v>
      </c>
      <c r="M4477" t="s">
        <v>681</v>
      </c>
      <c r="O4477" s="5">
        <v>30849610</v>
      </c>
      <c r="P4477" s="5">
        <v>108937</v>
      </c>
      <c r="Q4477" s="5">
        <v>20698</v>
      </c>
      <c r="R4477" s="5">
        <v>129635</v>
      </c>
    </row>
    <row r="4478" spans="1:18" x14ac:dyDescent="0.25">
      <c r="A4478" t="s">
        <v>503</v>
      </c>
      <c r="B4478" t="s">
        <v>494</v>
      </c>
      <c r="C4478">
        <v>96532330</v>
      </c>
      <c r="D4478">
        <v>3</v>
      </c>
      <c r="E4478">
        <v>30849155</v>
      </c>
      <c r="F4478" t="s">
        <v>635</v>
      </c>
      <c r="G4478" s="1">
        <v>45236</v>
      </c>
      <c r="H4478">
        <v>5411986</v>
      </c>
      <c r="I4478">
        <v>63</v>
      </c>
      <c r="J4478" t="s">
        <v>170</v>
      </c>
      <c r="K4478" s="8" t="str">
        <f>IFERROR(IF(AND(VLOOKUP($C4478,Hes!$A:$B, 1, FALSE), $M4478&lt;&gt;" "), "Ingresada", "Falta Ingresar"), " ")</f>
        <v>Falta Ingresar</v>
      </c>
      <c r="L4478" s="4" t="str">
        <f>IFERROR(VLOOKUP($C4478,Observaciones!$A:$B,2,FALSE)," ")</f>
        <v>VENDEDOR DEBE ENVIAR OC</v>
      </c>
      <c r="M4478" t="s">
        <v>681</v>
      </c>
      <c r="O4478" s="5">
        <v>30849155</v>
      </c>
      <c r="P4478" s="5">
        <v>121295</v>
      </c>
      <c r="Q4478" s="5">
        <v>23046</v>
      </c>
      <c r="R4478" s="5">
        <v>144341</v>
      </c>
    </row>
    <row r="4479" spans="1:18" x14ac:dyDescent="0.25">
      <c r="A4479" t="s">
        <v>503</v>
      </c>
      <c r="B4479" t="s">
        <v>494</v>
      </c>
      <c r="C4479">
        <v>96532330</v>
      </c>
      <c r="D4479">
        <v>2</v>
      </c>
      <c r="E4479">
        <v>30849044</v>
      </c>
      <c r="F4479" t="s">
        <v>635</v>
      </c>
      <c r="G4479" s="1">
        <v>45236</v>
      </c>
      <c r="H4479">
        <v>5411987</v>
      </c>
      <c r="I4479">
        <v>63</v>
      </c>
      <c r="J4479" t="s">
        <v>170</v>
      </c>
      <c r="K4479" s="8" t="str">
        <f>IFERROR(IF(AND(VLOOKUP($C4479,Hes!$A:$B, 1, FALSE), $M4479&lt;&gt;" "), "Ingresada", "Falta Ingresar"), " ")</f>
        <v>Falta Ingresar</v>
      </c>
      <c r="L4479" s="4" t="str">
        <f>IFERROR(VLOOKUP($C4479,Observaciones!$A:$B,2,FALSE)," ")</f>
        <v>VENDEDOR DEBE ENVIAR OC</v>
      </c>
      <c r="M4479" t="s">
        <v>681</v>
      </c>
      <c r="O4479" s="5">
        <v>30849044</v>
      </c>
      <c r="P4479" s="5">
        <v>1353866</v>
      </c>
      <c r="Q4479" s="5">
        <v>257235</v>
      </c>
      <c r="R4479" s="5">
        <v>1611101</v>
      </c>
    </row>
    <row r="4480" spans="1:18" x14ac:dyDescent="0.25">
      <c r="A4480" t="s">
        <v>503</v>
      </c>
      <c r="B4480" t="s">
        <v>494</v>
      </c>
      <c r="C4480">
        <v>96532330</v>
      </c>
      <c r="D4480">
        <v>3</v>
      </c>
      <c r="E4480">
        <v>30849265</v>
      </c>
      <c r="F4480" t="s">
        <v>635</v>
      </c>
      <c r="G4480" s="1">
        <v>45236</v>
      </c>
      <c r="H4480">
        <v>5411995</v>
      </c>
      <c r="I4480">
        <v>63</v>
      </c>
      <c r="J4480" t="s">
        <v>170</v>
      </c>
      <c r="K4480" s="8" t="str">
        <f>IFERROR(IF(AND(VLOOKUP($C4480,Hes!$A:$B, 1, FALSE), $M4480&lt;&gt;" "), "Ingresada", "Falta Ingresar"), " ")</f>
        <v>Falta Ingresar</v>
      </c>
      <c r="L4480" s="4" t="str">
        <f>IFERROR(VLOOKUP($C4480,Observaciones!$A:$B,2,FALSE)," ")</f>
        <v>VENDEDOR DEBE ENVIAR OC</v>
      </c>
      <c r="M4480" t="s">
        <v>681</v>
      </c>
      <c r="O4480" s="5">
        <v>30849265</v>
      </c>
      <c r="P4480" s="5">
        <v>119245</v>
      </c>
      <c r="Q4480" s="5">
        <v>22657</v>
      </c>
      <c r="R4480" s="5">
        <v>141902</v>
      </c>
    </row>
    <row r="4481" spans="1:18" x14ac:dyDescent="0.25">
      <c r="A4481" t="s">
        <v>503</v>
      </c>
      <c r="B4481" t="s">
        <v>494</v>
      </c>
      <c r="C4481">
        <v>96532330</v>
      </c>
      <c r="D4481">
        <v>5</v>
      </c>
      <c r="E4481">
        <v>30849638</v>
      </c>
      <c r="F4481" t="s">
        <v>635</v>
      </c>
      <c r="G4481" s="1">
        <v>45236</v>
      </c>
      <c r="H4481">
        <v>5411996</v>
      </c>
      <c r="I4481">
        <v>63</v>
      </c>
      <c r="J4481" t="s">
        <v>170</v>
      </c>
      <c r="K4481" s="8" t="str">
        <f>IFERROR(IF(AND(VLOOKUP($C4481,Hes!$A:$B, 1, FALSE), $M4481&lt;&gt;" "), "Ingresada", "Falta Ingresar"), " ")</f>
        <v>Falta Ingresar</v>
      </c>
      <c r="L4481" s="4" t="str">
        <f>IFERROR(VLOOKUP($C4481,Observaciones!$A:$B,2,FALSE)," ")</f>
        <v>VENDEDOR DEBE ENVIAR OC</v>
      </c>
      <c r="M4481" t="s">
        <v>681</v>
      </c>
      <c r="O4481" s="5">
        <v>30849638</v>
      </c>
      <c r="P4481" s="5">
        <v>563220</v>
      </c>
      <c r="Q4481" s="5">
        <v>107012</v>
      </c>
      <c r="R4481" s="5">
        <v>670232</v>
      </c>
    </row>
    <row r="4482" spans="1:18" x14ac:dyDescent="0.25">
      <c r="A4482" t="s">
        <v>503</v>
      </c>
      <c r="B4482" t="s">
        <v>494</v>
      </c>
      <c r="C4482">
        <v>96532330</v>
      </c>
      <c r="D4482">
        <v>3</v>
      </c>
      <c r="E4482">
        <v>30849163</v>
      </c>
      <c r="F4482" t="s">
        <v>635</v>
      </c>
      <c r="G4482" s="1">
        <v>45236</v>
      </c>
      <c r="H4482">
        <v>5411997</v>
      </c>
      <c r="I4482">
        <v>63</v>
      </c>
      <c r="J4482" t="s">
        <v>170</v>
      </c>
      <c r="K4482" s="8" t="str">
        <f>IFERROR(IF(AND(VLOOKUP($C4482,Hes!$A:$B, 1, FALSE), $M4482&lt;&gt;" "), "Ingresada", "Falta Ingresar"), " ")</f>
        <v>Falta Ingresar</v>
      </c>
      <c r="L4482" s="4" t="str">
        <f>IFERROR(VLOOKUP($C4482,Observaciones!$A:$B,2,FALSE)," ")</f>
        <v>VENDEDOR DEBE ENVIAR OC</v>
      </c>
      <c r="M4482" t="s">
        <v>681</v>
      </c>
      <c r="O4482" s="5">
        <v>30849163</v>
      </c>
      <c r="P4482" s="5">
        <v>26820</v>
      </c>
      <c r="Q4482" s="5">
        <v>5096</v>
      </c>
      <c r="R4482" s="5">
        <v>31916</v>
      </c>
    </row>
    <row r="4483" spans="1:18" x14ac:dyDescent="0.25">
      <c r="A4483" t="s">
        <v>503</v>
      </c>
      <c r="B4483" t="s">
        <v>494</v>
      </c>
      <c r="C4483">
        <v>96532330</v>
      </c>
      <c r="D4483">
        <v>5</v>
      </c>
      <c r="E4483">
        <v>30849665</v>
      </c>
      <c r="F4483" t="s">
        <v>635</v>
      </c>
      <c r="G4483" s="1">
        <v>45236</v>
      </c>
      <c r="H4483">
        <v>5411998</v>
      </c>
      <c r="I4483">
        <v>63</v>
      </c>
      <c r="J4483" t="s">
        <v>170</v>
      </c>
      <c r="K4483" s="8" t="str">
        <f>IFERROR(IF(AND(VLOOKUP($C4483,Hes!$A:$B, 1, FALSE), $M4483&lt;&gt;" "), "Ingresada", "Falta Ingresar"), " ")</f>
        <v>Falta Ingresar</v>
      </c>
      <c r="L4483" s="4" t="str">
        <f>IFERROR(VLOOKUP($C4483,Observaciones!$A:$B,2,FALSE)," ")</f>
        <v>VENDEDOR DEBE ENVIAR OC</v>
      </c>
      <c r="M4483" t="s">
        <v>681</v>
      </c>
      <c r="O4483" s="5">
        <v>30849665</v>
      </c>
      <c r="P4483" s="5">
        <v>24768</v>
      </c>
      <c r="Q4483" s="5">
        <v>4706</v>
      </c>
      <c r="R4483" s="5">
        <v>31951</v>
      </c>
    </row>
    <row r="4484" spans="1:18" x14ac:dyDescent="0.25">
      <c r="A4484" t="s">
        <v>503</v>
      </c>
      <c r="B4484" t="s">
        <v>494</v>
      </c>
      <c r="C4484">
        <v>96532330</v>
      </c>
      <c r="D4484">
        <v>5</v>
      </c>
      <c r="E4484">
        <v>30852540</v>
      </c>
      <c r="F4484" t="s">
        <v>635</v>
      </c>
      <c r="G4484" s="1">
        <v>45236</v>
      </c>
      <c r="H4484">
        <v>5412189</v>
      </c>
      <c r="I4484">
        <v>63</v>
      </c>
      <c r="J4484" t="s">
        <v>170</v>
      </c>
      <c r="K4484" s="8" t="str">
        <f>IFERROR(IF(AND(VLOOKUP($C4484,Hes!$A:$B, 1, FALSE), $M4484&lt;&gt;" "), "Ingresada", "Falta Ingresar"), " ")</f>
        <v>Falta Ingresar</v>
      </c>
      <c r="L4484" s="4" t="str">
        <f>IFERROR(VLOOKUP($C4484,Observaciones!$A:$B,2,FALSE)," ")</f>
        <v>VENDEDOR DEBE ENVIAR OC</v>
      </c>
      <c r="M4484" t="s">
        <v>681</v>
      </c>
      <c r="O4484" s="5">
        <v>30852540</v>
      </c>
      <c r="P4484" s="5">
        <v>264861</v>
      </c>
      <c r="Q4484" s="5">
        <v>50324</v>
      </c>
      <c r="R4484" s="5">
        <v>315185</v>
      </c>
    </row>
    <row r="4485" spans="1:18" x14ac:dyDescent="0.25">
      <c r="A4485" t="s">
        <v>503</v>
      </c>
      <c r="B4485" t="s">
        <v>494</v>
      </c>
      <c r="C4485">
        <v>96532330</v>
      </c>
      <c r="D4485">
        <v>2</v>
      </c>
      <c r="E4485">
        <v>30852479</v>
      </c>
      <c r="F4485" t="s">
        <v>635</v>
      </c>
      <c r="G4485" s="1">
        <v>45236</v>
      </c>
      <c r="H4485">
        <v>5412222</v>
      </c>
      <c r="I4485">
        <v>63</v>
      </c>
      <c r="J4485" t="s">
        <v>170</v>
      </c>
      <c r="K4485" s="8" t="str">
        <f>IFERROR(IF(AND(VLOOKUP($C4485,Hes!$A:$B, 1, FALSE), $M4485&lt;&gt;" "), "Ingresada", "Falta Ingresar"), " ")</f>
        <v>Falta Ingresar</v>
      </c>
      <c r="L4485" s="4" t="str">
        <f>IFERROR(VLOOKUP($C4485,Observaciones!$A:$B,2,FALSE)," ")</f>
        <v>VENDEDOR DEBE ENVIAR OC</v>
      </c>
      <c r="M4485" t="s">
        <v>681</v>
      </c>
      <c r="O4485" s="5">
        <v>30852479</v>
      </c>
      <c r="P4485" s="5">
        <v>404554</v>
      </c>
      <c r="Q4485" s="5">
        <v>76865</v>
      </c>
      <c r="R4485" s="5">
        <v>481419</v>
      </c>
    </row>
    <row r="4486" spans="1:18" x14ac:dyDescent="0.25">
      <c r="A4486" t="s">
        <v>503</v>
      </c>
      <c r="B4486" t="s">
        <v>494</v>
      </c>
      <c r="C4486">
        <v>96532330</v>
      </c>
      <c r="D4486">
        <v>2</v>
      </c>
      <c r="E4486">
        <v>30852479</v>
      </c>
      <c r="F4486" t="s">
        <v>635</v>
      </c>
      <c r="G4486" s="1">
        <v>45236</v>
      </c>
      <c r="H4486">
        <v>5412223</v>
      </c>
      <c r="I4486">
        <v>63</v>
      </c>
      <c r="J4486" t="s">
        <v>170</v>
      </c>
      <c r="K4486" s="8" t="str">
        <f>IFERROR(IF(AND(VLOOKUP($C4486,Hes!$A:$B, 1, FALSE), $M4486&lt;&gt;" "), "Ingresada", "Falta Ingresar"), " ")</f>
        <v>Falta Ingresar</v>
      </c>
      <c r="L4486" s="4" t="str">
        <f>IFERROR(VLOOKUP($C4486,Observaciones!$A:$B,2,FALSE)," ")</f>
        <v>VENDEDOR DEBE ENVIAR OC</v>
      </c>
      <c r="M4486" t="s">
        <v>681</v>
      </c>
      <c r="O4486" s="5">
        <v>30852479</v>
      </c>
      <c r="P4486" s="5">
        <v>103128</v>
      </c>
      <c r="Q4486" s="5">
        <v>19594</v>
      </c>
      <c r="R4486" s="5">
        <v>122722</v>
      </c>
    </row>
    <row r="4487" spans="1:18" x14ac:dyDescent="0.25">
      <c r="A4487" t="s">
        <v>503</v>
      </c>
      <c r="B4487" t="s">
        <v>494</v>
      </c>
      <c r="C4487">
        <v>96532330</v>
      </c>
      <c r="D4487">
        <v>2</v>
      </c>
      <c r="E4487">
        <v>30849070</v>
      </c>
      <c r="F4487" t="s">
        <v>635</v>
      </c>
      <c r="G4487" s="1">
        <v>45236</v>
      </c>
      <c r="H4487">
        <v>5412274</v>
      </c>
      <c r="I4487">
        <v>63</v>
      </c>
      <c r="J4487" t="s">
        <v>170</v>
      </c>
      <c r="K4487" s="8" t="str">
        <f>IFERROR(IF(AND(VLOOKUP($C4487,Hes!$A:$B, 1, FALSE), $M4487&lt;&gt;" "), "Ingresada", "Falta Ingresar"), " ")</f>
        <v>Falta Ingresar</v>
      </c>
      <c r="L4487" s="4" t="str">
        <f>IFERROR(VLOOKUP($C4487,Observaciones!$A:$B,2,FALSE)," ")</f>
        <v>VENDEDOR DEBE ENVIAR OC</v>
      </c>
      <c r="M4487" t="s">
        <v>681</v>
      </c>
      <c r="O4487" s="5">
        <v>30849070</v>
      </c>
      <c r="P4487" s="5">
        <v>553596</v>
      </c>
      <c r="Q4487" s="5">
        <v>105183</v>
      </c>
      <c r="R4487" s="5">
        <v>658779</v>
      </c>
    </row>
    <row r="4488" spans="1:18" x14ac:dyDescent="0.25">
      <c r="A4488" t="s">
        <v>503</v>
      </c>
      <c r="B4488" t="s">
        <v>494</v>
      </c>
      <c r="C4488">
        <v>96532330</v>
      </c>
      <c r="D4488">
        <v>3</v>
      </c>
      <c r="E4488">
        <v>30849201</v>
      </c>
      <c r="F4488" t="s">
        <v>635</v>
      </c>
      <c r="G4488" s="1">
        <v>45236</v>
      </c>
      <c r="H4488">
        <v>5412277</v>
      </c>
      <c r="I4488">
        <v>63</v>
      </c>
      <c r="J4488" t="s">
        <v>170</v>
      </c>
      <c r="K4488" s="8" t="str">
        <f>IFERROR(IF(AND(VLOOKUP($C4488,Hes!$A:$B, 1, FALSE), $M4488&lt;&gt;" "), "Ingresada", "Falta Ingresar"), " ")</f>
        <v>Falta Ingresar</v>
      </c>
      <c r="L4488" s="4" t="str">
        <f>IFERROR(VLOOKUP($C4488,Observaciones!$A:$B,2,FALSE)," ")</f>
        <v>VENDEDOR DEBE ENVIAR OC</v>
      </c>
      <c r="M4488" t="s">
        <v>681</v>
      </c>
      <c r="O4488" s="5">
        <v>30849201</v>
      </c>
      <c r="P4488" s="5">
        <v>82100</v>
      </c>
      <c r="Q4488" s="5">
        <v>15599</v>
      </c>
      <c r="R4488" s="5">
        <v>97699</v>
      </c>
    </row>
    <row r="4489" spans="1:18" x14ac:dyDescent="0.25">
      <c r="A4489" t="s">
        <v>503</v>
      </c>
      <c r="B4489" t="s">
        <v>494</v>
      </c>
      <c r="C4489">
        <v>96532330</v>
      </c>
      <c r="D4489">
        <v>5</v>
      </c>
      <c r="E4489">
        <v>30851688</v>
      </c>
      <c r="F4489" t="s">
        <v>635</v>
      </c>
      <c r="G4489" s="1">
        <v>45236</v>
      </c>
      <c r="H4489">
        <v>5413058</v>
      </c>
      <c r="I4489">
        <v>63</v>
      </c>
      <c r="J4489" t="s">
        <v>170</v>
      </c>
      <c r="K4489" s="8" t="str">
        <f>IFERROR(IF(AND(VLOOKUP($C4489,Hes!$A:$B, 1, FALSE), $M4489&lt;&gt;" "), "Ingresada", "Falta Ingresar"), " ")</f>
        <v>Falta Ingresar</v>
      </c>
      <c r="L4489" s="4" t="str">
        <f>IFERROR(VLOOKUP($C4489,Observaciones!$A:$B,2,FALSE)," ")</f>
        <v>VENDEDOR DEBE ENVIAR OC</v>
      </c>
      <c r="M4489" t="s">
        <v>681</v>
      </c>
      <c r="O4489" s="5">
        <v>30851688</v>
      </c>
      <c r="P4489" s="5">
        <v>58038</v>
      </c>
      <c r="Q4489" s="5">
        <v>11027</v>
      </c>
      <c r="R4489" s="5">
        <v>69065</v>
      </c>
    </row>
    <row r="4490" spans="1:18" x14ac:dyDescent="0.25">
      <c r="F4490" t="s">
        <v>544</v>
      </c>
      <c r="K4490" t="str">
        <f>IFERROR(IF(AND(VLOOKUP($C4490,Hes!$A:$B, 1, FALSE), $M4490&lt;&gt;" "), "Ingresada", "Falta Ingresar"), " ")</f>
        <v xml:space="preserve"> </v>
      </c>
      <c r="L4490" s="4" t="str">
        <f>IFERROR(VLOOKUP($C4490,Observaciones!$A:$B,2,FALSE)," ")</f>
        <v xml:space="preserve"> </v>
      </c>
      <c r="M4490" t="s">
        <v>681</v>
      </c>
      <c r="P4490" s="5">
        <v>3784428</v>
      </c>
      <c r="Q4490" s="5">
        <v>719042</v>
      </c>
      <c r="R4490" s="5">
        <v>4505947</v>
      </c>
    </row>
    <row r="4491" spans="1:18" x14ac:dyDescent="0.25">
      <c r="A4491" t="s">
        <v>501</v>
      </c>
      <c r="B4491" t="s">
        <v>494</v>
      </c>
      <c r="C4491">
        <v>96538460</v>
      </c>
      <c r="D4491">
        <v>9</v>
      </c>
      <c r="E4491">
        <v>30845399</v>
      </c>
      <c r="F4491" t="s">
        <v>1656</v>
      </c>
      <c r="G4491" s="1">
        <v>45231</v>
      </c>
      <c r="H4491">
        <v>5410637</v>
      </c>
      <c r="I4491">
        <v>72</v>
      </c>
      <c r="J4491" t="s">
        <v>176</v>
      </c>
      <c r="K4491" t="str">
        <f>IFERROR(IF(AND(VLOOKUP($C4491,Hes!$A:$B, 1, FALSE), $M4491&lt;&gt;" "), "Ingresada", "Falta Ingresar"), " ")</f>
        <v xml:space="preserve"> </v>
      </c>
      <c r="L4491" s="4" t="str">
        <f>IFERROR(VLOOKUP($C4491,Observaciones!$A:$B,2,FALSE)," ")</f>
        <v xml:space="preserve"> </v>
      </c>
      <c r="M4491" t="s">
        <v>681</v>
      </c>
      <c r="O4491" s="5">
        <v>30845399</v>
      </c>
      <c r="P4491" s="5">
        <v>70055</v>
      </c>
      <c r="Q4491" s="5">
        <v>13310</v>
      </c>
      <c r="R4491" s="5">
        <v>83365</v>
      </c>
    </row>
    <row r="4492" spans="1:18" x14ac:dyDescent="0.25">
      <c r="A4492" t="s">
        <v>501</v>
      </c>
      <c r="B4492" t="s">
        <v>494</v>
      </c>
      <c r="C4492">
        <v>96538460</v>
      </c>
      <c r="D4492">
        <v>70</v>
      </c>
      <c r="E4492">
        <v>30847536</v>
      </c>
      <c r="F4492" t="s">
        <v>1656</v>
      </c>
      <c r="G4492" s="1">
        <v>45232</v>
      </c>
      <c r="H4492">
        <v>5411132</v>
      </c>
      <c r="I4492">
        <v>72</v>
      </c>
      <c r="J4492" t="s">
        <v>176</v>
      </c>
      <c r="K4492" t="str">
        <f>IFERROR(IF(AND(VLOOKUP($C4492,Hes!$A:$B, 1, FALSE), $M4492&lt;&gt;" "), "Ingresada", "Falta Ingresar"), " ")</f>
        <v xml:space="preserve"> </v>
      </c>
      <c r="L4492" s="4" t="str">
        <f>IFERROR(VLOOKUP($C4492,Observaciones!$A:$B,2,FALSE)," ")</f>
        <v xml:space="preserve"> </v>
      </c>
      <c r="M4492" t="s">
        <v>681</v>
      </c>
      <c r="O4492" s="5">
        <v>30847536</v>
      </c>
      <c r="P4492" s="5">
        <v>123213</v>
      </c>
      <c r="Q4492" s="5">
        <v>23410</v>
      </c>
      <c r="R4492" s="5">
        <v>147314</v>
      </c>
    </row>
    <row r="4493" spans="1:18" x14ac:dyDescent="0.25">
      <c r="A4493" t="s">
        <v>501</v>
      </c>
      <c r="B4493" t="s">
        <v>494</v>
      </c>
      <c r="C4493">
        <v>96538460</v>
      </c>
      <c r="D4493">
        <v>70</v>
      </c>
      <c r="E4493">
        <v>30847536</v>
      </c>
      <c r="F4493" t="s">
        <v>1656</v>
      </c>
      <c r="G4493" s="1">
        <v>45232</v>
      </c>
      <c r="H4493">
        <v>5411133</v>
      </c>
      <c r="I4493">
        <v>72</v>
      </c>
      <c r="J4493" t="s">
        <v>176</v>
      </c>
      <c r="K4493" t="str">
        <f>IFERROR(IF(AND(VLOOKUP($C4493,Hes!$A:$B, 1, FALSE), $M4493&lt;&gt;" "), "Ingresada", "Falta Ingresar"), " ")</f>
        <v xml:space="preserve"> </v>
      </c>
      <c r="L4493" s="4" t="str">
        <f>IFERROR(VLOOKUP($C4493,Observaciones!$A:$B,2,FALSE)," ")</f>
        <v xml:space="preserve"> </v>
      </c>
      <c r="M4493" t="s">
        <v>681</v>
      </c>
      <c r="O4493" s="5">
        <v>30847536</v>
      </c>
      <c r="P4493" s="5">
        <v>6882</v>
      </c>
      <c r="Q4493" s="5">
        <v>1308</v>
      </c>
      <c r="R4493" s="5">
        <v>8190</v>
      </c>
    </row>
    <row r="4494" spans="1:18" x14ac:dyDescent="0.25">
      <c r="A4494" t="s">
        <v>501</v>
      </c>
      <c r="B4494" t="s">
        <v>494</v>
      </c>
      <c r="C4494">
        <v>96538460</v>
      </c>
      <c r="D4494">
        <v>0</v>
      </c>
      <c r="E4494">
        <v>30848167</v>
      </c>
      <c r="F4494" t="s">
        <v>1656</v>
      </c>
      <c r="G4494" s="1">
        <v>45232</v>
      </c>
      <c r="H4494">
        <v>5411161</v>
      </c>
      <c r="I4494">
        <v>72</v>
      </c>
      <c r="J4494" t="s">
        <v>176</v>
      </c>
      <c r="K4494" t="str">
        <f>IFERROR(IF(AND(VLOOKUP($C4494,Hes!$A:$B, 1, FALSE), $M4494&lt;&gt;" "), "Ingresada", "Falta Ingresar"), " ")</f>
        <v xml:space="preserve"> </v>
      </c>
      <c r="L4494" s="4" t="str">
        <f>IFERROR(VLOOKUP($C4494,Observaciones!$A:$B,2,FALSE)," ")</f>
        <v xml:space="preserve"> </v>
      </c>
      <c r="M4494" t="s">
        <v>681</v>
      </c>
      <c r="O4494" s="5">
        <v>30848167</v>
      </c>
      <c r="P4494" s="5">
        <v>83585</v>
      </c>
      <c r="Q4494" s="5">
        <v>15881</v>
      </c>
      <c r="R4494" s="5">
        <v>99466</v>
      </c>
    </row>
    <row r="4495" spans="1:18" x14ac:dyDescent="0.25">
      <c r="A4495" t="s">
        <v>501</v>
      </c>
      <c r="B4495" t="s">
        <v>494</v>
      </c>
      <c r="C4495">
        <v>96538460</v>
      </c>
      <c r="D4495">
        <v>46</v>
      </c>
      <c r="E4495">
        <v>30849675</v>
      </c>
      <c r="F4495" t="s">
        <v>1656</v>
      </c>
      <c r="G4495" s="1">
        <v>45233</v>
      </c>
      <c r="H4495">
        <v>5411368</v>
      </c>
      <c r="I4495">
        <v>72</v>
      </c>
      <c r="J4495" t="s">
        <v>176</v>
      </c>
      <c r="K4495" t="str">
        <f>IFERROR(IF(AND(VLOOKUP($C4495,Hes!$A:$B, 1, FALSE), $M4495&lt;&gt;" "), "Ingresada", "Falta Ingresar"), " ")</f>
        <v xml:space="preserve"> </v>
      </c>
      <c r="L4495" s="4" t="str">
        <f>IFERROR(VLOOKUP($C4495,Observaciones!$A:$B,2,FALSE)," ")</f>
        <v xml:space="preserve"> </v>
      </c>
      <c r="M4495" t="s">
        <v>681</v>
      </c>
      <c r="O4495" s="5">
        <v>30849675</v>
      </c>
      <c r="P4495" s="5">
        <v>61840</v>
      </c>
      <c r="Q4495" s="5">
        <v>11750</v>
      </c>
      <c r="R4495" s="5">
        <v>73590</v>
      </c>
    </row>
    <row r="4496" spans="1:18" x14ac:dyDescent="0.25">
      <c r="A4496" t="s">
        <v>501</v>
      </c>
      <c r="B4496" t="s">
        <v>494</v>
      </c>
      <c r="C4496">
        <v>96538460</v>
      </c>
      <c r="D4496">
        <v>23</v>
      </c>
      <c r="E4496">
        <v>30849965</v>
      </c>
      <c r="F4496" t="s">
        <v>1656</v>
      </c>
      <c r="G4496" s="1">
        <v>45236</v>
      </c>
      <c r="H4496">
        <v>5411969</v>
      </c>
      <c r="I4496">
        <v>72</v>
      </c>
      <c r="J4496" t="s">
        <v>176</v>
      </c>
      <c r="K4496" t="str">
        <f>IFERROR(IF(AND(VLOOKUP($C4496,Hes!$A:$B, 1, FALSE), $M4496&lt;&gt;" "), "Ingresada", "Falta Ingresar"), " ")</f>
        <v xml:space="preserve"> </v>
      </c>
      <c r="L4496" s="4" t="str">
        <f>IFERROR(VLOOKUP($C4496,Observaciones!$A:$B,2,FALSE)," ")</f>
        <v xml:space="preserve"> </v>
      </c>
      <c r="M4496" t="s">
        <v>681</v>
      </c>
      <c r="O4496" s="5">
        <v>30849965</v>
      </c>
      <c r="P4496" s="5">
        <v>99963</v>
      </c>
      <c r="Q4496" s="5">
        <v>18993</v>
      </c>
      <c r="R4496" s="5">
        <v>118956</v>
      </c>
    </row>
    <row r="4497" spans="1:18" x14ac:dyDescent="0.25">
      <c r="A4497" t="s">
        <v>501</v>
      </c>
      <c r="B4497" t="s">
        <v>494</v>
      </c>
      <c r="C4497">
        <v>96538460</v>
      </c>
      <c r="D4497">
        <v>4</v>
      </c>
      <c r="E4497">
        <v>30851718</v>
      </c>
      <c r="F4497" t="s">
        <v>1656</v>
      </c>
      <c r="G4497" s="1">
        <v>45234</v>
      </c>
      <c r="H4497">
        <v>5412075</v>
      </c>
      <c r="I4497">
        <v>72</v>
      </c>
      <c r="J4497" t="s">
        <v>176</v>
      </c>
      <c r="K4497" t="str">
        <f>IFERROR(IF(AND(VLOOKUP($C4497,Hes!$A:$B, 1, FALSE), $M4497&lt;&gt;" "), "Ingresada", "Falta Ingresar"), " ")</f>
        <v xml:space="preserve"> </v>
      </c>
      <c r="L4497" s="4" t="str">
        <f>IFERROR(VLOOKUP($C4497,Observaciones!$A:$B,2,FALSE)," ")</f>
        <v xml:space="preserve"> </v>
      </c>
      <c r="M4497" t="s">
        <v>681</v>
      </c>
      <c r="O4497" s="5">
        <v>30851718</v>
      </c>
      <c r="P4497" s="5">
        <v>149884</v>
      </c>
      <c r="Q4497" s="5">
        <v>28478</v>
      </c>
      <c r="R4497" s="5">
        <v>178362</v>
      </c>
    </row>
    <row r="4498" spans="1:18" x14ac:dyDescent="0.25">
      <c r="A4498" t="s">
        <v>501</v>
      </c>
      <c r="B4498" t="s">
        <v>494</v>
      </c>
      <c r="C4498">
        <v>96538460</v>
      </c>
      <c r="D4498">
        <v>8</v>
      </c>
      <c r="E4498">
        <v>30852897</v>
      </c>
      <c r="F4498" t="s">
        <v>1656</v>
      </c>
      <c r="G4498" s="1">
        <v>45236</v>
      </c>
      <c r="H4498">
        <v>5412596</v>
      </c>
      <c r="I4498">
        <v>72</v>
      </c>
      <c r="J4498" t="s">
        <v>176</v>
      </c>
      <c r="K4498" t="str">
        <f>IFERROR(IF(AND(VLOOKUP($C4498,Hes!$A:$B, 1, FALSE), $M4498&lt;&gt;" "), "Ingresada", "Falta Ingresar"), " ")</f>
        <v xml:space="preserve"> </v>
      </c>
      <c r="L4498" s="4" t="str">
        <f>IFERROR(VLOOKUP($C4498,Observaciones!$A:$B,2,FALSE)," ")</f>
        <v xml:space="preserve"> </v>
      </c>
      <c r="M4498" t="s">
        <v>681</v>
      </c>
      <c r="O4498" s="5">
        <v>30852897</v>
      </c>
      <c r="P4498" s="5">
        <v>79555</v>
      </c>
      <c r="Q4498" s="5">
        <v>15115</v>
      </c>
      <c r="R4498" s="5">
        <v>94670</v>
      </c>
    </row>
    <row r="4499" spans="1:18" x14ac:dyDescent="0.25">
      <c r="A4499" t="s">
        <v>501</v>
      </c>
      <c r="B4499" t="s">
        <v>494</v>
      </c>
      <c r="C4499">
        <v>96538460</v>
      </c>
      <c r="D4499">
        <v>29</v>
      </c>
      <c r="E4499">
        <v>30850081</v>
      </c>
      <c r="F4499" t="s">
        <v>1656</v>
      </c>
      <c r="G4499" s="1">
        <v>45236</v>
      </c>
      <c r="H4499">
        <v>5412703</v>
      </c>
      <c r="I4499">
        <v>72</v>
      </c>
      <c r="J4499" t="s">
        <v>176</v>
      </c>
      <c r="K4499" t="str">
        <f>IFERROR(IF(AND(VLOOKUP($C4499,Hes!$A:$B, 1, FALSE), $M4499&lt;&gt;" "), "Ingresada", "Falta Ingresar"), " ")</f>
        <v xml:space="preserve"> </v>
      </c>
      <c r="L4499" s="4" t="str">
        <f>IFERROR(VLOOKUP($C4499,Observaciones!$A:$B,2,FALSE)," ")</f>
        <v xml:space="preserve"> </v>
      </c>
      <c r="M4499" t="s">
        <v>681</v>
      </c>
      <c r="O4499" s="5">
        <v>30850081</v>
      </c>
      <c r="P4499" s="5">
        <v>71006</v>
      </c>
      <c r="Q4499" s="5">
        <v>13491</v>
      </c>
      <c r="R4499" s="5">
        <v>84497</v>
      </c>
    </row>
    <row r="4500" spans="1:18" x14ac:dyDescent="0.25">
      <c r="A4500" t="s">
        <v>501</v>
      </c>
      <c r="B4500" t="s">
        <v>494</v>
      </c>
      <c r="C4500">
        <v>96538460</v>
      </c>
      <c r="D4500">
        <v>10</v>
      </c>
      <c r="E4500">
        <v>30854994</v>
      </c>
      <c r="F4500" t="s">
        <v>1656</v>
      </c>
      <c r="G4500" s="1">
        <v>45236</v>
      </c>
      <c r="H4500">
        <v>5412933</v>
      </c>
      <c r="I4500">
        <v>72</v>
      </c>
      <c r="J4500" t="s">
        <v>176</v>
      </c>
      <c r="K4500" t="str">
        <f>IFERROR(IF(AND(VLOOKUP($C4500,Hes!$A:$B, 1, FALSE), $M4500&lt;&gt;" "), "Ingresada", "Falta Ingresar"), " ")</f>
        <v xml:space="preserve"> </v>
      </c>
      <c r="L4500" s="4" t="str">
        <f>IFERROR(VLOOKUP($C4500,Observaciones!$A:$B,2,FALSE)," ")</f>
        <v xml:space="preserve"> </v>
      </c>
      <c r="M4500" t="s">
        <v>681</v>
      </c>
      <c r="O4500" s="5">
        <v>30854994</v>
      </c>
      <c r="P4500" s="5">
        <v>147877</v>
      </c>
      <c r="Q4500" s="5">
        <v>28097</v>
      </c>
      <c r="R4500" s="5">
        <v>176708</v>
      </c>
    </row>
    <row r="4501" spans="1:18" x14ac:dyDescent="0.25">
      <c r="A4501" t="s">
        <v>501</v>
      </c>
      <c r="B4501" t="s">
        <v>494</v>
      </c>
      <c r="C4501">
        <v>96538460</v>
      </c>
      <c r="D4501">
        <v>64</v>
      </c>
      <c r="E4501">
        <v>30849488</v>
      </c>
      <c r="F4501" t="s">
        <v>1656</v>
      </c>
      <c r="G4501" s="1">
        <v>45236</v>
      </c>
      <c r="H4501">
        <v>5413159</v>
      </c>
      <c r="I4501">
        <v>72</v>
      </c>
      <c r="J4501" t="s">
        <v>176</v>
      </c>
      <c r="K4501" t="str">
        <f>IFERROR(IF(AND(VLOOKUP($C4501,Hes!$A:$B, 1, FALSE), $M4501&lt;&gt;" "), "Ingresada", "Falta Ingresar"), " ")</f>
        <v xml:space="preserve"> </v>
      </c>
      <c r="L4501" s="4" t="str">
        <f>IFERROR(VLOOKUP($C4501,Observaciones!$A:$B,2,FALSE)," ")</f>
        <v xml:space="preserve"> </v>
      </c>
      <c r="M4501" t="s">
        <v>681</v>
      </c>
      <c r="O4501" s="5">
        <v>30849488</v>
      </c>
      <c r="P4501" s="5">
        <v>292004</v>
      </c>
      <c r="Q4501" s="5">
        <v>55481</v>
      </c>
      <c r="R4501" s="5">
        <v>347485</v>
      </c>
    </row>
    <row r="4502" spans="1:18" x14ac:dyDescent="0.25">
      <c r="A4502" t="s">
        <v>501</v>
      </c>
      <c r="B4502" t="s">
        <v>494</v>
      </c>
      <c r="C4502">
        <v>96538460</v>
      </c>
      <c r="D4502">
        <v>0</v>
      </c>
      <c r="E4502">
        <v>30857104</v>
      </c>
      <c r="F4502" t="s">
        <v>1656</v>
      </c>
      <c r="G4502" s="1">
        <v>45236</v>
      </c>
      <c r="H4502">
        <v>5413321</v>
      </c>
      <c r="I4502">
        <v>72</v>
      </c>
      <c r="J4502" t="s">
        <v>176</v>
      </c>
      <c r="K4502" t="str">
        <f>IFERROR(IF(AND(VLOOKUP($C4502,Hes!$A:$B, 1, FALSE), $M4502&lt;&gt;" "), "Ingresada", "Falta Ingresar"), " ")</f>
        <v xml:space="preserve"> </v>
      </c>
      <c r="L4502" s="4" t="str">
        <f>IFERROR(VLOOKUP($C4502,Observaciones!$A:$B,2,FALSE)," ")</f>
        <v xml:space="preserve"> </v>
      </c>
      <c r="M4502" t="s">
        <v>681</v>
      </c>
      <c r="O4502" s="5">
        <v>30857104</v>
      </c>
      <c r="P4502" s="5">
        <v>56300</v>
      </c>
      <c r="Q4502" s="5">
        <v>10697</v>
      </c>
      <c r="R4502" s="5">
        <v>66997</v>
      </c>
    </row>
    <row r="4503" spans="1:18" x14ac:dyDescent="0.25">
      <c r="A4503" t="s">
        <v>501</v>
      </c>
      <c r="B4503" t="s">
        <v>494</v>
      </c>
      <c r="C4503">
        <v>96538460</v>
      </c>
      <c r="D4503">
        <v>43</v>
      </c>
      <c r="E4503">
        <v>30852902</v>
      </c>
      <c r="F4503" t="s">
        <v>1656</v>
      </c>
      <c r="G4503" s="1">
        <v>45236</v>
      </c>
      <c r="H4503">
        <v>5413370</v>
      </c>
      <c r="I4503">
        <v>72</v>
      </c>
      <c r="J4503" t="s">
        <v>176</v>
      </c>
      <c r="K4503" t="str">
        <f>IFERROR(IF(AND(VLOOKUP($C4503,Hes!$A:$B, 1, FALSE), $M4503&lt;&gt;" "), "Ingresada", "Falta Ingresar"), " ")</f>
        <v xml:space="preserve"> </v>
      </c>
      <c r="L4503" s="4" t="str">
        <f>IFERROR(VLOOKUP($C4503,Observaciones!$A:$B,2,FALSE)," ")</f>
        <v xml:space="preserve"> </v>
      </c>
      <c r="M4503" t="s">
        <v>681</v>
      </c>
      <c r="O4503" s="5">
        <v>30852902</v>
      </c>
      <c r="P4503" s="5">
        <v>94707</v>
      </c>
      <c r="Q4503" s="5">
        <v>17994</v>
      </c>
      <c r="R4503" s="5">
        <v>112701</v>
      </c>
    </row>
    <row r="4504" spans="1:18" x14ac:dyDescent="0.25">
      <c r="A4504" t="s">
        <v>501</v>
      </c>
      <c r="B4504" t="s">
        <v>494</v>
      </c>
      <c r="C4504">
        <v>96538460</v>
      </c>
      <c r="D4504">
        <v>30</v>
      </c>
      <c r="E4504">
        <v>30853787</v>
      </c>
      <c r="F4504" t="s">
        <v>1656</v>
      </c>
      <c r="G4504" s="1">
        <v>45236</v>
      </c>
      <c r="H4504">
        <v>5413520</v>
      </c>
      <c r="I4504">
        <v>72</v>
      </c>
      <c r="J4504" t="s">
        <v>176</v>
      </c>
      <c r="K4504" t="str">
        <f>IFERROR(IF(AND(VLOOKUP($C4504,Hes!$A:$B, 1, FALSE), $M4504&lt;&gt;" "), "Ingresada", "Falta Ingresar"), " ")</f>
        <v xml:space="preserve"> </v>
      </c>
      <c r="L4504" s="4" t="str">
        <f>IFERROR(VLOOKUP($C4504,Observaciones!$A:$B,2,FALSE)," ")</f>
        <v xml:space="preserve"> </v>
      </c>
      <c r="M4504" t="s">
        <v>681</v>
      </c>
      <c r="O4504" s="5">
        <v>30853787</v>
      </c>
      <c r="P4504" s="5">
        <v>79971</v>
      </c>
      <c r="Q4504" s="5">
        <v>15194</v>
      </c>
      <c r="R4504" s="5">
        <v>95165</v>
      </c>
    </row>
    <row r="4505" spans="1:18" x14ac:dyDescent="0.25">
      <c r="A4505" t="s">
        <v>501</v>
      </c>
      <c r="B4505" t="s">
        <v>494</v>
      </c>
      <c r="C4505">
        <v>96538460</v>
      </c>
      <c r="D4505">
        <v>0</v>
      </c>
      <c r="E4505">
        <v>30855089</v>
      </c>
      <c r="F4505" t="s">
        <v>1656</v>
      </c>
      <c r="G4505" s="1">
        <v>45236</v>
      </c>
      <c r="H4505">
        <v>5413679</v>
      </c>
      <c r="I4505">
        <v>72</v>
      </c>
      <c r="J4505" t="s">
        <v>176</v>
      </c>
      <c r="K4505" t="str">
        <f>IFERROR(IF(AND(VLOOKUP($C4505,Hes!$A:$B, 1, FALSE), $M4505&lt;&gt;" "), "Ingresada", "Falta Ingresar"), " ")</f>
        <v xml:space="preserve"> </v>
      </c>
      <c r="L4505" s="4" t="str">
        <f>IFERROR(VLOOKUP($C4505,Observaciones!$A:$B,2,FALSE)," ")</f>
        <v xml:space="preserve"> </v>
      </c>
      <c r="M4505" t="s">
        <v>681</v>
      </c>
      <c r="O4505" s="5">
        <v>30855089</v>
      </c>
      <c r="P4505" s="5">
        <v>701948</v>
      </c>
      <c r="Q4505" s="5">
        <v>133370</v>
      </c>
      <c r="R4505" s="5">
        <v>835318</v>
      </c>
    </row>
    <row r="4506" spans="1:18" x14ac:dyDescent="0.25">
      <c r="A4506" t="s">
        <v>501</v>
      </c>
      <c r="B4506" t="s">
        <v>494</v>
      </c>
      <c r="C4506">
        <v>96538460</v>
      </c>
      <c r="D4506">
        <v>12</v>
      </c>
      <c r="E4506">
        <v>30859444</v>
      </c>
      <c r="F4506" t="s">
        <v>1656</v>
      </c>
      <c r="G4506" s="1">
        <v>45237</v>
      </c>
      <c r="H4506">
        <v>5414223</v>
      </c>
      <c r="I4506">
        <v>72</v>
      </c>
      <c r="J4506" t="s">
        <v>176</v>
      </c>
      <c r="K4506" t="str">
        <f>IFERROR(IF(AND(VLOOKUP($C4506,Hes!$A:$B, 1, FALSE), $M4506&lt;&gt;" "), "Ingresada", "Falta Ingresar"), " ")</f>
        <v xml:space="preserve"> </v>
      </c>
      <c r="L4506" s="4" t="str">
        <f>IFERROR(VLOOKUP($C4506,Observaciones!$A:$B,2,FALSE)," ")</f>
        <v xml:space="preserve"> </v>
      </c>
      <c r="M4506" t="s">
        <v>681</v>
      </c>
      <c r="O4506" s="5">
        <v>30859444</v>
      </c>
      <c r="P4506" s="5">
        <v>60492</v>
      </c>
      <c r="Q4506" s="5">
        <v>11493</v>
      </c>
      <c r="R4506" s="5">
        <v>71985</v>
      </c>
    </row>
    <row r="4507" spans="1:18" x14ac:dyDescent="0.25">
      <c r="A4507" t="s">
        <v>501</v>
      </c>
      <c r="B4507" t="s">
        <v>494</v>
      </c>
      <c r="C4507">
        <v>96538460</v>
      </c>
      <c r="D4507">
        <v>66</v>
      </c>
      <c r="E4507">
        <v>30861784</v>
      </c>
      <c r="F4507" t="s">
        <v>1656</v>
      </c>
      <c r="G4507" s="1">
        <v>45238</v>
      </c>
      <c r="H4507">
        <v>5415193</v>
      </c>
      <c r="I4507">
        <v>72</v>
      </c>
      <c r="J4507" t="s">
        <v>176</v>
      </c>
      <c r="K4507" t="str">
        <f>IFERROR(IF(AND(VLOOKUP($C4507,Hes!$A:$B, 1, FALSE), $M4507&lt;&gt;" "), "Ingresada", "Falta Ingresar"), " ")</f>
        <v xml:space="preserve"> </v>
      </c>
      <c r="L4507" s="4" t="str">
        <f>IFERROR(VLOOKUP($C4507,Observaciones!$A:$B,2,FALSE)," ")</f>
        <v xml:space="preserve"> </v>
      </c>
      <c r="M4507" t="s">
        <v>681</v>
      </c>
      <c r="O4507" s="5">
        <v>30861784</v>
      </c>
      <c r="P4507" s="5">
        <v>64360</v>
      </c>
      <c r="Q4507" s="5">
        <v>12228</v>
      </c>
      <c r="R4507" s="5">
        <v>76588</v>
      </c>
    </row>
    <row r="4508" spans="1:18" x14ac:dyDescent="0.25">
      <c r="F4508" t="s">
        <v>567</v>
      </c>
      <c r="K4508" t="str">
        <f>IFERROR(IF(AND(VLOOKUP($C4508,Hes!$A:$B, 1, FALSE), $M4508&lt;&gt;" "), "Ingresada", "Falta Ingresar"), " ")</f>
        <v xml:space="preserve"> </v>
      </c>
      <c r="L4508" s="4" t="str">
        <f>IFERROR(VLOOKUP($C4508,Observaciones!$A:$B,2,FALSE)," ")</f>
        <v xml:space="preserve"> </v>
      </c>
      <c r="M4508" t="s">
        <v>681</v>
      </c>
      <c r="P4508" s="5">
        <v>2243642</v>
      </c>
      <c r="Q4508" s="5">
        <v>426290</v>
      </c>
      <c r="R4508" s="5">
        <v>2671357</v>
      </c>
    </row>
    <row r="4509" spans="1:18" x14ac:dyDescent="0.25">
      <c r="A4509" t="s">
        <v>522</v>
      </c>
      <c r="B4509" t="s">
        <v>494</v>
      </c>
      <c r="C4509">
        <v>96542490</v>
      </c>
      <c r="D4509">
        <v>2</v>
      </c>
      <c r="E4509">
        <v>92849</v>
      </c>
      <c r="F4509" t="s">
        <v>1657</v>
      </c>
      <c r="G4509" s="1">
        <v>45232</v>
      </c>
      <c r="H4509">
        <v>5410684</v>
      </c>
      <c r="I4509">
        <v>25</v>
      </c>
      <c r="J4509" t="s">
        <v>323</v>
      </c>
      <c r="K4509" t="str">
        <f>IFERROR(IF(AND(VLOOKUP($C4509,Hes!$A:$B, 1, FALSE), $M4509&lt;&gt;" "), "Ingresada", "Falta Ingresar"), " ")</f>
        <v xml:space="preserve"> </v>
      </c>
      <c r="L4509" s="4" t="str">
        <f>IFERROR(VLOOKUP($C4509,Observaciones!$A:$B,2,FALSE)," ")</f>
        <v xml:space="preserve"> </v>
      </c>
      <c r="M4509" t="s">
        <v>681</v>
      </c>
      <c r="O4509" s="5">
        <v>30842329</v>
      </c>
      <c r="P4509" s="5">
        <v>21995</v>
      </c>
      <c r="Q4509" s="5">
        <v>4179</v>
      </c>
      <c r="R4509" s="5">
        <v>26174</v>
      </c>
    </row>
    <row r="4510" spans="1:18" x14ac:dyDescent="0.25">
      <c r="A4510" t="s">
        <v>522</v>
      </c>
      <c r="B4510" t="s">
        <v>494</v>
      </c>
      <c r="C4510">
        <v>96542490</v>
      </c>
      <c r="D4510">
        <v>2</v>
      </c>
      <c r="E4510">
        <v>92850</v>
      </c>
      <c r="F4510" t="s">
        <v>1657</v>
      </c>
      <c r="G4510" s="1">
        <v>45232</v>
      </c>
      <c r="H4510">
        <v>5410692</v>
      </c>
      <c r="I4510">
        <v>25</v>
      </c>
      <c r="J4510" t="s">
        <v>323</v>
      </c>
      <c r="K4510" t="str">
        <f>IFERROR(IF(AND(VLOOKUP($C4510,Hes!$A:$B, 1, FALSE), $M4510&lt;&gt;" "), "Ingresada", "Falta Ingresar"), " ")</f>
        <v xml:space="preserve"> </v>
      </c>
      <c r="L4510" s="4" t="str">
        <f>IFERROR(VLOOKUP($C4510,Observaciones!$A:$B,2,FALSE)," ")</f>
        <v xml:space="preserve"> </v>
      </c>
      <c r="M4510" t="s">
        <v>681</v>
      </c>
      <c r="O4510" s="5">
        <v>30842346</v>
      </c>
      <c r="P4510" s="5">
        <v>85273</v>
      </c>
      <c r="Q4510" s="5">
        <v>16202</v>
      </c>
      <c r="R4510" s="5">
        <v>101475</v>
      </c>
    </row>
    <row r="4511" spans="1:18" x14ac:dyDescent="0.25">
      <c r="A4511" t="s">
        <v>522</v>
      </c>
      <c r="B4511" t="s">
        <v>494</v>
      </c>
      <c r="C4511">
        <v>96542490</v>
      </c>
      <c r="D4511">
        <v>2</v>
      </c>
      <c r="E4511">
        <v>92848</v>
      </c>
      <c r="F4511" t="s">
        <v>1657</v>
      </c>
      <c r="G4511" s="1">
        <v>45232</v>
      </c>
      <c r="H4511">
        <v>5410920</v>
      </c>
      <c r="I4511">
        <v>25</v>
      </c>
      <c r="J4511" t="s">
        <v>323</v>
      </c>
      <c r="K4511" t="str">
        <f>IFERROR(IF(AND(VLOOKUP($C4511,Hes!$A:$B, 1, FALSE), $M4511&lt;&gt;" "), "Ingresada", "Falta Ingresar"), " ")</f>
        <v xml:space="preserve"> </v>
      </c>
      <c r="L4511" s="4" t="str">
        <f>IFERROR(VLOOKUP($C4511,Observaciones!$A:$B,2,FALSE)," ")</f>
        <v xml:space="preserve"> </v>
      </c>
      <c r="M4511" t="s">
        <v>681</v>
      </c>
      <c r="O4511" s="5">
        <v>30842358</v>
      </c>
      <c r="P4511" s="5">
        <v>51120</v>
      </c>
      <c r="Q4511" s="5">
        <v>9713</v>
      </c>
      <c r="R4511" s="5">
        <v>60833</v>
      </c>
    </row>
    <row r="4512" spans="1:18" x14ac:dyDescent="0.25">
      <c r="F4512" t="s">
        <v>500</v>
      </c>
      <c r="K4512" t="str">
        <f>IFERROR(IF(AND(VLOOKUP($C4512,Hes!$A:$B, 1, FALSE), $M4512&lt;&gt;" "), "Ingresada", "Falta Ingresar"), " ")</f>
        <v xml:space="preserve"> </v>
      </c>
      <c r="L4512" s="4" t="str">
        <f>IFERROR(VLOOKUP($C4512,Observaciones!$A:$B,2,FALSE)," ")</f>
        <v xml:space="preserve"> </v>
      </c>
      <c r="M4512" t="s">
        <v>681</v>
      </c>
      <c r="P4512" s="5">
        <v>158388</v>
      </c>
      <c r="Q4512" s="5">
        <v>30094</v>
      </c>
      <c r="R4512" s="5">
        <v>188482</v>
      </c>
    </row>
    <row r="4513" spans="1:18" x14ac:dyDescent="0.25">
      <c r="A4513" t="s">
        <v>503</v>
      </c>
      <c r="B4513" t="s">
        <v>494</v>
      </c>
      <c r="C4513">
        <v>96543670</v>
      </c>
      <c r="D4513">
        <v>3</v>
      </c>
      <c r="E4513">
        <v>4500162868</v>
      </c>
      <c r="F4513" t="s">
        <v>1658</v>
      </c>
      <c r="G4513" s="1">
        <v>45236</v>
      </c>
      <c r="H4513">
        <v>5412265</v>
      </c>
      <c r="I4513">
        <v>63</v>
      </c>
      <c r="J4513" t="s">
        <v>170</v>
      </c>
      <c r="K4513" s="8" t="str">
        <f>IFERROR(IF(AND(VLOOKUP($C4513,Hes!$A:$B, 1, FALSE), $M4513&lt;&gt;" "), "Ingresada", "Falta Ingresar"), " ")</f>
        <v>Falta Ingresar</v>
      </c>
      <c r="L4513" s="4" t="str">
        <f>IFERROR(VLOOKUP($C4513,Observaciones!$A:$B,2,FALSE)," ")</f>
        <v xml:space="preserve"> </v>
      </c>
      <c r="M4513" t="s">
        <v>681</v>
      </c>
      <c r="N4513" s="5" t="s">
        <v>841</v>
      </c>
      <c r="O4513" s="5">
        <v>30793691</v>
      </c>
      <c r="P4513" s="5">
        <v>436000</v>
      </c>
      <c r="Q4513" s="5">
        <v>82840</v>
      </c>
      <c r="R4513" s="5">
        <v>518840</v>
      </c>
    </row>
    <row r="4514" spans="1:18" x14ac:dyDescent="0.25">
      <c r="A4514" t="s">
        <v>503</v>
      </c>
      <c r="B4514" t="s">
        <v>494</v>
      </c>
      <c r="C4514">
        <v>96543670</v>
      </c>
      <c r="D4514">
        <v>17</v>
      </c>
      <c r="E4514">
        <v>4500164029</v>
      </c>
      <c r="F4514" t="s">
        <v>740</v>
      </c>
      <c r="G4514" s="1">
        <v>45236</v>
      </c>
      <c r="H4514">
        <v>5412721</v>
      </c>
      <c r="I4514">
        <v>63</v>
      </c>
      <c r="J4514" t="s">
        <v>170</v>
      </c>
      <c r="K4514" s="8" t="str">
        <f>IFERROR(IF(AND(VLOOKUP($C4514,Hes!$A:$B, 1, FALSE), $M4514&lt;&gt;" "), "Ingresada", "Falta Ingresar"), " ")</f>
        <v>Falta Ingresar</v>
      </c>
      <c r="L4514" s="4" t="str">
        <f>IFERROR(VLOOKUP($C4514,Observaciones!$A:$B,2,FALSE)," ")</f>
        <v xml:space="preserve"> </v>
      </c>
      <c r="M4514" t="s">
        <v>681</v>
      </c>
      <c r="N4514" s="5" t="s">
        <v>841</v>
      </c>
      <c r="O4514" s="5">
        <v>30832129</v>
      </c>
      <c r="P4514" s="5">
        <v>385700</v>
      </c>
      <c r="Q4514" s="5">
        <v>73283</v>
      </c>
      <c r="R4514" s="5">
        <v>458983</v>
      </c>
    </row>
    <row r="4515" spans="1:18" x14ac:dyDescent="0.25">
      <c r="A4515" t="s">
        <v>503</v>
      </c>
      <c r="B4515" t="s">
        <v>494</v>
      </c>
      <c r="C4515">
        <v>96543670</v>
      </c>
      <c r="D4515">
        <v>5</v>
      </c>
      <c r="E4515">
        <v>4500164206</v>
      </c>
      <c r="F4515" t="s">
        <v>740</v>
      </c>
      <c r="G4515" s="1">
        <v>45237</v>
      </c>
      <c r="H4515">
        <v>5414220</v>
      </c>
      <c r="I4515">
        <v>63</v>
      </c>
      <c r="J4515" t="s">
        <v>170</v>
      </c>
      <c r="K4515" s="8" t="str">
        <f>IFERROR(IF(AND(VLOOKUP($C4515,Hes!$A:$B, 1, FALSE), $M4515&lt;&gt;" "), "Ingresada", "Falta Ingresar"), " ")</f>
        <v>Falta Ingresar</v>
      </c>
      <c r="L4515" s="4" t="str">
        <f>IFERROR(VLOOKUP($C4515,Observaciones!$A:$B,2,FALSE)," ")</f>
        <v xml:space="preserve"> </v>
      </c>
      <c r="M4515" t="s">
        <v>681</v>
      </c>
      <c r="N4515" s="5" t="s">
        <v>841</v>
      </c>
      <c r="O4515" s="5">
        <v>30824808</v>
      </c>
      <c r="P4515" s="5">
        <v>248902</v>
      </c>
      <c r="Q4515" s="5">
        <v>47291</v>
      </c>
      <c r="R4515" s="5">
        <v>296193</v>
      </c>
    </row>
    <row r="4516" spans="1:18" x14ac:dyDescent="0.25">
      <c r="A4516" t="s">
        <v>503</v>
      </c>
      <c r="B4516" t="s">
        <v>494</v>
      </c>
      <c r="C4516">
        <v>96543670</v>
      </c>
      <c r="D4516">
        <v>5</v>
      </c>
      <c r="E4516">
        <v>4500164206</v>
      </c>
      <c r="F4516" t="s">
        <v>740</v>
      </c>
      <c r="G4516" s="1">
        <v>45237</v>
      </c>
      <c r="H4516">
        <v>5414221</v>
      </c>
      <c r="I4516">
        <v>63</v>
      </c>
      <c r="J4516" t="s">
        <v>170</v>
      </c>
      <c r="K4516" s="8" t="str">
        <f>IFERROR(IF(AND(VLOOKUP($C4516,Hes!$A:$B, 1, FALSE), $M4516&lt;&gt;" "), "Ingresada", "Falta Ingresar"), " ")</f>
        <v>Falta Ingresar</v>
      </c>
      <c r="L4516" s="4" t="str">
        <f>IFERROR(VLOOKUP($C4516,Observaciones!$A:$B,2,FALSE)," ")</f>
        <v xml:space="preserve"> </v>
      </c>
      <c r="M4516" t="s">
        <v>681</v>
      </c>
      <c r="N4516" s="5" t="s">
        <v>841</v>
      </c>
      <c r="O4516" s="5">
        <v>30824808</v>
      </c>
      <c r="P4516" s="5">
        <v>7660</v>
      </c>
      <c r="Q4516" s="5">
        <v>1455</v>
      </c>
      <c r="R4516" s="5">
        <v>9115</v>
      </c>
    </row>
    <row r="4517" spans="1:18" x14ac:dyDescent="0.25">
      <c r="A4517" t="s">
        <v>503</v>
      </c>
      <c r="B4517" t="s">
        <v>494</v>
      </c>
      <c r="C4517">
        <v>96543670</v>
      </c>
      <c r="D4517">
        <v>19</v>
      </c>
      <c r="E4517">
        <v>4500163419</v>
      </c>
      <c r="F4517" t="s">
        <v>740</v>
      </c>
      <c r="G4517" s="1">
        <v>45237</v>
      </c>
      <c r="H4517">
        <v>5414889</v>
      </c>
      <c r="I4517">
        <v>63</v>
      </c>
      <c r="J4517" t="s">
        <v>170</v>
      </c>
      <c r="K4517" s="8" t="str">
        <f>IFERROR(IF(AND(VLOOKUP($C4517,Hes!$A:$B, 1, FALSE), $M4517&lt;&gt;" "), "Ingresada", "Falta Ingresar"), " ")</f>
        <v>Falta Ingresar</v>
      </c>
      <c r="L4517" s="4" t="str">
        <f>IFERROR(VLOOKUP($C4517,Observaciones!$A:$B,2,FALSE)," ")</f>
        <v xml:space="preserve"> </v>
      </c>
      <c r="M4517" t="s">
        <v>681</v>
      </c>
      <c r="N4517" s="5" t="s">
        <v>841</v>
      </c>
      <c r="O4517" s="5">
        <v>30800704</v>
      </c>
      <c r="P4517" s="5">
        <v>765695</v>
      </c>
      <c r="Q4517" s="5">
        <v>145482</v>
      </c>
      <c r="R4517" s="5">
        <v>911177</v>
      </c>
    </row>
    <row r="4518" spans="1:18" x14ac:dyDescent="0.25">
      <c r="A4518" t="s">
        <v>503</v>
      </c>
      <c r="B4518" t="s">
        <v>494</v>
      </c>
      <c r="C4518">
        <v>96543670</v>
      </c>
      <c r="D4518">
        <v>19</v>
      </c>
      <c r="E4518">
        <v>4500163419</v>
      </c>
      <c r="F4518" t="s">
        <v>740</v>
      </c>
      <c r="G4518" s="1">
        <v>45237</v>
      </c>
      <c r="H4518">
        <v>5414890</v>
      </c>
      <c r="I4518">
        <v>63</v>
      </c>
      <c r="J4518" t="s">
        <v>170</v>
      </c>
      <c r="K4518" s="8" t="str">
        <f>IFERROR(IF(AND(VLOOKUP($C4518,Hes!$A:$B, 1, FALSE), $M4518&lt;&gt;" "), "Ingresada", "Falta Ingresar"), " ")</f>
        <v>Falta Ingresar</v>
      </c>
      <c r="L4518" s="4" t="str">
        <f>IFERROR(VLOOKUP($C4518,Observaciones!$A:$B,2,FALSE)," ")</f>
        <v xml:space="preserve"> </v>
      </c>
      <c r="M4518" t="s">
        <v>681</v>
      </c>
      <c r="N4518" s="5" t="s">
        <v>841</v>
      </c>
      <c r="O4518" s="5">
        <v>30800704</v>
      </c>
      <c r="P4518" s="5">
        <v>89123</v>
      </c>
      <c r="Q4518" s="5">
        <v>16933</v>
      </c>
      <c r="R4518" s="5">
        <v>106056</v>
      </c>
    </row>
    <row r="4519" spans="1:18" x14ac:dyDescent="0.25">
      <c r="F4519" t="s">
        <v>523</v>
      </c>
      <c r="K4519" t="str">
        <f>IFERROR(IF(AND(VLOOKUP($C4519,Hes!$A:$B, 1, FALSE), $M4519&lt;&gt;" "), "Ingresada", "Falta Ingresar"), " ")</f>
        <v xml:space="preserve"> </v>
      </c>
      <c r="L4519" s="4" t="str">
        <f>IFERROR(VLOOKUP($C4519,Observaciones!$A:$B,2,FALSE)," ")</f>
        <v xml:space="preserve"> </v>
      </c>
      <c r="M4519" t="s">
        <v>681</v>
      </c>
      <c r="P4519" s="5">
        <v>1933080</v>
      </c>
      <c r="Q4519" s="5">
        <v>367284</v>
      </c>
      <c r="R4519" s="5">
        <v>2300364</v>
      </c>
    </row>
    <row r="4520" spans="1:18" x14ac:dyDescent="0.25">
      <c r="A4520" t="s">
        <v>513</v>
      </c>
      <c r="B4520" t="s">
        <v>494</v>
      </c>
      <c r="C4520">
        <v>96545040</v>
      </c>
      <c r="D4520">
        <v>0</v>
      </c>
      <c r="E4520">
        <v>230002329</v>
      </c>
      <c r="F4520" t="s">
        <v>1659</v>
      </c>
      <c r="G4520" s="1">
        <v>45231</v>
      </c>
      <c r="H4520">
        <v>5410882</v>
      </c>
      <c r="I4520">
        <v>360</v>
      </c>
      <c r="J4520" t="s">
        <v>188</v>
      </c>
      <c r="K4520" t="str">
        <f>IFERROR(IF(AND(VLOOKUP($C4520,Hes!$A:$B, 1, FALSE), $M4520&lt;&gt;" "), "Ingresada", "Falta Ingresar"), " ")</f>
        <v xml:space="preserve"> </v>
      </c>
      <c r="L4520" s="4" t="s">
        <v>681</v>
      </c>
      <c r="M4520" t="s">
        <v>681</v>
      </c>
      <c r="O4520" s="5">
        <v>30835194</v>
      </c>
      <c r="P4520" s="5">
        <v>717213</v>
      </c>
      <c r="Q4520" s="5">
        <v>136270</v>
      </c>
      <c r="R4520" s="5">
        <v>853483</v>
      </c>
    </row>
    <row r="4521" spans="1:18" x14ac:dyDescent="0.25">
      <c r="F4521" t="s">
        <v>495</v>
      </c>
      <c r="K4521" t="str">
        <f>IFERROR(IF(AND(VLOOKUP($C4521,Hes!$A:$B, 1, FALSE), $M4521&lt;&gt;" "), "Ingresada", "Falta Ingresar"), " ")</f>
        <v xml:space="preserve"> </v>
      </c>
      <c r="L4521" s="4" t="str">
        <f>IFERROR(VLOOKUP($C4521,Observaciones!$A:$B,2,FALSE)," ")</f>
        <v xml:space="preserve"> </v>
      </c>
      <c r="M4521" t="s">
        <v>681</v>
      </c>
      <c r="P4521" s="5">
        <v>717213</v>
      </c>
      <c r="Q4521" s="5">
        <v>136270</v>
      </c>
      <c r="R4521" s="5">
        <v>853483</v>
      </c>
    </row>
    <row r="4522" spans="1:18" x14ac:dyDescent="0.25">
      <c r="A4522" t="s">
        <v>3</v>
      </c>
      <c r="B4522" t="s">
        <v>494</v>
      </c>
      <c r="C4522">
        <v>96545450</v>
      </c>
      <c r="D4522">
        <v>13</v>
      </c>
      <c r="E4522">
        <v>30855661</v>
      </c>
      <c r="F4522" t="s">
        <v>1660</v>
      </c>
      <c r="G4522" s="1">
        <v>45234</v>
      </c>
      <c r="H4522">
        <v>5412744</v>
      </c>
      <c r="I4522">
        <v>25</v>
      </c>
      <c r="J4522" t="s">
        <v>323</v>
      </c>
      <c r="K4522" t="str">
        <f>IFERROR(IF(AND(VLOOKUP($C4522,Hes!$A:$B, 1, FALSE), $M4522&lt;&gt;" "), "Ingresada", "Falta Ingresar"), " ")</f>
        <v xml:space="preserve"> </v>
      </c>
      <c r="L4522" s="4" t="str">
        <f>IFERROR(VLOOKUP($C4522,Observaciones!$A:$B,2,FALSE)," ")</f>
        <v>ULTIMO DIA, ESPERAR INFORME DE LUCIA, DEBE CUADRAR MONTOS</v>
      </c>
      <c r="M4522" t="s">
        <v>681</v>
      </c>
      <c r="O4522" s="5">
        <v>30855661</v>
      </c>
      <c r="P4522" s="5">
        <v>14996</v>
      </c>
      <c r="Q4522" s="5">
        <v>2849</v>
      </c>
      <c r="R4522" s="5">
        <v>17845</v>
      </c>
    </row>
    <row r="4523" spans="1:18" x14ac:dyDescent="0.25">
      <c r="A4523" t="s">
        <v>3</v>
      </c>
      <c r="B4523" t="s">
        <v>494</v>
      </c>
      <c r="C4523">
        <v>96545450</v>
      </c>
      <c r="D4523">
        <v>88</v>
      </c>
      <c r="E4523">
        <v>30855663</v>
      </c>
      <c r="F4523" t="s">
        <v>1660</v>
      </c>
      <c r="G4523" s="1">
        <v>45234</v>
      </c>
      <c r="H4523">
        <v>5412745</v>
      </c>
      <c r="I4523">
        <v>25</v>
      </c>
      <c r="J4523" t="s">
        <v>323</v>
      </c>
      <c r="K4523" t="str">
        <f>IFERROR(IF(AND(VLOOKUP($C4523,Hes!$A:$B, 1, FALSE), $M4523&lt;&gt;" "), "Ingresada", "Falta Ingresar"), " ")</f>
        <v xml:space="preserve"> </v>
      </c>
      <c r="L4523" s="4" t="str">
        <f>IFERROR(VLOOKUP($C4523,Observaciones!$A:$B,2,FALSE)," ")</f>
        <v>ULTIMO DIA, ESPERAR INFORME DE LUCIA, DEBE CUADRAR MONTOS</v>
      </c>
      <c r="M4523" t="s">
        <v>681</v>
      </c>
      <c r="O4523" s="5">
        <v>30855663</v>
      </c>
      <c r="P4523" s="5">
        <v>14996</v>
      </c>
      <c r="Q4523" s="5">
        <v>2849</v>
      </c>
      <c r="R4523" s="5">
        <v>17845</v>
      </c>
    </row>
    <row r="4524" spans="1:18" x14ac:dyDescent="0.25">
      <c r="A4524" t="s">
        <v>3</v>
      </c>
      <c r="B4524" t="s">
        <v>494</v>
      </c>
      <c r="C4524">
        <v>96545450</v>
      </c>
      <c r="D4524">
        <v>32</v>
      </c>
      <c r="E4524">
        <v>30855655</v>
      </c>
      <c r="F4524" t="s">
        <v>1660</v>
      </c>
      <c r="G4524" s="1">
        <v>45234</v>
      </c>
      <c r="H4524">
        <v>5412802</v>
      </c>
      <c r="I4524">
        <v>25</v>
      </c>
      <c r="J4524" t="s">
        <v>323</v>
      </c>
      <c r="K4524" t="str">
        <f>IFERROR(IF(AND(VLOOKUP($C4524,Hes!$A:$B, 1, FALSE), $M4524&lt;&gt;" "), "Ingresada", "Falta Ingresar"), " ")</f>
        <v xml:space="preserve"> </v>
      </c>
      <c r="L4524" s="4" t="str">
        <f>IFERROR(VLOOKUP($C4524,Observaciones!$A:$B,2,FALSE)," ")</f>
        <v>ULTIMO DIA, ESPERAR INFORME DE LUCIA, DEBE CUADRAR MONTOS</v>
      </c>
      <c r="M4524" t="s">
        <v>681</v>
      </c>
      <c r="O4524" s="5">
        <v>30855655</v>
      </c>
      <c r="P4524" s="5">
        <v>19288</v>
      </c>
      <c r="Q4524" s="5">
        <v>3665</v>
      </c>
      <c r="R4524" s="5">
        <v>22953</v>
      </c>
    </row>
    <row r="4525" spans="1:18" x14ac:dyDescent="0.25">
      <c r="A4525" t="s">
        <v>3</v>
      </c>
      <c r="B4525" t="s">
        <v>494</v>
      </c>
      <c r="C4525">
        <v>96545450</v>
      </c>
      <c r="D4525">
        <v>86</v>
      </c>
      <c r="E4525">
        <v>30855648</v>
      </c>
      <c r="F4525" t="s">
        <v>1660</v>
      </c>
      <c r="G4525" s="1">
        <v>45234</v>
      </c>
      <c r="H4525">
        <v>5412855</v>
      </c>
      <c r="I4525">
        <v>25</v>
      </c>
      <c r="J4525" t="s">
        <v>323</v>
      </c>
      <c r="K4525" t="str">
        <f>IFERROR(IF(AND(VLOOKUP($C4525,Hes!$A:$B, 1, FALSE), $M4525&lt;&gt;" "), "Ingresada", "Falta Ingresar"), " ")</f>
        <v xml:space="preserve"> </v>
      </c>
      <c r="L4525" s="4" t="str">
        <f>IFERROR(VLOOKUP($C4525,Observaciones!$A:$B,2,FALSE)," ")</f>
        <v>ULTIMO DIA, ESPERAR INFORME DE LUCIA, DEBE CUADRAR MONTOS</v>
      </c>
      <c r="M4525" t="s">
        <v>681</v>
      </c>
      <c r="O4525" s="5">
        <v>30855648</v>
      </c>
      <c r="P4525" s="5">
        <v>19232</v>
      </c>
      <c r="Q4525" s="5">
        <v>3654</v>
      </c>
      <c r="R4525" s="5">
        <v>22886</v>
      </c>
    </row>
    <row r="4526" spans="1:18" x14ac:dyDescent="0.25">
      <c r="A4526" t="s">
        <v>3</v>
      </c>
      <c r="B4526" t="s">
        <v>494</v>
      </c>
      <c r="C4526">
        <v>96545450</v>
      </c>
      <c r="D4526">
        <v>33</v>
      </c>
      <c r="E4526">
        <v>30855652</v>
      </c>
      <c r="F4526" t="s">
        <v>1660</v>
      </c>
      <c r="G4526" s="1">
        <v>45234</v>
      </c>
      <c r="H4526">
        <v>5412856</v>
      </c>
      <c r="I4526">
        <v>25</v>
      </c>
      <c r="J4526" t="s">
        <v>323</v>
      </c>
      <c r="K4526" t="str">
        <f>IFERROR(IF(AND(VLOOKUP($C4526,Hes!$A:$B, 1, FALSE), $M4526&lt;&gt;" "), "Ingresada", "Falta Ingresar"), " ")</f>
        <v xml:space="preserve"> </v>
      </c>
      <c r="L4526" s="4" t="str">
        <f>IFERROR(VLOOKUP($C4526,Observaciones!$A:$B,2,FALSE)," ")</f>
        <v>ULTIMO DIA, ESPERAR INFORME DE LUCIA, DEBE CUADRAR MONTOS</v>
      </c>
      <c r="M4526" t="s">
        <v>681</v>
      </c>
      <c r="O4526" s="5">
        <v>30855652</v>
      </c>
      <c r="P4526" s="5">
        <v>19308</v>
      </c>
      <c r="Q4526" s="5">
        <v>3669</v>
      </c>
      <c r="R4526" s="5">
        <v>22977</v>
      </c>
    </row>
    <row r="4527" spans="1:18" x14ac:dyDescent="0.25">
      <c r="A4527" t="s">
        <v>3</v>
      </c>
      <c r="B4527" t="s">
        <v>494</v>
      </c>
      <c r="C4527">
        <v>96545450</v>
      </c>
      <c r="D4527">
        <v>87</v>
      </c>
      <c r="E4527">
        <v>30855653</v>
      </c>
      <c r="F4527" t="s">
        <v>1660</v>
      </c>
      <c r="G4527" s="1">
        <v>45234</v>
      </c>
      <c r="H4527">
        <v>5412884</v>
      </c>
      <c r="I4527">
        <v>25</v>
      </c>
      <c r="J4527" t="s">
        <v>323</v>
      </c>
      <c r="K4527" t="str">
        <f>IFERROR(IF(AND(VLOOKUP($C4527,Hes!$A:$B, 1, FALSE), $M4527&lt;&gt;" "), "Ingresada", "Falta Ingresar"), " ")</f>
        <v xml:space="preserve"> </v>
      </c>
      <c r="L4527" s="4" t="str">
        <f>IFERROR(VLOOKUP($C4527,Observaciones!$A:$B,2,FALSE)," ")</f>
        <v>ULTIMO DIA, ESPERAR INFORME DE LUCIA, DEBE CUADRAR MONTOS</v>
      </c>
      <c r="M4527" t="s">
        <v>681</v>
      </c>
      <c r="O4527" s="5">
        <v>30855653</v>
      </c>
      <c r="P4527" s="5">
        <v>19979</v>
      </c>
      <c r="Q4527" s="5">
        <v>3796</v>
      </c>
      <c r="R4527" s="5">
        <v>23775</v>
      </c>
    </row>
    <row r="4528" spans="1:18" x14ac:dyDescent="0.25">
      <c r="A4528" t="s">
        <v>3</v>
      </c>
      <c r="B4528" t="s">
        <v>494</v>
      </c>
      <c r="C4528">
        <v>96545450</v>
      </c>
      <c r="D4528">
        <v>31</v>
      </c>
      <c r="E4528">
        <v>30855658</v>
      </c>
      <c r="F4528" t="s">
        <v>1660</v>
      </c>
      <c r="G4528" s="1">
        <v>45234</v>
      </c>
      <c r="H4528">
        <v>5412913</v>
      </c>
      <c r="I4528">
        <v>25</v>
      </c>
      <c r="J4528" t="s">
        <v>323</v>
      </c>
      <c r="K4528" t="str">
        <f>IFERROR(IF(AND(VLOOKUP($C4528,Hes!$A:$B, 1, FALSE), $M4528&lt;&gt;" "), "Ingresada", "Falta Ingresar"), " ")</f>
        <v xml:space="preserve"> </v>
      </c>
      <c r="L4528" s="4" t="str">
        <f>IFERROR(VLOOKUP($C4528,Observaciones!$A:$B,2,FALSE)," ")</f>
        <v>ULTIMO DIA, ESPERAR INFORME DE LUCIA, DEBE CUADRAR MONTOS</v>
      </c>
      <c r="M4528" t="s">
        <v>681</v>
      </c>
      <c r="O4528" s="5">
        <v>30855658</v>
      </c>
      <c r="P4528" s="5">
        <v>14751</v>
      </c>
      <c r="Q4528" s="5">
        <v>2803</v>
      </c>
      <c r="R4528" s="5">
        <v>17554</v>
      </c>
    </row>
    <row r="4529" spans="1:18" x14ac:dyDescent="0.25">
      <c r="A4529" t="s">
        <v>3</v>
      </c>
      <c r="B4529" t="s">
        <v>494</v>
      </c>
      <c r="C4529">
        <v>96545450</v>
      </c>
      <c r="D4529">
        <v>89</v>
      </c>
      <c r="E4529">
        <v>30855645</v>
      </c>
      <c r="F4529" t="s">
        <v>1660</v>
      </c>
      <c r="G4529" s="1">
        <v>45234</v>
      </c>
      <c r="H4529">
        <v>5412914</v>
      </c>
      <c r="I4529">
        <v>25</v>
      </c>
      <c r="J4529" t="s">
        <v>323</v>
      </c>
      <c r="K4529" t="str">
        <f>IFERROR(IF(AND(VLOOKUP($C4529,Hes!$A:$B, 1, FALSE), $M4529&lt;&gt;" "), "Ingresada", "Falta Ingresar"), " ")</f>
        <v xml:space="preserve"> </v>
      </c>
      <c r="L4529" s="4" t="str">
        <f>IFERROR(VLOOKUP($C4529,Observaciones!$A:$B,2,FALSE)," ")</f>
        <v>ULTIMO DIA, ESPERAR INFORME DE LUCIA, DEBE CUADRAR MONTOS</v>
      </c>
      <c r="M4529" t="s">
        <v>681</v>
      </c>
      <c r="O4529" s="5">
        <v>30855645</v>
      </c>
      <c r="P4529" s="5">
        <v>34702</v>
      </c>
      <c r="Q4529" s="5">
        <v>6593</v>
      </c>
      <c r="R4529" s="5">
        <v>41295</v>
      </c>
    </row>
    <row r="4530" spans="1:18" x14ac:dyDescent="0.25">
      <c r="A4530" t="s">
        <v>3</v>
      </c>
      <c r="B4530" t="s">
        <v>494</v>
      </c>
      <c r="C4530">
        <v>96545450</v>
      </c>
      <c r="D4530">
        <v>9</v>
      </c>
      <c r="E4530">
        <v>30856224</v>
      </c>
      <c r="F4530" t="s">
        <v>1660</v>
      </c>
      <c r="G4530" s="1">
        <v>45236</v>
      </c>
      <c r="H4530">
        <v>5413597</v>
      </c>
      <c r="I4530">
        <v>25</v>
      </c>
      <c r="J4530" t="s">
        <v>323</v>
      </c>
      <c r="K4530" t="str">
        <f>IFERROR(IF(AND(VLOOKUP($C4530,Hes!$A:$B, 1, FALSE), $M4530&lt;&gt;" "), "Ingresada", "Falta Ingresar"), " ")</f>
        <v xml:space="preserve"> </v>
      </c>
      <c r="L4530" s="4" t="str">
        <f>IFERROR(VLOOKUP($C4530,Observaciones!$A:$B,2,FALSE)," ")</f>
        <v>ULTIMO DIA, ESPERAR INFORME DE LUCIA, DEBE CUADRAR MONTOS</v>
      </c>
      <c r="M4530" t="s">
        <v>681</v>
      </c>
      <c r="O4530" s="5">
        <v>30856224</v>
      </c>
      <c r="P4530" s="5">
        <v>91484</v>
      </c>
      <c r="Q4530" s="5">
        <v>17382</v>
      </c>
      <c r="R4530" s="5">
        <v>108866</v>
      </c>
    </row>
    <row r="4531" spans="1:18" x14ac:dyDescent="0.25">
      <c r="A4531" t="s">
        <v>3</v>
      </c>
      <c r="B4531" t="s">
        <v>494</v>
      </c>
      <c r="C4531">
        <v>96545450</v>
      </c>
      <c r="D4531">
        <v>11</v>
      </c>
      <c r="E4531">
        <v>30860057</v>
      </c>
      <c r="F4531" t="s">
        <v>1660</v>
      </c>
      <c r="G4531" s="1">
        <v>45237</v>
      </c>
      <c r="H4531">
        <v>5414224</v>
      </c>
      <c r="I4531">
        <v>25</v>
      </c>
      <c r="J4531" t="s">
        <v>323</v>
      </c>
      <c r="K4531" t="str">
        <f>IFERROR(IF(AND(VLOOKUP($C4531,Hes!$A:$B, 1, FALSE), $M4531&lt;&gt;" "), "Ingresada", "Falta Ingresar"), " ")</f>
        <v xml:space="preserve"> </v>
      </c>
      <c r="L4531" s="4" t="str">
        <f>IFERROR(VLOOKUP($C4531,Observaciones!$A:$B,2,FALSE)," ")</f>
        <v>ULTIMO DIA, ESPERAR INFORME DE LUCIA, DEBE CUADRAR MONTOS</v>
      </c>
      <c r="M4531" t="s">
        <v>681</v>
      </c>
      <c r="O4531" s="5">
        <v>30860057</v>
      </c>
      <c r="P4531" s="5">
        <v>24671</v>
      </c>
      <c r="Q4531" s="5">
        <v>4687</v>
      </c>
      <c r="R4531" s="5">
        <v>29358</v>
      </c>
    </row>
    <row r="4532" spans="1:18" x14ac:dyDescent="0.25">
      <c r="A4532" t="s">
        <v>3</v>
      </c>
      <c r="B4532" t="s">
        <v>494</v>
      </c>
      <c r="C4532">
        <v>96545450</v>
      </c>
      <c r="D4532">
        <v>39</v>
      </c>
      <c r="E4532">
        <v>30860061</v>
      </c>
      <c r="F4532" t="s">
        <v>1660</v>
      </c>
      <c r="G4532" s="1">
        <v>45237</v>
      </c>
      <c r="H4532">
        <v>5414225</v>
      </c>
      <c r="I4532">
        <v>25</v>
      </c>
      <c r="J4532" t="s">
        <v>323</v>
      </c>
      <c r="K4532" t="str">
        <f>IFERROR(IF(AND(VLOOKUP($C4532,Hes!$A:$B, 1, FALSE), $M4532&lt;&gt;" "), "Ingresada", "Falta Ingresar"), " ")</f>
        <v xml:space="preserve"> </v>
      </c>
      <c r="L4532" s="4" t="str">
        <f>IFERROR(VLOOKUP($C4532,Observaciones!$A:$B,2,FALSE)," ")</f>
        <v>ULTIMO DIA, ESPERAR INFORME DE LUCIA, DEBE CUADRAR MONTOS</v>
      </c>
      <c r="M4532" t="s">
        <v>681</v>
      </c>
      <c r="O4532" s="5">
        <v>30860061</v>
      </c>
      <c r="P4532" s="5">
        <v>59792</v>
      </c>
      <c r="Q4532" s="5">
        <v>11360</v>
      </c>
      <c r="R4532" s="5">
        <v>71152</v>
      </c>
    </row>
    <row r="4533" spans="1:18" x14ac:dyDescent="0.25">
      <c r="A4533" t="s">
        <v>3</v>
      </c>
      <c r="B4533" t="s">
        <v>494</v>
      </c>
      <c r="C4533">
        <v>96545450</v>
      </c>
      <c r="D4533">
        <v>35</v>
      </c>
      <c r="E4533">
        <v>30860048</v>
      </c>
      <c r="F4533" t="s">
        <v>1660</v>
      </c>
      <c r="G4533" s="1">
        <v>45237</v>
      </c>
      <c r="H4533">
        <v>5414489</v>
      </c>
      <c r="I4533">
        <v>25</v>
      </c>
      <c r="J4533" t="s">
        <v>323</v>
      </c>
      <c r="K4533" t="str">
        <f>IFERROR(IF(AND(VLOOKUP($C4533,Hes!$A:$B, 1, FALSE), $M4533&lt;&gt;" "), "Ingresada", "Falta Ingresar"), " ")</f>
        <v xml:space="preserve"> </v>
      </c>
      <c r="L4533" s="4" t="str">
        <f>IFERROR(VLOOKUP($C4533,Observaciones!$A:$B,2,FALSE)," ")</f>
        <v>ULTIMO DIA, ESPERAR INFORME DE LUCIA, DEBE CUADRAR MONTOS</v>
      </c>
      <c r="M4533" t="s">
        <v>681</v>
      </c>
      <c r="O4533" s="5">
        <v>30860048</v>
      </c>
      <c r="P4533" s="5">
        <v>38042</v>
      </c>
      <c r="Q4533" s="5">
        <v>7228</v>
      </c>
      <c r="R4533" s="5">
        <v>45270</v>
      </c>
    </row>
    <row r="4534" spans="1:18" x14ac:dyDescent="0.25">
      <c r="A4534" t="s">
        <v>3</v>
      </c>
      <c r="B4534" t="s">
        <v>494</v>
      </c>
      <c r="C4534">
        <v>96545450</v>
      </c>
      <c r="D4534">
        <v>38</v>
      </c>
      <c r="E4534">
        <v>30860054</v>
      </c>
      <c r="F4534" t="s">
        <v>1660</v>
      </c>
      <c r="G4534" s="1">
        <v>45237</v>
      </c>
      <c r="H4534">
        <v>5414490</v>
      </c>
      <c r="I4534">
        <v>25</v>
      </c>
      <c r="J4534" t="s">
        <v>323</v>
      </c>
      <c r="K4534" t="str">
        <f>IFERROR(IF(AND(VLOOKUP($C4534,Hes!$A:$B, 1, FALSE), $M4534&lt;&gt;" "), "Ingresada", "Falta Ingresar"), " ")</f>
        <v xml:space="preserve"> </v>
      </c>
      <c r="L4534" s="4" t="str">
        <f>IFERROR(VLOOKUP($C4534,Observaciones!$A:$B,2,FALSE)," ")</f>
        <v>ULTIMO DIA, ESPERAR INFORME DE LUCIA, DEBE CUADRAR MONTOS</v>
      </c>
      <c r="M4534" t="s">
        <v>681</v>
      </c>
      <c r="O4534" s="5">
        <v>30860054</v>
      </c>
      <c r="P4534" s="5">
        <v>28809</v>
      </c>
      <c r="Q4534" s="5">
        <v>5474</v>
      </c>
      <c r="R4534" s="5">
        <v>34283</v>
      </c>
    </row>
    <row r="4535" spans="1:18" x14ac:dyDescent="0.25">
      <c r="A4535" t="s">
        <v>3</v>
      </c>
      <c r="B4535" t="s">
        <v>494</v>
      </c>
      <c r="C4535">
        <v>96545450</v>
      </c>
      <c r="D4535">
        <v>79</v>
      </c>
      <c r="E4535">
        <v>30860135</v>
      </c>
      <c r="F4535" t="s">
        <v>1660</v>
      </c>
      <c r="G4535" s="1">
        <v>45238</v>
      </c>
      <c r="H4535">
        <v>5414595</v>
      </c>
      <c r="I4535">
        <v>25</v>
      </c>
      <c r="J4535" t="s">
        <v>323</v>
      </c>
      <c r="K4535" t="str">
        <f>IFERROR(IF(AND(VLOOKUP($C4535,Hes!$A:$B, 1, FALSE), $M4535&lt;&gt;" "), "Ingresada", "Falta Ingresar"), " ")</f>
        <v xml:space="preserve"> </v>
      </c>
      <c r="L4535" s="4" t="str">
        <f>IFERROR(VLOOKUP($C4535,Observaciones!$A:$B,2,FALSE)," ")</f>
        <v>ULTIMO DIA, ESPERAR INFORME DE LUCIA, DEBE CUADRAR MONTOS</v>
      </c>
      <c r="M4535" t="s">
        <v>681</v>
      </c>
      <c r="O4535" s="5">
        <v>30860135</v>
      </c>
      <c r="P4535" s="5">
        <v>14780</v>
      </c>
      <c r="Q4535" s="5">
        <v>2808</v>
      </c>
      <c r="R4535" s="5">
        <v>17588</v>
      </c>
    </row>
    <row r="4536" spans="1:18" x14ac:dyDescent="0.25">
      <c r="A4536" t="s">
        <v>3</v>
      </c>
      <c r="B4536" t="s">
        <v>494</v>
      </c>
      <c r="C4536">
        <v>96545450</v>
      </c>
      <c r="D4536">
        <v>81</v>
      </c>
      <c r="E4536">
        <v>30860134</v>
      </c>
      <c r="F4536" t="s">
        <v>1660</v>
      </c>
      <c r="G4536" s="1">
        <v>45238</v>
      </c>
      <c r="H4536">
        <v>5414597</v>
      </c>
      <c r="I4536">
        <v>25</v>
      </c>
      <c r="J4536" t="s">
        <v>323</v>
      </c>
      <c r="K4536" t="str">
        <f>IFERROR(IF(AND(VLOOKUP($C4536,Hes!$A:$B, 1, FALSE), $M4536&lt;&gt;" "), "Ingresada", "Falta Ingresar"), " ")</f>
        <v xml:space="preserve"> </v>
      </c>
      <c r="L4536" s="4" t="str">
        <f>IFERROR(VLOOKUP($C4536,Observaciones!$A:$B,2,FALSE)," ")</f>
        <v>ULTIMO DIA, ESPERAR INFORME DE LUCIA, DEBE CUADRAR MONTOS</v>
      </c>
      <c r="M4536" t="s">
        <v>681</v>
      </c>
      <c r="O4536" s="5">
        <v>30860134</v>
      </c>
      <c r="P4536" s="5">
        <v>14839</v>
      </c>
      <c r="Q4536" s="5">
        <v>2819</v>
      </c>
      <c r="R4536" s="5">
        <v>17658</v>
      </c>
    </row>
    <row r="4537" spans="1:18" x14ac:dyDescent="0.25">
      <c r="A4537" t="s">
        <v>3</v>
      </c>
      <c r="B4537" t="s">
        <v>494</v>
      </c>
      <c r="C4537">
        <v>96545450</v>
      </c>
      <c r="D4537">
        <v>63</v>
      </c>
      <c r="E4537">
        <v>30860123</v>
      </c>
      <c r="F4537" t="s">
        <v>1660</v>
      </c>
      <c r="G4537" s="1">
        <v>45238</v>
      </c>
      <c r="H4537">
        <v>5414599</v>
      </c>
      <c r="I4537">
        <v>25</v>
      </c>
      <c r="J4537" t="s">
        <v>323</v>
      </c>
      <c r="K4537" t="str">
        <f>IFERROR(IF(AND(VLOOKUP($C4537,Hes!$A:$B, 1, FALSE), $M4537&lt;&gt;" "), "Ingresada", "Falta Ingresar"), " ")</f>
        <v xml:space="preserve"> </v>
      </c>
      <c r="L4537" s="4" t="str">
        <f>IFERROR(VLOOKUP($C4537,Observaciones!$A:$B,2,FALSE)," ")</f>
        <v>ULTIMO DIA, ESPERAR INFORME DE LUCIA, DEBE CUADRAR MONTOS</v>
      </c>
      <c r="M4537" t="s">
        <v>681</v>
      </c>
      <c r="O4537" s="5">
        <v>30860123</v>
      </c>
      <c r="P4537" s="5">
        <v>14827</v>
      </c>
      <c r="Q4537" s="5">
        <v>2817</v>
      </c>
      <c r="R4537" s="5">
        <v>17644</v>
      </c>
    </row>
    <row r="4538" spans="1:18" x14ac:dyDescent="0.25">
      <c r="A4538" t="s">
        <v>3</v>
      </c>
      <c r="B4538" t="s">
        <v>494</v>
      </c>
      <c r="C4538">
        <v>96545450</v>
      </c>
      <c r="D4538">
        <v>5</v>
      </c>
      <c r="E4538">
        <v>30860125</v>
      </c>
      <c r="F4538" t="s">
        <v>1660</v>
      </c>
      <c r="G4538" s="1">
        <v>45238</v>
      </c>
      <c r="H4538">
        <v>5414600</v>
      </c>
      <c r="I4538">
        <v>25</v>
      </c>
      <c r="J4538" t="s">
        <v>323</v>
      </c>
      <c r="K4538" t="str">
        <f>IFERROR(IF(AND(VLOOKUP($C4538,Hes!$A:$B, 1, FALSE), $M4538&lt;&gt;" "), "Ingresada", "Falta Ingresar"), " ")</f>
        <v xml:space="preserve"> </v>
      </c>
      <c r="L4538" s="4" t="str">
        <f>IFERROR(VLOOKUP($C4538,Observaciones!$A:$B,2,FALSE)," ")</f>
        <v>ULTIMO DIA, ESPERAR INFORME DE LUCIA, DEBE CUADRAR MONTOS</v>
      </c>
      <c r="M4538" t="s">
        <v>681</v>
      </c>
      <c r="O4538" s="5">
        <v>30860125</v>
      </c>
      <c r="P4538" s="5">
        <v>14970</v>
      </c>
      <c r="Q4538" s="5">
        <v>2844</v>
      </c>
      <c r="R4538" s="5">
        <v>17814</v>
      </c>
    </row>
    <row r="4539" spans="1:18" x14ac:dyDescent="0.25">
      <c r="A4539" t="s">
        <v>3</v>
      </c>
      <c r="B4539" t="s">
        <v>494</v>
      </c>
      <c r="C4539">
        <v>96545450</v>
      </c>
      <c r="D4539">
        <v>3</v>
      </c>
      <c r="E4539">
        <v>30860137</v>
      </c>
      <c r="F4539" t="s">
        <v>1660</v>
      </c>
      <c r="G4539" s="1">
        <v>45238</v>
      </c>
      <c r="H4539">
        <v>5414601</v>
      </c>
      <c r="I4539">
        <v>25</v>
      </c>
      <c r="J4539" t="s">
        <v>323</v>
      </c>
      <c r="K4539" t="str">
        <f>IFERROR(IF(AND(VLOOKUP($C4539,Hes!$A:$B, 1, FALSE), $M4539&lt;&gt;" "), "Ingresada", "Falta Ingresar"), " ")</f>
        <v xml:space="preserve"> </v>
      </c>
      <c r="L4539" s="4" t="str">
        <f>IFERROR(VLOOKUP($C4539,Observaciones!$A:$B,2,FALSE)," ")</f>
        <v>ULTIMO DIA, ESPERAR INFORME DE LUCIA, DEBE CUADRAR MONTOS</v>
      </c>
      <c r="M4539" t="s">
        <v>681</v>
      </c>
      <c r="O4539" s="5">
        <v>30860137</v>
      </c>
      <c r="P4539" s="5">
        <v>14765</v>
      </c>
      <c r="Q4539" s="5">
        <v>2805</v>
      </c>
      <c r="R4539" s="5">
        <v>17570</v>
      </c>
    </row>
    <row r="4540" spans="1:18" x14ac:dyDescent="0.25">
      <c r="A4540" t="s">
        <v>3</v>
      </c>
      <c r="B4540" t="s">
        <v>494</v>
      </c>
      <c r="C4540">
        <v>96545450</v>
      </c>
      <c r="D4540">
        <v>41</v>
      </c>
      <c r="E4540">
        <v>30860112</v>
      </c>
      <c r="F4540" t="s">
        <v>1660</v>
      </c>
      <c r="G4540" s="1">
        <v>45238</v>
      </c>
      <c r="H4540">
        <v>5414606</v>
      </c>
      <c r="I4540">
        <v>25</v>
      </c>
      <c r="J4540" t="s">
        <v>323</v>
      </c>
      <c r="K4540" t="str">
        <f>IFERROR(IF(AND(VLOOKUP($C4540,Hes!$A:$B, 1, FALSE), $M4540&lt;&gt;" "), "Ingresada", "Falta Ingresar"), " ")</f>
        <v xml:space="preserve"> </v>
      </c>
      <c r="L4540" s="4" t="str">
        <f>IFERROR(VLOOKUP($C4540,Observaciones!$A:$B,2,FALSE)," ")</f>
        <v>ULTIMO DIA, ESPERAR INFORME DE LUCIA, DEBE CUADRAR MONTOS</v>
      </c>
      <c r="M4540" t="s">
        <v>681</v>
      </c>
      <c r="O4540" s="5">
        <v>30860112</v>
      </c>
      <c r="P4540" s="5">
        <v>19968</v>
      </c>
      <c r="Q4540" s="5">
        <v>3794</v>
      </c>
      <c r="R4540" s="5">
        <v>23762</v>
      </c>
    </row>
    <row r="4541" spans="1:18" x14ac:dyDescent="0.25">
      <c r="A4541" t="s">
        <v>3</v>
      </c>
      <c r="B4541" t="s">
        <v>494</v>
      </c>
      <c r="C4541">
        <v>96545450</v>
      </c>
      <c r="D4541">
        <v>47</v>
      </c>
      <c r="E4541">
        <v>30860156</v>
      </c>
      <c r="F4541" t="s">
        <v>1660</v>
      </c>
      <c r="G4541" s="1">
        <v>45238</v>
      </c>
      <c r="H4541">
        <v>5414614</v>
      </c>
      <c r="I4541">
        <v>25</v>
      </c>
      <c r="J4541" t="s">
        <v>323</v>
      </c>
      <c r="K4541" t="str">
        <f>IFERROR(IF(AND(VLOOKUP($C4541,Hes!$A:$B, 1, FALSE), $M4541&lt;&gt;" "), "Ingresada", "Falta Ingresar"), " ")</f>
        <v xml:space="preserve"> </v>
      </c>
      <c r="L4541" s="4" t="str">
        <f>IFERROR(VLOOKUP($C4541,Observaciones!$A:$B,2,FALSE)," ")</f>
        <v>ULTIMO DIA, ESPERAR INFORME DE LUCIA, DEBE CUADRAR MONTOS</v>
      </c>
      <c r="M4541" t="s">
        <v>681</v>
      </c>
      <c r="O4541" s="5">
        <v>30860156</v>
      </c>
      <c r="P4541" s="5">
        <v>73580</v>
      </c>
      <c r="Q4541" s="5">
        <v>13980</v>
      </c>
      <c r="R4541" s="5">
        <v>87560</v>
      </c>
    </row>
    <row r="4542" spans="1:18" x14ac:dyDescent="0.25">
      <c r="A4542" t="s">
        <v>3</v>
      </c>
      <c r="B4542" t="s">
        <v>494</v>
      </c>
      <c r="C4542">
        <v>96545450</v>
      </c>
      <c r="D4542">
        <v>23</v>
      </c>
      <c r="E4542">
        <v>30860148</v>
      </c>
      <c r="F4542" t="s">
        <v>1660</v>
      </c>
      <c r="G4542" s="1">
        <v>45238</v>
      </c>
      <c r="H4542">
        <v>5414617</v>
      </c>
      <c r="I4542">
        <v>25</v>
      </c>
      <c r="J4542" t="s">
        <v>323</v>
      </c>
      <c r="K4542" t="str">
        <f>IFERROR(IF(AND(VLOOKUP($C4542,Hes!$A:$B, 1, FALSE), $M4542&lt;&gt;" "), "Ingresada", "Falta Ingresar"), " ")</f>
        <v xml:space="preserve"> </v>
      </c>
      <c r="L4542" s="4" t="str">
        <f>IFERROR(VLOOKUP($C4542,Observaciones!$A:$B,2,FALSE)," ")</f>
        <v>ULTIMO DIA, ESPERAR INFORME DE LUCIA, DEBE CUADRAR MONTOS</v>
      </c>
      <c r="M4542" t="s">
        <v>681</v>
      </c>
      <c r="O4542" s="5">
        <v>30860148</v>
      </c>
      <c r="P4542" s="5">
        <v>34490</v>
      </c>
      <c r="Q4542" s="5">
        <v>6553</v>
      </c>
      <c r="R4542" s="5">
        <v>41043</v>
      </c>
    </row>
    <row r="4543" spans="1:18" x14ac:dyDescent="0.25">
      <c r="A4543" t="s">
        <v>3</v>
      </c>
      <c r="B4543" t="s">
        <v>494</v>
      </c>
      <c r="C4543">
        <v>96545450</v>
      </c>
      <c r="D4543">
        <v>40</v>
      </c>
      <c r="E4543">
        <v>30860154</v>
      </c>
      <c r="F4543" t="s">
        <v>1660</v>
      </c>
      <c r="G4543" s="1">
        <v>45238</v>
      </c>
      <c r="H4543">
        <v>5414618</v>
      </c>
      <c r="I4543">
        <v>25</v>
      </c>
      <c r="J4543" t="s">
        <v>323</v>
      </c>
      <c r="K4543" t="str">
        <f>IFERROR(IF(AND(VLOOKUP($C4543,Hes!$A:$B, 1, FALSE), $M4543&lt;&gt;" "), "Ingresada", "Falta Ingresar"), " ")</f>
        <v xml:space="preserve"> </v>
      </c>
      <c r="L4543" s="4" t="str">
        <f>IFERROR(VLOOKUP($C4543,Observaciones!$A:$B,2,FALSE)," ")</f>
        <v>ULTIMO DIA, ESPERAR INFORME DE LUCIA, DEBE CUADRAR MONTOS</v>
      </c>
      <c r="M4543" t="s">
        <v>681</v>
      </c>
      <c r="O4543" s="5">
        <v>30860154</v>
      </c>
      <c r="P4543" s="5">
        <v>57990</v>
      </c>
      <c r="Q4543" s="5">
        <v>11018</v>
      </c>
      <c r="R4543" s="5">
        <v>69008</v>
      </c>
    </row>
    <row r="4544" spans="1:18" x14ac:dyDescent="0.25">
      <c r="A4544" t="s">
        <v>3</v>
      </c>
      <c r="B4544" t="s">
        <v>494</v>
      </c>
      <c r="C4544">
        <v>96545450</v>
      </c>
      <c r="D4544">
        <v>50</v>
      </c>
      <c r="E4544">
        <v>30860120</v>
      </c>
      <c r="F4544" t="s">
        <v>1660</v>
      </c>
      <c r="G4544" s="1">
        <v>45238</v>
      </c>
      <c r="H4544">
        <v>5414619</v>
      </c>
      <c r="I4544">
        <v>25</v>
      </c>
      <c r="J4544" t="s">
        <v>323</v>
      </c>
      <c r="K4544" t="str">
        <f>IFERROR(IF(AND(VLOOKUP($C4544,Hes!$A:$B, 1, FALSE), $M4544&lt;&gt;" "), "Ingresada", "Falta Ingresar"), " ")</f>
        <v xml:space="preserve"> </v>
      </c>
      <c r="L4544" s="4" t="str">
        <f>IFERROR(VLOOKUP($C4544,Observaciones!$A:$B,2,FALSE)," ")</f>
        <v>ULTIMO DIA, ESPERAR INFORME DE LUCIA, DEBE CUADRAR MONTOS</v>
      </c>
      <c r="M4544" t="s">
        <v>681</v>
      </c>
      <c r="O4544" s="5">
        <v>30860120</v>
      </c>
      <c r="P4544" s="5">
        <v>49447</v>
      </c>
      <c r="Q4544" s="5">
        <v>9395</v>
      </c>
      <c r="R4544" s="5">
        <v>58842</v>
      </c>
    </row>
    <row r="4545" spans="1:18" x14ac:dyDescent="0.25">
      <c r="A4545" t="s">
        <v>3</v>
      </c>
      <c r="B4545" t="s">
        <v>494</v>
      </c>
      <c r="C4545">
        <v>96545450</v>
      </c>
      <c r="D4545">
        <v>45</v>
      </c>
      <c r="E4545">
        <v>30860117</v>
      </c>
      <c r="F4545" t="s">
        <v>1660</v>
      </c>
      <c r="G4545" s="1">
        <v>45238</v>
      </c>
      <c r="H4545">
        <v>5414624</v>
      </c>
      <c r="I4545">
        <v>25</v>
      </c>
      <c r="J4545" t="s">
        <v>323</v>
      </c>
      <c r="K4545" t="str">
        <f>IFERROR(IF(AND(VLOOKUP($C4545,Hes!$A:$B, 1, FALSE), $M4545&lt;&gt;" "), "Ingresada", "Falta Ingresar"), " ")</f>
        <v xml:space="preserve"> </v>
      </c>
      <c r="L4545" s="4" t="str">
        <f>IFERROR(VLOOKUP($C4545,Observaciones!$A:$B,2,FALSE)," ")</f>
        <v>ULTIMO DIA, ESPERAR INFORME DE LUCIA, DEBE CUADRAR MONTOS</v>
      </c>
      <c r="M4545" t="s">
        <v>681</v>
      </c>
      <c r="O4545" s="5">
        <v>30860117</v>
      </c>
      <c r="P4545" s="5">
        <v>29761</v>
      </c>
      <c r="Q4545" s="5">
        <v>5655</v>
      </c>
      <c r="R4545" s="5">
        <v>35416</v>
      </c>
    </row>
    <row r="4546" spans="1:18" x14ac:dyDescent="0.25">
      <c r="A4546" t="s">
        <v>3</v>
      </c>
      <c r="B4546" t="s">
        <v>494</v>
      </c>
      <c r="C4546">
        <v>96545450</v>
      </c>
      <c r="D4546">
        <v>49</v>
      </c>
      <c r="E4546">
        <v>30860151</v>
      </c>
      <c r="F4546" t="s">
        <v>1660</v>
      </c>
      <c r="G4546" s="1">
        <v>45238</v>
      </c>
      <c r="H4546">
        <v>5414669</v>
      </c>
      <c r="I4546">
        <v>25</v>
      </c>
      <c r="J4546" t="s">
        <v>323</v>
      </c>
      <c r="K4546" t="str">
        <f>IFERROR(IF(AND(VLOOKUP($C4546,Hes!$A:$B, 1, FALSE), $M4546&lt;&gt;" "), "Ingresada", "Falta Ingresar"), " ")</f>
        <v xml:space="preserve"> </v>
      </c>
      <c r="L4546" s="4" t="str">
        <f>IFERROR(VLOOKUP($C4546,Observaciones!$A:$B,2,FALSE)," ")</f>
        <v>ULTIMO DIA, ESPERAR INFORME DE LUCIA, DEBE CUADRAR MONTOS</v>
      </c>
      <c r="M4546" t="s">
        <v>681</v>
      </c>
      <c r="O4546" s="5">
        <v>30860151</v>
      </c>
      <c r="P4546" s="5">
        <v>49756</v>
      </c>
      <c r="Q4546" s="5">
        <v>9454</v>
      </c>
      <c r="R4546" s="5">
        <v>59210</v>
      </c>
    </row>
    <row r="4547" spans="1:18" x14ac:dyDescent="0.25">
      <c r="A4547" t="s">
        <v>3</v>
      </c>
      <c r="B4547" t="s">
        <v>494</v>
      </c>
      <c r="C4547">
        <v>96545450</v>
      </c>
      <c r="D4547">
        <v>36</v>
      </c>
      <c r="E4547">
        <v>30860043</v>
      </c>
      <c r="F4547" t="s">
        <v>1660</v>
      </c>
      <c r="G4547" s="1">
        <v>45237</v>
      </c>
      <c r="H4547">
        <v>5414769</v>
      </c>
      <c r="I4547">
        <v>25</v>
      </c>
      <c r="J4547" t="s">
        <v>323</v>
      </c>
      <c r="K4547" t="str">
        <f>IFERROR(IF(AND(VLOOKUP($C4547,Hes!$A:$B, 1, FALSE), $M4547&lt;&gt;" "), "Ingresada", "Falta Ingresar"), " ")</f>
        <v xml:space="preserve"> </v>
      </c>
      <c r="L4547" s="4" t="str">
        <f>IFERROR(VLOOKUP($C4547,Observaciones!$A:$B,2,FALSE)," ")</f>
        <v>ULTIMO DIA, ESPERAR INFORME DE LUCIA, DEBE CUADRAR MONTOS</v>
      </c>
      <c r="M4547" t="s">
        <v>681</v>
      </c>
      <c r="O4547" s="5">
        <v>30860043</v>
      </c>
      <c r="P4547" s="5">
        <v>14746</v>
      </c>
      <c r="Q4547" s="5">
        <v>2802</v>
      </c>
      <c r="R4547" s="5">
        <v>17548</v>
      </c>
    </row>
    <row r="4548" spans="1:18" x14ac:dyDescent="0.25">
      <c r="A4548" t="s">
        <v>3</v>
      </c>
      <c r="B4548" t="s">
        <v>494</v>
      </c>
      <c r="C4548">
        <v>96545450</v>
      </c>
      <c r="D4548">
        <v>91</v>
      </c>
      <c r="E4548">
        <v>30860131</v>
      </c>
      <c r="F4548" t="s">
        <v>1660</v>
      </c>
      <c r="G4548" s="1">
        <v>45238</v>
      </c>
      <c r="H4548">
        <v>5414772</v>
      </c>
      <c r="I4548">
        <v>25</v>
      </c>
      <c r="J4548" t="s">
        <v>323</v>
      </c>
      <c r="K4548" t="str">
        <f>IFERROR(IF(AND(VLOOKUP($C4548,Hes!$A:$B, 1, FALSE), $M4548&lt;&gt;" "), "Ingresada", "Falta Ingresar"), " ")</f>
        <v xml:space="preserve"> </v>
      </c>
      <c r="L4548" s="4" t="str">
        <f>IFERROR(VLOOKUP($C4548,Observaciones!$A:$B,2,FALSE)," ")</f>
        <v>ULTIMO DIA, ESPERAR INFORME DE LUCIA, DEBE CUADRAR MONTOS</v>
      </c>
      <c r="M4548" t="s">
        <v>681</v>
      </c>
      <c r="O4548" s="5">
        <v>30860131</v>
      </c>
      <c r="P4548" s="5">
        <v>14991</v>
      </c>
      <c r="Q4548" s="5">
        <v>2848</v>
      </c>
      <c r="R4548" s="5">
        <v>17839</v>
      </c>
    </row>
    <row r="4549" spans="1:18" x14ac:dyDescent="0.25">
      <c r="A4549" t="s">
        <v>3</v>
      </c>
      <c r="B4549" t="s">
        <v>494</v>
      </c>
      <c r="C4549">
        <v>96545450</v>
      </c>
      <c r="D4549">
        <v>80</v>
      </c>
      <c r="E4549">
        <v>30860146</v>
      </c>
      <c r="F4549" t="s">
        <v>1660</v>
      </c>
      <c r="G4549" s="1">
        <v>45238</v>
      </c>
      <c r="H4549">
        <v>5415006</v>
      </c>
      <c r="I4549">
        <v>25</v>
      </c>
      <c r="J4549" t="s">
        <v>323</v>
      </c>
      <c r="K4549" t="str">
        <f>IFERROR(IF(AND(VLOOKUP($C4549,Hes!$A:$B, 1, FALSE), $M4549&lt;&gt;" "), "Ingresada", "Falta Ingresar"), " ")</f>
        <v xml:space="preserve"> </v>
      </c>
      <c r="L4549" s="4" t="str">
        <f>IFERROR(VLOOKUP($C4549,Observaciones!$A:$B,2,FALSE)," ")</f>
        <v>ULTIMO DIA, ESPERAR INFORME DE LUCIA, DEBE CUADRAR MONTOS</v>
      </c>
      <c r="M4549" t="s">
        <v>681</v>
      </c>
      <c r="O4549" s="5">
        <v>30860146</v>
      </c>
      <c r="P4549" s="5">
        <v>14965</v>
      </c>
      <c r="Q4549" s="5">
        <v>2843</v>
      </c>
      <c r="R4549" s="5">
        <v>17808</v>
      </c>
    </row>
    <row r="4550" spans="1:18" x14ac:dyDescent="0.25">
      <c r="A4550" t="s">
        <v>3</v>
      </c>
      <c r="B4550" t="s">
        <v>494</v>
      </c>
      <c r="C4550">
        <v>96545450</v>
      </c>
      <c r="D4550">
        <v>82</v>
      </c>
      <c r="E4550">
        <v>30860143</v>
      </c>
      <c r="F4550" t="s">
        <v>1660</v>
      </c>
      <c r="G4550" s="1">
        <v>45238</v>
      </c>
      <c r="H4550">
        <v>5415010</v>
      </c>
      <c r="I4550">
        <v>25</v>
      </c>
      <c r="J4550" t="s">
        <v>323</v>
      </c>
      <c r="K4550" t="str">
        <f>IFERROR(IF(AND(VLOOKUP($C4550,Hes!$A:$B, 1, FALSE), $M4550&lt;&gt;" "), "Ingresada", "Falta Ingresar"), " ")</f>
        <v xml:space="preserve"> </v>
      </c>
      <c r="L4550" s="4" t="str">
        <f>IFERROR(VLOOKUP($C4550,Observaciones!$A:$B,2,FALSE)," ")</f>
        <v>ULTIMO DIA, ESPERAR INFORME DE LUCIA, DEBE CUADRAR MONTOS</v>
      </c>
      <c r="M4550" t="s">
        <v>681</v>
      </c>
      <c r="O4550" s="5">
        <v>30860143</v>
      </c>
      <c r="P4550" s="5">
        <v>14896</v>
      </c>
      <c r="Q4550" s="5">
        <v>2830</v>
      </c>
      <c r="R4550" s="5">
        <v>17726</v>
      </c>
    </row>
    <row r="4551" spans="1:18" x14ac:dyDescent="0.25">
      <c r="A4551" t="s">
        <v>3</v>
      </c>
      <c r="B4551" t="s">
        <v>494</v>
      </c>
      <c r="C4551">
        <v>96545450</v>
      </c>
      <c r="D4551">
        <v>78</v>
      </c>
      <c r="E4551">
        <v>30860139</v>
      </c>
      <c r="F4551" t="s">
        <v>1660</v>
      </c>
      <c r="G4551" s="1">
        <v>45238</v>
      </c>
      <c r="H4551">
        <v>5415146</v>
      </c>
      <c r="I4551">
        <v>25</v>
      </c>
      <c r="J4551" t="s">
        <v>323</v>
      </c>
      <c r="K4551" t="str">
        <f>IFERROR(IF(AND(VLOOKUP($C4551,Hes!$A:$B, 1, FALSE), $M4551&lt;&gt;" "), "Ingresada", "Falta Ingresar"), " ")</f>
        <v xml:space="preserve"> </v>
      </c>
      <c r="L4551" s="4" t="str">
        <f>IFERROR(VLOOKUP($C4551,Observaciones!$A:$B,2,FALSE)," ")</f>
        <v>ULTIMO DIA, ESPERAR INFORME DE LUCIA, DEBE CUADRAR MONTOS</v>
      </c>
      <c r="M4551" t="s">
        <v>681</v>
      </c>
      <c r="O4551" s="5">
        <v>30860139</v>
      </c>
      <c r="P4551" s="5">
        <v>14896</v>
      </c>
      <c r="Q4551" s="5">
        <v>2830</v>
      </c>
      <c r="R4551" s="5">
        <v>17726</v>
      </c>
    </row>
    <row r="4552" spans="1:18" x14ac:dyDescent="0.25">
      <c r="F4552" t="s">
        <v>582</v>
      </c>
      <c r="K4552" t="str">
        <f>IFERROR(IF(AND(VLOOKUP($C4552,Hes!$A:$B, 1, FALSE), $M4552&lt;&gt;" "), "Ingresada", "Falta Ingresar"), " ")</f>
        <v xml:space="preserve"> </v>
      </c>
      <c r="L4552" s="4" t="str">
        <f>IFERROR(VLOOKUP($C4552,Observaciones!$A:$B,2,FALSE)," ")</f>
        <v xml:space="preserve"> </v>
      </c>
      <c r="M4552" t="s">
        <v>681</v>
      </c>
      <c r="P4552" s="5">
        <v>863717</v>
      </c>
      <c r="Q4552" s="5">
        <v>164104</v>
      </c>
      <c r="R4552" s="5">
        <v>1027821</v>
      </c>
    </row>
    <row r="4553" spans="1:18" x14ac:dyDescent="0.25">
      <c r="A4553" t="s">
        <v>503</v>
      </c>
      <c r="B4553" t="s">
        <v>502</v>
      </c>
      <c r="C4553">
        <v>96547580</v>
      </c>
      <c r="D4553">
        <v>26</v>
      </c>
      <c r="E4553" t="s">
        <v>1661</v>
      </c>
      <c r="F4553" t="s">
        <v>1662</v>
      </c>
      <c r="G4553" s="1">
        <v>45231</v>
      </c>
      <c r="H4553">
        <v>5410880</v>
      </c>
      <c r="I4553">
        <v>196</v>
      </c>
      <c r="J4553" t="s">
        <v>382</v>
      </c>
      <c r="K4553" t="str">
        <f>IFERROR(IF(AND(VLOOKUP($C4553,Hes!$A:$B, 1, FALSE), $M4553&lt;&gt;" "), "Ingresada", "Falta Ingresar"), " ")</f>
        <v xml:space="preserve"> </v>
      </c>
      <c r="L4553" s="4" t="s">
        <v>681</v>
      </c>
      <c r="M4553" t="s">
        <v>681</v>
      </c>
      <c r="O4553" s="5">
        <v>30844317</v>
      </c>
      <c r="P4553" s="5">
        <v>196095</v>
      </c>
      <c r="Q4553" s="5">
        <v>37258</v>
      </c>
      <c r="R4553" s="5">
        <v>233353</v>
      </c>
    </row>
    <row r="4554" spans="1:18" x14ac:dyDescent="0.25">
      <c r="A4554" t="s">
        <v>503</v>
      </c>
      <c r="B4554" t="s">
        <v>502</v>
      </c>
      <c r="C4554">
        <v>96547580</v>
      </c>
      <c r="D4554">
        <v>75</v>
      </c>
      <c r="E4554" t="s">
        <v>1663</v>
      </c>
      <c r="F4554" t="s">
        <v>1662</v>
      </c>
      <c r="G4554" s="1">
        <v>45231</v>
      </c>
      <c r="H4554">
        <v>5410884</v>
      </c>
      <c r="I4554">
        <v>196</v>
      </c>
      <c r="J4554" t="s">
        <v>382</v>
      </c>
      <c r="K4554" t="str">
        <f>IFERROR(IF(AND(VLOOKUP($C4554,Hes!$A:$B, 1, FALSE), $M4554&lt;&gt;" "), "Ingresada", "Falta Ingresar"), " ")</f>
        <v xml:space="preserve"> </v>
      </c>
      <c r="L4554" s="4" t="s">
        <v>681</v>
      </c>
      <c r="M4554" t="s">
        <v>681</v>
      </c>
      <c r="O4554" s="5">
        <v>30844622</v>
      </c>
      <c r="P4554" s="5">
        <v>360880</v>
      </c>
      <c r="Q4554" s="5">
        <v>68567</v>
      </c>
      <c r="R4554" s="5">
        <v>429447</v>
      </c>
    </row>
    <row r="4555" spans="1:18" x14ac:dyDescent="0.25">
      <c r="A4555" t="s">
        <v>503</v>
      </c>
      <c r="B4555" t="s">
        <v>502</v>
      </c>
      <c r="C4555">
        <v>96547580</v>
      </c>
      <c r="D4555">
        <v>75</v>
      </c>
      <c r="E4555" t="s">
        <v>1663</v>
      </c>
      <c r="F4555" t="s">
        <v>1662</v>
      </c>
      <c r="G4555" s="1">
        <v>45231</v>
      </c>
      <c r="H4555">
        <v>5410885</v>
      </c>
      <c r="I4555">
        <v>196</v>
      </c>
      <c r="J4555" t="s">
        <v>382</v>
      </c>
      <c r="K4555" t="str">
        <f>IFERROR(IF(AND(VLOOKUP($C4555,Hes!$A:$B, 1, FALSE), $M4555&lt;&gt;" "), "Ingresada", "Falta Ingresar"), " ")</f>
        <v xml:space="preserve"> </v>
      </c>
      <c r="L4555" s="4" t="s">
        <v>681</v>
      </c>
      <c r="M4555" t="s">
        <v>681</v>
      </c>
      <c r="O4555" s="5">
        <v>30844622</v>
      </c>
      <c r="P4555" s="5">
        <v>37578</v>
      </c>
      <c r="Q4555" s="5">
        <v>7140</v>
      </c>
      <c r="R4555" s="5">
        <v>44718</v>
      </c>
    </row>
    <row r="4556" spans="1:18" x14ac:dyDescent="0.25">
      <c r="A4556" t="s">
        <v>503</v>
      </c>
      <c r="B4556" t="s">
        <v>502</v>
      </c>
      <c r="C4556">
        <v>96547580</v>
      </c>
      <c r="D4556">
        <v>37</v>
      </c>
      <c r="E4556" t="s">
        <v>1664</v>
      </c>
      <c r="F4556" t="s">
        <v>1662</v>
      </c>
      <c r="G4556" s="1">
        <v>45232</v>
      </c>
      <c r="H4556">
        <v>5410923</v>
      </c>
      <c r="I4556">
        <v>196</v>
      </c>
      <c r="J4556" t="s">
        <v>382</v>
      </c>
      <c r="K4556" t="str">
        <f>IFERROR(IF(AND(VLOOKUP($C4556,Hes!$A:$B, 1, FALSE), $M4556&lt;&gt;" "), "Ingresada", "Falta Ingresar"), " ")</f>
        <v xml:space="preserve"> </v>
      </c>
      <c r="L4556" s="4" t="s">
        <v>681</v>
      </c>
      <c r="M4556" t="s">
        <v>681</v>
      </c>
      <c r="O4556" s="5">
        <v>30844401</v>
      </c>
      <c r="P4556" s="5">
        <v>218601</v>
      </c>
      <c r="Q4556" s="5">
        <v>41534</v>
      </c>
      <c r="R4556" s="5">
        <v>260135</v>
      </c>
    </row>
    <row r="4557" spans="1:18" x14ac:dyDescent="0.25">
      <c r="A4557" t="s">
        <v>503</v>
      </c>
      <c r="B4557" t="s">
        <v>502</v>
      </c>
      <c r="C4557">
        <v>96547580</v>
      </c>
      <c r="D4557">
        <v>37</v>
      </c>
      <c r="E4557" t="s">
        <v>1664</v>
      </c>
      <c r="F4557" t="s">
        <v>1662</v>
      </c>
      <c r="G4557" s="1">
        <v>45232</v>
      </c>
      <c r="H4557">
        <v>5410924</v>
      </c>
      <c r="I4557">
        <v>196</v>
      </c>
      <c r="J4557" t="s">
        <v>382</v>
      </c>
      <c r="K4557" t="str">
        <f>IFERROR(IF(AND(VLOOKUP($C4557,Hes!$A:$B, 1, FALSE), $M4557&lt;&gt;" "), "Ingresada", "Falta Ingresar"), " ")</f>
        <v xml:space="preserve"> </v>
      </c>
      <c r="L4557" s="4" t="s">
        <v>681</v>
      </c>
      <c r="M4557" t="s">
        <v>681</v>
      </c>
      <c r="O4557" s="5">
        <v>30844401</v>
      </c>
      <c r="P4557" s="5">
        <v>14566</v>
      </c>
      <c r="Q4557" s="5">
        <v>2768</v>
      </c>
      <c r="R4557" s="5">
        <v>17334</v>
      </c>
    </row>
    <row r="4558" spans="1:18" x14ac:dyDescent="0.25">
      <c r="A4558" t="s">
        <v>503</v>
      </c>
      <c r="B4558" t="s">
        <v>502</v>
      </c>
      <c r="C4558">
        <v>96547580</v>
      </c>
      <c r="D4558">
        <v>45</v>
      </c>
      <c r="E4558" t="s">
        <v>1665</v>
      </c>
      <c r="F4558" t="s">
        <v>1662</v>
      </c>
      <c r="G4558" s="1">
        <v>45232</v>
      </c>
      <c r="H4558">
        <v>5410925</v>
      </c>
      <c r="I4558">
        <v>196</v>
      </c>
      <c r="J4558" t="s">
        <v>382</v>
      </c>
      <c r="K4558" t="str">
        <f>IFERROR(IF(AND(VLOOKUP($C4558,Hes!$A:$B, 1, FALSE), $M4558&lt;&gt;" "), "Ingresada", "Falta Ingresar"), " ")</f>
        <v xml:space="preserve"> </v>
      </c>
      <c r="L4558" s="4" t="s">
        <v>681</v>
      </c>
      <c r="M4558" t="s">
        <v>681</v>
      </c>
      <c r="O4558" s="5">
        <v>30844069</v>
      </c>
      <c r="P4558" s="5">
        <v>135238</v>
      </c>
      <c r="Q4558" s="5">
        <v>25695</v>
      </c>
      <c r="R4558" s="5">
        <v>160933</v>
      </c>
    </row>
    <row r="4559" spans="1:18" x14ac:dyDescent="0.25">
      <c r="A4559" t="s">
        <v>503</v>
      </c>
      <c r="B4559" t="s">
        <v>502</v>
      </c>
      <c r="C4559">
        <v>96547580</v>
      </c>
      <c r="D4559">
        <v>20</v>
      </c>
      <c r="E4559" t="s">
        <v>1666</v>
      </c>
      <c r="F4559" t="s">
        <v>1662</v>
      </c>
      <c r="G4559" s="1">
        <v>45232</v>
      </c>
      <c r="H4559">
        <v>5411098</v>
      </c>
      <c r="I4559">
        <v>196</v>
      </c>
      <c r="J4559" t="s">
        <v>382</v>
      </c>
      <c r="K4559" t="str">
        <f>IFERROR(IF(AND(VLOOKUP($C4559,Hes!$A:$B, 1, FALSE), $M4559&lt;&gt;" "), "Ingresada", "Falta Ingresar"), " ")</f>
        <v xml:space="preserve"> </v>
      </c>
      <c r="L4559" s="4" t="s">
        <v>681</v>
      </c>
      <c r="M4559" t="s">
        <v>681</v>
      </c>
      <c r="O4559" s="5">
        <v>30844161</v>
      </c>
      <c r="P4559" s="5">
        <v>418762</v>
      </c>
      <c r="Q4559" s="5">
        <v>79565</v>
      </c>
      <c r="R4559" s="5">
        <v>498327</v>
      </c>
    </row>
    <row r="4560" spans="1:18" x14ac:dyDescent="0.25">
      <c r="A4560" t="s">
        <v>503</v>
      </c>
      <c r="B4560" t="s">
        <v>502</v>
      </c>
      <c r="C4560">
        <v>96547580</v>
      </c>
      <c r="D4560">
        <v>74</v>
      </c>
      <c r="E4560" t="s">
        <v>1667</v>
      </c>
      <c r="F4560" t="s">
        <v>1662</v>
      </c>
      <c r="G4560" s="1">
        <v>45236</v>
      </c>
      <c r="H4560">
        <v>5412134</v>
      </c>
      <c r="I4560">
        <v>196</v>
      </c>
      <c r="J4560" t="s">
        <v>382</v>
      </c>
      <c r="K4560" t="str">
        <f>IFERROR(IF(AND(VLOOKUP($C4560,Hes!$A:$B, 1, FALSE), $M4560&lt;&gt;" "), "Ingresada", "Falta Ingresar"), " ")</f>
        <v xml:space="preserve"> </v>
      </c>
      <c r="L4560" s="4" t="s">
        <v>681</v>
      </c>
      <c r="M4560" t="s">
        <v>681</v>
      </c>
      <c r="O4560" s="5">
        <v>30844358</v>
      </c>
      <c r="P4560" s="5">
        <v>117912</v>
      </c>
      <c r="Q4560" s="5">
        <v>22403</v>
      </c>
      <c r="R4560" s="5">
        <v>140315</v>
      </c>
    </row>
    <row r="4561" spans="1:18" x14ac:dyDescent="0.25">
      <c r="A4561" t="s">
        <v>503</v>
      </c>
      <c r="B4561" t="s">
        <v>502</v>
      </c>
      <c r="C4561">
        <v>96547580</v>
      </c>
      <c r="D4561">
        <v>57</v>
      </c>
      <c r="E4561" t="s">
        <v>1668</v>
      </c>
      <c r="F4561" t="s">
        <v>1662</v>
      </c>
      <c r="G4561" s="1">
        <v>45234</v>
      </c>
      <c r="H4561">
        <v>5412135</v>
      </c>
      <c r="I4561">
        <v>196</v>
      </c>
      <c r="J4561" t="s">
        <v>382</v>
      </c>
      <c r="K4561" t="str">
        <f>IFERROR(IF(AND(VLOOKUP($C4561,Hes!$A:$B, 1, FALSE), $M4561&lt;&gt;" "), "Ingresada", "Falta Ingresar"), " ")</f>
        <v xml:space="preserve"> </v>
      </c>
      <c r="L4561" s="4" t="s">
        <v>681</v>
      </c>
      <c r="M4561" t="s">
        <v>681</v>
      </c>
      <c r="O4561" s="5">
        <v>30844600</v>
      </c>
      <c r="P4561" s="5">
        <v>106780</v>
      </c>
      <c r="Q4561" s="5">
        <v>20288</v>
      </c>
      <c r="R4561" s="5">
        <v>127068</v>
      </c>
    </row>
    <row r="4562" spans="1:18" x14ac:dyDescent="0.25">
      <c r="F4562" t="s">
        <v>514</v>
      </c>
      <c r="K4562" t="str">
        <f>IFERROR(IF(AND(VLOOKUP($C4562,Hes!$A:$B, 1, FALSE), $M4562&lt;&gt;" "), "Ingresada", "Falta Ingresar"), " ")</f>
        <v xml:space="preserve"> </v>
      </c>
      <c r="L4562" s="4" t="str">
        <f>IFERROR(VLOOKUP($C4562,Observaciones!$A:$B,2,FALSE)," ")</f>
        <v xml:space="preserve"> </v>
      </c>
      <c r="M4562" t="s">
        <v>681</v>
      </c>
      <c r="P4562" s="5">
        <v>1606412</v>
      </c>
      <c r="Q4562" s="5">
        <v>305218</v>
      </c>
      <c r="R4562" s="5">
        <v>1911630</v>
      </c>
    </row>
    <row r="4563" spans="1:18" x14ac:dyDescent="0.25">
      <c r="A4563" t="s">
        <v>503</v>
      </c>
      <c r="B4563" t="s">
        <v>494</v>
      </c>
      <c r="C4563">
        <v>96551880</v>
      </c>
      <c r="D4563">
        <v>0</v>
      </c>
      <c r="E4563">
        <v>3005009668</v>
      </c>
      <c r="F4563" t="s">
        <v>1669</v>
      </c>
      <c r="G4563" s="1">
        <v>45236</v>
      </c>
      <c r="H4563">
        <v>5412696</v>
      </c>
      <c r="I4563">
        <v>122</v>
      </c>
      <c r="J4563" t="s">
        <v>396</v>
      </c>
      <c r="K4563" t="str">
        <f>IFERROR(IF(AND(VLOOKUP($C4563,Hes!$A:$B, 1, FALSE), $M4563&lt;&gt;" "), "Ingresada", "Falta Ingresar"), " ")</f>
        <v xml:space="preserve"> </v>
      </c>
      <c r="L4563" s="4" t="str">
        <f>IFERROR(VLOOKUP($C4563,Observaciones!$A:$B,2,FALSE)," ")</f>
        <v xml:space="preserve"> </v>
      </c>
      <c r="M4563" t="s">
        <v>681</v>
      </c>
      <c r="O4563" s="5">
        <v>30844263</v>
      </c>
      <c r="P4563" s="5">
        <v>145617</v>
      </c>
      <c r="Q4563" s="5">
        <v>27667</v>
      </c>
      <c r="R4563" s="5">
        <v>173284</v>
      </c>
    </row>
    <row r="4564" spans="1:18" x14ac:dyDescent="0.25">
      <c r="F4564" t="s">
        <v>495</v>
      </c>
      <c r="K4564" t="str">
        <f>IFERROR(IF(AND(VLOOKUP($C4564,Hes!$A:$B, 1, FALSE), $M4564&lt;&gt;" "), "Ingresada", "Falta Ingresar"), " ")</f>
        <v xml:space="preserve"> </v>
      </c>
      <c r="L4564" s="4" t="str">
        <f>IFERROR(VLOOKUP($C4564,Observaciones!$A:$B,2,FALSE)," ")</f>
        <v xml:space="preserve"> </v>
      </c>
      <c r="M4564" t="s">
        <v>681</v>
      </c>
      <c r="P4564" s="5">
        <v>145617</v>
      </c>
      <c r="Q4564" s="5">
        <v>27667</v>
      </c>
      <c r="R4564" s="5">
        <v>173284</v>
      </c>
    </row>
    <row r="4565" spans="1:18" x14ac:dyDescent="0.25">
      <c r="A4565" t="s">
        <v>501</v>
      </c>
      <c r="B4565" t="s">
        <v>494</v>
      </c>
      <c r="C4565">
        <v>96552080</v>
      </c>
      <c r="D4565">
        <v>0</v>
      </c>
      <c r="E4565" t="s">
        <v>1670</v>
      </c>
      <c r="F4565" t="s">
        <v>1671</v>
      </c>
      <c r="G4565" s="1">
        <v>45236</v>
      </c>
      <c r="H4565">
        <v>5413498</v>
      </c>
      <c r="I4565">
        <v>14</v>
      </c>
      <c r="J4565" t="s">
        <v>309</v>
      </c>
      <c r="K4565" t="str">
        <f>IFERROR(IF(AND(VLOOKUP($C4565,Hes!$A:$B, 1, FALSE), $M4565&lt;&gt;" "), "Ingresada", "Falta Ingresar"), " ")</f>
        <v xml:space="preserve"> </v>
      </c>
      <c r="L4565" s="4" t="str">
        <f>IFERROR(VLOOKUP($C4565,Observaciones!$A:$B,2,FALSE)," ")</f>
        <v xml:space="preserve"> </v>
      </c>
      <c r="M4565" t="s">
        <v>681</v>
      </c>
      <c r="O4565" s="5">
        <v>30854739</v>
      </c>
      <c r="P4565" s="5">
        <v>502590</v>
      </c>
      <c r="Q4565" s="5">
        <v>95492</v>
      </c>
      <c r="R4565" s="5">
        <v>598082</v>
      </c>
    </row>
    <row r="4566" spans="1:18" x14ac:dyDescent="0.25">
      <c r="A4566" t="s">
        <v>501</v>
      </c>
      <c r="B4566" t="s">
        <v>494</v>
      </c>
      <c r="C4566">
        <v>96552080</v>
      </c>
      <c r="D4566">
        <v>0</v>
      </c>
      <c r="E4566" t="s">
        <v>1672</v>
      </c>
      <c r="F4566" t="s">
        <v>1671</v>
      </c>
      <c r="G4566" s="1">
        <v>45236</v>
      </c>
      <c r="H4566">
        <v>5413852</v>
      </c>
      <c r="I4566">
        <v>14</v>
      </c>
      <c r="J4566" t="s">
        <v>309</v>
      </c>
      <c r="K4566" t="str">
        <f>IFERROR(IF(AND(VLOOKUP($C4566,Hes!$A:$B, 1, FALSE), $M4566&lt;&gt;" "), "Ingresada", "Falta Ingresar"), " ")</f>
        <v xml:space="preserve"> </v>
      </c>
      <c r="L4566" s="4" t="str">
        <f>IFERROR(VLOOKUP($C4566,Observaciones!$A:$B,2,FALSE)," ")</f>
        <v xml:space="preserve"> </v>
      </c>
      <c r="M4566" t="s">
        <v>681</v>
      </c>
      <c r="O4566" s="5">
        <v>30854819</v>
      </c>
      <c r="P4566" s="5">
        <v>248531</v>
      </c>
      <c r="Q4566" s="5">
        <v>47221</v>
      </c>
      <c r="R4566" s="5">
        <v>295752</v>
      </c>
    </row>
    <row r="4567" spans="1:18" x14ac:dyDescent="0.25">
      <c r="F4567" t="s">
        <v>497</v>
      </c>
      <c r="K4567" t="str">
        <f>IFERROR(IF(AND(VLOOKUP($C4567,Hes!$A:$B, 1, FALSE), $M4567&lt;&gt;" "), "Ingresada", "Falta Ingresar"), " ")</f>
        <v xml:space="preserve"> </v>
      </c>
      <c r="L4567" s="4" t="str">
        <f>IFERROR(VLOOKUP($C4567,Observaciones!$A:$B,2,FALSE)," ")</f>
        <v xml:space="preserve"> </v>
      </c>
      <c r="M4567" t="s">
        <v>681</v>
      </c>
      <c r="P4567" s="5">
        <v>751121</v>
      </c>
      <c r="Q4567" s="5">
        <v>142713</v>
      </c>
      <c r="R4567" s="5">
        <v>893834</v>
      </c>
    </row>
    <row r="4568" spans="1:18" x14ac:dyDescent="0.25">
      <c r="A4568" t="s">
        <v>501</v>
      </c>
      <c r="B4568" t="s">
        <v>494</v>
      </c>
      <c r="C4568">
        <v>96555630</v>
      </c>
      <c r="D4568">
        <v>0</v>
      </c>
      <c r="E4568" t="s">
        <v>1673</v>
      </c>
      <c r="F4568" t="s">
        <v>1674</v>
      </c>
      <c r="G4568" s="1">
        <v>45232</v>
      </c>
      <c r="H4568">
        <v>5410785</v>
      </c>
      <c r="I4568">
        <v>81</v>
      </c>
      <c r="J4568" t="s">
        <v>144</v>
      </c>
      <c r="K4568" t="str">
        <f>IFERROR(IF(AND(VLOOKUP($C4568,Hes!$A:$B, 1, FALSE), $M4568&lt;&gt;" "), "Ingresada", "Falta Ingresar"), " ")</f>
        <v xml:space="preserve"> </v>
      </c>
      <c r="L4568" s="4" t="str">
        <f>IFERROR(VLOOKUP($C4568,Observaciones!$A:$B,2,FALSE)," ")</f>
        <v xml:space="preserve"> </v>
      </c>
      <c r="M4568" t="s">
        <v>681</v>
      </c>
      <c r="O4568" s="5">
        <v>30845312</v>
      </c>
      <c r="P4568" s="5">
        <v>44233</v>
      </c>
      <c r="Q4568" s="5">
        <v>8404</v>
      </c>
      <c r="R4568" s="5">
        <v>52637</v>
      </c>
    </row>
    <row r="4569" spans="1:18" x14ac:dyDescent="0.25">
      <c r="F4569" t="s">
        <v>495</v>
      </c>
      <c r="K4569" t="str">
        <f>IFERROR(IF(AND(VLOOKUP($C4569,Hes!$A:$B, 1, FALSE), $M4569&lt;&gt;" "), "Ingresada", "Falta Ingresar"), " ")</f>
        <v xml:space="preserve"> </v>
      </c>
      <c r="L4569" s="4" t="str">
        <f>IFERROR(VLOOKUP($C4569,Observaciones!$A:$B,2,FALSE)," ")</f>
        <v xml:space="preserve"> </v>
      </c>
      <c r="M4569" t="s">
        <v>681</v>
      </c>
      <c r="P4569" s="5">
        <v>44233</v>
      </c>
      <c r="Q4569" s="5">
        <v>8404</v>
      </c>
      <c r="R4569" s="5">
        <v>52637</v>
      </c>
    </row>
    <row r="4570" spans="1:18" x14ac:dyDescent="0.25">
      <c r="A4570" t="s">
        <v>496</v>
      </c>
      <c r="B4570" t="s">
        <v>494</v>
      </c>
      <c r="C4570">
        <v>96561560</v>
      </c>
      <c r="D4570">
        <v>110</v>
      </c>
      <c r="E4570" t="s">
        <v>1675</v>
      </c>
      <c r="F4570" t="s">
        <v>1676</v>
      </c>
      <c r="G4570" s="1">
        <v>45233</v>
      </c>
      <c r="H4570">
        <v>5411245</v>
      </c>
      <c r="I4570">
        <v>63</v>
      </c>
      <c r="J4570" t="s">
        <v>170</v>
      </c>
      <c r="K4570" t="str">
        <f>IFERROR(IF(AND(VLOOKUP($C4570,Hes!$A:$B, 1, FALSE), $M4570&lt;&gt;" "), "Ingresada", "Falta Ingresar"), " ")</f>
        <v xml:space="preserve"> </v>
      </c>
      <c r="L4570" s="4" t="str">
        <f>IFERROR(VLOOKUP($C4570,Observaciones!$A:$B,2,FALSE)," ")</f>
        <v xml:space="preserve"> </v>
      </c>
      <c r="M4570" t="s">
        <v>681</v>
      </c>
      <c r="O4570" s="5">
        <v>30823391</v>
      </c>
      <c r="P4570" s="5">
        <v>1061842</v>
      </c>
      <c r="Q4570" s="5">
        <v>201750</v>
      </c>
      <c r="R4570" s="5">
        <v>1264896</v>
      </c>
    </row>
    <row r="4571" spans="1:18" x14ac:dyDescent="0.25">
      <c r="A4571" t="s">
        <v>496</v>
      </c>
      <c r="B4571" t="s">
        <v>494</v>
      </c>
      <c r="C4571">
        <v>96561560</v>
      </c>
      <c r="D4571">
        <v>110</v>
      </c>
      <c r="E4571" t="s">
        <v>1675</v>
      </c>
      <c r="F4571" t="s">
        <v>1676</v>
      </c>
      <c r="G4571" s="1">
        <v>45233</v>
      </c>
      <c r="H4571">
        <v>5411246</v>
      </c>
      <c r="I4571">
        <v>63</v>
      </c>
      <c r="J4571" t="s">
        <v>170</v>
      </c>
      <c r="K4571" t="str">
        <f>IFERROR(IF(AND(VLOOKUP($C4571,Hes!$A:$B, 1, FALSE), $M4571&lt;&gt;" "), "Ingresada", "Falta Ingresar"), " ")</f>
        <v xml:space="preserve"> </v>
      </c>
      <c r="L4571" s="4" t="str">
        <f>IFERROR(VLOOKUP($C4571,Observaciones!$A:$B,2,FALSE)," ")</f>
        <v xml:space="preserve"> </v>
      </c>
      <c r="M4571" t="s">
        <v>681</v>
      </c>
      <c r="O4571" s="5">
        <v>30823391</v>
      </c>
      <c r="P4571" s="5">
        <v>199143</v>
      </c>
      <c r="Q4571" s="5">
        <v>37837</v>
      </c>
      <c r="R4571" s="5">
        <v>236980</v>
      </c>
    </row>
    <row r="4572" spans="1:18" x14ac:dyDescent="0.25">
      <c r="F4572" t="s">
        <v>497</v>
      </c>
      <c r="K4572" t="str">
        <f>IFERROR(IF(AND(VLOOKUP($C4572,Hes!$A:$B, 1, FALSE), $M4572&lt;&gt;" "), "Ingresada", "Falta Ingresar"), " ")</f>
        <v xml:space="preserve"> </v>
      </c>
      <c r="L4572" s="4" t="str">
        <f>IFERROR(VLOOKUP($C4572,Observaciones!$A:$B,2,FALSE)," ")</f>
        <v xml:space="preserve"> </v>
      </c>
      <c r="M4572" t="s">
        <v>681</v>
      </c>
      <c r="P4572" s="5">
        <v>1260985</v>
      </c>
      <c r="Q4572" s="5">
        <v>239587</v>
      </c>
      <c r="R4572" s="5">
        <v>1501876</v>
      </c>
    </row>
    <row r="4573" spans="1:18" x14ac:dyDescent="0.25">
      <c r="A4573" t="s">
        <v>501</v>
      </c>
      <c r="B4573" t="s">
        <v>494</v>
      </c>
      <c r="C4573">
        <v>96563570</v>
      </c>
      <c r="D4573">
        <v>802</v>
      </c>
      <c r="E4573" t="s">
        <v>1677</v>
      </c>
      <c r="F4573" t="s">
        <v>1678</v>
      </c>
      <c r="G4573" s="1">
        <v>45231</v>
      </c>
      <c r="H4573">
        <v>5410900</v>
      </c>
      <c r="I4573">
        <v>411</v>
      </c>
      <c r="J4573" t="s">
        <v>204</v>
      </c>
      <c r="K4573" t="str">
        <f>IFERROR(IF(AND(VLOOKUP($C4573,Hes!$A:$B, 1, FALSE), $M4573&lt;&gt;" "), "Ingresada", "Falta Ingresar"), " ")</f>
        <v xml:space="preserve"> </v>
      </c>
      <c r="L4573" s="4" t="str">
        <f>IFERROR(VLOOKUP($C4573,Observaciones!$A:$B,2,FALSE)," ")</f>
        <v xml:space="preserve"> </v>
      </c>
      <c r="M4573" t="s">
        <v>681</v>
      </c>
      <c r="O4573" s="5">
        <v>30845280</v>
      </c>
      <c r="P4573" s="5">
        <v>74708</v>
      </c>
      <c r="Q4573" s="5">
        <v>14195</v>
      </c>
      <c r="R4573" s="5">
        <v>88903</v>
      </c>
    </row>
    <row r="4574" spans="1:18" x14ac:dyDescent="0.25">
      <c r="A4574" t="s">
        <v>501</v>
      </c>
      <c r="B4574" t="s">
        <v>494</v>
      </c>
      <c r="C4574">
        <v>96563570</v>
      </c>
      <c r="D4574">
        <v>220</v>
      </c>
      <c r="E4574">
        <v>30854406</v>
      </c>
      <c r="F4574" t="s">
        <v>1678</v>
      </c>
      <c r="G4574" s="1">
        <v>45236</v>
      </c>
      <c r="H4574">
        <v>5413330</v>
      </c>
      <c r="I4574">
        <v>411</v>
      </c>
      <c r="J4574" t="s">
        <v>204</v>
      </c>
      <c r="K4574" t="str">
        <f>IFERROR(IF(AND(VLOOKUP($C4574,Hes!$A:$B, 1, FALSE), $M4574&lt;&gt;" "), "Ingresada", "Falta Ingresar"), " ")</f>
        <v xml:space="preserve"> </v>
      </c>
      <c r="L4574" s="4" t="str">
        <f>IFERROR(VLOOKUP($C4574,Observaciones!$A:$B,2,FALSE)," ")</f>
        <v xml:space="preserve"> </v>
      </c>
      <c r="M4574" t="s">
        <v>681</v>
      </c>
      <c r="O4574" s="5">
        <v>30854406</v>
      </c>
      <c r="P4574" s="5">
        <v>61500</v>
      </c>
      <c r="Q4574" s="5">
        <v>11685</v>
      </c>
      <c r="R4574" s="5">
        <v>73185</v>
      </c>
    </row>
    <row r="4575" spans="1:18" x14ac:dyDescent="0.25">
      <c r="A4575" t="s">
        <v>501</v>
      </c>
      <c r="B4575" t="s">
        <v>494</v>
      </c>
      <c r="C4575">
        <v>96563570</v>
      </c>
      <c r="D4575">
        <v>800</v>
      </c>
      <c r="E4575">
        <v>30854948</v>
      </c>
      <c r="F4575" t="s">
        <v>1678</v>
      </c>
      <c r="G4575" s="1">
        <v>45236</v>
      </c>
      <c r="H4575">
        <v>5413710</v>
      </c>
      <c r="I4575">
        <v>411</v>
      </c>
      <c r="J4575" t="s">
        <v>204</v>
      </c>
      <c r="K4575" t="str">
        <f>IFERROR(IF(AND(VLOOKUP($C4575,Hes!$A:$B, 1, FALSE), $M4575&lt;&gt;" "), "Ingresada", "Falta Ingresar"), " ")</f>
        <v xml:space="preserve"> </v>
      </c>
      <c r="L4575" s="4" t="str">
        <f>IFERROR(VLOOKUP($C4575,Observaciones!$A:$B,2,FALSE)," ")</f>
        <v xml:space="preserve"> </v>
      </c>
      <c r="M4575" t="s">
        <v>681</v>
      </c>
      <c r="O4575" s="5">
        <v>30854948</v>
      </c>
      <c r="P4575" s="5">
        <v>287552</v>
      </c>
      <c r="Q4575" s="5">
        <v>54635</v>
      </c>
      <c r="R4575" s="5">
        <v>342187</v>
      </c>
    </row>
    <row r="4576" spans="1:18" x14ac:dyDescent="0.25">
      <c r="A4576" t="s">
        <v>501</v>
      </c>
      <c r="B4576" t="s">
        <v>494</v>
      </c>
      <c r="C4576">
        <v>96563570</v>
      </c>
      <c r="D4576">
        <v>102</v>
      </c>
      <c r="E4576">
        <v>30865220</v>
      </c>
      <c r="F4576" t="s">
        <v>1678</v>
      </c>
      <c r="G4576" s="1">
        <v>45238</v>
      </c>
      <c r="H4576">
        <v>5415720</v>
      </c>
      <c r="I4576">
        <v>411</v>
      </c>
      <c r="J4576" t="s">
        <v>204</v>
      </c>
      <c r="K4576" t="str">
        <f>IFERROR(IF(AND(VLOOKUP($C4576,Hes!$A:$B, 1, FALSE), $M4576&lt;&gt;" "), "Ingresada", "Falta Ingresar"), " ")</f>
        <v xml:space="preserve"> </v>
      </c>
      <c r="L4576" s="4" t="str">
        <f>IFERROR(VLOOKUP($C4576,Observaciones!$A:$B,2,FALSE)," ")</f>
        <v xml:space="preserve"> </v>
      </c>
      <c r="M4576" t="s">
        <v>681</v>
      </c>
      <c r="O4576" s="5">
        <v>30865220</v>
      </c>
      <c r="P4576" s="5">
        <v>170602</v>
      </c>
      <c r="Q4576" s="5">
        <v>32414</v>
      </c>
      <c r="R4576" s="5">
        <v>203016</v>
      </c>
    </row>
    <row r="4577" spans="1:18" x14ac:dyDescent="0.25">
      <c r="F4577" t="s">
        <v>498</v>
      </c>
      <c r="K4577" t="str">
        <f>IFERROR(IF(AND(VLOOKUP($C4577,Hes!$A:$B, 1, FALSE), $M4577&lt;&gt;" "), "Ingresada", "Falta Ingresar"), " ")</f>
        <v xml:space="preserve"> </v>
      </c>
      <c r="L4577" s="4" t="str">
        <f>IFERROR(VLOOKUP($C4577,Observaciones!$A:$B,2,FALSE)," ")</f>
        <v xml:space="preserve"> </v>
      </c>
      <c r="M4577" t="s">
        <v>681</v>
      </c>
      <c r="P4577" s="5">
        <v>594362</v>
      </c>
      <c r="Q4577" s="5">
        <v>112929</v>
      </c>
      <c r="R4577" s="5">
        <v>707291</v>
      </c>
    </row>
    <row r="4578" spans="1:18" x14ac:dyDescent="0.25">
      <c r="A4578" t="s">
        <v>501</v>
      </c>
      <c r="B4578" t="s">
        <v>494</v>
      </c>
      <c r="C4578">
        <v>96571890</v>
      </c>
      <c r="D4578">
        <v>165</v>
      </c>
      <c r="E4578">
        <v>30841767</v>
      </c>
      <c r="F4578" t="s">
        <v>1679</v>
      </c>
      <c r="G4578" s="1">
        <v>45232</v>
      </c>
      <c r="H4578">
        <v>5410675</v>
      </c>
      <c r="I4578">
        <v>72</v>
      </c>
      <c r="J4578" t="s">
        <v>176</v>
      </c>
      <c r="K4578" t="str">
        <f>IFERROR(IF(AND(VLOOKUP($C4578,Hes!$A:$B, 1, FALSE), $M4578&lt;&gt;" "), "Ingresada", "Falta Ingresar"), " ")</f>
        <v xml:space="preserve"> </v>
      </c>
      <c r="L4578" s="4" t="str">
        <f>IFERROR(VLOOKUP($C4578,Observaciones!$A:$B,2,FALSE)," ")</f>
        <v xml:space="preserve"> </v>
      </c>
      <c r="M4578" t="s">
        <v>681</v>
      </c>
      <c r="O4578" s="5">
        <v>30841767</v>
      </c>
      <c r="P4578" s="5">
        <v>59804</v>
      </c>
      <c r="Q4578" s="5">
        <v>11363</v>
      </c>
      <c r="R4578" s="5">
        <v>71167</v>
      </c>
    </row>
    <row r="4579" spans="1:18" x14ac:dyDescent="0.25">
      <c r="A4579" t="s">
        <v>501</v>
      </c>
      <c r="B4579" t="s">
        <v>494</v>
      </c>
      <c r="C4579">
        <v>96571890</v>
      </c>
      <c r="D4579">
        <v>139</v>
      </c>
      <c r="E4579">
        <v>30845583</v>
      </c>
      <c r="F4579" t="s">
        <v>1679</v>
      </c>
      <c r="G4579" s="1">
        <v>45232</v>
      </c>
      <c r="H4579">
        <v>5410758</v>
      </c>
      <c r="I4579">
        <v>72</v>
      </c>
      <c r="J4579" t="s">
        <v>176</v>
      </c>
      <c r="K4579" t="str">
        <f>IFERROR(IF(AND(VLOOKUP($C4579,Hes!$A:$B, 1, FALSE), $M4579&lt;&gt;" "), "Ingresada", "Falta Ingresar"), " ")</f>
        <v xml:space="preserve"> </v>
      </c>
      <c r="L4579" s="4" t="str">
        <f>IFERROR(VLOOKUP($C4579,Observaciones!$A:$B,2,FALSE)," ")</f>
        <v xml:space="preserve"> </v>
      </c>
      <c r="M4579" t="s">
        <v>681</v>
      </c>
      <c r="O4579" s="5">
        <v>30845583</v>
      </c>
      <c r="P4579" s="5">
        <v>83779</v>
      </c>
      <c r="Q4579" s="5">
        <v>15918</v>
      </c>
      <c r="R4579" s="5">
        <v>99697</v>
      </c>
    </row>
    <row r="4580" spans="1:18" x14ac:dyDescent="0.25">
      <c r="A4580" t="s">
        <v>501</v>
      </c>
      <c r="B4580" t="s">
        <v>494</v>
      </c>
      <c r="C4580">
        <v>96571890</v>
      </c>
      <c r="D4580">
        <v>25</v>
      </c>
      <c r="E4580">
        <v>30849073</v>
      </c>
      <c r="F4580" t="s">
        <v>1679</v>
      </c>
      <c r="G4580" s="1">
        <v>45233</v>
      </c>
      <c r="H4580">
        <v>5411317</v>
      </c>
      <c r="I4580">
        <v>72</v>
      </c>
      <c r="J4580" t="s">
        <v>176</v>
      </c>
      <c r="K4580" t="str">
        <f>IFERROR(IF(AND(VLOOKUP($C4580,Hes!$A:$B, 1, FALSE), $M4580&lt;&gt;" "), "Ingresada", "Falta Ingresar"), " ")</f>
        <v xml:space="preserve"> </v>
      </c>
      <c r="L4580" s="4" t="str">
        <f>IFERROR(VLOOKUP($C4580,Observaciones!$A:$B,2,FALSE)," ")</f>
        <v xml:space="preserve"> </v>
      </c>
      <c r="M4580" t="s">
        <v>681</v>
      </c>
      <c r="O4580" s="5">
        <v>30849073</v>
      </c>
      <c r="P4580" s="5">
        <v>53793</v>
      </c>
      <c r="Q4580" s="5">
        <v>10221</v>
      </c>
      <c r="R4580" s="5">
        <v>64014</v>
      </c>
    </row>
    <row r="4581" spans="1:18" x14ac:dyDescent="0.25">
      <c r="A4581" t="s">
        <v>501</v>
      </c>
      <c r="B4581" t="s">
        <v>494</v>
      </c>
      <c r="C4581">
        <v>96571890</v>
      </c>
      <c r="D4581">
        <v>4</v>
      </c>
      <c r="E4581">
        <v>30849879</v>
      </c>
      <c r="F4581" t="s">
        <v>1679</v>
      </c>
      <c r="G4581" s="1">
        <v>45233</v>
      </c>
      <c r="H4581">
        <v>5411431</v>
      </c>
      <c r="I4581">
        <v>72</v>
      </c>
      <c r="J4581" t="s">
        <v>176</v>
      </c>
      <c r="K4581" t="str">
        <f>IFERROR(IF(AND(VLOOKUP($C4581,Hes!$A:$B, 1, FALSE), $M4581&lt;&gt;" "), "Ingresada", "Falta Ingresar"), " ")</f>
        <v xml:space="preserve"> </v>
      </c>
      <c r="L4581" s="4" t="str">
        <f>IFERROR(VLOOKUP($C4581,Observaciones!$A:$B,2,FALSE)," ")</f>
        <v xml:space="preserve"> </v>
      </c>
      <c r="M4581" t="s">
        <v>681</v>
      </c>
      <c r="O4581" s="5">
        <v>30849879</v>
      </c>
      <c r="P4581" s="5">
        <v>222332</v>
      </c>
      <c r="Q4581" s="5">
        <v>42243</v>
      </c>
      <c r="R4581" s="5">
        <v>264575</v>
      </c>
    </row>
    <row r="4582" spans="1:18" x14ac:dyDescent="0.25">
      <c r="A4582" t="s">
        <v>501</v>
      </c>
      <c r="B4582" t="s">
        <v>494</v>
      </c>
      <c r="C4582">
        <v>96571890</v>
      </c>
      <c r="D4582">
        <v>181</v>
      </c>
      <c r="E4582">
        <v>30850308</v>
      </c>
      <c r="F4582" t="s">
        <v>1679</v>
      </c>
      <c r="G4582" s="1">
        <v>45233</v>
      </c>
      <c r="H4582">
        <v>5411690</v>
      </c>
      <c r="I4582">
        <v>72</v>
      </c>
      <c r="J4582" t="s">
        <v>176</v>
      </c>
      <c r="K4582" t="str">
        <f>IFERROR(IF(AND(VLOOKUP($C4582,Hes!$A:$B, 1, FALSE), $M4582&lt;&gt;" "), "Ingresada", "Falta Ingresar"), " ")</f>
        <v xml:space="preserve"> </v>
      </c>
      <c r="L4582" s="4" t="str">
        <f>IFERROR(VLOOKUP($C4582,Observaciones!$A:$B,2,FALSE)," ")</f>
        <v xml:space="preserve"> </v>
      </c>
      <c r="M4582" t="s">
        <v>681</v>
      </c>
      <c r="O4582" s="5">
        <v>30850308</v>
      </c>
      <c r="P4582" s="5">
        <v>98131</v>
      </c>
      <c r="Q4582" s="5">
        <v>18645</v>
      </c>
      <c r="R4582" s="5">
        <v>116776</v>
      </c>
    </row>
    <row r="4583" spans="1:18" x14ac:dyDescent="0.25">
      <c r="A4583" t="s">
        <v>501</v>
      </c>
      <c r="B4583" t="s">
        <v>494</v>
      </c>
      <c r="C4583">
        <v>96571890</v>
      </c>
      <c r="D4583">
        <v>198</v>
      </c>
      <c r="E4583">
        <v>30850402</v>
      </c>
      <c r="F4583" t="s">
        <v>1679</v>
      </c>
      <c r="G4583" s="1">
        <v>45234</v>
      </c>
      <c r="H4583">
        <v>5411875</v>
      </c>
      <c r="I4583">
        <v>72</v>
      </c>
      <c r="J4583" t="s">
        <v>176</v>
      </c>
      <c r="K4583" t="str">
        <f>IFERROR(IF(AND(VLOOKUP($C4583,Hes!$A:$B, 1, FALSE), $M4583&lt;&gt;" "), "Ingresada", "Falta Ingresar"), " ")</f>
        <v xml:space="preserve"> </v>
      </c>
      <c r="L4583" s="4" t="str">
        <f>IFERROR(VLOOKUP($C4583,Observaciones!$A:$B,2,FALSE)," ")</f>
        <v xml:space="preserve"> </v>
      </c>
      <c r="M4583" t="s">
        <v>681</v>
      </c>
      <c r="O4583" s="5">
        <v>30850402</v>
      </c>
      <c r="P4583" s="5">
        <v>28778</v>
      </c>
      <c r="Q4583" s="5">
        <v>5468</v>
      </c>
      <c r="R4583" s="5">
        <v>34246</v>
      </c>
    </row>
    <row r="4584" spans="1:18" x14ac:dyDescent="0.25">
      <c r="A4584" t="s">
        <v>501</v>
      </c>
      <c r="B4584" t="s">
        <v>494</v>
      </c>
      <c r="C4584">
        <v>96571890</v>
      </c>
      <c r="D4584">
        <v>150</v>
      </c>
      <c r="E4584">
        <v>30852105</v>
      </c>
      <c r="F4584" t="s">
        <v>1679</v>
      </c>
      <c r="G4584" s="1">
        <v>45234</v>
      </c>
      <c r="H4584">
        <v>5412077</v>
      </c>
      <c r="I4584">
        <v>72</v>
      </c>
      <c r="J4584" t="s">
        <v>176</v>
      </c>
      <c r="K4584" t="str">
        <f>IFERROR(IF(AND(VLOOKUP($C4584,Hes!$A:$B, 1, FALSE), $M4584&lt;&gt;" "), "Ingresada", "Falta Ingresar"), " ")</f>
        <v xml:space="preserve"> </v>
      </c>
      <c r="L4584" s="4" t="str">
        <f>IFERROR(VLOOKUP($C4584,Observaciones!$A:$B,2,FALSE)," ")</f>
        <v xml:space="preserve"> </v>
      </c>
      <c r="M4584" t="s">
        <v>681</v>
      </c>
      <c r="O4584" s="5">
        <v>30852105</v>
      </c>
      <c r="P4584" s="5">
        <v>40418</v>
      </c>
      <c r="Q4584" s="5">
        <v>7679</v>
      </c>
      <c r="R4584" s="5">
        <v>48097</v>
      </c>
    </row>
    <row r="4585" spans="1:18" x14ac:dyDescent="0.25">
      <c r="A4585" t="s">
        <v>501</v>
      </c>
      <c r="B4585" t="s">
        <v>494</v>
      </c>
      <c r="C4585">
        <v>96571890</v>
      </c>
      <c r="D4585">
        <v>174</v>
      </c>
      <c r="E4585">
        <v>30850130</v>
      </c>
      <c r="F4585" t="s">
        <v>1679</v>
      </c>
      <c r="G4585" s="1">
        <v>45234</v>
      </c>
      <c r="H4585">
        <v>5412201</v>
      </c>
      <c r="I4585">
        <v>72</v>
      </c>
      <c r="J4585" t="s">
        <v>176</v>
      </c>
      <c r="K4585" t="str">
        <f>IFERROR(IF(AND(VLOOKUP($C4585,Hes!$A:$B, 1, FALSE), $M4585&lt;&gt;" "), "Ingresada", "Falta Ingresar"), " ")</f>
        <v xml:space="preserve"> </v>
      </c>
      <c r="L4585" s="4" t="str">
        <f>IFERROR(VLOOKUP($C4585,Observaciones!$A:$B,2,FALSE)," ")</f>
        <v xml:space="preserve"> </v>
      </c>
      <c r="M4585" t="s">
        <v>681</v>
      </c>
      <c r="O4585" s="5">
        <v>30850130</v>
      </c>
      <c r="P4585" s="5">
        <v>29952</v>
      </c>
      <c r="Q4585" s="5">
        <v>5691</v>
      </c>
      <c r="R4585" s="5">
        <v>35643</v>
      </c>
    </row>
    <row r="4586" spans="1:18" x14ac:dyDescent="0.25">
      <c r="A4586" t="s">
        <v>501</v>
      </c>
      <c r="B4586" t="s">
        <v>494</v>
      </c>
      <c r="C4586">
        <v>96571890</v>
      </c>
      <c r="D4586">
        <v>221</v>
      </c>
      <c r="E4586">
        <v>30852100</v>
      </c>
      <c r="F4586" t="s">
        <v>1679</v>
      </c>
      <c r="G4586" s="1">
        <v>45236</v>
      </c>
      <c r="H4586">
        <v>5412985</v>
      </c>
      <c r="I4586">
        <v>72</v>
      </c>
      <c r="J4586" t="s">
        <v>176</v>
      </c>
      <c r="K4586" t="str">
        <f>IFERROR(IF(AND(VLOOKUP($C4586,Hes!$A:$B, 1, FALSE), $M4586&lt;&gt;" "), "Ingresada", "Falta Ingresar"), " ")</f>
        <v xml:space="preserve"> </v>
      </c>
      <c r="L4586" s="4" t="str">
        <f>IFERROR(VLOOKUP($C4586,Observaciones!$A:$B,2,FALSE)," ")</f>
        <v xml:space="preserve"> </v>
      </c>
      <c r="M4586" t="s">
        <v>681</v>
      </c>
      <c r="O4586" s="5">
        <v>30852100</v>
      </c>
      <c r="P4586" s="5">
        <v>99276</v>
      </c>
      <c r="Q4586" s="5">
        <v>18862</v>
      </c>
      <c r="R4586" s="5">
        <v>118138</v>
      </c>
    </row>
    <row r="4587" spans="1:18" x14ac:dyDescent="0.25">
      <c r="A4587" t="s">
        <v>501</v>
      </c>
      <c r="B4587" t="s">
        <v>494</v>
      </c>
      <c r="C4587">
        <v>96571890</v>
      </c>
      <c r="D4587">
        <v>230</v>
      </c>
      <c r="E4587">
        <v>30850390</v>
      </c>
      <c r="F4587" t="s">
        <v>1679</v>
      </c>
      <c r="G4587" s="1">
        <v>45236</v>
      </c>
      <c r="H4587">
        <v>5413209</v>
      </c>
      <c r="I4587">
        <v>72</v>
      </c>
      <c r="J4587" t="s">
        <v>176</v>
      </c>
      <c r="K4587" t="str">
        <f>IFERROR(IF(AND(VLOOKUP($C4587,Hes!$A:$B, 1, FALSE), $M4587&lt;&gt;" "), "Ingresada", "Falta Ingresar"), " ")</f>
        <v xml:space="preserve"> </v>
      </c>
      <c r="L4587" s="4" t="str">
        <f>IFERROR(VLOOKUP($C4587,Observaciones!$A:$B,2,FALSE)," ")</f>
        <v xml:space="preserve"> </v>
      </c>
      <c r="M4587" t="s">
        <v>681</v>
      </c>
      <c r="O4587" s="5">
        <v>30850390</v>
      </c>
      <c r="P4587" s="5">
        <v>146262</v>
      </c>
      <c r="Q4587" s="5">
        <v>27790</v>
      </c>
      <c r="R4587" s="5">
        <v>174052</v>
      </c>
    </row>
    <row r="4588" spans="1:18" x14ac:dyDescent="0.25">
      <c r="A4588" t="s">
        <v>501</v>
      </c>
      <c r="B4588" t="s">
        <v>494</v>
      </c>
      <c r="C4588">
        <v>96571890</v>
      </c>
      <c r="D4588">
        <v>25</v>
      </c>
      <c r="E4588">
        <v>30855172</v>
      </c>
      <c r="F4588" t="s">
        <v>1679</v>
      </c>
      <c r="G4588" s="1">
        <v>45236</v>
      </c>
      <c r="H4588">
        <v>5413548</v>
      </c>
      <c r="I4588">
        <v>72</v>
      </c>
      <c r="J4588" t="s">
        <v>176</v>
      </c>
      <c r="K4588" t="str">
        <f>IFERROR(IF(AND(VLOOKUP($C4588,Hes!$A:$B, 1, FALSE), $M4588&lt;&gt;" "), "Ingresada", "Falta Ingresar"), " ")</f>
        <v xml:space="preserve"> </v>
      </c>
      <c r="L4588" s="4" t="str">
        <f>IFERROR(VLOOKUP($C4588,Observaciones!$A:$B,2,FALSE)," ")</f>
        <v xml:space="preserve"> </v>
      </c>
      <c r="M4588" t="s">
        <v>681</v>
      </c>
      <c r="O4588" s="5">
        <v>30855172</v>
      </c>
      <c r="P4588" s="5">
        <v>279154</v>
      </c>
      <c r="Q4588" s="5">
        <v>53039</v>
      </c>
      <c r="R4588" s="5">
        <v>332193</v>
      </c>
    </row>
    <row r="4589" spans="1:18" x14ac:dyDescent="0.25">
      <c r="A4589" t="s">
        <v>501</v>
      </c>
      <c r="B4589" t="s">
        <v>494</v>
      </c>
      <c r="C4589">
        <v>96571890</v>
      </c>
      <c r="D4589">
        <v>45</v>
      </c>
      <c r="E4589">
        <v>30859860</v>
      </c>
      <c r="F4589" t="s">
        <v>1679</v>
      </c>
      <c r="G4589" s="1">
        <v>45237</v>
      </c>
      <c r="H4589">
        <v>5414156</v>
      </c>
      <c r="I4589">
        <v>72</v>
      </c>
      <c r="J4589" t="s">
        <v>176</v>
      </c>
      <c r="K4589" t="str">
        <f>IFERROR(IF(AND(VLOOKUP($C4589,Hes!$A:$B, 1, FALSE), $M4589&lt;&gt;" "), "Ingresada", "Falta Ingresar"), " ")</f>
        <v xml:space="preserve"> </v>
      </c>
      <c r="L4589" s="4" t="str">
        <f>IFERROR(VLOOKUP($C4589,Observaciones!$A:$B,2,FALSE)," ")</f>
        <v xml:space="preserve"> </v>
      </c>
      <c r="M4589" t="s">
        <v>681</v>
      </c>
      <c r="O4589" s="5">
        <v>30859860</v>
      </c>
      <c r="P4589" s="5">
        <v>18900</v>
      </c>
      <c r="Q4589" s="5">
        <v>3591</v>
      </c>
      <c r="R4589" s="5">
        <v>22491</v>
      </c>
    </row>
    <row r="4590" spans="1:18" x14ac:dyDescent="0.25">
      <c r="A4590" t="s">
        <v>501</v>
      </c>
      <c r="B4590" t="s">
        <v>494</v>
      </c>
      <c r="C4590">
        <v>96571890</v>
      </c>
      <c r="D4590">
        <v>198</v>
      </c>
      <c r="E4590">
        <v>30861372</v>
      </c>
      <c r="F4590" t="s">
        <v>1679</v>
      </c>
      <c r="G4590" s="1">
        <v>45237</v>
      </c>
      <c r="H4590">
        <v>5414266</v>
      </c>
      <c r="I4590">
        <v>72</v>
      </c>
      <c r="J4590" t="s">
        <v>176</v>
      </c>
      <c r="K4590" t="str">
        <f>IFERROR(IF(AND(VLOOKUP($C4590,Hes!$A:$B, 1, FALSE), $M4590&lt;&gt;" "), "Ingresada", "Falta Ingresar"), " ")</f>
        <v xml:space="preserve"> </v>
      </c>
      <c r="L4590" s="4" t="str">
        <f>IFERROR(VLOOKUP($C4590,Observaciones!$A:$B,2,FALSE)," ")</f>
        <v xml:space="preserve"> </v>
      </c>
      <c r="M4590" t="s">
        <v>681</v>
      </c>
      <c r="O4590" s="5">
        <v>30861372</v>
      </c>
      <c r="P4590" s="5">
        <v>19050</v>
      </c>
      <c r="Q4590" s="5">
        <v>3620</v>
      </c>
      <c r="R4590" s="5">
        <v>22670</v>
      </c>
    </row>
    <row r="4591" spans="1:18" x14ac:dyDescent="0.25">
      <c r="A4591" t="s">
        <v>501</v>
      </c>
      <c r="B4591" t="s">
        <v>494</v>
      </c>
      <c r="C4591">
        <v>96571890</v>
      </c>
      <c r="D4591">
        <v>212</v>
      </c>
      <c r="E4591">
        <v>30861389</v>
      </c>
      <c r="F4591" t="s">
        <v>1679</v>
      </c>
      <c r="G4591" s="1">
        <v>45238</v>
      </c>
      <c r="H4591">
        <v>5414815</v>
      </c>
      <c r="I4591">
        <v>72</v>
      </c>
      <c r="J4591" t="s">
        <v>176</v>
      </c>
      <c r="K4591" t="str">
        <f>IFERROR(IF(AND(VLOOKUP($C4591,Hes!$A:$B, 1, FALSE), $M4591&lt;&gt;" "), "Ingresada", "Falta Ingresar"), " ")</f>
        <v xml:space="preserve"> </v>
      </c>
      <c r="L4591" s="4" t="str">
        <f>IFERROR(VLOOKUP($C4591,Observaciones!$A:$B,2,FALSE)," ")</f>
        <v xml:space="preserve"> </v>
      </c>
      <c r="M4591" t="s">
        <v>681</v>
      </c>
      <c r="O4591" s="5">
        <v>30861389</v>
      </c>
      <c r="P4591" s="5">
        <v>52411</v>
      </c>
      <c r="Q4591" s="5">
        <v>9958</v>
      </c>
      <c r="R4591" s="5">
        <v>62369</v>
      </c>
    </row>
    <row r="4592" spans="1:18" x14ac:dyDescent="0.25">
      <c r="A4592" t="s">
        <v>501</v>
      </c>
      <c r="B4592" t="s">
        <v>494</v>
      </c>
      <c r="C4592">
        <v>96571890</v>
      </c>
      <c r="D4592">
        <v>266</v>
      </c>
      <c r="E4592">
        <v>30864465</v>
      </c>
      <c r="F4592" t="s">
        <v>1679</v>
      </c>
      <c r="G4592" s="1">
        <v>45238</v>
      </c>
      <c r="H4592">
        <v>5415502</v>
      </c>
      <c r="I4592">
        <v>72</v>
      </c>
      <c r="J4592" t="s">
        <v>176</v>
      </c>
      <c r="K4592" t="str">
        <f>IFERROR(IF(AND(VLOOKUP($C4592,Hes!$A:$B, 1, FALSE), $M4592&lt;&gt;" "), "Ingresada", "Falta Ingresar"), " ")</f>
        <v xml:space="preserve"> </v>
      </c>
      <c r="L4592" s="4" t="str">
        <f>IFERROR(VLOOKUP($C4592,Observaciones!$A:$B,2,FALSE)," ")</f>
        <v xml:space="preserve"> </v>
      </c>
      <c r="M4592" t="s">
        <v>681</v>
      </c>
      <c r="O4592" s="5">
        <v>30864465</v>
      </c>
      <c r="P4592" s="5">
        <v>77924</v>
      </c>
      <c r="Q4592" s="5">
        <v>14806</v>
      </c>
      <c r="R4592" s="5">
        <v>92730</v>
      </c>
    </row>
    <row r="4593" spans="1:18" x14ac:dyDescent="0.25">
      <c r="A4593" t="s">
        <v>501</v>
      </c>
      <c r="B4593" t="s">
        <v>494</v>
      </c>
      <c r="C4593">
        <v>96571890</v>
      </c>
      <c r="D4593">
        <v>256</v>
      </c>
      <c r="E4593">
        <v>30864468</v>
      </c>
      <c r="F4593" t="s">
        <v>1679</v>
      </c>
      <c r="G4593" s="1">
        <v>45238</v>
      </c>
      <c r="H4593">
        <v>5415503</v>
      </c>
      <c r="I4593">
        <v>72</v>
      </c>
      <c r="J4593" t="s">
        <v>176</v>
      </c>
      <c r="K4593" t="str">
        <f>IFERROR(IF(AND(VLOOKUP($C4593,Hes!$A:$B, 1, FALSE), $M4593&lt;&gt;" "), "Ingresada", "Falta Ingresar"), " ")</f>
        <v xml:space="preserve"> </v>
      </c>
      <c r="L4593" s="4" t="str">
        <f>IFERROR(VLOOKUP($C4593,Observaciones!$A:$B,2,FALSE)," ")</f>
        <v xml:space="preserve"> </v>
      </c>
      <c r="M4593" t="s">
        <v>681</v>
      </c>
      <c r="O4593" s="5">
        <v>30864468</v>
      </c>
      <c r="P4593" s="5">
        <v>17574</v>
      </c>
      <c r="Q4593" s="5">
        <v>3339</v>
      </c>
      <c r="R4593" s="5">
        <v>20913</v>
      </c>
    </row>
    <row r="4594" spans="1:18" x14ac:dyDescent="0.25">
      <c r="A4594" t="s">
        <v>501</v>
      </c>
      <c r="B4594" t="s">
        <v>494</v>
      </c>
      <c r="C4594">
        <v>96571890</v>
      </c>
      <c r="D4594">
        <v>145</v>
      </c>
      <c r="E4594">
        <v>30865206</v>
      </c>
      <c r="F4594" t="s">
        <v>1679</v>
      </c>
      <c r="G4594" s="1">
        <v>45238</v>
      </c>
      <c r="H4594">
        <v>5415519</v>
      </c>
      <c r="I4594">
        <v>72</v>
      </c>
      <c r="J4594" t="s">
        <v>176</v>
      </c>
      <c r="K4594" t="str">
        <f>IFERROR(IF(AND(VLOOKUP($C4594,Hes!$A:$B, 1, FALSE), $M4594&lt;&gt;" "), "Ingresada", "Falta Ingresar"), " ")</f>
        <v xml:space="preserve"> </v>
      </c>
      <c r="L4594" s="4" t="str">
        <f>IFERROR(VLOOKUP($C4594,Observaciones!$A:$B,2,FALSE)," ")</f>
        <v xml:space="preserve"> </v>
      </c>
      <c r="M4594" t="s">
        <v>681</v>
      </c>
      <c r="O4594" s="5">
        <v>30865206</v>
      </c>
      <c r="P4594" s="5">
        <v>177672</v>
      </c>
      <c r="Q4594" s="5">
        <v>33758</v>
      </c>
      <c r="R4594" s="5">
        <v>211430</v>
      </c>
    </row>
    <row r="4595" spans="1:18" x14ac:dyDescent="0.25">
      <c r="A4595" t="s">
        <v>501</v>
      </c>
      <c r="B4595" t="s">
        <v>494</v>
      </c>
      <c r="C4595">
        <v>96571890</v>
      </c>
      <c r="D4595">
        <v>136</v>
      </c>
      <c r="E4595">
        <v>30865417</v>
      </c>
      <c r="F4595" t="s">
        <v>1679</v>
      </c>
      <c r="G4595" s="1">
        <v>45238</v>
      </c>
      <c r="H4595">
        <v>5415547</v>
      </c>
      <c r="I4595">
        <v>72</v>
      </c>
      <c r="J4595" t="s">
        <v>176</v>
      </c>
      <c r="K4595" t="str">
        <f>IFERROR(IF(AND(VLOOKUP($C4595,Hes!$A:$B, 1, FALSE), $M4595&lt;&gt;" "), "Ingresada", "Falta Ingresar"), " ")</f>
        <v xml:space="preserve"> </v>
      </c>
      <c r="L4595" s="4" t="str">
        <f>IFERROR(VLOOKUP($C4595,Observaciones!$A:$B,2,FALSE)," ")</f>
        <v xml:space="preserve"> </v>
      </c>
      <c r="M4595" t="s">
        <v>681</v>
      </c>
      <c r="O4595" s="5">
        <v>30865417</v>
      </c>
      <c r="P4595" s="5">
        <v>110018</v>
      </c>
      <c r="Q4595" s="5">
        <v>20903</v>
      </c>
      <c r="R4595" s="5">
        <v>130921</v>
      </c>
    </row>
    <row r="4596" spans="1:18" x14ac:dyDescent="0.25">
      <c r="F4596" t="s">
        <v>526</v>
      </c>
      <c r="K4596" t="str">
        <f>IFERROR(IF(AND(VLOOKUP($C4596,Hes!$A:$B, 1, FALSE), $M4596&lt;&gt;" "), "Ingresada", "Falta Ingresar"), " ")</f>
        <v xml:space="preserve"> </v>
      </c>
      <c r="L4596" s="4" t="str">
        <f>IFERROR(VLOOKUP($C4596,Observaciones!$A:$B,2,FALSE)," ")</f>
        <v xml:space="preserve"> </v>
      </c>
      <c r="M4596" t="s">
        <v>681</v>
      </c>
      <c r="P4596" s="5">
        <v>1615228</v>
      </c>
      <c r="Q4596" s="5">
        <v>306894</v>
      </c>
      <c r="R4596" s="5">
        <v>1922122</v>
      </c>
    </row>
    <row r="4597" spans="1:18" x14ac:dyDescent="0.25">
      <c r="A4597" t="s">
        <v>1027</v>
      </c>
      <c r="B4597" t="s">
        <v>494</v>
      </c>
      <c r="C4597">
        <v>96572360</v>
      </c>
      <c r="D4597">
        <v>111</v>
      </c>
      <c r="E4597">
        <v>30849838</v>
      </c>
      <c r="F4597" t="s">
        <v>1680</v>
      </c>
      <c r="G4597" s="1">
        <v>45233</v>
      </c>
      <c r="H4597">
        <v>5411381</v>
      </c>
      <c r="I4597">
        <v>91</v>
      </c>
      <c r="J4597" t="s">
        <v>172</v>
      </c>
      <c r="K4597" s="8" t="str">
        <f>IFERROR(IF(AND(VLOOKUP($C4597,Hes!$A:$B, 1, FALSE), $M4597&lt;&gt;" "), "Ingresada", "Falta Ingresar"), " ")</f>
        <v>Falta Ingresar</v>
      </c>
      <c r="L4597" s="4" t="str">
        <f>IFERROR(VLOOKUP($C4597,Observaciones!$A:$B,2,FALSE)," ")</f>
        <v xml:space="preserve"> </v>
      </c>
      <c r="M4597" t="s">
        <v>681</v>
      </c>
      <c r="N4597" s="5" t="s">
        <v>841</v>
      </c>
      <c r="O4597" s="5">
        <v>30849838</v>
      </c>
      <c r="P4597" s="5">
        <v>31492</v>
      </c>
      <c r="Q4597" s="5">
        <v>5983</v>
      </c>
      <c r="R4597" s="5">
        <v>37475</v>
      </c>
    </row>
    <row r="4598" spans="1:18" x14ac:dyDescent="0.25">
      <c r="A4598" t="s">
        <v>1027</v>
      </c>
      <c r="B4598" t="s">
        <v>494</v>
      </c>
      <c r="C4598">
        <v>96572360</v>
      </c>
      <c r="D4598">
        <v>75</v>
      </c>
      <c r="E4598">
        <v>30849066</v>
      </c>
      <c r="F4598" t="s">
        <v>1680</v>
      </c>
      <c r="G4598" s="1">
        <v>45233</v>
      </c>
      <c r="H4598">
        <v>5411402</v>
      </c>
      <c r="I4598">
        <v>91</v>
      </c>
      <c r="J4598" t="s">
        <v>172</v>
      </c>
      <c r="K4598" s="8" t="str">
        <f>IFERROR(IF(AND(VLOOKUP($C4598,Hes!$A:$B, 1, FALSE), $M4598&lt;&gt;" "), "Ingresada", "Falta Ingresar"), " ")</f>
        <v>Falta Ingresar</v>
      </c>
      <c r="L4598" s="4" t="str">
        <f>IFERROR(VLOOKUP($C4598,Observaciones!$A:$B,2,FALSE)," ")</f>
        <v xml:space="preserve"> </v>
      </c>
      <c r="M4598" t="s">
        <v>681</v>
      </c>
      <c r="N4598" s="5" t="s">
        <v>841</v>
      </c>
      <c r="O4598" s="5">
        <v>30849066</v>
      </c>
      <c r="P4598" s="5">
        <v>1071440</v>
      </c>
      <c r="Q4598" s="5">
        <v>203574</v>
      </c>
      <c r="R4598" s="5">
        <v>1275014</v>
      </c>
    </row>
    <row r="4599" spans="1:18" x14ac:dyDescent="0.25">
      <c r="A4599" t="s">
        <v>1027</v>
      </c>
      <c r="B4599" t="s">
        <v>494</v>
      </c>
      <c r="C4599">
        <v>96572360</v>
      </c>
      <c r="D4599">
        <v>42</v>
      </c>
      <c r="E4599">
        <v>30850484</v>
      </c>
      <c r="F4599" t="s">
        <v>1680</v>
      </c>
      <c r="G4599" s="1">
        <v>45233</v>
      </c>
      <c r="H4599">
        <v>5411481</v>
      </c>
      <c r="I4599">
        <v>91</v>
      </c>
      <c r="J4599" t="s">
        <v>172</v>
      </c>
      <c r="K4599" s="8" t="str">
        <f>IFERROR(IF(AND(VLOOKUP($C4599,Hes!$A:$B, 1, FALSE), $M4599&lt;&gt;" "), "Ingresada", "Falta Ingresar"), " ")</f>
        <v>Falta Ingresar</v>
      </c>
      <c r="L4599" s="4" t="str">
        <f>IFERROR(VLOOKUP($C4599,Observaciones!$A:$B,2,FALSE)," ")</f>
        <v xml:space="preserve"> </v>
      </c>
      <c r="M4599" t="s">
        <v>681</v>
      </c>
      <c r="N4599" s="5" t="s">
        <v>841</v>
      </c>
      <c r="O4599" s="5">
        <v>30850484</v>
      </c>
      <c r="P4599" s="5">
        <v>57856</v>
      </c>
      <c r="Q4599" s="5">
        <v>10993</v>
      </c>
      <c r="R4599" s="5">
        <v>68849</v>
      </c>
    </row>
    <row r="4600" spans="1:18" x14ac:dyDescent="0.25">
      <c r="A4600" t="s">
        <v>1027</v>
      </c>
      <c r="B4600" t="s">
        <v>494</v>
      </c>
      <c r="C4600">
        <v>96572360</v>
      </c>
      <c r="D4600">
        <v>73</v>
      </c>
      <c r="E4600">
        <v>30850492</v>
      </c>
      <c r="F4600" t="s">
        <v>1680</v>
      </c>
      <c r="G4600" s="1">
        <v>45233</v>
      </c>
      <c r="H4600">
        <v>5411492</v>
      </c>
      <c r="I4600">
        <v>91</v>
      </c>
      <c r="J4600" t="s">
        <v>172</v>
      </c>
      <c r="K4600" s="8" t="str">
        <f>IFERROR(IF(AND(VLOOKUP($C4600,Hes!$A:$B, 1, FALSE), $M4600&lt;&gt;" "), "Ingresada", "Falta Ingresar"), " ")</f>
        <v>Falta Ingresar</v>
      </c>
      <c r="L4600" s="4" t="str">
        <f>IFERROR(VLOOKUP($C4600,Observaciones!$A:$B,2,FALSE)," ")</f>
        <v xml:space="preserve"> </v>
      </c>
      <c r="M4600" t="s">
        <v>681</v>
      </c>
      <c r="N4600" s="5" t="s">
        <v>841</v>
      </c>
      <c r="O4600" s="5">
        <v>30850492</v>
      </c>
      <c r="P4600" s="5">
        <v>33480</v>
      </c>
      <c r="Q4600" s="5">
        <v>6361</v>
      </c>
      <c r="R4600" s="5">
        <v>39841</v>
      </c>
    </row>
    <row r="4601" spans="1:18" x14ac:dyDescent="0.25">
      <c r="A4601" t="s">
        <v>1027</v>
      </c>
      <c r="B4601" t="s">
        <v>494</v>
      </c>
      <c r="C4601">
        <v>96572360</v>
      </c>
      <c r="D4601">
        <v>109</v>
      </c>
      <c r="E4601">
        <v>30849858</v>
      </c>
      <c r="F4601" t="s">
        <v>1680</v>
      </c>
      <c r="G4601" s="1">
        <v>45233</v>
      </c>
      <c r="H4601">
        <v>5411572</v>
      </c>
      <c r="I4601">
        <v>91</v>
      </c>
      <c r="J4601" t="s">
        <v>172</v>
      </c>
      <c r="K4601" s="8" t="str">
        <f>IFERROR(IF(AND(VLOOKUP($C4601,Hes!$A:$B, 1, FALSE), $M4601&lt;&gt;" "), "Ingresada", "Falta Ingresar"), " ")</f>
        <v>Falta Ingresar</v>
      </c>
      <c r="L4601" s="4" t="str">
        <f>IFERROR(VLOOKUP($C4601,Observaciones!$A:$B,2,FALSE)," ")</f>
        <v xml:space="preserve"> </v>
      </c>
      <c r="M4601" t="s">
        <v>681</v>
      </c>
      <c r="N4601" s="5" t="s">
        <v>841</v>
      </c>
      <c r="O4601" s="5">
        <v>30849858</v>
      </c>
      <c r="P4601" s="5">
        <v>5880</v>
      </c>
      <c r="Q4601" s="5">
        <v>1117</v>
      </c>
      <c r="R4601" s="5">
        <v>6997</v>
      </c>
    </row>
    <row r="4602" spans="1:18" x14ac:dyDescent="0.25">
      <c r="A4602" t="s">
        <v>1027</v>
      </c>
      <c r="B4602" t="s">
        <v>494</v>
      </c>
      <c r="C4602">
        <v>96572360</v>
      </c>
      <c r="D4602">
        <v>83</v>
      </c>
      <c r="E4602">
        <v>30850152</v>
      </c>
      <c r="F4602" t="s">
        <v>1680</v>
      </c>
      <c r="G4602" s="1">
        <v>45233</v>
      </c>
      <c r="H4602">
        <v>5411589</v>
      </c>
      <c r="I4602">
        <v>91</v>
      </c>
      <c r="J4602" t="s">
        <v>172</v>
      </c>
      <c r="K4602" s="8" t="str">
        <f>IFERROR(IF(AND(VLOOKUP($C4602,Hes!$A:$B, 1, FALSE), $M4602&lt;&gt;" "), "Ingresada", "Falta Ingresar"), " ")</f>
        <v>Falta Ingresar</v>
      </c>
      <c r="L4602" s="4" t="str">
        <f>IFERROR(VLOOKUP($C4602,Observaciones!$A:$B,2,FALSE)," ")</f>
        <v xml:space="preserve"> </v>
      </c>
      <c r="M4602" t="s">
        <v>681</v>
      </c>
      <c r="N4602" s="5" t="s">
        <v>841</v>
      </c>
      <c r="O4602" s="5">
        <v>30850152</v>
      </c>
      <c r="P4602" s="5">
        <v>10976</v>
      </c>
      <c r="Q4602" s="5">
        <v>2085</v>
      </c>
      <c r="R4602" s="5">
        <v>13061</v>
      </c>
    </row>
    <row r="4603" spans="1:18" x14ac:dyDescent="0.25">
      <c r="A4603" t="s">
        <v>1027</v>
      </c>
      <c r="B4603" t="s">
        <v>494</v>
      </c>
      <c r="C4603">
        <v>96572360</v>
      </c>
      <c r="D4603">
        <v>110</v>
      </c>
      <c r="E4603">
        <v>30849837</v>
      </c>
      <c r="F4603" t="s">
        <v>1680</v>
      </c>
      <c r="G4603" s="1">
        <v>45233</v>
      </c>
      <c r="H4603">
        <v>5411605</v>
      </c>
      <c r="I4603">
        <v>91</v>
      </c>
      <c r="J4603" t="s">
        <v>172</v>
      </c>
      <c r="K4603" s="8" t="str">
        <f>IFERROR(IF(AND(VLOOKUP($C4603,Hes!$A:$B, 1, FALSE), $M4603&lt;&gt;" "), "Ingresada", "Falta Ingresar"), " ")</f>
        <v>Falta Ingresar</v>
      </c>
      <c r="L4603" s="4" t="str">
        <f>IFERROR(VLOOKUP($C4603,Observaciones!$A:$B,2,FALSE)," ")</f>
        <v xml:space="preserve"> </v>
      </c>
      <c r="M4603" t="s">
        <v>681</v>
      </c>
      <c r="N4603" s="5" t="s">
        <v>841</v>
      </c>
      <c r="O4603" s="5">
        <v>30849837</v>
      </c>
      <c r="P4603" s="5">
        <v>26772</v>
      </c>
      <c r="Q4603" s="5">
        <v>5087</v>
      </c>
      <c r="R4603" s="5">
        <v>31859</v>
      </c>
    </row>
    <row r="4604" spans="1:18" x14ac:dyDescent="0.25">
      <c r="A4604" t="s">
        <v>1027</v>
      </c>
      <c r="B4604" t="s">
        <v>494</v>
      </c>
      <c r="C4604">
        <v>96572360</v>
      </c>
      <c r="D4604">
        <v>116</v>
      </c>
      <c r="E4604">
        <v>30850023</v>
      </c>
      <c r="F4604" t="s">
        <v>1680</v>
      </c>
      <c r="G4604" s="1">
        <v>45233</v>
      </c>
      <c r="H4604">
        <v>5411608</v>
      </c>
      <c r="I4604">
        <v>91</v>
      </c>
      <c r="J4604" t="s">
        <v>172</v>
      </c>
      <c r="K4604" s="8" t="str">
        <f>IFERROR(IF(AND(VLOOKUP($C4604,Hes!$A:$B, 1, FALSE), $M4604&lt;&gt;" "), "Ingresada", "Falta Ingresar"), " ")</f>
        <v>Falta Ingresar</v>
      </c>
      <c r="L4604" s="4" t="str">
        <f>IFERROR(VLOOKUP($C4604,Observaciones!$A:$B,2,FALSE)," ")</f>
        <v xml:space="preserve"> </v>
      </c>
      <c r="M4604" t="s">
        <v>681</v>
      </c>
      <c r="N4604" s="5" t="s">
        <v>841</v>
      </c>
      <c r="O4604" s="5">
        <v>30850023</v>
      </c>
      <c r="P4604" s="5">
        <v>13185</v>
      </c>
      <c r="Q4604" s="5">
        <v>2505</v>
      </c>
      <c r="R4604" s="5">
        <v>15690</v>
      </c>
    </row>
    <row r="4605" spans="1:18" x14ac:dyDescent="0.25">
      <c r="A4605" t="s">
        <v>1027</v>
      </c>
      <c r="B4605" t="s">
        <v>494</v>
      </c>
      <c r="C4605">
        <v>96572360</v>
      </c>
      <c r="D4605">
        <v>72</v>
      </c>
      <c r="E4605">
        <v>30850485</v>
      </c>
      <c r="F4605" t="s">
        <v>1680</v>
      </c>
      <c r="G4605" s="1">
        <v>45233</v>
      </c>
      <c r="H4605">
        <v>5411632</v>
      </c>
      <c r="I4605">
        <v>91</v>
      </c>
      <c r="J4605" t="s">
        <v>172</v>
      </c>
      <c r="K4605" s="8" t="str">
        <f>IFERROR(IF(AND(VLOOKUP($C4605,Hes!$A:$B, 1, FALSE), $M4605&lt;&gt;" "), "Ingresada", "Falta Ingresar"), " ")</f>
        <v>Falta Ingresar</v>
      </c>
      <c r="L4605" s="4" t="str">
        <f>IFERROR(VLOOKUP($C4605,Observaciones!$A:$B,2,FALSE)," ")</f>
        <v xml:space="preserve"> </v>
      </c>
      <c r="M4605" t="s">
        <v>681</v>
      </c>
      <c r="N4605" s="5" t="s">
        <v>841</v>
      </c>
      <c r="O4605" s="5">
        <v>30850485</v>
      </c>
      <c r="P4605" s="5">
        <v>51358</v>
      </c>
      <c r="Q4605" s="5">
        <v>9758</v>
      </c>
      <c r="R4605" s="5">
        <v>61116</v>
      </c>
    </row>
    <row r="4606" spans="1:18" x14ac:dyDescent="0.25">
      <c r="A4606" t="s">
        <v>1027</v>
      </c>
      <c r="B4606" t="s">
        <v>494</v>
      </c>
      <c r="C4606">
        <v>96572360</v>
      </c>
      <c r="D4606">
        <v>48</v>
      </c>
      <c r="E4606">
        <v>30852854</v>
      </c>
      <c r="F4606" t="s">
        <v>1680</v>
      </c>
      <c r="G4606" s="1">
        <v>45236</v>
      </c>
      <c r="H4606">
        <v>5412368</v>
      </c>
      <c r="I4606">
        <v>91</v>
      </c>
      <c r="J4606" t="s">
        <v>172</v>
      </c>
      <c r="K4606" s="8" t="str">
        <f>IFERROR(IF(AND(VLOOKUP($C4606,Hes!$A:$B, 1, FALSE), $M4606&lt;&gt;" "), "Ingresada", "Falta Ingresar"), " ")</f>
        <v>Falta Ingresar</v>
      </c>
      <c r="L4606" s="4" t="str">
        <f>IFERROR(VLOOKUP($C4606,Observaciones!$A:$B,2,FALSE)," ")</f>
        <v xml:space="preserve"> </v>
      </c>
      <c r="M4606" t="s">
        <v>681</v>
      </c>
      <c r="N4606" s="5" t="s">
        <v>841</v>
      </c>
      <c r="O4606" s="5">
        <v>30852854</v>
      </c>
      <c r="P4606" s="5">
        <v>60870</v>
      </c>
      <c r="Q4606" s="5">
        <v>11565</v>
      </c>
      <c r="R4606" s="5">
        <v>72435</v>
      </c>
    </row>
    <row r="4607" spans="1:18" x14ac:dyDescent="0.25">
      <c r="A4607" t="s">
        <v>1027</v>
      </c>
      <c r="B4607" t="s">
        <v>494</v>
      </c>
      <c r="C4607">
        <v>96572360</v>
      </c>
      <c r="D4607">
        <v>73</v>
      </c>
      <c r="E4607">
        <v>30852078</v>
      </c>
      <c r="F4607" t="s">
        <v>1680</v>
      </c>
      <c r="G4607" s="1">
        <v>45236</v>
      </c>
      <c r="H4607">
        <v>5412465</v>
      </c>
      <c r="I4607">
        <v>91</v>
      </c>
      <c r="J4607" t="s">
        <v>172</v>
      </c>
      <c r="K4607" s="8" t="str">
        <f>IFERROR(IF(AND(VLOOKUP($C4607,Hes!$A:$B, 1, FALSE), $M4607&lt;&gt;" "), "Ingresada", "Falta Ingresar"), " ")</f>
        <v>Falta Ingresar</v>
      </c>
      <c r="L4607" s="4" t="str">
        <f>IFERROR(VLOOKUP($C4607,Observaciones!$A:$B,2,FALSE)," ")</f>
        <v xml:space="preserve"> </v>
      </c>
      <c r="M4607" t="s">
        <v>681</v>
      </c>
      <c r="N4607" s="5" t="s">
        <v>841</v>
      </c>
      <c r="O4607" s="5">
        <v>30852078</v>
      </c>
      <c r="P4607" s="5">
        <v>53650</v>
      </c>
      <c r="Q4607" s="5">
        <v>10194</v>
      </c>
      <c r="R4607" s="5">
        <v>63844</v>
      </c>
    </row>
    <row r="4608" spans="1:18" x14ac:dyDescent="0.25">
      <c r="A4608" t="s">
        <v>1027</v>
      </c>
      <c r="B4608" t="s">
        <v>494</v>
      </c>
      <c r="C4608">
        <v>96572360</v>
      </c>
      <c r="D4608">
        <v>47</v>
      </c>
      <c r="E4608">
        <v>30852857</v>
      </c>
      <c r="F4608" t="s">
        <v>1680</v>
      </c>
      <c r="G4608" s="1">
        <v>45236</v>
      </c>
      <c r="H4608">
        <v>5412949</v>
      </c>
      <c r="I4608">
        <v>91</v>
      </c>
      <c r="J4608" t="s">
        <v>172</v>
      </c>
      <c r="K4608" s="8" t="str">
        <f>IFERROR(IF(AND(VLOOKUP($C4608,Hes!$A:$B, 1, FALSE), $M4608&lt;&gt;" "), "Ingresada", "Falta Ingresar"), " ")</f>
        <v>Falta Ingresar</v>
      </c>
      <c r="L4608" s="4" t="str">
        <f>IFERROR(VLOOKUP($C4608,Observaciones!$A:$B,2,FALSE)," ")</f>
        <v xml:space="preserve"> </v>
      </c>
      <c r="M4608" t="s">
        <v>681</v>
      </c>
      <c r="N4608" s="5" t="s">
        <v>841</v>
      </c>
      <c r="O4608" s="5">
        <v>30852857</v>
      </c>
      <c r="P4608" s="5">
        <v>6615</v>
      </c>
      <c r="Q4608" s="5">
        <v>1257</v>
      </c>
      <c r="R4608" s="5">
        <v>7872</v>
      </c>
    </row>
    <row r="4609" spans="1:18" x14ac:dyDescent="0.25">
      <c r="A4609" t="s">
        <v>1027</v>
      </c>
      <c r="B4609" t="s">
        <v>494</v>
      </c>
      <c r="C4609">
        <v>96572360</v>
      </c>
      <c r="D4609">
        <v>6</v>
      </c>
      <c r="E4609">
        <v>30852861</v>
      </c>
      <c r="F4609" t="s">
        <v>1680</v>
      </c>
      <c r="G4609" s="1">
        <v>45236</v>
      </c>
      <c r="H4609">
        <v>5412950</v>
      </c>
      <c r="I4609">
        <v>91</v>
      </c>
      <c r="J4609" t="s">
        <v>172</v>
      </c>
      <c r="K4609" s="8" t="str">
        <f>IFERROR(IF(AND(VLOOKUP($C4609,Hes!$A:$B, 1, FALSE), $M4609&lt;&gt;" "), "Ingresada", "Falta Ingresar"), " ")</f>
        <v>Falta Ingresar</v>
      </c>
      <c r="L4609" s="4" t="str">
        <f>IFERROR(VLOOKUP($C4609,Observaciones!$A:$B,2,FALSE)," ")</f>
        <v xml:space="preserve"> </v>
      </c>
      <c r="M4609" t="s">
        <v>681</v>
      </c>
      <c r="N4609" s="5" t="s">
        <v>841</v>
      </c>
      <c r="O4609" s="5">
        <v>30852861</v>
      </c>
      <c r="P4609" s="5">
        <v>53788</v>
      </c>
      <c r="Q4609" s="5">
        <v>10220</v>
      </c>
      <c r="R4609" s="5">
        <v>64008</v>
      </c>
    </row>
    <row r="4610" spans="1:18" x14ac:dyDescent="0.25">
      <c r="A4610" t="s">
        <v>1027</v>
      </c>
      <c r="B4610" t="s">
        <v>494</v>
      </c>
      <c r="C4610">
        <v>96572360</v>
      </c>
      <c r="D4610">
        <v>72</v>
      </c>
      <c r="E4610">
        <v>30852075</v>
      </c>
      <c r="F4610" t="s">
        <v>1680</v>
      </c>
      <c r="G4610" s="1">
        <v>45236</v>
      </c>
      <c r="H4610">
        <v>5413072</v>
      </c>
      <c r="I4610">
        <v>91</v>
      </c>
      <c r="J4610" t="s">
        <v>172</v>
      </c>
      <c r="K4610" s="8" t="str">
        <f>IFERROR(IF(AND(VLOOKUP($C4610,Hes!$A:$B, 1, FALSE), $M4610&lt;&gt;" "), "Ingresada", "Falta Ingresar"), " ")</f>
        <v>Falta Ingresar</v>
      </c>
      <c r="L4610" s="4" t="str">
        <f>IFERROR(VLOOKUP($C4610,Observaciones!$A:$B,2,FALSE)," ")</f>
        <v xml:space="preserve"> </v>
      </c>
      <c r="M4610" t="s">
        <v>681</v>
      </c>
      <c r="N4610" s="5" t="s">
        <v>841</v>
      </c>
      <c r="O4610" s="5">
        <v>30852075</v>
      </c>
      <c r="P4610" s="5">
        <v>27960</v>
      </c>
      <c r="Q4610" s="5">
        <v>5312</v>
      </c>
      <c r="R4610" s="5">
        <v>33272</v>
      </c>
    </row>
    <row r="4611" spans="1:18" x14ac:dyDescent="0.25">
      <c r="A4611" t="s">
        <v>1027</v>
      </c>
      <c r="B4611" t="s">
        <v>494</v>
      </c>
      <c r="C4611">
        <v>96572360</v>
      </c>
      <c r="D4611">
        <v>68</v>
      </c>
      <c r="E4611">
        <v>30856386</v>
      </c>
      <c r="F4611" t="s">
        <v>1680</v>
      </c>
      <c r="G4611" s="1">
        <v>45236</v>
      </c>
      <c r="H4611">
        <v>5413105</v>
      </c>
      <c r="I4611">
        <v>91</v>
      </c>
      <c r="J4611" t="s">
        <v>172</v>
      </c>
      <c r="K4611" s="8" t="str">
        <f>IFERROR(IF(AND(VLOOKUP($C4611,Hes!$A:$B, 1, FALSE), $M4611&lt;&gt;" "), "Ingresada", "Falta Ingresar"), " ")</f>
        <v>Falta Ingresar</v>
      </c>
      <c r="L4611" s="4" t="str">
        <f>IFERROR(VLOOKUP($C4611,Observaciones!$A:$B,2,FALSE)," ")</f>
        <v xml:space="preserve"> </v>
      </c>
      <c r="M4611" t="s">
        <v>681</v>
      </c>
      <c r="N4611" s="5" t="s">
        <v>841</v>
      </c>
      <c r="O4611" s="5">
        <v>30856386</v>
      </c>
      <c r="P4611" s="5">
        <v>14406</v>
      </c>
      <c r="Q4611" s="5">
        <v>2737</v>
      </c>
      <c r="R4611" s="5">
        <v>17143</v>
      </c>
    </row>
    <row r="4612" spans="1:18" x14ac:dyDescent="0.25">
      <c r="A4612" t="s">
        <v>1027</v>
      </c>
      <c r="B4612" t="s">
        <v>494</v>
      </c>
      <c r="C4612">
        <v>96572360</v>
      </c>
      <c r="D4612">
        <v>68</v>
      </c>
      <c r="E4612">
        <v>30856405</v>
      </c>
      <c r="F4612" t="s">
        <v>1680</v>
      </c>
      <c r="G4612" s="1">
        <v>45236</v>
      </c>
      <c r="H4612">
        <v>5413106</v>
      </c>
      <c r="I4612">
        <v>91</v>
      </c>
      <c r="J4612" t="s">
        <v>172</v>
      </c>
      <c r="K4612" s="8" t="str">
        <f>IFERROR(IF(AND(VLOOKUP($C4612,Hes!$A:$B, 1, FALSE), $M4612&lt;&gt;" "), "Ingresada", "Falta Ingresar"), " ")</f>
        <v>Falta Ingresar</v>
      </c>
      <c r="L4612" s="4" t="str">
        <f>IFERROR(VLOOKUP($C4612,Observaciones!$A:$B,2,FALSE)," ")</f>
        <v xml:space="preserve"> </v>
      </c>
      <c r="M4612" t="s">
        <v>681</v>
      </c>
      <c r="N4612" s="5" t="s">
        <v>841</v>
      </c>
      <c r="O4612" s="5">
        <v>30856405</v>
      </c>
      <c r="P4612" s="5">
        <v>49831</v>
      </c>
      <c r="Q4612" s="5">
        <v>9468</v>
      </c>
      <c r="R4612" s="5">
        <v>59299</v>
      </c>
    </row>
    <row r="4613" spans="1:18" x14ac:dyDescent="0.25">
      <c r="A4613" t="s">
        <v>1027</v>
      </c>
      <c r="B4613" t="s">
        <v>494</v>
      </c>
      <c r="C4613">
        <v>96572360</v>
      </c>
      <c r="D4613">
        <v>20</v>
      </c>
      <c r="E4613">
        <v>30856382</v>
      </c>
      <c r="F4613" t="s">
        <v>1680</v>
      </c>
      <c r="G4613" s="1">
        <v>45236</v>
      </c>
      <c r="H4613">
        <v>5413113</v>
      </c>
      <c r="I4613">
        <v>91</v>
      </c>
      <c r="J4613" t="s">
        <v>172</v>
      </c>
      <c r="K4613" s="8" t="str">
        <f>IFERROR(IF(AND(VLOOKUP($C4613,Hes!$A:$B, 1, FALSE), $M4613&lt;&gt;" "), "Ingresada", "Falta Ingresar"), " ")</f>
        <v>Falta Ingresar</v>
      </c>
      <c r="L4613" s="4" t="str">
        <f>IFERROR(VLOOKUP($C4613,Observaciones!$A:$B,2,FALSE)," ")</f>
        <v xml:space="preserve"> </v>
      </c>
      <c r="M4613" t="s">
        <v>681</v>
      </c>
      <c r="N4613" s="5" t="s">
        <v>841</v>
      </c>
      <c r="O4613" s="5">
        <v>30856382</v>
      </c>
      <c r="P4613" s="5">
        <v>16236</v>
      </c>
      <c r="Q4613" s="5">
        <v>3085</v>
      </c>
      <c r="R4613" s="5">
        <v>19321</v>
      </c>
    </row>
    <row r="4614" spans="1:18" x14ac:dyDescent="0.25">
      <c r="A4614" t="s">
        <v>1027</v>
      </c>
      <c r="B4614" t="s">
        <v>494</v>
      </c>
      <c r="C4614">
        <v>96572360</v>
      </c>
      <c r="D4614">
        <v>67</v>
      </c>
      <c r="E4614">
        <v>30856398</v>
      </c>
      <c r="F4614" t="s">
        <v>1680</v>
      </c>
      <c r="G4614" s="1">
        <v>45236</v>
      </c>
      <c r="H4614">
        <v>5413128</v>
      </c>
      <c r="I4614">
        <v>91</v>
      </c>
      <c r="J4614" t="s">
        <v>172</v>
      </c>
      <c r="K4614" s="8" t="str">
        <f>IFERROR(IF(AND(VLOOKUP($C4614,Hes!$A:$B, 1, FALSE), $M4614&lt;&gt;" "), "Ingresada", "Falta Ingresar"), " ")</f>
        <v>Falta Ingresar</v>
      </c>
      <c r="L4614" s="4" t="str">
        <f>IFERROR(VLOOKUP($C4614,Observaciones!$A:$B,2,FALSE)," ")</f>
        <v xml:space="preserve"> </v>
      </c>
      <c r="M4614" t="s">
        <v>681</v>
      </c>
      <c r="N4614" s="5" t="s">
        <v>841</v>
      </c>
      <c r="O4614" s="5">
        <v>30856398</v>
      </c>
      <c r="P4614" s="5">
        <v>7152</v>
      </c>
      <c r="Q4614" s="5">
        <v>1359</v>
      </c>
      <c r="R4614" s="5">
        <v>8511</v>
      </c>
    </row>
    <row r="4615" spans="1:18" x14ac:dyDescent="0.25">
      <c r="A4615" t="s">
        <v>1027</v>
      </c>
      <c r="B4615" t="s">
        <v>494</v>
      </c>
      <c r="C4615">
        <v>96572360</v>
      </c>
      <c r="D4615">
        <v>67</v>
      </c>
      <c r="E4615">
        <v>30856389</v>
      </c>
      <c r="F4615" t="s">
        <v>1680</v>
      </c>
      <c r="G4615" s="1">
        <v>45236</v>
      </c>
      <c r="H4615">
        <v>5413185</v>
      </c>
      <c r="I4615">
        <v>91</v>
      </c>
      <c r="J4615" t="s">
        <v>172</v>
      </c>
      <c r="K4615" s="8" t="str">
        <f>IFERROR(IF(AND(VLOOKUP($C4615,Hes!$A:$B, 1, FALSE), $M4615&lt;&gt;" "), "Ingresada", "Falta Ingresar"), " ")</f>
        <v>Falta Ingresar</v>
      </c>
      <c r="L4615" s="4" t="str">
        <f>IFERROR(VLOOKUP($C4615,Observaciones!$A:$B,2,FALSE)," ")</f>
        <v xml:space="preserve"> </v>
      </c>
      <c r="M4615" t="s">
        <v>681</v>
      </c>
      <c r="N4615" s="5" t="s">
        <v>841</v>
      </c>
      <c r="O4615" s="5">
        <v>30856389</v>
      </c>
      <c r="P4615" s="5">
        <v>108826</v>
      </c>
      <c r="Q4615" s="5">
        <v>20677</v>
      </c>
      <c r="R4615" s="5">
        <v>129503</v>
      </c>
    </row>
    <row r="4616" spans="1:18" x14ac:dyDescent="0.25">
      <c r="A4616" t="s">
        <v>1027</v>
      </c>
      <c r="B4616" t="s">
        <v>494</v>
      </c>
      <c r="C4616">
        <v>96572360</v>
      </c>
      <c r="D4616">
        <v>7</v>
      </c>
      <c r="E4616">
        <v>30856424</v>
      </c>
      <c r="F4616" t="s">
        <v>1680</v>
      </c>
      <c r="G4616" s="1">
        <v>45236</v>
      </c>
      <c r="H4616">
        <v>5413188</v>
      </c>
      <c r="I4616">
        <v>91</v>
      </c>
      <c r="J4616" t="s">
        <v>172</v>
      </c>
      <c r="K4616" s="8" t="str">
        <f>IFERROR(IF(AND(VLOOKUP($C4616,Hes!$A:$B, 1, FALSE), $M4616&lt;&gt;" "), "Ingresada", "Falta Ingresar"), " ")</f>
        <v>Falta Ingresar</v>
      </c>
      <c r="L4616" s="4" t="str">
        <f>IFERROR(VLOOKUP($C4616,Observaciones!$A:$B,2,FALSE)," ")</f>
        <v xml:space="preserve"> </v>
      </c>
      <c r="M4616" t="s">
        <v>681</v>
      </c>
      <c r="N4616" s="5" t="s">
        <v>841</v>
      </c>
      <c r="O4616" s="5">
        <v>30856424</v>
      </c>
      <c r="P4616" s="5">
        <v>15252</v>
      </c>
      <c r="Q4616" s="5">
        <v>2898</v>
      </c>
      <c r="R4616" s="5">
        <v>18150</v>
      </c>
    </row>
    <row r="4617" spans="1:18" x14ac:dyDescent="0.25">
      <c r="A4617" t="s">
        <v>1027</v>
      </c>
      <c r="B4617" t="s">
        <v>494</v>
      </c>
      <c r="C4617">
        <v>96572360</v>
      </c>
      <c r="D4617">
        <v>2</v>
      </c>
      <c r="E4617">
        <v>30856429</v>
      </c>
      <c r="F4617" t="s">
        <v>1680</v>
      </c>
      <c r="G4617" s="1">
        <v>45236</v>
      </c>
      <c r="H4617">
        <v>5413307</v>
      </c>
      <c r="I4617">
        <v>91</v>
      </c>
      <c r="J4617" t="s">
        <v>172</v>
      </c>
      <c r="K4617" s="8" t="str">
        <f>IFERROR(IF(AND(VLOOKUP($C4617,Hes!$A:$B, 1, FALSE), $M4617&lt;&gt;" "), "Ingresada", "Falta Ingresar"), " ")</f>
        <v>Falta Ingresar</v>
      </c>
      <c r="L4617" s="4" t="str">
        <f>IFERROR(VLOOKUP($C4617,Observaciones!$A:$B,2,FALSE)," ")</f>
        <v xml:space="preserve"> </v>
      </c>
      <c r="M4617" t="s">
        <v>681</v>
      </c>
      <c r="N4617" s="5" t="s">
        <v>841</v>
      </c>
      <c r="O4617" s="5">
        <v>30856429</v>
      </c>
      <c r="P4617" s="5">
        <v>5060</v>
      </c>
      <c r="Q4617" s="5">
        <v>961</v>
      </c>
      <c r="R4617" s="5">
        <v>6021</v>
      </c>
    </row>
    <row r="4618" spans="1:18" x14ac:dyDescent="0.25">
      <c r="A4618" t="s">
        <v>1027</v>
      </c>
      <c r="B4618" t="s">
        <v>494</v>
      </c>
      <c r="C4618">
        <v>96572360</v>
      </c>
      <c r="D4618">
        <v>4</v>
      </c>
      <c r="E4618">
        <v>30856421</v>
      </c>
      <c r="F4618" t="s">
        <v>1680</v>
      </c>
      <c r="G4618" s="1">
        <v>45236</v>
      </c>
      <c r="H4618">
        <v>5413327</v>
      </c>
      <c r="I4618">
        <v>91</v>
      </c>
      <c r="J4618" t="s">
        <v>172</v>
      </c>
      <c r="K4618" s="8" t="str">
        <f>IFERROR(IF(AND(VLOOKUP($C4618,Hes!$A:$B, 1, FALSE), $M4618&lt;&gt;" "), "Ingresada", "Falta Ingresar"), " ")</f>
        <v>Falta Ingresar</v>
      </c>
      <c r="L4618" s="4" t="str">
        <f>IFERROR(VLOOKUP($C4618,Observaciones!$A:$B,2,FALSE)," ")</f>
        <v xml:space="preserve"> </v>
      </c>
      <c r="M4618" t="s">
        <v>681</v>
      </c>
      <c r="N4618" s="5" t="s">
        <v>841</v>
      </c>
      <c r="O4618" s="5">
        <v>30856421</v>
      </c>
      <c r="P4618" s="5">
        <v>5267</v>
      </c>
      <c r="Q4618" s="5">
        <v>1001</v>
      </c>
      <c r="R4618" s="5">
        <v>6268</v>
      </c>
    </row>
    <row r="4619" spans="1:18" x14ac:dyDescent="0.25">
      <c r="A4619" t="s">
        <v>1027</v>
      </c>
      <c r="B4619" t="s">
        <v>494</v>
      </c>
      <c r="C4619">
        <v>96572360</v>
      </c>
      <c r="D4619">
        <v>58</v>
      </c>
      <c r="E4619">
        <v>30856838</v>
      </c>
      <c r="F4619" t="s">
        <v>1680</v>
      </c>
      <c r="G4619" s="1">
        <v>45236</v>
      </c>
      <c r="H4619">
        <v>5413329</v>
      </c>
      <c r="I4619">
        <v>91</v>
      </c>
      <c r="J4619" t="s">
        <v>172</v>
      </c>
      <c r="K4619" s="8" t="str">
        <f>IFERROR(IF(AND(VLOOKUP($C4619,Hes!$A:$B, 1, FALSE), $M4619&lt;&gt;" "), "Ingresada", "Falta Ingresar"), " ")</f>
        <v>Falta Ingresar</v>
      </c>
      <c r="L4619" s="4" t="str">
        <f>IFERROR(VLOOKUP($C4619,Observaciones!$A:$B,2,FALSE)," ")</f>
        <v xml:space="preserve"> </v>
      </c>
      <c r="M4619" t="s">
        <v>681</v>
      </c>
      <c r="N4619" s="5" t="s">
        <v>841</v>
      </c>
      <c r="O4619" s="5">
        <v>30856838</v>
      </c>
      <c r="P4619" s="5">
        <v>11646</v>
      </c>
      <c r="Q4619" s="5">
        <v>2213</v>
      </c>
      <c r="R4619" s="5">
        <v>13859</v>
      </c>
    </row>
    <row r="4620" spans="1:18" x14ac:dyDescent="0.25">
      <c r="A4620" t="s">
        <v>1027</v>
      </c>
      <c r="B4620" t="s">
        <v>494</v>
      </c>
      <c r="C4620">
        <v>96572360</v>
      </c>
      <c r="D4620">
        <v>49</v>
      </c>
      <c r="E4620">
        <v>30857014</v>
      </c>
      <c r="F4620" t="s">
        <v>1680</v>
      </c>
      <c r="G4620" s="1">
        <v>45236</v>
      </c>
      <c r="H4620">
        <v>5413460</v>
      </c>
      <c r="I4620">
        <v>91</v>
      </c>
      <c r="J4620" t="s">
        <v>172</v>
      </c>
      <c r="K4620" s="8" t="str">
        <f>IFERROR(IF(AND(VLOOKUP($C4620,Hes!$A:$B, 1, FALSE), $M4620&lt;&gt;" "), "Ingresada", "Falta Ingresar"), " ")</f>
        <v>Falta Ingresar</v>
      </c>
      <c r="L4620" s="4" t="str">
        <f>IFERROR(VLOOKUP($C4620,Observaciones!$A:$B,2,FALSE)," ")</f>
        <v xml:space="preserve"> </v>
      </c>
      <c r="M4620" t="s">
        <v>681</v>
      </c>
      <c r="N4620" s="5" t="s">
        <v>841</v>
      </c>
      <c r="O4620" s="5">
        <v>30857014</v>
      </c>
      <c r="P4620" s="5">
        <v>25344</v>
      </c>
      <c r="Q4620" s="5">
        <v>4815</v>
      </c>
      <c r="R4620" s="5">
        <v>30159</v>
      </c>
    </row>
    <row r="4621" spans="1:18" x14ac:dyDescent="0.25">
      <c r="A4621" t="s">
        <v>1027</v>
      </c>
      <c r="B4621" t="s">
        <v>494</v>
      </c>
      <c r="C4621">
        <v>96572360</v>
      </c>
      <c r="D4621">
        <v>59</v>
      </c>
      <c r="E4621">
        <v>30856843</v>
      </c>
      <c r="F4621" t="s">
        <v>1680</v>
      </c>
      <c r="G4621" s="1">
        <v>45236</v>
      </c>
      <c r="H4621">
        <v>5413501</v>
      </c>
      <c r="I4621">
        <v>91</v>
      </c>
      <c r="J4621" t="s">
        <v>172</v>
      </c>
      <c r="K4621" s="8" t="str">
        <f>IFERROR(IF(AND(VLOOKUP($C4621,Hes!$A:$B, 1, FALSE), $M4621&lt;&gt;" "), "Ingresada", "Falta Ingresar"), " ")</f>
        <v>Falta Ingresar</v>
      </c>
      <c r="L4621" s="4" t="str">
        <f>IFERROR(VLOOKUP($C4621,Observaciones!$A:$B,2,FALSE)," ")</f>
        <v xml:space="preserve"> </v>
      </c>
      <c r="M4621" t="s">
        <v>681</v>
      </c>
      <c r="N4621" s="5" t="s">
        <v>841</v>
      </c>
      <c r="O4621" s="5">
        <v>30856843</v>
      </c>
      <c r="P4621" s="5">
        <v>11901</v>
      </c>
      <c r="Q4621" s="5">
        <v>2261</v>
      </c>
      <c r="R4621" s="5">
        <v>14162</v>
      </c>
    </row>
    <row r="4622" spans="1:18" x14ac:dyDescent="0.25">
      <c r="A4622" t="s">
        <v>1027</v>
      </c>
      <c r="B4622" t="s">
        <v>494</v>
      </c>
      <c r="C4622">
        <v>96572360</v>
      </c>
      <c r="D4622">
        <v>49</v>
      </c>
      <c r="E4622">
        <v>30857016</v>
      </c>
      <c r="F4622" t="s">
        <v>1680</v>
      </c>
      <c r="G4622" s="1">
        <v>45236</v>
      </c>
      <c r="H4622">
        <v>5413593</v>
      </c>
      <c r="I4622">
        <v>91</v>
      </c>
      <c r="J4622" t="s">
        <v>172</v>
      </c>
      <c r="K4622" s="8" t="str">
        <f>IFERROR(IF(AND(VLOOKUP($C4622,Hes!$A:$B, 1, FALSE), $M4622&lt;&gt;" "), "Ingresada", "Falta Ingresar"), " ")</f>
        <v>Falta Ingresar</v>
      </c>
      <c r="L4622" s="4" t="str">
        <f>IFERROR(VLOOKUP($C4622,Observaciones!$A:$B,2,FALSE)," ")</f>
        <v xml:space="preserve"> </v>
      </c>
      <c r="M4622" t="s">
        <v>681</v>
      </c>
      <c r="N4622" s="5" t="s">
        <v>841</v>
      </c>
      <c r="O4622" s="5">
        <v>30857016</v>
      </c>
      <c r="P4622" s="5">
        <v>18915</v>
      </c>
      <c r="Q4622" s="5">
        <v>3594</v>
      </c>
      <c r="R4622" s="5">
        <v>22509</v>
      </c>
    </row>
    <row r="4623" spans="1:18" x14ac:dyDescent="0.25">
      <c r="A4623" t="s">
        <v>1027</v>
      </c>
      <c r="B4623" t="s">
        <v>494</v>
      </c>
      <c r="C4623">
        <v>96572360</v>
      </c>
      <c r="D4623">
        <v>21</v>
      </c>
      <c r="E4623">
        <v>30856411</v>
      </c>
      <c r="F4623" t="s">
        <v>1680</v>
      </c>
      <c r="G4623" s="1">
        <v>45236</v>
      </c>
      <c r="H4623">
        <v>5413676</v>
      </c>
      <c r="I4623">
        <v>91</v>
      </c>
      <c r="J4623" t="s">
        <v>172</v>
      </c>
      <c r="K4623" s="8" t="str">
        <f>IFERROR(IF(AND(VLOOKUP($C4623,Hes!$A:$B, 1, FALSE), $M4623&lt;&gt;" "), "Ingresada", "Falta Ingresar"), " ")</f>
        <v>Falta Ingresar</v>
      </c>
      <c r="L4623" s="4" t="str">
        <f>IFERROR(VLOOKUP($C4623,Observaciones!$A:$B,2,FALSE)," ")</f>
        <v xml:space="preserve"> </v>
      </c>
      <c r="M4623" t="s">
        <v>681</v>
      </c>
      <c r="N4623" s="5" t="s">
        <v>841</v>
      </c>
      <c r="O4623" s="5">
        <v>30856411</v>
      </c>
      <c r="P4623" s="5">
        <v>144801</v>
      </c>
      <c r="Q4623" s="5">
        <v>27512</v>
      </c>
      <c r="R4623" s="5">
        <v>172313</v>
      </c>
    </row>
    <row r="4624" spans="1:18" x14ac:dyDescent="0.25">
      <c r="A4624" t="s">
        <v>1027</v>
      </c>
      <c r="B4624" t="s">
        <v>494</v>
      </c>
      <c r="C4624">
        <v>96572360</v>
      </c>
      <c r="D4624">
        <v>31</v>
      </c>
      <c r="E4624">
        <v>30856407</v>
      </c>
      <c r="F4624" t="s">
        <v>1680</v>
      </c>
      <c r="G4624" s="1">
        <v>45236</v>
      </c>
      <c r="H4624">
        <v>5413677</v>
      </c>
      <c r="I4624">
        <v>91</v>
      </c>
      <c r="J4624" t="s">
        <v>172</v>
      </c>
      <c r="K4624" s="8" t="str">
        <f>IFERROR(IF(AND(VLOOKUP($C4624,Hes!$A:$B, 1, FALSE), $M4624&lt;&gt;" "), "Ingresada", "Falta Ingresar"), " ")</f>
        <v>Falta Ingresar</v>
      </c>
      <c r="L4624" s="4" t="str">
        <f>IFERROR(VLOOKUP($C4624,Observaciones!$A:$B,2,FALSE)," ")</f>
        <v xml:space="preserve"> </v>
      </c>
      <c r="M4624" t="s">
        <v>681</v>
      </c>
      <c r="N4624" s="5" t="s">
        <v>841</v>
      </c>
      <c r="O4624" s="5">
        <v>30856407</v>
      </c>
      <c r="P4624" s="5">
        <v>463302</v>
      </c>
      <c r="Q4624" s="5">
        <v>88027</v>
      </c>
      <c r="R4624" s="5">
        <v>551329</v>
      </c>
    </row>
    <row r="4625" spans="1:18" x14ac:dyDescent="0.25">
      <c r="A4625" t="s">
        <v>1027</v>
      </c>
      <c r="B4625" t="s">
        <v>494</v>
      </c>
      <c r="C4625">
        <v>96572360</v>
      </c>
      <c r="D4625">
        <v>20</v>
      </c>
      <c r="E4625">
        <v>30856415</v>
      </c>
      <c r="F4625" t="s">
        <v>1680</v>
      </c>
      <c r="G4625" s="1">
        <v>45236</v>
      </c>
      <c r="H4625">
        <v>5413695</v>
      </c>
      <c r="I4625">
        <v>91</v>
      </c>
      <c r="J4625" t="s">
        <v>172</v>
      </c>
      <c r="K4625" s="8" t="str">
        <f>IFERROR(IF(AND(VLOOKUP($C4625,Hes!$A:$B, 1, FALSE), $M4625&lt;&gt;" "), "Ingresada", "Falta Ingresar"), " ")</f>
        <v>Falta Ingresar</v>
      </c>
      <c r="L4625" s="4" t="str">
        <f>IFERROR(VLOOKUP($C4625,Observaciones!$A:$B,2,FALSE)," ")</f>
        <v xml:space="preserve"> </v>
      </c>
      <c r="M4625" t="s">
        <v>681</v>
      </c>
      <c r="N4625" s="5" t="s">
        <v>841</v>
      </c>
      <c r="O4625" s="5">
        <v>30856415</v>
      </c>
      <c r="P4625" s="5">
        <v>1309635</v>
      </c>
      <c r="Q4625" s="5">
        <v>248831</v>
      </c>
      <c r="R4625" s="5">
        <v>1558466</v>
      </c>
    </row>
    <row r="4626" spans="1:18" x14ac:dyDescent="0.25">
      <c r="A4626" t="s">
        <v>1027</v>
      </c>
      <c r="B4626" t="s">
        <v>494</v>
      </c>
      <c r="C4626">
        <v>96572360</v>
      </c>
      <c r="D4626">
        <v>20</v>
      </c>
      <c r="E4626">
        <v>30856403</v>
      </c>
      <c r="F4626" t="s">
        <v>1680</v>
      </c>
      <c r="G4626" s="1">
        <v>45236</v>
      </c>
      <c r="H4626">
        <v>5413701</v>
      </c>
      <c r="I4626">
        <v>91</v>
      </c>
      <c r="J4626" t="s">
        <v>172</v>
      </c>
      <c r="K4626" s="8" t="str">
        <f>IFERROR(IF(AND(VLOOKUP($C4626,Hes!$A:$B, 1, FALSE), $M4626&lt;&gt;" "), "Ingresada", "Falta Ingresar"), " ")</f>
        <v>Falta Ingresar</v>
      </c>
      <c r="L4626" s="4" t="str">
        <f>IFERROR(VLOOKUP($C4626,Observaciones!$A:$B,2,FALSE)," ")</f>
        <v xml:space="preserve"> </v>
      </c>
      <c r="M4626" t="s">
        <v>681</v>
      </c>
      <c r="N4626" s="5" t="s">
        <v>841</v>
      </c>
      <c r="O4626" s="5">
        <v>30856403</v>
      </c>
      <c r="P4626" s="5">
        <v>11289</v>
      </c>
      <c r="Q4626" s="5">
        <v>2145</v>
      </c>
      <c r="R4626" s="5">
        <v>13434</v>
      </c>
    </row>
    <row r="4627" spans="1:18" x14ac:dyDescent="0.25">
      <c r="A4627" t="s">
        <v>1027</v>
      </c>
      <c r="B4627" t="s">
        <v>494</v>
      </c>
      <c r="C4627">
        <v>96572360</v>
      </c>
      <c r="D4627">
        <v>5</v>
      </c>
      <c r="E4627">
        <v>30856417</v>
      </c>
      <c r="F4627" t="s">
        <v>1680</v>
      </c>
      <c r="G4627" s="1">
        <v>45236</v>
      </c>
      <c r="H4627">
        <v>5413702</v>
      </c>
      <c r="I4627">
        <v>91</v>
      </c>
      <c r="J4627" t="s">
        <v>172</v>
      </c>
      <c r="K4627" s="8" t="str">
        <f>IFERROR(IF(AND(VLOOKUP($C4627,Hes!$A:$B, 1, FALSE), $M4627&lt;&gt;" "), "Ingresada", "Falta Ingresar"), " ")</f>
        <v>Falta Ingresar</v>
      </c>
      <c r="L4627" s="4" t="str">
        <f>IFERROR(VLOOKUP($C4627,Observaciones!$A:$B,2,FALSE)," ")</f>
        <v xml:space="preserve"> </v>
      </c>
      <c r="M4627" t="s">
        <v>681</v>
      </c>
      <c r="N4627" s="5" t="s">
        <v>841</v>
      </c>
      <c r="O4627" s="5">
        <v>30856417</v>
      </c>
      <c r="P4627" s="5">
        <v>273192</v>
      </c>
      <c r="Q4627" s="5">
        <v>51906</v>
      </c>
      <c r="R4627" s="5">
        <v>325098</v>
      </c>
    </row>
    <row r="4628" spans="1:18" x14ac:dyDescent="0.25">
      <c r="A4628" t="s">
        <v>1027</v>
      </c>
      <c r="B4628" t="s">
        <v>494</v>
      </c>
      <c r="C4628">
        <v>96572360</v>
      </c>
      <c r="D4628">
        <v>17</v>
      </c>
      <c r="E4628">
        <v>30856416</v>
      </c>
      <c r="F4628" t="s">
        <v>1680</v>
      </c>
      <c r="G4628" s="1">
        <v>45236</v>
      </c>
      <c r="H4628">
        <v>5413703</v>
      </c>
      <c r="I4628">
        <v>91</v>
      </c>
      <c r="J4628" t="s">
        <v>172</v>
      </c>
      <c r="K4628" s="8" t="str">
        <f>IFERROR(IF(AND(VLOOKUP($C4628,Hes!$A:$B, 1, FALSE), $M4628&lt;&gt;" "), "Ingresada", "Falta Ingresar"), " ")</f>
        <v>Falta Ingresar</v>
      </c>
      <c r="L4628" s="4" t="str">
        <f>IFERROR(VLOOKUP($C4628,Observaciones!$A:$B,2,FALSE)," ")</f>
        <v xml:space="preserve"> </v>
      </c>
      <c r="M4628" t="s">
        <v>681</v>
      </c>
      <c r="N4628" s="5" t="s">
        <v>841</v>
      </c>
      <c r="O4628" s="5">
        <v>30856416</v>
      </c>
      <c r="P4628" s="5">
        <v>281397</v>
      </c>
      <c r="Q4628" s="5">
        <v>53465</v>
      </c>
      <c r="R4628" s="5">
        <v>334862</v>
      </c>
    </row>
    <row r="4629" spans="1:18" x14ac:dyDescent="0.25">
      <c r="A4629" t="s">
        <v>1027</v>
      </c>
      <c r="B4629" t="s">
        <v>494</v>
      </c>
      <c r="C4629">
        <v>96572360</v>
      </c>
      <c r="D4629">
        <v>18</v>
      </c>
      <c r="E4629">
        <v>30856418</v>
      </c>
      <c r="F4629" t="s">
        <v>1680</v>
      </c>
      <c r="G4629" s="1">
        <v>45236</v>
      </c>
      <c r="H4629">
        <v>5413705</v>
      </c>
      <c r="I4629">
        <v>91</v>
      </c>
      <c r="J4629" t="s">
        <v>172</v>
      </c>
      <c r="K4629" s="8" t="str">
        <f>IFERROR(IF(AND(VLOOKUP($C4629,Hes!$A:$B, 1, FALSE), $M4629&lt;&gt;" "), "Ingresada", "Falta Ingresar"), " ")</f>
        <v>Falta Ingresar</v>
      </c>
      <c r="L4629" s="4" t="str">
        <f>IFERROR(VLOOKUP($C4629,Observaciones!$A:$B,2,FALSE)," ")</f>
        <v xml:space="preserve"> </v>
      </c>
      <c r="M4629" t="s">
        <v>681</v>
      </c>
      <c r="N4629" s="5" t="s">
        <v>841</v>
      </c>
      <c r="O4629" s="5">
        <v>30856418</v>
      </c>
      <c r="P4629" s="5">
        <v>417993</v>
      </c>
      <c r="Q4629" s="5">
        <v>79419</v>
      </c>
      <c r="R4629" s="5">
        <v>497412</v>
      </c>
    </row>
    <row r="4630" spans="1:18" x14ac:dyDescent="0.25">
      <c r="A4630" t="s">
        <v>1027</v>
      </c>
      <c r="B4630" t="s">
        <v>494</v>
      </c>
      <c r="C4630">
        <v>96572360</v>
      </c>
      <c r="D4630">
        <v>3</v>
      </c>
      <c r="E4630">
        <v>30856422</v>
      </c>
      <c r="F4630" t="s">
        <v>1680</v>
      </c>
      <c r="G4630" s="1">
        <v>45236</v>
      </c>
      <c r="H4630">
        <v>5413718</v>
      </c>
      <c r="I4630">
        <v>91</v>
      </c>
      <c r="J4630" t="s">
        <v>172</v>
      </c>
      <c r="K4630" s="8" t="str">
        <f>IFERROR(IF(AND(VLOOKUP($C4630,Hes!$A:$B, 1, FALSE), $M4630&lt;&gt;" "), "Ingresada", "Falta Ingresar"), " ")</f>
        <v>Falta Ingresar</v>
      </c>
      <c r="L4630" s="4" t="str">
        <f>IFERROR(VLOOKUP($C4630,Observaciones!$A:$B,2,FALSE)," ")</f>
        <v xml:space="preserve"> </v>
      </c>
      <c r="M4630" t="s">
        <v>681</v>
      </c>
      <c r="N4630" s="5" t="s">
        <v>841</v>
      </c>
      <c r="O4630" s="5">
        <v>30856422</v>
      </c>
      <c r="P4630" s="5">
        <v>13788</v>
      </c>
      <c r="Q4630" s="5">
        <v>2620</v>
      </c>
      <c r="R4630" s="5">
        <v>16408</v>
      </c>
    </row>
    <row r="4631" spans="1:18" x14ac:dyDescent="0.25">
      <c r="A4631" t="s">
        <v>1027</v>
      </c>
      <c r="B4631" t="s">
        <v>494</v>
      </c>
      <c r="C4631">
        <v>96572360</v>
      </c>
      <c r="D4631">
        <v>60</v>
      </c>
      <c r="E4631">
        <v>30856849</v>
      </c>
      <c r="F4631" t="s">
        <v>1680</v>
      </c>
      <c r="G4631" s="1">
        <v>45236</v>
      </c>
      <c r="H4631">
        <v>5413748</v>
      </c>
      <c r="I4631">
        <v>91</v>
      </c>
      <c r="J4631" t="s">
        <v>172</v>
      </c>
      <c r="K4631" s="8" t="str">
        <f>IFERROR(IF(AND(VLOOKUP($C4631,Hes!$A:$B, 1, FALSE), $M4631&lt;&gt;" "), "Ingresada", "Falta Ingresar"), " ")</f>
        <v>Falta Ingresar</v>
      </c>
      <c r="L4631" s="4" t="str">
        <f>IFERROR(VLOOKUP($C4631,Observaciones!$A:$B,2,FALSE)," ")</f>
        <v xml:space="preserve"> </v>
      </c>
      <c r="M4631" t="s">
        <v>681</v>
      </c>
      <c r="N4631" s="5" t="s">
        <v>841</v>
      </c>
      <c r="O4631" s="5">
        <v>30856849</v>
      </c>
      <c r="P4631" s="5">
        <v>6636</v>
      </c>
      <c r="Q4631" s="5">
        <v>1261</v>
      </c>
      <c r="R4631" s="5">
        <v>7897</v>
      </c>
    </row>
    <row r="4632" spans="1:18" x14ac:dyDescent="0.25">
      <c r="A4632" t="s">
        <v>1027</v>
      </c>
      <c r="B4632" t="s">
        <v>494</v>
      </c>
      <c r="C4632">
        <v>96572360</v>
      </c>
      <c r="D4632">
        <v>107</v>
      </c>
      <c r="E4632">
        <v>30856423</v>
      </c>
      <c r="F4632" t="s">
        <v>1680</v>
      </c>
      <c r="G4632" s="1">
        <v>45236</v>
      </c>
      <c r="H4632">
        <v>5413750</v>
      </c>
      <c r="I4632">
        <v>91</v>
      </c>
      <c r="J4632" t="s">
        <v>172</v>
      </c>
      <c r="K4632" s="8" t="str">
        <f>IFERROR(IF(AND(VLOOKUP($C4632,Hes!$A:$B, 1, FALSE), $M4632&lt;&gt;" "), "Ingresada", "Falta Ingresar"), " ")</f>
        <v>Falta Ingresar</v>
      </c>
      <c r="L4632" s="4" t="str">
        <f>IFERROR(VLOOKUP($C4632,Observaciones!$A:$B,2,FALSE)," ")</f>
        <v xml:space="preserve"> </v>
      </c>
      <c r="M4632" t="s">
        <v>681</v>
      </c>
      <c r="N4632" s="5" t="s">
        <v>841</v>
      </c>
      <c r="O4632" s="5">
        <v>30856423</v>
      </c>
      <c r="P4632" s="5">
        <v>92535</v>
      </c>
      <c r="Q4632" s="5">
        <v>17582</v>
      </c>
      <c r="R4632" s="5">
        <v>110117</v>
      </c>
    </row>
    <row r="4633" spans="1:18" x14ac:dyDescent="0.25">
      <c r="A4633" t="s">
        <v>1027</v>
      </c>
      <c r="B4633" t="s">
        <v>494</v>
      </c>
      <c r="C4633">
        <v>96572360</v>
      </c>
      <c r="D4633">
        <v>14</v>
      </c>
      <c r="E4633">
        <v>30856428</v>
      </c>
      <c r="F4633" t="s">
        <v>1680</v>
      </c>
      <c r="G4633" s="1">
        <v>45236</v>
      </c>
      <c r="H4633">
        <v>5413890</v>
      </c>
      <c r="I4633">
        <v>91</v>
      </c>
      <c r="J4633" t="s">
        <v>172</v>
      </c>
      <c r="K4633" s="8" t="str">
        <f>IFERROR(IF(AND(VLOOKUP($C4633,Hes!$A:$B, 1, FALSE), $M4633&lt;&gt;" "), "Ingresada", "Falta Ingresar"), " ")</f>
        <v>Falta Ingresar</v>
      </c>
      <c r="L4633" s="4" t="str">
        <f>IFERROR(VLOOKUP($C4633,Observaciones!$A:$B,2,FALSE)," ")</f>
        <v xml:space="preserve"> </v>
      </c>
      <c r="M4633" t="s">
        <v>681</v>
      </c>
      <c r="N4633" s="5" t="s">
        <v>841</v>
      </c>
      <c r="O4633" s="5">
        <v>30856428</v>
      </c>
      <c r="P4633" s="5">
        <v>35570</v>
      </c>
      <c r="Q4633" s="5">
        <v>6758</v>
      </c>
      <c r="R4633" s="5">
        <v>42328</v>
      </c>
    </row>
    <row r="4634" spans="1:18" x14ac:dyDescent="0.25">
      <c r="A4634" t="s">
        <v>1027</v>
      </c>
      <c r="B4634" t="s">
        <v>494</v>
      </c>
      <c r="C4634">
        <v>96572360</v>
      </c>
      <c r="D4634">
        <v>100</v>
      </c>
      <c r="E4634">
        <v>30859450</v>
      </c>
      <c r="F4634" t="s">
        <v>1680</v>
      </c>
      <c r="G4634" s="1">
        <v>45237</v>
      </c>
      <c r="H4634">
        <v>5414176</v>
      </c>
      <c r="I4634">
        <v>91</v>
      </c>
      <c r="J4634" t="s">
        <v>172</v>
      </c>
      <c r="K4634" s="8" t="str">
        <f>IFERROR(IF(AND(VLOOKUP($C4634,Hes!$A:$B, 1, FALSE), $M4634&lt;&gt;" "), "Ingresada", "Falta Ingresar"), " ")</f>
        <v>Falta Ingresar</v>
      </c>
      <c r="L4634" s="4" t="str">
        <f>IFERROR(VLOOKUP($C4634,Observaciones!$A:$B,2,FALSE)," ")</f>
        <v xml:space="preserve"> </v>
      </c>
      <c r="M4634" t="s">
        <v>681</v>
      </c>
      <c r="N4634" s="5" t="s">
        <v>841</v>
      </c>
      <c r="O4634" s="5">
        <v>30859450</v>
      </c>
      <c r="P4634" s="5">
        <v>7753</v>
      </c>
      <c r="Q4634" s="5">
        <v>1473</v>
      </c>
      <c r="R4634" s="5">
        <v>9226</v>
      </c>
    </row>
    <row r="4635" spans="1:18" x14ac:dyDescent="0.25">
      <c r="A4635" t="s">
        <v>1027</v>
      </c>
      <c r="B4635" t="s">
        <v>494</v>
      </c>
      <c r="C4635">
        <v>96572360</v>
      </c>
      <c r="D4635">
        <v>80</v>
      </c>
      <c r="E4635">
        <v>30859458</v>
      </c>
      <c r="F4635" t="s">
        <v>1680</v>
      </c>
      <c r="G4635" s="1">
        <v>45237</v>
      </c>
      <c r="H4635">
        <v>5414287</v>
      </c>
      <c r="I4635">
        <v>91</v>
      </c>
      <c r="J4635" t="s">
        <v>172</v>
      </c>
      <c r="K4635" s="8" t="str">
        <f>IFERROR(IF(AND(VLOOKUP($C4635,Hes!$A:$B, 1, FALSE), $M4635&lt;&gt;" "), "Ingresada", "Falta Ingresar"), " ")</f>
        <v>Falta Ingresar</v>
      </c>
      <c r="L4635" s="4" t="str">
        <f>IFERROR(VLOOKUP($C4635,Observaciones!$A:$B,2,FALSE)," ")</f>
        <v xml:space="preserve"> </v>
      </c>
      <c r="M4635" t="s">
        <v>681</v>
      </c>
      <c r="N4635" s="5" t="s">
        <v>841</v>
      </c>
      <c r="O4635" s="5">
        <v>30859458</v>
      </c>
      <c r="P4635" s="5">
        <v>24657</v>
      </c>
      <c r="Q4635" s="5">
        <v>4685</v>
      </c>
      <c r="R4635" s="5">
        <v>29342</v>
      </c>
    </row>
    <row r="4636" spans="1:18" x14ac:dyDescent="0.25">
      <c r="A4636" t="s">
        <v>1027</v>
      </c>
      <c r="B4636" t="s">
        <v>494</v>
      </c>
      <c r="C4636">
        <v>96572360</v>
      </c>
      <c r="D4636">
        <v>50</v>
      </c>
      <c r="E4636">
        <v>30861042</v>
      </c>
      <c r="F4636" t="s">
        <v>1680</v>
      </c>
      <c r="G4636" s="1">
        <v>45237</v>
      </c>
      <c r="H4636">
        <v>5414366</v>
      </c>
      <c r="I4636">
        <v>91</v>
      </c>
      <c r="J4636" t="s">
        <v>172</v>
      </c>
      <c r="K4636" s="8" t="str">
        <f>IFERROR(IF(AND(VLOOKUP($C4636,Hes!$A:$B, 1, FALSE), $M4636&lt;&gt;" "), "Ingresada", "Falta Ingresar"), " ")</f>
        <v>Falta Ingresar</v>
      </c>
      <c r="L4636" s="4" t="str">
        <f>IFERROR(VLOOKUP($C4636,Observaciones!$A:$B,2,FALSE)," ")</f>
        <v xml:space="preserve"> </v>
      </c>
      <c r="M4636" t="s">
        <v>681</v>
      </c>
      <c r="N4636" s="5" t="s">
        <v>841</v>
      </c>
      <c r="O4636" s="5">
        <v>30861042</v>
      </c>
      <c r="P4636" s="5">
        <v>21120</v>
      </c>
      <c r="Q4636" s="5">
        <v>4013</v>
      </c>
      <c r="R4636" s="5">
        <v>25133</v>
      </c>
    </row>
    <row r="4637" spans="1:18" x14ac:dyDescent="0.25">
      <c r="A4637" t="s">
        <v>1027</v>
      </c>
      <c r="B4637" t="s">
        <v>494</v>
      </c>
      <c r="C4637">
        <v>96572360</v>
      </c>
      <c r="D4637">
        <v>81</v>
      </c>
      <c r="E4637">
        <v>30859491</v>
      </c>
      <c r="F4637" t="s">
        <v>1680</v>
      </c>
      <c r="G4637" s="1">
        <v>45237</v>
      </c>
      <c r="H4637">
        <v>5414425</v>
      </c>
      <c r="I4637">
        <v>91</v>
      </c>
      <c r="J4637" t="s">
        <v>172</v>
      </c>
      <c r="K4637" s="8" t="str">
        <f>IFERROR(IF(AND(VLOOKUP($C4637,Hes!$A:$B, 1, FALSE), $M4637&lt;&gt;" "), "Ingresada", "Falta Ingresar"), " ")</f>
        <v>Falta Ingresar</v>
      </c>
      <c r="L4637" s="4" t="str">
        <f>IFERROR(VLOOKUP($C4637,Observaciones!$A:$B,2,FALSE)," ")</f>
        <v xml:space="preserve"> </v>
      </c>
      <c r="M4637" t="s">
        <v>681</v>
      </c>
      <c r="N4637" s="5" t="s">
        <v>841</v>
      </c>
      <c r="O4637" s="5">
        <v>30859491</v>
      </c>
      <c r="P4637" s="5">
        <v>73898</v>
      </c>
      <c r="Q4637" s="5">
        <v>14041</v>
      </c>
      <c r="R4637" s="5">
        <v>87939</v>
      </c>
    </row>
    <row r="4638" spans="1:18" x14ac:dyDescent="0.25">
      <c r="A4638" t="s">
        <v>1027</v>
      </c>
      <c r="B4638" t="s">
        <v>494</v>
      </c>
      <c r="C4638">
        <v>96572360</v>
      </c>
      <c r="D4638">
        <v>8</v>
      </c>
      <c r="E4638">
        <v>30861768</v>
      </c>
      <c r="F4638" t="s">
        <v>1680</v>
      </c>
      <c r="G4638" s="1">
        <v>45238</v>
      </c>
      <c r="H4638">
        <v>5414941</v>
      </c>
      <c r="I4638">
        <v>91</v>
      </c>
      <c r="J4638" t="s">
        <v>172</v>
      </c>
      <c r="K4638" s="8" t="str">
        <f>IFERROR(IF(AND(VLOOKUP($C4638,Hes!$A:$B, 1, FALSE), $M4638&lt;&gt;" "), "Ingresada", "Falta Ingresar"), " ")</f>
        <v>Falta Ingresar</v>
      </c>
      <c r="L4638" s="4" t="str">
        <f>IFERROR(VLOOKUP($C4638,Observaciones!$A:$B,2,FALSE)," ")</f>
        <v xml:space="preserve"> </v>
      </c>
      <c r="M4638" t="s">
        <v>681</v>
      </c>
      <c r="N4638" s="5" t="s">
        <v>841</v>
      </c>
      <c r="O4638" s="5">
        <v>30861768</v>
      </c>
      <c r="P4638" s="5">
        <v>61170</v>
      </c>
      <c r="Q4638" s="5">
        <v>11622</v>
      </c>
      <c r="R4638" s="5">
        <v>72792</v>
      </c>
    </row>
    <row r="4639" spans="1:18" x14ac:dyDescent="0.25">
      <c r="A4639" t="s">
        <v>1027</v>
      </c>
      <c r="B4639" t="s">
        <v>494</v>
      </c>
      <c r="C4639">
        <v>96572360</v>
      </c>
      <c r="D4639">
        <v>17</v>
      </c>
      <c r="E4639">
        <v>30861770</v>
      </c>
      <c r="F4639" t="s">
        <v>1680</v>
      </c>
      <c r="G4639" s="1">
        <v>45238</v>
      </c>
      <c r="H4639">
        <v>5414990</v>
      </c>
      <c r="I4639">
        <v>91</v>
      </c>
      <c r="J4639" t="s">
        <v>172</v>
      </c>
      <c r="K4639" s="8" t="str">
        <f>IFERROR(IF(AND(VLOOKUP($C4639,Hes!$A:$B, 1, FALSE), $M4639&lt;&gt;" "), "Ingresada", "Falta Ingresar"), " ")</f>
        <v>Falta Ingresar</v>
      </c>
      <c r="L4639" s="4" t="str">
        <f>IFERROR(VLOOKUP($C4639,Observaciones!$A:$B,2,FALSE)," ")</f>
        <v xml:space="preserve"> </v>
      </c>
      <c r="M4639" t="s">
        <v>681</v>
      </c>
      <c r="N4639" s="5" t="s">
        <v>841</v>
      </c>
      <c r="O4639" s="5">
        <v>30861770</v>
      </c>
      <c r="P4639" s="5">
        <v>5943</v>
      </c>
      <c r="Q4639" s="5">
        <v>1129</v>
      </c>
      <c r="R4639" s="5">
        <v>7072</v>
      </c>
    </row>
    <row r="4640" spans="1:18" x14ac:dyDescent="0.25">
      <c r="A4640" t="s">
        <v>1027</v>
      </c>
      <c r="B4640" t="s">
        <v>494</v>
      </c>
      <c r="C4640">
        <v>96572360</v>
      </c>
      <c r="D4640">
        <v>40</v>
      </c>
      <c r="E4640">
        <v>30861765</v>
      </c>
      <c r="F4640" t="s">
        <v>1680</v>
      </c>
      <c r="G4640" s="1">
        <v>45238</v>
      </c>
      <c r="H4640">
        <v>5414991</v>
      </c>
      <c r="I4640">
        <v>91</v>
      </c>
      <c r="J4640" t="s">
        <v>172</v>
      </c>
      <c r="K4640" s="8" t="str">
        <f>IFERROR(IF(AND(VLOOKUP($C4640,Hes!$A:$B, 1, FALSE), $M4640&lt;&gt;" "), "Ingresada", "Falta Ingresar"), " ")</f>
        <v>Falta Ingresar</v>
      </c>
      <c r="L4640" s="4" t="str">
        <f>IFERROR(VLOOKUP($C4640,Observaciones!$A:$B,2,FALSE)," ")</f>
        <v xml:space="preserve"> </v>
      </c>
      <c r="M4640" t="s">
        <v>681</v>
      </c>
      <c r="N4640" s="5" t="s">
        <v>841</v>
      </c>
      <c r="O4640" s="5">
        <v>30861765</v>
      </c>
      <c r="P4640" s="5">
        <v>18217</v>
      </c>
      <c r="Q4640" s="5">
        <v>3461</v>
      </c>
      <c r="R4640" s="5">
        <v>21678</v>
      </c>
    </row>
    <row r="4641" spans="1:18" x14ac:dyDescent="0.25">
      <c r="A4641" t="s">
        <v>1027</v>
      </c>
      <c r="B4641" t="s">
        <v>494</v>
      </c>
      <c r="C4641">
        <v>96572360</v>
      </c>
      <c r="D4641">
        <v>13</v>
      </c>
      <c r="E4641">
        <v>30862874</v>
      </c>
      <c r="F4641" t="s">
        <v>1680</v>
      </c>
      <c r="G4641" s="1">
        <v>45238</v>
      </c>
      <c r="H4641">
        <v>5415208</v>
      </c>
      <c r="I4641">
        <v>91</v>
      </c>
      <c r="J4641" t="s">
        <v>172</v>
      </c>
      <c r="K4641" s="8" t="str">
        <f>IFERROR(IF(AND(VLOOKUP($C4641,Hes!$A:$B, 1, FALSE), $M4641&lt;&gt;" "), "Ingresada", "Falta Ingresar"), " ")</f>
        <v>Falta Ingresar</v>
      </c>
      <c r="L4641" s="4" t="str">
        <f>IFERROR(VLOOKUP($C4641,Observaciones!$A:$B,2,FALSE)," ")</f>
        <v xml:space="preserve"> </v>
      </c>
      <c r="M4641" t="s">
        <v>681</v>
      </c>
      <c r="N4641" s="5" t="s">
        <v>841</v>
      </c>
      <c r="O4641" s="5">
        <v>30862874</v>
      </c>
      <c r="P4641" s="5">
        <v>20083</v>
      </c>
      <c r="Q4641" s="5">
        <v>3816</v>
      </c>
      <c r="R4641" s="5">
        <v>23899</v>
      </c>
    </row>
    <row r="4642" spans="1:18" x14ac:dyDescent="0.25">
      <c r="A4642" t="s">
        <v>1027</v>
      </c>
      <c r="B4642" t="s">
        <v>494</v>
      </c>
      <c r="C4642">
        <v>96572360</v>
      </c>
      <c r="D4642">
        <v>48</v>
      </c>
      <c r="E4642">
        <v>30863858</v>
      </c>
      <c r="F4642" t="s">
        <v>1680</v>
      </c>
      <c r="G4642" s="1">
        <v>45237</v>
      </c>
      <c r="H4642">
        <v>5415264</v>
      </c>
      <c r="I4642">
        <v>91</v>
      </c>
      <c r="J4642" t="s">
        <v>172</v>
      </c>
      <c r="K4642" s="8" t="str">
        <f>IFERROR(IF(AND(VLOOKUP($C4642,Hes!$A:$B, 1, FALSE), $M4642&lt;&gt;" "), "Ingresada", "Falta Ingresar"), " ")</f>
        <v>Falta Ingresar</v>
      </c>
      <c r="L4642" s="4" t="str">
        <f>IFERROR(VLOOKUP($C4642,Observaciones!$A:$B,2,FALSE)," ")</f>
        <v xml:space="preserve"> </v>
      </c>
      <c r="M4642" t="s">
        <v>681</v>
      </c>
      <c r="N4642" s="5" t="s">
        <v>841</v>
      </c>
      <c r="O4642" s="5">
        <v>30863858</v>
      </c>
      <c r="P4642" s="5">
        <v>42551</v>
      </c>
      <c r="Q4642" s="5">
        <v>8085</v>
      </c>
      <c r="R4642" s="5">
        <v>50636</v>
      </c>
    </row>
    <row r="4643" spans="1:18" x14ac:dyDescent="0.25">
      <c r="A4643" t="s">
        <v>1027</v>
      </c>
      <c r="B4643" t="s">
        <v>494</v>
      </c>
      <c r="C4643">
        <v>96572360</v>
      </c>
      <c r="D4643">
        <v>30</v>
      </c>
      <c r="E4643">
        <v>30865362</v>
      </c>
      <c r="F4643" t="s">
        <v>1680</v>
      </c>
      <c r="G4643" s="1">
        <v>45238</v>
      </c>
      <c r="H4643">
        <v>5415670</v>
      </c>
      <c r="I4643">
        <v>91</v>
      </c>
      <c r="J4643" t="s">
        <v>172</v>
      </c>
      <c r="K4643" s="8" t="str">
        <f>IFERROR(IF(AND(VLOOKUP($C4643,Hes!$A:$B, 1, FALSE), $M4643&lt;&gt;" "), "Ingresada", "Falta Ingresar"), " ")</f>
        <v>Falta Ingresar</v>
      </c>
      <c r="L4643" s="4" t="str">
        <f>IFERROR(VLOOKUP($C4643,Observaciones!$A:$B,2,FALSE)," ")</f>
        <v xml:space="preserve"> </v>
      </c>
      <c r="M4643" t="s">
        <v>681</v>
      </c>
      <c r="N4643" s="5" t="s">
        <v>841</v>
      </c>
      <c r="O4643" s="5">
        <v>30865362</v>
      </c>
      <c r="P4643" s="5">
        <v>247779</v>
      </c>
      <c r="Q4643" s="5">
        <v>47078</v>
      </c>
      <c r="R4643" s="5">
        <v>294857</v>
      </c>
    </row>
    <row r="4644" spans="1:18" x14ac:dyDescent="0.25">
      <c r="A4644" t="s">
        <v>1027</v>
      </c>
      <c r="B4644" t="s">
        <v>494</v>
      </c>
      <c r="C4644">
        <v>96572360</v>
      </c>
      <c r="D4644">
        <v>41</v>
      </c>
      <c r="E4644">
        <v>30864147</v>
      </c>
      <c r="F4644" t="s">
        <v>1680</v>
      </c>
      <c r="G4644" s="1">
        <v>45238</v>
      </c>
      <c r="H4644">
        <v>5415752</v>
      </c>
      <c r="I4644">
        <v>91</v>
      </c>
      <c r="J4644" t="s">
        <v>172</v>
      </c>
      <c r="K4644" s="8" t="str">
        <f>IFERROR(IF(AND(VLOOKUP($C4644,Hes!$A:$B, 1, FALSE), $M4644&lt;&gt;" "), "Ingresada", "Falta Ingresar"), " ")</f>
        <v>Falta Ingresar</v>
      </c>
      <c r="L4644" s="4" t="str">
        <f>IFERROR(VLOOKUP($C4644,Observaciones!$A:$B,2,FALSE)," ")</f>
        <v xml:space="preserve"> </v>
      </c>
      <c r="M4644" t="s">
        <v>681</v>
      </c>
      <c r="N4644" s="5" t="s">
        <v>841</v>
      </c>
      <c r="O4644" s="5">
        <v>30864147</v>
      </c>
      <c r="P4644" s="5">
        <v>5772</v>
      </c>
      <c r="Q4644" s="5">
        <v>1097</v>
      </c>
      <c r="R4644" s="5">
        <v>6869</v>
      </c>
    </row>
    <row r="4645" spans="1:18" x14ac:dyDescent="0.25">
      <c r="A4645" t="s">
        <v>1027</v>
      </c>
      <c r="B4645" t="s">
        <v>494</v>
      </c>
      <c r="C4645">
        <v>96572360</v>
      </c>
      <c r="D4645">
        <v>69</v>
      </c>
      <c r="E4645">
        <v>30864149</v>
      </c>
      <c r="F4645" t="s">
        <v>1680</v>
      </c>
      <c r="G4645" s="1">
        <v>45238</v>
      </c>
      <c r="H4645">
        <v>5415762</v>
      </c>
      <c r="I4645">
        <v>91</v>
      </c>
      <c r="J4645" t="s">
        <v>172</v>
      </c>
      <c r="K4645" s="8" t="str">
        <f>IFERROR(IF(AND(VLOOKUP($C4645,Hes!$A:$B, 1, FALSE), $M4645&lt;&gt;" "), "Ingresada", "Falta Ingresar"), " ")</f>
        <v>Falta Ingresar</v>
      </c>
      <c r="L4645" s="4" t="str">
        <f>IFERROR(VLOOKUP($C4645,Observaciones!$A:$B,2,FALSE)," ")</f>
        <v xml:space="preserve"> </v>
      </c>
      <c r="M4645" t="s">
        <v>681</v>
      </c>
      <c r="N4645" s="5" t="s">
        <v>841</v>
      </c>
      <c r="O4645" s="5">
        <v>30864149</v>
      </c>
      <c r="P4645" s="5">
        <v>13380</v>
      </c>
      <c r="Q4645" s="5">
        <v>2542</v>
      </c>
      <c r="R4645" s="5">
        <v>15922</v>
      </c>
    </row>
    <row r="4646" spans="1:18" x14ac:dyDescent="0.25">
      <c r="A4646" t="s">
        <v>1027</v>
      </c>
      <c r="B4646" t="s">
        <v>494</v>
      </c>
      <c r="C4646">
        <v>96572360</v>
      </c>
      <c r="D4646">
        <v>67</v>
      </c>
      <c r="E4646">
        <v>30866694</v>
      </c>
      <c r="F4646" t="s">
        <v>1680</v>
      </c>
      <c r="G4646" s="1">
        <v>45238</v>
      </c>
      <c r="H4646">
        <v>5415764</v>
      </c>
      <c r="I4646">
        <v>91</v>
      </c>
      <c r="J4646" t="s">
        <v>172</v>
      </c>
      <c r="K4646" s="8" t="str">
        <f>IFERROR(IF(AND(VLOOKUP($C4646,Hes!$A:$B, 1, FALSE), $M4646&lt;&gt;" "), "Ingresada", "Falta Ingresar"), " ")</f>
        <v>Falta Ingresar</v>
      </c>
      <c r="L4646" s="4" t="str">
        <f>IFERROR(VLOOKUP($C4646,Observaciones!$A:$B,2,FALSE)," ")</f>
        <v xml:space="preserve"> </v>
      </c>
      <c r="M4646" t="s">
        <v>681</v>
      </c>
      <c r="N4646" s="5" t="s">
        <v>841</v>
      </c>
      <c r="O4646" s="5">
        <v>30866694</v>
      </c>
      <c r="P4646" s="5">
        <v>75769</v>
      </c>
      <c r="Q4646" s="5">
        <v>14396</v>
      </c>
      <c r="R4646" s="5">
        <v>90165</v>
      </c>
    </row>
    <row r="4647" spans="1:18" x14ac:dyDescent="0.25">
      <c r="A4647" t="s">
        <v>1027</v>
      </c>
      <c r="B4647" t="s">
        <v>494</v>
      </c>
      <c r="C4647">
        <v>96572360</v>
      </c>
      <c r="D4647">
        <v>68</v>
      </c>
      <c r="E4647">
        <v>30866690</v>
      </c>
      <c r="F4647" t="s">
        <v>1680</v>
      </c>
      <c r="G4647" s="1">
        <v>45238</v>
      </c>
      <c r="H4647">
        <v>5415779</v>
      </c>
      <c r="I4647">
        <v>91</v>
      </c>
      <c r="J4647" t="s">
        <v>172</v>
      </c>
      <c r="K4647" s="8" t="str">
        <f>IFERROR(IF(AND(VLOOKUP($C4647,Hes!$A:$B, 1, FALSE), $M4647&lt;&gt;" "), "Ingresada", "Falta Ingresar"), " ")</f>
        <v>Falta Ingresar</v>
      </c>
      <c r="L4647" s="4" t="str">
        <f>IFERROR(VLOOKUP($C4647,Observaciones!$A:$B,2,FALSE)," ")</f>
        <v xml:space="preserve"> </v>
      </c>
      <c r="M4647" t="s">
        <v>681</v>
      </c>
      <c r="N4647" s="5" t="s">
        <v>841</v>
      </c>
      <c r="O4647" s="5">
        <v>30866690</v>
      </c>
      <c r="P4647" s="5">
        <v>7004</v>
      </c>
      <c r="Q4647" s="5">
        <v>1331</v>
      </c>
      <c r="R4647" s="5">
        <v>8335</v>
      </c>
    </row>
    <row r="4648" spans="1:18" x14ac:dyDescent="0.25">
      <c r="A4648" t="s">
        <v>1027</v>
      </c>
      <c r="B4648" t="s">
        <v>494</v>
      </c>
      <c r="C4648">
        <v>96572360</v>
      </c>
      <c r="D4648">
        <v>9</v>
      </c>
      <c r="E4648">
        <v>30866680</v>
      </c>
      <c r="F4648" t="s">
        <v>1680</v>
      </c>
      <c r="G4648" s="1">
        <v>45238</v>
      </c>
      <c r="H4648">
        <v>5415780</v>
      </c>
      <c r="I4648">
        <v>91</v>
      </c>
      <c r="J4648" t="s">
        <v>172</v>
      </c>
      <c r="K4648" s="8" t="str">
        <f>IFERROR(IF(AND(VLOOKUP($C4648,Hes!$A:$B, 1, FALSE), $M4648&lt;&gt;" "), "Ingresada", "Falta Ingresar"), " ")</f>
        <v>Falta Ingresar</v>
      </c>
      <c r="L4648" s="4" t="str">
        <f>IFERROR(VLOOKUP($C4648,Observaciones!$A:$B,2,FALSE)," ")</f>
        <v xml:space="preserve"> </v>
      </c>
      <c r="M4648" t="s">
        <v>681</v>
      </c>
      <c r="N4648" s="5" t="s">
        <v>841</v>
      </c>
      <c r="O4648" s="5">
        <v>30866680</v>
      </c>
      <c r="P4648" s="5">
        <v>174586</v>
      </c>
      <c r="Q4648" s="5">
        <v>33171</v>
      </c>
      <c r="R4648" s="5">
        <v>207757</v>
      </c>
    </row>
    <row r="4649" spans="1:18" x14ac:dyDescent="0.25">
      <c r="A4649" t="s">
        <v>1027</v>
      </c>
      <c r="B4649" t="s">
        <v>494</v>
      </c>
      <c r="C4649">
        <v>96572360</v>
      </c>
      <c r="D4649">
        <v>20</v>
      </c>
      <c r="E4649">
        <v>30866691</v>
      </c>
      <c r="F4649" t="s">
        <v>1680</v>
      </c>
      <c r="G4649" s="1">
        <v>45238</v>
      </c>
      <c r="H4649">
        <v>5415788</v>
      </c>
      <c r="I4649">
        <v>91</v>
      </c>
      <c r="J4649" t="s">
        <v>172</v>
      </c>
      <c r="K4649" s="8" t="str">
        <f>IFERROR(IF(AND(VLOOKUP($C4649,Hes!$A:$B, 1, FALSE), $M4649&lt;&gt;" "), "Ingresada", "Falta Ingresar"), " ")</f>
        <v>Falta Ingresar</v>
      </c>
      <c r="L4649" s="4" t="str">
        <f>IFERROR(VLOOKUP($C4649,Observaciones!$A:$B,2,FALSE)," ")</f>
        <v xml:space="preserve"> </v>
      </c>
      <c r="M4649" t="s">
        <v>681</v>
      </c>
      <c r="N4649" s="5" t="s">
        <v>841</v>
      </c>
      <c r="O4649" s="5">
        <v>30866691</v>
      </c>
      <c r="P4649" s="5">
        <v>27982</v>
      </c>
      <c r="Q4649" s="5">
        <v>5317</v>
      </c>
      <c r="R4649" s="5">
        <v>33299</v>
      </c>
    </row>
    <row r="4650" spans="1:18" x14ac:dyDescent="0.25">
      <c r="A4650" t="s">
        <v>1027</v>
      </c>
      <c r="B4650" t="s">
        <v>494</v>
      </c>
      <c r="C4650">
        <v>96572360</v>
      </c>
      <c r="D4650">
        <v>48</v>
      </c>
      <c r="E4650">
        <v>30866696</v>
      </c>
      <c r="F4650" t="s">
        <v>1680</v>
      </c>
      <c r="G4650" s="1">
        <v>45238</v>
      </c>
      <c r="H4650">
        <v>5415794</v>
      </c>
      <c r="I4650">
        <v>91</v>
      </c>
      <c r="J4650" t="s">
        <v>172</v>
      </c>
      <c r="K4650" s="8" t="str">
        <f>IFERROR(IF(AND(VLOOKUP($C4650,Hes!$A:$B, 1, FALSE), $M4650&lt;&gt;" "), "Ingresada", "Falta Ingresar"), " ")</f>
        <v>Falta Ingresar</v>
      </c>
      <c r="L4650" s="4" t="str">
        <f>IFERROR(VLOOKUP($C4650,Observaciones!$A:$B,2,FALSE)," ")</f>
        <v xml:space="preserve"> </v>
      </c>
      <c r="M4650" t="s">
        <v>681</v>
      </c>
      <c r="N4650" s="5" t="s">
        <v>841</v>
      </c>
      <c r="O4650" s="5">
        <v>30866696</v>
      </c>
      <c r="P4650" s="5">
        <v>35400</v>
      </c>
      <c r="Q4650" s="5">
        <v>6726</v>
      </c>
      <c r="R4650" s="5">
        <v>42126</v>
      </c>
    </row>
    <row r="4651" spans="1:18" x14ac:dyDescent="0.25">
      <c r="A4651" t="s">
        <v>1027</v>
      </c>
      <c r="B4651" t="s">
        <v>494</v>
      </c>
      <c r="C4651">
        <v>96572360</v>
      </c>
      <c r="D4651">
        <v>9</v>
      </c>
      <c r="E4651">
        <v>30861767</v>
      </c>
      <c r="F4651" t="s">
        <v>1680</v>
      </c>
      <c r="G4651" s="1">
        <v>45238</v>
      </c>
      <c r="H4651">
        <v>5415799</v>
      </c>
      <c r="I4651">
        <v>91</v>
      </c>
      <c r="J4651" t="s">
        <v>172</v>
      </c>
      <c r="K4651" s="8" t="str">
        <f>IFERROR(IF(AND(VLOOKUP($C4651,Hes!$A:$B, 1, FALSE), $M4651&lt;&gt;" "), "Ingresada", "Falta Ingresar"), " ")</f>
        <v>Falta Ingresar</v>
      </c>
      <c r="L4651" s="4" t="str">
        <f>IFERROR(VLOOKUP($C4651,Observaciones!$A:$B,2,FALSE)," ")</f>
        <v xml:space="preserve"> </v>
      </c>
      <c r="M4651" t="s">
        <v>681</v>
      </c>
      <c r="N4651" s="5" t="s">
        <v>841</v>
      </c>
      <c r="O4651" s="5">
        <v>30861767</v>
      </c>
      <c r="P4651" s="5">
        <v>108020</v>
      </c>
      <c r="Q4651" s="5">
        <v>20524</v>
      </c>
      <c r="R4651" s="5">
        <v>128544</v>
      </c>
    </row>
    <row r="4652" spans="1:18" x14ac:dyDescent="0.25">
      <c r="A4652" t="s">
        <v>1027</v>
      </c>
      <c r="B4652" t="s">
        <v>494</v>
      </c>
      <c r="C4652">
        <v>96572360</v>
      </c>
      <c r="D4652">
        <v>16</v>
      </c>
      <c r="E4652">
        <v>30863861</v>
      </c>
      <c r="F4652" t="s">
        <v>1680</v>
      </c>
      <c r="G4652" s="1">
        <v>45238</v>
      </c>
      <c r="H4652">
        <v>5415801</v>
      </c>
      <c r="I4652">
        <v>91</v>
      </c>
      <c r="J4652" t="s">
        <v>172</v>
      </c>
      <c r="K4652" s="8" t="str">
        <f>IFERROR(IF(AND(VLOOKUP($C4652,Hes!$A:$B, 1, FALSE), $M4652&lt;&gt;" "), "Ingresada", "Falta Ingresar"), " ")</f>
        <v>Falta Ingresar</v>
      </c>
      <c r="L4652" s="4" t="str">
        <f>IFERROR(VLOOKUP($C4652,Observaciones!$A:$B,2,FALSE)," ")</f>
        <v xml:space="preserve"> </v>
      </c>
      <c r="M4652" t="s">
        <v>681</v>
      </c>
      <c r="N4652" s="5" t="s">
        <v>841</v>
      </c>
      <c r="O4652" s="5">
        <v>30863861</v>
      </c>
      <c r="P4652" s="5">
        <v>5375</v>
      </c>
      <c r="Q4652" s="5">
        <v>1021</v>
      </c>
      <c r="R4652" s="5">
        <v>6396</v>
      </c>
    </row>
    <row r="4653" spans="1:18" x14ac:dyDescent="0.25">
      <c r="F4653" t="s">
        <v>1355</v>
      </c>
      <c r="K4653" t="str">
        <f>IFERROR(IF(AND(VLOOKUP($C4653,Hes!$A:$B, 1, FALSE), $M4653&lt;&gt;" "), "Ingresada", "Falta Ingresar"), " ")</f>
        <v xml:space="preserve"> </v>
      </c>
      <c r="L4653" s="4" t="str">
        <f>IFERROR(VLOOKUP($C4653,Observaciones!$A:$B,2,FALSE)," ")</f>
        <v xml:space="preserve"> </v>
      </c>
      <c r="M4653" t="s">
        <v>681</v>
      </c>
      <c r="P4653" s="5">
        <v>5821755</v>
      </c>
      <c r="Q4653" s="5">
        <v>1106134</v>
      </c>
      <c r="R4653" s="5">
        <v>6927889</v>
      </c>
    </row>
    <row r="4654" spans="1:18" x14ac:dyDescent="0.25">
      <c r="A4654" t="s">
        <v>1027</v>
      </c>
      <c r="B4654" t="s">
        <v>494</v>
      </c>
      <c r="C4654">
        <v>96572370</v>
      </c>
      <c r="D4654">
        <v>2</v>
      </c>
      <c r="E4654">
        <v>30849853</v>
      </c>
      <c r="F4654" t="s">
        <v>1681</v>
      </c>
      <c r="G4654" s="1">
        <v>45233</v>
      </c>
      <c r="H4654">
        <v>5411438</v>
      </c>
      <c r="I4654">
        <v>91</v>
      </c>
      <c r="J4654" t="s">
        <v>172</v>
      </c>
      <c r="K4654" s="8" t="str">
        <f>IFERROR(IF(AND(VLOOKUP($C4654,Hes!$A:$B, 1, FALSE), $M4654&lt;&gt;" "), "Ingresada", "Falta Ingresar"), " ")</f>
        <v>Falta Ingresar</v>
      </c>
      <c r="L4654" s="4" t="str">
        <f>IFERROR(VLOOKUP($C4654,Observaciones!$A:$B,2,FALSE)," ")</f>
        <v xml:space="preserve"> </v>
      </c>
      <c r="M4654" t="s">
        <v>681</v>
      </c>
      <c r="N4654" s="5" t="s">
        <v>841</v>
      </c>
      <c r="O4654" s="5">
        <v>30849853</v>
      </c>
      <c r="P4654" s="5">
        <v>17448</v>
      </c>
      <c r="Q4654" s="5">
        <v>3315</v>
      </c>
      <c r="R4654" s="5">
        <v>20763</v>
      </c>
    </row>
    <row r="4655" spans="1:18" x14ac:dyDescent="0.25">
      <c r="A4655" t="s">
        <v>1027</v>
      </c>
      <c r="B4655" t="s">
        <v>494</v>
      </c>
      <c r="C4655">
        <v>96572370</v>
      </c>
      <c r="D4655">
        <v>6</v>
      </c>
      <c r="E4655">
        <v>30849842</v>
      </c>
      <c r="F4655" t="s">
        <v>1681</v>
      </c>
      <c r="G4655" s="1">
        <v>45233</v>
      </c>
      <c r="H4655">
        <v>5411470</v>
      </c>
      <c r="I4655">
        <v>91</v>
      </c>
      <c r="J4655" t="s">
        <v>172</v>
      </c>
      <c r="K4655" s="8" t="str">
        <f>IFERROR(IF(AND(VLOOKUP($C4655,Hes!$A:$B, 1, FALSE), $M4655&lt;&gt;" "), "Ingresada", "Falta Ingresar"), " ")</f>
        <v>Falta Ingresar</v>
      </c>
      <c r="L4655" s="4" t="str">
        <f>IFERROR(VLOOKUP($C4655,Observaciones!$A:$B,2,FALSE)," ")</f>
        <v xml:space="preserve"> </v>
      </c>
      <c r="M4655" t="s">
        <v>681</v>
      </c>
      <c r="N4655" s="5" t="s">
        <v>841</v>
      </c>
      <c r="O4655" s="5">
        <v>30849842</v>
      </c>
      <c r="P4655" s="5">
        <v>84152</v>
      </c>
      <c r="Q4655" s="5">
        <v>15989</v>
      </c>
      <c r="R4655" s="5">
        <v>100141</v>
      </c>
    </row>
    <row r="4656" spans="1:18" x14ac:dyDescent="0.25">
      <c r="F4656" t="s">
        <v>497</v>
      </c>
      <c r="K4656" t="str">
        <f>IFERROR(IF(AND(VLOOKUP($C4656,Hes!$A:$B, 1, FALSE), $M4656&lt;&gt;" "), "Ingresada", "Falta Ingresar"), " ")</f>
        <v xml:space="preserve"> </v>
      </c>
      <c r="L4656" s="4" t="str">
        <f>IFERROR(VLOOKUP($C4656,Observaciones!$A:$B,2,FALSE)," ")</f>
        <v xml:space="preserve"> </v>
      </c>
      <c r="M4656" t="s">
        <v>681</v>
      </c>
      <c r="P4656" s="5">
        <v>101600</v>
      </c>
      <c r="Q4656" s="5">
        <v>19304</v>
      </c>
      <c r="R4656" s="5">
        <v>120904</v>
      </c>
    </row>
    <row r="4657" spans="1:18" x14ac:dyDescent="0.25">
      <c r="A4657" t="s">
        <v>501</v>
      </c>
      <c r="B4657" t="s">
        <v>494</v>
      </c>
      <c r="C4657">
        <v>96573600</v>
      </c>
      <c r="D4657">
        <v>48</v>
      </c>
      <c r="E4657" t="s">
        <v>1682</v>
      </c>
      <c r="F4657" t="s">
        <v>1683</v>
      </c>
      <c r="G4657" s="1">
        <v>45231</v>
      </c>
      <c r="H4657">
        <v>5410620</v>
      </c>
      <c r="I4657">
        <v>431</v>
      </c>
      <c r="J4657" t="s">
        <v>354</v>
      </c>
      <c r="K4657" t="str">
        <f>IFERROR(IF(AND(VLOOKUP($C4657,Hes!$A:$B, 1, FALSE), $M4657&lt;&gt;" "), "Ingresada", "Falta Ingresar"), " ")</f>
        <v xml:space="preserve"> </v>
      </c>
      <c r="L4657" s="4" t="str">
        <f>IFERROR(VLOOKUP($C4657,Observaciones!$A:$B,2,FALSE)," ")</f>
        <v xml:space="preserve"> </v>
      </c>
      <c r="M4657" t="s">
        <v>681</v>
      </c>
      <c r="O4657" s="5">
        <v>30841107</v>
      </c>
      <c r="P4657" s="5">
        <v>67280</v>
      </c>
      <c r="Q4657" s="5">
        <v>12783</v>
      </c>
      <c r="R4657" s="5">
        <v>80063</v>
      </c>
    </row>
    <row r="4658" spans="1:18" x14ac:dyDescent="0.25">
      <c r="A4658" t="s">
        <v>501</v>
      </c>
      <c r="B4658" t="s">
        <v>494</v>
      </c>
      <c r="C4658">
        <v>96573600</v>
      </c>
      <c r="D4658">
        <v>55</v>
      </c>
      <c r="E4658" t="s">
        <v>1684</v>
      </c>
      <c r="F4658" t="s">
        <v>1683</v>
      </c>
      <c r="G4658" s="1">
        <v>45236</v>
      </c>
      <c r="H4658">
        <v>5412267</v>
      </c>
      <c r="I4658">
        <v>431</v>
      </c>
      <c r="J4658" t="s">
        <v>354</v>
      </c>
      <c r="K4658" t="str">
        <f>IFERROR(IF(AND(VLOOKUP($C4658,Hes!$A:$B, 1, FALSE), $M4658&lt;&gt;" "), "Ingresada", "Falta Ingresar"), " ")</f>
        <v xml:space="preserve"> </v>
      </c>
      <c r="L4658" s="4" t="str">
        <f>IFERROR(VLOOKUP($C4658,Observaciones!$A:$B,2,FALSE)," ")</f>
        <v xml:space="preserve"> </v>
      </c>
      <c r="M4658" t="s">
        <v>681</v>
      </c>
      <c r="O4658" s="5">
        <v>30852985</v>
      </c>
      <c r="P4658" s="5">
        <v>107020</v>
      </c>
      <c r="Q4658" s="5">
        <v>20334</v>
      </c>
      <c r="R4658" s="5">
        <v>127354</v>
      </c>
    </row>
    <row r="4659" spans="1:18" x14ac:dyDescent="0.25">
      <c r="A4659" t="s">
        <v>501</v>
      </c>
      <c r="B4659" t="s">
        <v>494</v>
      </c>
      <c r="C4659">
        <v>96573600</v>
      </c>
      <c r="D4659">
        <v>53</v>
      </c>
      <c r="E4659" t="s">
        <v>1685</v>
      </c>
      <c r="F4659" t="s">
        <v>1683</v>
      </c>
      <c r="G4659" s="1">
        <v>45238</v>
      </c>
      <c r="H4659">
        <v>5415388</v>
      </c>
      <c r="I4659">
        <v>431</v>
      </c>
      <c r="J4659" t="s">
        <v>354</v>
      </c>
      <c r="K4659" t="str">
        <f>IFERROR(IF(AND(VLOOKUP($C4659,Hes!$A:$B, 1, FALSE), $M4659&lt;&gt;" "), "Ingresada", "Falta Ingresar"), " ")</f>
        <v xml:space="preserve"> </v>
      </c>
      <c r="L4659" s="4" t="str">
        <f>IFERROR(VLOOKUP($C4659,Observaciones!$A:$B,2,FALSE)," ")</f>
        <v xml:space="preserve"> </v>
      </c>
      <c r="M4659" t="s">
        <v>681</v>
      </c>
      <c r="O4659" s="5">
        <v>30865946</v>
      </c>
      <c r="P4659" s="5">
        <v>67280</v>
      </c>
      <c r="Q4659" s="5">
        <v>12783</v>
      </c>
      <c r="R4659" s="5">
        <v>80063</v>
      </c>
    </row>
    <row r="4660" spans="1:18" x14ac:dyDescent="0.25">
      <c r="A4660" t="s">
        <v>501</v>
      </c>
      <c r="B4660" t="s">
        <v>494</v>
      </c>
      <c r="C4660">
        <v>96573600</v>
      </c>
      <c r="D4660">
        <v>57</v>
      </c>
      <c r="E4660" t="s">
        <v>1686</v>
      </c>
      <c r="F4660" t="s">
        <v>1683</v>
      </c>
      <c r="G4660" s="1">
        <v>45238</v>
      </c>
      <c r="H4660">
        <v>5415419</v>
      </c>
      <c r="I4660">
        <v>431</v>
      </c>
      <c r="J4660" t="s">
        <v>354</v>
      </c>
      <c r="K4660" t="str">
        <f>IFERROR(IF(AND(VLOOKUP($C4660,Hes!$A:$B, 1, FALSE), $M4660&lt;&gt;" "), "Ingresada", "Falta Ingresar"), " ")</f>
        <v xml:space="preserve"> </v>
      </c>
      <c r="L4660" s="4" t="str">
        <f>IFERROR(VLOOKUP($C4660,Observaciones!$A:$B,2,FALSE)," ")</f>
        <v xml:space="preserve"> </v>
      </c>
      <c r="M4660" t="s">
        <v>681</v>
      </c>
      <c r="O4660" s="5">
        <v>30864632</v>
      </c>
      <c r="P4660" s="5">
        <v>168200</v>
      </c>
      <c r="Q4660" s="5">
        <v>31958</v>
      </c>
      <c r="R4660" s="5">
        <v>200158</v>
      </c>
    </row>
    <row r="4661" spans="1:18" x14ac:dyDescent="0.25">
      <c r="F4661" t="s">
        <v>498</v>
      </c>
      <c r="K4661" t="str">
        <f>IFERROR(IF(AND(VLOOKUP($C4661,Hes!$A:$B, 1, FALSE), $M4661&lt;&gt;" "), "Ingresada", "Falta Ingresar"), " ")</f>
        <v xml:space="preserve"> </v>
      </c>
      <c r="L4661" s="4" t="str">
        <f>IFERROR(VLOOKUP($C4661,Observaciones!$A:$B,2,FALSE)," ")</f>
        <v xml:space="preserve"> </v>
      </c>
      <c r="M4661" t="s">
        <v>681</v>
      </c>
      <c r="P4661" s="5">
        <v>409780</v>
      </c>
      <c r="Q4661" s="5">
        <v>77858</v>
      </c>
      <c r="R4661" s="5">
        <v>487638</v>
      </c>
    </row>
    <row r="4662" spans="1:18" x14ac:dyDescent="0.25">
      <c r="A4662" t="s">
        <v>496</v>
      </c>
      <c r="B4662" t="s">
        <v>494</v>
      </c>
      <c r="C4662">
        <v>96575280</v>
      </c>
      <c r="D4662">
        <v>3</v>
      </c>
      <c r="E4662">
        <v>4505558131</v>
      </c>
      <c r="F4662" t="s">
        <v>1687</v>
      </c>
      <c r="G4662" s="1">
        <v>45232</v>
      </c>
      <c r="H4662">
        <v>5410723</v>
      </c>
      <c r="I4662">
        <v>326</v>
      </c>
      <c r="J4662" t="s">
        <v>246</v>
      </c>
      <c r="K4662" t="str">
        <f>IFERROR(IF(AND(VLOOKUP($C4662,Hes!$A:$B, 1, FALSE), $M4662&lt;&gt;" "), "Ingresada", "Falta Ingresar"), " ")</f>
        <v xml:space="preserve"> </v>
      </c>
      <c r="L4662" s="4" t="s">
        <v>681</v>
      </c>
      <c r="M4662" t="s">
        <v>681</v>
      </c>
      <c r="O4662" s="5">
        <v>30844351</v>
      </c>
      <c r="P4662" s="5">
        <v>125442</v>
      </c>
      <c r="Q4662" s="5">
        <v>23834</v>
      </c>
      <c r="R4662" s="5">
        <v>149276</v>
      </c>
    </row>
    <row r="4663" spans="1:18" x14ac:dyDescent="0.25">
      <c r="A4663" t="s">
        <v>496</v>
      </c>
      <c r="B4663" t="s">
        <v>494</v>
      </c>
      <c r="C4663">
        <v>96575280</v>
      </c>
      <c r="D4663">
        <v>0</v>
      </c>
      <c r="E4663">
        <v>4505558131</v>
      </c>
      <c r="F4663" t="s">
        <v>1687</v>
      </c>
      <c r="G4663" s="1">
        <v>45233</v>
      </c>
      <c r="H4663">
        <v>5411366</v>
      </c>
      <c r="I4663">
        <v>326</v>
      </c>
      <c r="J4663" t="s">
        <v>246</v>
      </c>
      <c r="K4663" t="str">
        <f>IFERROR(IF(AND(VLOOKUP($C4663,Hes!$A:$B, 1, FALSE), $M4663&lt;&gt;" "), "Ingresada", "Falta Ingresar"), " ")</f>
        <v xml:space="preserve"> </v>
      </c>
      <c r="L4663" s="4" t="s">
        <v>681</v>
      </c>
      <c r="M4663" t="s">
        <v>681</v>
      </c>
      <c r="O4663" s="5">
        <v>30846642</v>
      </c>
      <c r="P4663" s="5">
        <v>119171</v>
      </c>
      <c r="Q4663" s="5">
        <v>22642</v>
      </c>
      <c r="R4663" s="5">
        <v>141813</v>
      </c>
    </row>
    <row r="4664" spans="1:18" x14ac:dyDescent="0.25">
      <c r="A4664" t="s">
        <v>496</v>
      </c>
      <c r="B4664" t="s">
        <v>494</v>
      </c>
      <c r="C4664">
        <v>96575280</v>
      </c>
      <c r="D4664">
        <v>25</v>
      </c>
      <c r="E4664">
        <v>4505896940</v>
      </c>
      <c r="F4664" t="s">
        <v>1687</v>
      </c>
      <c r="G4664" s="1">
        <v>45238</v>
      </c>
      <c r="H4664">
        <v>5415239</v>
      </c>
      <c r="I4664">
        <v>326</v>
      </c>
      <c r="J4664" t="s">
        <v>246</v>
      </c>
      <c r="K4664" t="str">
        <f>IFERROR(IF(AND(VLOOKUP($C4664,Hes!$A:$B, 1, FALSE), $M4664&lt;&gt;" "), "Ingresada", "Falta Ingresar"), " ")</f>
        <v xml:space="preserve"> </v>
      </c>
      <c r="L4664" s="4" t="s">
        <v>681</v>
      </c>
      <c r="M4664" t="s">
        <v>681</v>
      </c>
      <c r="O4664" s="5">
        <v>30852604</v>
      </c>
      <c r="P4664" s="5">
        <v>144579</v>
      </c>
      <c r="Q4664" s="5">
        <v>27470</v>
      </c>
      <c r="R4664" s="5">
        <v>172049</v>
      </c>
    </row>
    <row r="4665" spans="1:18" x14ac:dyDescent="0.25">
      <c r="A4665" t="s">
        <v>496</v>
      </c>
      <c r="B4665" t="s">
        <v>494</v>
      </c>
      <c r="C4665">
        <v>96575280</v>
      </c>
      <c r="D4665">
        <v>25</v>
      </c>
      <c r="E4665">
        <v>4505896940</v>
      </c>
      <c r="F4665" t="s">
        <v>1687</v>
      </c>
      <c r="G4665" s="1">
        <v>45238</v>
      </c>
      <c r="H4665">
        <v>5415240</v>
      </c>
      <c r="I4665">
        <v>326</v>
      </c>
      <c r="J4665" t="s">
        <v>246</v>
      </c>
      <c r="K4665" t="str">
        <f>IFERROR(IF(AND(VLOOKUP($C4665,Hes!$A:$B, 1, FALSE), $M4665&lt;&gt;" "), "Ingresada", "Falta Ingresar"), " ")</f>
        <v xml:space="preserve"> </v>
      </c>
      <c r="L4665" s="4" t="s">
        <v>681</v>
      </c>
      <c r="M4665" t="s">
        <v>681</v>
      </c>
      <c r="O4665" s="5">
        <v>30852604</v>
      </c>
      <c r="P4665" s="5">
        <v>205674</v>
      </c>
      <c r="Q4665" s="5">
        <v>39078</v>
      </c>
      <c r="R4665" s="5">
        <v>244752</v>
      </c>
    </row>
    <row r="4666" spans="1:18" x14ac:dyDescent="0.25">
      <c r="A4666" t="s">
        <v>496</v>
      </c>
      <c r="B4666" t="s">
        <v>494</v>
      </c>
      <c r="C4666">
        <v>96575280</v>
      </c>
      <c r="D4666">
        <v>22</v>
      </c>
      <c r="E4666">
        <v>4504834347</v>
      </c>
      <c r="F4666" t="s">
        <v>1687</v>
      </c>
      <c r="G4666" s="1">
        <v>45238</v>
      </c>
      <c r="H4666">
        <v>5415501</v>
      </c>
      <c r="I4666">
        <v>326</v>
      </c>
      <c r="J4666" t="s">
        <v>246</v>
      </c>
      <c r="K4666" t="str">
        <f>IFERROR(IF(AND(VLOOKUP($C4666,Hes!$A:$B, 1, FALSE), $M4666&lt;&gt;" "), "Ingresada", "Falta Ingresar"), " ")</f>
        <v xml:space="preserve"> </v>
      </c>
      <c r="L4666" s="4" t="s">
        <v>681</v>
      </c>
      <c r="M4666" t="s">
        <v>681</v>
      </c>
      <c r="O4666" s="5">
        <v>30834995</v>
      </c>
      <c r="P4666" s="5">
        <v>66818</v>
      </c>
      <c r="Q4666" s="5">
        <v>12695</v>
      </c>
      <c r="R4666" s="5">
        <v>79513</v>
      </c>
    </row>
    <row r="4667" spans="1:18" x14ac:dyDescent="0.25">
      <c r="F4667" t="s">
        <v>499</v>
      </c>
      <c r="K4667" t="str">
        <f>IFERROR(IF(AND(VLOOKUP($C4667,Hes!$A:$B, 1, FALSE), $M4667&lt;&gt;" "), "Ingresada", "Falta Ingresar"), " ")</f>
        <v xml:space="preserve"> </v>
      </c>
      <c r="L4667" s="4" t="str">
        <f>IFERROR(VLOOKUP($C4667,Observaciones!$A:$B,2,FALSE)," ")</f>
        <v xml:space="preserve"> </v>
      </c>
      <c r="M4667" t="s">
        <v>681</v>
      </c>
      <c r="P4667" s="5">
        <v>661684</v>
      </c>
      <c r="Q4667" s="5">
        <v>125719</v>
      </c>
      <c r="R4667" s="5">
        <v>787403</v>
      </c>
    </row>
    <row r="4668" spans="1:18" x14ac:dyDescent="0.25">
      <c r="A4668" t="s">
        <v>496</v>
      </c>
      <c r="B4668" t="s">
        <v>494</v>
      </c>
      <c r="C4668">
        <v>96576580</v>
      </c>
      <c r="D4668">
        <v>0</v>
      </c>
      <c r="E4668">
        <v>30847802</v>
      </c>
      <c r="F4668" t="s">
        <v>1688</v>
      </c>
      <c r="G4668" s="1">
        <v>45233</v>
      </c>
      <c r="H4668">
        <v>5411235</v>
      </c>
      <c r="I4668">
        <v>471</v>
      </c>
      <c r="J4668" t="s">
        <v>232</v>
      </c>
      <c r="K4668" t="str">
        <f>IFERROR(IF(AND(VLOOKUP($C4668,Hes!$A:$B, 1, FALSE), $M4668&lt;&gt;" "), "Ingresada", "Falta Ingresar"), " ")</f>
        <v xml:space="preserve"> </v>
      </c>
      <c r="L4668" s="4" t="str">
        <f>IFERROR(VLOOKUP($C4668,Observaciones!$A:$B,2,FALSE)," ")</f>
        <v xml:space="preserve"> </v>
      </c>
      <c r="M4668" t="s">
        <v>681</v>
      </c>
      <c r="O4668" s="5">
        <v>30847802</v>
      </c>
      <c r="P4668" s="5">
        <v>90367</v>
      </c>
      <c r="Q4668" s="5">
        <v>17170</v>
      </c>
      <c r="R4668" s="5">
        <v>107537</v>
      </c>
    </row>
    <row r="4669" spans="1:18" x14ac:dyDescent="0.25">
      <c r="F4669" t="s">
        <v>495</v>
      </c>
      <c r="K4669" t="str">
        <f>IFERROR(IF(AND(VLOOKUP($C4669,Hes!$A:$B, 1, FALSE), $M4669&lt;&gt;" "), "Ingresada", "Falta Ingresar"), " ")</f>
        <v xml:space="preserve"> </v>
      </c>
      <c r="L4669" s="4" t="str">
        <f>IFERROR(VLOOKUP($C4669,Observaciones!$A:$B,2,FALSE)," ")</f>
        <v xml:space="preserve"> </v>
      </c>
      <c r="M4669" t="s">
        <v>681</v>
      </c>
      <c r="P4669" s="5">
        <v>90367</v>
      </c>
      <c r="Q4669" s="5">
        <v>17170</v>
      </c>
      <c r="R4669" s="5">
        <v>107537</v>
      </c>
    </row>
    <row r="4670" spans="1:18" x14ac:dyDescent="0.25">
      <c r="A4670" t="s">
        <v>496</v>
      </c>
      <c r="B4670" t="s">
        <v>494</v>
      </c>
      <c r="C4670">
        <v>96581370</v>
      </c>
      <c r="D4670">
        <v>0</v>
      </c>
      <c r="E4670">
        <v>4500013518</v>
      </c>
      <c r="F4670" t="s">
        <v>1689</v>
      </c>
      <c r="G4670" s="1">
        <v>45233</v>
      </c>
      <c r="H4670">
        <v>5412052</v>
      </c>
      <c r="I4670">
        <v>28</v>
      </c>
      <c r="J4670" t="s">
        <v>164</v>
      </c>
      <c r="K4670" t="str">
        <f>IFERROR(IF(AND(VLOOKUP($C4670,Hes!$A:$B, 1, FALSE), $M4670&lt;&gt;" "), "Ingresada", "Falta Ingresar"), " ")</f>
        <v xml:space="preserve"> </v>
      </c>
      <c r="L4670" s="4" t="str">
        <f>IFERROR(VLOOKUP($C4670,Observaciones!$A:$B,2,FALSE)," ")</f>
        <v xml:space="preserve"> </v>
      </c>
      <c r="M4670" t="s">
        <v>681</v>
      </c>
      <c r="O4670" s="5">
        <v>30823877</v>
      </c>
      <c r="P4670" s="5">
        <v>71100</v>
      </c>
      <c r="Q4670" s="5">
        <v>13509</v>
      </c>
      <c r="R4670" s="5">
        <v>84609</v>
      </c>
    </row>
    <row r="4671" spans="1:18" x14ac:dyDescent="0.25">
      <c r="F4671" t="s">
        <v>495</v>
      </c>
      <c r="K4671" t="str">
        <f>IFERROR(IF(AND(VLOOKUP($C4671,Hes!$A:$B, 1, FALSE), $M4671&lt;&gt;" "), "Ingresada", "Falta Ingresar"), " ")</f>
        <v xml:space="preserve"> </v>
      </c>
      <c r="L4671" s="4" t="str">
        <f>IFERROR(VLOOKUP($C4671,Observaciones!$A:$B,2,FALSE)," ")</f>
        <v xml:space="preserve"> </v>
      </c>
      <c r="M4671" t="s">
        <v>681</v>
      </c>
      <c r="P4671" s="5">
        <v>71100</v>
      </c>
      <c r="Q4671" s="5">
        <v>13509</v>
      </c>
      <c r="R4671" s="5">
        <v>84609</v>
      </c>
    </row>
    <row r="4672" spans="1:18" x14ac:dyDescent="0.25">
      <c r="A4672" t="s">
        <v>496</v>
      </c>
      <c r="B4672" t="s">
        <v>494</v>
      </c>
      <c r="C4672">
        <v>96588560</v>
      </c>
      <c r="D4672">
        <v>0</v>
      </c>
      <c r="E4672">
        <v>30846147</v>
      </c>
      <c r="F4672" t="s">
        <v>1690</v>
      </c>
      <c r="G4672" s="1">
        <v>45232</v>
      </c>
      <c r="H4672">
        <v>5410974</v>
      </c>
      <c r="I4672">
        <v>417</v>
      </c>
      <c r="J4672" t="s">
        <v>261</v>
      </c>
      <c r="K4672" s="7" t="str">
        <f>IFERROR(IF(AND(VLOOKUP($C4672,Hes!$A:$B, 1, FALSE), $M4672&lt;&gt;" "), "Ingresada", "Falta Ingresar"), " ")</f>
        <v>Ingresada</v>
      </c>
      <c r="L4672" s="4" t="str">
        <f>IFERROR(VLOOKUP($C4672,Observaciones!$A:$B,2,FALSE)," ")</f>
        <v>XOC Y CC</v>
      </c>
      <c r="M4672">
        <v>2436</v>
      </c>
      <c r="N4672" s="5" t="s">
        <v>841</v>
      </c>
      <c r="O4672" s="5">
        <v>30846147</v>
      </c>
      <c r="P4672" s="5">
        <v>142057</v>
      </c>
      <c r="Q4672" s="5">
        <v>26991</v>
      </c>
      <c r="R4672" s="5">
        <v>169048</v>
      </c>
    </row>
    <row r="4673" spans="1:18" x14ac:dyDescent="0.25">
      <c r="F4673" t="s">
        <v>495</v>
      </c>
      <c r="K4673" t="str">
        <f>IFERROR(IF(AND(VLOOKUP($C4673,Hes!$A:$B, 1, FALSE), $M4673&lt;&gt;" "), "Ingresada", "Falta Ingresar"), " ")</f>
        <v xml:space="preserve"> </v>
      </c>
      <c r="L4673" s="4" t="str">
        <f>IFERROR(VLOOKUP($C4673,Observaciones!$A:$B,2,FALSE)," ")</f>
        <v xml:space="preserve"> </v>
      </c>
      <c r="M4673" t="s">
        <v>681</v>
      </c>
      <c r="P4673" s="5">
        <v>142057</v>
      </c>
      <c r="Q4673" s="5">
        <v>26991</v>
      </c>
      <c r="R4673" s="5">
        <v>169048</v>
      </c>
    </row>
    <row r="4674" spans="1:18" x14ac:dyDescent="0.25">
      <c r="A4674" t="s">
        <v>1326</v>
      </c>
      <c r="B4674" t="s">
        <v>494</v>
      </c>
      <c r="C4674">
        <v>96592190</v>
      </c>
      <c r="D4674">
        <v>5</v>
      </c>
      <c r="E4674">
        <v>30762403</v>
      </c>
      <c r="F4674" t="s">
        <v>1691</v>
      </c>
      <c r="G4674" s="1">
        <v>45236</v>
      </c>
      <c r="H4674">
        <v>5410495</v>
      </c>
      <c r="I4674">
        <v>81</v>
      </c>
      <c r="J4674" t="s">
        <v>144</v>
      </c>
      <c r="K4674" t="str">
        <f>IFERROR(IF(AND(VLOOKUP($C4674,Hes!$A:$B, 1, FALSE), $M4674&lt;&gt;" "), "Ingresada", "Falta Ingresar"), " ")</f>
        <v xml:space="preserve"> </v>
      </c>
      <c r="L4674" s="4" t="str">
        <f>IFERROR(VLOOKUP($C4674,Observaciones!$A:$B,2,FALSE)," ")</f>
        <v>SQM SEGUN INFORME VENDEDOR</v>
      </c>
      <c r="M4674" t="s">
        <v>681</v>
      </c>
      <c r="O4674" s="5">
        <v>30861876</v>
      </c>
      <c r="P4674" s="5">
        <v>539155</v>
      </c>
      <c r="Q4674" s="5">
        <v>102439</v>
      </c>
      <c r="R4674" s="5">
        <v>641594</v>
      </c>
    </row>
    <row r="4675" spans="1:18" x14ac:dyDescent="0.25">
      <c r="A4675" t="s">
        <v>1326</v>
      </c>
      <c r="B4675" t="s">
        <v>494</v>
      </c>
      <c r="C4675">
        <v>96592190</v>
      </c>
      <c r="D4675">
        <v>5007</v>
      </c>
      <c r="E4675">
        <v>30762456</v>
      </c>
      <c r="F4675" t="s">
        <v>1691</v>
      </c>
      <c r="G4675" s="1">
        <v>45236</v>
      </c>
      <c r="H4675">
        <v>5410496</v>
      </c>
      <c r="I4675">
        <v>81</v>
      </c>
      <c r="J4675" t="s">
        <v>144</v>
      </c>
      <c r="K4675" t="str">
        <f>IFERROR(IF(AND(VLOOKUP($C4675,Hes!$A:$B, 1, FALSE), $M4675&lt;&gt;" "), "Ingresada", "Falta Ingresar"), " ")</f>
        <v xml:space="preserve"> </v>
      </c>
      <c r="L4675" s="4" t="str">
        <f>IFERROR(VLOOKUP($C4675,Observaciones!$A:$B,2,FALSE)," ")</f>
        <v>SQM SEGUN INFORME VENDEDOR</v>
      </c>
      <c r="M4675" t="s">
        <v>681</v>
      </c>
      <c r="O4675" s="5">
        <v>30861889</v>
      </c>
      <c r="P4675" s="5">
        <v>1116191</v>
      </c>
      <c r="Q4675" s="5">
        <v>212076</v>
      </c>
      <c r="R4675" s="5">
        <v>1328267</v>
      </c>
    </row>
    <row r="4676" spans="1:18" x14ac:dyDescent="0.25">
      <c r="A4676" t="s">
        <v>1326</v>
      </c>
      <c r="B4676" t="s">
        <v>494</v>
      </c>
      <c r="C4676">
        <v>96592190</v>
      </c>
      <c r="D4676">
        <v>2</v>
      </c>
      <c r="E4676" t="s">
        <v>1692</v>
      </c>
      <c r="F4676" t="s">
        <v>1691</v>
      </c>
      <c r="G4676" s="1">
        <v>45237</v>
      </c>
      <c r="H4676">
        <v>5410514</v>
      </c>
      <c r="I4676">
        <v>81</v>
      </c>
      <c r="J4676" t="s">
        <v>144</v>
      </c>
      <c r="K4676" t="str">
        <f>IFERROR(IF(AND(VLOOKUP($C4676,Hes!$A:$B, 1, FALSE), $M4676&lt;&gt;" "), "Ingresada", "Falta Ingresar"), " ")</f>
        <v xml:space="preserve"> </v>
      </c>
      <c r="L4676" s="4" t="str">
        <f>IFERROR(VLOOKUP($C4676,Observaciones!$A:$B,2,FALSE)," ")</f>
        <v>SQM SEGUN INFORME VENDEDOR</v>
      </c>
      <c r="M4676" t="s">
        <v>681</v>
      </c>
      <c r="O4676" s="5">
        <v>30862307</v>
      </c>
      <c r="P4676" s="5">
        <v>860007</v>
      </c>
      <c r="Q4676" s="5">
        <v>163401</v>
      </c>
      <c r="R4676" s="5">
        <v>1023408</v>
      </c>
    </row>
    <row r="4677" spans="1:18" x14ac:dyDescent="0.25">
      <c r="A4677" t="s">
        <v>1326</v>
      </c>
      <c r="B4677" t="s">
        <v>494</v>
      </c>
      <c r="C4677">
        <v>96592190</v>
      </c>
      <c r="D4677">
        <v>4</v>
      </c>
      <c r="E4677">
        <v>30846657</v>
      </c>
      <c r="F4677" t="s">
        <v>1691</v>
      </c>
      <c r="G4677" s="1">
        <v>45234</v>
      </c>
      <c r="H4677">
        <v>5411878</v>
      </c>
      <c r="I4677">
        <v>81</v>
      </c>
      <c r="J4677" t="s">
        <v>144</v>
      </c>
      <c r="K4677" t="str">
        <f>IFERROR(IF(AND(VLOOKUP($C4677,Hes!$A:$B, 1, FALSE), $M4677&lt;&gt;" "), "Ingresada", "Falta Ingresar"), " ")</f>
        <v xml:space="preserve"> </v>
      </c>
      <c r="L4677" s="4" t="str">
        <f>IFERROR(VLOOKUP($C4677,Observaciones!$A:$B,2,FALSE)," ")</f>
        <v>SQM SEGUN INFORME VENDEDOR</v>
      </c>
      <c r="M4677" t="s">
        <v>681</v>
      </c>
      <c r="O4677" s="5">
        <v>30846657</v>
      </c>
      <c r="P4677" s="5">
        <v>294937</v>
      </c>
      <c r="Q4677" s="5">
        <v>56038</v>
      </c>
      <c r="R4677" s="5">
        <v>350975</v>
      </c>
    </row>
    <row r="4678" spans="1:18" x14ac:dyDescent="0.25">
      <c r="A4678" t="s">
        <v>1326</v>
      </c>
      <c r="B4678" t="s">
        <v>494</v>
      </c>
      <c r="C4678">
        <v>96592190</v>
      </c>
      <c r="D4678">
        <v>5004</v>
      </c>
      <c r="E4678">
        <v>30846711</v>
      </c>
      <c r="F4678" t="s">
        <v>1691</v>
      </c>
      <c r="G4678" s="1">
        <v>45234</v>
      </c>
      <c r="H4678">
        <v>5411881</v>
      </c>
      <c r="I4678">
        <v>81</v>
      </c>
      <c r="J4678" t="s">
        <v>144</v>
      </c>
      <c r="K4678" t="str">
        <f>IFERROR(IF(AND(VLOOKUP($C4678,Hes!$A:$B, 1, FALSE), $M4678&lt;&gt;" "), "Ingresada", "Falta Ingresar"), " ")</f>
        <v xml:space="preserve"> </v>
      </c>
      <c r="L4678" s="4" t="str">
        <f>IFERROR(VLOOKUP($C4678,Observaciones!$A:$B,2,FALSE)," ")</f>
        <v>SQM SEGUN INFORME VENDEDOR</v>
      </c>
      <c r="M4678" t="s">
        <v>681</v>
      </c>
      <c r="O4678" s="5">
        <v>30846711</v>
      </c>
      <c r="P4678" s="5">
        <v>1667782</v>
      </c>
      <c r="Q4678" s="5">
        <v>316879</v>
      </c>
      <c r="R4678" s="5">
        <v>1984661</v>
      </c>
    </row>
    <row r="4679" spans="1:18" x14ac:dyDescent="0.25">
      <c r="F4679" t="s">
        <v>499</v>
      </c>
      <c r="K4679" t="str">
        <f>IFERROR(IF(AND(VLOOKUP($C4679,Hes!$A:$B, 1, FALSE), $M4679&lt;&gt;" "), "Ingresada", "Falta Ingresar"), " ")</f>
        <v xml:space="preserve"> </v>
      </c>
      <c r="L4679" s="4" t="str">
        <f>IFERROR(VLOOKUP($C4679,Observaciones!$A:$B,2,FALSE)," ")</f>
        <v xml:space="preserve"> </v>
      </c>
      <c r="M4679" t="s">
        <v>681</v>
      </c>
      <c r="P4679" s="5">
        <v>4478072</v>
      </c>
      <c r="Q4679" s="5">
        <v>850833</v>
      </c>
      <c r="R4679" s="5">
        <v>5328905</v>
      </c>
    </row>
    <row r="4680" spans="1:18" x14ac:dyDescent="0.25">
      <c r="A4680" t="s">
        <v>496</v>
      </c>
      <c r="B4680" t="s">
        <v>494</v>
      </c>
      <c r="C4680">
        <v>96595400</v>
      </c>
      <c r="D4680">
        <v>0</v>
      </c>
      <c r="E4680">
        <v>3700008184</v>
      </c>
      <c r="F4680" t="s">
        <v>1693</v>
      </c>
      <c r="G4680" s="1">
        <v>45236</v>
      </c>
      <c r="H4680">
        <v>5412575</v>
      </c>
      <c r="I4680">
        <v>91</v>
      </c>
      <c r="J4680" t="s">
        <v>172</v>
      </c>
      <c r="K4680" t="str">
        <f>IFERROR(IF(AND(VLOOKUP($C4680,Hes!$A:$B, 1, FALSE), $M4680&lt;&gt;" "), "Ingresada", "Falta Ingresar"), " ")</f>
        <v xml:space="preserve"> </v>
      </c>
      <c r="L4680" s="4" t="s">
        <v>681</v>
      </c>
      <c r="M4680" t="s">
        <v>681</v>
      </c>
      <c r="O4680" s="5">
        <v>30730632</v>
      </c>
      <c r="P4680" s="5">
        <v>72800</v>
      </c>
      <c r="Q4680" s="5">
        <v>13832</v>
      </c>
      <c r="R4680" s="5">
        <v>86632</v>
      </c>
    </row>
    <row r="4681" spans="1:18" x14ac:dyDescent="0.25">
      <c r="A4681" t="s">
        <v>496</v>
      </c>
      <c r="B4681" t="s">
        <v>494</v>
      </c>
      <c r="C4681">
        <v>96595400</v>
      </c>
      <c r="D4681">
        <v>0</v>
      </c>
      <c r="E4681">
        <v>3700008189</v>
      </c>
      <c r="F4681" t="s">
        <v>1693</v>
      </c>
      <c r="G4681" s="1">
        <v>45236</v>
      </c>
      <c r="H4681">
        <v>5412997</v>
      </c>
      <c r="I4681">
        <v>91</v>
      </c>
      <c r="J4681" t="s">
        <v>172</v>
      </c>
      <c r="K4681" t="str">
        <f>IFERROR(IF(AND(VLOOKUP($C4681,Hes!$A:$B, 1, FALSE), $M4681&lt;&gt;" "), "Ingresada", "Falta Ingresar"), " ")</f>
        <v xml:space="preserve"> </v>
      </c>
      <c r="L4681" s="4" t="s">
        <v>681</v>
      </c>
      <c r="M4681" t="s">
        <v>681</v>
      </c>
      <c r="O4681" s="5">
        <v>30856133</v>
      </c>
      <c r="P4681" s="5">
        <v>28500</v>
      </c>
      <c r="Q4681" s="5">
        <v>5415</v>
      </c>
      <c r="R4681" s="5">
        <v>33915</v>
      </c>
    </row>
    <row r="4682" spans="1:18" x14ac:dyDescent="0.25">
      <c r="A4682" t="s">
        <v>496</v>
      </c>
      <c r="B4682" t="s">
        <v>494</v>
      </c>
      <c r="C4682">
        <v>96595400</v>
      </c>
      <c r="D4682">
        <v>0</v>
      </c>
      <c r="E4682">
        <v>3700008188</v>
      </c>
      <c r="F4682" t="s">
        <v>1693</v>
      </c>
      <c r="G4682" s="1">
        <v>45236</v>
      </c>
      <c r="H4682">
        <v>5413218</v>
      </c>
      <c r="I4682">
        <v>91</v>
      </c>
      <c r="J4682" t="s">
        <v>172</v>
      </c>
      <c r="K4682" t="str">
        <f>IFERROR(IF(AND(VLOOKUP($C4682,Hes!$A:$B, 1, FALSE), $M4682&lt;&gt;" "), "Ingresada", "Falta Ingresar"), " ")</f>
        <v xml:space="preserve"> </v>
      </c>
      <c r="L4682" s="4" t="s">
        <v>681</v>
      </c>
      <c r="M4682" t="s">
        <v>681</v>
      </c>
      <c r="O4682" s="5">
        <v>30856150</v>
      </c>
      <c r="P4682" s="5">
        <v>54570</v>
      </c>
      <c r="Q4682" s="5">
        <v>10368</v>
      </c>
      <c r="R4682" s="5">
        <v>64938</v>
      </c>
    </row>
    <row r="4683" spans="1:18" x14ac:dyDescent="0.25">
      <c r="A4683" t="s">
        <v>496</v>
      </c>
      <c r="B4683" t="s">
        <v>494</v>
      </c>
      <c r="C4683">
        <v>96595400</v>
      </c>
      <c r="D4683">
        <v>0</v>
      </c>
      <c r="E4683">
        <v>3700008238</v>
      </c>
      <c r="F4683" t="s">
        <v>1693</v>
      </c>
      <c r="G4683" s="1">
        <v>45238</v>
      </c>
      <c r="H4683">
        <v>5415164</v>
      </c>
      <c r="I4683">
        <v>91</v>
      </c>
      <c r="J4683" t="s">
        <v>172</v>
      </c>
      <c r="K4683" t="str">
        <f>IFERROR(IF(AND(VLOOKUP($C4683,Hes!$A:$B, 1, FALSE), $M4683&lt;&gt;" "), "Ingresada", "Falta Ingresar"), " ")</f>
        <v xml:space="preserve"> </v>
      </c>
      <c r="L4683" s="4" t="s">
        <v>681</v>
      </c>
      <c r="M4683" t="s">
        <v>681</v>
      </c>
      <c r="O4683" s="5">
        <v>30863945</v>
      </c>
      <c r="P4683" s="5">
        <v>19728</v>
      </c>
      <c r="Q4683" s="5">
        <v>3748</v>
      </c>
      <c r="R4683" s="5">
        <v>23476</v>
      </c>
    </row>
    <row r="4684" spans="1:18" x14ac:dyDescent="0.25">
      <c r="F4684" t="s">
        <v>498</v>
      </c>
      <c r="K4684" t="str">
        <f>IFERROR(IF(AND(VLOOKUP($C4684,Hes!$A:$B, 1, FALSE), $M4684&lt;&gt;" "), "Ingresada", "Falta Ingresar"), " ")</f>
        <v xml:space="preserve"> </v>
      </c>
      <c r="L4684" s="4" t="str">
        <f>IFERROR(VLOOKUP($C4684,Observaciones!$A:$B,2,FALSE)," ")</f>
        <v xml:space="preserve"> </v>
      </c>
      <c r="M4684" t="s">
        <v>681</v>
      </c>
      <c r="P4684" s="5">
        <v>175598</v>
      </c>
      <c r="Q4684" s="5">
        <v>33363</v>
      </c>
      <c r="R4684" s="5">
        <v>208961</v>
      </c>
    </row>
    <row r="4685" spans="1:18" x14ac:dyDescent="0.25">
      <c r="A4685" t="s">
        <v>496</v>
      </c>
      <c r="B4685" t="s">
        <v>494</v>
      </c>
      <c r="C4685">
        <v>96609320</v>
      </c>
      <c r="D4685">
        <v>0</v>
      </c>
      <c r="E4685">
        <v>4500221536</v>
      </c>
      <c r="F4685" t="s">
        <v>810</v>
      </c>
      <c r="G4685" s="1">
        <v>45231</v>
      </c>
      <c r="H4685">
        <v>5410830</v>
      </c>
      <c r="I4685">
        <v>441</v>
      </c>
      <c r="J4685" t="s">
        <v>119</v>
      </c>
      <c r="K4685" s="8" t="str">
        <f>IFERROR(IF(AND(VLOOKUP($C4685,Hes!$A:$B, 1, FALSE), $M4685&lt;&gt;" "), "Ingresada", "Falta Ingresar"), " ")</f>
        <v>Falta Ingresar</v>
      </c>
      <c r="L4685" s="4" t="str">
        <f>IFERROR(VLOOKUP($C4685,Observaciones!$A:$B,2,FALSE)," ")</f>
        <v>LLEVA HES</v>
      </c>
      <c r="M4685" t="s">
        <v>681</v>
      </c>
      <c r="N4685" s="5" t="s">
        <v>841</v>
      </c>
      <c r="O4685" s="5">
        <v>30846470</v>
      </c>
      <c r="P4685" s="5">
        <v>4419</v>
      </c>
      <c r="Q4685" s="5">
        <v>840</v>
      </c>
      <c r="R4685" s="5">
        <v>5259</v>
      </c>
    </row>
    <row r="4686" spans="1:18" x14ac:dyDescent="0.25">
      <c r="A4686" t="s">
        <v>496</v>
      </c>
      <c r="B4686" t="s">
        <v>494</v>
      </c>
      <c r="C4686">
        <v>96609320</v>
      </c>
      <c r="D4686">
        <v>0</v>
      </c>
      <c r="E4686">
        <v>4500222152</v>
      </c>
      <c r="F4686" t="s">
        <v>810</v>
      </c>
      <c r="G4686" s="1">
        <v>45234</v>
      </c>
      <c r="H4686">
        <v>5412748</v>
      </c>
      <c r="I4686">
        <v>441</v>
      </c>
      <c r="J4686" t="s">
        <v>119</v>
      </c>
      <c r="K4686" s="7" t="str">
        <f>IFERROR(IF(AND(VLOOKUP($C4686,Hes!$A:$B, 1, FALSE), $M4686&lt;&gt;" "), "Ingresada", "Falta Ingresar"), " ")</f>
        <v>Ingresada</v>
      </c>
      <c r="L4686" s="4" t="str">
        <f>IFERROR(VLOOKUP($C4686,Observaciones!$A:$B,2,FALSE)," ")</f>
        <v>LLEVA HES</v>
      </c>
      <c r="M4686">
        <v>5000262525</v>
      </c>
      <c r="N4686" s="5" t="s">
        <v>841</v>
      </c>
      <c r="O4686" s="5">
        <v>30855201</v>
      </c>
      <c r="P4686" s="5">
        <v>71680</v>
      </c>
      <c r="Q4686" s="5">
        <v>13619</v>
      </c>
      <c r="R4686" s="5">
        <v>85299</v>
      </c>
    </row>
    <row r="4687" spans="1:18" x14ac:dyDescent="0.25">
      <c r="A4687" t="s">
        <v>496</v>
      </c>
      <c r="B4687" t="s">
        <v>494</v>
      </c>
      <c r="C4687">
        <v>96609320</v>
      </c>
      <c r="D4687">
        <v>0</v>
      </c>
      <c r="E4687">
        <v>4500221171</v>
      </c>
      <c r="F4687" t="s">
        <v>810</v>
      </c>
      <c r="G4687" s="1">
        <v>45234</v>
      </c>
      <c r="H4687">
        <v>5412752</v>
      </c>
      <c r="I4687">
        <v>441</v>
      </c>
      <c r="J4687" t="s">
        <v>119</v>
      </c>
      <c r="K4687" s="7" t="str">
        <f>IFERROR(IF(AND(VLOOKUP($C4687,Hes!$A:$B, 1, FALSE), $M4687&lt;&gt;" "), "Ingresada", "Falta Ingresar"), " ")</f>
        <v>Ingresada</v>
      </c>
      <c r="L4687" s="4" t="str">
        <f>IFERROR(VLOOKUP($C4687,Observaciones!$A:$B,2,FALSE)," ")</f>
        <v>LLEVA HES</v>
      </c>
      <c r="M4687">
        <v>5000262581</v>
      </c>
      <c r="N4687" s="5" t="s">
        <v>841</v>
      </c>
      <c r="O4687" s="5">
        <v>30855184</v>
      </c>
      <c r="P4687" s="5">
        <v>243217</v>
      </c>
      <c r="Q4687" s="5">
        <v>46211</v>
      </c>
      <c r="R4687" s="5">
        <v>289428</v>
      </c>
    </row>
    <row r="4688" spans="1:18" x14ac:dyDescent="0.25">
      <c r="A4688" t="s">
        <v>496</v>
      </c>
      <c r="B4688" t="s">
        <v>494</v>
      </c>
      <c r="C4688">
        <v>96609320</v>
      </c>
      <c r="D4688">
        <v>0</v>
      </c>
      <c r="E4688">
        <v>4500221528</v>
      </c>
      <c r="F4688" t="s">
        <v>810</v>
      </c>
      <c r="G4688" s="1">
        <v>45234</v>
      </c>
      <c r="H4688">
        <v>5412849</v>
      </c>
      <c r="I4688">
        <v>441</v>
      </c>
      <c r="J4688" t="s">
        <v>119</v>
      </c>
      <c r="K4688" s="7" t="str">
        <f>IFERROR(IF(AND(VLOOKUP($C4688,Hes!$A:$B, 1, FALSE), $M4688&lt;&gt;" "), "Ingresada", "Falta Ingresar"), " ")</f>
        <v>Ingresada</v>
      </c>
      <c r="L4688" s="4" t="str">
        <f>IFERROR(VLOOKUP($C4688,Observaciones!$A:$B,2,FALSE)," ")</f>
        <v>LLEVA HES</v>
      </c>
      <c r="M4688">
        <v>5000262582</v>
      </c>
      <c r="N4688" s="5" t="s">
        <v>841</v>
      </c>
      <c r="O4688" s="5">
        <v>30855008</v>
      </c>
      <c r="P4688" s="5">
        <v>26180</v>
      </c>
      <c r="Q4688" s="5">
        <v>4974</v>
      </c>
      <c r="R4688" s="5">
        <v>31154</v>
      </c>
    </row>
    <row r="4689" spans="1:18" x14ac:dyDescent="0.25">
      <c r="A4689" t="s">
        <v>496</v>
      </c>
      <c r="B4689" t="s">
        <v>494</v>
      </c>
      <c r="C4689">
        <v>96609320</v>
      </c>
      <c r="D4689">
        <v>0</v>
      </c>
      <c r="E4689">
        <v>4500221409</v>
      </c>
      <c r="F4689" t="s">
        <v>810</v>
      </c>
      <c r="G4689" s="1">
        <v>45234</v>
      </c>
      <c r="H4689">
        <v>5412850</v>
      </c>
      <c r="I4689">
        <v>441</v>
      </c>
      <c r="J4689" t="s">
        <v>119</v>
      </c>
      <c r="K4689" s="7" t="str">
        <f>IFERROR(IF(AND(VLOOKUP($C4689,Hes!$A:$B, 1, FALSE), $M4689&lt;&gt;" "), "Ingresada", "Falta Ingresar"), " ")</f>
        <v>Ingresada</v>
      </c>
      <c r="L4689" s="4" t="str">
        <f>IFERROR(VLOOKUP($C4689,Observaciones!$A:$B,2,FALSE)," ")</f>
        <v>LLEVA HES</v>
      </c>
      <c r="M4689">
        <v>5000262524</v>
      </c>
      <c r="N4689" s="5" t="s">
        <v>841</v>
      </c>
      <c r="O4689" s="5">
        <v>30855018</v>
      </c>
      <c r="P4689" s="5">
        <v>26180</v>
      </c>
      <c r="Q4689" s="5">
        <v>4974</v>
      </c>
      <c r="R4689" s="5">
        <v>31154</v>
      </c>
    </row>
    <row r="4690" spans="1:18" x14ac:dyDescent="0.25">
      <c r="A4690" t="s">
        <v>496</v>
      </c>
      <c r="B4690" t="s">
        <v>494</v>
      </c>
      <c r="C4690">
        <v>96609320</v>
      </c>
      <c r="D4690">
        <v>0</v>
      </c>
      <c r="E4690">
        <v>4500222149</v>
      </c>
      <c r="F4690" t="s">
        <v>810</v>
      </c>
      <c r="G4690" s="1">
        <v>45234</v>
      </c>
      <c r="H4690">
        <v>5412851</v>
      </c>
      <c r="I4690">
        <v>441</v>
      </c>
      <c r="J4690" t="s">
        <v>119</v>
      </c>
      <c r="K4690" s="7" t="str">
        <f>IFERROR(IF(AND(VLOOKUP($C4690,Hes!$A:$B, 1, FALSE), $M4690&lt;&gt;" "), "Ingresada", "Falta Ingresar"), " ")</f>
        <v>Ingresada</v>
      </c>
      <c r="L4690" s="4" t="str">
        <f>IFERROR(VLOOKUP($C4690,Observaciones!$A:$B,2,FALSE)," ")</f>
        <v>LLEVA HES</v>
      </c>
      <c r="M4690">
        <v>5000262580</v>
      </c>
      <c r="N4690" s="5" t="s">
        <v>841</v>
      </c>
      <c r="O4690" s="5">
        <v>30855022</v>
      </c>
      <c r="P4690" s="5">
        <v>43456</v>
      </c>
      <c r="Q4690" s="5">
        <v>8257</v>
      </c>
      <c r="R4690" s="5">
        <v>51713</v>
      </c>
    </row>
    <row r="4691" spans="1:18" x14ac:dyDescent="0.25">
      <c r="F4691" t="s">
        <v>523</v>
      </c>
      <c r="K4691" t="str">
        <f>IFERROR(IF(AND(VLOOKUP($C4691,Hes!$A:$B, 1, FALSE), $M4691&lt;&gt;" "), "Ingresada", "Falta Ingresar"), " ")</f>
        <v xml:space="preserve"> </v>
      </c>
      <c r="L4691" s="4" t="str">
        <f>IFERROR(VLOOKUP($C4691,Observaciones!$A:$B,2,FALSE)," ")</f>
        <v xml:space="preserve"> </v>
      </c>
      <c r="M4691" t="s">
        <v>681</v>
      </c>
      <c r="P4691" s="5">
        <v>415132</v>
      </c>
      <c r="Q4691" s="5">
        <v>78875</v>
      </c>
      <c r="R4691" s="5">
        <v>494007</v>
      </c>
    </row>
    <row r="4692" spans="1:18" x14ac:dyDescent="0.25">
      <c r="A4692" t="s">
        <v>522</v>
      </c>
      <c r="B4692" t="s">
        <v>494</v>
      </c>
      <c r="C4692">
        <v>96615800</v>
      </c>
      <c r="D4692">
        <v>7</v>
      </c>
      <c r="E4692" t="s">
        <v>1694</v>
      </c>
      <c r="F4692" t="s">
        <v>1695</v>
      </c>
      <c r="G4692" s="1">
        <v>45233</v>
      </c>
      <c r="H4692">
        <v>5411343</v>
      </c>
      <c r="I4692">
        <v>13</v>
      </c>
      <c r="J4692" t="s">
        <v>348</v>
      </c>
      <c r="K4692" t="str">
        <f>IFERROR(IF(AND(VLOOKUP($C4692,Hes!$A:$B, 1, FALSE), $M4692&lt;&gt;" "), "Ingresada", "Falta Ingresar"), " ")</f>
        <v xml:space="preserve"> </v>
      </c>
      <c r="L4692" s="4" t="str">
        <f>IFERROR(VLOOKUP($C4692,Observaciones!$A:$B,2,FALSE)," ")</f>
        <v>XOC Y CC</v>
      </c>
      <c r="M4692" t="s">
        <v>681</v>
      </c>
      <c r="O4692" s="5">
        <v>30848707</v>
      </c>
      <c r="P4692" s="5">
        <v>118878</v>
      </c>
      <c r="Q4692" s="5">
        <v>22587</v>
      </c>
      <c r="R4692" s="5">
        <v>141465</v>
      </c>
    </row>
    <row r="4693" spans="1:18" x14ac:dyDescent="0.25">
      <c r="A4693" t="s">
        <v>522</v>
      </c>
      <c r="B4693" t="s">
        <v>494</v>
      </c>
      <c r="C4693">
        <v>96615800</v>
      </c>
      <c r="D4693">
        <v>4</v>
      </c>
      <c r="E4693">
        <v>30853261</v>
      </c>
      <c r="F4693" t="s">
        <v>1695</v>
      </c>
      <c r="G4693" s="1">
        <v>45236</v>
      </c>
      <c r="H4693">
        <v>5413276</v>
      </c>
      <c r="I4693">
        <v>13</v>
      </c>
      <c r="J4693" t="s">
        <v>348</v>
      </c>
      <c r="K4693" t="str">
        <f>IFERROR(IF(AND(VLOOKUP($C4693,Hes!$A:$B, 1, FALSE), $M4693&lt;&gt;" "), "Ingresada", "Falta Ingresar"), " ")</f>
        <v xml:space="preserve"> </v>
      </c>
      <c r="L4693" s="4" t="str">
        <f>IFERROR(VLOOKUP($C4693,Observaciones!$A:$B,2,FALSE)," ")</f>
        <v>XOC Y CC</v>
      </c>
      <c r="M4693" t="s">
        <v>681</v>
      </c>
      <c r="O4693" s="5">
        <v>30853261</v>
      </c>
      <c r="P4693" s="5">
        <v>95480</v>
      </c>
      <c r="Q4693" s="5">
        <v>18141</v>
      </c>
      <c r="R4693" s="5">
        <v>113621</v>
      </c>
    </row>
    <row r="4694" spans="1:18" x14ac:dyDescent="0.25">
      <c r="A4694" t="s">
        <v>522</v>
      </c>
      <c r="B4694" t="s">
        <v>494</v>
      </c>
      <c r="C4694">
        <v>96615800</v>
      </c>
      <c r="D4694">
        <v>4</v>
      </c>
      <c r="E4694">
        <v>30860277</v>
      </c>
      <c r="F4694" t="s">
        <v>1695</v>
      </c>
      <c r="G4694" s="1">
        <v>45237</v>
      </c>
      <c r="H4694">
        <v>5414161</v>
      </c>
      <c r="I4694">
        <v>13</v>
      </c>
      <c r="J4694" t="s">
        <v>348</v>
      </c>
      <c r="K4694" t="str">
        <f>IFERROR(IF(AND(VLOOKUP($C4694,Hes!$A:$B, 1, FALSE), $M4694&lt;&gt;" "), "Ingresada", "Falta Ingresar"), " ")</f>
        <v xml:space="preserve"> </v>
      </c>
      <c r="L4694" s="4" t="str">
        <f>IFERROR(VLOOKUP($C4694,Observaciones!$A:$B,2,FALSE)," ")</f>
        <v>XOC Y CC</v>
      </c>
      <c r="M4694" t="s">
        <v>681</v>
      </c>
      <c r="O4694" s="5">
        <v>30860277</v>
      </c>
      <c r="P4694" s="5">
        <v>111000</v>
      </c>
      <c r="Q4694" s="5">
        <v>21090</v>
      </c>
      <c r="R4694" s="5">
        <v>132090</v>
      </c>
    </row>
    <row r="4695" spans="1:18" x14ac:dyDescent="0.25">
      <c r="A4695" t="s">
        <v>522</v>
      </c>
      <c r="B4695" t="s">
        <v>494</v>
      </c>
      <c r="C4695">
        <v>96615800</v>
      </c>
      <c r="D4695">
        <v>4</v>
      </c>
      <c r="E4695">
        <v>30860464</v>
      </c>
      <c r="F4695" t="s">
        <v>1695</v>
      </c>
      <c r="G4695" s="1">
        <v>45237</v>
      </c>
      <c r="H4695">
        <v>5414451</v>
      </c>
      <c r="I4695">
        <v>13</v>
      </c>
      <c r="J4695" t="s">
        <v>348</v>
      </c>
      <c r="K4695" t="str">
        <f>IFERROR(IF(AND(VLOOKUP($C4695,Hes!$A:$B, 1, FALSE), $M4695&lt;&gt;" "), "Ingresada", "Falta Ingresar"), " ")</f>
        <v xml:space="preserve"> </v>
      </c>
      <c r="L4695" s="4" t="str">
        <f>IFERROR(VLOOKUP($C4695,Observaciones!$A:$B,2,FALSE)," ")</f>
        <v>XOC Y CC</v>
      </c>
      <c r="M4695" t="s">
        <v>681</v>
      </c>
      <c r="O4695" s="5">
        <v>30860464</v>
      </c>
      <c r="P4695" s="5">
        <v>263498</v>
      </c>
      <c r="Q4695" s="5">
        <v>50065</v>
      </c>
      <c r="R4695" s="5">
        <v>313563</v>
      </c>
    </row>
    <row r="4696" spans="1:18" x14ac:dyDescent="0.25">
      <c r="F4696" t="s">
        <v>498</v>
      </c>
      <c r="K4696" t="str">
        <f>IFERROR(IF(AND(VLOOKUP($C4696,Hes!$A:$B, 1, FALSE), $M4696&lt;&gt;" "), "Ingresada", "Falta Ingresar"), " ")</f>
        <v xml:space="preserve"> </v>
      </c>
      <c r="L4696" s="4" t="str">
        <f>IFERROR(VLOOKUP($C4696,Observaciones!$A:$B,2,FALSE)," ")</f>
        <v xml:space="preserve"> </v>
      </c>
      <c r="M4696" t="s">
        <v>681</v>
      </c>
      <c r="P4696" s="5">
        <v>588856</v>
      </c>
      <c r="Q4696" s="5">
        <v>111883</v>
      </c>
      <c r="R4696" s="5">
        <v>700739</v>
      </c>
    </row>
    <row r="4697" spans="1:18" x14ac:dyDescent="0.25">
      <c r="A4697" t="s">
        <v>1034</v>
      </c>
      <c r="B4697" t="s">
        <v>494</v>
      </c>
      <c r="C4697">
        <v>96618540</v>
      </c>
      <c r="D4697">
        <v>52</v>
      </c>
      <c r="E4697">
        <v>30848924</v>
      </c>
      <c r="F4697" t="s">
        <v>1696</v>
      </c>
      <c r="G4697" s="1">
        <v>45233</v>
      </c>
      <c r="H4697">
        <v>5411307</v>
      </c>
      <c r="I4697">
        <v>50</v>
      </c>
      <c r="J4697" t="s">
        <v>376</v>
      </c>
      <c r="K4697" t="str">
        <f>IFERROR(IF(AND(VLOOKUP($C4697,Hes!$A:$B, 1, FALSE), $M4697&lt;&gt;" "), "Ingresada", "Falta Ingresar"), " ")</f>
        <v xml:space="preserve"> </v>
      </c>
      <c r="L4697" s="4" t="str">
        <f>IFERROR(VLOOKUP($C4697,Observaciones!$A:$B,2,FALSE)," ")</f>
        <v xml:space="preserve"> </v>
      </c>
      <c r="M4697" t="s">
        <v>681</v>
      </c>
      <c r="O4697" s="5">
        <v>30848924</v>
      </c>
      <c r="P4697" s="5">
        <v>117018</v>
      </c>
      <c r="Q4697" s="5">
        <v>22233</v>
      </c>
      <c r="R4697" s="5">
        <v>139251</v>
      </c>
    </row>
    <row r="4698" spans="1:18" x14ac:dyDescent="0.25">
      <c r="A4698" t="s">
        <v>1034</v>
      </c>
      <c r="B4698" t="s">
        <v>494</v>
      </c>
      <c r="C4698">
        <v>96618540</v>
      </c>
      <c r="D4698">
        <v>33</v>
      </c>
      <c r="E4698">
        <v>30848882</v>
      </c>
      <c r="F4698" t="s">
        <v>1696</v>
      </c>
      <c r="G4698" s="1">
        <v>45233</v>
      </c>
      <c r="H4698">
        <v>5411340</v>
      </c>
      <c r="I4698">
        <v>50</v>
      </c>
      <c r="J4698" t="s">
        <v>376</v>
      </c>
      <c r="K4698" t="str">
        <f>IFERROR(IF(AND(VLOOKUP($C4698,Hes!$A:$B, 1, FALSE), $M4698&lt;&gt;" "), "Ingresada", "Falta Ingresar"), " ")</f>
        <v xml:space="preserve"> </v>
      </c>
      <c r="L4698" s="4" t="str">
        <f>IFERROR(VLOOKUP($C4698,Observaciones!$A:$B,2,FALSE)," ")</f>
        <v xml:space="preserve"> </v>
      </c>
      <c r="M4698" t="s">
        <v>681</v>
      </c>
      <c r="O4698" s="5">
        <v>30848882</v>
      </c>
      <c r="P4698" s="5">
        <v>93328</v>
      </c>
      <c r="Q4698" s="5">
        <v>17732</v>
      </c>
      <c r="R4698" s="5">
        <v>111060</v>
      </c>
    </row>
    <row r="4699" spans="1:18" x14ac:dyDescent="0.25">
      <c r="A4699" t="s">
        <v>1034</v>
      </c>
      <c r="B4699" t="s">
        <v>494</v>
      </c>
      <c r="C4699">
        <v>96618540</v>
      </c>
      <c r="D4699">
        <v>67</v>
      </c>
      <c r="E4699">
        <v>30848879</v>
      </c>
      <c r="F4699" t="s">
        <v>1696</v>
      </c>
      <c r="G4699" s="1">
        <v>45233</v>
      </c>
      <c r="H4699">
        <v>5411347</v>
      </c>
      <c r="I4699">
        <v>50</v>
      </c>
      <c r="J4699" t="s">
        <v>376</v>
      </c>
      <c r="K4699" t="str">
        <f>IFERROR(IF(AND(VLOOKUP($C4699,Hes!$A:$B, 1, FALSE), $M4699&lt;&gt;" "), "Ingresada", "Falta Ingresar"), " ")</f>
        <v xml:space="preserve"> </v>
      </c>
      <c r="L4699" s="4" t="str">
        <f>IFERROR(VLOOKUP($C4699,Observaciones!$A:$B,2,FALSE)," ")</f>
        <v xml:space="preserve"> </v>
      </c>
      <c r="M4699" t="s">
        <v>681</v>
      </c>
      <c r="O4699" s="5">
        <v>30848879</v>
      </c>
      <c r="P4699" s="5">
        <v>245467</v>
      </c>
      <c r="Q4699" s="5">
        <v>46639</v>
      </c>
      <c r="R4699" s="5">
        <v>292106</v>
      </c>
    </row>
    <row r="4700" spans="1:18" x14ac:dyDescent="0.25">
      <c r="A4700" t="s">
        <v>1034</v>
      </c>
      <c r="B4700" t="s">
        <v>494</v>
      </c>
      <c r="C4700">
        <v>96618540</v>
      </c>
      <c r="D4700">
        <v>56</v>
      </c>
      <c r="E4700">
        <v>30850468</v>
      </c>
      <c r="F4700" t="s">
        <v>1696</v>
      </c>
      <c r="G4700" s="1">
        <v>45233</v>
      </c>
      <c r="H4700">
        <v>5411530</v>
      </c>
      <c r="I4700">
        <v>50</v>
      </c>
      <c r="J4700" t="s">
        <v>376</v>
      </c>
      <c r="K4700" t="str">
        <f>IFERROR(IF(AND(VLOOKUP($C4700,Hes!$A:$B, 1, FALSE), $M4700&lt;&gt;" "), "Ingresada", "Falta Ingresar"), " ")</f>
        <v xml:space="preserve"> </v>
      </c>
      <c r="L4700" s="4" t="str">
        <f>IFERROR(VLOOKUP($C4700,Observaciones!$A:$B,2,FALSE)," ")</f>
        <v xml:space="preserve"> </v>
      </c>
      <c r="M4700" t="s">
        <v>681</v>
      </c>
      <c r="O4700" s="5">
        <v>30850468</v>
      </c>
      <c r="P4700" s="5">
        <v>143400</v>
      </c>
      <c r="Q4700" s="5">
        <v>27246</v>
      </c>
      <c r="R4700" s="5">
        <v>170646</v>
      </c>
    </row>
    <row r="4701" spans="1:18" x14ac:dyDescent="0.25">
      <c r="A4701" t="s">
        <v>1034</v>
      </c>
      <c r="B4701" t="s">
        <v>494</v>
      </c>
      <c r="C4701">
        <v>96618540</v>
      </c>
      <c r="D4701">
        <v>50</v>
      </c>
      <c r="E4701">
        <v>30849046</v>
      </c>
      <c r="F4701" t="s">
        <v>1696</v>
      </c>
      <c r="G4701" s="1">
        <v>45233</v>
      </c>
      <c r="H4701">
        <v>5411655</v>
      </c>
      <c r="I4701">
        <v>50</v>
      </c>
      <c r="J4701" t="s">
        <v>376</v>
      </c>
      <c r="K4701" t="str">
        <f>IFERROR(IF(AND(VLOOKUP($C4701,Hes!$A:$B, 1, FALSE), $M4701&lt;&gt;" "), "Ingresada", "Falta Ingresar"), " ")</f>
        <v xml:space="preserve"> </v>
      </c>
      <c r="L4701" s="4" t="str">
        <f>IFERROR(VLOOKUP($C4701,Observaciones!$A:$B,2,FALSE)," ")</f>
        <v xml:space="preserve"> </v>
      </c>
      <c r="M4701" t="s">
        <v>681</v>
      </c>
      <c r="O4701" s="5">
        <v>30849046</v>
      </c>
      <c r="P4701" s="5">
        <v>293254</v>
      </c>
      <c r="Q4701" s="5">
        <v>55718</v>
      </c>
      <c r="R4701" s="5">
        <v>348972</v>
      </c>
    </row>
    <row r="4702" spans="1:18" x14ac:dyDescent="0.25">
      <c r="A4702" t="s">
        <v>1034</v>
      </c>
      <c r="B4702" t="s">
        <v>494</v>
      </c>
      <c r="C4702">
        <v>96618540</v>
      </c>
      <c r="D4702">
        <v>3</v>
      </c>
      <c r="E4702">
        <v>30851198</v>
      </c>
      <c r="F4702" t="s">
        <v>1696</v>
      </c>
      <c r="G4702" s="1">
        <v>45233</v>
      </c>
      <c r="H4702">
        <v>5411744</v>
      </c>
      <c r="I4702">
        <v>50</v>
      </c>
      <c r="J4702" t="s">
        <v>376</v>
      </c>
      <c r="K4702" t="str">
        <f>IFERROR(IF(AND(VLOOKUP($C4702,Hes!$A:$B, 1, FALSE), $M4702&lt;&gt;" "), "Ingresada", "Falta Ingresar"), " ")</f>
        <v xml:space="preserve"> </v>
      </c>
      <c r="L4702" s="4" t="str">
        <f>IFERROR(VLOOKUP($C4702,Observaciones!$A:$B,2,FALSE)," ")</f>
        <v xml:space="preserve"> </v>
      </c>
      <c r="M4702" t="s">
        <v>681</v>
      </c>
      <c r="O4702" s="5">
        <v>30851198</v>
      </c>
      <c r="P4702" s="5">
        <v>221928</v>
      </c>
      <c r="Q4702" s="5">
        <v>42166</v>
      </c>
      <c r="R4702" s="5">
        <v>264094</v>
      </c>
    </row>
    <row r="4703" spans="1:18" x14ac:dyDescent="0.25">
      <c r="A4703" t="s">
        <v>1034</v>
      </c>
      <c r="B4703" t="s">
        <v>494</v>
      </c>
      <c r="C4703">
        <v>96618540</v>
      </c>
      <c r="D4703">
        <v>35</v>
      </c>
      <c r="E4703">
        <v>30851603</v>
      </c>
      <c r="F4703" t="s">
        <v>1696</v>
      </c>
      <c r="G4703" s="1">
        <v>45236</v>
      </c>
      <c r="H4703">
        <v>5412089</v>
      </c>
      <c r="I4703">
        <v>50</v>
      </c>
      <c r="J4703" t="s">
        <v>376</v>
      </c>
      <c r="K4703" t="str">
        <f>IFERROR(IF(AND(VLOOKUP($C4703,Hes!$A:$B, 1, FALSE), $M4703&lt;&gt;" "), "Ingresada", "Falta Ingresar"), " ")</f>
        <v xml:space="preserve"> </v>
      </c>
      <c r="L4703" s="4" t="str">
        <f>IFERROR(VLOOKUP($C4703,Observaciones!$A:$B,2,FALSE)," ")</f>
        <v xml:space="preserve"> </v>
      </c>
      <c r="M4703" t="s">
        <v>681</v>
      </c>
      <c r="O4703" s="5">
        <v>30851603</v>
      </c>
      <c r="P4703" s="5">
        <v>96419</v>
      </c>
      <c r="Q4703" s="5">
        <v>18320</v>
      </c>
      <c r="R4703" s="5">
        <v>114739</v>
      </c>
    </row>
    <row r="4704" spans="1:18" x14ac:dyDescent="0.25">
      <c r="A4704" t="s">
        <v>1034</v>
      </c>
      <c r="B4704" t="s">
        <v>494</v>
      </c>
      <c r="C4704">
        <v>96618540</v>
      </c>
      <c r="D4704">
        <v>61</v>
      </c>
      <c r="E4704">
        <v>30851152</v>
      </c>
      <c r="F4704" t="s">
        <v>1696</v>
      </c>
      <c r="G4704" s="1">
        <v>45234</v>
      </c>
      <c r="H4704">
        <v>5412137</v>
      </c>
      <c r="I4704">
        <v>50</v>
      </c>
      <c r="J4704" t="s">
        <v>376</v>
      </c>
      <c r="K4704" t="str">
        <f>IFERROR(IF(AND(VLOOKUP($C4704,Hes!$A:$B, 1, FALSE), $M4704&lt;&gt;" "), "Ingresada", "Falta Ingresar"), " ")</f>
        <v xml:space="preserve"> </v>
      </c>
      <c r="L4704" s="4" t="str">
        <f>IFERROR(VLOOKUP($C4704,Observaciones!$A:$B,2,FALSE)," ")</f>
        <v xml:space="preserve"> </v>
      </c>
      <c r="M4704" t="s">
        <v>681</v>
      </c>
      <c r="O4704" s="5">
        <v>30851152</v>
      </c>
      <c r="P4704" s="5">
        <v>90953</v>
      </c>
      <c r="Q4704" s="5">
        <v>17281</v>
      </c>
      <c r="R4704" s="5">
        <v>108234</v>
      </c>
    </row>
    <row r="4705" spans="1:18" x14ac:dyDescent="0.25">
      <c r="A4705" t="s">
        <v>1034</v>
      </c>
      <c r="B4705" t="s">
        <v>494</v>
      </c>
      <c r="C4705">
        <v>96618540</v>
      </c>
      <c r="D4705">
        <v>51</v>
      </c>
      <c r="E4705">
        <v>30853391</v>
      </c>
      <c r="F4705" t="s">
        <v>1696</v>
      </c>
      <c r="G4705" s="1">
        <v>45236</v>
      </c>
      <c r="H4705">
        <v>5412178</v>
      </c>
      <c r="I4705">
        <v>50</v>
      </c>
      <c r="J4705" t="s">
        <v>376</v>
      </c>
      <c r="K4705" t="str">
        <f>IFERROR(IF(AND(VLOOKUP($C4705,Hes!$A:$B, 1, FALSE), $M4705&lt;&gt;" "), "Ingresada", "Falta Ingresar"), " ")</f>
        <v xml:space="preserve"> </v>
      </c>
      <c r="L4705" s="4" t="str">
        <f>IFERROR(VLOOKUP($C4705,Observaciones!$A:$B,2,FALSE)," ")</f>
        <v xml:space="preserve"> </v>
      </c>
      <c r="M4705" t="s">
        <v>681</v>
      </c>
      <c r="O4705" s="5">
        <v>30853391</v>
      </c>
      <c r="P4705" s="5">
        <v>107808</v>
      </c>
      <c r="Q4705" s="5">
        <v>20484</v>
      </c>
      <c r="R4705" s="5">
        <v>128292</v>
      </c>
    </row>
    <row r="4706" spans="1:18" x14ac:dyDescent="0.25">
      <c r="A4706" t="s">
        <v>1034</v>
      </c>
      <c r="B4706" t="s">
        <v>494</v>
      </c>
      <c r="C4706">
        <v>96618540</v>
      </c>
      <c r="D4706">
        <v>2</v>
      </c>
      <c r="E4706">
        <v>30852991</v>
      </c>
      <c r="F4706" t="s">
        <v>1696</v>
      </c>
      <c r="G4706" s="1">
        <v>45236</v>
      </c>
      <c r="H4706">
        <v>5412363</v>
      </c>
      <c r="I4706">
        <v>50</v>
      </c>
      <c r="J4706" t="s">
        <v>376</v>
      </c>
      <c r="K4706" t="str">
        <f>IFERROR(IF(AND(VLOOKUP($C4706,Hes!$A:$B, 1, FALSE), $M4706&lt;&gt;" "), "Ingresada", "Falta Ingresar"), " ")</f>
        <v xml:space="preserve"> </v>
      </c>
      <c r="L4706" s="4" t="str">
        <f>IFERROR(VLOOKUP($C4706,Observaciones!$A:$B,2,FALSE)," ")</f>
        <v xml:space="preserve"> </v>
      </c>
      <c r="M4706" t="s">
        <v>681</v>
      </c>
      <c r="O4706" s="5">
        <v>30852991</v>
      </c>
      <c r="P4706" s="5">
        <v>36515</v>
      </c>
      <c r="Q4706" s="5">
        <v>6938</v>
      </c>
      <c r="R4706" s="5">
        <v>43453</v>
      </c>
    </row>
    <row r="4707" spans="1:18" x14ac:dyDescent="0.25">
      <c r="A4707" t="s">
        <v>1034</v>
      </c>
      <c r="B4707" t="s">
        <v>494</v>
      </c>
      <c r="C4707">
        <v>96618540</v>
      </c>
      <c r="D4707">
        <v>154</v>
      </c>
      <c r="E4707">
        <v>30849122</v>
      </c>
      <c r="F4707" t="s">
        <v>1696</v>
      </c>
      <c r="G4707" s="1">
        <v>45236</v>
      </c>
      <c r="H4707">
        <v>5412431</v>
      </c>
      <c r="I4707">
        <v>5</v>
      </c>
      <c r="J4707" t="s">
        <v>374</v>
      </c>
      <c r="K4707" t="str">
        <f>IFERROR(IF(AND(VLOOKUP($C4707,Hes!$A:$B, 1, FALSE), $M4707&lt;&gt;" "), "Ingresada", "Falta Ingresar"), " ")</f>
        <v xml:space="preserve"> </v>
      </c>
      <c r="L4707" s="4" t="str">
        <f>IFERROR(VLOOKUP($C4707,Observaciones!$A:$B,2,FALSE)," ")</f>
        <v xml:space="preserve"> </v>
      </c>
      <c r="M4707" t="s">
        <v>681</v>
      </c>
      <c r="O4707" s="5">
        <v>30849122</v>
      </c>
      <c r="P4707" s="5">
        <v>245546</v>
      </c>
      <c r="Q4707" s="5">
        <v>46654</v>
      </c>
      <c r="R4707" s="5">
        <v>292200</v>
      </c>
    </row>
    <row r="4708" spans="1:18" x14ac:dyDescent="0.25">
      <c r="A4708" t="s">
        <v>1034</v>
      </c>
      <c r="B4708" t="s">
        <v>494</v>
      </c>
      <c r="C4708">
        <v>96618540</v>
      </c>
      <c r="D4708">
        <v>43</v>
      </c>
      <c r="E4708">
        <v>30853268</v>
      </c>
      <c r="F4708" t="s">
        <v>1696</v>
      </c>
      <c r="G4708" s="1">
        <v>45236</v>
      </c>
      <c r="H4708">
        <v>5412588</v>
      </c>
      <c r="I4708">
        <v>50</v>
      </c>
      <c r="J4708" t="s">
        <v>376</v>
      </c>
      <c r="K4708" t="str">
        <f>IFERROR(IF(AND(VLOOKUP($C4708,Hes!$A:$B, 1, FALSE), $M4708&lt;&gt;" "), "Ingresada", "Falta Ingresar"), " ")</f>
        <v xml:space="preserve"> </v>
      </c>
      <c r="L4708" s="4" t="str">
        <f>IFERROR(VLOOKUP($C4708,Observaciones!$A:$B,2,FALSE)," ")</f>
        <v xml:space="preserve"> </v>
      </c>
      <c r="M4708" t="s">
        <v>681</v>
      </c>
      <c r="O4708" s="5">
        <v>30853268</v>
      </c>
      <c r="P4708" s="5">
        <v>228277</v>
      </c>
      <c r="Q4708" s="5">
        <v>43373</v>
      </c>
      <c r="R4708" s="5">
        <v>271650</v>
      </c>
    </row>
    <row r="4709" spans="1:18" x14ac:dyDescent="0.25">
      <c r="A4709" t="s">
        <v>1034</v>
      </c>
      <c r="B4709" t="s">
        <v>494</v>
      </c>
      <c r="C4709">
        <v>96618540</v>
      </c>
      <c r="D4709">
        <v>58</v>
      </c>
      <c r="E4709">
        <v>30853381</v>
      </c>
      <c r="F4709" t="s">
        <v>1696</v>
      </c>
      <c r="G4709" s="1">
        <v>45236</v>
      </c>
      <c r="H4709">
        <v>5412647</v>
      </c>
      <c r="I4709">
        <v>50</v>
      </c>
      <c r="J4709" t="s">
        <v>376</v>
      </c>
      <c r="K4709" t="str">
        <f>IFERROR(IF(AND(VLOOKUP($C4709,Hes!$A:$B, 1, FALSE), $M4709&lt;&gt;" "), "Ingresada", "Falta Ingresar"), " ")</f>
        <v xml:space="preserve"> </v>
      </c>
      <c r="L4709" s="4" t="str">
        <f>IFERROR(VLOOKUP($C4709,Observaciones!$A:$B,2,FALSE)," ")</f>
        <v xml:space="preserve"> </v>
      </c>
      <c r="M4709" t="s">
        <v>681</v>
      </c>
      <c r="O4709" s="5">
        <v>30853381</v>
      </c>
      <c r="P4709" s="5">
        <v>151332</v>
      </c>
      <c r="Q4709" s="5">
        <v>28753</v>
      </c>
      <c r="R4709" s="5">
        <v>180085</v>
      </c>
    </row>
    <row r="4710" spans="1:18" x14ac:dyDescent="0.25">
      <c r="A4710" t="s">
        <v>1034</v>
      </c>
      <c r="B4710" t="s">
        <v>494</v>
      </c>
      <c r="C4710">
        <v>96618540</v>
      </c>
      <c r="D4710">
        <v>2</v>
      </c>
      <c r="E4710">
        <v>30852958</v>
      </c>
      <c r="F4710" t="s">
        <v>1696</v>
      </c>
      <c r="G4710" s="1">
        <v>45236</v>
      </c>
      <c r="H4710">
        <v>5412685</v>
      </c>
      <c r="I4710">
        <v>50</v>
      </c>
      <c r="J4710" t="s">
        <v>376</v>
      </c>
      <c r="K4710" t="str">
        <f>IFERROR(IF(AND(VLOOKUP($C4710,Hes!$A:$B, 1, FALSE), $M4710&lt;&gt;" "), "Ingresada", "Falta Ingresar"), " ")</f>
        <v xml:space="preserve"> </v>
      </c>
      <c r="L4710" s="4" t="str">
        <f>IFERROR(VLOOKUP($C4710,Observaciones!$A:$B,2,FALSE)," ")</f>
        <v xml:space="preserve"> </v>
      </c>
      <c r="M4710" t="s">
        <v>681</v>
      </c>
      <c r="O4710" s="5">
        <v>30852958</v>
      </c>
      <c r="P4710" s="5">
        <v>90176</v>
      </c>
      <c r="Q4710" s="5">
        <v>17133</v>
      </c>
      <c r="R4710" s="5">
        <v>107309</v>
      </c>
    </row>
    <row r="4711" spans="1:18" x14ac:dyDescent="0.25">
      <c r="A4711" t="s">
        <v>1034</v>
      </c>
      <c r="B4711" t="s">
        <v>494</v>
      </c>
      <c r="C4711">
        <v>96618540</v>
      </c>
      <c r="D4711">
        <v>154</v>
      </c>
      <c r="E4711">
        <v>30854265</v>
      </c>
      <c r="F4711" t="s">
        <v>1696</v>
      </c>
      <c r="G4711" s="1">
        <v>45236</v>
      </c>
      <c r="H4711">
        <v>5413384</v>
      </c>
      <c r="I4711">
        <v>5</v>
      </c>
      <c r="J4711" t="s">
        <v>374</v>
      </c>
      <c r="K4711" t="str">
        <f>IFERROR(IF(AND(VLOOKUP($C4711,Hes!$A:$B, 1, FALSE), $M4711&lt;&gt;" "), "Ingresada", "Falta Ingresar"), " ")</f>
        <v xml:space="preserve"> </v>
      </c>
      <c r="L4711" s="4" t="str">
        <f>IFERROR(VLOOKUP($C4711,Observaciones!$A:$B,2,FALSE)," ")</f>
        <v xml:space="preserve"> </v>
      </c>
      <c r="M4711" t="s">
        <v>681</v>
      </c>
      <c r="O4711" s="5">
        <v>30854265</v>
      </c>
      <c r="P4711" s="5">
        <v>59550</v>
      </c>
      <c r="Q4711" s="5">
        <v>11315</v>
      </c>
      <c r="R4711" s="5">
        <v>70865</v>
      </c>
    </row>
    <row r="4712" spans="1:18" x14ac:dyDescent="0.25">
      <c r="A4712" t="s">
        <v>1034</v>
      </c>
      <c r="B4712" t="s">
        <v>494</v>
      </c>
      <c r="C4712">
        <v>96618540</v>
      </c>
      <c r="D4712">
        <v>8</v>
      </c>
      <c r="E4712">
        <v>30858082</v>
      </c>
      <c r="F4712" t="s">
        <v>1696</v>
      </c>
      <c r="G4712" s="1">
        <v>45236</v>
      </c>
      <c r="H4712">
        <v>5413509</v>
      </c>
      <c r="I4712">
        <v>5</v>
      </c>
      <c r="J4712" t="s">
        <v>374</v>
      </c>
      <c r="K4712" t="str">
        <f>IFERROR(IF(AND(VLOOKUP($C4712,Hes!$A:$B, 1, FALSE), $M4712&lt;&gt;" "), "Ingresada", "Falta Ingresar"), " ")</f>
        <v xml:space="preserve"> </v>
      </c>
      <c r="L4712" s="4" t="str">
        <f>IFERROR(VLOOKUP($C4712,Observaciones!$A:$B,2,FALSE)," ")</f>
        <v xml:space="preserve"> </v>
      </c>
      <c r="M4712" t="s">
        <v>681</v>
      </c>
      <c r="O4712" s="5">
        <v>30858082</v>
      </c>
      <c r="P4712" s="5">
        <v>129842</v>
      </c>
      <c r="Q4712" s="5">
        <v>24670</v>
      </c>
      <c r="R4712" s="5">
        <v>154512</v>
      </c>
    </row>
    <row r="4713" spans="1:18" x14ac:dyDescent="0.25">
      <c r="A4713" t="s">
        <v>1034</v>
      </c>
      <c r="B4713" t="s">
        <v>494</v>
      </c>
      <c r="C4713">
        <v>96618540</v>
      </c>
      <c r="D4713">
        <v>62</v>
      </c>
      <c r="E4713">
        <v>30857976</v>
      </c>
      <c r="F4713" t="s">
        <v>1696</v>
      </c>
      <c r="G4713" s="1">
        <v>45236</v>
      </c>
      <c r="H4713">
        <v>5413663</v>
      </c>
      <c r="I4713">
        <v>5</v>
      </c>
      <c r="J4713" t="s">
        <v>374</v>
      </c>
      <c r="K4713" t="str">
        <f>IFERROR(IF(AND(VLOOKUP($C4713,Hes!$A:$B, 1, FALSE), $M4713&lt;&gt;" "), "Ingresada", "Falta Ingresar"), " ")</f>
        <v xml:space="preserve"> </v>
      </c>
      <c r="L4713" s="4" t="str">
        <f>IFERROR(VLOOKUP($C4713,Observaciones!$A:$B,2,FALSE)," ")</f>
        <v xml:space="preserve"> </v>
      </c>
      <c r="M4713" t="s">
        <v>681</v>
      </c>
      <c r="O4713" s="5">
        <v>30857976</v>
      </c>
      <c r="P4713" s="5">
        <v>64302</v>
      </c>
      <c r="Q4713" s="5">
        <v>12217</v>
      </c>
      <c r="R4713" s="5">
        <v>76519</v>
      </c>
    </row>
    <row r="4714" spans="1:18" x14ac:dyDescent="0.25">
      <c r="A4714" t="s">
        <v>1034</v>
      </c>
      <c r="B4714" t="s">
        <v>494</v>
      </c>
      <c r="C4714">
        <v>96618540</v>
      </c>
      <c r="D4714">
        <v>152</v>
      </c>
      <c r="E4714">
        <v>30857513</v>
      </c>
      <c r="F4714" t="s">
        <v>1696</v>
      </c>
      <c r="G4714" s="1">
        <v>45236</v>
      </c>
      <c r="H4714">
        <v>5413668</v>
      </c>
      <c r="I4714">
        <v>5</v>
      </c>
      <c r="J4714" t="s">
        <v>374</v>
      </c>
      <c r="K4714" t="str">
        <f>IFERROR(IF(AND(VLOOKUP($C4714,Hes!$A:$B, 1, FALSE), $M4714&lt;&gt;" "), "Ingresada", "Falta Ingresar"), " ")</f>
        <v xml:space="preserve"> </v>
      </c>
      <c r="L4714" s="4" t="str">
        <f>IFERROR(VLOOKUP($C4714,Observaciones!$A:$B,2,FALSE)," ")</f>
        <v xml:space="preserve"> </v>
      </c>
      <c r="M4714" t="s">
        <v>681</v>
      </c>
      <c r="O4714" s="5">
        <v>30857513</v>
      </c>
      <c r="P4714" s="5">
        <v>140901</v>
      </c>
      <c r="Q4714" s="5">
        <v>26771</v>
      </c>
      <c r="R4714" s="5">
        <v>167672</v>
      </c>
    </row>
    <row r="4715" spans="1:18" x14ac:dyDescent="0.25">
      <c r="A4715" t="s">
        <v>1034</v>
      </c>
      <c r="B4715" t="s">
        <v>494</v>
      </c>
      <c r="C4715">
        <v>96618540</v>
      </c>
      <c r="D4715">
        <v>66</v>
      </c>
      <c r="E4715">
        <v>30854729</v>
      </c>
      <c r="F4715" t="s">
        <v>1696</v>
      </c>
      <c r="G4715" s="1">
        <v>45236</v>
      </c>
      <c r="H4715">
        <v>5413714</v>
      </c>
      <c r="I4715">
        <v>5</v>
      </c>
      <c r="J4715" t="s">
        <v>374</v>
      </c>
      <c r="K4715" t="str">
        <f>IFERROR(IF(AND(VLOOKUP($C4715,Hes!$A:$B, 1, FALSE), $M4715&lt;&gt;" "), "Ingresada", "Falta Ingresar"), " ")</f>
        <v xml:space="preserve"> </v>
      </c>
      <c r="L4715" s="4" t="str">
        <f>IFERROR(VLOOKUP($C4715,Observaciones!$A:$B,2,FALSE)," ")</f>
        <v xml:space="preserve"> </v>
      </c>
      <c r="M4715" t="s">
        <v>681</v>
      </c>
      <c r="O4715" s="5">
        <v>30854729</v>
      </c>
      <c r="P4715" s="5">
        <v>91849</v>
      </c>
      <c r="Q4715" s="5">
        <v>17451</v>
      </c>
      <c r="R4715" s="5">
        <v>109300</v>
      </c>
    </row>
    <row r="4716" spans="1:18" x14ac:dyDescent="0.25">
      <c r="A4716" t="s">
        <v>1034</v>
      </c>
      <c r="B4716" t="s">
        <v>494</v>
      </c>
      <c r="C4716">
        <v>96618540</v>
      </c>
      <c r="D4716">
        <v>7</v>
      </c>
      <c r="E4716">
        <v>30856029</v>
      </c>
      <c r="F4716" t="s">
        <v>1696</v>
      </c>
      <c r="G4716" s="1">
        <v>45236</v>
      </c>
      <c r="H4716">
        <v>5413791</v>
      </c>
      <c r="I4716">
        <v>5</v>
      </c>
      <c r="J4716" t="s">
        <v>374</v>
      </c>
      <c r="K4716" t="str">
        <f>IFERROR(IF(AND(VLOOKUP($C4716,Hes!$A:$B, 1, FALSE), $M4716&lt;&gt;" "), "Ingresada", "Falta Ingresar"), " ")</f>
        <v xml:space="preserve"> </v>
      </c>
      <c r="L4716" s="4" t="str">
        <f>IFERROR(VLOOKUP($C4716,Observaciones!$A:$B,2,FALSE)," ")</f>
        <v xml:space="preserve"> </v>
      </c>
      <c r="M4716" t="s">
        <v>681</v>
      </c>
      <c r="O4716" s="5">
        <v>30856029</v>
      </c>
      <c r="P4716" s="5">
        <v>144698</v>
      </c>
      <c r="Q4716" s="5">
        <v>27493</v>
      </c>
      <c r="R4716" s="5">
        <v>172191</v>
      </c>
    </row>
    <row r="4717" spans="1:18" x14ac:dyDescent="0.25">
      <c r="A4717" t="s">
        <v>1034</v>
      </c>
      <c r="B4717" t="s">
        <v>494</v>
      </c>
      <c r="C4717">
        <v>96618540</v>
      </c>
      <c r="D4717">
        <v>46</v>
      </c>
      <c r="E4717">
        <v>30856177</v>
      </c>
      <c r="F4717" t="s">
        <v>1696</v>
      </c>
      <c r="G4717" s="1">
        <v>45236</v>
      </c>
      <c r="H4717">
        <v>5413837</v>
      </c>
      <c r="I4717">
        <v>5</v>
      </c>
      <c r="J4717" t="s">
        <v>374</v>
      </c>
      <c r="K4717" t="str">
        <f>IFERROR(IF(AND(VLOOKUP($C4717,Hes!$A:$B, 1, FALSE), $M4717&lt;&gt;" "), "Ingresada", "Falta Ingresar"), " ")</f>
        <v xml:space="preserve"> </v>
      </c>
      <c r="L4717" s="4" t="str">
        <f>IFERROR(VLOOKUP($C4717,Observaciones!$A:$B,2,FALSE)," ")</f>
        <v xml:space="preserve"> </v>
      </c>
      <c r="M4717" t="s">
        <v>681</v>
      </c>
      <c r="O4717" s="5">
        <v>30856177</v>
      </c>
      <c r="P4717" s="5">
        <v>339631</v>
      </c>
      <c r="Q4717" s="5">
        <v>64530</v>
      </c>
      <c r="R4717" s="5">
        <v>404161</v>
      </c>
    </row>
    <row r="4718" spans="1:18" x14ac:dyDescent="0.25">
      <c r="A4718" t="s">
        <v>1034</v>
      </c>
      <c r="B4718" t="s">
        <v>494</v>
      </c>
      <c r="C4718">
        <v>96618540</v>
      </c>
      <c r="D4718">
        <v>46</v>
      </c>
      <c r="E4718">
        <v>30856177</v>
      </c>
      <c r="F4718" t="s">
        <v>1696</v>
      </c>
      <c r="G4718" s="1">
        <v>45236</v>
      </c>
      <c r="H4718">
        <v>5413838</v>
      </c>
      <c r="I4718">
        <v>5</v>
      </c>
      <c r="J4718" t="s">
        <v>374</v>
      </c>
      <c r="K4718" t="str">
        <f>IFERROR(IF(AND(VLOOKUP($C4718,Hes!$A:$B, 1, FALSE), $M4718&lt;&gt;" "), "Ingresada", "Falta Ingresar"), " ")</f>
        <v xml:space="preserve"> </v>
      </c>
      <c r="L4718" s="4" t="str">
        <f>IFERROR(VLOOKUP($C4718,Observaciones!$A:$B,2,FALSE)," ")</f>
        <v xml:space="preserve"> </v>
      </c>
      <c r="M4718" t="s">
        <v>681</v>
      </c>
      <c r="O4718" s="5">
        <v>30856177</v>
      </c>
      <c r="P4718" s="5">
        <v>22656</v>
      </c>
      <c r="Q4718" s="5">
        <v>4305</v>
      </c>
      <c r="R4718" s="5">
        <v>26961</v>
      </c>
    </row>
    <row r="4719" spans="1:18" x14ac:dyDescent="0.25">
      <c r="A4719" t="s">
        <v>1034</v>
      </c>
      <c r="B4719" t="s">
        <v>494</v>
      </c>
      <c r="C4719">
        <v>96618540</v>
      </c>
      <c r="D4719">
        <v>55</v>
      </c>
      <c r="E4719">
        <v>30858081</v>
      </c>
      <c r="F4719" t="s">
        <v>1696</v>
      </c>
      <c r="G4719" s="1">
        <v>45236</v>
      </c>
      <c r="H4719">
        <v>5413848</v>
      </c>
      <c r="I4719">
        <v>5</v>
      </c>
      <c r="J4719" t="s">
        <v>374</v>
      </c>
      <c r="K4719" t="str">
        <f>IFERROR(IF(AND(VLOOKUP($C4719,Hes!$A:$B, 1, FALSE), $M4719&lt;&gt;" "), "Ingresada", "Falta Ingresar"), " ")</f>
        <v xml:space="preserve"> </v>
      </c>
      <c r="L4719" s="4" t="str">
        <f>IFERROR(VLOOKUP($C4719,Observaciones!$A:$B,2,FALSE)," ")</f>
        <v xml:space="preserve"> </v>
      </c>
      <c r="M4719" t="s">
        <v>681</v>
      </c>
      <c r="O4719" s="5">
        <v>30858081</v>
      </c>
      <c r="P4719" s="5">
        <v>324862</v>
      </c>
      <c r="Q4719" s="5">
        <v>61724</v>
      </c>
      <c r="R4719" s="5">
        <v>386586</v>
      </c>
    </row>
    <row r="4720" spans="1:18" x14ac:dyDescent="0.25">
      <c r="A4720" t="s">
        <v>1034</v>
      </c>
      <c r="B4720" t="s">
        <v>494</v>
      </c>
      <c r="C4720">
        <v>96618540</v>
      </c>
      <c r="D4720">
        <v>55</v>
      </c>
      <c r="E4720">
        <v>30858081</v>
      </c>
      <c r="F4720" t="s">
        <v>1696</v>
      </c>
      <c r="G4720" s="1">
        <v>45236</v>
      </c>
      <c r="H4720">
        <v>5413849</v>
      </c>
      <c r="I4720">
        <v>5</v>
      </c>
      <c r="J4720" t="s">
        <v>374</v>
      </c>
      <c r="K4720" t="str">
        <f>IFERROR(IF(AND(VLOOKUP($C4720,Hes!$A:$B, 1, FALSE), $M4720&lt;&gt;" "), "Ingresada", "Falta Ingresar"), " ")</f>
        <v xml:space="preserve"> </v>
      </c>
      <c r="L4720" s="4" t="str">
        <f>IFERROR(VLOOKUP($C4720,Observaciones!$A:$B,2,FALSE)," ")</f>
        <v xml:space="preserve"> </v>
      </c>
      <c r="M4720" t="s">
        <v>681</v>
      </c>
      <c r="O4720" s="5">
        <v>30858081</v>
      </c>
      <c r="P4720" s="5">
        <v>59550</v>
      </c>
      <c r="Q4720" s="5">
        <v>11315</v>
      </c>
      <c r="R4720" s="5">
        <v>70865</v>
      </c>
    </row>
    <row r="4721" spans="1:18" x14ac:dyDescent="0.25">
      <c r="A4721" t="s">
        <v>1034</v>
      </c>
      <c r="B4721" t="s">
        <v>494</v>
      </c>
      <c r="C4721">
        <v>96618540</v>
      </c>
      <c r="D4721">
        <v>5</v>
      </c>
      <c r="E4721">
        <v>30858170</v>
      </c>
      <c r="F4721" t="s">
        <v>1696</v>
      </c>
      <c r="G4721" s="1">
        <v>45237</v>
      </c>
      <c r="H4721">
        <v>5414029</v>
      </c>
      <c r="I4721">
        <v>5</v>
      </c>
      <c r="J4721" t="s">
        <v>374</v>
      </c>
      <c r="K4721" t="str">
        <f>IFERROR(IF(AND(VLOOKUP($C4721,Hes!$A:$B, 1, FALSE), $M4721&lt;&gt;" "), "Ingresada", "Falta Ingresar"), " ")</f>
        <v xml:space="preserve"> </v>
      </c>
      <c r="L4721" s="4" t="str">
        <f>IFERROR(VLOOKUP($C4721,Observaciones!$A:$B,2,FALSE)," ")</f>
        <v xml:space="preserve"> </v>
      </c>
      <c r="M4721" t="s">
        <v>681</v>
      </c>
      <c r="O4721" s="5">
        <v>30858170</v>
      </c>
      <c r="P4721" s="5">
        <v>281534</v>
      </c>
      <c r="Q4721" s="5">
        <v>53491</v>
      </c>
      <c r="R4721" s="5">
        <v>335025</v>
      </c>
    </row>
    <row r="4722" spans="1:18" x14ac:dyDescent="0.25">
      <c r="A4722" t="s">
        <v>1034</v>
      </c>
      <c r="B4722" t="s">
        <v>494</v>
      </c>
      <c r="C4722">
        <v>96618540</v>
      </c>
      <c r="D4722">
        <v>64</v>
      </c>
      <c r="E4722">
        <v>30858239</v>
      </c>
      <c r="F4722" t="s">
        <v>1696</v>
      </c>
      <c r="G4722" s="1">
        <v>45237</v>
      </c>
      <c r="H4722">
        <v>5414082</v>
      </c>
      <c r="I4722">
        <v>5</v>
      </c>
      <c r="J4722" t="s">
        <v>374</v>
      </c>
      <c r="K4722" t="str">
        <f>IFERROR(IF(AND(VLOOKUP($C4722,Hes!$A:$B, 1, FALSE), $M4722&lt;&gt;" "), "Ingresada", "Falta Ingresar"), " ")</f>
        <v xml:space="preserve"> </v>
      </c>
      <c r="L4722" s="4" t="str">
        <f>IFERROR(VLOOKUP($C4722,Observaciones!$A:$B,2,FALSE)," ")</f>
        <v xml:space="preserve"> </v>
      </c>
      <c r="M4722" t="s">
        <v>681</v>
      </c>
      <c r="O4722" s="5">
        <v>30858239</v>
      </c>
      <c r="P4722" s="5">
        <v>101134</v>
      </c>
      <c r="Q4722" s="5">
        <v>19215</v>
      </c>
      <c r="R4722" s="5">
        <v>120349</v>
      </c>
    </row>
    <row r="4723" spans="1:18" x14ac:dyDescent="0.25">
      <c r="A4723" t="s">
        <v>1034</v>
      </c>
      <c r="B4723" t="s">
        <v>494</v>
      </c>
      <c r="C4723">
        <v>96618540</v>
      </c>
      <c r="D4723">
        <v>42</v>
      </c>
      <c r="E4723">
        <v>30858150</v>
      </c>
      <c r="F4723" t="s">
        <v>1696</v>
      </c>
      <c r="G4723" s="1">
        <v>45237</v>
      </c>
      <c r="H4723">
        <v>5414122</v>
      </c>
      <c r="I4723">
        <v>5</v>
      </c>
      <c r="J4723" t="s">
        <v>374</v>
      </c>
      <c r="K4723" t="str">
        <f>IFERROR(IF(AND(VLOOKUP($C4723,Hes!$A:$B, 1, FALSE), $M4723&lt;&gt;" "), "Ingresada", "Falta Ingresar"), " ")</f>
        <v xml:space="preserve"> </v>
      </c>
      <c r="L4723" s="4" t="str">
        <f>IFERROR(VLOOKUP($C4723,Observaciones!$A:$B,2,FALSE)," ")</f>
        <v xml:space="preserve"> </v>
      </c>
      <c r="M4723" t="s">
        <v>681</v>
      </c>
      <c r="O4723" s="5">
        <v>30858150</v>
      </c>
      <c r="P4723" s="5">
        <v>108342</v>
      </c>
      <c r="Q4723" s="5">
        <v>20585</v>
      </c>
      <c r="R4723" s="5">
        <v>128927</v>
      </c>
    </row>
    <row r="4724" spans="1:18" x14ac:dyDescent="0.25">
      <c r="A4724" t="s">
        <v>1034</v>
      </c>
      <c r="B4724" t="s">
        <v>494</v>
      </c>
      <c r="C4724">
        <v>96618540</v>
      </c>
      <c r="D4724">
        <v>9</v>
      </c>
      <c r="E4724">
        <v>30857881</v>
      </c>
      <c r="F4724" t="s">
        <v>1696</v>
      </c>
      <c r="G4724" s="1">
        <v>45238</v>
      </c>
      <c r="H4724">
        <v>5414585</v>
      </c>
      <c r="I4724">
        <v>5</v>
      </c>
      <c r="J4724" t="s">
        <v>374</v>
      </c>
      <c r="K4724" t="str">
        <f>IFERROR(IF(AND(VLOOKUP($C4724,Hes!$A:$B, 1, FALSE), $M4724&lt;&gt;" "), "Ingresada", "Falta Ingresar"), " ")</f>
        <v xml:space="preserve"> </v>
      </c>
      <c r="L4724" s="4" t="str">
        <f>IFERROR(VLOOKUP($C4724,Observaciones!$A:$B,2,FALSE)," ")</f>
        <v xml:space="preserve"> </v>
      </c>
      <c r="M4724" t="s">
        <v>681</v>
      </c>
      <c r="O4724" s="5">
        <v>30857881</v>
      </c>
      <c r="P4724" s="5">
        <v>414821</v>
      </c>
      <c r="Q4724" s="5">
        <v>78816</v>
      </c>
      <c r="R4724" s="5">
        <v>493637</v>
      </c>
    </row>
    <row r="4725" spans="1:18" x14ac:dyDescent="0.25">
      <c r="A4725" t="s">
        <v>1034</v>
      </c>
      <c r="B4725" t="s">
        <v>494</v>
      </c>
      <c r="C4725">
        <v>96618540</v>
      </c>
      <c r="D4725">
        <v>150</v>
      </c>
      <c r="E4725">
        <v>30856667</v>
      </c>
      <c r="F4725" t="s">
        <v>1696</v>
      </c>
      <c r="G4725" s="1">
        <v>45238</v>
      </c>
      <c r="H4725">
        <v>5414594</v>
      </c>
      <c r="I4725">
        <v>5</v>
      </c>
      <c r="J4725" t="s">
        <v>374</v>
      </c>
      <c r="K4725" t="str">
        <f>IFERROR(IF(AND(VLOOKUP($C4725,Hes!$A:$B, 1, FALSE), $M4725&lt;&gt;" "), "Ingresada", "Falta Ingresar"), " ")</f>
        <v xml:space="preserve"> </v>
      </c>
      <c r="L4725" s="4" t="str">
        <f>IFERROR(VLOOKUP($C4725,Observaciones!$A:$B,2,FALSE)," ")</f>
        <v xml:space="preserve"> </v>
      </c>
      <c r="M4725" t="s">
        <v>681</v>
      </c>
      <c r="O4725" s="5">
        <v>30856667</v>
      </c>
      <c r="P4725" s="5">
        <v>103276</v>
      </c>
      <c r="Q4725" s="5">
        <v>19622</v>
      </c>
      <c r="R4725" s="5">
        <v>122898</v>
      </c>
    </row>
    <row r="4726" spans="1:18" x14ac:dyDescent="0.25">
      <c r="A4726" t="s">
        <v>1034</v>
      </c>
      <c r="B4726" t="s">
        <v>494</v>
      </c>
      <c r="C4726">
        <v>96618540</v>
      </c>
      <c r="D4726">
        <v>41</v>
      </c>
      <c r="E4726">
        <v>30858242</v>
      </c>
      <c r="F4726" t="s">
        <v>1696</v>
      </c>
      <c r="G4726" s="1">
        <v>45237</v>
      </c>
      <c r="H4726">
        <v>5415070</v>
      </c>
      <c r="I4726">
        <v>5</v>
      </c>
      <c r="J4726" t="s">
        <v>374</v>
      </c>
      <c r="K4726" t="str">
        <f>IFERROR(IF(AND(VLOOKUP($C4726,Hes!$A:$B, 1, FALSE), $M4726&lt;&gt;" "), "Ingresada", "Falta Ingresar"), " ")</f>
        <v xml:space="preserve"> </v>
      </c>
      <c r="L4726" s="4" t="str">
        <f>IFERROR(VLOOKUP($C4726,Observaciones!$A:$B,2,FALSE)," ")</f>
        <v xml:space="preserve"> </v>
      </c>
      <c r="M4726" t="s">
        <v>681</v>
      </c>
      <c r="O4726" s="5">
        <v>30858242</v>
      </c>
      <c r="P4726" s="5">
        <v>310981</v>
      </c>
      <c r="Q4726" s="5">
        <v>59086</v>
      </c>
      <c r="R4726" s="5">
        <v>370067</v>
      </c>
    </row>
    <row r="4727" spans="1:18" x14ac:dyDescent="0.25">
      <c r="A4727" t="s">
        <v>1034</v>
      </c>
      <c r="B4727" t="s">
        <v>494</v>
      </c>
      <c r="C4727">
        <v>96618540</v>
      </c>
      <c r="D4727">
        <v>47</v>
      </c>
      <c r="E4727">
        <v>30863194</v>
      </c>
      <c r="F4727" t="s">
        <v>1696</v>
      </c>
      <c r="G4727" s="1">
        <v>45238</v>
      </c>
      <c r="H4727">
        <v>5415215</v>
      </c>
      <c r="I4727">
        <v>5</v>
      </c>
      <c r="J4727" t="s">
        <v>374</v>
      </c>
      <c r="K4727" t="str">
        <f>IFERROR(IF(AND(VLOOKUP($C4727,Hes!$A:$B, 1, FALSE), $M4727&lt;&gt;" "), "Ingresada", "Falta Ingresar"), " ")</f>
        <v xml:space="preserve"> </v>
      </c>
      <c r="L4727" s="4" t="str">
        <f>IFERROR(VLOOKUP($C4727,Observaciones!$A:$B,2,FALSE)," ")</f>
        <v xml:space="preserve"> </v>
      </c>
      <c r="M4727" t="s">
        <v>681</v>
      </c>
      <c r="O4727" s="5">
        <v>30863194</v>
      </c>
      <c r="P4727" s="5">
        <v>152948</v>
      </c>
      <c r="Q4727" s="5">
        <v>29060</v>
      </c>
      <c r="R4727" s="5">
        <v>182008</v>
      </c>
    </row>
    <row r="4728" spans="1:18" x14ac:dyDescent="0.25">
      <c r="A4728" t="s">
        <v>1034</v>
      </c>
      <c r="B4728" t="s">
        <v>494</v>
      </c>
      <c r="C4728">
        <v>96618540</v>
      </c>
      <c r="D4728">
        <v>74</v>
      </c>
      <c r="E4728">
        <v>30864370</v>
      </c>
      <c r="F4728" t="s">
        <v>1696</v>
      </c>
      <c r="G4728" s="1">
        <v>45238</v>
      </c>
      <c r="H4728">
        <v>5415401</v>
      </c>
      <c r="I4728">
        <v>5</v>
      </c>
      <c r="J4728" t="s">
        <v>374</v>
      </c>
      <c r="K4728" t="str">
        <f>IFERROR(IF(AND(VLOOKUP($C4728,Hes!$A:$B, 1, FALSE), $M4728&lt;&gt;" "), "Ingresada", "Falta Ingresar"), " ")</f>
        <v xml:space="preserve"> </v>
      </c>
      <c r="L4728" s="4" t="str">
        <f>IFERROR(VLOOKUP($C4728,Observaciones!$A:$B,2,FALSE)," ")</f>
        <v xml:space="preserve"> </v>
      </c>
      <c r="M4728" t="s">
        <v>681</v>
      </c>
      <c r="O4728" s="5">
        <v>30864370</v>
      </c>
      <c r="P4728" s="5">
        <v>265736</v>
      </c>
      <c r="Q4728" s="5">
        <v>50490</v>
      </c>
      <c r="R4728" s="5">
        <v>316226</v>
      </c>
    </row>
    <row r="4729" spans="1:18" x14ac:dyDescent="0.25">
      <c r="A4729" t="s">
        <v>1034</v>
      </c>
      <c r="B4729" t="s">
        <v>494</v>
      </c>
      <c r="C4729">
        <v>96618540</v>
      </c>
      <c r="D4729">
        <v>22</v>
      </c>
      <c r="E4729">
        <v>30864269</v>
      </c>
      <c r="F4729" t="s">
        <v>1696</v>
      </c>
      <c r="G4729" s="1">
        <v>45238</v>
      </c>
      <c r="H4729">
        <v>5415739</v>
      </c>
      <c r="I4729">
        <v>5</v>
      </c>
      <c r="J4729" t="s">
        <v>374</v>
      </c>
      <c r="K4729" t="str">
        <f>IFERROR(IF(AND(VLOOKUP($C4729,Hes!$A:$B, 1, FALSE), $M4729&lt;&gt;" "), "Ingresada", "Falta Ingresar"), " ")</f>
        <v xml:space="preserve"> </v>
      </c>
      <c r="L4729" s="4" t="str">
        <f>IFERROR(VLOOKUP($C4729,Observaciones!$A:$B,2,FALSE)," ")</f>
        <v xml:space="preserve"> </v>
      </c>
      <c r="M4729" t="s">
        <v>681</v>
      </c>
      <c r="O4729" s="5">
        <v>30864269</v>
      </c>
      <c r="P4729" s="5">
        <v>267212</v>
      </c>
      <c r="Q4729" s="5">
        <v>50770</v>
      </c>
      <c r="R4729" s="5">
        <v>317982</v>
      </c>
    </row>
    <row r="4730" spans="1:18" x14ac:dyDescent="0.25">
      <c r="F4730" t="s">
        <v>1554</v>
      </c>
      <c r="K4730" t="str">
        <f>IFERROR(IF(AND(VLOOKUP($C4730,Hes!$A:$B, 1, FALSE), $M4730&lt;&gt;" "), "Ingresada", "Falta Ingresar"), " ")</f>
        <v xml:space="preserve"> </v>
      </c>
      <c r="L4730" s="4" t="str">
        <f>IFERROR(VLOOKUP($C4730,Observaciones!$A:$B,2,FALSE)," ")</f>
        <v xml:space="preserve"> </v>
      </c>
      <c r="M4730" t="s">
        <v>681</v>
      </c>
      <c r="P4730" s="5">
        <v>5545246</v>
      </c>
      <c r="Q4730" s="5">
        <v>1053596</v>
      </c>
      <c r="R4730" s="5">
        <v>6598842</v>
      </c>
    </row>
    <row r="4731" spans="1:18" x14ac:dyDescent="0.25">
      <c r="A4731" t="s">
        <v>496</v>
      </c>
      <c r="B4731" t="s">
        <v>494</v>
      </c>
      <c r="C4731">
        <v>96621640</v>
      </c>
      <c r="D4731">
        <v>32</v>
      </c>
      <c r="E4731">
        <v>90207</v>
      </c>
      <c r="F4731" t="s">
        <v>1697</v>
      </c>
      <c r="G4731" s="1">
        <v>45236</v>
      </c>
      <c r="H4731">
        <v>5413266</v>
      </c>
      <c r="I4731">
        <v>321</v>
      </c>
      <c r="J4731" t="s">
        <v>202</v>
      </c>
      <c r="K4731" t="str">
        <f>IFERROR(IF(AND(VLOOKUP($C4731,Hes!$A:$B, 1, FALSE), $M4731&lt;&gt;" "), "Ingresada", "Falta Ingresar"), " ")</f>
        <v xml:space="preserve"> </v>
      </c>
      <c r="L4731" s="4" t="str">
        <f>IFERROR(VLOOKUP($C4731,Observaciones!$A:$B,2,FALSE)," ")</f>
        <v>XOC Y CC</v>
      </c>
      <c r="M4731" t="s">
        <v>681</v>
      </c>
      <c r="O4731" s="5">
        <v>30835196</v>
      </c>
      <c r="P4731" s="5">
        <v>127176</v>
      </c>
      <c r="Q4731" s="5">
        <v>24163</v>
      </c>
      <c r="R4731" s="5">
        <v>151339</v>
      </c>
    </row>
    <row r="4732" spans="1:18" x14ac:dyDescent="0.25">
      <c r="F4732" t="s">
        <v>495</v>
      </c>
      <c r="K4732" t="str">
        <f>IFERROR(IF(AND(VLOOKUP($C4732,Hes!$A:$B, 1, FALSE), $M4732&lt;&gt;" "), "Ingresada", "Falta Ingresar"), " ")</f>
        <v xml:space="preserve"> </v>
      </c>
      <c r="L4732" s="4" t="str">
        <f>IFERROR(VLOOKUP($C4732,Observaciones!$A:$B,2,FALSE)," ")</f>
        <v xml:space="preserve"> </v>
      </c>
      <c r="M4732" t="s">
        <v>681</v>
      </c>
      <c r="P4732" s="5">
        <v>127176</v>
      </c>
      <c r="Q4732" s="5">
        <v>24163</v>
      </c>
      <c r="R4732" s="5">
        <v>151339</v>
      </c>
    </row>
    <row r="4733" spans="1:18" x14ac:dyDescent="0.25">
      <c r="A4733" t="s">
        <v>496</v>
      </c>
      <c r="B4733" t="s">
        <v>494</v>
      </c>
      <c r="C4733">
        <v>96631740</v>
      </c>
      <c r="D4733">
        <v>0</v>
      </c>
      <c r="E4733">
        <v>4500426700</v>
      </c>
      <c r="F4733" t="s">
        <v>1698</v>
      </c>
      <c r="G4733" s="1">
        <v>45238</v>
      </c>
      <c r="H4733">
        <v>5415536</v>
      </c>
      <c r="I4733">
        <v>446</v>
      </c>
      <c r="J4733" t="s">
        <v>342</v>
      </c>
      <c r="K4733" t="str">
        <f>IFERROR(IF(AND(VLOOKUP($C4733,Hes!$A:$B, 1, FALSE), $M4733&lt;&gt;" "), "Ingresada", "Falta Ingresar"), " ")</f>
        <v xml:space="preserve"> </v>
      </c>
      <c r="L4733" s="4" t="str">
        <f>IFERROR(VLOOKUP($C4733,Observaciones!$A:$B,2,FALSE)," ")</f>
        <v xml:space="preserve"> </v>
      </c>
      <c r="M4733" t="s">
        <v>681</v>
      </c>
      <c r="O4733" s="5">
        <v>30865176</v>
      </c>
      <c r="P4733" s="5">
        <v>100512</v>
      </c>
      <c r="Q4733" s="5">
        <v>19097</v>
      </c>
      <c r="R4733" s="5">
        <v>119609</v>
      </c>
    </row>
    <row r="4734" spans="1:18" x14ac:dyDescent="0.25">
      <c r="A4734" t="s">
        <v>496</v>
      </c>
      <c r="B4734" t="s">
        <v>494</v>
      </c>
      <c r="C4734">
        <v>96631740</v>
      </c>
      <c r="D4734">
        <v>0</v>
      </c>
      <c r="E4734">
        <v>4500424833</v>
      </c>
      <c r="F4734" t="s">
        <v>1698</v>
      </c>
      <c r="G4734" s="1">
        <v>45238</v>
      </c>
      <c r="H4734">
        <v>5415699</v>
      </c>
      <c r="I4734">
        <v>446</v>
      </c>
      <c r="J4734" t="s">
        <v>342</v>
      </c>
      <c r="K4734" t="str">
        <f>IFERROR(IF(AND(VLOOKUP($C4734,Hes!$A:$B, 1, FALSE), $M4734&lt;&gt;" "), "Ingresada", "Falta Ingresar"), " ")</f>
        <v xml:space="preserve"> </v>
      </c>
      <c r="L4734" s="4" t="str">
        <f>IFERROR(VLOOKUP($C4734,Observaciones!$A:$B,2,FALSE)," ")</f>
        <v xml:space="preserve"> </v>
      </c>
      <c r="M4734" t="s">
        <v>681</v>
      </c>
      <c r="O4734" s="5">
        <v>30862129</v>
      </c>
      <c r="P4734" s="5">
        <v>330560</v>
      </c>
      <c r="Q4734" s="5">
        <v>62806</v>
      </c>
      <c r="R4734" s="5">
        <v>413336</v>
      </c>
    </row>
    <row r="4735" spans="1:18" x14ac:dyDescent="0.25">
      <c r="F4735" t="s">
        <v>497</v>
      </c>
      <c r="K4735" t="str">
        <f>IFERROR(IF(AND(VLOOKUP($C4735,Hes!$A:$B, 1, FALSE), $M4735&lt;&gt;" "), "Ingresada", "Falta Ingresar"), " ")</f>
        <v xml:space="preserve"> </v>
      </c>
      <c r="L4735" s="4" t="str">
        <f>IFERROR(VLOOKUP($C4735,Observaciones!$A:$B,2,FALSE)," ")</f>
        <v xml:space="preserve"> </v>
      </c>
      <c r="M4735" t="s">
        <v>681</v>
      </c>
      <c r="P4735" s="5">
        <v>431072</v>
      </c>
      <c r="Q4735" s="5">
        <v>81903</v>
      </c>
      <c r="R4735" s="5">
        <v>532945</v>
      </c>
    </row>
    <row r="4736" spans="1:18" x14ac:dyDescent="0.25">
      <c r="A4736" t="s">
        <v>501</v>
      </c>
      <c r="B4736" t="s">
        <v>494</v>
      </c>
      <c r="C4736">
        <v>96644100</v>
      </c>
      <c r="D4736">
        <v>5</v>
      </c>
      <c r="E4736">
        <v>30857421</v>
      </c>
      <c r="F4736" t="s">
        <v>1699</v>
      </c>
      <c r="G4736" s="1">
        <v>45236</v>
      </c>
      <c r="H4736">
        <v>5413474</v>
      </c>
      <c r="I4736">
        <v>37</v>
      </c>
      <c r="J4736" t="s">
        <v>156</v>
      </c>
      <c r="K4736" t="str">
        <f>IFERROR(IF(AND(VLOOKUP($C4736,Hes!$A:$B, 1, FALSE), $M4736&lt;&gt;" "), "Ingresada", "Falta Ingresar"), " ")</f>
        <v xml:space="preserve"> </v>
      </c>
      <c r="L4736" s="4" t="str">
        <f>IFERROR(VLOOKUP($C4736,Observaciones!$A:$B,2,FALSE)," ")</f>
        <v xml:space="preserve"> </v>
      </c>
      <c r="M4736" t="s">
        <v>681</v>
      </c>
      <c r="O4736" s="5">
        <v>30857421</v>
      </c>
      <c r="P4736" s="5">
        <v>22016</v>
      </c>
      <c r="Q4736" s="5">
        <v>4183</v>
      </c>
      <c r="R4736" s="5">
        <v>26199</v>
      </c>
    </row>
    <row r="4737" spans="1:18" x14ac:dyDescent="0.25">
      <c r="A4737" t="s">
        <v>501</v>
      </c>
      <c r="B4737" t="s">
        <v>494</v>
      </c>
      <c r="C4737">
        <v>96644100</v>
      </c>
      <c r="D4737">
        <v>100</v>
      </c>
      <c r="E4737">
        <v>30857410</v>
      </c>
      <c r="F4737" t="s">
        <v>1699</v>
      </c>
      <c r="G4737" s="1">
        <v>45236</v>
      </c>
      <c r="H4737">
        <v>5413804</v>
      </c>
      <c r="I4737">
        <v>37</v>
      </c>
      <c r="J4737" t="s">
        <v>156</v>
      </c>
      <c r="K4737" t="str">
        <f>IFERROR(IF(AND(VLOOKUP($C4737,Hes!$A:$B, 1, FALSE), $M4737&lt;&gt;" "), "Ingresada", "Falta Ingresar"), " ")</f>
        <v xml:space="preserve"> </v>
      </c>
      <c r="L4737" s="4" t="str">
        <f>IFERROR(VLOOKUP($C4737,Observaciones!$A:$B,2,FALSE)," ")</f>
        <v xml:space="preserve"> </v>
      </c>
      <c r="M4737" t="s">
        <v>681</v>
      </c>
      <c r="O4737" s="5">
        <v>30857410</v>
      </c>
      <c r="P4737" s="5">
        <v>39945</v>
      </c>
      <c r="Q4737" s="5">
        <v>7590</v>
      </c>
      <c r="R4737" s="5">
        <v>47535</v>
      </c>
    </row>
    <row r="4738" spans="1:18" x14ac:dyDescent="0.25">
      <c r="A4738" t="s">
        <v>501</v>
      </c>
      <c r="B4738" t="s">
        <v>494</v>
      </c>
      <c r="C4738">
        <v>96644100</v>
      </c>
      <c r="D4738">
        <v>5</v>
      </c>
      <c r="E4738">
        <v>30863171</v>
      </c>
      <c r="F4738" t="s">
        <v>1699</v>
      </c>
      <c r="G4738" s="1">
        <v>45237</v>
      </c>
      <c r="H4738">
        <v>5415266</v>
      </c>
      <c r="I4738">
        <v>37</v>
      </c>
      <c r="J4738" t="s">
        <v>156</v>
      </c>
      <c r="K4738" t="str">
        <f>IFERROR(IF(AND(VLOOKUP($C4738,Hes!$A:$B, 1, FALSE), $M4738&lt;&gt;" "), "Ingresada", "Falta Ingresar"), " ")</f>
        <v xml:space="preserve"> </v>
      </c>
      <c r="L4738" s="4" t="str">
        <f>IFERROR(VLOOKUP($C4738,Observaciones!$A:$B,2,FALSE)," ")</f>
        <v xml:space="preserve"> </v>
      </c>
      <c r="M4738" t="s">
        <v>681</v>
      </c>
      <c r="O4738" s="5">
        <v>30863171</v>
      </c>
      <c r="P4738" s="5">
        <v>115585</v>
      </c>
      <c r="Q4738" s="5">
        <v>21961</v>
      </c>
      <c r="R4738" s="5">
        <v>137546</v>
      </c>
    </row>
    <row r="4739" spans="1:18" x14ac:dyDescent="0.25">
      <c r="F4739" t="s">
        <v>500</v>
      </c>
      <c r="K4739" t="str">
        <f>IFERROR(IF(AND(VLOOKUP($C4739,Hes!$A:$B, 1, FALSE), $M4739&lt;&gt;" "), "Ingresada", "Falta Ingresar"), " ")</f>
        <v xml:space="preserve"> </v>
      </c>
      <c r="L4739" s="4" t="str">
        <f>IFERROR(VLOOKUP($C4739,Observaciones!$A:$B,2,FALSE)," ")</f>
        <v xml:space="preserve"> </v>
      </c>
      <c r="M4739" t="s">
        <v>681</v>
      </c>
      <c r="P4739" s="5">
        <v>177546</v>
      </c>
      <c r="Q4739" s="5">
        <v>33734</v>
      </c>
      <c r="R4739" s="5">
        <v>211280</v>
      </c>
    </row>
    <row r="4740" spans="1:18" x14ac:dyDescent="0.25">
      <c r="A4740" t="s">
        <v>501</v>
      </c>
      <c r="B4740" t="s">
        <v>494</v>
      </c>
      <c r="C4740">
        <v>96645790</v>
      </c>
      <c r="D4740">
        <v>7</v>
      </c>
      <c r="E4740">
        <v>30845241</v>
      </c>
      <c r="F4740" t="s">
        <v>1700</v>
      </c>
      <c r="G4740" s="1">
        <v>45231</v>
      </c>
      <c r="H4740">
        <v>5410625</v>
      </c>
      <c r="I4740">
        <v>82</v>
      </c>
      <c r="J4740" t="s">
        <v>238</v>
      </c>
      <c r="K4740" t="str">
        <f>IFERROR(IF(AND(VLOOKUP($C4740,Hes!$A:$B, 1, FALSE), $M4740&lt;&gt;" "), "Ingresada", "Falta Ingresar"), " ")</f>
        <v xml:space="preserve"> </v>
      </c>
      <c r="L4740" s="4" t="str">
        <f>IFERROR(VLOOKUP($C4740,Observaciones!$A:$B,2,FALSE)," ")</f>
        <v xml:space="preserve"> </v>
      </c>
      <c r="M4740" t="s">
        <v>681</v>
      </c>
      <c r="O4740" s="5">
        <v>30845241</v>
      </c>
      <c r="P4740" s="5">
        <v>887151</v>
      </c>
      <c r="Q4740" s="5">
        <v>168559</v>
      </c>
      <c r="R4740" s="5">
        <v>1055710</v>
      </c>
    </row>
    <row r="4741" spans="1:18" x14ac:dyDescent="0.25">
      <c r="A4741" t="s">
        <v>501</v>
      </c>
      <c r="B4741" t="s">
        <v>494</v>
      </c>
      <c r="C4741">
        <v>96645790</v>
      </c>
      <c r="D4741">
        <v>79</v>
      </c>
      <c r="E4741">
        <v>30852122</v>
      </c>
      <c r="F4741" t="s">
        <v>1700</v>
      </c>
      <c r="G4741" s="1">
        <v>45236</v>
      </c>
      <c r="H4741">
        <v>5412582</v>
      </c>
      <c r="I4741">
        <v>82</v>
      </c>
      <c r="J4741" t="s">
        <v>238</v>
      </c>
      <c r="K4741" t="str">
        <f>IFERROR(IF(AND(VLOOKUP($C4741,Hes!$A:$B, 1, FALSE), $M4741&lt;&gt;" "), "Ingresada", "Falta Ingresar"), " ")</f>
        <v xml:space="preserve"> </v>
      </c>
      <c r="L4741" s="4" t="str">
        <f>IFERROR(VLOOKUP($C4741,Observaciones!$A:$B,2,FALSE)," ")</f>
        <v xml:space="preserve"> </v>
      </c>
      <c r="M4741" t="s">
        <v>681</v>
      </c>
      <c r="O4741" s="5">
        <v>30852122</v>
      </c>
      <c r="P4741" s="5">
        <v>162001</v>
      </c>
      <c r="Q4741" s="5">
        <v>30780</v>
      </c>
      <c r="R4741" s="5">
        <v>192781</v>
      </c>
    </row>
    <row r="4742" spans="1:18" x14ac:dyDescent="0.25">
      <c r="A4742" t="s">
        <v>501</v>
      </c>
      <c r="B4742" t="s">
        <v>494</v>
      </c>
      <c r="C4742">
        <v>96645790</v>
      </c>
      <c r="D4742">
        <v>5392</v>
      </c>
      <c r="E4742">
        <v>30856205</v>
      </c>
      <c r="F4742" t="s">
        <v>1700</v>
      </c>
      <c r="G4742" s="1">
        <v>45236</v>
      </c>
      <c r="H4742">
        <v>5413140</v>
      </c>
      <c r="I4742">
        <v>82</v>
      </c>
      <c r="J4742" t="s">
        <v>238</v>
      </c>
      <c r="K4742" t="str">
        <f>IFERROR(IF(AND(VLOOKUP($C4742,Hes!$A:$B, 1, FALSE), $M4742&lt;&gt;" "), "Ingresada", "Falta Ingresar"), " ")</f>
        <v xml:space="preserve"> </v>
      </c>
      <c r="L4742" s="4" t="str">
        <f>IFERROR(VLOOKUP($C4742,Observaciones!$A:$B,2,FALSE)," ")</f>
        <v xml:space="preserve"> </v>
      </c>
      <c r="M4742" t="s">
        <v>681</v>
      </c>
      <c r="O4742" s="5">
        <v>30856205</v>
      </c>
      <c r="P4742" s="5">
        <v>235199</v>
      </c>
      <c r="Q4742" s="5">
        <v>44688</v>
      </c>
      <c r="R4742" s="5">
        <v>279887</v>
      </c>
    </row>
    <row r="4743" spans="1:18" x14ac:dyDescent="0.25">
      <c r="A4743" t="s">
        <v>501</v>
      </c>
      <c r="B4743" t="s">
        <v>494</v>
      </c>
      <c r="C4743">
        <v>96645790</v>
      </c>
      <c r="D4743">
        <v>5392</v>
      </c>
      <c r="E4743">
        <v>30856205</v>
      </c>
      <c r="F4743" t="s">
        <v>1700</v>
      </c>
      <c r="G4743" s="1">
        <v>45236</v>
      </c>
      <c r="H4743">
        <v>5413141</v>
      </c>
      <c r="I4743">
        <v>82</v>
      </c>
      <c r="J4743" t="s">
        <v>238</v>
      </c>
      <c r="K4743" t="str">
        <f>IFERROR(IF(AND(VLOOKUP($C4743,Hes!$A:$B, 1, FALSE), $M4743&lt;&gt;" "), "Ingresada", "Falta Ingresar"), " ")</f>
        <v xml:space="preserve"> </v>
      </c>
      <c r="L4743" s="4" t="str">
        <f>IFERROR(VLOOKUP($C4743,Observaciones!$A:$B,2,FALSE)," ")</f>
        <v xml:space="preserve"> </v>
      </c>
      <c r="M4743" t="s">
        <v>681</v>
      </c>
      <c r="O4743" s="5">
        <v>30856205</v>
      </c>
      <c r="P4743" s="5">
        <v>26200</v>
      </c>
      <c r="Q4743" s="5">
        <v>4978</v>
      </c>
      <c r="R4743" s="5">
        <v>31178</v>
      </c>
    </row>
    <row r="4744" spans="1:18" x14ac:dyDescent="0.25">
      <c r="A4744" t="s">
        <v>501</v>
      </c>
      <c r="B4744" t="s">
        <v>494</v>
      </c>
      <c r="C4744">
        <v>96645790</v>
      </c>
      <c r="D4744">
        <v>5998</v>
      </c>
      <c r="E4744">
        <v>30850126</v>
      </c>
      <c r="F4744" t="s">
        <v>1700</v>
      </c>
      <c r="G4744" s="1">
        <v>45236</v>
      </c>
      <c r="H4744">
        <v>5413166</v>
      </c>
      <c r="I4744">
        <v>82</v>
      </c>
      <c r="J4744" t="s">
        <v>238</v>
      </c>
      <c r="K4744" t="str">
        <f>IFERROR(IF(AND(VLOOKUP($C4744,Hes!$A:$B, 1, FALSE), $M4744&lt;&gt;" "), "Ingresada", "Falta Ingresar"), " ")</f>
        <v xml:space="preserve"> </v>
      </c>
      <c r="L4744" s="4" t="str">
        <f>IFERROR(VLOOKUP($C4744,Observaciones!$A:$B,2,FALSE)," ")</f>
        <v xml:space="preserve"> </v>
      </c>
      <c r="M4744" t="s">
        <v>681</v>
      </c>
      <c r="O4744" s="5">
        <v>30850126</v>
      </c>
      <c r="P4744" s="5">
        <v>127661</v>
      </c>
      <c r="Q4744" s="5">
        <v>24256</v>
      </c>
      <c r="R4744" s="5">
        <v>151917</v>
      </c>
    </row>
    <row r="4745" spans="1:18" x14ac:dyDescent="0.25">
      <c r="A4745" t="s">
        <v>501</v>
      </c>
      <c r="B4745" t="s">
        <v>494</v>
      </c>
      <c r="C4745">
        <v>96645790</v>
      </c>
      <c r="D4745">
        <v>116</v>
      </c>
      <c r="E4745">
        <v>30853640</v>
      </c>
      <c r="F4745" t="s">
        <v>1700</v>
      </c>
      <c r="G4745" s="1">
        <v>45236</v>
      </c>
      <c r="H4745">
        <v>5413492</v>
      </c>
      <c r="I4745">
        <v>82</v>
      </c>
      <c r="J4745" t="s">
        <v>238</v>
      </c>
      <c r="K4745" t="str">
        <f>IFERROR(IF(AND(VLOOKUP($C4745,Hes!$A:$B, 1, FALSE), $M4745&lt;&gt;" "), "Ingresada", "Falta Ingresar"), " ")</f>
        <v xml:space="preserve"> </v>
      </c>
      <c r="L4745" s="4" t="str">
        <f>IFERROR(VLOOKUP($C4745,Observaciones!$A:$B,2,FALSE)," ")</f>
        <v xml:space="preserve"> </v>
      </c>
      <c r="M4745" t="s">
        <v>681</v>
      </c>
      <c r="O4745" s="5">
        <v>30853640</v>
      </c>
      <c r="P4745" s="5">
        <v>62206</v>
      </c>
      <c r="Q4745" s="5">
        <v>11819</v>
      </c>
      <c r="R4745" s="5">
        <v>74025</v>
      </c>
    </row>
    <row r="4746" spans="1:18" x14ac:dyDescent="0.25">
      <c r="A4746" t="s">
        <v>501</v>
      </c>
      <c r="B4746" t="s">
        <v>494</v>
      </c>
      <c r="C4746">
        <v>96645790</v>
      </c>
      <c r="D4746">
        <v>7010</v>
      </c>
      <c r="E4746">
        <v>30860234</v>
      </c>
      <c r="F4746" t="s">
        <v>1700</v>
      </c>
      <c r="G4746" s="1">
        <v>45237</v>
      </c>
      <c r="H4746">
        <v>5414247</v>
      </c>
      <c r="I4746">
        <v>82</v>
      </c>
      <c r="J4746" t="s">
        <v>238</v>
      </c>
      <c r="K4746" t="str">
        <f>IFERROR(IF(AND(VLOOKUP($C4746,Hes!$A:$B, 1, FALSE), $M4746&lt;&gt;" "), "Ingresada", "Falta Ingresar"), " ")</f>
        <v xml:space="preserve"> </v>
      </c>
      <c r="L4746" s="4" t="str">
        <f>IFERROR(VLOOKUP($C4746,Observaciones!$A:$B,2,FALSE)," ")</f>
        <v xml:space="preserve"> </v>
      </c>
      <c r="M4746" t="s">
        <v>681</v>
      </c>
      <c r="O4746" s="5">
        <v>30860234</v>
      </c>
      <c r="P4746" s="5">
        <v>20932</v>
      </c>
      <c r="Q4746" s="5">
        <v>3977</v>
      </c>
      <c r="R4746" s="5">
        <v>24909</v>
      </c>
    </row>
    <row r="4747" spans="1:18" x14ac:dyDescent="0.25">
      <c r="A4747" t="s">
        <v>501</v>
      </c>
      <c r="B4747" t="s">
        <v>494</v>
      </c>
      <c r="C4747">
        <v>96645790</v>
      </c>
      <c r="D4747">
        <v>7004</v>
      </c>
      <c r="E4747">
        <v>30860449</v>
      </c>
      <c r="F4747" t="s">
        <v>1700</v>
      </c>
      <c r="G4747" s="1">
        <v>45237</v>
      </c>
      <c r="H4747">
        <v>5414358</v>
      </c>
      <c r="I4747">
        <v>82</v>
      </c>
      <c r="J4747" t="s">
        <v>238</v>
      </c>
      <c r="K4747" t="str">
        <f>IFERROR(IF(AND(VLOOKUP($C4747,Hes!$A:$B, 1, FALSE), $M4747&lt;&gt;" "), "Ingresada", "Falta Ingresar"), " ")</f>
        <v xml:space="preserve"> </v>
      </c>
      <c r="L4747" s="4" t="str">
        <f>IFERROR(VLOOKUP($C4747,Observaciones!$A:$B,2,FALSE)," ")</f>
        <v xml:space="preserve"> </v>
      </c>
      <c r="M4747" t="s">
        <v>681</v>
      </c>
      <c r="O4747" s="5">
        <v>30860449</v>
      </c>
      <c r="P4747" s="5">
        <v>21125</v>
      </c>
      <c r="Q4747" s="5">
        <v>4014</v>
      </c>
      <c r="R4747" s="5">
        <v>25139</v>
      </c>
    </row>
    <row r="4748" spans="1:18" x14ac:dyDescent="0.25">
      <c r="A4748" t="s">
        <v>501</v>
      </c>
      <c r="B4748" t="s">
        <v>494</v>
      </c>
      <c r="C4748">
        <v>96645790</v>
      </c>
      <c r="D4748">
        <v>43</v>
      </c>
      <c r="E4748">
        <v>30856923</v>
      </c>
      <c r="F4748" t="s">
        <v>1700</v>
      </c>
      <c r="G4748" s="1">
        <v>45238</v>
      </c>
      <c r="H4748">
        <v>5414705</v>
      </c>
      <c r="I4748">
        <v>82</v>
      </c>
      <c r="J4748" t="s">
        <v>238</v>
      </c>
      <c r="K4748" t="str">
        <f>IFERROR(IF(AND(VLOOKUP($C4748,Hes!$A:$B, 1, FALSE), $M4748&lt;&gt;" "), "Ingresada", "Falta Ingresar"), " ")</f>
        <v xml:space="preserve"> </v>
      </c>
      <c r="L4748" s="4" t="str">
        <f>IFERROR(VLOOKUP($C4748,Observaciones!$A:$B,2,FALSE)," ")</f>
        <v xml:space="preserve"> </v>
      </c>
      <c r="M4748" t="s">
        <v>681</v>
      </c>
      <c r="O4748" s="5">
        <v>30856923</v>
      </c>
      <c r="P4748" s="5">
        <v>191840</v>
      </c>
      <c r="Q4748" s="5">
        <v>36450</v>
      </c>
      <c r="R4748" s="5">
        <v>228290</v>
      </c>
    </row>
    <row r="4749" spans="1:18" x14ac:dyDescent="0.25">
      <c r="A4749" t="s">
        <v>501</v>
      </c>
      <c r="B4749" t="s">
        <v>494</v>
      </c>
      <c r="C4749">
        <v>96645790</v>
      </c>
      <c r="D4749">
        <v>50</v>
      </c>
      <c r="E4749">
        <v>30860766</v>
      </c>
      <c r="F4749" t="s">
        <v>1700</v>
      </c>
      <c r="G4749" s="1">
        <v>45237</v>
      </c>
      <c r="H4749">
        <v>5414744</v>
      </c>
      <c r="I4749">
        <v>82</v>
      </c>
      <c r="J4749" t="s">
        <v>238</v>
      </c>
      <c r="K4749" t="str">
        <f>IFERROR(IF(AND(VLOOKUP($C4749,Hes!$A:$B, 1, FALSE), $M4749&lt;&gt;" "), "Ingresada", "Falta Ingresar"), " ")</f>
        <v xml:space="preserve"> </v>
      </c>
      <c r="L4749" s="4" t="str">
        <f>IFERROR(VLOOKUP($C4749,Observaciones!$A:$B,2,FALSE)," ")</f>
        <v xml:space="preserve"> </v>
      </c>
      <c r="M4749" t="s">
        <v>681</v>
      </c>
      <c r="O4749" s="5">
        <v>30860766</v>
      </c>
      <c r="P4749" s="5">
        <v>203580</v>
      </c>
      <c r="Q4749" s="5">
        <v>38680</v>
      </c>
      <c r="R4749" s="5">
        <v>242260</v>
      </c>
    </row>
    <row r="4750" spans="1:18" x14ac:dyDescent="0.25">
      <c r="A4750" t="s">
        <v>501</v>
      </c>
      <c r="B4750" t="s">
        <v>494</v>
      </c>
      <c r="C4750">
        <v>96645790</v>
      </c>
      <c r="D4750">
        <v>17</v>
      </c>
      <c r="E4750">
        <v>30864416</v>
      </c>
      <c r="F4750" t="s">
        <v>1700</v>
      </c>
      <c r="G4750" s="1">
        <v>45238</v>
      </c>
      <c r="H4750">
        <v>5415369</v>
      </c>
      <c r="I4750">
        <v>82</v>
      </c>
      <c r="J4750" t="s">
        <v>238</v>
      </c>
      <c r="K4750" t="str">
        <f>IFERROR(IF(AND(VLOOKUP($C4750,Hes!$A:$B, 1, FALSE), $M4750&lt;&gt;" "), "Ingresada", "Falta Ingresar"), " ")</f>
        <v xml:space="preserve"> </v>
      </c>
      <c r="L4750" s="4" t="str">
        <f>IFERROR(VLOOKUP($C4750,Observaciones!$A:$B,2,FALSE)," ")</f>
        <v xml:space="preserve"> </v>
      </c>
      <c r="M4750" t="s">
        <v>681</v>
      </c>
      <c r="O4750" s="5">
        <v>30864416</v>
      </c>
      <c r="P4750" s="5">
        <v>93928</v>
      </c>
      <c r="Q4750" s="5">
        <v>17846</v>
      </c>
      <c r="R4750" s="5">
        <v>111774</v>
      </c>
    </row>
    <row r="4751" spans="1:18" x14ac:dyDescent="0.25">
      <c r="F4751" t="s">
        <v>510</v>
      </c>
      <c r="K4751" t="str">
        <f>IFERROR(IF(AND(VLOOKUP($C4751,Hes!$A:$B, 1, FALSE), $M4751&lt;&gt;" "), "Ingresada", "Falta Ingresar"), " ")</f>
        <v xml:space="preserve"> </v>
      </c>
      <c r="L4751" s="4" t="str">
        <f>IFERROR(VLOOKUP($C4751,Observaciones!$A:$B,2,FALSE)," ")</f>
        <v xml:space="preserve"> </v>
      </c>
      <c r="M4751" t="s">
        <v>681</v>
      </c>
      <c r="P4751" s="5">
        <v>2031823</v>
      </c>
      <c r="Q4751" s="5">
        <v>386047</v>
      </c>
      <c r="R4751" s="5">
        <v>2417870</v>
      </c>
    </row>
    <row r="4752" spans="1:18" x14ac:dyDescent="0.25">
      <c r="A4752" t="s">
        <v>496</v>
      </c>
      <c r="B4752" t="s">
        <v>494</v>
      </c>
      <c r="C4752">
        <v>96655870</v>
      </c>
      <c r="D4752">
        <v>0</v>
      </c>
      <c r="E4752">
        <v>919</v>
      </c>
      <c r="F4752" t="s">
        <v>1701</v>
      </c>
      <c r="G4752" s="1">
        <v>45236</v>
      </c>
      <c r="H4752">
        <v>5413730</v>
      </c>
      <c r="I4752">
        <v>364</v>
      </c>
      <c r="J4752" t="s">
        <v>194</v>
      </c>
      <c r="K4752" t="str">
        <f>IFERROR(IF(AND(VLOOKUP($C4752,Hes!$A:$B, 1, FALSE), $M4752&lt;&gt;" "), "Ingresada", "Falta Ingresar"), " ")</f>
        <v xml:space="preserve"> </v>
      </c>
      <c r="L4752" s="4" t="s">
        <v>681</v>
      </c>
      <c r="M4752" t="s">
        <v>681</v>
      </c>
      <c r="O4752" s="5">
        <v>30833975</v>
      </c>
      <c r="P4752" s="5">
        <v>90131</v>
      </c>
      <c r="Q4752" s="5">
        <v>17125</v>
      </c>
      <c r="R4752" s="5">
        <v>107256</v>
      </c>
    </row>
    <row r="4753" spans="1:18" x14ac:dyDescent="0.25">
      <c r="A4753" t="s">
        <v>496</v>
      </c>
      <c r="B4753" t="s">
        <v>494</v>
      </c>
      <c r="C4753">
        <v>96655870</v>
      </c>
      <c r="D4753">
        <v>0</v>
      </c>
      <c r="E4753">
        <v>921</v>
      </c>
      <c r="F4753" t="s">
        <v>1701</v>
      </c>
      <c r="G4753" s="1">
        <v>45237</v>
      </c>
      <c r="H4753">
        <v>5414160</v>
      </c>
      <c r="I4753">
        <v>364</v>
      </c>
      <c r="J4753" t="s">
        <v>194</v>
      </c>
      <c r="K4753" t="str">
        <f>IFERROR(IF(AND(VLOOKUP($C4753,Hes!$A:$B, 1, FALSE), $M4753&lt;&gt;" "), "Ingresada", "Falta Ingresar"), " ")</f>
        <v xml:space="preserve"> </v>
      </c>
      <c r="L4753" s="4" t="s">
        <v>681</v>
      </c>
      <c r="M4753" t="s">
        <v>681</v>
      </c>
      <c r="O4753" s="5">
        <v>30856333</v>
      </c>
      <c r="P4753" s="5">
        <v>61756</v>
      </c>
      <c r="Q4753" s="5">
        <v>11734</v>
      </c>
      <c r="R4753" s="5">
        <v>73490</v>
      </c>
    </row>
    <row r="4754" spans="1:18" x14ac:dyDescent="0.25">
      <c r="A4754" t="s">
        <v>496</v>
      </c>
      <c r="B4754" t="s">
        <v>494</v>
      </c>
      <c r="C4754">
        <v>96655870</v>
      </c>
      <c r="D4754">
        <v>0</v>
      </c>
      <c r="E4754">
        <v>919</v>
      </c>
      <c r="F4754" t="s">
        <v>1701</v>
      </c>
      <c r="G4754" s="1">
        <v>45237</v>
      </c>
      <c r="H4754">
        <v>5414404</v>
      </c>
      <c r="I4754">
        <v>364</v>
      </c>
      <c r="J4754" t="s">
        <v>194</v>
      </c>
      <c r="K4754" t="str">
        <f>IFERROR(IF(AND(VLOOKUP($C4754,Hes!$A:$B, 1, FALSE), $M4754&lt;&gt;" "), "Ingresada", "Falta Ingresar"), " ")</f>
        <v xml:space="preserve"> </v>
      </c>
      <c r="L4754" s="4" t="s">
        <v>681</v>
      </c>
      <c r="M4754" t="s">
        <v>681</v>
      </c>
      <c r="O4754" s="5">
        <v>30861104</v>
      </c>
      <c r="P4754" s="5">
        <v>27300</v>
      </c>
      <c r="Q4754" s="5">
        <v>5187</v>
      </c>
      <c r="R4754" s="5">
        <v>35217</v>
      </c>
    </row>
    <row r="4755" spans="1:18" x14ac:dyDescent="0.25">
      <c r="F4755" t="s">
        <v>500</v>
      </c>
      <c r="K4755" t="str">
        <f>IFERROR(IF(AND(VLOOKUP($C4755,Hes!$A:$B, 1, FALSE), $M4755&lt;&gt;" "), "Ingresada", "Falta Ingresar"), " ")</f>
        <v xml:space="preserve"> </v>
      </c>
      <c r="L4755" s="4" t="str">
        <f>IFERROR(VLOOKUP($C4755,Observaciones!$A:$B,2,FALSE)," ")</f>
        <v xml:space="preserve"> </v>
      </c>
      <c r="M4755" t="s">
        <v>681</v>
      </c>
      <c r="P4755" s="5">
        <v>179187</v>
      </c>
      <c r="Q4755" s="5">
        <v>34046</v>
      </c>
      <c r="R4755" s="5">
        <v>215963</v>
      </c>
    </row>
    <row r="4756" spans="1:18" x14ac:dyDescent="0.25">
      <c r="A4756" t="s">
        <v>1702</v>
      </c>
      <c r="B4756" t="s">
        <v>494</v>
      </c>
      <c r="C4756">
        <v>96656660</v>
      </c>
      <c r="D4756">
        <v>9504</v>
      </c>
      <c r="E4756" t="s">
        <v>1703</v>
      </c>
      <c r="F4756" t="s">
        <v>1704</v>
      </c>
      <c r="G4756" s="1">
        <v>45238</v>
      </c>
      <c r="H4756">
        <v>5415415</v>
      </c>
      <c r="I4756">
        <v>37</v>
      </c>
      <c r="J4756" t="s">
        <v>156</v>
      </c>
      <c r="K4756" s="8" t="str">
        <f>IFERROR(IF(AND(VLOOKUP($C4756,Hes!$A:$B, 1, FALSE), $M4756&lt;&gt;" "), "Ingresada", "Falta Ingresar"), " ")</f>
        <v>Falta Ingresar</v>
      </c>
      <c r="L4756" s="4" t="str">
        <f>IFERROR(VLOOKUP($C4756,Observaciones!$A:$B,2,FALSE)," ")</f>
        <v xml:space="preserve"> </v>
      </c>
      <c r="M4756" t="s">
        <v>681</v>
      </c>
      <c r="N4756" s="5" t="s">
        <v>841</v>
      </c>
      <c r="O4756" s="5">
        <v>30860638</v>
      </c>
      <c r="P4756" s="5">
        <v>39273</v>
      </c>
      <c r="Q4756" s="5">
        <v>7462</v>
      </c>
      <c r="R4756" s="5">
        <v>46735</v>
      </c>
    </row>
    <row r="4757" spans="1:18" x14ac:dyDescent="0.25">
      <c r="F4757" t="s">
        <v>495</v>
      </c>
      <c r="K4757" t="str">
        <f>IFERROR(IF(AND(VLOOKUP($C4757,Hes!$A:$B, 1, FALSE), $M4757&lt;&gt;" "), "Ingresada", "Falta Ingresar"), " ")</f>
        <v xml:space="preserve"> </v>
      </c>
      <c r="L4757" s="4" t="str">
        <f>IFERROR(VLOOKUP($C4757,Observaciones!$A:$B,2,FALSE)," ")</f>
        <v xml:space="preserve"> </v>
      </c>
      <c r="M4757" t="s">
        <v>681</v>
      </c>
      <c r="P4757" s="5">
        <v>39273</v>
      </c>
      <c r="Q4757" s="5">
        <v>7462</v>
      </c>
      <c r="R4757" s="5">
        <v>46735</v>
      </c>
    </row>
    <row r="4758" spans="1:18" x14ac:dyDescent="0.25">
      <c r="A4758" t="s">
        <v>496</v>
      </c>
      <c r="B4758" t="s">
        <v>494</v>
      </c>
      <c r="C4758">
        <v>96663470</v>
      </c>
      <c r="D4758">
        <v>30</v>
      </c>
      <c r="E4758">
        <v>23016654</v>
      </c>
      <c r="F4758" t="s">
        <v>1705</v>
      </c>
      <c r="G4758" s="1">
        <v>45232</v>
      </c>
      <c r="H4758">
        <v>5411113</v>
      </c>
      <c r="I4758">
        <v>181</v>
      </c>
      <c r="J4758" t="s">
        <v>206</v>
      </c>
      <c r="K4758" t="str">
        <f>IFERROR(IF(AND(VLOOKUP($C4758,Hes!$A:$B, 1, FALSE), $M4758&lt;&gt;" "), "Ingresada", "Falta Ingresar"), " ")</f>
        <v xml:space="preserve"> </v>
      </c>
      <c r="L4758" s="4" t="str">
        <f>IFERROR(VLOOKUP($C4758,Observaciones!$A:$B,2,FALSE)," ")</f>
        <v>XOC Y CC</v>
      </c>
      <c r="M4758" t="s">
        <v>681</v>
      </c>
      <c r="O4758" s="5">
        <v>30844296</v>
      </c>
      <c r="P4758" s="5">
        <v>16590</v>
      </c>
      <c r="Q4758" s="5">
        <v>3152</v>
      </c>
      <c r="R4758" s="5">
        <v>19742</v>
      </c>
    </row>
    <row r="4759" spans="1:18" x14ac:dyDescent="0.25">
      <c r="F4759" t="s">
        <v>495</v>
      </c>
      <c r="K4759" t="str">
        <f>IFERROR(IF(AND(VLOOKUP($C4759,Hes!$A:$B, 1, FALSE), $M4759&lt;&gt;" "), "Ingresada", "Falta Ingresar"), " ")</f>
        <v xml:space="preserve"> </v>
      </c>
      <c r="L4759" s="4" t="str">
        <f>IFERROR(VLOOKUP($C4759,Observaciones!$A:$B,2,FALSE)," ")</f>
        <v xml:space="preserve"> </v>
      </c>
      <c r="M4759" t="s">
        <v>681</v>
      </c>
      <c r="P4759" s="5">
        <v>16590</v>
      </c>
      <c r="Q4759" s="5">
        <v>3152</v>
      </c>
      <c r="R4759" s="5">
        <v>19742</v>
      </c>
    </row>
    <row r="4760" spans="1:18" x14ac:dyDescent="0.25">
      <c r="A4760" t="s">
        <v>501</v>
      </c>
      <c r="B4760" t="s">
        <v>494</v>
      </c>
      <c r="C4760">
        <v>96666220</v>
      </c>
      <c r="D4760">
        <v>20</v>
      </c>
      <c r="E4760">
        <v>30862223</v>
      </c>
      <c r="F4760" t="s">
        <v>1706</v>
      </c>
      <c r="G4760" s="1">
        <v>45238</v>
      </c>
      <c r="H4760">
        <v>5415428</v>
      </c>
      <c r="I4760">
        <v>394</v>
      </c>
      <c r="J4760" t="s">
        <v>224</v>
      </c>
      <c r="K4760" s="8" t="str">
        <f>IFERROR(IF(AND(VLOOKUP($C4760,Hes!$A:$B, 1, FALSE), $M4760&lt;&gt;" "), "Ingresada", "Falta Ingresar"), " ")</f>
        <v>Falta Ingresar</v>
      </c>
      <c r="L4760" s="4" t="str">
        <f>IFERROR(VLOOKUP($C4760,Observaciones!$A:$B,2,FALSE)," ")</f>
        <v>VENDEDOR DEBE ENVIAR INFORME CON OC</v>
      </c>
      <c r="M4760" t="s">
        <v>681</v>
      </c>
      <c r="N4760" s="5" t="s">
        <v>841</v>
      </c>
      <c r="O4760" s="5">
        <v>30862223</v>
      </c>
      <c r="P4760" s="5">
        <v>359200</v>
      </c>
      <c r="Q4760" s="5">
        <v>68248</v>
      </c>
      <c r="R4760" s="5">
        <v>427448</v>
      </c>
    </row>
    <row r="4761" spans="1:18" x14ac:dyDescent="0.25">
      <c r="F4761" t="s">
        <v>495</v>
      </c>
      <c r="K4761" t="str">
        <f>IFERROR(IF(AND(VLOOKUP($C4761,Hes!$A:$B, 1, FALSE), $M4761&lt;&gt;" "), "Ingresada", "Falta Ingresar"), " ")</f>
        <v xml:space="preserve"> </v>
      </c>
      <c r="L4761" s="4" t="str">
        <f>IFERROR(VLOOKUP($C4761,Observaciones!$A:$B,2,FALSE)," ")</f>
        <v xml:space="preserve"> </v>
      </c>
      <c r="M4761" t="s">
        <v>681</v>
      </c>
      <c r="P4761" s="5">
        <v>359200</v>
      </c>
      <c r="Q4761" s="5">
        <v>68248</v>
      </c>
      <c r="R4761" s="5">
        <v>427448</v>
      </c>
    </row>
    <row r="4762" spans="1:18" x14ac:dyDescent="0.25">
      <c r="A4762" t="s">
        <v>520</v>
      </c>
      <c r="B4762" t="s">
        <v>494</v>
      </c>
      <c r="C4762">
        <v>96667560</v>
      </c>
      <c r="D4762">
        <v>27</v>
      </c>
      <c r="E4762">
        <v>30853332</v>
      </c>
      <c r="F4762" t="s">
        <v>638</v>
      </c>
      <c r="G4762" s="1">
        <v>45234</v>
      </c>
      <c r="H4762">
        <v>5412205</v>
      </c>
      <c r="I4762">
        <v>81</v>
      </c>
      <c r="J4762" t="s">
        <v>144</v>
      </c>
      <c r="K4762" s="8" t="str">
        <f>IFERROR(IF(AND(VLOOKUP($C4762,Hes!$A:$B, 1, FALSE), $M4762&lt;&gt;" "), "Ingresada", "Falta Ingresar"), " ")</f>
        <v>Falta Ingresar</v>
      </c>
      <c r="L4762" s="4" t="str">
        <f>IFERROR(VLOOKUP($C4762,Observaciones!$A:$B,2,FALSE)," ")</f>
        <v xml:space="preserve"> </v>
      </c>
      <c r="M4762" t="s">
        <v>681</v>
      </c>
      <c r="N4762" s="5" t="s">
        <v>841</v>
      </c>
      <c r="O4762" s="5">
        <v>30853332</v>
      </c>
      <c r="P4762" s="5">
        <v>26508</v>
      </c>
      <c r="Q4762" s="5">
        <v>5037</v>
      </c>
      <c r="R4762" s="5">
        <v>31545</v>
      </c>
    </row>
    <row r="4763" spans="1:18" x14ac:dyDescent="0.25">
      <c r="A4763" t="s">
        <v>520</v>
      </c>
      <c r="B4763" t="s">
        <v>494</v>
      </c>
      <c r="C4763">
        <v>96667560</v>
      </c>
      <c r="D4763">
        <v>36</v>
      </c>
      <c r="E4763">
        <v>30853355</v>
      </c>
      <c r="F4763" t="s">
        <v>638</v>
      </c>
      <c r="G4763" s="1">
        <v>45236</v>
      </c>
      <c r="H4763">
        <v>5412236</v>
      </c>
      <c r="I4763">
        <v>81</v>
      </c>
      <c r="J4763" t="s">
        <v>144</v>
      </c>
      <c r="K4763" s="8" t="str">
        <f>IFERROR(IF(AND(VLOOKUP($C4763,Hes!$A:$B, 1, FALSE), $M4763&lt;&gt;" "), "Ingresada", "Falta Ingresar"), " ")</f>
        <v>Falta Ingresar</v>
      </c>
      <c r="L4763" s="4" t="str">
        <f>IFERROR(VLOOKUP($C4763,Observaciones!$A:$B,2,FALSE)," ")</f>
        <v xml:space="preserve"> </v>
      </c>
      <c r="M4763" t="s">
        <v>681</v>
      </c>
      <c r="N4763" s="5" t="s">
        <v>841</v>
      </c>
      <c r="O4763" s="5">
        <v>30853355</v>
      </c>
      <c r="P4763" s="5">
        <v>31896</v>
      </c>
      <c r="Q4763" s="5">
        <v>6060</v>
      </c>
      <c r="R4763" s="5">
        <v>37956</v>
      </c>
    </row>
    <row r="4764" spans="1:18" x14ac:dyDescent="0.25">
      <c r="A4764" t="s">
        <v>520</v>
      </c>
      <c r="B4764" t="s">
        <v>494</v>
      </c>
      <c r="C4764">
        <v>96667560</v>
      </c>
      <c r="D4764">
        <v>25</v>
      </c>
      <c r="E4764">
        <v>30853313</v>
      </c>
      <c r="F4764" t="s">
        <v>638</v>
      </c>
      <c r="G4764" s="1">
        <v>45236</v>
      </c>
      <c r="H4764">
        <v>5412357</v>
      </c>
      <c r="I4764">
        <v>81</v>
      </c>
      <c r="J4764" t="s">
        <v>144</v>
      </c>
      <c r="K4764" s="8" t="str">
        <f>IFERROR(IF(AND(VLOOKUP($C4764,Hes!$A:$B, 1, FALSE), $M4764&lt;&gt;" "), "Ingresada", "Falta Ingresar"), " ")</f>
        <v>Falta Ingresar</v>
      </c>
      <c r="L4764" s="4" t="str">
        <f>IFERROR(VLOOKUP($C4764,Observaciones!$A:$B,2,FALSE)," ")</f>
        <v xml:space="preserve"> </v>
      </c>
      <c r="M4764" t="s">
        <v>681</v>
      </c>
      <c r="N4764" s="5" t="s">
        <v>841</v>
      </c>
      <c r="O4764" s="5">
        <v>30853313</v>
      </c>
      <c r="P4764" s="5">
        <v>20564</v>
      </c>
      <c r="Q4764" s="5">
        <v>3907</v>
      </c>
      <c r="R4764" s="5">
        <v>24471</v>
      </c>
    </row>
    <row r="4765" spans="1:18" x14ac:dyDescent="0.25">
      <c r="A4765" t="s">
        <v>520</v>
      </c>
      <c r="B4765" t="s">
        <v>494</v>
      </c>
      <c r="C4765">
        <v>96667560</v>
      </c>
      <c r="D4765">
        <v>12</v>
      </c>
      <c r="E4765">
        <v>30853354</v>
      </c>
      <c r="F4765" t="s">
        <v>638</v>
      </c>
      <c r="G4765" s="1">
        <v>45236</v>
      </c>
      <c r="H4765">
        <v>5412425</v>
      </c>
      <c r="I4765">
        <v>81</v>
      </c>
      <c r="J4765" t="s">
        <v>144</v>
      </c>
      <c r="K4765" s="8" t="str">
        <f>IFERROR(IF(AND(VLOOKUP($C4765,Hes!$A:$B, 1, FALSE), $M4765&lt;&gt;" "), "Ingresada", "Falta Ingresar"), " ")</f>
        <v>Falta Ingresar</v>
      </c>
      <c r="L4765" s="4" t="str">
        <f>IFERROR(VLOOKUP($C4765,Observaciones!$A:$B,2,FALSE)," ")</f>
        <v xml:space="preserve"> </v>
      </c>
      <c r="M4765" t="s">
        <v>681</v>
      </c>
      <c r="N4765" s="5" t="s">
        <v>841</v>
      </c>
      <c r="O4765" s="5">
        <v>30853354</v>
      </c>
      <c r="P4765" s="5">
        <v>20171</v>
      </c>
      <c r="Q4765" s="5">
        <v>3832</v>
      </c>
      <c r="R4765" s="5">
        <v>24003</v>
      </c>
    </row>
    <row r="4766" spans="1:18" x14ac:dyDescent="0.25">
      <c r="A4766" t="s">
        <v>520</v>
      </c>
      <c r="B4766" t="s">
        <v>494</v>
      </c>
      <c r="C4766">
        <v>96667560</v>
      </c>
      <c r="D4766">
        <v>44</v>
      </c>
      <c r="E4766">
        <v>30854747</v>
      </c>
      <c r="F4766" t="s">
        <v>638</v>
      </c>
      <c r="G4766" s="1">
        <v>45236</v>
      </c>
      <c r="H4766">
        <v>5412697</v>
      </c>
      <c r="I4766">
        <v>81</v>
      </c>
      <c r="J4766" t="s">
        <v>144</v>
      </c>
      <c r="K4766" s="8" t="str">
        <f>IFERROR(IF(AND(VLOOKUP($C4766,Hes!$A:$B, 1, FALSE), $M4766&lt;&gt;" "), "Ingresada", "Falta Ingresar"), " ")</f>
        <v>Falta Ingresar</v>
      </c>
      <c r="L4766" s="4" t="str">
        <f>IFERROR(VLOOKUP($C4766,Observaciones!$A:$B,2,FALSE)," ")</f>
        <v xml:space="preserve"> </v>
      </c>
      <c r="M4766" t="s">
        <v>681</v>
      </c>
      <c r="N4766" s="5" t="s">
        <v>841</v>
      </c>
      <c r="O4766" s="5">
        <v>30854747</v>
      </c>
      <c r="P4766" s="5">
        <v>20436</v>
      </c>
      <c r="Q4766" s="5">
        <v>3883</v>
      </c>
      <c r="R4766" s="5">
        <v>24319</v>
      </c>
    </row>
    <row r="4767" spans="1:18" x14ac:dyDescent="0.25">
      <c r="A4767" t="s">
        <v>520</v>
      </c>
      <c r="B4767" t="s">
        <v>494</v>
      </c>
      <c r="C4767">
        <v>96667560</v>
      </c>
      <c r="D4767">
        <v>54</v>
      </c>
      <c r="E4767">
        <v>30853292</v>
      </c>
      <c r="F4767" t="s">
        <v>638</v>
      </c>
      <c r="G4767" s="1">
        <v>45236</v>
      </c>
      <c r="H4767">
        <v>5412709</v>
      </c>
      <c r="I4767">
        <v>81</v>
      </c>
      <c r="J4767" t="s">
        <v>144</v>
      </c>
      <c r="K4767" s="8" t="str">
        <f>IFERROR(IF(AND(VLOOKUP($C4767,Hes!$A:$B, 1, FALSE), $M4767&lt;&gt;" "), "Ingresada", "Falta Ingresar"), " ")</f>
        <v>Falta Ingresar</v>
      </c>
      <c r="L4767" s="4" t="str">
        <f>IFERROR(VLOOKUP($C4767,Observaciones!$A:$B,2,FALSE)," ")</f>
        <v xml:space="preserve"> </v>
      </c>
      <c r="M4767" t="s">
        <v>681</v>
      </c>
      <c r="N4767" s="5" t="s">
        <v>841</v>
      </c>
      <c r="O4767" s="5">
        <v>30853292</v>
      </c>
      <c r="P4767" s="5">
        <v>66928</v>
      </c>
      <c r="Q4767" s="5">
        <v>12716</v>
      </c>
      <c r="R4767" s="5">
        <v>79644</v>
      </c>
    </row>
    <row r="4768" spans="1:18" x14ac:dyDescent="0.25">
      <c r="A4768" t="s">
        <v>520</v>
      </c>
      <c r="B4768" t="s">
        <v>494</v>
      </c>
      <c r="C4768">
        <v>96667560</v>
      </c>
      <c r="D4768">
        <v>21</v>
      </c>
      <c r="E4768">
        <v>30853321</v>
      </c>
      <c r="F4768" t="s">
        <v>638</v>
      </c>
      <c r="G4768" s="1">
        <v>45236</v>
      </c>
      <c r="H4768">
        <v>5412710</v>
      </c>
      <c r="I4768">
        <v>81</v>
      </c>
      <c r="J4768" t="s">
        <v>144</v>
      </c>
      <c r="K4768" s="8" t="str">
        <f>IFERROR(IF(AND(VLOOKUP($C4768,Hes!$A:$B, 1, FALSE), $M4768&lt;&gt;" "), "Ingresada", "Falta Ingresar"), " ")</f>
        <v>Falta Ingresar</v>
      </c>
      <c r="L4768" s="4" t="str">
        <f>IFERROR(VLOOKUP($C4768,Observaciones!$A:$B,2,FALSE)," ")</f>
        <v xml:space="preserve"> </v>
      </c>
      <c r="M4768" t="s">
        <v>681</v>
      </c>
      <c r="N4768" s="5" t="s">
        <v>841</v>
      </c>
      <c r="O4768" s="5">
        <v>30853321</v>
      </c>
      <c r="P4768" s="5">
        <v>28610</v>
      </c>
      <c r="Q4768" s="5">
        <v>5436</v>
      </c>
      <c r="R4768" s="5">
        <v>34046</v>
      </c>
    </row>
    <row r="4769" spans="1:18" x14ac:dyDescent="0.25">
      <c r="A4769" t="s">
        <v>520</v>
      </c>
      <c r="B4769" t="s">
        <v>494</v>
      </c>
      <c r="C4769">
        <v>96667560</v>
      </c>
      <c r="D4769">
        <v>13</v>
      </c>
      <c r="E4769">
        <v>30855084</v>
      </c>
      <c r="F4769" t="s">
        <v>638</v>
      </c>
      <c r="G4769" s="1">
        <v>45234</v>
      </c>
      <c r="H4769">
        <v>5412751</v>
      </c>
      <c r="I4769">
        <v>81</v>
      </c>
      <c r="J4769" t="s">
        <v>144</v>
      </c>
      <c r="K4769" s="8" t="str">
        <f>IFERROR(IF(AND(VLOOKUP($C4769,Hes!$A:$B, 1, FALSE), $M4769&lt;&gt;" "), "Ingresada", "Falta Ingresar"), " ")</f>
        <v>Falta Ingresar</v>
      </c>
      <c r="L4769" s="4" t="str">
        <f>IFERROR(VLOOKUP($C4769,Observaciones!$A:$B,2,FALSE)," ")</f>
        <v xml:space="preserve"> </v>
      </c>
      <c r="M4769" t="s">
        <v>681</v>
      </c>
      <c r="N4769" s="5" t="s">
        <v>841</v>
      </c>
      <c r="O4769" s="5">
        <v>30855084</v>
      </c>
      <c r="P4769" s="5">
        <v>29975</v>
      </c>
      <c r="Q4769" s="5">
        <v>5695</v>
      </c>
      <c r="R4769" s="5">
        <v>35670</v>
      </c>
    </row>
    <row r="4770" spans="1:18" x14ac:dyDescent="0.25">
      <c r="A4770" t="s">
        <v>520</v>
      </c>
      <c r="B4770" t="s">
        <v>494</v>
      </c>
      <c r="C4770">
        <v>96667560</v>
      </c>
      <c r="D4770">
        <v>16</v>
      </c>
      <c r="E4770">
        <v>30855005</v>
      </c>
      <c r="F4770" t="s">
        <v>638</v>
      </c>
      <c r="G4770" s="1">
        <v>45236</v>
      </c>
      <c r="H4770">
        <v>5412774</v>
      </c>
      <c r="I4770">
        <v>81</v>
      </c>
      <c r="J4770" t="s">
        <v>144</v>
      </c>
      <c r="K4770" s="8" t="str">
        <f>IFERROR(IF(AND(VLOOKUP($C4770,Hes!$A:$B, 1, FALSE), $M4770&lt;&gt;" "), "Ingresada", "Falta Ingresar"), " ")</f>
        <v>Falta Ingresar</v>
      </c>
      <c r="L4770" s="4" t="str">
        <f>IFERROR(VLOOKUP($C4770,Observaciones!$A:$B,2,FALSE)," ")</f>
        <v xml:space="preserve"> </v>
      </c>
      <c r="M4770" t="s">
        <v>681</v>
      </c>
      <c r="N4770" s="5" t="s">
        <v>841</v>
      </c>
      <c r="O4770" s="5">
        <v>30855005</v>
      </c>
      <c r="P4770" s="5">
        <v>20386</v>
      </c>
      <c r="Q4770" s="5">
        <v>3873</v>
      </c>
      <c r="R4770" s="5">
        <v>24259</v>
      </c>
    </row>
    <row r="4771" spans="1:18" x14ac:dyDescent="0.25">
      <c r="A4771" t="s">
        <v>520</v>
      </c>
      <c r="B4771" t="s">
        <v>494</v>
      </c>
      <c r="C4771">
        <v>96667560</v>
      </c>
      <c r="D4771">
        <v>6</v>
      </c>
      <c r="E4771">
        <v>30853255</v>
      </c>
      <c r="F4771" t="s">
        <v>638</v>
      </c>
      <c r="G4771" s="1">
        <v>45236</v>
      </c>
      <c r="H4771">
        <v>5412787</v>
      </c>
      <c r="I4771">
        <v>81</v>
      </c>
      <c r="J4771" t="s">
        <v>144</v>
      </c>
      <c r="K4771" s="8" t="str">
        <f>IFERROR(IF(AND(VLOOKUP($C4771,Hes!$A:$B, 1, FALSE), $M4771&lt;&gt;" "), "Ingresada", "Falta Ingresar"), " ")</f>
        <v>Falta Ingresar</v>
      </c>
      <c r="L4771" s="4" t="str">
        <f>IFERROR(VLOOKUP($C4771,Observaciones!$A:$B,2,FALSE)," ")</f>
        <v xml:space="preserve"> </v>
      </c>
      <c r="M4771" t="s">
        <v>681</v>
      </c>
      <c r="N4771" s="5" t="s">
        <v>841</v>
      </c>
      <c r="O4771" s="5">
        <v>30853255</v>
      </c>
      <c r="P4771" s="5">
        <v>165393</v>
      </c>
      <c r="Q4771" s="5">
        <v>31425</v>
      </c>
      <c r="R4771" s="5">
        <v>196818</v>
      </c>
    </row>
    <row r="4772" spans="1:18" x14ac:dyDescent="0.25">
      <c r="A4772" t="s">
        <v>520</v>
      </c>
      <c r="B4772" t="s">
        <v>494</v>
      </c>
      <c r="C4772">
        <v>96667560</v>
      </c>
      <c r="D4772">
        <v>17</v>
      </c>
      <c r="E4772">
        <v>30854610</v>
      </c>
      <c r="F4772" t="s">
        <v>638</v>
      </c>
      <c r="G4772" s="1">
        <v>45236</v>
      </c>
      <c r="H4772">
        <v>5412906</v>
      </c>
      <c r="I4772">
        <v>81</v>
      </c>
      <c r="J4772" t="s">
        <v>144</v>
      </c>
      <c r="K4772" s="8" t="str">
        <f>IFERROR(IF(AND(VLOOKUP($C4772,Hes!$A:$B, 1, FALSE), $M4772&lt;&gt;" "), "Ingresada", "Falta Ingresar"), " ")</f>
        <v>Falta Ingresar</v>
      </c>
      <c r="L4772" s="4" t="str">
        <f>IFERROR(VLOOKUP($C4772,Observaciones!$A:$B,2,FALSE)," ")</f>
        <v xml:space="preserve"> </v>
      </c>
      <c r="M4772" t="s">
        <v>681</v>
      </c>
      <c r="N4772" s="5" t="s">
        <v>841</v>
      </c>
      <c r="O4772" s="5">
        <v>30854610</v>
      </c>
      <c r="P4772" s="5">
        <v>39204</v>
      </c>
      <c r="Q4772" s="5">
        <v>7449</v>
      </c>
      <c r="R4772" s="5">
        <v>46653</v>
      </c>
    </row>
    <row r="4773" spans="1:18" x14ac:dyDescent="0.25">
      <c r="A4773" t="s">
        <v>520</v>
      </c>
      <c r="B4773" t="s">
        <v>494</v>
      </c>
      <c r="C4773">
        <v>96667560</v>
      </c>
      <c r="D4773">
        <v>37</v>
      </c>
      <c r="E4773">
        <v>30855067</v>
      </c>
      <c r="F4773" t="s">
        <v>638</v>
      </c>
      <c r="G4773" s="1">
        <v>45236</v>
      </c>
      <c r="H4773">
        <v>5412922</v>
      </c>
      <c r="I4773">
        <v>81</v>
      </c>
      <c r="J4773" t="s">
        <v>144</v>
      </c>
      <c r="K4773" s="8" t="str">
        <f>IFERROR(IF(AND(VLOOKUP($C4773,Hes!$A:$B, 1, FALSE), $M4773&lt;&gt;" "), "Ingresada", "Falta Ingresar"), " ")</f>
        <v>Falta Ingresar</v>
      </c>
      <c r="L4773" s="4" t="str">
        <f>IFERROR(VLOOKUP($C4773,Observaciones!$A:$B,2,FALSE)," ")</f>
        <v xml:space="preserve"> </v>
      </c>
      <c r="M4773" t="s">
        <v>681</v>
      </c>
      <c r="N4773" s="5" t="s">
        <v>841</v>
      </c>
      <c r="O4773" s="5">
        <v>30855067</v>
      </c>
      <c r="P4773" s="5">
        <v>34571</v>
      </c>
      <c r="Q4773" s="5">
        <v>6568</v>
      </c>
      <c r="R4773" s="5">
        <v>41139</v>
      </c>
    </row>
    <row r="4774" spans="1:18" x14ac:dyDescent="0.25">
      <c r="A4774" t="s">
        <v>520</v>
      </c>
      <c r="B4774" t="s">
        <v>494</v>
      </c>
      <c r="C4774">
        <v>96667560</v>
      </c>
      <c r="D4774">
        <v>22</v>
      </c>
      <c r="E4774">
        <v>30855043</v>
      </c>
      <c r="F4774" t="s">
        <v>638</v>
      </c>
      <c r="G4774" s="1">
        <v>45234</v>
      </c>
      <c r="H4774">
        <v>5412926</v>
      </c>
      <c r="I4774">
        <v>81</v>
      </c>
      <c r="J4774" t="s">
        <v>144</v>
      </c>
      <c r="K4774" s="8" t="str">
        <f>IFERROR(IF(AND(VLOOKUP($C4774,Hes!$A:$B, 1, FALSE), $M4774&lt;&gt;" "), "Ingresada", "Falta Ingresar"), " ")</f>
        <v>Falta Ingresar</v>
      </c>
      <c r="L4774" s="4" t="str">
        <f>IFERROR(VLOOKUP($C4774,Observaciones!$A:$B,2,FALSE)," ")</f>
        <v xml:space="preserve"> </v>
      </c>
      <c r="M4774" t="s">
        <v>681</v>
      </c>
      <c r="N4774" s="5" t="s">
        <v>841</v>
      </c>
      <c r="O4774" s="5">
        <v>30855043</v>
      </c>
      <c r="P4774" s="5">
        <v>33324</v>
      </c>
      <c r="Q4774" s="5">
        <v>6332</v>
      </c>
      <c r="R4774" s="5">
        <v>39656</v>
      </c>
    </row>
    <row r="4775" spans="1:18" x14ac:dyDescent="0.25">
      <c r="A4775" t="s">
        <v>520</v>
      </c>
      <c r="B4775" t="s">
        <v>494</v>
      </c>
      <c r="C4775">
        <v>96667560</v>
      </c>
      <c r="D4775">
        <v>3</v>
      </c>
      <c r="E4775">
        <v>30855705</v>
      </c>
      <c r="F4775" t="s">
        <v>638</v>
      </c>
      <c r="G4775" s="1">
        <v>45236</v>
      </c>
      <c r="H4775">
        <v>5412940</v>
      </c>
      <c r="I4775">
        <v>81</v>
      </c>
      <c r="J4775" t="s">
        <v>144</v>
      </c>
      <c r="K4775" s="8" t="str">
        <f>IFERROR(IF(AND(VLOOKUP($C4775,Hes!$A:$B, 1, FALSE), $M4775&lt;&gt;" "), "Ingresada", "Falta Ingresar"), " ")</f>
        <v>Falta Ingresar</v>
      </c>
      <c r="L4775" s="4" t="str">
        <f>IFERROR(VLOOKUP($C4775,Observaciones!$A:$B,2,FALSE)," ")</f>
        <v xml:space="preserve"> </v>
      </c>
      <c r="M4775" t="s">
        <v>681</v>
      </c>
      <c r="N4775" s="5" t="s">
        <v>841</v>
      </c>
      <c r="O4775" s="5">
        <v>30855705</v>
      </c>
      <c r="P4775" s="5">
        <v>23836</v>
      </c>
      <c r="Q4775" s="5">
        <v>4529</v>
      </c>
      <c r="R4775" s="5">
        <v>28365</v>
      </c>
    </row>
    <row r="4776" spans="1:18" x14ac:dyDescent="0.25">
      <c r="A4776" t="s">
        <v>520</v>
      </c>
      <c r="B4776" t="s">
        <v>494</v>
      </c>
      <c r="C4776">
        <v>96667560</v>
      </c>
      <c r="D4776">
        <v>41</v>
      </c>
      <c r="E4776">
        <v>30853259</v>
      </c>
      <c r="F4776" t="s">
        <v>638</v>
      </c>
      <c r="G4776" s="1">
        <v>45236</v>
      </c>
      <c r="H4776">
        <v>5413121</v>
      </c>
      <c r="I4776">
        <v>81</v>
      </c>
      <c r="J4776" t="s">
        <v>144</v>
      </c>
      <c r="K4776" s="8" t="str">
        <f>IFERROR(IF(AND(VLOOKUP($C4776,Hes!$A:$B, 1, FALSE), $M4776&lt;&gt;" "), "Ingresada", "Falta Ingresar"), " ")</f>
        <v>Falta Ingresar</v>
      </c>
      <c r="L4776" s="4" t="str">
        <f>IFERROR(VLOOKUP($C4776,Observaciones!$A:$B,2,FALSE)," ")</f>
        <v xml:space="preserve"> </v>
      </c>
      <c r="M4776" t="s">
        <v>681</v>
      </c>
      <c r="N4776" s="5" t="s">
        <v>841</v>
      </c>
      <c r="O4776" s="5">
        <v>30853259</v>
      </c>
      <c r="P4776" s="5">
        <v>168174</v>
      </c>
      <c r="Q4776" s="5">
        <v>31953</v>
      </c>
      <c r="R4776" s="5">
        <v>204930</v>
      </c>
    </row>
    <row r="4777" spans="1:18" x14ac:dyDescent="0.25">
      <c r="A4777" t="s">
        <v>520</v>
      </c>
      <c r="B4777" t="s">
        <v>494</v>
      </c>
      <c r="C4777">
        <v>96667560</v>
      </c>
      <c r="D4777">
        <v>47</v>
      </c>
      <c r="E4777">
        <v>30853267</v>
      </c>
      <c r="F4777" t="s">
        <v>638</v>
      </c>
      <c r="G4777" s="1">
        <v>45236</v>
      </c>
      <c r="H4777">
        <v>5413335</v>
      </c>
      <c r="I4777">
        <v>81</v>
      </c>
      <c r="J4777" t="s">
        <v>144</v>
      </c>
      <c r="K4777" s="8" t="str">
        <f>IFERROR(IF(AND(VLOOKUP($C4777,Hes!$A:$B, 1, FALSE), $M4777&lt;&gt;" "), "Ingresada", "Falta Ingresar"), " ")</f>
        <v>Falta Ingresar</v>
      </c>
      <c r="L4777" s="4" t="str">
        <f>IFERROR(VLOOKUP($C4777,Observaciones!$A:$B,2,FALSE)," ")</f>
        <v xml:space="preserve"> </v>
      </c>
      <c r="M4777" t="s">
        <v>681</v>
      </c>
      <c r="N4777" s="5" t="s">
        <v>841</v>
      </c>
      <c r="O4777" s="5">
        <v>30853267</v>
      </c>
      <c r="P4777" s="5">
        <v>160135</v>
      </c>
      <c r="Q4777" s="5">
        <v>30426</v>
      </c>
      <c r="R4777" s="5">
        <v>193995</v>
      </c>
    </row>
    <row r="4778" spans="1:18" x14ac:dyDescent="0.25">
      <c r="A4778" t="s">
        <v>520</v>
      </c>
      <c r="B4778" t="s">
        <v>494</v>
      </c>
      <c r="C4778">
        <v>96667560</v>
      </c>
      <c r="D4778">
        <v>47</v>
      </c>
      <c r="E4778">
        <v>30853267</v>
      </c>
      <c r="F4778" t="s">
        <v>638</v>
      </c>
      <c r="G4778" s="1">
        <v>45236</v>
      </c>
      <c r="H4778">
        <v>5413336</v>
      </c>
      <c r="I4778">
        <v>81</v>
      </c>
      <c r="J4778" t="s">
        <v>144</v>
      </c>
      <c r="K4778" s="8" t="str">
        <f>IFERROR(IF(AND(VLOOKUP($C4778,Hes!$A:$B, 1, FALSE), $M4778&lt;&gt;" "), "Ingresada", "Falta Ingresar"), " ")</f>
        <v>Falta Ingresar</v>
      </c>
      <c r="L4778" s="4" t="str">
        <f>IFERROR(VLOOKUP($C4778,Observaciones!$A:$B,2,FALSE)," ")</f>
        <v xml:space="preserve"> </v>
      </c>
      <c r="M4778" t="s">
        <v>681</v>
      </c>
      <c r="N4778" s="5" t="s">
        <v>841</v>
      </c>
      <c r="O4778" s="5">
        <v>30853267</v>
      </c>
      <c r="P4778" s="5">
        <v>251</v>
      </c>
      <c r="Q4778" s="5">
        <v>48</v>
      </c>
      <c r="R4778" s="5">
        <v>299</v>
      </c>
    </row>
    <row r="4779" spans="1:18" x14ac:dyDescent="0.25">
      <c r="A4779" t="s">
        <v>520</v>
      </c>
      <c r="B4779" t="s">
        <v>494</v>
      </c>
      <c r="C4779">
        <v>96667560</v>
      </c>
      <c r="D4779">
        <v>19</v>
      </c>
      <c r="E4779">
        <v>30853341</v>
      </c>
      <c r="F4779" t="s">
        <v>638</v>
      </c>
      <c r="G4779" s="1">
        <v>45236</v>
      </c>
      <c r="H4779">
        <v>5413337</v>
      </c>
      <c r="I4779">
        <v>81</v>
      </c>
      <c r="J4779" t="s">
        <v>144</v>
      </c>
      <c r="K4779" s="8" t="str">
        <f>IFERROR(IF(AND(VLOOKUP($C4779,Hes!$A:$B, 1, FALSE), $M4779&lt;&gt;" "), "Ingresada", "Falta Ingresar"), " ")</f>
        <v>Falta Ingresar</v>
      </c>
      <c r="L4779" s="4" t="str">
        <f>IFERROR(VLOOKUP($C4779,Observaciones!$A:$B,2,FALSE)," ")</f>
        <v xml:space="preserve"> </v>
      </c>
      <c r="M4779" t="s">
        <v>681</v>
      </c>
      <c r="N4779" s="5" t="s">
        <v>841</v>
      </c>
      <c r="O4779" s="5">
        <v>30853341</v>
      </c>
      <c r="P4779" s="5">
        <v>115924</v>
      </c>
      <c r="Q4779" s="5">
        <v>22026</v>
      </c>
      <c r="R4779" s="5">
        <v>137950</v>
      </c>
    </row>
    <row r="4780" spans="1:18" x14ac:dyDescent="0.25">
      <c r="A4780" t="s">
        <v>520</v>
      </c>
      <c r="B4780" t="s">
        <v>494</v>
      </c>
      <c r="C4780">
        <v>96667560</v>
      </c>
      <c r="D4780">
        <v>33</v>
      </c>
      <c r="E4780">
        <v>30853349</v>
      </c>
      <c r="F4780" t="s">
        <v>638</v>
      </c>
      <c r="G4780" s="1">
        <v>45236</v>
      </c>
      <c r="H4780">
        <v>5413339</v>
      </c>
      <c r="I4780">
        <v>81</v>
      </c>
      <c r="J4780" t="s">
        <v>144</v>
      </c>
      <c r="K4780" s="8" t="str">
        <f>IFERROR(IF(AND(VLOOKUP($C4780,Hes!$A:$B, 1, FALSE), $M4780&lt;&gt;" "), "Ingresada", "Falta Ingresar"), " ")</f>
        <v>Falta Ingresar</v>
      </c>
      <c r="L4780" s="4" t="str">
        <f>IFERROR(VLOOKUP($C4780,Observaciones!$A:$B,2,FALSE)," ")</f>
        <v xml:space="preserve"> </v>
      </c>
      <c r="M4780" t="s">
        <v>681</v>
      </c>
      <c r="N4780" s="5" t="s">
        <v>841</v>
      </c>
      <c r="O4780" s="5">
        <v>30853349</v>
      </c>
      <c r="P4780" s="5">
        <v>111546</v>
      </c>
      <c r="Q4780" s="5">
        <v>21194</v>
      </c>
      <c r="R4780" s="5">
        <v>132740</v>
      </c>
    </row>
    <row r="4781" spans="1:18" x14ac:dyDescent="0.25">
      <c r="A4781" t="s">
        <v>520</v>
      </c>
      <c r="B4781" t="s">
        <v>494</v>
      </c>
      <c r="C4781">
        <v>96667560</v>
      </c>
      <c r="D4781">
        <v>28</v>
      </c>
      <c r="E4781">
        <v>30853327</v>
      </c>
      <c r="F4781" t="s">
        <v>638</v>
      </c>
      <c r="G4781" s="1">
        <v>45236</v>
      </c>
      <c r="H4781">
        <v>5413388</v>
      </c>
      <c r="I4781">
        <v>81</v>
      </c>
      <c r="J4781" t="s">
        <v>144</v>
      </c>
      <c r="K4781" s="8" t="str">
        <f>IFERROR(IF(AND(VLOOKUP($C4781,Hes!$A:$B, 1, FALSE), $M4781&lt;&gt;" "), "Ingresada", "Falta Ingresar"), " ")</f>
        <v>Falta Ingresar</v>
      </c>
      <c r="L4781" s="4" t="str">
        <f>IFERROR(VLOOKUP($C4781,Observaciones!$A:$B,2,FALSE)," ")</f>
        <v xml:space="preserve"> </v>
      </c>
      <c r="M4781" t="s">
        <v>681</v>
      </c>
      <c r="N4781" s="5" t="s">
        <v>841</v>
      </c>
      <c r="O4781" s="5">
        <v>30853327</v>
      </c>
      <c r="P4781" s="5">
        <v>30316</v>
      </c>
      <c r="Q4781" s="5">
        <v>5760</v>
      </c>
      <c r="R4781" s="5">
        <v>36076</v>
      </c>
    </row>
    <row r="4782" spans="1:18" x14ac:dyDescent="0.25">
      <c r="A4782" t="s">
        <v>520</v>
      </c>
      <c r="B4782" t="s">
        <v>494</v>
      </c>
      <c r="C4782">
        <v>96667560</v>
      </c>
      <c r="D4782">
        <v>31</v>
      </c>
      <c r="E4782">
        <v>30853299</v>
      </c>
      <c r="F4782" t="s">
        <v>638</v>
      </c>
      <c r="G4782" s="1">
        <v>45236</v>
      </c>
      <c r="H4782">
        <v>5413433</v>
      </c>
      <c r="I4782">
        <v>81</v>
      </c>
      <c r="J4782" t="s">
        <v>144</v>
      </c>
      <c r="K4782" s="8" t="str">
        <f>IFERROR(IF(AND(VLOOKUP($C4782,Hes!$A:$B, 1, FALSE), $M4782&lt;&gt;" "), "Ingresada", "Falta Ingresar"), " ")</f>
        <v>Falta Ingresar</v>
      </c>
      <c r="L4782" s="4" t="str">
        <f>IFERROR(VLOOKUP($C4782,Observaciones!$A:$B,2,FALSE)," ")</f>
        <v xml:space="preserve"> </v>
      </c>
      <c r="M4782" t="s">
        <v>681</v>
      </c>
      <c r="N4782" s="5" t="s">
        <v>841</v>
      </c>
      <c r="O4782" s="5">
        <v>30853299</v>
      </c>
      <c r="P4782" s="5">
        <v>338368</v>
      </c>
      <c r="Q4782" s="5">
        <v>64290</v>
      </c>
      <c r="R4782" s="5">
        <v>402658</v>
      </c>
    </row>
    <row r="4783" spans="1:18" x14ac:dyDescent="0.25">
      <c r="A4783" t="s">
        <v>520</v>
      </c>
      <c r="B4783" t="s">
        <v>494</v>
      </c>
      <c r="C4783">
        <v>96667560</v>
      </c>
      <c r="D4783">
        <v>31</v>
      </c>
      <c r="E4783">
        <v>30857142</v>
      </c>
      <c r="F4783" t="s">
        <v>638</v>
      </c>
      <c r="G4783" s="1">
        <v>45236</v>
      </c>
      <c r="H4783">
        <v>5413476</v>
      </c>
      <c r="I4783">
        <v>81</v>
      </c>
      <c r="J4783" t="s">
        <v>144</v>
      </c>
      <c r="K4783" s="8" t="str">
        <f>IFERROR(IF(AND(VLOOKUP($C4783,Hes!$A:$B, 1, FALSE), $M4783&lt;&gt;" "), "Ingresada", "Falta Ingresar"), " ")</f>
        <v>Falta Ingresar</v>
      </c>
      <c r="L4783" s="4" t="str">
        <f>IFERROR(VLOOKUP($C4783,Observaciones!$A:$B,2,FALSE)," ")</f>
        <v xml:space="preserve"> </v>
      </c>
      <c r="M4783" t="s">
        <v>681</v>
      </c>
      <c r="N4783" s="5" t="s">
        <v>841</v>
      </c>
      <c r="O4783" s="5">
        <v>30857142</v>
      </c>
      <c r="P4783" s="5">
        <v>32743</v>
      </c>
      <c r="Q4783" s="5">
        <v>6221</v>
      </c>
      <c r="R4783" s="5">
        <v>38964</v>
      </c>
    </row>
    <row r="4784" spans="1:18" x14ac:dyDescent="0.25">
      <c r="A4784" t="s">
        <v>520</v>
      </c>
      <c r="B4784" t="s">
        <v>494</v>
      </c>
      <c r="C4784">
        <v>96667560</v>
      </c>
      <c r="D4784">
        <v>7</v>
      </c>
      <c r="E4784">
        <v>30854968</v>
      </c>
      <c r="F4784" t="s">
        <v>638</v>
      </c>
      <c r="G4784" s="1">
        <v>45236</v>
      </c>
      <c r="H4784">
        <v>5413531</v>
      </c>
      <c r="I4784">
        <v>81</v>
      </c>
      <c r="J4784" t="s">
        <v>144</v>
      </c>
      <c r="K4784" s="8" t="str">
        <f>IFERROR(IF(AND(VLOOKUP($C4784,Hes!$A:$B, 1, FALSE), $M4784&lt;&gt;" "), "Ingresada", "Falta Ingresar"), " ")</f>
        <v>Falta Ingresar</v>
      </c>
      <c r="L4784" s="4" t="str">
        <f>IFERROR(VLOOKUP($C4784,Observaciones!$A:$B,2,FALSE)," ")</f>
        <v xml:space="preserve"> </v>
      </c>
      <c r="M4784" t="s">
        <v>681</v>
      </c>
      <c r="N4784" s="5" t="s">
        <v>841</v>
      </c>
      <c r="O4784" s="5">
        <v>30854968</v>
      </c>
      <c r="P4784" s="5">
        <v>20438</v>
      </c>
      <c r="Q4784" s="5">
        <v>3883</v>
      </c>
      <c r="R4784" s="5">
        <v>24321</v>
      </c>
    </row>
    <row r="4785" spans="1:18" x14ac:dyDescent="0.25">
      <c r="A4785" t="s">
        <v>520</v>
      </c>
      <c r="B4785" t="s">
        <v>494</v>
      </c>
      <c r="C4785">
        <v>96667560</v>
      </c>
      <c r="D4785">
        <v>20</v>
      </c>
      <c r="E4785">
        <v>30856888</v>
      </c>
      <c r="F4785" t="s">
        <v>638</v>
      </c>
      <c r="G4785" s="1">
        <v>45236</v>
      </c>
      <c r="H4785">
        <v>5413887</v>
      </c>
      <c r="I4785">
        <v>81</v>
      </c>
      <c r="J4785" t="s">
        <v>144</v>
      </c>
      <c r="K4785" s="8" t="str">
        <f>IFERROR(IF(AND(VLOOKUP($C4785,Hes!$A:$B, 1, FALSE), $M4785&lt;&gt;" "), "Ingresada", "Falta Ingresar"), " ")</f>
        <v>Falta Ingresar</v>
      </c>
      <c r="L4785" s="4" t="str">
        <f>IFERROR(VLOOKUP($C4785,Observaciones!$A:$B,2,FALSE)," ")</f>
        <v xml:space="preserve"> </v>
      </c>
      <c r="M4785" t="s">
        <v>681</v>
      </c>
      <c r="N4785" s="5" t="s">
        <v>841</v>
      </c>
      <c r="O4785" s="5">
        <v>30856888</v>
      </c>
      <c r="P4785" s="5">
        <v>30899</v>
      </c>
      <c r="Q4785" s="5">
        <v>5871</v>
      </c>
      <c r="R4785" s="5">
        <v>36770</v>
      </c>
    </row>
    <row r="4786" spans="1:18" x14ac:dyDescent="0.25">
      <c r="A4786" t="s">
        <v>520</v>
      </c>
      <c r="B4786" t="s">
        <v>494</v>
      </c>
      <c r="C4786">
        <v>96667560</v>
      </c>
      <c r="D4786">
        <v>10</v>
      </c>
      <c r="E4786">
        <v>30856767</v>
      </c>
      <c r="F4786" t="s">
        <v>638</v>
      </c>
      <c r="G4786" s="1">
        <v>45236</v>
      </c>
      <c r="H4786">
        <v>5413899</v>
      </c>
      <c r="I4786">
        <v>81</v>
      </c>
      <c r="J4786" t="s">
        <v>144</v>
      </c>
      <c r="K4786" s="8" t="str">
        <f>IFERROR(IF(AND(VLOOKUP($C4786,Hes!$A:$B, 1, FALSE), $M4786&lt;&gt;" "), "Ingresada", "Falta Ingresar"), " ")</f>
        <v>Falta Ingresar</v>
      </c>
      <c r="L4786" s="4" t="str">
        <f>IFERROR(VLOOKUP($C4786,Observaciones!$A:$B,2,FALSE)," ")</f>
        <v xml:space="preserve"> </v>
      </c>
      <c r="M4786" t="s">
        <v>681</v>
      </c>
      <c r="N4786" s="5" t="s">
        <v>841</v>
      </c>
      <c r="O4786" s="5">
        <v>30856767</v>
      </c>
      <c r="P4786" s="5">
        <v>27031</v>
      </c>
      <c r="Q4786" s="5">
        <v>5136</v>
      </c>
      <c r="R4786" s="5">
        <v>32167</v>
      </c>
    </row>
    <row r="4787" spans="1:18" x14ac:dyDescent="0.25">
      <c r="A4787" t="s">
        <v>520</v>
      </c>
      <c r="B4787" t="s">
        <v>494</v>
      </c>
      <c r="C4787">
        <v>96667560</v>
      </c>
      <c r="D4787">
        <v>40</v>
      </c>
      <c r="E4787">
        <v>30856915</v>
      </c>
      <c r="F4787" t="s">
        <v>638</v>
      </c>
      <c r="G4787" s="1">
        <v>45237</v>
      </c>
      <c r="H4787">
        <v>5413926</v>
      </c>
      <c r="I4787">
        <v>81</v>
      </c>
      <c r="J4787" t="s">
        <v>144</v>
      </c>
      <c r="K4787" s="8" t="str">
        <f>IFERROR(IF(AND(VLOOKUP($C4787,Hes!$A:$B, 1, FALSE), $M4787&lt;&gt;" "), "Ingresada", "Falta Ingresar"), " ")</f>
        <v>Falta Ingresar</v>
      </c>
      <c r="L4787" s="4" t="str">
        <f>IFERROR(VLOOKUP($C4787,Observaciones!$A:$B,2,FALSE)," ")</f>
        <v xml:space="preserve"> </v>
      </c>
      <c r="M4787" t="s">
        <v>681</v>
      </c>
      <c r="N4787" s="5" t="s">
        <v>841</v>
      </c>
      <c r="O4787" s="5">
        <v>30856915</v>
      </c>
      <c r="P4787" s="5">
        <v>32470</v>
      </c>
      <c r="Q4787" s="5">
        <v>6169</v>
      </c>
      <c r="R4787" s="5">
        <v>38639</v>
      </c>
    </row>
    <row r="4788" spans="1:18" x14ac:dyDescent="0.25">
      <c r="A4788" t="s">
        <v>520</v>
      </c>
      <c r="B4788" t="s">
        <v>494</v>
      </c>
      <c r="C4788">
        <v>96667560</v>
      </c>
      <c r="D4788">
        <v>11</v>
      </c>
      <c r="E4788">
        <v>30858334</v>
      </c>
      <c r="F4788" t="s">
        <v>638</v>
      </c>
      <c r="G4788" s="1">
        <v>45237</v>
      </c>
      <c r="H4788">
        <v>5414024</v>
      </c>
      <c r="I4788">
        <v>81</v>
      </c>
      <c r="J4788" t="s">
        <v>144</v>
      </c>
      <c r="K4788" s="8" t="str">
        <f>IFERROR(IF(AND(VLOOKUP($C4788,Hes!$A:$B, 1, FALSE), $M4788&lt;&gt;" "), "Ingresada", "Falta Ingresar"), " ")</f>
        <v>Falta Ingresar</v>
      </c>
      <c r="L4788" s="4" t="str">
        <f>IFERROR(VLOOKUP($C4788,Observaciones!$A:$B,2,FALSE)," ")</f>
        <v xml:space="preserve"> </v>
      </c>
      <c r="M4788" t="s">
        <v>681</v>
      </c>
      <c r="N4788" s="5" t="s">
        <v>841</v>
      </c>
      <c r="O4788" s="5">
        <v>30858334</v>
      </c>
      <c r="P4788" s="5">
        <v>20357</v>
      </c>
      <c r="Q4788" s="5">
        <v>3868</v>
      </c>
      <c r="R4788" s="5">
        <v>24225</v>
      </c>
    </row>
    <row r="4789" spans="1:18" x14ac:dyDescent="0.25">
      <c r="A4789" t="s">
        <v>520</v>
      </c>
      <c r="B4789" t="s">
        <v>494</v>
      </c>
      <c r="C4789">
        <v>96667560</v>
      </c>
      <c r="D4789">
        <v>53</v>
      </c>
      <c r="E4789">
        <v>30859256</v>
      </c>
      <c r="F4789" t="s">
        <v>638</v>
      </c>
      <c r="G4789" s="1">
        <v>45237</v>
      </c>
      <c r="H4789">
        <v>5414114</v>
      </c>
      <c r="I4789">
        <v>81</v>
      </c>
      <c r="J4789" t="s">
        <v>144</v>
      </c>
      <c r="K4789" s="8" t="str">
        <f>IFERROR(IF(AND(VLOOKUP($C4789,Hes!$A:$B, 1, FALSE), $M4789&lt;&gt;" "), "Ingresada", "Falta Ingresar"), " ")</f>
        <v>Falta Ingresar</v>
      </c>
      <c r="L4789" s="4" t="str">
        <f>IFERROR(VLOOKUP($C4789,Observaciones!$A:$B,2,FALSE)," ")</f>
        <v xml:space="preserve"> </v>
      </c>
      <c r="M4789" t="s">
        <v>681</v>
      </c>
      <c r="N4789" s="5" t="s">
        <v>841</v>
      </c>
      <c r="O4789" s="5">
        <v>30859256</v>
      </c>
      <c r="P4789" s="5">
        <v>55125</v>
      </c>
      <c r="Q4789" s="5">
        <v>10474</v>
      </c>
      <c r="R4789" s="5">
        <v>65599</v>
      </c>
    </row>
    <row r="4790" spans="1:18" x14ac:dyDescent="0.25">
      <c r="A4790" t="s">
        <v>520</v>
      </c>
      <c r="B4790" t="s">
        <v>494</v>
      </c>
      <c r="C4790">
        <v>96667560</v>
      </c>
      <c r="D4790">
        <v>41</v>
      </c>
      <c r="E4790">
        <v>30860382</v>
      </c>
      <c r="F4790" t="s">
        <v>638</v>
      </c>
      <c r="G4790" s="1">
        <v>45237</v>
      </c>
      <c r="H4790">
        <v>5414390</v>
      </c>
      <c r="I4790">
        <v>81</v>
      </c>
      <c r="J4790" t="s">
        <v>144</v>
      </c>
      <c r="K4790" s="8" t="str">
        <f>IFERROR(IF(AND(VLOOKUP($C4790,Hes!$A:$B, 1, FALSE), $M4790&lt;&gt;" "), "Ingresada", "Falta Ingresar"), " ")</f>
        <v>Falta Ingresar</v>
      </c>
      <c r="L4790" s="4" t="str">
        <f>IFERROR(VLOOKUP($C4790,Observaciones!$A:$B,2,FALSE)," ")</f>
        <v xml:space="preserve"> </v>
      </c>
      <c r="M4790" t="s">
        <v>681</v>
      </c>
      <c r="N4790" s="5" t="s">
        <v>841</v>
      </c>
      <c r="O4790" s="5">
        <v>30860382</v>
      </c>
      <c r="P4790" s="5">
        <v>38726</v>
      </c>
      <c r="Q4790" s="5">
        <v>7358</v>
      </c>
      <c r="R4790" s="5">
        <v>46084</v>
      </c>
    </row>
    <row r="4791" spans="1:18" x14ac:dyDescent="0.25">
      <c r="A4791" t="s">
        <v>520</v>
      </c>
      <c r="B4791" t="s">
        <v>494</v>
      </c>
      <c r="C4791">
        <v>96667560</v>
      </c>
      <c r="D4791">
        <v>49</v>
      </c>
      <c r="E4791">
        <v>30856814</v>
      </c>
      <c r="F4791" t="s">
        <v>638</v>
      </c>
      <c r="G4791" s="1">
        <v>45238</v>
      </c>
      <c r="H4791">
        <v>5414564</v>
      </c>
      <c r="I4791">
        <v>81</v>
      </c>
      <c r="J4791" t="s">
        <v>144</v>
      </c>
      <c r="K4791" s="8" t="str">
        <f>IFERROR(IF(AND(VLOOKUP($C4791,Hes!$A:$B, 1, FALSE), $M4791&lt;&gt;" "), "Ingresada", "Falta Ingresar"), " ")</f>
        <v>Falta Ingresar</v>
      </c>
      <c r="L4791" s="4" t="str">
        <f>IFERROR(VLOOKUP($C4791,Observaciones!$A:$B,2,FALSE)," ")</f>
        <v xml:space="preserve"> </v>
      </c>
      <c r="M4791" t="s">
        <v>681</v>
      </c>
      <c r="N4791" s="5" t="s">
        <v>841</v>
      </c>
      <c r="O4791" s="5">
        <v>30856814</v>
      </c>
      <c r="P4791" s="5">
        <v>26688</v>
      </c>
      <c r="Q4791" s="5">
        <v>5071</v>
      </c>
      <c r="R4791" s="5">
        <v>31759</v>
      </c>
    </row>
    <row r="4792" spans="1:18" x14ac:dyDescent="0.25">
      <c r="A4792" t="s">
        <v>520</v>
      </c>
      <c r="B4792" t="s">
        <v>494</v>
      </c>
      <c r="C4792">
        <v>96667560</v>
      </c>
      <c r="D4792">
        <v>30</v>
      </c>
      <c r="E4792">
        <v>30856840</v>
      </c>
      <c r="F4792" t="s">
        <v>638</v>
      </c>
      <c r="G4792" s="1">
        <v>45238</v>
      </c>
      <c r="H4792">
        <v>5414593</v>
      </c>
      <c r="I4792">
        <v>81</v>
      </c>
      <c r="J4792" t="s">
        <v>144</v>
      </c>
      <c r="K4792" s="8" t="str">
        <f>IFERROR(IF(AND(VLOOKUP($C4792,Hes!$A:$B, 1, FALSE), $M4792&lt;&gt;" "), "Ingresada", "Falta Ingresar"), " ")</f>
        <v>Falta Ingresar</v>
      </c>
      <c r="L4792" s="4" t="str">
        <f>IFERROR(VLOOKUP($C4792,Observaciones!$A:$B,2,FALSE)," ")</f>
        <v xml:space="preserve"> </v>
      </c>
      <c r="M4792" t="s">
        <v>681</v>
      </c>
      <c r="N4792" s="5" t="s">
        <v>841</v>
      </c>
      <c r="O4792" s="5">
        <v>30856840</v>
      </c>
      <c r="P4792" s="5">
        <v>27887</v>
      </c>
      <c r="Q4792" s="5">
        <v>5299</v>
      </c>
      <c r="R4792" s="5">
        <v>33186</v>
      </c>
    </row>
    <row r="4793" spans="1:18" x14ac:dyDescent="0.25">
      <c r="A4793" t="s">
        <v>520</v>
      </c>
      <c r="B4793" t="s">
        <v>494</v>
      </c>
      <c r="C4793">
        <v>96667560</v>
      </c>
      <c r="D4793">
        <v>26</v>
      </c>
      <c r="E4793">
        <v>30861113</v>
      </c>
      <c r="F4793" t="s">
        <v>638</v>
      </c>
      <c r="G4793" s="1">
        <v>45238</v>
      </c>
      <c r="H4793">
        <v>5414625</v>
      </c>
      <c r="I4793">
        <v>81</v>
      </c>
      <c r="J4793" t="s">
        <v>144</v>
      </c>
      <c r="K4793" s="8" t="str">
        <f>IFERROR(IF(AND(VLOOKUP($C4793,Hes!$A:$B, 1, FALSE), $M4793&lt;&gt;" "), "Ingresada", "Falta Ingresar"), " ")</f>
        <v>Falta Ingresar</v>
      </c>
      <c r="L4793" s="4" t="str">
        <f>IFERROR(VLOOKUP($C4793,Observaciones!$A:$B,2,FALSE)," ")</f>
        <v xml:space="preserve"> </v>
      </c>
      <c r="M4793" t="s">
        <v>681</v>
      </c>
      <c r="N4793" s="5" t="s">
        <v>841</v>
      </c>
      <c r="O4793" s="5">
        <v>30861113</v>
      </c>
      <c r="P4793" s="5">
        <v>22125</v>
      </c>
      <c r="Q4793" s="5">
        <v>4204</v>
      </c>
      <c r="R4793" s="5">
        <v>26329</v>
      </c>
    </row>
    <row r="4794" spans="1:18" x14ac:dyDescent="0.25">
      <c r="A4794" t="s">
        <v>520</v>
      </c>
      <c r="B4794" t="s">
        <v>494</v>
      </c>
      <c r="C4794">
        <v>96667560</v>
      </c>
      <c r="D4794">
        <v>5</v>
      </c>
      <c r="E4794">
        <v>30857025</v>
      </c>
      <c r="F4794" t="s">
        <v>638</v>
      </c>
      <c r="G4794" s="1">
        <v>45238</v>
      </c>
      <c r="H4794">
        <v>5414633</v>
      </c>
      <c r="I4794">
        <v>81</v>
      </c>
      <c r="J4794" t="s">
        <v>144</v>
      </c>
      <c r="K4794" s="8" t="str">
        <f>IFERROR(IF(AND(VLOOKUP($C4794,Hes!$A:$B, 1, FALSE), $M4794&lt;&gt;" "), "Ingresada", "Falta Ingresar"), " ")</f>
        <v>Falta Ingresar</v>
      </c>
      <c r="L4794" s="4" t="str">
        <f>IFERROR(VLOOKUP($C4794,Observaciones!$A:$B,2,FALSE)," ")</f>
        <v xml:space="preserve"> </v>
      </c>
      <c r="M4794" t="s">
        <v>681</v>
      </c>
      <c r="N4794" s="5" t="s">
        <v>841</v>
      </c>
      <c r="O4794" s="5">
        <v>30857025</v>
      </c>
      <c r="P4794" s="5">
        <v>53565</v>
      </c>
      <c r="Q4794" s="5">
        <v>10177</v>
      </c>
      <c r="R4794" s="5">
        <v>63742</v>
      </c>
    </row>
    <row r="4795" spans="1:18" x14ac:dyDescent="0.25">
      <c r="A4795" t="s">
        <v>520</v>
      </c>
      <c r="B4795" t="s">
        <v>494</v>
      </c>
      <c r="C4795">
        <v>96667560</v>
      </c>
      <c r="D4795">
        <v>4</v>
      </c>
      <c r="E4795">
        <v>30858951</v>
      </c>
      <c r="F4795" t="s">
        <v>638</v>
      </c>
      <c r="G4795" s="1">
        <v>45238</v>
      </c>
      <c r="H4795">
        <v>5414660</v>
      </c>
      <c r="I4795">
        <v>81</v>
      </c>
      <c r="J4795" t="s">
        <v>144</v>
      </c>
      <c r="K4795" s="8" t="str">
        <f>IFERROR(IF(AND(VLOOKUP($C4795,Hes!$A:$B, 1, FALSE), $M4795&lt;&gt;" "), "Ingresada", "Falta Ingresar"), " ")</f>
        <v>Falta Ingresar</v>
      </c>
      <c r="L4795" s="4" t="str">
        <f>IFERROR(VLOOKUP($C4795,Observaciones!$A:$B,2,FALSE)," ")</f>
        <v xml:space="preserve"> </v>
      </c>
      <c r="M4795" t="s">
        <v>681</v>
      </c>
      <c r="N4795" s="5" t="s">
        <v>841</v>
      </c>
      <c r="O4795" s="5">
        <v>30858951</v>
      </c>
      <c r="P4795" s="5">
        <v>21323</v>
      </c>
      <c r="Q4795" s="5">
        <v>4051</v>
      </c>
      <c r="R4795" s="5">
        <v>25374</v>
      </c>
    </row>
    <row r="4796" spans="1:18" x14ac:dyDescent="0.25">
      <c r="A4796" t="s">
        <v>520</v>
      </c>
      <c r="B4796" t="s">
        <v>494</v>
      </c>
      <c r="C4796">
        <v>96667560</v>
      </c>
      <c r="D4796">
        <v>46</v>
      </c>
      <c r="E4796">
        <v>30862172</v>
      </c>
      <c r="F4796" t="s">
        <v>638</v>
      </c>
      <c r="G4796" s="1">
        <v>45238</v>
      </c>
      <c r="H4796">
        <v>5415412</v>
      </c>
      <c r="I4796">
        <v>81</v>
      </c>
      <c r="J4796" t="s">
        <v>144</v>
      </c>
      <c r="K4796" s="8" t="str">
        <f>IFERROR(IF(AND(VLOOKUP($C4796,Hes!$A:$B, 1, FALSE), $M4796&lt;&gt;" "), "Ingresada", "Falta Ingresar"), " ")</f>
        <v>Falta Ingresar</v>
      </c>
      <c r="L4796" s="4" t="str">
        <f>IFERROR(VLOOKUP($C4796,Observaciones!$A:$B,2,FALSE)," ")</f>
        <v xml:space="preserve"> </v>
      </c>
      <c r="M4796" t="s">
        <v>681</v>
      </c>
      <c r="N4796" s="5" t="s">
        <v>841</v>
      </c>
      <c r="O4796" s="5">
        <v>30862172</v>
      </c>
      <c r="P4796" s="5">
        <v>90867</v>
      </c>
      <c r="Q4796" s="5">
        <v>17265</v>
      </c>
      <c r="R4796" s="5">
        <v>108132</v>
      </c>
    </row>
    <row r="4797" spans="1:18" x14ac:dyDescent="0.25">
      <c r="F4797" t="s">
        <v>1707</v>
      </c>
      <c r="K4797" t="str">
        <f>IFERROR(IF(AND(VLOOKUP($C4797,Hes!$A:$B, 1, FALSE), $M4797&lt;&gt;" "), "Ingresada", "Falta Ingresar"), " ")</f>
        <v xml:space="preserve"> </v>
      </c>
      <c r="L4797" s="4" t="str">
        <f>IFERROR(VLOOKUP($C4797,Observaciones!$A:$B,2,FALSE)," ")</f>
        <v xml:space="preserve"> </v>
      </c>
      <c r="M4797" t="s">
        <v>681</v>
      </c>
      <c r="P4797" s="5">
        <v>1986760</v>
      </c>
      <c r="Q4797" s="5">
        <v>377486</v>
      </c>
      <c r="R4797" s="5">
        <v>2372483</v>
      </c>
    </row>
    <row r="4798" spans="1:18" x14ac:dyDescent="0.25">
      <c r="A4798" t="s">
        <v>3</v>
      </c>
      <c r="B4798" t="s">
        <v>494</v>
      </c>
      <c r="C4798">
        <v>96670340</v>
      </c>
      <c r="D4798">
        <v>379</v>
      </c>
      <c r="E4798">
        <v>30845198</v>
      </c>
      <c r="F4798" t="s">
        <v>1708</v>
      </c>
      <c r="G4798" s="1">
        <v>45232</v>
      </c>
      <c r="H4798">
        <v>5410799</v>
      </c>
      <c r="I4798">
        <v>72</v>
      </c>
      <c r="J4798" t="s">
        <v>176</v>
      </c>
      <c r="K4798" t="str">
        <f>IFERROR(IF(AND(VLOOKUP($C4798,Hes!$A:$B, 1, FALSE), $M4798&lt;&gt;" "), "Ingresada", "Falta Ingresar"), " ")</f>
        <v xml:space="preserve"> </v>
      </c>
      <c r="L4798" s="4" t="str">
        <f>IFERROR(VLOOKUP($C4798,Observaciones!$A:$B,2,FALSE)," ")</f>
        <v>XRUT</v>
      </c>
      <c r="M4798" t="s">
        <v>681</v>
      </c>
      <c r="O4798" s="5">
        <v>30845198</v>
      </c>
      <c r="P4798" s="5">
        <v>29504</v>
      </c>
      <c r="Q4798" s="5">
        <v>5606</v>
      </c>
      <c r="R4798" s="5">
        <v>35110</v>
      </c>
    </row>
    <row r="4799" spans="1:18" x14ac:dyDescent="0.25">
      <c r="A4799" t="s">
        <v>3</v>
      </c>
      <c r="B4799" t="s">
        <v>494</v>
      </c>
      <c r="C4799">
        <v>96670340</v>
      </c>
      <c r="D4799">
        <v>1128</v>
      </c>
      <c r="E4799">
        <v>30845197</v>
      </c>
      <c r="F4799" t="s">
        <v>1708</v>
      </c>
      <c r="G4799" s="1">
        <v>45231</v>
      </c>
      <c r="H4799">
        <v>5410852</v>
      </c>
      <c r="I4799">
        <v>72</v>
      </c>
      <c r="J4799" t="s">
        <v>176</v>
      </c>
      <c r="K4799" t="str">
        <f>IFERROR(IF(AND(VLOOKUP($C4799,Hes!$A:$B, 1, FALSE), $M4799&lt;&gt;" "), "Ingresada", "Falta Ingresar"), " ")</f>
        <v xml:space="preserve"> </v>
      </c>
      <c r="L4799" s="4" t="str">
        <f>IFERROR(VLOOKUP($C4799,Observaciones!$A:$B,2,FALSE)," ")</f>
        <v>XRUT</v>
      </c>
      <c r="M4799" t="s">
        <v>681</v>
      </c>
      <c r="O4799" s="5">
        <v>30845197</v>
      </c>
      <c r="P4799" s="5">
        <v>28674</v>
      </c>
      <c r="Q4799" s="5">
        <v>5448</v>
      </c>
      <c r="R4799" s="5">
        <v>34122</v>
      </c>
    </row>
    <row r="4800" spans="1:18" x14ac:dyDescent="0.25">
      <c r="A4800" t="s">
        <v>3</v>
      </c>
      <c r="B4800" t="s">
        <v>494</v>
      </c>
      <c r="C4800">
        <v>96670340</v>
      </c>
      <c r="D4800">
        <v>587</v>
      </c>
      <c r="E4800">
        <v>30848902</v>
      </c>
      <c r="F4800" t="s">
        <v>1708</v>
      </c>
      <c r="G4800" s="1">
        <v>45232</v>
      </c>
      <c r="H4800">
        <v>5411173</v>
      </c>
      <c r="I4800">
        <v>72</v>
      </c>
      <c r="J4800" t="s">
        <v>176</v>
      </c>
      <c r="K4800" t="str">
        <f>IFERROR(IF(AND(VLOOKUP($C4800,Hes!$A:$B, 1, FALSE), $M4800&lt;&gt;" "), "Ingresada", "Falta Ingresar"), " ")</f>
        <v xml:space="preserve"> </v>
      </c>
      <c r="L4800" s="4" t="str">
        <f>IFERROR(VLOOKUP($C4800,Observaciones!$A:$B,2,FALSE)," ")</f>
        <v>XRUT</v>
      </c>
      <c r="M4800" t="s">
        <v>681</v>
      </c>
      <c r="O4800" s="5">
        <v>30848902</v>
      </c>
      <c r="P4800" s="5">
        <v>14786</v>
      </c>
      <c r="Q4800" s="5">
        <v>2809</v>
      </c>
      <c r="R4800" s="5">
        <v>17595</v>
      </c>
    </row>
    <row r="4801" spans="1:18" x14ac:dyDescent="0.25">
      <c r="A4801" t="s">
        <v>3</v>
      </c>
      <c r="B4801" t="s">
        <v>494</v>
      </c>
      <c r="C4801">
        <v>96670340</v>
      </c>
      <c r="D4801">
        <v>961</v>
      </c>
      <c r="E4801">
        <v>30848888</v>
      </c>
      <c r="F4801" t="s">
        <v>1708</v>
      </c>
      <c r="G4801" s="1">
        <v>45233</v>
      </c>
      <c r="H4801">
        <v>5411248</v>
      </c>
      <c r="I4801">
        <v>72</v>
      </c>
      <c r="J4801" t="s">
        <v>176</v>
      </c>
      <c r="K4801" t="str">
        <f>IFERROR(IF(AND(VLOOKUP($C4801,Hes!$A:$B, 1, FALSE), $M4801&lt;&gt;" "), "Ingresada", "Falta Ingresar"), " ")</f>
        <v xml:space="preserve"> </v>
      </c>
      <c r="L4801" s="4" t="str">
        <f>IFERROR(VLOOKUP($C4801,Observaciones!$A:$B,2,FALSE)," ")</f>
        <v>XRUT</v>
      </c>
      <c r="M4801" t="s">
        <v>681</v>
      </c>
      <c r="O4801" s="5">
        <v>30848888</v>
      </c>
      <c r="P4801" s="5">
        <v>29013</v>
      </c>
      <c r="Q4801" s="5">
        <v>5512</v>
      </c>
      <c r="R4801" s="5">
        <v>34525</v>
      </c>
    </row>
    <row r="4802" spans="1:18" x14ac:dyDescent="0.25">
      <c r="A4802" t="s">
        <v>3</v>
      </c>
      <c r="B4802" t="s">
        <v>494</v>
      </c>
      <c r="C4802">
        <v>96670340</v>
      </c>
      <c r="D4802">
        <v>631</v>
      </c>
      <c r="E4802">
        <v>30848916</v>
      </c>
      <c r="F4802" t="s">
        <v>1708</v>
      </c>
      <c r="G4802" s="1">
        <v>45233</v>
      </c>
      <c r="H4802">
        <v>5411260</v>
      </c>
      <c r="I4802">
        <v>72</v>
      </c>
      <c r="J4802" t="s">
        <v>176</v>
      </c>
      <c r="K4802" t="str">
        <f>IFERROR(IF(AND(VLOOKUP($C4802,Hes!$A:$B, 1, FALSE), $M4802&lt;&gt;" "), "Ingresada", "Falta Ingresar"), " ")</f>
        <v xml:space="preserve"> </v>
      </c>
      <c r="L4802" s="4" t="str">
        <f>IFERROR(VLOOKUP($C4802,Observaciones!$A:$B,2,FALSE)," ")</f>
        <v>XRUT</v>
      </c>
      <c r="M4802" t="s">
        <v>681</v>
      </c>
      <c r="O4802" s="5">
        <v>30848916</v>
      </c>
      <c r="P4802" s="5">
        <v>46960</v>
      </c>
      <c r="Q4802" s="5">
        <v>8922</v>
      </c>
      <c r="R4802" s="5">
        <v>55882</v>
      </c>
    </row>
    <row r="4803" spans="1:18" x14ac:dyDescent="0.25">
      <c r="A4803" t="s">
        <v>3</v>
      </c>
      <c r="B4803" t="s">
        <v>494</v>
      </c>
      <c r="C4803">
        <v>96670340</v>
      </c>
      <c r="D4803">
        <v>1121</v>
      </c>
      <c r="E4803">
        <v>30848897</v>
      </c>
      <c r="F4803" t="s">
        <v>1708</v>
      </c>
      <c r="G4803" s="1">
        <v>45233</v>
      </c>
      <c r="H4803">
        <v>5411268</v>
      </c>
      <c r="I4803">
        <v>72</v>
      </c>
      <c r="J4803" t="s">
        <v>176</v>
      </c>
      <c r="K4803" t="str">
        <f>IFERROR(IF(AND(VLOOKUP($C4803,Hes!$A:$B, 1, FALSE), $M4803&lt;&gt;" "), "Ingresada", "Falta Ingresar"), " ")</f>
        <v xml:space="preserve"> </v>
      </c>
      <c r="L4803" s="4" t="str">
        <f>IFERROR(VLOOKUP($C4803,Observaciones!$A:$B,2,FALSE)," ")</f>
        <v>XRUT</v>
      </c>
      <c r="M4803" t="s">
        <v>681</v>
      </c>
      <c r="O4803" s="5">
        <v>30848897</v>
      </c>
      <c r="P4803" s="5">
        <v>29885</v>
      </c>
      <c r="Q4803" s="5">
        <v>5678</v>
      </c>
      <c r="R4803" s="5">
        <v>35563</v>
      </c>
    </row>
    <row r="4804" spans="1:18" x14ac:dyDescent="0.25">
      <c r="A4804" t="s">
        <v>3</v>
      </c>
      <c r="B4804" t="s">
        <v>494</v>
      </c>
      <c r="C4804">
        <v>96670340</v>
      </c>
      <c r="D4804">
        <v>1115</v>
      </c>
      <c r="E4804">
        <v>30848900</v>
      </c>
      <c r="F4804" t="s">
        <v>1708</v>
      </c>
      <c r="G4804" s="1">
        <v>45233</v>
      </c>
      <c r="H4804">
        <v>5411295</v>
      </c>
      <c r="I4804">
        <v>72</v>
      </c>
      <c r="J4804" t="s">
        <v>176</v>
      </c>
      <c r="K4804" t="str">
        <f>IFERROR(IF(AND(VLOOKUP($C4804,Hes!$A:$B, 1, FALSE), $M4804&lt;&gt;" "), "Ingresada", "Falta Ingresar"), " ")</f>
        <v xml:space="preserve"> </v>
      </c>
      <c r="L4804" s="4" t="str">
        <f>IFERROR(VLOOKUP($C4804,Observaciones!$A:$B,2,FALSE)," ")</f>
        <v>XRUT</v>
      </c>
      <c r="M4804" t="s">
        <v>681</v>
      </c>
      <c r="O4804" s="5">
        <v>30848900</v>
      </c>
      <c r="P4804" s="5">
        <v>29303</v>
      </c>
      <c r="Q4804" s="5">
        <v>5568</v>
      </c>
      <c r="R4804" s="5">
        <v>34871</v>
      </c>
    </row>
    <row r="4805" spans="1:18" x14ac:dyDescent="0.25">
      <c r="A4805" t="s">
        <v>3</v>
      </c>
      <c r="B4805" t="s">
        <v>494</v>
      </c>
      <c r="C4805">
        <v>96670340</v>
      </c>
      <c r="D4805">
        <v>647</v>
      </c>
      <c r="E4805">
        <v>30848936</v>
      </c>
      <c r="F4805" t="s">
        <v>1708</v>
      </c>
      <c r="G4805" s="1">
        <v>45233</v>
      </c>
      <c r="H4805">
        <v>5411313</v>
      </c>
      <c r="I4805">
        <v>72</v>
      </c>
      <c r="J4805" t="s">
        <v>176</v>
      </c>
      <c r="K4805" t="str">
        <f>IFERROR(IF(AND(VLOOKUP($C4805,Hes!$A:$B, 1, FALSE), $M4805&lt;&gt;" "), "Ingresada", "Falta Ingresar"), " ")</f>
        <v xml:space="preserve"> </v>
      </c>
      <c r="L4805" s="4" t="str">
        <f>IFERROR(VLOOKUP($C4805,Observaciones!$A:$B,2,FALSE)," ")</f>
        <v>XRUT</v>
      </c>
      <c r="M4805" t="s">
        <v>681</v>
      </c>
      <c r="O4805" s="5">
        <v>30848936</v>
      </c>
      <c r="P4805" s="5">
        <v>29162</v>
      </c>
      <c r="Q4805" s="5">
        <v>5541</v>
      </c>
      <c r="R4805" s="5">
        <v>34703</v>
      </c>
    </row>
    <row r="4806" spans="1:18" x14ac:dyDescent="0.25">
      <c r="A4806" t="s">
        <v>3</v>
      </c>
      <c r="B4806" t="s">
        <v>494</v>
      </c>
      <c r="C4806">
        <v>96670340</v>
      </c>
      <c r="D4806">
        <v>1124</v>
      </c>
      <c r="E4806">
        <v>30848960</v>
      </c>
      <c r="F4806" t="s">
        <v>1708</v>
      </c>
      <c r="G4806" s="1">
        <v>45233</v>
      </c>
      <c r="H4806">
        <v>5411318</v>
      </c>
      <c r="I4806">
        <v>72</v>
      </c>
      <c r="J4806" t="s">
        <v>176</v>
      </c>
      <c r="K4806" t="str">
        <f>IFERROR(IF(AND(VLOOKUP($C4806,Hes!$A:$B, 1, FALSE), $M4806&lt;&gt;" "), "Ingresada", "Falta Ingresar"), " ")</f>
        <v xml:space="preserve"> </v>
      </c>
      <c r="L4806" s="4" t="str">
        <f>IFERROR(VLOOKUP($C4806,Observaciones!$A:$B,2,FALSE)," ")</f>
        <v>XRUT</v>
      </c>
      <c r="M4806" t="s">
        <v>681</v>
      </c>
      <c r="O4806" s="5">
        <v>30848960</v>
      </c>
      <c r="P4806" s="5">
        <v>29753</v>
      </c>
      <c r="Q4806" s="5">
        <v>5653</v>
      </c>
      <c r="R4806" s="5">
        <v>35406</v>
      </c>
    </row>
    <row r="4807" spans="1:18" x14ac:dyDescent="0.25">
      <c r="A4807" t="s">
        <v>3</v>
      </c>
      <c r="B4807" t="s">
        <v>494</v>
      </c>
      <c r="C4807">
        <v>96670340</v>
      </c>
      <c r="D4807">
        <v>1141</v>
      </c>
      <c r="E4807">
        <v>30848963</v>
      </c>
      <c r="F4807" t="s">
        <v>1708</v>
      </c>
      <c r="G4807" s="1">
        <v>45233</v>
      </c>
      <c r="H4807">
        <v>5411322</v>
      </c>
      <c r="I4807">
        <v>72</v>
      </c>
      <c r="J4807" t="s">
        <v>176</v>
      </c>
      <c r="K4807" t="str">
        <f>IFERROR(IF(AND(VLOOKUP($C4807,Hes!$A:$B, 1, FALSE), $M4807&lt;&gt;" "), "Ingresada", "Falta Ingresar"), " ")</f>
        <v xml:space="preserve"> </v>
      </c>
      <c r="L4807" s="4" t="str">
        <f>IFERROR(VLOOKUP($C4807,Observaciones!$A:$B,2,FALSE)," ")</f>
        <v>XRUT</v>
      </c>
      <c r="M4807" t="s">
        <v>681</v>
      </c>
      <c r="O4807" s="5">
        <v>30848963</v>
      </c>
      <c r="P4807" s="5">
        <v>29574</v>
      </c>
      <c r="Q4807" s="5">
        <v>5619</v>
      </c>
      <c r="R4807" s="5">
        <v>35193</v>
      </c>
    </row>
    <row r="4808" spans="1:18" x14ac:dyDescent="0.25">
      <c r="A4808" t="s">
        <v>3</v>
      </c>
      <c r="B4808" t="s">
        <v>494</v>
      </c>
      <c r="C4808">
        <v>96670340</v>
      </c>
      <c r="D4808">
        <v>1091</v>
      </c>
      <c r="E4808">
        <v>30848910</v>
      </c>
      <c r="F4808" t="s">
        <v>1708</v>
      </c>
      <c r="G4808" s="1">
        <v>45233</v>
      </c>
      <c r="H4808">
        <v>5411342</v>
      </c>
      <c r="I4808">
        <v>72</v>
      </c>
      <c r="J4808" t="s">
        <v>176</v>
      </c>
      <c r="K4808" t="str">
        <f>IFERROR(IF(AND(VLOOKUP($C4808,Hes!$A:$B, 1, FALSE), $M4808&lt;&gt;" "), "Ingresada", "Falta Ingresar"), " ")</f>
        <v xml:space="preserve"> </v>
      </c>
      <c r="L4808" s="4" t="str">
        <f>IFERROR(VLOOKUP($C4808,Observaciones!$A:$B,2,FALSE)," ")</f>
        <v>XRUT</v>
      </c>
      <c r="M4808" t="s">
        <v>681</v>
      </c>
      <c r="O4808" s="5">
        <v>30848910</v>
      </c>
      <c r="P4808" s="5">
        <v>29922</v>
      </c>
      <c r="Q4808" s="5">
        <v>5685</v>
      </c>
      <c r="R4808" s="5">
        <v>35607</v>
      </c>
    </row>
    <row r="4809" spans="1:18" x14ac:dyDescent="0.25">
      <c r="A4809" t="s">
        <v>3</v>
      </c>
      <c r="B4809" t="s">
        <v>494</v>
      </c>
      <c r="C4809">
        <v>96670340</v>
      </c>
      <c r="D4809">
        <v>1064</v>
      </c>
      <c r="E4809">
        <v>30848885</v>
      </c>
      <c r="F4809" t="s">
        <v>1708</v>
      </c>
      <c r="G4809" s="1">
        <v>45233</v>
      </c>
      <c r="H4809">
        <v>5411348</v>
      </c>
      <c r="I4809">
        <v>72</v>
      </c>
      <c r="J4809" t="s">
        <v>176</v>
      </c>
      <c r="K4809" t="str">
        <f>IFERROR(IF(AND(VLOOKUP($C4809,Hes!$A:$B, 1, FALSE), $M4809&lt;&gt;" "), "Ingresada", "Falta Ingresar"), " ")</f>
        <v xml:space="preserve"> </v>
      </c>
      <c r="L4809" s="4" t="str">
        <f>IFERROR(VLOOKUP($C4809,Observaciones!$A:$B,2,FALSE)," ")</f>
        <v>XRUT</v>
      </c>
      <c r="M4809" t="s">
        <v>681</v>
      </c>
      <c r="O4809" s="5">
        <v>30848885</v>
      </c>
      <c r="P4809" s="5">
        <v>29983</v>
      </c>
      <c r="Q4809" s="5">
        <v>5697</v>
      </c>
      <c r="R4809" s="5">
        <v>35680</v>
      </c>
    </row>
    <row r="4810" spans="1:18" x14ac:dyDescent="0.25">
      <c r="A4810" t="s">
        <v>3</v>
      </c>
      <c r="B4810" t="s">
        <v>494</v>
      </c>
      <c r="C4810">
        <v>96670340</v>
      </c>
      <c r="D4810">
        <v>245</v>
      </c>
      <c r="E4810">
        <v>30848915</v>
      </c>
      <c r="F4810" t="s">
        <v>1708</v>
      </c>
      <c r="G4810" s="1">
        <v>45233</v>
      </c>
      <c r="H4810">
        <v>5411352</v>
      </c>
      <c r="I4810">
        <v>72</v>
      </c>
      <c r="J4810" t="s">
        <v>176</v>
      </c>
      <c r="K4810" t="str">
        <f>IFERROR(IF(AND(VLOOKUP($C4810,Hes!$A:$B, 1, FALSE), $M4810&lt;&gt;" "), "Ingresada", "Falta Ingresar"), " ")</f>
        <v xml:space="preserve"> </v>
      </c>
      <c r="L4810" s="4" t="str">
        <f>IFERROR(VLOOKUP($C4810,Observaciones!$A:$B,2,FALSE)," ")</f>
        <v>XRUT</v>
      </c>
      <c r="M4810" t="s">
        <v>681</v>
      </c>
      <c r="O4810" s="5">
        <v>30848915</v>
      </c>
      <c r="P4810" s="5">
        <v>14887</v>
      </c>
      <c r="Q4810" s="5">
        <v>2829</v>
      </c>
      <c r="R4810" s="5">
        <v>17716</v>
      </c>
    </row>
    <row r="4811" spans="1:18" x14ac:dyDescent="0.25">
      <c r="A4811" t="s">
        <v>3</v>
      </c>
      <c r="B4811" t="s">
        <v>494</v>
      </c>
      <c r="C4811">
        <v>96670340</v>
      </c>
      <c r="D4811">
        <v>91</v>
      </c>
      <c r="E4811">
        <v>30848941</v>
      </c>
      <c r="F4811" t="s">
        <v>1708</v>
      </c>
      <c r="G4811" s="1">
        <v>45233</v>
      </c>
      <c r="H4811">
        <v>5411353</v>
      </c>
      <c r="I4811">
        <v>72</v>
      </c>
      <c r="J4811" t="s">
        <v>176</v>
      </c>
      <c r="K4811" t="str">
        <f>IFERROR(IF(AND(VLOOKUP($C4811,Hes!$A:$B, 1, FALSE), $M4811&lt;&gt;" "), "Ingresada", "Falta Ingresar"), " ")</f>
        <v xml:space="preserve"> </v>
      </c>
      <c r="L4811" s="4" t="str">
        <f>IFERROR(VLOOKUP($C4811,Observaciones!$A:$B,2,FALSE)," ")</f>
        <v>XRUT</v>
      </c>
      <c r="M4811" t="s">
        <v>681</v>
      </c>
      <c r="O4811" s="5">
        <v>30848941</v>
      </c>
      <c r="P4811" s="5">
        <v>29950</v>
      </c>
      <c r="Q4811" s="5">
        <v>5691</v>
      </c>
      <c r="R4811" s="5">
        <v>35641</v>
      </c>
    </row>
    <row r="4812" spans="1:18" x14ac:dyDescent="0.25">
      <c r="A4812" t="s">
        <v>3</v>
      </c>
      <c r="B4812" t="s">
        <v>494</v>
      </c>
      <c r="C4812">
        <v>96670340</v>
      </c>
      <c r="D4812">
        <v>1037</v>
      </c>
      <c r="E4812">
        <v>30848894</v>
      </c>
      <c r="F4812" t="s">
        <v>1708</v>
      </c>
      <c r="G4812" s="1">
        <v>45233</v>
      </c>
      <c r="H4812">
        <v>5411374</v>
      </c>
      <c r="I4812">
        <v>72</v>
      </c>
      <c r="J4812" t="s">
        <v>176</v>
      </c>
      <c r="K4812" t="str">
        <f>IFERROR(IF(AND(VLOOKUP($C4812,Hes!$A:$B, 1, FALSE), $M4812&lt;&gt;" "), "Ingresada", "Falta Ingresar"), " ")</f>
        <v xml:space="preserve"> </v>
      </c>
      <c r="L4812" s="4" t="str">
        <f>IFERROR(VLOOKUP($C4812,Observaciones!$A:$B,2,FALSE)," ")</f>
        <v>XRUT</v>
      </c>
      <c r="M4812" t="s">
        <v>681</v>
      </c>
      <c r="O4812" s="5">
        <v>30848894</v>
      </c>
      <c r="P4812" s="5">
        <v>29687</v>
      </c>
      <c r="Q4812" s="5">
        <v>5641</v>
      </c>
      <c r="R4812" s="5">
        <v>35328</v>
      </c>
    </row>
    <row r="4813" spans="1:18" x14ac:dyDescent="0.25">
      <c r="A4813" t="s">
        <v>3</v>
      </c>
      <c r="B4813" t="s">
        <v>494</v>
      </c>
      <c r="C4813">
        <v>96670340</v>
      </c>
      <c r="D4813">
        <v>482</v>
      </c>
      <c r="E4813">
        <v>30848899</v>
      </c>
      <c r="F4813" t="s">
        <v>1708</v>
      </c>
      <c r="G4813" s="1">
        <v>45233</v>
      </c>
      <c r="H4813">
        <v>5411397</v>
      </c>
      <c r="I4813">
        <v>72</v>
      </c>
      <c r="J4813" t="s">
        <v>176</v>
      </c>
      <c r="K4813" t="str">
        <f>IFERROR(IF(AND(VLOOKUP($C4813,Hes!$A:$B, 1, FALSE), $M4813&lt;&gt;" "), "Ingresada", "Falta Ingresar"), " ")</f>
        <v xml:space="preserve"> </v>
      </c>
      <c r="L4813" s="4" t="str">
        <f>IFERROR(VLOOKUP($C4813,Observaciones!$A:$B,2,FALSE)," ")</f>
        <v>XRUT</v>
      </c>
      <c r="M4813" t="s">
        <v>681</v>
      </c>
      <c r="O4813" s="5">
        <v>30848899</v>
      </c>
      <c r="P4813" s="5">
        <v>29914</v>
      </c>
      <c r="Q4813" s="5">
        <v>5684</v>
      </c>
      <c r="R4813" s="5">
        <v>35598</v>
      </c>
    </row>
    <row r="4814" spans="1:18" x14ac:dyDescent="0.25">
      <c r="A4814" t="s">
        <v>3</v>
      </c>
      <c r="B4814" t="s">
        <v>494</v>
      </c>
      <c r="C4814">
        <v>96670340</v>
      </c>
      <c r="D4814">
        <v>1112</v>
      </c>
      <c r="E4814">
        <v>30848911</v>
      </c>
      <c r="F4814" t="s">
        <v>1708</v>
      </c>
      <c r="G4814" s="1">
        <v>45233</v>
      </c>
      <c r="H4814">
        <v>5411486</v>
      </c>
      <c r="I4814">
        <v>72</v>
      </c>
      <c r="J4814" t="s">
        <v>176</v>
      </c>
      <c r="K4814" t="str">
        <f>IFERROR(IF(AND(VLOOKUP($C4814,Hes!$A:$B, 1, FALSE), $M4814&lt;&gt;" "), "Ingresada", "Falta Ingresar"), " ")</f>
        <v xml:space="preserve"> </v>
      </c>
      <c r="L4814" s="4" t="str">
        <f>IFERROR(VLOOKUP($C4814,Observaciones!$A:$B,2,FALSE)," ")</f>
        <v>XRUT</v>
      </c>
      <c r="M4814" t="s">
        <v>681</v>
      </c>
      <c r="O4814" s="5">
        <v>30848911</v>
      </c>
      <c r="P4814" s="5">
        <v>29267</v>
      </c>
      <c r="Q4814" s="5">
        <v>5561</v>
      </c>
      <c r="R4814" s="5">
        <v>34828</v>
      </c>
    </row>
    <row r="4815" spans="1:18" x14ac:dyDescent="0.25">
      <c r="A4815" t="s">
        <v>3</v>
      </c>
      <c r="B4815" t="s">
        <v>494</v>
      </c>
      <c r="C4815">
        <v>96670340</v>
      </c>
      <c r="D4815">
        <v>1094</v>
      </c>
      <c r="E4815">
        <v>30848923</v>
      </c>
      <c r="F4815" t="s">
        <v>1708</v>
      </c>
      <c r="G4815" s="1">
        <v>45233</v>
      </c>
      <c r="H4815">
        <v>5411515</v>
      </c>
      <c r="I4815">
        <v>72</v>
      </c>
      <c r="J4815" t="s">
        <v>176</v>
      </c>
      <c r="K4815" t="str">
        <f>IFERROR(IF(AND(VLOOKUP($C4815,Hes!$A:$B, 1, FALSE), $M4815&lt;&gt;" "), "Ingresada", "Falta Ingresar"), " ")</f>
        <v xml:space="preserve"> </v>
      </c>
      <c r="L4815" s="4" t="str">
        <f>IFERROR(VLOOKUP($C4815,Observaciones!$A:$B,2,FALSE)," ")</f>
        <v>XRUT</v>
      </c>
      <c r="M4815" t="s">
        <v>681</v>
      </c>
      <c r="O4815" s="5">
        <v>30848923</v>
      </c>
      <c r="P4815" s="5">
        <v>28487</v>
      </c>
      <c r="Q4815" s="5">
        <v>5413</v>
      </c>
      <c r="R4815" s="5">
        <v>33900</v>
      </c>
    </row>
    <row r="4816" spans="1:18" x14ac:dyDescent="0.25">
      <c r="A4816" t="s">
        <v>3</v>
      </c>
      <c r="B4816" t="s">
        <v>494</v>
      </c>
      <c r="C4816">
        <v>96670340</v>
      </c>
      <c r="D4816">
        <v>77</v>
      </c>
      <c r="E4816">
        <v>30848962</v>
      </c>
      <c r="F4816" t="s">
        <v>1708</v>
      </c>
      <c r="G4816" s="1">
        <v>45233</v>
      </c>
      <c r="H4816">
        <v>5411516</v>
      </c>
      <c r="I4816">
        <v>72</v>
      </c>
      <c r="J4816" t="s">
        <v>176</v>
      </c>
      <c r="K4816" t="str">
        <f>IFERROR(IF(AND(VLOOKUP($C4816,Hes!$A:$B, 1, FALSE), $M4816&lt;&gt;" "), "Ingresada", "Falta Ingresar"), " ")</f>
        <v xml:space="preserve"> </v>
      </c>
      <c r="L4816" s="4" t="str">
        <f>IFERROR(VLOOKUP($C4816,Observaciones!$A:$B,2,FALSE)," ")</f>
        <v>XRUT</v>
      </c>
      <c r="M4816" t="s">
        <v>681</v>
      </c>
      <c r="O4816" s="5">
        <v>30848962</v>
      </c>
      <c r="P4816" s="5">
        <v>29991</v>
      </c>
      <c r="Q4816" s="5">
        <v>5698</v>
      </c>
      <c r="R4816" s="5">
        <v>35689</v>
      </c>
    </row>
    <row r="4817" spans="1:18" x14ac:dyDescent="0.25">
      <c r="A4817" t="s">
        <v>3</v>
      </c>
      <c r="B4817" t="s">
        <v>494</v>
      </c>
      <c r="C4817">
        <v>96670340</v>
      </c>
      <c r="D4817">
        <v>477</v>
      </c>
      <c r="E4817">
        <v>30848972</v>
      </c>
      <c r="F4817" t="s">
        <v>1708</v>
      </c>
      <c r="G4817" s="1">
        <v>45233</v>
      </c>
      <c r="H4817">
        <v>5411525</v>
      </c>
      <c r="I4817">
        <v>72</v>
      </c>
      <c r="J4817" t="s">
        <v>176</v>
      </c>
      <c r="K4817" t="str">
        <f>IFERROR(IF(AND(VLOOKUP($C4817,Hes!$A:$B, 1, FALSE), $M4817&lt;&gt;" "), "Ingresada", "Falta Ingresar"), " ")</f>
        <v xml:space="preserve"> </v>
      </c>
      <c r="L4817" s="4" t="str">
        <f>IFERROR(VLOOKUP($C4817,Observaciones!$A:$B,2,FALSE)," ")</f>
        <v>XRUT</v>
      </c>
      <c r="M4817" t="s">
        <v>681</v>
      </c>
      <c r="O4817" s="5">
        <v>30848972</v>
      </c>
      <c r="P4817" s="5">
        <v>29932</v>
      </c>
      <c r="Q4817" s="5">
        <v>5687</v>
      </c>
      <c r="R4817" s="5">
        <v>35619</v>
      </c>
    </row>
    <row r="4818" spans="1:18" x14ac:dyDescent="0.25">
      <c r="A4818" t="s">
        <v>3</v>
      </c>
      <c r="B4818" t="s">
        <v>494</v>
      </c>
      <c r="C4818">
        <v>96670340</v>
      </c>
      <c r="D4818">
        <v>619</v>
      </c>
      <c r="E4818">
        <v>30848884</v>
      </c>
      <c r="F4818" t="s">
        <v>1708</v>
      </c>
      <c r="G4818" s="1">
        <v>45233</v>
      </c>
      <c r="H4818">
        <v>5411526</v>
      </c>
      <c r="I4818">
        <v>72</v>
      </c>
      <c r="J4818" t="s">
        <v>176</v>
      </c>
      <c r="K4818" t="str">
        <f>IFERROR(IF(AND(VLOOKUP($C4818,Hes!$A:$B, 1, FALSE), $M4818&lt;&gt;" "), "Ingresada", "Falta Ingresar"), " ")</f>
        <v xml:space="preserve"> </v>
      </c>
      <c r="L4818" s="4" t="str">
        <f>IFERROR(VLOOKUP($C4818,Observaciones!$A:$B,2,FALSE)," ")</f>
        <v>XRUT</v>
      </c>
      <c r="M4818" t="s">
        <v>681</v>
      </c>
      <c r="O4818" s="5">
        <v>30848884</v>
      </c>
      <c r="P4818" s="5">
        <v>29941</v>
      </c>
      <c r="Q4818" s="5">
        <v>5689</v>
      </c>
      <c r="R4818" s="5">
        <v>35630</v>
      </c>
    </row>
    <row r="4819" spans="1:18" x14ac:dyDescent="0.25">
      <c r="A4819" t="s">
        <v>3</v>
      </c>
      <c r="B4819" t="s">
        <v>494</v>
      </c>
      <c r="C4819">
        <v>96670340</v>
      </c>
      <c r="D4819">
        <v>631</v>
      </c>
      <c r="E4819">
        <v>30848917</v>
      </c>
      <c r="F4819" t="s">
        <v>1708</v>
      </c>
      <c r="G4819" s="1">
        <v>45233</v>
      </c>
      <c r="H4819">
        <v>5411529</v>
      </c>
      <c r="I4819">
        <v>72</v>
      </c>
      <c r="J4819" t="s">
        <v>176</v>
      </c>
      <c r="K4819" t="str">
        <f>IFERROR(IF(AND(VLOOKUP($C4819,Hes!$A:$B, 1, FALSE), $M4819&lt;&gt;" "), "Ingresada", "Falta Ingresar"), " ")</f>
        <v xml:space="preserve"> </v>
      </c>
      <c r="L4819" s="4" t="str">
        <f>IFERROR(VLOOKUP($C4819,Observaciones!$A:$B,2,FALSE)," ")</f>
        <v>XRUT</v>
      </c>
      <c r="M4819" t="s">
        <v>681</v>
      </c>
      <c r="O4819" s="5">
        <v>30848917</v>
      </c>
      <c r="P4819" s="5">
        <v>3786</v>
      </c>
      <c r="Q4819" s="5">
        <v>719</v>
      </c>
      <c r="R4819" s="5">
        <v>4505</v>
      </c>
    </row>
    <row r="4820" spans="1:18" x14ac:dyDescent="0.25">
      <c r="A4820" t="s">
        <v>3</v>
      </c>
      <c r="B4820" t="s">
        <v>494</v>
      </c>
      <c r="C4820">
        <v>96670340</v>
      </c>
      <c r="D4820">
        <v>1113</v>
      </c>
      <c r="E4820">
        <v>30848927</v>
      </c>
      <c r="F4820" t="s">
        <v>1708</v>
      </c>
      <c r="G4820" s="1">
        <v>45233</v>
      </c>
      <c r="H4820">
        <v>5411533</v>
      </c>
      <c r="I4820">
        <v>72</v>
      </c>
      <c r="J4820" t="s">
        <v>176</v>
      </c>
      <c r="K4820" t="str">
        <f>IFERROR(IF(AND(VLOOKUP($C4820,Hes!$A:$B, 1, FALSE), $M4820&lt;&gt;" "), "Ingresada", "Falta Ingresar"), " ")</f>
        <v xml:space="preserve"> </v>
      </c>
      <c r="L4820" s="4" t="str">
        <f>IFERROR(VLOOKUP($C4820,Observaciones!$A:$B,2,FALSE)," ")</f>
        <v>XRUT</v>
      </c>
      <c r="M4820" t="s">
        <v>681</v>
      </c>
      <c r="O4820" s="5">
        <v>30848927</v>
      </c>
      <c r="P4820" s="5">
        <v>29926</v>
      </c>
      <c r="Q4820" s="5">
        <v>5686</v>
      </c>
      <c r="R4820" s="5">
        <v>35612</v>
      </c>
    </row>
    <row r="4821" spans="1:18" x14ac:dyDescent="0.25">
      <c r="A4821" t="s">
        <v>3</v>
      </c>
      <c r="B4821" t="s">
        <v>494</v>
      </c>
      <c r="C4821">
        <v>96670340</v>
      </c>
      <c r="D4821">
        <v>2402</v>
      </c>
      <c r="E4821">
        <v>30848891</v>
      </c>
      <c r="F4821" t="s">
        <v>1708</v>
      </c>
      <c r="G4821" s="1">
        <v>45233</v>
      </c>
      <c r="H4821">
        <v>5411566</v>
      </c>
      <c r="I4821">
        <v>72</v>
      </c>
      <c r="J4821" t="s">
        <v>176</v>
      </c>
      <c r="K4821" t="str">
        <f>IFERROR(IF(AND(VLOOKUP($C4821,Hes!$A:$B, 1, FALSE), $M4821&lt;&gt;" "), "Ingresada", "Falta Ingresar"), " ")</f>
        <v xml:space="preserve"> </v>
      </c>
      <c r="L4821" s="4" t="str">
        <f>IFERROR(VLOOKUP($C4821,Observaciones!$A:$B,2,FALSE)," ")</f>
        <v>XRUT</v>
      </c>
      <c r="M4821" t="s">
        <v>681</v>
      </c>
      <c r="O4821" s="5">
        <v>30848891</v>
      </c>
      <c r="P4821" s="5">
        <v>29672</v>
      </c>
      <c r="Q4821" s="5">
        <v>5638</v>
      </c>
      <c r="R4821" s="5">
        <v>35310</v>
      </c>
    </row>
    <row r="4822" spans="1:18" x14ac:dyDescent="0.25">
      <c r="A4822" t="s">
        <v>3</v>
      </c>
      <c r="B4822" t="s">
        <v>494</v>
      </c>
      <c r="C4822">
        <v>96670340</v>
      </c>
      <c r="D4822">
        <v>585</v>
      </c>
      <c r="E4822">
        <v>30850350</v>
      </c>
      <c r="F4822" t="s">
        <v>1708</v>
      </c>
      <c r="G4822" s="1">
        <v>45233</v>
      </c>
      <c r="H4822">
        <v>5411595</v>
      </c>
      <c r="I4822">
        <v>72</v>
      </c>
      <c r="J4822" t="s">
        <v>176</v>
      </c>
      <c r="K4822" t="str">
        <f>IFERROR(IF(AND(VLOOKUP($C4822,Hes!$A:$B, 1, FALSE), $M4822&lt;&gt;" "), "Ingresada", "Falta Ingresar"), " ")</f>
        <v xml:space="preserve"> </v>
      </c>
      <c r="L4822" s="4" t="str">
        <f>IFERROR(VLOOKUP($C4822,Observaciones!$A:$B,2,FALSE)," ")</f>
        <v>XRUT</v>
      </c>
      <c r="M4822" t="s">
        <v>681</v>
      </c>
      <c r="O4822" s="5">
        <v>30850350</v>
      </c>
      <c r="P4822" s="5">
        <v>28643</v>
      </c>
      <c r="Q4822" s="5">
        <v>5442</v>
      </c>
      <c r="R4822" s="5">
        <v>34085</v>
      </c>
    </row>
    <row r="4823" spans="1:18" x14ac:dyDescent="0.25">
      <c r="A4823" t="s">
        <v>3</v>
      </c>
      <c r="B4823" t="s">
        <v>494</v>
      </c>
      <c r="C4823">
        <v>96670340</v>
      </c>
      <c r="D4823">
        <v>457</v>
      </c>
      <c r="E4823">
        <v>30850849</v>
      </c>
      <c r="F4823" t="s">
        <v>1708</v>
      </c>
      <c r="G4823" s="1">
        <v>45233</v>
      </c>
      <c r="H4823">
        <v>5411615</v>
      </c>
      <c r="I4823">
        <v>72</v>
      </c>
      <c r="J4823" t="s">
        <v>176</v>
      </c>
      <c r="K4823" t="str">
        <f>IFERROR(IF(AND(VLOOKUP($C4823,Hes!$A:$B, 1, FALSE), $M4823&lt;&gt;" "), "Ingresada", "Falta Ingresar"), " ")</f>
        <v xml:space="preserve"> </v>
      </c>
      <c r="L4823" s="4" t="str">
        <f>IFERROR(VLOOKUP($C4823,Observaciones!$A:$B,2,FALSE)," ")</f>
        <v>XRUT</v>
      </c>
      <c r="M4823" t="s">
        <v>681</v>
      </c>
      <c r="O4823" s="5">
        <v>30850849</v>
      </c>
      <c r="P4823" s="5">
        <v>29933</v>
      </c>
      <c r="Q4823" s="5">
        <v>5687</v>
      </c>
      <c r="R4823" s="5">
        <v>35620</v>
      </c>
    </row>
    <row r="4824" spans="1:18" x14ac:dyDescent="0.25">
      <c r="A4824" t="s">
        <v>3</v>
      </c>
      <c r="B4824" t="s">
        <v>494</v>
      </c>
      <c r="C4824">
        <v>96670340</v>
      </c>
      <c r="D4824">
        <v>475</v>
      </c>
      <c r="E4824">
        <v>30851013</v>
      </c>
      <c r="F4824" t="s">
        <v>1708</v>
      </c>
      <c r="G4824" s="1">
        <v>45233</v>
      </c>
      <c r="H4824">
        <v>5411643</v>
      </c>
      <c r="I4824">
        <v>72</v>
      </c>
      <c r="J4824" t="s">
        <v>176</v>
      </c>
      <c r="K4824" t="str">
        <f>IFERROR(IF(AND(VLOOKUP($C4824,Hes!$A:$B, 1, FALSE), $M4824&lt;&gt;" "), "Ingresada", "Falta Ingresar"), " ")</f>
        <v xml:space="preserve"> </v>
      </c>
      <c r="L4824" s="4" t="str">
        <f>IFERROR(VLOOKUP($C4824,Observaciones!$A:$B,2,FALSE)," ")</f>
        <v>XRUT</v>
      </c>
      <c r="M4824" t="s">
        <v>681</v>
      </c>
      <c r="O4824" s="5">
        <v>30851013</v>
      </c>
      <c r="P4824" s="5">
        <v>29819</v>
      </c>
      <c r="Q4824" s="5">
        <v>5666</v>
      </c>
      <c r="R4824" s="5">
        <v>35485</v>
      </c>
    </row>
    <row r="4825" spans="1:18" x14ac:dyDescent="0.25">
      <c r="A4825" t="s">
        <v>3</v>
      </c>
      <c r="B4825" t="s">
        <v>494</v>
      </c>
      <c r="C4825">
        <v>96670340</v>
      </c>
      <c r="D4825">
        <v>80</v>
      </c>
      <c r="E4825">
        <v>30851254</v>
      </c>
      <c r="F4825" t="s">
        <v>1708</v>
      </c>
      <c r="G4825" s="1">
        <v>45233</v>
      </c>
      <c r="H4825">
        <v>5411665</v>
      </c>
      <c r="I4825">
        <v>72</v>
      </c>
      <c r="J4825" t="s">
        <v>176</v>
      </c>
      <c r="K4825" t="str">
        <f>IFERROR(IF(AND(VLOOKUP($C4825,Hes!$A:$B, 1, FALSE), $M4825&lt;&gt;" "), "Ingresada", "Falta Ingresar"), " ")</f>
        <v xml:space="preserve"> </v>
      </c>
      <c r="L4825" s="4" t="str">
        <f>IFERROR(VLOOKUP($C4825,Observaciones!$A:$B,2,FALSE)," ")</f>
        <v>XRUT</v>
      </c>
      <c r="M4825" t="s">
        <v>681</v>
      </c>
      <c r="O4825" s="5">
        <v>30851254</v>
      </c>
      <c r="P4825" s="5">
        <v>29940</v>
      </c>
      <c r="Q4825" s="5">
        <v>5689</v>
      </c>
      <c r="R4825" s="5">
        <v>35629</v>
      </c>
    </row>
    <row r="4826" spans="1:18" x14ac:dyDescent="0.25">
      <c r="A4826" t="s">
        <v>3</v>
      </c>
      <c r="B4826" t="s">
        <v>494</v>
      </c>
      <c r="C4826">
        <v>96670340</v>
      </c>
      <c r="D4826">
        <v>580</v>
      </c>
      <c r="E4826">
        <v>30851584</v>
      </c>
      <c r="F4826" t="s">
        <v>1708</v>
      </c>
      <c r="G4826" s="1">
        <v>45233</v>
      </c>
      <c r="H4826">
        <v>5411696</v>
      </c>
      <c r="I4826">
        <v>72</v>
      </c>
      <c r="J4826" t="s">
        <v>176</v>
      </c>
      <c r="K4826" t="str">
        <f>IFERROR(IF(AND(VLOOKUP($C4826,Hes!$A:$B, 1, FALSE), $M4826&lt;&gt;" "), "Ingresada", "Falta Ingresar"), " ")</f>
        <v xml:space="preserve"> </v>
      </c>
      <c r="L4826" s="4" t="str">
        <f>IFERROR(VLOOKUP($C4826,Observaciones!$A:$B,2,FALSE)," ")</f>
        <v>XRUT</v>
      </c>
      <c r="M4826" t="s">
        <v>681</v>
      </c>
      <c r="O4826" s="5">
        <v>30851584</v>
      </c>
      <c r="P4826" s="5">
        <v>29669</v>
      </c>
      <c r="Q4826" s="5">
        <v>5637</v>
      </c>
      <c r="R4826" s="5">
        <v>35306</v>
      </c>
    </row>
    <row r="4827" spans="1:18" x14ac:dyDescent="0.25">
      <c r="A4827" t="s">
        <v>3</v>
      </c>
      <c r="B4827" t="s">
        <v>494</v>
      </c>
      <c r="C4827">
        <v>96670340</v>
      </c>
      <c r="D4827">
        <v>1117</v>
      </c>
      <c r="E4827">
        <v>30850524</v>
      </c>
      <c r="F4827" t="s">
        <v>1708</v>
      </c>
      <c r="G4827" s="1">
        <v>45233</v>
      </c>
      <c r="H4827">
        <v>5411698</v>
      </c>
      <c r="I4827">
        <v>72</v>
      </c>
      <c r="J4827" t="s">
        <v>176</v>
      </c>
      <c r="K4827" t="str">
        <f>IFERROR(IF(AND(VLOOKUP($C4827,Hes!$A:$B, 1, FALSE), $M4827&lt;&gt;" "), "Ingresada", "Falta Ingresar"), " ")</f>
        <v xml:space="preserve"> </v>
      </c>
      <c r="L4827" s="4" t="str">
        <f>IFERROR(VLOOKUP($C4827,Observaciones!$A:$B,2,FALSE)," ")</f>
        <v>XRUT</v>
      </c>
      <c r="M4827" t="s">
        <v>681</v>
      </c>
      <c r="O4827" s="5">
        <v>30850524</v>
      </c>
      <c r="P4827" s="5">
        <v>29828</v>
      </c>
      <c r="Q4827" s="5">
        <v>5667</v>
      </c>
      <c r="R4827" s="5">
        <v>35495</v>
      </c>
    </row>
    <row r="4828" spans="1:18" x14ac:dyDescent="0.25">
      <c r="A4828" t="s">
        <v>3</v>
      </c>
      <c r="B4828" t="s">
        <v>494</v>
      </c>
      <c r="C4828">
        <v>96670340</v>
      </c>
      <c r="D4828">
        <v>1035</v>
      </c>
      <c r="E4828">
        <v>30848920</v>
      </c>
      <c r="F4828" t="s">
        <v>1708</v>
      </c>
      <c r="G4828" s="1">
        <v>45234</v>
      </c>
      <c r="H4828">
        <v>5411845</v>
      </c>
      <c r="I4828">
        <v>72</v>
      </c>
      <c r="J4828" t="s">
        <v>176</v>
      </c>
      <c r="K4828" t="str">
        <f>IFERROR(IF(AND(VLOOKUP($C4828,Hes!$A:$B, 1, FALSE), $M4828&lt;&gt;" "), "Ingresada", "Falta Ingresar"), " ")</f>
        <v xml:space="preserve"> </v>
      </c>
      <c r="L4828" s="4" t="str">
        <f>IFERROR(VLOOKUP($C4828,Observaciones!$A:$B,2,FALSE)," ")</f>
        <v>XRUT</v>
      </c>
      <c r="M4828" t="s">
        <v>681</v>
      </c>
      <c r="O4828" s="5">
        <v>30848920</v>
      </c>
      <c r="P4828" s="5">
        <v>27592</v>
      </c>
      <c r="Q4828" s="5">
        <v>5242</v>
      </c>
      <c r="R4828" s="5">
        <v>32834</v>
      </c>
    </row>
    <row r="4829" spans="1:18" x14ac:dyDescent="0.25">
      <c r="A4829" t="s">
        <v>3</v>
      </c>
      <c r="B4829" t="s">
        <v>494</v>
      </c>
      <c r="C4829">
        <v>96670340</v>
      </c>
      <c r="D4829">
        <v>466</v>
      </c>
      <c r="E4829">
        <v>30848945</v>
      </c>
      <c r="F4829" t="s">
        <v>1708</v>
      </c>
      <c r="G4829" s="1">
        <v>45235</v>
      </c>
      <c r="H4829">
        <v>5411912</v>
      </c>
      <c r="I4829">
        <v>72</v>
      </c>
      <c r="J4829" t="s">
        <v>176</v>
      </c>
      <c r="K4829" t="str">
        <f>IFERROR(IF(AND(VLOOKUP($C4829,Hes!$A:$B, 1, FALSE), $M4829&lt;&gt;" "), "Ingresada", "Falta Ingresar"), " ")</f>
        <v xml:space="preserve"> </v>
      </c>
      <c r="L4829" s="4" t="str">
        <f>IFERROR(VLOOKUP($C4829,Observaciones!$A:$B,2,FALSE)," ")</f>
        <v>XRUT</v>
      </c>
      <c r="M4829" t="s">
        <v>681</v>
      </c>
      <c r="O4829" s="5">
        <v>30848945</v>
      </c>
      <c r="P4829" s="5">
        <v>29993</v>
      </c>
      <c r="Q4829" s="5">
        <v>5699</v>
      </c>
      <c r="R4829" s="5">
        <v>35692</v>
      </c>
    </row>
    <row r="4830" spans="1:18" x14ac:dyDescent="0.25">
      <c r="A4830" t="s">
        <v>3</v>
      </c>
      <c r="B4830" t="s">
        <v>494</v>
      </c>
      <c r="C4830">
        <v>96670340</v>
      </c>
      <c r="D4830">
        <v>138</v>
      </c>
      <c r="E4830">
        <v>30848889</v>
      </c>
      <c r="F4830" t="s">
        <v>1708</v>
      </c>
      <c r="G4830" s="1">
        <v>45235</v>
      </c>
      <c r="H4830">
        <v>5411913</v>
      </c>
      <c r="I4830">
        <v>72</v>
      </c>
      <c r="J4830" t="s">
        <v>176</v>
      </c>
      <c r="K4830" t="str">
        <f>IFERROR(IF(AND(VLOOKUP($C4830,Hes!$A:$B, 1, FALSE), $M4830&lt;&gt;" "), "Ingresada", "Falta Ingresar"), " ")</f>
        <v xml:space="preserve"> </v>
      </c>
      <c r="L4830" s="4" t="str">
        <f>IFERROR(VLOOKUP($C4830,Observaciones!$A:$B,2,FALSE)," ")</f>
        <v>XRUT</v>
      </c>
      <c r="M4830" t="s">
        <v>681</v>
      </c>
      <c r="O4830" s="5">
        <v>30848889</v>
      </c>
      <c r="P4830" s="5">
        <v>25112</v>
      </c>
      <c r="Q4830" s="5">
        <v>4771</v>
      </c>
      <c r="R4830" s="5">
        <v>29883</v>
      </c>
    </row>
    <row r="4831" spans="1:18" x14ac:dyDescent="0.25">
      <c r="A4831" t="s">
        <v>3</v>
      </c>
      <c r="B4831" t="s">
        <v>494</v>
      </c>
      <c r="C4831">
        <v>96670340</v>
      </c>
      <c r="D4831">
        <v>1052</v>
      </c>
      <c r="E4831">
        <v>30848921</v>
      </c>
      <c r="F4831" t="s">
        <v>1708</v>
      </c>
      <c r="G4831" s="1">
        <v>45236</v>
      </c>
      <c r="H4831">
        <v>5411937</v>
      </c>
      <c r="I4831">
        <v>72</v>
      </c>
      <c r="J4831" t="s">
        <v>176</v>
      </c>
      <c r="K4831" t="str">
        <f>IFERROR(IF(AND(VLOOKUP($C4831,Hes!$A:$B, 1, FALSE), $M4831&lt;&gt;" "), "Ingresada", "Falta Ingresar"), " ")</f>
        <v xml:space="preserve"> </v>
      </c>
      <c r="L4831" s="4" t="str">
        <f>IFERROR(VLOOKUP($C4831,Observaciones!$A:$B,2,FALSE)," ")</f>
        <v>XRUT</v>
      </c>
      <c r="M4831" t="s">
        <v>681</v>
      </c>
      <c r="O4831" s="5">
        <v>30848921</v>
      </c>
      <c r="P4831" s="5">
        <v>29938</v>
      </c>
      <c r="Q4831" s="5">
        <v>5688</v>
      </c>
      <c r="R4831" s="5">
        <v>35626</v>
      </c>
    </row>
    <row r="4832" spans="1:18" x14ac:dyDescent="0.25">
      <c r="A4832" t="s">
        <v>3</v>
      </c>
      <c r="B4832" t="s">
        <v>494</v>
      </c>
      <c r="C4832">
        <v>96670340</v>
      </c>
      <c r="D4832">
        <v>981</v>
      </c>
      <c r="E4832">
        <v>30848950</v>
      </c>
      <c r="F4832" t="s">
        <v>1708</v>
      </c>
      <c r="G4832" s="1">
        <v>45236</v>
      </c>
      <c r="H4832">
        <v>5411963</v>
      </c>
      <c r="I4832">
        <v>72</v>
      </c>
      <c r="J4832" t="s">
        <v>176</v>
      </c>
      <c r="K4832" t="str">
        <f>IFERROR(IF(AND(VLOOKUP($C4832,Hes!$A:$B, 1, FALSE), $M4832&lt;&gt;" "), "Ingresada", "Falta Ingresar"), " ")</f>
        <v xml:space="preserve"> </v>
      </c>
      <c r="L4832" s="4" t="str">
        <f>IFERROR(VLOOKUP($C4832,Observaciones!$A:$B,2,FALSE)," ")</f>
        <v>XRUT</v>
      </c>
      <c r="M4832" t="s">
        <v>681</v>
      </c>
      <c r="O4832" s="5">
        <v>30848950</v>
      </c>
      <c r="P4832" s="5">
        <v>14944</v>
      </c>
      <c r="Q4832" s="5">
        <v>2839</v>
      </c>
      <c r="R4832" s="5">
        <v>17783</v>
      </c>
    </row>
    <row r="4833" spans="1:18" x14ac:dyDescent="0.25">
      <c r="A4833" t="s">
        <v>3</v>
      </c>
      <c r="B4833" t="s">
        <v>494</v>
      </c>
      <c r="C4833">
        <v>96670340</v>
      </c>
      <c r="D4833">
        <v>1089</v>
      </c>
      <c r="E4833">
        <v>30848946</v>
      </c>
      <c r="F4833" t="s">
        <v>1708</v>
      </c>
      <c r="G4833" s="1">
        <v>45236</v>
      </c>
      <c r="H4833">
        <v>5411971</v>
      </c>
      <c r="I4833">
        <v>72</v>
      </c>
      <c r="J4833" t="s">
        <v>176</v>
      </c>
      <c r="K4833" t="str">
        <f>IFERROR(IF(AND(VLOOKUP($C4833,Hes!$A:$B, 1, FALSE), $M4833&lt;&gt;" "), "Ingresada", "Falta Ingresar"), " ")</f>
        <v xml:space="preserve"> </v>
      </c>
      <c r="L4833" s="4" t="str">
        <f>IFERROR(VLOOKUP($C4833,Observaciones!$A:$B,2,FALSE)," ")</f>
        <v>XRUT</v>
      </c>
      <c r="M4833" t="s">
        <v>681</v>
      </c>
      <c r="O4833" s="5">
        <v>30848946</v>
      </c>
      <c r="P4833" s="5">
        <v>29959</v>
      </c>
      <c r="Q4833" s="5">
        <v>5692</v>
      </c>
      <c r="R4833" s="5">
        <v>35651</v>
      </c>
    </row>
    <row r="4834" spans="1:18" x14ac:dyDescent="0.25">
      <c r="A4834" t="s">
        <v>3</v>
      </c>
      <c r="B4834" t="s">
        <v>494</v>
      </c>
      <c r="C4834">
        <v>96670340</v>
      </c>
      <c r="D4834">
        <v>1057</v>
      </c>
      <c r="E4834">
        <v>30848966</v>
      </c>
      <c r="F4834" t="s">
        <v>1708</v>
      </c>
      <c r="G4834" s="1">
        <v>45236</v>
      </c>
      <c r="H4834">
        <v>5411992</v>
      </c>
      <c r="I4834">
        <v>72</v>
      </c>
      <c r="J4834" t="s">
        <v>176</v>
      </c>
      <c r="K4834" t="str">
        <f>IFERROR(IF(AND(VLOOKUP($C4834,Hes!$A:$B, 1, FALSE), $M4834&lt;&gt;" "), "Ingresada", "Falta Ingresar"), " ")</f>
        <v xml:space="preserve"> </v>
      </c>
      <c r="L4834" s="4" t="str">
        <f>IFERROR(VLOOKUP($C4834,Observaciones!$A:$B,2,FALSE)," ")</f>
        <v>XRUT</v>
      </c>
      <c r="M4834" t="s">
        <v>681</v>
      </c>
      <c r="O4834" s="5">
        <v>30848966</v>
      </c>
      <c r="P4834" s="5">
        <v>12002</v>
      </c>
      <c r="Q4834" s="5">
        <v>2280</v>
      </c>
      <c r="R4834" s="5">
        <v>14282</v>
      </c>
    </row>
    <row r="4835" spans="1:18" x14ac:dyDescent="0.25">
      <c r="A4835" t="s">
        <v>3</v>
      </c>
      <c r="B4835" t="s">
        <v>494</v>
      </c>
      <c r="C4835">
        <v>96670340</v>
      </c>
      <c r="D4835">
        <v>1063</v>
      </c>
      <c r="E4835">
        <v>30848931</v>
      </c>
      <c r="F4835" t="s">
        <v>1708</v>
      </c>
      <c r="G4835" s="1">
        <v>45236</v>
      </c>
      <c r="H4835">
        <v>5411993</v>
      </c>
      <c r="I4835">
        <v>72</v>
      </c>
      <c r="J4835" t="s">
        <v>176</v>
      </c>
      <c r="K4835" t="str">
        <f>IFERROR(IF(AND(VLOOKUP($C4835,Hes!$A:$B, 1, FALSE), $M4835&lt;&gt;" "), "Ingresada", "Falta Ingresar"), " ")</f>
        <v xml:space="preserve"> </v>
      </c>
      <c r="L4835" s="4" t="str">
        <f>IFERROR(VLOOKUP($C4835,Observaciones!$A:$B,2,FALSE)," ")</f>
        <v>XRUT</v>
      </c>
      <c r="M4835" t="s">
        <v>681</v>
      </c>
      <c r="O4835" s="5">
        <v>30848931</v>
      </c>
      <c r="P4835" s="5">
        <v>29535</v>
      </c>
      <c r="Q4835" s="5">
        <v>5612</v>
      </c>
      <c r="R4835" s="5">
        <v>35147</v>
      </c>
    </row>
    <row r="4836" spans="1:18" x14ac:dyDescent="0.25">
      <c r="A4836" t="s">
        <v>3</v>
      </c>
      <c r="B4836" t="s">
        <v>494</v>
      </c>
      <c r="C4836">
        <v>96670340</v>
      </c>
      <c r="D4836">
        <v>559</v>
      </c>
      <c r="E4836">
        <v>30848895</v>
      </c>
      <c r="F4836" t="s">
        <v>1708</v>
      </c>
      <c r="G4836" s="1">
        <v>45236</v>
      </c>
      <c r="H4836">
        <v>5411999</v>
      </c>
      <c r="I4836">
        <v>72</v>
      </c>
      <c r="J4836" t="s">
        <v>176</v>
      </c>
      <c r="K4836" t="str">
        <f>IFERROR(IF(AND(VLOOKUP($C4836,Hes!$A:$B, 1, FALSE), $M4836&lt;&gt;" "), "Ingresada", "Falta Ingresar"), " ")</f>
        <v xml:space="preserve"> </v>
      </c>
      <c r="L4836" s="4" t="str">
        <f>IFERROR(VLOOKUP($C4836,Observaciones!$A:$B,2,FALSE)," ")</f>
        <v>XRUT</v>
      </c>
      <c r="M4836" t="s">
        <v>681</v>
      </c>
      <c r="O4836" s="5">
        <v>30848895</v>
      </c>
      <c r="P4836" s="5">
        <v>29665</v>
      </c>
      <c r="Q4836" s="5">
        <v>5636</v>
      </c>
      <c r="R4836" s="5">
        <v>35301</v>
      </c>
    </row>
    <row r="4837" spans="1:18" x14ac:dyDescent="0.25">
      <c r="A4837" t="s">
        <v>3</v>
      </c>
      <c r="B4837" t="s">
        <v>494</v>
      </c>
      <c r="C4837">
        <v>96670340</v>
      </c>
      <c r="D4837">
        <v>529</v>
      </c>
      <c r="E4837">
        <v>30849960</v>
      </c>
      <c r="F4837" t="s">
        <v>1708</v>
      </c>
      <c r="G4837" s="1">
        <v>45236</v>
      </c>
      <c r="H4837">
        <v>5412026</v>
      </c>
      <c r="I4837">
        <v>72</v>
      </c>
      <c r="J4837" t="s">
        <v>176</v>
      </c>
      <c r="K4837" t="str">
        <f>IFERROR(IF(AND(VLOOKUP($C4837,Hes!$A:$B, 1, FALSE), $M4837&lt;&gt;" "), "Ingresada", "Falta Ingresar"), " ")</f>
        <v xml:space="preserve"> </v>
      </c>
      <c r="L4837" s="4" t="str">
        <f>IFERROR(VLOOKUP($C4837,Observaciones!$A:$B,2,FALSE)," ")</f>
        <v>XRUT</v>
      </c>
      <c r="M4837" t="s">
        <v>681</v>
      </c>
      <c r="O4837" s="5">
        <v>30849960</v>
      </c>
      <c r="P4837" s="5">
        <v>29430</v>
      </c>
      <c r="Q4837" s="5">
        <v>5592</v>
      </c>
      <c r="R4837" s="5">
        <v>35022</v>
      </c>
    </row>
    <row r="4838" spans="1:18" x14ac:dyDescent="0.25">
      <c r="A4838" t="s">
        <v>3</v>
      </c>
      <c r="B4838" t="s">
        <v>494</v>
      </c>
      <c r="C4838">
        <v>96670340</v>
      </c>
      <c r="D4838">
        <v>101</v>
      </c>
      <c r="E4838">
        <v>30848985</v>
      </c>
      <c r="F4838" t="s">
        <v>1708</v>
      </c>
      <c r="G4838" s="1">
        <v>45236</v>
      </c>
      <c r="H4838">
        <v>5412044</v>
      </c>
      <c r="I4838">
        <v>72</v>
      </c>
      <c r="J4838" t="s">
        <v>176</v>
      </c>
      <c r="K4838" t="str">
        <f>IFERROR(IF(AND(VLOOKUP($C4838,Hes!$A:$B, 1, FALSE), $M4838&lt;&gt;" "), "Ingresada", "Falta Ingresar"), " ")</f>
        <v xml:space="preserve"> </v>
      </c>
      <c r="L4838" s="4" t="str">
        <f>IFERROR(VLOOKUP($C4838,Observaciones!$A:$B,2,FALSE)," ")</f>
        <v>XRUT</v>
      </c>
      <c r="M4838" t="s">
        <v>681</v>
      </c>
      <c r="O4838" s="5">
        <v>30848985</v>
      </c>
      <c r="P4838" s="5">
        <v>29740</v>
      </c>
      <c r="Q4838" s="5">
        <v>5651</v>
      </c>
      <c r="R4838" s="5">
        <v>35391</v>
      </c>
    </row>
    <row r="4839" spans="1:18" x14ac:dyDescent="0.25">
      <c r="A4839" t="s">
        <v>3</v>
      </c>
      <c r="B4839" t="s">
        <v>494</v>
      </c>
      <c r="C4839">
        <v>96670340</v>
      </c>
      <c r="D4839">
        <v>1142</v>
      </c>
      <c r="E4839">
        <v>30848977</v>
      </c>
      <c r="F4839" t="s">
        <v>1708</v>
      </c>
      <c r="G4839" s="1">
        <v>45236</v>
      </c>
      <c r="H4839">
        <v>5412050</v>
      </c>
      <c r="I4839">
        <v>72</v>
      </c>
      <c r="J4839" t="s">
        <v>176</v>
      </c>
      <c r="K4839" t="str">
        <f>IFERROR(IF(AND(VLOOKUP($C4839,Hes!$A:$B, 1, FALSE), $M4839&lt;&gt;" "), "Ingresada", "Falta Ingresar"), " ")</f>
        <v xml:space="preserve"> </v>
      </c>
      <c r="L4839" s="4" t="str">
        <f>IFERROR(VLOOKUP($C4839,Observaciones!$A:$B,2,FALSE)," ")</f>
        <v>XRUT</v>
      </c>
      <c r="M4839" t="s">
        <v>681</v>
      </c>
      <c r="O4839" s="5">
        <v>30848977</v>
      </c>
      <c r="P4839" s="5">
        <v>26794</v>
      </c>
      <c r="Q4839" s="5">
        <v>5091</v>
      </c>
      <c r="R4839" s="5">
        <v>31885</v>
      </c>
    </row>
    <row r="4840" spans="1:18" x14ac:dyDescent="0.25">
      <c r="A4840" t="s">
        <v>3</v>
      </c>
      <c r="B4840" t="s">
        <v>494</v>
      </c>
      <c r="C4840">
        <v>96670340</v>
      </c>
      <c r="D4840">
        <v>286</v>
      </c>
      <c r="E4840">
        <v>30851660</v>
      </c>
      <c r="F4840" t="s">
        <v>1708</v>
      </c>
      <c r="G4840" s="1">
        <v>45234</v>
      </c>
      <c r="H4840">
        <v>5412080</v>
      </c>
      <c r="I4840">
        <v>72</v>
      </c>
      <c r="J4840" t="s">
        <v>176</v>
      </c>
      <c r="K4840" t="str">
        <f>IFERROR(IF(AND(VLOOKUP($C4840,Hes!$A:$B, 1, FALSE), $M4840&lt;&gt;" "), "Ingresada", "Falta Ingresar"), " ")</f>
        <v xml:space="preserve"> </v>
      </c>
      <c r="L4840" s="4" t="str">
        <f>IFERROR(VLOOKUP($C4840,Observaciones!$A:$B,2,FALSE)," ")</f>
        <v>XRUT</v>
      </c>
      <c r="M4840" t="s">
        <v>681</v>
      </c>
      <c r="O4840" s="5">
        <v>30851660</v>
      </c>
      <c r="P4840" s="5">
        <v>29747</v>
      </c>
      <c r="Q4840" s="5">
        <v>5652</v>
      </c>
      <c r="R4840" s="5">
        <v>35399</v>
      </c>
    </row>
    <row r="4841" spans="1:18" x14ac:dyDescent="0.25">
      <c r="A4841" t="s">
        <v>3</v>
      </c>
      <c r="B4841" t="s">
        <v>494</v>
      </c>
      <c r="C4841">
        <v>96670340</v>
      </c>
      <c r="D4841">
        <v>1070</v>
      </c>
      <c r="E4841">
        <v>30852222</v>
      </c>
      <c r="F4841" t="s">
        <v>1708</v>
      </c>
      <c r="G4841" s="1">
        <v>45236</v>
      </c>
      <c r="H4841">
        <v>5412110</v>
      </c>
      <c r="I4841">
        <v>72</v>
      </c>
      <c r="J4841" t="s">
        <v>176</v>
      </c>
      <c r="K4841" t="str">
        <f>IFERROR(IF(AND(VLOOKUP($C4841,Hes!$A:$B, 1, FALSE), $M4841&lt;&gt;" "), "Ingresada", "Falta Ingresar"), " ")</f>
        <v xml:space="preserve"> </v>
      </c>
      <c r="L4841" s="4" t="str">
        <f>IFERROR(VLOOKUP($C4841,Observaciones!$A:$B,2,FALSE)," ")</f>
        <v>XRUT</v>
      </c>
      <c r="M4841" t="s">
        <v>681</v>
      </c>
      <c r="O4841" s="5">
        <v>30852222</v>
      </c>
      <c r="P4841" s="5">
        <v>29050</v>
      </c>
      <c r="Q4841" s="5">
        <v>5520</v>
      </c>
      <c r="R4841" s="5">
        <v>34570</v>
      </c>
    </row>
    <row r="4842" spans="1:18" x14ac:dyDescent="0.25">
      <c r="A4842" t="s">
        <v>3</v>
      </c>
      <c r="B4842" t="s">
        <v>494</v>
      </c>
      <c r="C4842">
        <v>96670340</v>
      </c>
      <c r="D4842">
        <v>593</v>
      </c>
      <c r="E4842">
        <v>30850748</v>
      </c>
      <c r="F4842" t="s">
        <v>1708</v>
      </c>
      <c r="G4842" s="1">
        <v>45235</v>
      </c>
      <c r="H4842">
        <v>5412138</v>
      </c>
      <c r="I4842">
        <v>72</v>
      </c>
      <c r="J4842" t="s">
        <v>176</v>
      </c>
      <c r="K4842" t="str">
        <f>IFERROR(IF(AND(VLOOKUP($C4842,Hes!$A:$B, 1, FALSE), $M4842&lt;&gt;" "), "Ingresada", "Falta Ingresar"), " ")</f>
        <v xml:space="preserve"> </v>
      </c>
      <c r="L4842" s="4" t="str">
        <f>IFERROR(VLOOKUP($C4842,Observaciones!$A:$B,2,FALSE)," ")</f>
        <v>XRUT</v>
      </c>
      <c r="M4842" t="s">
        <v>681</v>
      </c>
      <c r="O4842" s="5">
        <v>30850748</v>
      </c>
      <c r="P4842" s="5">
        <v>29879</v>
      </c>
      <c r="Q4842" s="5">
        <v>5677</v>
      </c>
      <c r="R4842" s="5">
        <v>35556</v>
      </c>
    </row>
    <row r="4843" spans="1:18" x14ac:dyDescent="0.25">
      <c r="A4843" t="s">
        <v>3</v>
      </c>
      <c r="B4843" t="s">
        <v>494</v>
      </c>
      <c r="C4843">
        <v>96670340</v>
      </c>
      <c r="D4843">
        <v>953</v>
      </c>
      <c r="E4843">
        <v>30849944</v>
      </c>
      <c r="F4843" t="s">
        <v>1708</v>
      </c>
      <c r="G4843" s="1">
        <v>45235</v>
      </c>
      <c r="H4843">
        <v>5412140</v>
      </c>
      <c r="I4843">
        <v>72</v>
      </c>
      <c r="J4843" t="s">
        <v>176</v>
      </c>
      <c r="K4843" t="str">
        <f>IFERROR(IF(AND(VLOOKUP($C4843,Hes!$A:$B, 1, FALSE), $M4843&lt;&gt;" "), "Ingresada", "Falta Ingresar"), " ")</f>
        <v xml:space="preserve"> </v>
      </c>
      <c r="L4843" s="4" t="str">
        <f>IFERROR(VLOOKUP($C4843,Observaciones!$A:$B,2,FALSE)," ")</f>
        <v>XRUT</v>
      </c>
      <c r="M4843" t="s">
        <v>681</v>
      </c>
      <c r="O4843" s="5">
        <v>30849944</v>
      </c>
      <c r="P4843" s="5">
        <v>29268</v>
      </c>
      <c r="Q4843" s="5">
        <v>5561</v>
      </c>
      <c r="R4843" s="5">
        <v>34829</v>
      </c>
    </row>
    <row r="4844" spans="1:18" x14ac:dyDescent="0.25">
      <c r="A4844" t="s">
        <v>3</v>
      </c>
      <c r="B4844" t="s">
        <v>494</v>
      </c>
      <c r="C4844">
        <v>96670340</v>
      </c>
      <c r="D4844">
        <v>1109</v>
      </c>
      <c r="E4844">
        <v>30850092</v>
      </c>
      <c r="F4844" t="s">
        <v>1708</v>
      </c>
      <c r="G4844" s="1">
        <v>45236</v>
      </c>
      <c r="H4844">
        <v>5412144</v>
      </c>
      <c r="I4844">
        <v>72</v>
      </c>
      <c r="J4844" t="s">
        <v>176</v>
      </c>
      <c r="K4844" t="str">
        <f>IFERROR(IF(AND(VLOOKUP($C4844,Hes!$A:$B, 1, FALSE), $M4844&lt;&gt;" "), "Ingresada", "Falta Ingresar"), " ")</f>
        <v xml:space="preserve"> </v>
      </c>
      <c r="L4844" s="4" t="str">
        <f>IFERROR(VLOOKUP($C4844,Observaciones!$A:$B,2,FALSE)," ")</f>
        <v>XRUT</v>
      </c>
      <c r="M4844" t="s">
        <v>681</v>
      </c>
      <c r="O4844" s="5">
        <v>30850092</v>
      </c>
      <c r="P4844" s="5">
        <v>29041</v>
      </c>
      <c r="Q4844" s="5">
        <v>5518</v>
      </c>
      <c r="R4844" s="5">
        <v>34559</v>
      </c>
    </row>
    <row r="4845" spans="1:18" x14ac:dyDescent="0.25">
      <c r="A4845" t="s">
        <v>3</v>
      </c>
      <c r="B4845" t="s">
        <v>494</v>
      </c>
      <c r="C4845">
        <v>96670340</v>
      </c>
      <c r="D4845">
        <v>972</v>
      </c>
      <c r="E4845">
        <v>30851260</v>
      </c>
      <c r="F4845" t="s">
        <v>1708</v>
      </c>
      <c r="G4845" s="1">
        <v>45234</v>
      </c>
      <c r="H4845">
        <v>5412168</v>
      </c>
      <c r="I4845">
        <v>72</v>
      </c>
      <c r="J4845" t="s">
        <v>176</v>
      </c>
      <c r="K4845" t="str">
        <f>IFERROR(IF(AND(VLOOKUP($C4845,Hes!$A:$B, 1, FALSE), $M4845&lt;&gt;" "), "Ingresada", "Falta Ingresar"), " ")</f>
        <v xml:space="preserve"> </v>
      </c>
      <c r="L4845" s="4" t="str">
        <f>IFERROR(VLOOKUP($C4845,Observaciones!$A:$B,2,FALSE)," ")</f>
        <v>XRUT</v>
      </c>
      <c r="M4845" t="s">
        <v>681</v>
      </c>
      <c r="O4845" s="5">
        <v>30851260</v>
      </c>
      <c r="P4845" s="5">
        <v>29915</v>
      </c>
      <c r="Q4845" s="5">
        <v>5684</v>
      </c>
      <c r="R4845" s="5">
        <v>35599</v>
      </c>
    </row>
    <row r="4846" spans="1:18" x14ac:dyDescent="0.25">
      <c r="A4846" t="s">
        <v>3</v>
      </c>
      <c r="B4846" t="s">
        <v>494</v>
      </c>
      <c r="C4846">
        <v>96670340</v>
      </c>
      <c r="D4846">
        <v>463</v>
      </c>
      <c r="E4846">
        <v>30853424</v>
      </c>
      <c r="F4846" t="s">
        <v>1708</v>
      </c>
      <c r="G4846" s="1">
        <v>45234</v>
      </c>
      <c r="H4846">
        <v>5412206</v>
      </c>
      <c r="I4846">
        <v>72</v>
      </c>
      <c r="J4846" t="s">
        <v>176</v>
      </c>
      <c r="K4846" t="str">
        <f>IFERROR(IF(AND(VLOOKUP($C4846,Hes!$A:$B, 1, FALSE), $M4846&lt;&gt;" "), "Ingresada", "Falta Ingresar"), " ")</f>
        <v xml:space="preserve"> </v>
      </c>
      <c r="L4846" s="4" t="str">
        <f>IFERROR(VLOOKUP($C4846,Observaciones!$A:$B,2,FALSE)," ")</f>
        <v>XRUT</v>
      </c>
      <c r="M4846" t="s">
        <v>681</v>
      </c>
      <c r="O4846" s="5">
        <v>30853424</v>
      </c>
      <c r="P4846" s="5">
        <v>29841</v>
      </c>
      <c r="Q4846" s="5">
        <v>5670</v>
      </c>
      <c r="R4846" s="5">
        <v>35511</v>
      </c>
    </row>
    <row r="4847" spans="1:18" x14ac:dyDescent="0.25">
      <c r="A4847" t="s">
        <v>3</v>
      </c>
      <c r="B4847" t="s">
        <v>494</v>
      </c>
      <c r="C4847">
        <v>96670340</v>
      </c>
      <c r="D4847">
        <v>1102</v>
      </c>
      <c r="E4847">
        <v>30852825</v>
      </c>
      <c r="F4847" t="s">
        <v>1708</v>
      </c>
      <c r="G4847" s="1">
        <v>45236</v>
      </c>
      <c r="H4847">
        <v>5412232</v>
      </c>
      <c r="I4847">
        <v>72</v>
      </c>
      <c r="J4847" t="s">
        <v>176</v>
      </c>
      <c r="K4847" t="str">
        <f>IFERROR(IF(AND(VLOOKUP($C4847,Hes!$A:$B, 1, FALSE), $M4847&lt;&gt;" "), "Ingresada", "Falta Ingresar"), " ")</f>
        <v xml:space="preserve"> </v>
      </c>
      <c r="L4847" s="4" t="str">
        <f>IFERROR(VLOOKUP($C4847,Observaciones!$A:$B,2,FALSE)," ")</f>
        <v>XRUT</v>
      </c>
      <c r="M4847" t="s">
        <v>681</v>
      </c>
      <c r="O4847" s="5">
        <v>30852825</v>
      </c>
      <c r="P4847" s="5">
        <v>29890</v>
      </c>
      <c r="Q4847" s="5">
        <v>5679</v>
      </c>
      <c r="R4847" s="5">
        <v>35569</v>
      </c>
    </row>
    <row r="4848" spans="1:18" x14ac:dyDescent="0.25">
      <c r="A4848" t="s">
        <v>3</v>
      </c>
      <c r="B4848" t="s">
        <v>494</v>
      </c>
      <c r="C4848">
        <v>96670340</v>
      </c>
      <c r="D4848">
        <v>1105</v>
      </c>
      <c r="E4848">
        <v>30852342</v>
      </c>
      <c r="F4848" t="s">
        <v>1708</v>
      </c>
      <c r="G4848" s="1">
        <v>45236</v>
      </c>
      <c r="H4848">
        <v>5412258</v>
      </c>
      <c r="I4848">
        <v>72</v>
      </c>
      <c r="J4848" t="s">
        <v>176</v>
      </c>
      <c r="K4848" t="str">
        <f>IFERROR(IF(AND(VLOOKUP($C4848,Hes!$A:$B, 1, FALSE), $M4848&lt;&gt;" "), "Ingresada", "Falta Ingresar"), " ")</f>
        <v xml:space="preserve"> </v>
      </c>
      <c r="L4848" s="4" t="str">
        <f>IFERROR(VLOOKUP($C4848,Observaciones!$A:$B,2,FALSE)," ")</f>
        <v>XRUT</v>
      </c>
      <c r="M4848" t="s">
        <v>681</v>
      </c>
      <c r="O4848" s="5">
        <v>30852342</v>
      </c>
      <c r="P4848" s="5">
        <v>29677</v>
      </c>
      <c r="Q4848" s="5">
        <v>5639</v>
      </c>
      <c r="R4848" s="5">
        <v>35316</v>
      </c>
    </row>
    <row r="4849" spans="1:18" x14ac:dyDescent="0.25">
      <c r="A4849" t="s">
        <v>3</v>
      </c>
      <c r="B4849" t="s">
        <v>494</v>
      </c>
      <c r="C4849">
        <v>96670340</v>
      </c>
      <c r="D4849">
        <v>1054</v>
      </c>
      <c r="E4849">
        <v>30853284</v>
      </c>
      <c r="F4849" t="s">
        <v>1708</v>
      </c>
      <c r="G4849" s="1">
        <v>45236</v>
      </c>
      <c r="H4849">
        <v>5412315</v>
      </c>
      <c r="I4849">
        <v>72</v>
      </c>
      <c r="J4849" t="s">
        <v>176</v>
      </c>
      <c r="K4849" t="str">
        <f>IFERROR(IF(AND(VLOOKUP($C4849,Hes!$A:$B, 1, FALSE), $M4849&lt;&gt;" "), "Ingresada", "Falta Ingresar"), " ")</f>
        <v xml:space="preserve"> </v>
      </c>
      <c r="L4849" s="4" t="str">
        <f>IFERROR(VLOOKUP($C4849,Observaciones!$A:$B,2,FALSE)," ")</f>
        <v>XRUT</v>
      </c>
      <c r="M4849" t="s">
        <v>681</v>
      </c>
      <c r="O4849" s="5">
        <v>30853284</v>
      </c>
      <c r="P4849" s="5">
        <v>29693</v>
      </c>
      <c r="Q4849" s="5">
        <v>5642</v>
      </c>
      <c r="R4849" s="5">
        <v>35335</v>
      </c>
    </row>
    <row r="4850" spans="1:18" x14ac:dyDescent="0.25">
      <c r="A4850" t="s">
        <v>3</v>
      </c>
      <c r="B4850" t="s">
        <v>494</v>
      </c>
      <c r="C4850">
        <v>96670340</v>
      </c>
      <c r="D4850">
        <v>2405</v>
      </c>
      <c r="E4850">
        <v>30851759</v>
      </c>
      <c r="F4850" t="s">
        <v>1708</v>
      </c>
      <c r="G4850" s="1">
        <v>45236</v>
      </c>
      <c r="H4850">
        <v>5412362</v>
      </c>
      <c r="I4850">
        <v>72</v>
      </c>
      <c r="J4850" t="s">
        <v>176</v>
      </c>
      <c r="K4850" t="str">
        <f>IFERROR(IF(AND(VLOOKUP($C4850,Hes!$A:$B, 1, FALSE), $M4850&lt;&gt;" "), "Ingresada", "Falta Ingresar"), " ")</f>
        <v xml:space="preserve"> </v>
      </c>
      <c r="L4850" s="4" t="str">
        <f>IFERROR(VLOOKUP($C4850,Observaciones!$A:$B,2,FALSE)," ")</f>
        <v>XRUT</v>
      </c>
      <c r="M4850" t="s">
        <v>681</v>
      </c>
      <c r="O4850" s="5">
        <v>30851759</v>
      </c>
      <c r="P4850" s="5">
        <v>28220</v>
      </c>
      <c r="Q4850" s="5">
        <v>5362</v>
      </c>
      <c r="R4850" s="5">
        <v>33582</v>
      </c>
    </row>
    <row r="4851" spans="1:18" x14ac:dyDescent="0.25">
      <c r="A4851" t="s">
        <v>3</v>
      </c>
      <c r="B4851" t="s">
        <v>494</v>
      </c>
      <c r="C4851">
        <v>96670340</v>
      </c>
      <c r="D4851">
        <v>626</v>
      </c>
      <c r="E4851">
        <v>30853316</v>
      </c>
      <c r="F4851" t="s">
        <v>1708</v>
      </c>
      <c r="G4851" s="1">
        <v>45234</v>
      </c>
      <c r="H4851">
        <v>5412403</v>
      </c>
      <c r="I4851">
        <v>72</v>
      </c>
      <c r="J4851" t="s">
        <v>176</v>
      </c>
      <c r="K4851" t="str">
        <f>IFERROR(IF(AND(VLOOKUP($C4851,Hes!$A:$B, 1, FALSE), $M4851&lt;&gt;" "), "Ingresada", "Falta Ingresar"), " ")</f>
        <v xml:space="preserve"> </v>
      </c>
      <c r="L4851" s="4" t="str">
        <f>IFERROR(VLOOKUP($C4851,Observaciones!$A:$B,2,FALSE)," ")</f>
        <v>XRUT</v>
      </c>
      <c r="M4851" t="s">
        <v>681</v>
      </c>
      <c r="O4851" s="5">
        <v>30853316</v>
      </c>
      <c r="P4851" s="5">
        <v>5576</v>
      </c>
      <c r="Q4851" s="5">
        <v>1059</v>
      </c>
      <c r="R4851" s="5">
        <v>6635</v>
      </c>
    </row>
    <row r="4852" spans="1:18" x14ac:dyDescent="0.25">
      <c r="A4852" t="s">
        <v>3</v>
      </c>
      <c r="B4852" t="s">
        <v>494</v>
      </c>
      <c r="C4852">
        <v>96670340</v>
      </c>
      <c r="D4852">
        <v>460</v>
      </c>
      <c r="E4852">
        <v>30852707</v>
      </c>
      <c r="F4852" t="s">
        <v>1708</v>
      </c>
      <c r="G4852" s="1">
        <v>45236</v>
      </c>
      <c r="H4852">
        <v>5412424</v>
      </c>
      <c r="I4852">
        <v>72</v>
      </c>
      <c r="J4852" t="s">
        <v>176</v>
      </c>
      <c r="K4852" t="str">
        <f>IFERROR(IF(AND(VLOOKUP($C4852,Hes!$A:$B, 1, FALSE), $M4852&lt;&gt;" "), "Ingresada", "Falta Ingresar"), " ")</f>
        <v xml:space="preserve"> </v>
      </c>
      <c r="L4852" s="4" t="str">
        <f>IFERROR(VLOOKUP($C4852,Observaciones!$A:$B,2,FALSE)," ")</f>
        <v>XRUT</v>
      </c>
      <c r="M4852" t="s">
        <v>681</v>
      </c>
      <c r="O4852" s="5">
        <v>30852707</v>
      </c>
      <c r="P4852" s="5">
        <v>29972</v>
      </c>
      <c r="Q4852" s="5">
        <v>5695</v>
      </c>
      <c r="R4852" s="5">
        <v>35667</v>
      </c>
    </row>
    <row r="4853" spans="1:18" x14ac:dyDescent="0.25">
      <c r="A4853" t="s">
        <v>3</v>
      </c>
      <c r="B4853" t="s">
        <v>494</v>
      </c>
      <c r="C4853">
        <v>96670340</v>
      </c>
      <c r="D4853">
        <v>1146</v>
      </c>
      <c r="E4853">
        <v>30851171</v>
      </c>
      <c r="F4853" t="s">
        <v>1708</v>
      </c>
      <c r="G4853" s="1">
        <v>45236</v>
      </c>
      <c r="H4853">
        <v>5412433</v>
      </c>
      <c r="I4853">
        <v>72</v>
      </c>
      <c r="J4853" t="s">
        <v>176</v>
      </c>
      <c r="K4853" t="str">
        <f>IFERROR(IF(AND(VLOOKUP($C4853,Hes!$A:$B, 1, FALSE), $M4853&lt;&gt;" "), "Ingresada", "Falta Ingresar"), " ")</f>
        <v xml:space="preserve"> </v>
      </c>
      <c r="L4853" s="4" t="str">
        <f>IFERROR(VLOOKUP($C4853,Observaciones!$A:$B,2,FALSE)," ")</f>
        <v>XRUT</v>
      </c>
      <c r="M4853" t="s">
        <v>681</v>
      </c>
      <c r="O4853" s="5">
        <v>30851171</v>
      </c>
      <c r="P4853" s="5">
        <v>29902</v>
      </c>
      <c r="Q4853" s="5">
        <v>5681</v>
      </c>
      <c r="R4853" s="5">
        <v>35583</v>
      </c>
    </row>
    <row r="4854" spans="1:18" x14ac:dyDescent="0.25">
      <c r="A4854" t="s">
        <v>3</v>
      </c>
      <c r="B4854" t="s">
        <v>494</v>
      </c>
      <c r="C4854">
        <v>96670340</v>
      </c>
      <c r="D4854">
        <v>634</v>
      </c>
      <c r="E4854">
        <v>30850107</v>
      </c>
      <c r="F4854" t="s">
        <v>1708</v>
      </c>
      <c r="G4854" s="1">
        <v>45236</v>
      </c>
      <c r="H4854">
        <v>5412551</v>
      </c>
      <c r="I4854">
        <v>72</v>
      </c>
      <c r="J4854" t="s">
        <v>176</v>
      </c>
      <c r="K4854" t="str">
        <f>IFERROR(IF(AND(VLOOKUP($C4854,Hes!$A:$B, 1, FALSE), $M4854&lt;&gt;" "), "Ingresada", "Falta Ingresar"), " ")</f>
        <v xml:space="preserve"> </v>
      </c>
      <c r="L4854" s="4" t="str">
        <f>IFERROR(VLOOKUP($C4854,Observaciones!$A:$B,2,FALSE)," ")</f>
        <v>XRUT</v>
      </c>
      <c r="M4854" t="s">
        <v>681</v>
      </c>
      <c r="O4854" s="5">
        <v>30850107</v>
      </c>
      <c r="P4854" s="5">
        <v>29735</v>
      </c>
      <c r="Q4854" s="5">
        <v>5650</v>
      </c>
      <c r="R4854" s="5">
        <v>35385</v>
      </c>
    </row>
    <row r="4855" spans="1:18" x14ac:dyDescent="0.25">
      <c r="A4855" t="s">
        <v>3</v>
      </c>
      <c r="B4855" t="s">
        <v>494</v>
      </c>
      <c r="C4855">
        <v>96670340</v>
      </c>
      <c r="D4855">
        <v>107</v>
      </c>
      <c r="E4855">
        <v>30849715</v>
      </c>
      <c r="F4855" t="s">
        <v>1708</v>
      </c>
      <c r="G4855" s="1">
        <v>45236</v>
      </c>
      <c r="H4855">
        <v>5412559</v>
      </c>
      <c r="I4855">
        <v>72</v>
      </c>
      <c r="J4855" t="s">
        <v>176</v>
      </c>
      <c r="K4855" t="str">
        <f>IFERROR(IF(AND(VLOOKUP($C4855,Hes!$A:$B, 1, FALSE), $M4855&lt;&gt;" "), "Ingresada", "Falta Ingresar"), " ")</f>
        <v xml:space="preserve"> </v>
      </c>
      <c r="L4855" s="4" t="str">
        <f>IFERROR(VLOOKUP($C4855,Observaciones!$A:$B,2,FALSE)," ")</f>
        <v>XRUT</v>
      </c>
      <c r="M4855" t="s">
        <v>681</v>
      </c>
      <c r="O4855" s="5">
        <v>30849715</v>
      </c>
      <c r="P4855" s="5">
        <v>24948</v>
      </c>
      <c r="Q4855" s="5">
        <v>4740</v>
      </c>
      <c r="R4855" s="5">
        <v>29688</v>
      </c>
    </row>
    <row r="4856" spans="1:18" x14ac:dyDescent="0.25">
      <c r="A4856" t="s">
        <v>3</v>
      </c>
      <c r="B4856" t="s">
        <v>494</v>
      </c>
      <c r="C4856">
        <v>96670340</v>
      </c>
      <c r="D4856">
        <v>19</v>
      </c>
      <c r="E4856">
        <v>30851202</v>
      </c>
      <c r="F4856" t="s">
        <v>1708</v>
      </c>
      <c r="G4856" s="1">
        <v>45236</v>
      </c>
      <c r="H4856">
        <v>5412581</v>
      </c>
      <c r="I4856">
        <v>72</v>
      </c>
      <c r="J4856" t="s">
        <v>176</v>
      </c>
      <c r="K4856" t="str">
        <f>IFERROR(IF(AND(VLOOKUP($C4856,Hes!$A:$B, 1, FALSE), $M4856&lt;&gt;" "), "Ingresada", "Falta Ingresar"), " ")</f>
        <v xml:space="preserve"> </v>
      </c>
      <c r="L4856" s="4" t="str">
        <f>IFERROR(VLOOKUP($C4856,Observaciones!$A:$B,2,FALSE)," ")</f>
        <v>XRUT</v>
      </c>
      <c r="M4856" t="s">
        <v>681</v>
      </c>
      <c r="O4856" s="5">
        <v>30851202</v>
      </c>
      <c r="P4856" s="5">
        <v>29713</v>
      </c>
      <c r="Q4856" s="5">
        <v>5645</v>
      </c>
      <c r="R4856" s="5">
        <v>35358</v>
      </c>
    </row>
    <row r="4857" spans="1:18" x14ac:dyDescent="0.25">
      <c r="A4857" t="s">
        <v>3</v>
      </c>
      <c r="B4857" t="s">
        <v>494</v>
      </c>
      <c r="C4857">
        <v>96670340</v>
      </c>
      <c r="D4857">
        <v>1049</v>
      </c>
      <c r="E4857">
        <v>30854181</v>
      </c>
      <c r="F4857" t="s">
        <v>1708</v>
      </c>
      <c r="G4857" s="1">
        <v>45236</v>
      </c>
      <c r="H4857">
        <v>5412620</v>
      </c>
      <c r="I4857">
        <v>72</v>
      </c>
      <c r="J4857" t="s">
        <v>176</v>
      </c>
      <c r="K4857" t="str">
        <f>IFERROR(IF(AND(VLOOKUP($C4857,Hes!$A:$B, 1, FALSE), $M4857&lt;&gt;" "), "Ingresada", "Falta Ingresar"), " ")</f>
        <v xml:space="preserve"> </v>
      </c>
      <c r="L4857" s="4" t="str">
        <f>IFERROR(VLOOKUP($C4857,Observaciones!$A:$B,2,FALSE)," ")</f>
        <v>XRUT</v>
      </c>
      <c r="M4857" t="s">
        <v>681</v>
      </c>
      <c r="O4857" s="5">
        <v>30854181</v>
      </c>
      <c r="P4857" s="5">
        <v>29245</v>
      </c>
      <c r="Q4857" s="5">
        <v>5557</v>
      </c>
      <c r="R4857" s="5">
        <v>34802</v>
      </c>
    </row>
    <row r="4858" spans="1:18" x14ac:dyDescent="0.25">
      <c r="A4858" t="s">
        <v>3</v>
      </c>
      <c r="B4858" t="s">
        <v>494</v>
      </c>
      <c r="C4858">
        <v>96670340</v>
      </c>
      <c r="D4858">
        <v>1030</v>
      </c>
      <c r="E4858">
        <v>30851009</v>
      </c>
      <c r="F4858" t="s">
        <v>1708</v>
      </c>
      <c r="G4858" s="1">
        <v>45236</v>
      </c>
      <c r="H4858">
        <v>5412623</v>
      </c>
      <c r="I4858">
        <v>72</v>
      </c>
      <c r="J4858" t="s">
        <v>176</v>
      </c>
      <c r="K4858" t="str">
        <f>IFERROR(IF(AND(VLOOKUP($C4858,Hes!$A:$B, 1, FALSE), $M4858&lt;&gt;" "), "Ingresada", "Falta Ingresar"), " ")</f>
        <v xml:space="preserve"> </v>
      </c>
      <c r="L4858" s="4" t="str">
        <f>IFERROR(VLOOKUP($C4858,Observaciones!$A:$B,2,FALSE)," ")</f>
        <v>XRUT</v>
      </c>
      <c r="M4858" t="s">
        <v>681</v>
      </c>
      <c r="O4858" s="5">
        <v>30851009</v>
      </c>
      <c r="P4858" s="5">
        <v>29644</v>
      </c>
      <c r="Q4858" s="5">
        <v>5632</v>
      </c>
      <c r="R4858" s="5">
        <v>35276</v>
      </c>
    </row>
    <row r="4859" spans="1:18" x14ac:dyDescent="0.25">
      <c r="A4859" t="s">
        <v>3</v>
      </c>
      <c r="B4859" t="s">
        <v>494</v>
      </c>
      <c r="C4859">
        <v>96670340</v>
      </c>
      <c r="D4859">
        <v>594</v>
      </c>
      <c r="E4859">
        <v>30853307</v>
      </c>
      <c r="F4859" t="s">
        <v>1708</v>
      </c>
      <c r="G4859" s="1">
        <v>45236</v>
      </c>
      <c r="H4859">
        <v>5412628</v>
      </c>
      <c r="I4859">
        <v>72</v>
      </c>
      <c r="J4859" t="s">
        <v>176</v>
      </c>
      <c r="K4859" t="str">
        <f>IFERROR(IF(AND(VLOOKUP($C4859,Hes!$A:$B, 1, FALSE), $M4859&lt;&gt;" "), "Ingresada", "Falta Ingresar"), " ")</f>
        <v xml:space="preserve"> </v>
      </c>
      <c r="L4859" s="4" t="str">
        <f>IFERROR(VLOOKUP($C4859,Observaciones!$A:$B,2,FALSE)," ")</f>
        <v>XRUT</v>
      </c>
      <c r="M4859" t="s">
        <v>681</v>
      </c>
      <c r="O4859" s="5">
        <v>30853307</v>
      </c>
      <c r="P4859" s="5">
        <v>29673</v>
      </c>
      <c r="Q4859" s="5">
        <v>5638</v>
      </c>
      <c r="R4859" s="5">
        <v>35311</v>
      </c>
    </row>
    <row r="4860" spans="1:18" x14ac:dyDescent="0.25">
      <c r="A4860" t="s">
        <v>3</v>
      </c>
      <c r="B4860" t="s">
        <v>494</v>
      </c>
      <c r="C4860">
        <v>96670340</v>
      </c>
      <c r="D4860">
        <v>532</v>
      </c>
      <c r="E4860">
        <v>30851573</v>
      </c>
      <c r="F4860" t="s">
        <v>1708</v>
      </c>
      <c r="G4860" s="1">
        <v>45234</v>
      </c>
      <c r="H4860">
        <v>5412652</v>
      </c>
      <c r="I4860">
        <v>72</v>
      </c>
      <c r="J4860" t="s">
        <v>176</v>
      </c>
      <c r="K4860" t="str">
        <f>IFERROR(IF(AND(VLOOKUP($C4860,Hes!$A:$B, 1, FALSE), $M4860&lt;&gt;" "), "Ingresada", "Falta Ingresar"), " ")</f>
        <v xml:space="preserve"> </v>
      </c>
      <c r="L4860" s="4" t="str">
        <f>IFERROR(VLOOKUP($C4860,Observaciones!$A:$B,2,FALSE)," ")</f>
        <v>XRUT</v>
      </c>
      <c r="M4860" t="s">
        <v>681</v>
      </c>
      <c r="O4860" s="5">
        <v>30851573</v>
      </c>
      <c r="P4860" s="5">
        <v>29437</v>
      </c>
      <c r="Q4860" s="5">
        <v>5593</v>
      </c>
      <c r="R4860" s="5">
        <v>35030</v>
      </c>
    </row>
    <row r="4861" spans="1:18" x14ac:dyDescent="0.25">
      <c r="A4861" t="s">
        <v>3</v>
      </c>
      <c r="B4861" t="s">
        <v>494</v>
      </c>
      <c r="C4861">
        <v>96670340</v>
      </c>
      <c r="D4861">
        <v>1051</v>
      </c>
      <c r="E4861">
        <v>30854083</v>
      </c>
      <c r="F4861" t="s">
        <v>1708</v>
      </c>
      <c r="G4861" s="1">
        <v>45234</v>
      </c>
      <c r="H4861">
        <v>5412663</v>
      </c>
      <c r="I4861">
        <v>72</v>
      </c>
      <c r="J4861" t="s">
        <v>176</v>
      </c>
      <c r="K4861" t="str">
        <f>IFERROR(IF(AND(VLOOKUP($C4861,Hes!$A:$B, 1, FALSE), $M4861&lt;&gt;" "), "Ingresada", "Falta Ingresar"), " ")</f>
        <v xml:space="preserve"> </v>
      </c>
      <c r="L4861" s="4" t="str">
        <f>IFERROR(VLOOKUP($C4861,Observaciones!$A:$B,2,FALSE)," ")</f>
        <v>XRUT</v>
      </c>
      <c r="M4861" t="s">
        <v>681</v>
      </c>
      <c r="O4861" s="5">
        <v>30854083</v>
      </c>
      <c r="P4861" s="5">
        <v>27965</v>
      </c>
      <c r="Q4861" s="5">
        <v>5313</v>
      </c>
      <c r="R4861" s="5">
        <v>33278</v>
      </c>
    </row>
    <row r="4862" spans="1:18" x14ac:dyDescent="0.25">
      <c r="A4862" t="s">
        <v>3</v>
      </c>
      <c r="B4862" t="s">
        <v>494</v>
      </c>
      <c r="C4862">
        <v>96670340</v>
      </c>
      <c r="D4862">
        <v>2404</v>
      </c>
      <c r="E4862">
        <v>30854233</v>
      </c>
      <c r="F4862" t="s">
        <v>1708</v>
      </c>
      <c r="G4862" s="1">
        <v>45236</v>
      </c>
      <c r="H4862">
        <v>5412676</v>
      </c>
      <c r="I4862">
        <v>72</v>
      </c>
      <c r="J4862" t="s">
        <v>176</v>
      </c>
      <c r="K4862" t="str">
        <f>IFERROR(IF(AND(VLOOKUP($C4862,Hes!$A:$B, 1, FALSE), $M4862&lt;&gt;" "), "Ingresada", "Falta Ingresar"), " ")</f>
        <v xml:space="preserve"> </v>
      </c>
      <c r="L4862" s="4" t="str">
        <f>IFERROR(VLOOKUP($C4862,Observaciones!$A:$B,2,FALSE)," ")</f>
        <v>XRUT</v>
      </c>
      <c r="M4862" t="s">
        <v>681</v>
      </c>
      <c r="O4862" s="5">
        <v>30854233</v>
      </c>
      <c r="P4862" s="5">
        <v>29857</v>
      </c>
      <c r="Q4862" s="5">
        <v>5673</v>
      </c>
      <c r="R4862" s="5">
        <v>35530</v>
      </c>
    </row>
    <row r="4863" spans="1:18" x14ac:dyDescent="0.25">
      <c r="A4863" t="s">
        <v>3</v>
      </c>
      <c r="B4863" t="s">
        <v>494</v>
      </c>
      <c r="C4863">
        <v>96670340</v>
      </c>
      <c r="D4863">
        <v>1055</v>
      </c>
      <c r="E4863">
        <v>30849951</v>
      </c>
      <c r="F4863" t="s">
        <v>1708</v>
      </c>
      <c r="G4863" s="1">
        <v>45236</v>
      </c>
      <c r="H4863">
        <v>5412726</v>
      </c>
      <c r="I4863">
        <v>72</v>
      </c>
      <c r="J4863" t="s">
        <v>176</v>
      </c>
      <c r="K4863" t="str">
        <f>IFERROR(IF(AND(VLOOKUP($C4863,Hes!$A:$B, 1, FALSE), $M4863&lt;&gt;" "), "Ingresada", "Falta Ingresar"), " ")</f>
        <v xml:space="preserve"> </v>
      </c>
      <c r="L4863" s="4" t="str">
        <f>IFERROR(VLOOKUP($C4863,Observaciones!$A:$B,2,FALSE)," ")</f>
        <v>XRUT</v>
      </c>
      <c r="M4863" t="s">
        <v>681</v>
      </c>
      <c r="O4863" s="5">
        <v>30849951</v>
      </c>
      <c r="P4863" s="5">
        <v>27114</v>
      </c>
      <c r="Q4863" s="5">
        <v>5152</v>
      </c>
      <c r="R4863" s="5">
        <v>32266</v>
      </c>
    </row>
    <row r="4864" spans="1:18" x14ac:dyDescent="0.25">
      <c r="A4864" t="s">
        <v>3</v>
      </c>
      <c r="B4864" t="s">
        <v>494</v>
      </c>
      <c r="C4864">
        <v>96670340</v>
      </c>
      <c r="D4864">
        <v>62</v>
      </c>
      <c r="E4864">
        <v>30853244</v>
      </c>
      <c r="F4864" t="s">
        <v>1708</v>
      </c>
      <c r="G4864" s="1">
        <v>45236</v>
      </c>
      <c r="H4864">
        <v>5412796</v>
      </c>
      <c r="I4864">
        <v>72</v>
      </c>
      <c r="J4864" t="s">
        <v>176</v>
      </c>
      <c r="K4864" t="str">
        <f>IFERROR(IF(AND(VLOOKUP($C4864,Hes!$A:$B, 1, FALSE), $M4864&lt;&gt;" "), "Ingresada", "Falta Ingresar"), " ")</f>
        <v xml:space="preserve"> </v>
      </c>
      <c r="L4864" s="4" t="str">
        <f>IFERROR(VLOOKUP($C4864,Observaciones!$A:$B,2,FALSE)," ")</f>
        <v>XRUT</v>
      </c>
      <c r="M4864" t="s">
        <v>681</v>
      </c>
      <c r="O4864" s="5">
        <v>30853244</v>
      </c>
      <c r="P4864" s="5">
        <v>29995</v>
      </c>
      <c r="Q4864" s="5">
        <v>5699</v>
      </c>
      <c r="R4864" s="5">
        <v>35694</v>
      </c>
    </row>
    <row r="4865" spans="1:18" x14ac:dyDescent="0.25">
      <c r="A4865" t="s">
        <v>3</v>
      </c>
      <c r="B4865" t="s">
        <v>494</v>
      </c>
      <c r="C4865">
        <v>96670340</v>
      </c>
      <c r="D4865">
        <v>369</v>
      </c>
      <c r="E4865">
        <v>30849450</v>
      </c>
      <c r="F4865" t="s">
        <v>1708</v>
      </c>
      <c r="G4865" s="1">
        <v>45236</v>
      </c>
      <c r="H4865">
        <v>5412839</v>
      </c>
      <c r="I4865">
        <v>72</v>
      </c>
      <c r="J4865" t="s">
        <v>176</v>
      </c>
      <c r="K4865" t="str">
        <f>IFERROR(IF(AND(VLOOKUP($C4865,Hes!$A:$B, 1, FALSE), $M4865&lt;&gt;" "), "Ingresada", "Falta Ingresar"), " ")</f>
        <v xml:space="preserve"> </v>
      </c>
      <c r="L4865" s="4" t="str">
        <f>IFERROR(VLOOKUP($C4865,Observaciones!$A:$B,2,FALSE)," ")</f>
        <v>XRUT</v>
      </c>
      <c r="M4865" t="s">
        <v>681</v>
      </c>
      <c r="O4865" s="5">
        <v>30849450</v>
      </c>
      <c r="P4865" s="5">
        <v>29887</v>
      </c>
      <c r="Q4865" s="5">
        <v>5679</v>
      </c>
      <c r="R4865" s="5">
        <v>35566</v>
      </c>
    </row>
    <row r="4866" spans="1:18" x14ac:dyDescent="0.25">
      <c r="A4866" t="s">
        <v>3</v>
      </c>
      <c r="B4866" t="s">
        <v>494</v>
      </c>
      <c r="C4866">
        <v>96670340</v>
      </c>
      <c r="D4866">
        <v>373</v>
      </c>
      <c r="E4866">
        <v>30855928</v>
      </c>
      <c r="F4866" t="s">
        <v>1708</v>
      </c>
      <c r="G4866" s="1">
        <v>45234</v>
      </c>
      <c r="H4866">
        <v>5412887</v>
      </c>
      <c r="I4866">
        <v>72</v>
      </c>
      <c r="J4866" t="s">
        <v>176</v>
      </c>
      <c r="K4866" t="str">
        <f>IFERROR(IF(AND(VLOOKUP($C4866,Hes!$A:$B, 1, FALSE), $M4866&lt;&gt;" "), "Ingresada", "Falta Ingresar"), " ")</f>
        <v xml:space="preserve"> </v>
      </c>
      <c r="L4866" s="4" t="str">
        <f>IFERROR(VLOOKUP($C4866,Observaciones!$A:$B,2,FALSE)," ")</f>
        <v>XRUT</v>
      </c>
      <c r="M4866" t="s">
        <v>681</v>
      </c>
      <c r="O4866" s="5">
        <v>30855928</v>
      </c>
      <c r="P4866" s="5">
        <v>29812</v>
      </c>
      <c r="Q4866" s="5">
        <v>5664</v>
      </c>
      <c r="R4866" s="5">
        <v>35476</v>
      </c>
    </row>
    <row r="4867" spans="1:18" x14ac:dyDescent="0.25">
      <c r="A4867" t="s">
        <v>3</v>
      </c>
      <c r="B4867" t="s">
        <v>494</v>
      </c>
      <c r="C4867">
        <v>96670340</v>
      </c>
      <c r="D4867">
        <v>1076</v>
      </c>
      <c r="E4867">
        <v>30856019</v>
      </c>
      <c r="F4867" t="s">
        <v>1708</v>
      </c>
      <c r="G4867" s="1">
        <v>45234</v>
      </c>
      <c r="H4867">
        <v>5412891</v>
      </c>
      <c r="I4867">
        <v>72</v>
      </c>
      <c r="J4867" t="s">
        <v>176</v>
      </c>
      <c r="K4867" t="str">
        <f>IFERROR(IF(AND(VLOOKUP($C4867,Hes!$A:$B, 1, FALSE), $M4867&lt;&gt;" "), "Ingresada", "Falta Ingresar"), " ")</f>
        <v xml:space="preserve"> </v>
      </c>
      <c r="L4867" s="4" t="str">
        <f>IFERROR(VLOOKUP($C4867,Observaciones!$A:$B,2,FALSE)," ")</f>
        <v>XRUT</v>
      </c>
      <c r="M4867" t="s">
        <v>681</v>
      </c>
      <c r="O4867" s="5">
        <v>30856019</v>
      </c>
      <c r="P4867" s="5">
        <v>29965</v>
      </c>
      <c r="Q4867" s="5">
        <v>5693</v>
      </c>
      <c r="R4867" s="5">
        <v>35658</v>
      </c>
    </row>
    <row r="4868" spans="1:18" x14ac:dyDescent="0.25">
      <c r="A4868" t="s">
        <v>3</v>
      </c>
      <c r="B4868" t="s">
        <v>494</v>
      </c>
      <c r="C4868">
        <v>96670340</v>
      </c>
      <c r="D4868">
        <v>66</v>
      </c>
      <c r="E4868">
        <v>30853347</v>
      </c>
      <c r="F4868" t="s">
        <v>1708</v>
      </c>
      <c r="G4868" s="1">
        <v>45236</v>
      </c>
      <c r="H4868">
        <v>5413071</v>
      </c>
      <c r="I4868">
        <v>72</v>
      </c>
      <c r="J4868" t="s">
        <v>176</v>
      </c>
      <c r="K4868" t="str">
        <f>IFERROR(IF(AND(VLOOKUP($C4868,Hes!$A:$B, 1, FALSE), $M4868&lt;&gt;" "), "Ingresada", "Falta Ingresar"), " ")</f>
        <v xml:space="preserve"> </v>
      </c>
      <c r="L4868" s="4" t="str">
        <f>IFERROR(VLOOKUP($C4868,Observaciones!$A:$B,2,FALSE)," ")</f>
        <v>XRUT</v>
      </c>
      <c r="M4868" t="s">
        <v>681</v>
      </c>
      <c r="O4868" s="5">
        <v>30853347</v>
      </c>
      <c r="P4868" s="5">
        <v>29658</v>
      </c>
      <c r="Q4868" s="5">
        <v>5635</v>
      </c>
      <c r="R4868" s="5">
        <v>35293</v>
      </c>
    </row>
    <row r="4869" spans="1:18" x14ac:dyDescent="0.25">
      <c r="A4869" t="s">
        <v>3</v>
      </c>
      <c r="B4869" t="s">
        <v>494</v>
      </c>
      <c r="C4869">
        <v>96670340</v>
      </c>
      <c r="D4869">
        <v>76</v>
      </c>
      <c r="E4869">
        <v>30853373</v>
      </c>
      <c r="F4869" t="s">
        <v>1708</v>
      </c>
      <c r="G4869" s="1">
        <v>45236</v>
      </c>
      <c r="H4869">
        <v>5413112</v>
      </c>
      <c r="I4869">
        <v>72</v>
      </c>
      <c r="J4869" t="s">
        <v>176</v>
      </c>
      <c r="K4869" t="str">
        <f>IFERROR(IF(AND(VLOOKUP($C4869,Hes!$A:$B, 1, FALSE), $M4869&lt;&gt;" "), "Ingresada", "Falta Ingresar"), " ")</f>
        <v xml:space="preserve"> </v>
      </c>
      <c r="L4869" s="4" t="str">
        <f>IFERROR(VLOOKUP($C4869,Observaciones!$A:$B,2,FALSE)," ")</f>
        <v>XRUT</v>
      </c>
      <c r="M4869" t="s">
        <v>681</v>
      </c>
      <c r="O4869" s="5">
        <v>30853373</v>
      </c>
      <c r="P4869" s="5">
        <v>29785</v>
      </c>
      <c r="Q4869" s="5">
        <v>5659</v>
      </c>
      <c r="R4869" s="5">
        <v>35444</v>
      </c>
    </row>
    <row r="4870" spans="1:18" x14ac:dyDescent="0.25">
      <c r="A4870" t="s">
        <v>3</v>
      </c>
      <c r="B4870" t="s">
        <v>494</v>
      </c>
      <c r="C4870">
        <v>96670340</v>
      </c>
      <c r="D4870">
        <v>1044</v>
      </c>
      <c r="E4870">
        <v>30853382</v>
      </c>
      <c r="F4870" t="s">
        <v>1708</v>
      </c>
      <c r="G4870" s="1">
        <v>45236</v>
      </c>
      <c r="H4870">
        <v>5413122</v>
      </c>
      <c r="I4870">
        <v>72</v>
      </c>
      <c r="J4870" t="s">
        <v>176</v>
      </c>
      <c r="K4870" t="str">
        <f>IFERROR(IF(AND(VLOOKUP($C4870,Hes!$A:$B, 1, FALSE), $M4870&lt;&gt;" "), "Ingresada", "Falta Ingresar"), " ")</f>
        <v xml:space="preserve"> </v>
      </c>
      <c r="L4870" s="4" t="str">
        <f>IFERROR(VLOOKUP($C4870,Observaciones!$A:$B,2,FALSE)," ")</f>
        <v>XRUT</v>
      </c>
      <c r="M4870" t="s">
        <v>681</v>
      </c>
      <c r="O4870" s="5">
        <v>30853382</v>
      </c>
      <c r="P4870" s="5">
        <v>29316</v>
      </c>
      <c r="Q4870" s="5">
        <v>5570</v>
      </c>
      <c r="R4870" s="5">
        <v>34886</v>
      </c>
    </row>
    <row r="4871" spans="1:18" x14ac:dyDescent="0.25">
      <c r="A4871" t="s">
        <v>3</v>
      </c>
      <c r="B4871" t="s">
        <v>494</v>
      </c>
      <c r="C4871">
        <v>96670340</v>
      </c>
      <c r="D4871">
        <v>1093</v>
      </c>
      <c r="E4871">
        <v>30853334</v>
      </c>
      <c r="F4871" t="s">
        <v>1708</v>
      </c>
      <c r="G4871" s="1">
        <v>45236</v>
      </c>
      <c r="H4871">
        <v>5413132</v>
      </c>
      <c r="I4871">
        <v>72</v>
      </c>
      <c r="J4871" t="s">
        <v>176</v>
      </c>
      <c r="K4871" t="str">
        <f>IFERROR(IF(AND(VLOOKUP($C4871,Hes!$A:$B, 1, FALSE), $M4871&lt;&gt;" "), "Ingresada", "Falta Ingresar"), " ")</f>
        <v xml:space="preserve"> </v>
      </c>
      <c r="L4871" s="4" t="str">
        <f>IFERROR(VLOOKUP($C4871,Observaciones!$A:$B,2,FALSE)," ")</f>
        <v>XRUT</v>
      </c>
      <c r="M4871" t="s">
        <v>681</v>
      </c>
      <c r="O4871" s="5">
        <v>30853334</v>
      </c>
      <c r="P4871" s="5">
        <v>29787</v>
      </c>
      <c r="Q4871" s="5">
        <v>5660</v>
      </c>
      <c r="R4871" s="5">
        <v>35447</v>
      </c>
    </row>
    <row r="4872" spans="1:18" x14ac:dyDescent="0.25">
      <c r="A4872" t="s">
        <v>3</v>
      </c>
      <c r="B4872" t="s">
        <v>494</v>
      </c>
      <c r="C4872">
        <v>96670340</v>
      </c>
      <c r="D4872">
        <v>554</v>
      </c>
      <c r="E4872">
        <v>30850670</v>
      </c>
      <c r="F4872" t="s">
        <v>1708</v>
      </c>
      <c r="G4872" s="1">
        <v>45236</v>
      </c>
      <c r="H4872">
        <v>5413158</v>
      </c>
      <c r="I4872">
        <v>72</v>
      </c>
      <c r="J4872" t="s">
        <v>176</v>
      </c>
      <c r="K4872" t="str">
        <f>IFERROR(IF(AND(VLOOKUP($C4872,Hes!$A:$B, 1, FALSE), $M4872&lt;&gt;" "), "Ingresada", "Falta Ingresar"), " ")</f>
        <v xml:space="preserve"> </v>
      </c>
      <c r="L4872" s="4" t="str">
        <f>IFERROR(VLOOKUP($C4872,Observaciones!$A:$B,2,FALSE)," ")</f>
        <v>XRUT</v>
      </c>
      <c r="M4872" t="s">
        <v>681</v>
      </c>
      <c r="O4872" s="5">
        <v>30850670</v>
      </c>
      <c r="P4872" s="5">
        <v>29441</v>
      </c>
      <c r="Q4872" s="5">
        <v>5594</v>
      </c>
      <c r="R4872" s="5">
        <v>35035</v>
      </c>
    </row>
    <row r="4873" spans="1:18" x14ac:dyDescent="0.25">
      <c r="A4873" t="s">
        <v>3</v>
      </c>
      <c r="B4873" t="s">
        <v>494</v>
      </c>
      <c r="C4873">
        <v>96670340</v>
      </c>
      <c r="D4873">
        <v>1135</v>
      </c>
      <c r="E4873">
        <v>30851995</v>
      </c>
      <c r="F4873" t="s">
        <v>1708</v>
      </c>
      <c r="G4873" s="1">
        <v>45236</v>
      </c>
      <c r="H4873">
        <v>5413167</v>
      </c>
      <c r="I4873">
        <v>72</v>
      </c>
      <c r="J4873" t="s">
        <v>176</v>
      </c>
      <c r="K4873" t="str">
        <f>IFERROR(IF(AND(VLOOKUP($C4873,Hes!$A:$B, 1, FALSE), $M4873&lt;&gt;" "), "Ingresada", "Falta Ingresar"), " ")</f>
        <v xml:space="preserve"> </v>
      </c>
      <c r="L4873" s="4" t="str">
        <f>IFERROR(VLOOKUP($C4873,Observaciones!$A:$B,2,FALSE)," ")</f>
        <v>XRUT</v>
      </c>
      <c r="M4873" t="s">
        <v>681</v>
      </c>
      <c r="O4873" s="5">
        <v>30851995</v>
      </c>
      <c r="P4873" s="5">
        <v>29536</v>
      </c>
      <c r="Q4873" s="5">
        <v>5612</v>
      </c>
      <c r="R4873" s="5">
        <v>35148</v>
      </c>
    </row>
    <row r="4874" spans="1:18" x14ac:dyDescent="0.25">
      <c r="A4874" t="s">
        <v>3</v>
      </c>
      <c r="B4874" t="s">
        <v>494</v>
      </c>
      <c r="C4874">
        <v>96670340</v>
      </c>
      <c r="D4874">
        <v>1133</v>
      </c>
      <c r="E4874">
        <v>30850454</v>
      </c>
      <c r="F4874" t="s">
        <v>1708</v>
      </c>
      <c r="G4874" s="1">
        <v>45236</v>
      </c>
      <c r="H4874">
        <v>5413168</v>
      </c>
      <c r="I4874">
        <v>72</v>
      </c>
      <c r="J4874" t="s">
        <v>176</v>
      </c>
      <c r="K4874" t="str">
        <f>IFERROR(IF(AND(VLOOKUP($C4874,Hes!$A:$B, 1, FALSE), $M4874&lt;&gt;" "), "Ingresada", "Falta Ingresar"), " ")</f>
        <v xml:space="preserve"> </v>
      </c>
      <c r="L4874" s="4" t="str">
        <f>IFERROR(VLOOKUP($C4874,Observaciones!$A:$B,2,FALSE)," ")</f>
        <v>XRUT</v>
      </c>
      <c r="M4874" t="s">
        <v>681</v>
      </c>
      <c r="O4874" s="5">
        <v>30850454</v>
      </c>
      <c r="P4874" s="5">
        <v>26111</v>
      </c>
      <c r="Q4874" s="5">
        <v>4961</v>
      </c>
      <c r="R4874" s="5">
        <v>31072</v>
      </c>
    </row>
    <row r="4875" spans="1:18" x14ac:dyDescent="0.25">
      <c r="A4875" t="s">
        <v>3</v>
      </c>
      <c r="B4875" t="s">
        <v>494</v>
      </c>
      <c r="C4875">
        <v>96670340</v>
      </c>
      <c r="D4875">
        <v>1080</v>
      </c>
      <c r="E4875">
        <v>30850955</v>
      </c>
      <c r="F4875" t="s">
        <v>1708</v>
      </c>
      <c r="G4875" s="1">
        <v>45236</v>
      </c>
      <c r="H4875">
        <v>5413174</v>
      </c>
      <c r="I4875">
        <v>72</v>
      </c>
      <c r="J4875" t="s">
        <v>176</v>
      </c>
      <c r="K4875" t="str">
        <f>IFERROR(IF(AND(VLOOKUP($C4875,Hes!$A:$B, 1, FALSE), $M4875&lt;&gt;" "), "Ingresada", "Falta Ingresar"), " ")</f>
        <v xml:space="preserve"> </v>
      </c>
      <c r="L4875" s="4" t="str">
        <f>IFERROR(VLOOKUP($C4875,Observaciones!$A:$B,2,FALSE)," ")</f>
        <v>XRUT</v>
      </c>
      <c r="M4875" t="s">
        <v>681</v>
      </c>
      <c r="O4875" s="5">
        <v>30850955</v>
      </c>
      <c r="P4875" s="5">
        <v>29909</v>
      </c>
      <c r="Q4875" s="5">
        <v>5683</v>
      </c>
      <c r="R4875" s="5">
        <v>35592</v>
      </c>
    </row>
    <row r="4876" spans="1:18" x14ac:dyDescent="0.25">
      <c r="A4876" t="s">
        <v>3</v>
      </c>
      <c r="B4876" t="s">
        <v>494</v>
      </c>
      <c r="C4876">
        <v>96670340</v>
      </c>
      <c r="D4876">
        <v>574</v>
      </c>
      <c r="E4876">
        <v>30851615</v>
      </c>
      <c r="F4876" t="s">
        <v>1708</v>
      </c>
      <c r="G4876" s="1">
        <v>45236</v>
      </c>
      <c r="H4876">
        <v>5413210</v>
      </c>
      <c r="I4876">
        <v>72</v>
      </c>
      <c r="J4876" t="s">
        <v>176</v>
      </c>
      <c r="K4876" t="str">
        <f>IFERROR(IF(AND(VLOOKUP($C4876,Hes!$A:$B, 1, FALSE), $M4876&lt;&gt;" "), "Ingresada", "Falta Ingresar"), " ")</f>
        <v xml:space="preserve"> </v>
      </c>
      <c r="L4876" s="4" t="str">
        <f>IFERROR(VLOOKUP($C4876,Observaciones!$A:$B,2,FALSE)," ")</f>
        <v>XRUT</v>
      </c>
      <c r="M4876" t="s">
        <v>681</v>
      </c>
      <c r="O4876" s="5">
        <v>30851615</v>
      </c>
      <c r="P4876" s="5">
        <v>29981</v>
      </c>
      <c r="Q4876" s="5">
        <v>5696</v>
      </c>
      <c r="R4876" s="5">
        <v>35677</v>
      </c>
    </row>
    <row r="4877" spans="1:18" x14ac:dyDescent="0.25">
      <c r="A4877" t="s">
        <v>3</v>
      </c>
      <c r="B4877" t="s">
        <v>494</v>
      </c>
      <c r="C4877">
        <v>96670340</v>
      </c>
      <c r="D4877">
        <v>950</v>
      </c>
      <c r="E4877">
        <v>30856460</v>
      </c>
      <c r="F4877" t="s">
        <v>1708</v>
      </c>
      <c r="G4877" s="1">
        <v>45236</v>
      </c>
      <c r="H4877">
        <v>5413232</v>
      </c>
      <c r="I4877">
        <v>72</v>
      </c>
      <c r="J4877" t="s">
        <v>176</v>
      </c>
      <c r="K4877" t="str">
        <f>IFERROR(IF(AND(VLOOKUP($C4877,Hes!$A:$B, 1, FALSE), $M4877&lt;&gt;" "), "Ingresada", "Falta Ingresar"), " ")</f>
        <v xml:space="preserve"> </v>
      </c>
      <c r="L4877" s="4" t="str">
        <f>IFERROR(VLOOKUP($C4877,Observaciones!$A:$B,2,FALSE)," ")</f>
        <v>XRUT</v>
      </c>
      <c r="M4877" t="s">
        <v>681</v>
      </c>
      <c r="O4877" s="5">
        <v>30856460</v>
      </c>
      <c r="P4877" s="5">
        <v>29826</v>
      </c>
      <c r="Q4877" s="5">
        <v>5667</v>
      </c>
      <c r="R4877" s="5">
        <v>35493</v>
      </c>
    </row>
    <row r="4878" spans="1:18" x14ac:dyDescent="0.25">
      <c r="A4878" t="s">
        <v>3</v>
      </c>
      <c r="B4878" t="s">
        <v>494</v>
      </c>
      <c r="C4878">
        <v>96670340</v>
      </c>
      <c r="D4878">
        <v>1087</v>
      </c>
      <c r="E4878">
        <v>30856877</v>
      </c>
      <c r="F4878" t="s">
        <v>1708</v>
      </c>
      <c r="G4878" s="1">
        <v>45236</v>
      </c>
      <c r="H4878">
        <v>5413378</v>
      </c>
      <c r="I4878">
        <v>72</v>
      </c>
      <c r="J4878" t="s">
        <v>176</v>
      </c>
      <c r="K4878" t="str">
        <f>IFERROR(IF(AND(VLOOKUP($C4878,Hes!$A:$B, 1, FALSE), $M4878&lt;&gt;" "), "Ingresada", "Falta Ingresar"), " ")</f>
        <v xml:space="preserve"> </v>
      </c>
      <c r="L4878" s="4" t="str">
        <f>IFERROR(VLOOKUP($C4878,Observaciones!$A:$B,2,FALSE)," ")</f>
        <v>XRUT</v>
      </c>
      <c r="M4878" t="s">
        <v>681</v>
      </c>
      <c r="O4878" s="5">
        <v>30856877</v>
      </c>
      <c r="P4878" s="5">
        <v>26246</v>
      </c>
      <c r="Q4878" s="5">
        <v>4987</v>
      </c>
      <c r="R4878" s="5">
        <v>31233</v>
      </c>
    </row>
    <row r="4879" spans="1:18" x14ac:dyDescent="0.25">
      <c r="A4879" t="s">
        <v>3</v>
      </c>
      <c r="B4879" t="s">
        <v>494</v>
      </c>
      <c r="C4879">
        <v>96670340</v>
      </c>
      <c r="D4879">
        <v>2399</v>
      </c>
      <c r="E4879">
        <v>30851552</v>
      </c>
      <c r="F4879" t="s">
        <v>1708</v>
      </c>
      <c r="G4879" s="1">
        <v>45236</v>
      </c>
      <c r="H4879">
        <v>5413389</v>
      </c>
      <c r="I4879">
        <v>72</v>
      </c>
      <c r="J4879" t="s">
        <v>176</v>
      </c>
      <c r="K4879" t="str">
        <f>IFERROR(IF(AND(VLOOKUP($C4879,Hes!$A:$B, 1, FALSE), $M4879&lt;&gt;" "), "Ingresada", "Falta Ingresar"), " ")</f>
        <v xml:space="preserve"> </v>
      </c>
      <c r="L4879" s="4" t="str">
        <f>IFERROR(VLOOKUP($C4879,Observaciones!$A:$B,2,FALSE)," ")</f>
        <v>XRUT</v>
      </c>
      <c r="M4879" t="s">
        <v>681</v>
      </c>
      <c r="O4879" s="5">
        <v>30851552</v>
      </c>
      <c r="P4879" s="5">
        <v>29437</v>
      </c>
      <c r="Q4879" s="5">
        <v>5593</v>
      </c>
      <c r="R4879" s="5">
        <v>35030</v>
      </c>
    </row>
    <row r="4880" spans="1:18" x14ac:dyDescent="0.25">
      <c r="A4880" t="s">
        <v>3</v>
      </c>
      <c r="B4880" t="s">
        <v>494</v>
      </c>
      <c r="C4880">
        <v>96670340</v>
      </c>
      <c r="D4880">
        <v>438</v>
      </c>
      <c r="E4880">
        <v>30849945</v>
      </c>
      <c r="F4880" t="s">
        <v>1708</v>
      </c>
      <c r="G4880" s="1">
        <v>45236</v>
      </c>
      <c r="H4880">
        <v>5413403</v>
      </c>
      <c r="I4880">
        <v>72</v>
      </c>
      <c r="J4880" t="s">
        <v>176</v>
      </c>
      <c r="K4880" t="str">
        <f>IFERROR(IF(AND(VLOOKUP($C4880,Hes!$A:$B, 1, FALSE), $M4880&lt;&gt;" "), "Ingresada", "Falta Ingresar"), " ")</f>
        <v xml:space="preserve"> </v>
      </c>
      <c r="L4880" s="4" t="str">
        <f>IFERROR(VLOOKUP($C4880,Observaciones!$A:$B,2,FALSE)," ")</f>
        <v>XRUT</v>
      </c>
      <c r="M4880" t="s">
        <v>681</v>
      </c>
      <c r="O4880" s="5">
        <v>30849945</v>
      </c>
      <c r="P4880" s="5">
        <v>25748</v>
      </c>
      <c r="Q4880" s="5">
        <v>4892</v>
      </c>
      <c r="R4880" s="5">
        <v>30640</v>
      </c>
    </row>
    <row r="4881" spans="1:18" x14ac:dyDescent="0.25">
      <c r="A4881" t="s">
        <v>3</v>
      </c>
      <c r="B4881" t="s">
        <v>494</v>
      </c>
      <c r="C4881">
        <v>96670340</v>
      </c>
      <c r="D4881">
        <v>1116</v>
      </c>
      <c r="E4881">
        <v>30853291</v>
      </c>
      <c r="F4881" t="s">
        <v>1708</v>
      </c>
      <c r="G4881" s="1">
        <v>45236</v>
      </c>
      <c r="H4881">
        <v>5413414</v>
      </c>
      <c r="I4881">
        <v>72</v>
      </c>
      <c r="J4881" t="s">
        <v>176</v>
      </c>
      <c r="K4881" t="str">
        <f>IFERROR(IF(AND(VLOOKUP($C4881,Hes!$A:$B, 1, FALSE), $M4881&lt;&gt;" "), "Ingresada", "Falta Ingresar"), " ")</f>
        <v xml:space="preserve"> </v>
      </c>
      <c r="L4881" s="4" t="str">
        <f>IFERROR(VLOOKUP($C4881,Observaciones!$A:$B,2,FALSE)," ")</f>
        <v>XRUT</v>
      </c>
      <c r="M4881" t="s">
        <v>681</v>
      </c>
      <c r="O4881" s="5">
        <v>30853291</v>
      </c>
      <c r="P4881" s="5">
        <v>29571</v>
      </c>
      <c r="Q4881" s="5">
        <v>5618</v>
      </c>
      <c r="R4881" s="5">
        <v>35189</v>
      </c>
    </row>
    <row r="4882" spans="1:18" x14ac:dyDescent="0.25">
      <c r="A4882" t="s">
        <v>3</v>
      </c>
      <c r="B4882" t="s">
        <v>494</v>
      </c>
      <c r="C4882">
        <v>96670340</v>
      </c>
      <c r="D4882">
        <v>480</v>
      </c>
      <c r="E4882">
        <v>30857038</v>
      </c>
      <c r="F4882" t="s">
        <v>1708</v>
      </c>
      <c r="G4882" s="1">
        <v>45236</v>
      </c>
      <c r="H4882">
        <v>5413483</v>
      </c>
      <c r="I4882">
        <v>72</v>
      </c>
      <c r="J4882" t="s">
        <v>176</v>
      </c>
      <c r="K4882" t="str">
        <f>IFERROR(IF(AND(VLOOKUP($C4882,Hes!$A:$B, 1, FALSE), $M4882&lt;&gt;" "), "Ingresada", "Falta Ingresar"), " ")</f>
        <v xml:space="preserve"> </v>
      </c>
      <c r="L4882" s="4" t="str">
        <f>IFERROR(VLOOKUP($C4882,Observaciones!$A:$B,2,FALSE)," ")</f>
        <v>XRUT</v>
      </c>
      <c r="M4882" t="s">
        <v>681</v>
      </c>
      <c r="O4882" s="5">
        <v>30857038</v>
      </c>
      <c r="P4882" s="5">
        <v>29266</v>
      </c>
      <c r="Q4882" s="5">
        <v>5561</v>
      </c>
      <c r="R4882" s="5">
        <v>34827</v>
      </c>
    </row>
    <row r="4883" spans="1:18" x14ac:dyDescent="0.25">
      <c r="A4883" t="s">
        <v>3</v>
      </c>
      <c r="B4883" t="s">
        <v>494</v>
      </c>
      <c r="C4883">
        <v>96670340</v>
      </c>
      <c r="D4883">
        <v>1047</v>
      </c>
      <c r="E4883">
        <v>30856255</v>
      </c>
      <c r="F4883" t="s">
        <v>1708</v>
      </c>
      <c r="G4883" s="1">
        <v>45236</v>
      </c>
      <c r="H4883">
        <v>5413512</v>
      </c>
      <c r="I4883">
        <v>72</v>
      </c>
      <c r="J4883" t="s">
        <v>176</v>
      </c>
      <c r="K4883" t="str">
        <f>IFERROR(IF(AND(VLOOKUP($C4883,Hes!$A:$B, 1, FALSE), $M4883&lt;&gt;" "), "Ingresada", "Falta Ingresar"), " ")</f>
        <v xml:space="preserve"> </v>
      </c>
      <c r="L4883" s="4" t="str">
        <f>IFERROR(VLOOKUP($C4883,Observaciones!$A:$B,2,FALSE)," ")</f>
        <v>XRUT</v>
      </c>
      <c r="M4883" t="s">
        <v>681</v>
      </c>
      <c r="O4883" s="5">
        <v>30856255</v>
      </c>
      <c r="P4883" s="5">
        <v>24030</v>
      </c>
      <c r="Q4883" s="5">
        <v>4566</v>
      </c>
      <c r="R4883" s="5">
        <v>28596</v>
      </c>
    </row>
    <row r="4884" spans="1:18" x14ac:dyDescent="0.25">
      <c r="A4884" t="s">
        <v>3</v>
      </c>
      <c r="B4884" t="s">
        <v>494</v>
      </c>
      <c r="C4884">
        <v>96670340</v>
      </c>
      <c r="D4884">
        <v>65</v>
      </c>
      <c r="E4884">
        <v>30857512</v>
      </c>
      <c r="F4884" t="s">
        <v>1708</v>
      </c>
      <c r="G4884" s="1">
        <v>45236</v>
      </c>
      <c r="H4884">
        <v>5413514</v>
      </c>
      <c r="I4884">
        <v>72</v>
      </c>
      <c r="J4884" t="s">
        <v>176</v>
      </c>
      <c r="K4884" t="str">
        <f>IFERROR(IF(AND(VLOOKUP($C4884,Hes!$A:$B, 1, FALSE), $M4884&lt;&gt;" "), "Ingresada", "Falta Ingresar"), " ")</f>
        <v xml:space="preserve"> </v>
      </c>
      <c r="L4884" s="4" t="str">
        <f>IFERROR(VLOOKUP($C4884,Observaciones!$A:$B,2,FALSE)," ")</f>
        <v>XRUT</v>
      </c>
      <c r="M4884" t="s">
        <v>681</v>
      </c>
      <c r="O4884" s="5">
        <v>30857512</v>
      </c>
      <c r="P4884" s="5">
        <v>29951</v>
      </c>
      <c r="Q4884" s="5">
        <v>5691</v>
      </c>
      <c r="R4884" s="5">
        <v>35642</v>
      </c>
    </row>
    <row r="4885" spans="1:18" x14ac:dyDescent="0.25">
      <c r="A4885" t="s">
        <v>3</v>
      </c>
      <c r="B4885" t="s">
        <v>494</v>
      </c>
      <c r="C4885">
        <v>96670340</v>
      </c>
      <c r="D4885">
        <v>570</v>
      </c>
      <c r="E4885">
        <v>30856721</v>
      </c>
      <c r="F4885" t="s">
        <v>1708</v>
      </c>
      <c r="G4885" s="1">
        <v>45236</v>
      </c>
      <c r="H4885">
        <v>5413519</v>
      </c>
      <c r="I4885">
        <v>72</v>
      </c>
      <c r="J4885" t="s">
        <v>176</v>
      </c>
      <c r="K4885" t="str">
        <f>IFERROR(IF(AND(VLOOKUP($C4885,Hes!$A:$B, 1, FALSE), $M4885&lt;&gt;" "), "Ingresada", "Falta Ingresar"), " ")</f>
        <v xml:space="preserve"> </v>
      </c>
      <c r="L4885" s="4" t="str">
        <f>IFERROR(VLOOKUP($C4885,Observaciones!$A:$B,2,FALSE)," ")</f>
        <v>XRUT</v>
      </c>
      <c r="M4885" t="s">
        <v>681</v>
      </c>
      <c r="O4885" s="5">
        <v>30856721</v>
      </c>
      <c r="P4885" s="5">
        <v>29958</v>
      </c>
      <c r="Q4885" s="5">
        <v>5692</v>
      </c>
      <c r="R4885" s="5">
        <v>35650</v>
      </c>
    </row>
    <row r="4886" spans="1:18" x14ac:dyDescent="0.25">
      <c r="A4886" t="s">
        <v>3</v>
      </c>
      <c r="B4886" t="s">
        <v>494</v>
      </c>
      <c r="C4886">
        <v>96670340</v>
      </c>
      <c r="D4886">
        <v>485</v>
      </c>
      <c r="E4886">
        <v>30856726</v>
      </c>
      <c r="F4886" t="s">
        <v>1708</v>
      </c>
      <c r="G4886" s="1">
        <v>45236</v>
      </c>
      <c r="H4886">
        <v>5413521</v>
      </c>
      <c r="I4886">
        <v>72</v>
      </c>
      <c r="J4886" t="s">
        <v>176</v>
      </c>
      <c r="K4886" t="str">
        <f>IFERROR(IF(AND(VLOOKUP($C4886,Hes!$A:$B, 1, FALSE), $M4886&lt;&gt;" "), "Ingresada", "Falta Ingresar"), " ")</f>
        <v xml:space="preserve"> </v>
      </c>
      <c r="L4886" s="4" t="str">
        <f>IFERROR(VLOOKUP($C4886,Observaciones!$A:$B,2,FALSE)," ")</f>
        <v>XRUT</v>
      </c>
      <c r="M4886" t="s">
        <v>681</v>
      </c>
      <c r="O4886" s="5">
        <v>30856726</v>
      </c>
      <c r="P4886" s="5">
        <v>28226</v>
      </c>
      <c r="Q4886" s="5">
        <v>5363</v>
      </c>
      <c r="R4886" s="5">
        <v>33589</v>
      </c>
    </row>
    <row r="4887" spans="1:18" x14ac:dyDescent="0.25">
      <c r="A4887" t="s">
        <v>3</v>
      </c>
      <c r="B4887" t="s">
        <v>494</v>
      </c>
      <c r="C4887">
        <v>96670340</v>
      </c>
      <c r="D4887">
        <v>372</v>
      </c>
      <c r="E4887">
        <v>30857922</v>
      </c>
      <c r="F4887" t="s">
        <v>1708</v>
      </c>
      <c r="G4887" s="1">
        <v>45236</v>
      </c>
      <c r="H4887">
        <v>5413547</v>
      </c>
      <c r="I4887">
        <v>72</v>
      </c>
      <c r="J4887" t="s">
        <v>176</v>
      </c>
      <c r="K4887" t="str">
        <f>IFERROR(IF(AND(VLOOKUP($C4887,Hes!$A:$B, 1, FALSE), $M4887&lt;&gt;" "), "Ingresada", "Falta Ingresar"), " ")</f>
        <v xml:space="preserve"> </v>
      </c>
      <c r="L4887" s="4" t="str">
        <f>IFERROR(VLOOKUP($C4887,Observaciones!$A:$B,2,FALSE)," ")</f>
        <v>XRUT</v>
      </c>
      <c r="M4887" t="s">
        <v>681</v>
      </c>
      <c r="O4887" s="5">
        <v>30857922</v>
      </c>
      <c r="P4887" s="5">
        <v>29708</v>
      </c>
      <c r="Q4887" s="5">
        <v>5645</v>
      </c>
      <c r="R4887" s="5">
        <v>35353</v>
      </c>
    </row>
    <row r="4888" spans="1:18" x14ac:dyDescent="0.25">
      <c r="A4888" t="s">
        <v>3</v>
      </c>
      <c r="B4888" t="s">
        <v>494</v>
      </c>
      <c r="C4888">
        <v>96670340</v>
      </c>
      <c r="D4888">
        <v>567</v>
      </c>
      <c r="E4888">
        <v>30857837</v>
      </c>
      <c r="F4888" t="s">
        <v>1708</v>
      </c>
      <c r="G4888" s="1">
        <v>45236</v>
      </c>
      <c r="H4888">
        <v>5413579</v>
      </c>
      <c r="I4888">
        <v>72</v>
      </c>
      <c r="J4888" t="s">
        <v>176</v>
      </c>
      <c r="K4888" t="str">
        <f>IFERROR(IF(AND(VLOOKUP($C4888,Hes!$A:$B, 1, FALSE), $M4888&lt;&gt;" "), "Ingresada", "Falta Ingresar"), " ")</f>
        <v xml:space="preserve"> </v>
      </c>
      <c r="L4888" s="4" t="str">
        <f>IFERROR(VLOOKUP($C4888,Observaciones!$A:$B,2,FALSE)," ")</f>
        <v>XRUT</v>
      </c>
      <c r="M4888" t="s">
        <v>681</v>
      </c>
      <c r="O4888" s="5">
        <v>30857837</v>
      </c>
      <c r="P4888" s="5">
        <v>29896</v>
      </c>
      <c r="Q4888" s="5">
        <v>5680</v>
      </c>
      <c r="R4888" s="5">
        <v>35576</v>
      </c>
    </row>
    <row r="4889" spans="1:18" x14ac:dyDescent="0.25">
      <c r="A4889" t="s">
        <v>3</v>
      </c>
      <c r="B4889" t="s">
        <v>494</v>
      </c>
      <c r="C4889">
        <v>96670340</v>
      </c>
      <c r="D4889">
        <v>1123</v>
      </c>
      <c r="E4889">
        <v>30857490</v>
      </c>
      <c r="F4889" t="s">
        <v>1708</v>
      </c>
      <c r="G4889" s="1">
        <v>45236</v>
      </c>
      <c r="H4889">
        <v>5413650</v>
      </c>
      <c r="I4889">
        <v>72</v>
      </c>
      <c r="J4889" t="s">
        <v>176</v>
      </c>
      <c r="K4889" t="str">
        <f>IFERROR(IF(AND(VLOOKUP($C4889,Hes!$A:$B, 1, FALSE), $M4889&lt;&gt;" "), "Ingresada", "Falta Ingresar"), " ")</f>
        <v xml:space="preserve"> </v>
      </c>
      <c r="L4889" s="4" t="str">
        <f>IFERROR(VLOOKUP($C4889,Observaciones!$A:$B,2,FALSE)," ")</f>
        <v>XRUT</v>
      </c>
      <c r="M4889" t="s">
        <v>681</v>
      </c>
      <c r="O4889" s="5">
        <v>30857490</v>
      </c>
      <c r="P4889" s="5">
        <v>29231</v>
      </c>
      <c r="Q4889" s="5">
        <v>5554</v>
      </c>
      <c r="R4889" s="5">
        <v>34785</v>
      </c>
    </row>
    <row r="4890" spans="1:18" x14ac:dyDescent="0.25">
      <c r="A4890" t="s">
        <v>3</v>
      </c>
      <c r="B4890" t="s">
        <v>494</v>
      </c>
      <c r="C4890">
        <v>96670340</v>
      </c>
      <c r="D4890">
        <v>1084</v>
      </c>
      <c r="E4890">
        <v>30857591</v>
      </c>
      <c r="F4890" t="s">
        <v>1708</v>
      </c>
      <c r="G4890" s="1">
        <v>45236</v>
      </c>
      <c r="H4890">
        <v>5413652</v>
      </c>
      <c r="I4890">
        <v>72</v>
      </c>
      <c r="J4890" t="s">
        <v>176</v>
      </c>
      <c r="K4890" t="str">
        <f>IFERROR(IF(AND(VLOOKUP($C4890,Hes!$A:$B, 1, FALSE), $M4890&lt;&gt;" "), "Ingresada", "Falta Ingresar"), " ")</f>
        <v xml:space="preserve"> </v>
      </c>
      <c r="L4890" s="4" t="str">
        <f>IFERROR(VLOOKUP($C4890,Observaciones!$A:$B,2,FALSE)," ")</f>
        <v>XRUT</v>
      </c>
      <c r="M4890" t="s">
        <v>681</v>
      </c>
      <c r="O4890" s="5">
        <v>30857591</v>
      </c>
      <c r="P4890" s="5">
        <v>29932</v>
      </c>
      <c r="Q4890" s="5">
        <v>5687</v>
      </c>
      <c r="R4890" s="5">
        <v>35619</v>
      </c>
    </row>
    <row r="4891" spans="1:18" x14ac:dyDescent="0.25">
      <c r="A4891" t="s">
        <v>3</v>
      </c>
      <c r="B4891" t="s">
        <v>494</v>
      </c>
      <c r="C4891">
        <v>96670340</v>
      </c>
      <c r="D4891">
        <v>1111</v>
      </c>
      <c r="E4891">
        <v>30857565</v>
      </c>
      <c r="F4891" t="s">
        <v>1708</v>
      </c>
      <c r="G4891" s="1">
        <v>45236</v>
      </c>
      <c r="H4891">
        <v>5413653</v>
      </c>
      <c r="I4891">
        <v>72</v>
      </c>
      <c r="J4891" t="s">
        <v>176</v>
      </c>
      <c r="K4891" t="str">
        <f>IFERROR(IF(AND(VLOOKUP($C4891,Hes!$A:$B, 1, FALSE), $M4891&lt;&gt;" "), "Ingresada", "Falta Ingresar"), " ")</f>
        <v xml:space="preserve"> </v>
      </c>
      <c r="L4891" s="4" t="str">
        <f>IFERROR(VLOOKUP($C4891,Observaciones!$A:$B,2,FALSE)," ")</f>
        <v>XRUT</v>
      </c>
      <c r="M4891" t="s">
        <v>681</v>
      </c>
      <c r="O4891" s="5">
        <v>30857565</v>
      </c>
      <c r="P4891" s="5">
        <v>29589</v>
      </c>
      <c r="Q4891" s="5">
        <v>5622</v>
      </c>
      <c r="R4891" s="5">
        <v>35211</v>
      </c>
    </row>
    <row r="4892" spans="1:18" x14ac:dyDescent="0.25">
      <c r="A4892" t="s">
        <v>3</v>
      </c>
      <c r="B4892" t="s">
        <v>494</v>
      </c>
      <c r="C4892">
        <v>96670340</v>
      </c>
      <c r="D4892">
        <v>1136</v>
      </c>
      <c r="E4892">
        <v>30857385</v>
      </c>
      <c r="F4892" t="s">
        <v>1708</v>
      </c>
      <c r="G4892" s="1">
        <v>45236</v>
      </c>
      <c r="H4892">
        <v>5413655</v>
      </c>
      <c r="I4892">
        <v>72</v>
      </c>
      <c r="J4892" t="s">
        <v>176</v>
      </c>
      <c r="K4892" t="str">
        <f>IFERROR(IF(AND(VLOOKUP($C4892,Hes!$A:$B, 1, FALSE), $M4892&lt;&gt;" "), "Ingresada", "Falta Ingresar"), " ")</f>
        <v xml:space="preserve"> </v>
      </c>
      <c r="L4892" s="4" t="str">
        <f>IFERROR(VLOOKUP($C4892,Observaciones!$A:$B,2,FALSE)," ")</f>
        <v>XRUT</v>
      </c>
      <c r="M4892" t="s">
        <v>681</v>
      </c>
      <c r="O4892" s="5">
        <v>30857385</v>
      </c>
      <c r="P4892" s="5">
        <v>29002</v>
      </c>
      <c r="Q4892" s="5">
        <v>5510</v>
      </c>
      <c r="R4892" s="5">
        <v>34512</v>
      </c>
    </row>
    <row r="4893" spans="1:18" x14ac:dyDescent="0.25">
      <c r="A4893" t="s">
        <v>3</v>
      </c>
      <c r="B4893" t="s">
        <v>494</v>
      </c>
      <c r="C4893">
        <v>96670340</v>
      </c>
      <c r="D4893">
        <v>483</v>
      </c>
      <c r="E4893">
        <v>30858089</v>
      </c>
      <c r="F4893" t="s">
        <v>1708</v>
      </c>
      <c r="G4893" s="1">
        <v>45236</v>
      </c>
      <c r="H4893">
        <v>5413736</v>
      </c>
      <c r="I4893">
        <v>72</v>
      </c>
      <c r="J4893" t="s">
        <v>176</v>
      </c>
      <c r="K4893" t="str">
        <f>IFERROR(IF(AND(VLOOKUP($C4893,Hes!$A:$B, 1, FALSE), $M4893&lt;&gt;" "), "Ingresada", "Falta Ingresar"), " ")</f>
        <v xml:space="preserve"> </v>
      </c>
      <c r="L4893" s="4" t="str">
        <f>IFERROR(VLOOKUP($C4893,Observaciones!$A:$B,2,FALSE)," ")</f>
        <v>XRUT</v>
      </c>
      <c r="M4893" t="s">
        <v>681</v>
      </c>
      <c r="O4893" s="5">
        <v>30858089</v>
      </c>
      <c r="P4893" s="5">
        <v>29956</v>
      </c>
      <c r="Q4893" s="5">
        <v>5692</v>
      </c>
      <c r="R4893" s="5">
        <v>35648</v>
      </c>
    </row>
    <row r="4894" spans="1:18" x14ac:dyDescent="0.25">
      <c r="A4894" t="s">
        <v>3</v>
      </c>
      <c r="B4894" t="s">
        <v>494</v>
      </c>
      <c r="C4894">
        <v>96670340</v>
      </c>
      <c r="D4894">
        <v>2387</v>
      </c>
      <c r="E4894">
        <v>30857438</v>
      </c>
      <c r="F4894" t="s">
        <v>1708</v>
      </c>
      <c r="G4894" s="1">
        <v>45236</v>
      </c>
      <c r="H4894">
        <v>5413765</v>
      </c>
      <c r="I4894">
        <v>72</v>
      </c>
      <c r="J4894" t="s">
        <v>176</v>
      </c>
      <c r="K4894" t="str">
        <f>IFERROR(IF(AND(VLOOKUP($C4894,Hes!$A:$B, 1, FALSE), $M4894&lt;&gt;" "), "Ingresada", "Falta Ingresar"), " ")</f>
        <v xml:space="preserve"> </v>
      </c>
      <c r="L4894" s="4" t="str">
        <f>IFERROR(VLOOKUP($C4894,Observaciones!$A:$B,2,FALSE)," ")</f>
        <v>XRUT</v>
      </c>
      <c r="M4894" t="s">
        <v>681</v>
      </c>
      <c r="O4894" s="5">
        <v>30857438</v>
      </c>
      <c r="P4894" s="5">
        <v>29717</v>
      </c>
      <c r="Q4894" s="5">
        <v>5646</v>
      </c>
      <c r="R4894" s="5">
        <v>35363</v>
      </c>
    </row>
    <row r="4895" spans="1:18" x14ac:dyDescent="0.25">
      <c r="A4895" t="s">
        <v>3</v>
      </c>
      <c r="B4895" t="s">
        <v>494</v>
      </c>
      <c r="C4895">
        <v>96670340</v>
      </c>
      <c r="D4895">
        <v>604</v>
      </c>
      <c r="E4895">
        <v>30855538</v>
      </c>
      <c r="F4895" t="s">
        <v>1708</v>
      </c>
      <c r="G4895" s="1">
        <v>45236</v>
      </c>
      <c r="H4895">
        <v>5413780</v>
      </c>
      <c r="I4895">
        <v>72</v>
      </c>
      <c r="J4895" t="s">
        <v>176</v>
      </c>
      <c r="K4895" t="str">
        <f>IFERROR(IF(AND(VLOOKUP($C4895,Hes!$A:$B, 1, FALSE), $M4895&lt;&gt;" "), "Ingresada", "Falta Ingresar"), " ")</f>
        <v xml:space="preserve"> </v>
      </c>
      <c r="L4895" s="4" t="str">
        <f>IFERROR(VLOOKUP($C4895,Observaciones!$A:$B,2,FALSE)," ")</f>
        <v>XRUT</v>
      </c>
      <c r="M4895" t="s">
        <v>681</v>
      </c>
      <c r="O4895" s="5">
        <v>30855538</v>
      </c>
      <c r="P4895" s="5">
        <v>23149</v>
      </c>
      <c r="Q4895" s="5">
        <v>4398</v>
      </c>
      <c r="R4895" s="5">
        <v>27547</v>
      </c>
    </row>
    <row r="4896" spans="1:18" x14ac:dyDescent="0.25">
      <c r="A4896" t="s">
        <v>3</v>
      </c>
      <c r="B4896" t="s">
        <v>494</v>
      </c>
      <c r="C4896">
        <v>96670340</v>
      </c>
      <c r="D4896">
        <v>83</v>
      </c>
      <c r="E4896">
        <v>30858105</v>
      </c>
      <c r="F4896" t="s">
        <v>1708</v>
      </c>
      <c r="G4896" s="1">
        <v>45236</v>
      </c>
      <c r="H4896">
        <v>5413799</v>
      </c>
      <c r="I4896">
        <v>72</v>
      </c>
      <c r="J4896" t="s">
        <v>176</v>
      </c>
      <c r="K4896" t="str">
        <f>IFERROR(IF(AND(VLOOKUP($C4896,Hes!$A:$B, 1, FALSE), $M4896&lt;&gt;" "), "Ingresada", "Falta Ingresar"), " ")</f>
        <v xml:space="preserve"> </v>
      </c>
      <c r="L4896" s="4" t="str">
        <f>IFERROR(VLOOKUP($C4896,Observaciones!$A:$B,2,FALSE)," ")</f>
        <v>XRUT</v>
      </c>
      <c r="M4896" t="s">
        <v>681</v>
      </c>
      <c r="O4896" s="5">
        <v>30858105</v>
      </c>
      <c r="P4896" s="5">
        <v>29969</v>
      </c>
      <c r="Q4896" s="5">
        <v>5694</v>
      </c>
      <c r="R4896" s="5">
        <v>35663</v>
      </c>
    </row>
    <row r="4897" spans="1:18" x14ac:dyDescent="0.25">
      <c r="A4897" t="s">
        <v>3</v>
      </c>
      <c r="B4897" t="s">
        <v>494</v>
      </c>
      <c r="C4897">
        <v>96670340</v>
      </c>
      <c r="D4897">
        <v>599</v>
      </c>
      <c r="E4897">
        <v>30858067</v>
      </c>
      <c r="F4897" t="s">
        <v>1708</v>
      </c>
      <c r="G4897" s="1">
        <v>45236</v>
      </c>
      <c r="H4897">
        <v>5413859</v>
      </c>
      <c r="I4897">
        <v>72</v>
      </c>
      <c r="J4897" t="s">
        <v>176</v>
      </c>
      <c r="K4897" t="str">
        <f>IFERROR(IF(AND(VLOOKUP($C4897,Hes!$A:$B, 1, FALSE), $M4897&lt;&gt;" "), "Ingresada", "Falta Ingresar"), " ")</f>
        <v xml:space="preserve"> </v>
      </c>
      <c r="L4897" s="4" t="str">
        <f>IFERROR(VLOOKUP($C4897,Observaciones!$A:$B,2,FALSE)," ")</f>
        <v>XRUT</v>
      </c>
      <c r="M4897" t="s">
        <v>681</v>
      </c>
      <c r="O4897" s="5">
        <v>30858067</v>
      </c>
      <c r="P4897" s="5">
        <v>26861</v>
      </c>
      <c r="Q4897" s="5">
        <v>5104</v>
      </c>
      <c r="R4897" s="5">
        <v>31965</v>
      </c>
    </row>
    <row r="4898" spans="1:18" x14ac:dyDescent="0.25">
      <c r="A4898" t="s">
        <v>3</v>
      </c>
      <c r="B4898" t="s">
        <v>494</v>
      </c>
      <c r="C4898">
        <v>96670340</v>
      </c>
      <c r="D4898">
        <v>1101</v>
      </c>
      <c r="E4898">
        <v>30857960</v>
      </c>
      <c r="F4898" t="s">
        <v>1708</v>
      </c>
      <c r="G4898" s="1">
        <v>45236</v>
      </c>
      <c r="H4898">
        <v>5413886</v>
      </c>
      <c r="I4898">
        <v>72</v>
      </c>
      <c r="J4898" t="s">
        <v>176</v>
      </c>
      <c r="K4898" t="str">
        <f>IFERROR(IF(AND(VLOOKUP($C4898,Hes!$A:$B, 1, FALSE), $M4898&lt;&gt;" "), "Ingresada", "Falta Ingresar"), " ")</f>
        <v xml:space="preserve"> </v>
      </c>
      <c r="L4898" s="4" t="str">
        <f>IFERROR(VLOOKUP($C4898,Observaciones!$A:$B,2,FALSE)," ")</f>
        <v>XRUT</v>
      </c>
      <c r="M4898" t="s">
        <v>681</v>
      </c>
      <c r="O4898" s="5">
        <v>30857960</v>
      </c>
      <c r="P4898" s="5">
        <v>29628</v>
      </c>
      <c r="Q4898" s="5">
        <v>5629</v>
      </c>
      <c r="R4898" s="5">
        <v>35257</v>
      </c>
    </row>
    <row r="4899" spans="1:18" x14ac:dyDescent="0.25">
      <c r="A4899" t="s">
        <v>3</v>
      </c>
      <c r="B4899" t="s">
        <v>494</v>
      </c>
      <c r="C4899">
        <v>96670340</v>
      </c>
      <c r="D4899">
        <v>63</v>
      </c>
      <c r="E4899">
        <v>30858270</v>
      </c>
      <c r="F4899" t="s">
        <v>1708</v>
      </c>
      <c r="G4899" s="1">
        <v>45237</v>
      </c>
      <c r="H4899">
        <v>5413952</v>
      </c>
      <c r="I4899">
        <v>72</v>
      </c>
      <c r="J4899" t="s">
        <v>176</v>
      </c>
      <c r="K4899" t="str">
        <f>IFERROR(IF(AND(VLOOKUP($C4899,Hes!$A:$B, 1, FALSE), $M4899&lt;&gt;" "), "Ingresada", "Falta Ingresar"), " ")</f>
        <v xml:space="preserve"> </v>
      </c>
      <c r="L4899" s="4" t="str">
        <f>IFERROR(VLOOKUP($C4899,Observaciones!$A:$B,2,FALSE)," ")</f>
        <v>XRUT</v>
      </c>
      <c r="M4899" t="s">
        <v>681</v>
      </c>
      <c r="O4899" s="5">
        <v>30858270</v>
      </c>
      <c r="P4899" s="5">
        <v>29599</v>
      </c>
      <c r="Q4899" s="5">
        <v>5624</v>
      </c>
      <c r="R4899" s="5">
        <v>35223</v>
      </c>
    </row>
    <row r="4900" spans="1:18" x14ac:dyDescent="0.25">
      <c r="A4900" t="s">
        <v>3</v>
      </c>
      <c r="B4900" t="s">
        <v>494</v>
      </c>
      <c r="C4900">
        <v>96670340</v>
      </c>
      <c r="D4900">
        <v>1043</v>
      </c>
      <c r="E4900">
        <v>30858312</v>
      </c>
      <c r="F4900" t="s">
        <v>1708</v>
      </c>
      <c r="G4900" s="1">
        <v>45237</v>
      </c>
      <c r="H4900">
        <v>5413953</v>
      </c>
      <c r="I4900">
        <v>72</v>
      </c>
      <c r="J4900" t="s">
        <v>176</v>
      </c>
      <c r="K4900" t="str">
        <f>IFERROR(IF(AND(VLOOKUP($C4900,Hes!$A:$B, 1, FALSE), $M4900&lt;&gt;" "), "Ingresada", "Falta Ingresar"), " ")</f>
        <v xml:space="preserve"> </v>
      </c>
      <c r="L4900" s="4" t="str">
        <f>IFERROR(VLOOKUP($C4900,Observaciones!$A:$B,2,FALSE)," ")</f>
        <v>XRUT</v>
      </c>
      <c r="M4900" t="s">
        <v>681</v>
      </c>
      <c r="O4900" s="5">
        <v>30858312</v>
      </c>
      <c r="P4900" s="5">
        <v>26654</v>
      </c>
      <c r="Q4900" s="5">
        <v>5064</v>
      </c>
      <c r="R4900" s="5">
        <v>31718</v>
      </c>
    </row>
    <row r="4901" spans="1:18" x14ac:dyDescent="0.25">
      <c r="A4901" t="s">
        <v>3</v>
      </c>
      <c r="B4901" t="s">
        <v>494</v>
      </c>
      <c r="C4901">
        <v>96670340</v>
      </c>
      <c r="D4901">
        <v>484</v>
      </c>
      <c r="E4901">
        <v>30858250</v>
      </c>
      <c r="F4901" t="s">
        <v>1708</v>
      </c>
      <c r="G4901" s="1">
        <v>45237</v>
      </c>
      <c r="H4901">
        <v>5413956</v>
      </c>
      <c r="I4901">
        <v>72</v>
      </c>
      <c r="J4901" t="s">
        <v>176</v>
      </c>
      <c r="K4901" t="str">
        <f>IFERROR(IF(AND(VLOOKUP($C4901,Hes!$A:$B, 1, FALSE), $M4901&lt;&gt;" "), "Ingresada", "Falta Ingresar"), " ")</f>
        <v xml:space="preserve"> </v>
      </c>
      <c r="L4901" s="4" t="str">
        <f>IFERROR(VLOOKUP($C4901,Observaciones!$A:$B,2,FALSE)," ")</f>
        <v>XRUT</v>
      </c>
      <c r="M4901" t="s">
        <v>681</v>
      </c>
      <c r="O4901" s="5">
        <v>30858250</v>
      </c>
      <c r="P4901" s="5">
        <v>29511</v>
      </c>
      <c r="Q4901" s="5">
        <v>5607</v>
      </c>
      <c r="R4901" s="5">
        <v>35118</v>
      </c>
    </row>
    <row r="4902" spans="1:18" x14ac:dyDescent="0.25">
      <c r="A4902" t="s">
        <v>3</v>
      </c>
      <c r="B4902" t="s">
        <v>494</v>
      </c>
      <c r="C4902">
        <v>96670340</v>
      </c>
      <c r="D4902">
        <v>427</v>
      </c>
      <c r="E4902">
        <v>30858146</v>
      </c>
      <c r="F4902" t="s">
        <v>1708</v>
      </c>
      <c r="G4902" s="1">
        <v>45237</v>
      </c>
      <c r="H4902">
        <v>5413957</v>
      </c>
      <c r="I4902">
        <v>72</v>
      </c>
      <c r="J4902" t="s">
        <v>176</v>
      </c>
      <c r="K4902" t="str">
        <f>IFERROR(IF(AND(VLOOKUP($C4902,Hes!$A:$B, 1, FALSE), $M4902&lt;&gt;" "), "Ingresada", "Falta Ingresar"), " ")</f>
        <v xml:space="preserve"> </v>
      </c>
      <c r="L4902" s="4" t="str">
        <f>IFERROR(VLOOKUP($C4902,Observaciones!$A:$B,2,FALSE)," ")</f>
        <v>XRUT</v>
      </c>
      <c r="M4902" t="s">
        <v>681</v>
      </c>
      <c r="O4902" s="5">
        <v>30858146</v>
      </c>
      <c r="P4902" s="5">
        <v>29512</v>
      </c>
      <c r="Q4902" s="5">
        <v>5607</v>
      </c>
      <c r="R4902" s="5">
        <v>35119</v>
      </c>
    </row>
    <row r="4903" spans="1:18" x14ac:dyDescent="0.25">
      <c r="A4903" t="s">
        <v>3</v>
      </c>
      <c r="B4903" t="s">
        <v>494</v>
      </c>
      <c r="C4903">
        <v>96670340</v>
      </c>
      <c r="D4903">
        <v>1079</v>
      </c>
      <c r="E4903">
        <v>30858210</v>
      </c>
      <c r="F4903" t="s">
        <v>1708</v>
      </c>
      <c r="G4903" s="1">
        <v>45237</v>
      </c>
      <c r="H4903">
        <v>5413960</v>
      </c>
      <c r="I4903">
        <v>72</v>
      </c>
      <c r="J4903" t="s">
        <v>176</v>
      </c>
      <c r="K4903" t="str">
        <f>IFERROR(IF(AND(VLOOKUP($C4903,Hes!$A:$B, 1, FALSE), $M4903&lt;&gt;" "), "Ingresada", "Falta Ingresar"), " ")</f>
        <v xml:space="preserve"> </v>
      </c>
      <c r="L4903" s="4" t="str">
        <f>IFERROR(VLOOKUP($C4903,Observaciones!$A:$B,2,FALSE)," ")</f>
        <v>XRUT</v>
      </c>
      <c r="M4903" t="s">
        <v>681</v>
      </c>
      <c r="O4903" s="5">
        <v>30858210</v>
      </c>
      <c r="P4903" s="5">
        <v>29728</v>
      </c>
      <c r="Q4903" s="5">
        <v>5648</v>
      </c>
      <c r="R4903" s="5">
        <v>35376</v>
      </c>
    </row>
    <row r="4904" spans="1:18" x14ac:dyDescent="0.25">
      <c r="A4904" t="s">
        <v>3</v>
      </c>
      <c r="B4904" t="s">
        <v>494</v>
      </c>
      <c r="C4904">
        <v>96670340</v>
      </c>
      <c r="D4904">
        <v>1103</v>
      </c>
      <c r="E4904">
        <v>30858199</v>
      </c>
      <c r="F4904" t="s">
        <v>1708</v>
      </c>
      <c r="G4904" s="1">
        <v>45237</v>
      </c>
      <c r="H4904">
        <v>5413964</v>
      </c>
      <c r="I4904">
        <v>72</v>
      </c>
      <c r="J4904" t="s">
        <v>176</v>
      </c>
      <c r="K4904" t="str">
        <f>IFERROR(IF(AND(VLOOKUP($C4904,Hes!$A:$B, 1, FALSE), $M4904&lt;&gt;" "), "Ingresada", "Falta Ingresar"), " ")</f>
        <v xml:space="preserve"> </v>
      </c>
      <c r="L4904" s="4" t="str">
        <f>IFERROR(VLOOKUP($C4904,Observaciones!$A:$B,2,FALSE)," ")</f>
        <v>XRUT</v>
      </c>
      <c r="M4904" t="s">
        <v>681</v>
      </c>
      <c r="O4904" s="5">
        <v>30858199</v>
      </c>
      <c r="P4904" s="5">
        <v>29907</v>
      </c>
      <c r="Q4904" s="5">
        <v>5682</v>
      </c>
      <c r="R4904" s="5">
        <v>35589</v>
      </c>
    </row>
    <row r="4905" spans="1:18" x14ac:dyDescent="0.25">
      <c r="A4905" t="s">
        <v>3</v>
      </c>
      <c r="B4905" t="s">
        <v>494</v>
      </c>
      <c r="C4905">
        <v>96670340</v>
      </c>
      <c r="D4905">
        <v>2401</v>
      </c>
      <c r="E4905">
        <v>30858215</v>
      </c>
      <c r="F4905" t="s">
        <v>1708</v>
      </c>
      <c r="G4905" s="1">
        <v>45237</v>
      </c>
      <c r="H4905">
        <v>5413965</v>
      </c>
      <c r="I4905">
        <v>72</v>
      </c>
      <c r="J4905" t="s">
        <v>176</v>
      </c>
      <c r="K4905" t="str">
        <f>IFERROR(IF(AND(VLOOKUP($C4905,Hes!$A:$B, 1, FALSE), $M4905&lt;&gt;" "), "Ingresada", "Falta Ingresar"), " ")</f>
        <v xml:space="preserve"> </v>
      </c>
      <c r="L4905" s="4" t="str">
        <f>IFERROR(VLOOKUP($C4905,Observaciones!$A:$B,2,FALSE)," ")</f>
        <v>XRUT</v>
      </c>
      <c r="M4905" t="s">
        <v>681</v>
      </c>
      <c r="O4905" s="5">
        <v>30858215</v>
      </c>
      <c r="P4905" s="5">
        <v>29745</v>
      </c>
      <c r="Q4905" s="5">
        <v>5652</v>
      </c>
      <c r="R4905" s="5">
        <v>35397</v>
      </c>
    </row>
    <row r="4906" spans="1:18" x14ac:dyDescent="0.25">
      <c r="A4906" t="s">
        <v>3</v>
      </c>
      <c r="B4906" t="s">
        <v>494</v>
      </c>
      <c r="C4906">
        <v>96670340</v>
      </c>
      <c r="D4906">
        <v>464</v>
      </c>
      <c r="E4906">
        <v>30858188</v>
      </c>
      <c r="F4906" t="s">
        <v>1708</v>
      </c>
      <c r="G4906" s="1">
        <v>45237</v>
      </c>
      <c r="H4906">
        <v>5413972</v>
      </c>
      <c r="I4906">
        <v>72</v>
      </c>
      <c r="J4906" t="s">
        <v>176</v>
      </c>
      <c r="K4906" t="str">
        <f>IFERROR(IF(AND(VLOOKUP($C4906,Hes!$A:$B, 1, FALSE), $M4906&lt;&gt;" "), "Ingresada", "Falta Ingresar"), " ")</f>
        <v xml:space="preserve"> </v>
      </c>
      <c r="L4906" s="4" t="str">
        <f>IFERROR(VLOOKUP($C4906,Observaciones!$A:$B,2,FALSE)," ")</f>
        <v>XRUT</v>
      </c>
      <c r="M4906" t="s">
        <v>681</v>
      </c>
      <c r="O4906" s="5">
        <v>30858188</v>
      </c>
      <c r="P4906" s="5">
        <v>29972</v>
      </c>
      <c r="Q4906" s="5">
        <v>5695</v>
      </c>
      <c r="R4906" s="5">
        <v>35667</v>
      </c>
    </row>
    <row r="4907" spans="1:18" x14ac:dyDescent="0.25">
      <c r="A4907" t="s">
        <v>3</v>
      </c>
      <c r="B4907" t="s">
        <v>494</v>
      </c>
      <c r="C4907">
        <v>96670340</v>
      </c>
      <c r="D4907">
        <v>1082</v>
      </c>
      <c r="E4907">
        <v>30858272</v>
      </c>
      <c r="F4907" t="s">
        <v>1708</v>
      </c>
      <c r="G4907" s="1">
        <v>45237</v>
      </c>
      <c r="H4907">
        <v>5413974</v>
      </c>
      <c r="I4907">
        <v>72</v>
      </c>
      <c r="J4907" t="s">
        <v>176</v>
      </c>
      <c r="K4907" t="str">
        <f>IFERROR(IF(AND(VLOOKUP($C4907,Hes!$A:$B, 1, FALSE), $M4907&lt;&gt;" "), "Ingresada", "Falta Ingresar"), " ")</f>
        <v xml:space="preserve"> </v>
      </c>
      <c r="L4907" s="4" t="str">
        <f>IFERROR(VLOOKUP($C4907,Observaciones!$A:$B,2,FALSE)," ")</f>
        <v>XRUT</v>
      </c>
      <c r="M4907" t="s">
        <v>681</v>
      </c>
      <c r="O4907" s="5">
        <v>30858272</v>
      </c>
      <c r="P4907" s="5">
        <v>29817</v>
      </c>
      <c r="Q4907" s="5">
        <v>5665</v>
      </c>
      <c r="R4907" s="5">
        <v>35482</v>
      </c>
    </row>
    <row r="4908" spans="1:18" x14ac:dyDescent="0.25">
      <c r="A4908" t="s">
        <v>3</v>
      </c>
      <c r="B4908" t="s">
        <v>494</v>
      </c>
      <c r="C4908">
        <v>96670340</v>
      </c>
      <c r="D4908">
        <v>1107</v>
      </c>
      <c r="E4908">
        <v>30858276</v>
      </c>
      <c r="F4908" t="s">
        <v>1708</v>
      </c>
      <c r="G4908" s="1">
        <v>45237</v>
      </c>
      <c r="H4908">
        <v>5413975</v>
      </c>
      <c r="I4908">
        <v>72</v>
      </c>
      <c r="J4908" t="s">
        <v>176</v>
      </c>
      <c r="K4908" t="str">
        <f>IFERROR(IF(AND(VLOOKUP($C4908,Hes!$A:$B, 1, FALSE), $M4908&lt;&gt;" "), "Ingresada", "Falta Ingresar"), " ")</f>
        <v xml:space="preserve"> </v>
      </c>
      <c r="L4908" s="4" t="str">
        <f>IFERROR(VLOOKUP($C4908,Observaciones!$A:$B,2,FALSE)," ")</f>
        <v>XRUT</v>
      </c>
      <c r="M4908" t="s">
        <v>681</v>
      </c>
      <c r="O4908" s="5">
        <v>30858276</v>
      </c>
      <c r="P4908" s="5">
        <v>29885</v>
      </c>
      <c r="Q4908" s="5">
        <v>5678</v>
      </c>
      <c r="R4908" s="5">
        <v>35563</v>
      </c>
    </row>
    <row r="4909" spans="1:18" x14ac:dyDescent="0.25">
      <c r="A4909" t="s">
        <v>3</v>
      </c>
      <c r="B4909" t="s">
        <v>494</v>
      </c>
      <c r="C4909">
        <v>96670340</v>
      </c>
      <c r="D4909">
        <v>971</v>
      </c>
      <c r="E4909">
        <v>30856522</v>
      </c>
      <c r="F4909" t="s">
        <v>1708</v>
      </c>
      <c r="G4909" s="1">
        <v>45237</v>
      </c>
      <c r="H4909">
        <v>5413978</v>
      </c>
      <c r="I4909">
        <v>72</v>
      </c>
      <c r="J4909" t="s">
        <v>176</v>
      </c>
      <c r="K4909" t="str">
        <f>IFERROR(IF(AND(VLOOKUP($C4909,Hes!$A:$B, 1, FALSE), $M4909&lt;&gt;" "), "Ingresada", "Falta Ingresar"), " ")</f>
        <v xml:space="preserve"> </v>
      </c>
      <c r="L4909" s="4" t="str">
        <f>IFERROR(VLOOKUP($C4909,Observaciones!$A:$B,2,FALSE)," ")</f>
        <v>XRUT</v>
      </c>
      <c r="M4909" t="s">
        <v>681</v>
      </c>
      <c r="O4909" s="5">
        <v>30856522</v>
      </c>
      <c r="P4909" s="5">
        <v>29910</v>
      </c>
      <c r="Q4909" s="5">
        <v>5683</v>
      </c>
      <c r="R4909" s="5">
        <v>35593</v>
      </c>
    </row>
    <row r="4910" spans="1:18" x14ac:dyDescent="0.25">
      <c r="A4910" t="s">
        <v>3</v>
      </c>
      <c r="B4910" t="s">
        <v>494</v>
      </c>
      <c r="C4910">
        <v>96670340</v>
      </c>
      <c r="D4910">
        <v>976</v>
      </c>
      <c r="E4910">
        <v>30858219</v>
      </c>
      <c r="F4910" t="s">
        <v>1708</v>
      </c>
      <c r="G4910" s="1">
        <v>45237</v>
      </c>
      <c r="H4910">
        <v>5414017</v>
      </c>
      <c r="I4910">
        <v>72</v>
      </c>
      <c r="J4910" t="s">
        <v>176</v>
      </c>
      <c r="K4910" t="str">
        <f>IFERROR(IF(AND(VLOOKUP($C4910,Hes!$A:$B, 1, FALSE), $M4910&lt;&gt;" "), "Ingresada", "Falta Ingresar"), " ")</f>
        <v xml:space="preserve"> </v>
      </c>
      <c r="L4910" s="4" t="str">
        <f>IFERROR(VLOOKUP($C4910,Observaciones!$A:$B,2,FALSE)," ")</f>
        <v>XRUT</v>
      </c>
      <c r="M4910" t="s">
        <v>681</v>
      </c>
      <c r="O4910" s="5">
        <v>30858219</v>
      </c>
      <c r="P4910" s="5">
        <v>29665</v>
      </c>
      <c r="Q4910" s="5">
        <v>5636</v>
      </c>
      <c r="R4910" s="5">
        <v>35301</v>
      </c>
    </row>
    <row r="4911" spans="1:18" x14ac:dyDescent="0.25">
      <c r="A4911" t="s">
        <v>3</v>
      </c>
      <c r="B4911" t="s">
        <v>494</v>
      </c>
      <c r="C4911">
        <v>96670340</v>
      </c>
      <c r="D4911">
        <v>635</v>
      </c>
      <c r="E4911">
        <v>30858316</v>
      </c>
      <c r="F4911" t="s">
        <v>1708</v>
      </c>
      <c r="G4911" s="1">
        <v>45237</v>
      </c>
      <c r="H4911">
        <v>5414019</v>
      </c>
      <c r="I4911">
        <v>72</v>
      </c>
      <c r="J4911" t="s">
        <v>176</v>
      </c>
      <c r="K4911" t="str">
        <f>IFERROR(IF(AND(VLOOKUP($C4911,Hes!$A:$B, 1, FALSE), $M4911&lt;&gt;" "), "Ingresada", "Falta Ingresar"), " ")</f>
        <v xml:space="preserve"> </v>
      </c>
      <c r="L4911" s="4" t="str">
        <f>IFERROR(VLOOKUP($C4911,Observaciones!$A:$B,2,FALSE)," ")</f>
        <v>XRUT</v>
      </c>
      <c r="M4911" t="s">
        <v>681</v>
      </c>
      <c r="O4911" s="5">
        <v>30858316</v>
      </c>
      <c r="P4911" s="5">
        <v>23902</v>
      </c>
      <c r="Q4911" s="5">
        <v>4541</v>
      </c>
      <c r="R4911" s="5">
        <v>28443</v>
      </c>
    </row>
    <row r="4912" spans="1:18" x14ac:dyDescent="0.25">
      <c r="A4912" t="s">
        <v>3</v>
      </c>
      <c r="B4912" t="s">
        <v>494</v>
      </c>
      <c r="C4912">
        <v>96670340</v>
      </c>
      <c r="D4912">
        <v>536</v>
      </c>
      <c r="E4912">
        <v>30858230</v>
      </c>
      <c r="F4912" t="s">
        <v>1708</v>
      </c>
      <c r="G4912" s="1">
        <v>45237</v>
      </c>
      <c r="H4912">
        <v>5414025</v>
      </c>
      <c r="I4912">
        <v>72</v>
      </c>
      <c r="J4912" t="s">
        <v>176</v>
      </c>
      <c r="K4912" t="str">
        <f>IFERROR(IF(AND(VLOOKUP($C4912,Hes!$A:$B, 1, FALSE), $M4912&lt;&gt;" "), "Ingresada", "Falta Ingresar"), " ")</f>
        <v xml:space="preserve"> </v>
      </c>
      <c r="L4912" s="4" t="str">
        <f>IFERROR(VLOOKUP($C4912,Observaciones!$A:$B,2,FALSE)," ")</f>
        <v>XRUT</v>
      </c>
      <c r="M4912" t="s">
        <v>681</v>
      </c>
      <c r="O4912" s="5">
        <v>30858230</v>
      </c>
      <c r="P4912" s="5">
        <v>29049</v>
      </c>
      <c r="Q4912" s="5">
        <v>5519</v>
      </c>
      <c r="R4912" s="5">
        <v>34568</v>
      </c>
    </row>
    <row r="4913" spans="1:18" x14ac:dyDescent="0.25">
      <c r="A4913" t="s">
        <v>3</v>
      </c>
      <c r="B4913" t="s">
        <v>494</v>
      </c>
      <c r="C4913">
        <v>96670340</v>
      </c>
      <c r="D4913">
        <v>400</v>
      </c>
      <c r="E4913">
        <v>30858306</v>
      </c>
      <c r="F4913" t="s">
        <v>1708</v>
      </c>
      <c r="G4913" s="1">
        <v>45237</v>
      </c>
      <c r="H4913">
        <v>5414026</v>
      </c>
      <c r="I4913">
        <v>72</v>
      </c>
      <c r="J4913" t="s">
        <v>176</v>
      </c>
      <c r="K4913" t="str">
        <f>IFERROR(IF(AND(VLOOKUP($C4913,Hes!$A:$B, 1, FALSE), $M4913&lt;&gt;" "), "Ingresada", "Falta Ingresar"), " ")</f>
        <v xml:space="preserve"> </v>
      </c>
      <c r="L4913" s="4" t="str">
        <f>IFERROR(VLOOKUP($C4913,Observaciones!$A:$B,2,FALSE)," ")</f>
        <v>XRUT</v>
      </c>
      <c r="M4913" t="s">
        <v>681</v>
      </c>
      <c r="O4913" s="5">
        <v>30858306</v>
      </c>
      <c r="P4913" s="5">
        <v>25073</v>
      </c>
      <c r="Q4913" s="5">
        <v>4764</v>
      </c>
      <c r="R4913" s="5">
        <v>29837</v>
      </c>
    </row>
    <row r="4914" spans="1:18" x14ac:dyDescent="0.25">
      <c r="A4914" t="s">
        <v>3</v>
      </c>
      <c r="B4914" t="s">
        <v>494</v>
      </c>
      <c r="C4914">
        <v>96670340</v>
      </c>
      <c r="D4914">
        <v>1134</v>
      </c>
      <c r="E4914">
        <v>30858300</v>
      </c>
      <c r="F4914" t="s">
        <v>1708</v>
      </c>
      <c r="G4914" s="1">
        <v>45237</v>
      </c>
      <c r="H4914">
        <v>5414033</v>
      </c>
      <c r="I4914">
        <v>72</v>
      </c>
      <c r="J4914" t="s">
        <v>176</v>
      </c>
      <c r="K4914" t="str">
        <f>IFERROR(IF(AND(VLOOKUP($C4914,Hes!$A:$B, 1, FALSE), $M4914&lt;&gt;" "), "Ingresada", "Falta Ingresar"), " ")</f>
        <v xml:space="preserve"> </v>
      </c>
      <c r="L4914" s="4" t="str">
        <f>IFERROR(VLOOKUP($C4914,Observaciones!$A:$B,2,FALSE)," ")</f>
        <v>XRUT</v>
      </c>
      <c r="M4914" t="s">
        <v>681</v>
      </c>
      <c r="O4914" s="5">
        <v>30858300</v>
      </c>
      <c r="P4914" s="5">
        <v>29590</v>
      </c>
      <c r="Q4914" s="5">
        <v>5622</v>
      </c>
      <c r="R4914" s="5">
        <v>35212</v>
      </c>
    </row>
    <row r="4915" spans="1:18" x14ac:dyDescent="0.25">
      <c r="A4915" t="s">
        <v>3</v>
      </c>
      <c r="B4915" t="s">
        <v>494</v>
      </c>
      <c r="C4915">
        <v>96670340</v>
      </c>
      <c r="D4915">
        <v>1083</v>
      </c>
      <c r="E4915">
        <v>30858304</v>
      </c>
      <c r="F4915" t="s">
        <v>1708</v>
      </c>
      <c r="G4915" s="1">
        <v>45237</v>
      </c>
      <c r="H4915">
        <v>5414034</v>
      </c>
      <c r="I4915">
        <v>72</v>
      </c>
      <c r="J4915" t="s">
        <v>176</v>
      </c>
      <c r="K4915" t="str">
        <f>IFERROR(IF(AND(VLOOKUP($C4915,Hes!$A:$B, 1, FALSE), $M4915&lt;&gt;" "), "Ingresada", "Falta Ingresar"), " ")</f>
        <v xml:space="preserve"> </v>
      </c>
      <c r="L4915" s="4" t="str">
        <f>IFERROR(VLOOKUP($C4915,Observaciones!$A:$B,2,FALSE)," ")</f>
        <v>XRUT</v>
      </c>
      <c r="M4915" t="s">
        <v>681</v>
      </c>
      <c r="O4915" s="5">
        <v>30858304</v>
      </c>
      <c r="P4915" s="5">
        <v>29528</v>
      </c>
      <c r="Q4915" s="5">
        <v>5610</v>
      </c>
      <c r="R4915" s="5">
        <v>35138</v>
      </c>
    </row>
    <row r="4916" spans="1:18" x14ac:dyDescent="0.25">
      <c r="A4916" t="s">
        <v>3</v>
      </c>
      <c r="B4916" t="s">
        <v>494</v>
      </c>
      <c r="C4916">
        <v>96670340</v>
      </c>
      <c r="D4916">
        <v>572</v>
      </c>
      <c r="E4916">
        <v>30859074</v>
      </c>
      <c r="F4916" t="s">
        <v>1708</v>
      </c>
      <c r="G4916" s="1">
        <v>45237</v>
      </c>
      <c r="H4916">
        <v>5414051</v>
      </c>
      <c r="I4916">
        <v>72</v>
      </c>
      <c r="J4916" t="s">
        <v>176</v>
      </c>
      <c r="K4916" t="str">
        <f>IFERROR(IF(AND(VLOOKUP($C4916,Hes!$A:$B, 1, FALSE), $M4916&lt;&gt;" "), "Ingresada", "Falta Ingresar"), " ")</f>
        <v xml:space="preserve"> </v>
      </c>
      <c r="L4916" s="4" t="str">
        <f>IFERROR(VLOOKUP($C4916,Observaciones!$A:$B,2,FALSE)," ")</f>
        <v>XRUT</v>
      </c>
      <c r="M4916" t="s">
        <v>681</v>
      </c>
      <c r="O4916" s="5">
        <v>30859074</v>
      </c>
      <c r="P4916" s="5">
        <v>29265</v>
      </c>
      <c r="Q4916" s="5">
        <v>5560</v>
      </c>
      <c r="R4916" s="5">
        <v>34825</v>
      </c>
    </row>
    <row r="4917" spans="1:18" x14ac:dyDescent="0.25">
      <c r="A4917" t="s">
        <v>3</v>
      </c>
      <c r="B4917" t="s">
        <v>494</v>
      </c>
      <c r="C4917">
        <v>96670340</v>
      </c>
      <c r="D4917">
        <v>381</v>
      </c>
      <c r="E4917">
        <v>30859247</v>
      </c>
      <c r="F4917" t="s">
        <v>1708</v>
      </c>
      <c r="G4917" s="1">
        <v>45237</v>
      </c>
      <c r="H4917">
        <v>5414099</v>
      </c>
      <c r="I4917">
        <v>72</v>
      </c>
      <c r="J4917" t="s">
        <v>176</v>
      </c>
      <c r="K4917" t="str">
        <f>IFERROR(IF(AND(VLOOKUP($C4917,Hes!$A:$B, 1, FALSE), $M4917&lt;&gt;" "), "Ingresada", "Falta Ingresar"), " ")</f>
        <v xml:space="preserve"> </v>
      </c>
      <c r="L4917" s="4" t="str">
        <f>IFERROR(VLOOKUP($C4917,Observaciones!$A:$B,2,FALSE)," ")</f>
        <v>XRUT</v>
      </c>
      <c r="M4917" t="s">
        <v>681</v>
      </c>
      <c r="O4917" s="5">
        <v>30859247</v>
      </c>
      <c r="P4917" s="5">
        <v>14921</v>
      </c>
      <c r="Q4917" s="5">
        <v>2835</v>
      </c>
      <c r="R4917" s="5">
        <v>17756</v>
      </c>
    </row>
    <row r="4918" spans="1:18" x14ac:dyDescent="0.25">
      <c r="A4918" t="s">
        <v>3</v>
      </c>
      <c r="B4918" t="s">
        <v>494</v>
      </c>
      <c r="C4918">
        <v>96670340</v>
      </c>
      <c r="D4918">
        <v>1085</v>
      </c>
      <c r="E4918">
        <v>30858237</v>
      </c>
      <c r="F4918" t="s">
        <v>1708</v>
      </c>
      <c r="G4918" s="1">
        <v>45237</v>
      </c>
      <c r="H4918">
        <v>5414120</v>
      </c>
      <c r="I4918">
        <v>72</v>
      </c>
      <c r="J4918" t="s">
        <v>176</v>
      </c>
      <c r="K4918" t="str">
        <f>IFERROR(IF(AND(VLOOKUP($C4918,Hes!$A:$B, 1, FALSE), $M4918&lt;&gt;" "), "Ingresada", "Falta Ingresar"), " ")</f>
        <v xml:space="preserve"> </v>
      </c>
      <c r="L4918" s="4" t="str">
        <f>IFERROR(VLOOKUP($C4918,Observaciones!$A:$B,2,FALSE)," ")</f>
        <v>XRUT</v>
      </c>
      <c r="M4918" t="s">
        <v>681</v>
      </c>
      <c r="O4918" s="5">
        <v>30858237</v>
      </c>
      <c r="P4918" s="5">
        <v>29824</v>
      </c>
      <c r="Q4918" s="5">
        <v>5667</v>
      </c>
      <c r="R4918" s="5">
        <v>35491</v>
      </c>
    </row>
    <row r="4919" spans="1:18" x14ac:dyDescent="0.25">
      <c r="A4919" t="s">
        <v>3</v>
      </c>
      <c r="B4919" t="s">
        <v>494</v>
      </c>
      <c r="C4919">
        <v>96670340</v>
      </c>
      <c r="D4919">
        <v>1104</v>
      </c>
      <c r="E4919">
        <v>30858147</v>
      </c>
      <c r="F4919" t="s">
        <v>1708</v>
      </c>
      <c r="G4919" s="1">
        <v>45237</v>
      </c>
      <c r="H4919">
        <v>5414123</v>
      </c>
      <c r="I4919">
        <v>72</v>
      </c>
      <c r="J4919" t="s">
        <v>176</v>
      </c>
      <c r="K4919" t="str">
        <f>IFERROR(IF(AND(VLOOKUP($C4919,Hes!$A:$B, 1, FALSE), $M4919&lt;&gt;" "), "Ingresada", "Falta Ingresar"), " ")</f>
        <v xml:space="preserve"> </v>
      </c>
      <c r="L4919" s="4" t="str">
        <f>IFERROR(VLOOKUP($C4919,Observaciones!$A:$B,2,FALSE)," ")</f>
        <v>XRUT</v>
      </c>
      <c r="M4919" t="s">
        <v>681</v>
      </c>
      <c r="O4919" s="5">
        <v>30858147</v>
      </c>
      <c r="P4919" s="5">
        <v>29835</v>
      </c>
      <c r="Q4919" s="5">
        <v>5669</v>
      </c>
      <c r="R4919" s="5">
        <v>35504</v>
      </c>
    </row>
    <row r="4920" spans="1:18" x14ac:dyDescent="0.25">
      <c r="A4920" t="s">
        <v>3</v>
      </c>
      <c r="B4920" t="s">
        <v>494</v>
      </c>
      <c r="C4920">
        <v>96670340</v>
      </c>
      <c r="D4920">
        <v>1114</v>
      </c>
      <c r="E4920">
        <v>30859236</v>
      </c>
      <c r="F4920" t="s">
        <v>1708</v>
      </c>
      <c r="G4920" s="1">
        <v>45237</v>
      </c>
      <c r="H4920">
        <v>5414162</v>
      </c>
      <c r="I4920">
        <v>72</v>
      </c>
      <c r="J4920" t="s">
        <v>176</v>
      </c>
      <c r="K4920" t="str">
        <f>IFERROR(IF(AND(VLOOKUP($C4920,Hes!$A:$B, 1, FALSE), $M4920&lt;&gt;" "), "Ingresada", "Falta Ingresar"), " ")</f>
        <v xml:space="preserve"> </v>
      </c>
      <c r="L4920" s="4" t="str">
        <f>IFERROR(VLOOKUP($C4920,Observaciones!$A:$B,2,FALSE)," ")</f>
        <v>XRUT</v>
      </c>
      <c r="M4920" t="s">
        <v>681</v>
      </c>
      <c r="O4920" s="5">
        <v>30859236</v>
      </c>
      <c r="P4920" s="5">
        <v>29945</v>
      </c>
      <c r="Q4920" s="5">
        <v>5690</v>
      </c>
      <c r="R4920" s="5">
        <v>35635</v>
      </c>
    </row>
    <row r="4921" spans="1:18" x14ac:dyDescent="0.25">
      <c r="A4921" t="s">
        <v>3</v>
      </c>
      <c r="B4921" t="s">
        <v>494</v>
      </c>
      <c r="C4921">
        <v>96670340</v>
      </c>
      <c r="D4921">
        <v>1042</v>
      </c>
      <c r="E4921">
        <v>30860149</v>
      </c>
      <c r="F4921" t="s">
        <v>1708</v>
      </c>
      <c r="G4921" s="1">
        <v>45237</v>
      </c>
      <c r="H4921">
        <v>5414209</v>
      </c>
      <c r="I4921">
        <v>72</v>
      </c>
      <c r="J4921" t="s">
        <v>176</v>
      </c>
      <c r="K4921" t="str">
        <f>IFERROR(IF(AND(VLOOKUP($C4921,Hes!$A:$B, 1, FALSE), $M4921&lt;&gt;" "), "Ingresada", "Falta Ingresar"), " ")</f>
        <v xml:space="preserve"> </v>
      </c>
      <c r="L4921" s="4" t="str">
        <f>IFERROR(VLOOKUP($C4921,Observaciones!$A:$B,2,FALSE)," ")</f>
        <v>XRUT</v>
      </c>
      <c r="M4921" t="s">
        <v>681</v>
      </c>
      <c r="O4921" s="5">
        <v>30860149</v>
      </c>
      <c r="P4921" s="5">
        <v>29853</v>
      </c>
      <c r="Q4921" s="5">
        <v>5672</v>
      </c>
      <c r="R4921" s="5">
        <v>35525</v>
      </c>
    </row>
    <row r="4922" spans="1:18" x14ac:dyDescent="0.25">
      <c r="A4922" t="s">
        <v>3</v>
      </c>
      <c r="B4922" t="s">
        <v>494</v>
      </c>
      <c r="C4922">
        <v>96670340</v>
      </c>
      <c r="D4922">
        <v>1118</v>
      </c>
      <c r="E4922">
        <v>30858213</v>
      </c>
      <c r="F4922" t="s">
        <v>1708</v>
      </c>
      <c r="G4922" s="1">
        <v>45237</v>
      </c>
      <c r="H4922">
        <v>5414271</v>
      </c>
      <c r="I4922">
        <v>72</v>
      </c>
      <c r="J4922" t="s">
        <v>176</v>
      </c>
      <c r="K4922" t="str">
        <f>IFERROR(IF(AND(VLOOKUP($C4922,Hes!$A:$B, 1, FALSE), $M4922&lt;&gt;" "), "Ingresada", "Falta Ingresar"), " ")</f>
        <v xml:space="preserve"> </v>
      </c>
      <c r="L4922" s="4" t="str">
        <f>IFERROR(VLOOKUP($C4922,Observaciones!$A:$B,2,FALSE)," ")</f>
        <v>XRUT</v>
      </c>
      <c r="M4922" t="s">
        <v>681</v>
      </c>
      <c r="O4922" s="5">
        <v>30858213</v>
      </c>
      <c r="P4922" s="5">
        <v>29991</v>
      </c>
      <c r="Q4922" s="5">
        <v>5698</v>
      </c>
      <c r="R4922" s="5">
        <v>35689</v>
      </c>
    </row>
    <row r="4923" spans="1:18" x14ac:dyDescent="0.25">
      <c r="A4923" t="s">
        <v>3</v>
      </c>
      <c r="B4923" t="s">
        <v>494</v>
      </c>
      <c r="C4923">
        <v>96670340</v>
      </c>
      <c r="D4923">
        <v>974</v>
      </c>
      <c r="E4923">
        <v>30860590</v>
      </c>
      <c r="F4923" t="s">
        <v>1708</v>
      </c>
      <c r="G4923" s="1">
        <v>45237</v>
      </c>
      <c r="H4923">
        <v>5414350</v>
      </c>
      <c r="I4923">
        <v>72</v>
      </c>
      <c r="J4923" t="s">
        <v>176</v>
      </c>
      <c r="K4923" t="str">
        <f>IFERROR(IF(AND(VLOOKUP($C4923,Hes!$A:$B, 1, FALSE), $M4923&lt;&gt;" "), "Ingresada", "Falta Ingresar"), " ")</f>
        <v xml:space="preserve"> </v>
      </c>
      <c r="L4923" s="4" t="str">
        <f>IFERROR(VLOOKUP($C4923,Observaciones!$A:$B,2,FALSE)," ")</f>
        <v>XRUT</v>
      </c>
      <c r="M4923" t="s">
        <v>681</v>
      </c>
      <c r="O4923" s="5">
        <v>30860590</v>
      </c>
      <c r="P4923" s="5">
        <v>25963</v>
      </c>
      <c r="Q4923" s="5">
        <v>4933</v>
      </c>
      <c r="R4923" s="5">
        <v>30896</v>
      </c>
    </row>
    <row r="4924" spans="1:18" x14ac:dyDescent="0.25">
      <c r="A4924" t="s">
        <v>3</v>
      </c>
      <c r="B4924" t="s">
        <v>494</v>
      </c>
      <c r="C4924">
        <v>96670340</v>
      </c>
      <c r="D4924">
        <v>982</v>
      </c>
      <c r="E4924">
        <v>30860485</v>
      </c>
      <c r="F4924" t="s">
        <v>1708</v>
      </c>
      <c r="G4924" s="1">
        <v>45237</v>
      </c>
      <c r="H4924">
        <v>5414437</v>
      </c>
      <c r="I4924">
        <v>72</v>
      </c>
      <c r="J4924" t="s">
        <v>176</v>
      </c>
      <c r="K4924" t="str">
        <f>IFERROR(IF(AND(VLOOKUP($C4924,Hes!$A:$B, 1, FALSE), $M4924&lt;&gt;" "), "Ingresada", "Falta Ingresar"), " ")</f>
        <v xml:space="preserve"> </v>
      </c>
      <c r="L4924" s="4" t="str">
        <f>IFERROR(VLOOKUP($C4924,Observaciones!$A:$B,2,FALSE)," ")</f>
        <v>XRUT</v>
      </c>
      <c r="M4924" t="s">
        <v>681</v>
      </c>
      <c r="O4924" s="5">
        <v>30860485</v>
      </c>
      <c r="P4924" s="5">
        <v>29745</v>
      </c>
      <c r="Q4924" s="5">
        <v>5652</v>
      </c>
      <c r="R4924" s="5">
        <v>35397</v>
      </c>
    </row>
    <row r="4925" spans="1:18" x14ac:dyDescent="0.25">
      <c r="A4925" t="s">
        <v>3</v>
      </c>
      <c r="B4925" t="s">
        <v>494</v>
      </c>
      <c r="C4925">
        <v>96670340</v>
      </c>
      <c r="D4925">
        <v>1131</v>
      </c>
      <c r="E4925">
        <v>30860960</v>
      </c>
      <c r="F4925" t="s">
        <v>1708</v>
      </c>
      <c r="G4925" s="1">
        <v>45237</v>
      </c>
      <c r="H4925">
        <v>5414460</v>
      </c>
      <c r="I4925">
        <v>72</v>
      </c>
      <c r="J4925" t="s">
        <v>176</v>
      </c>
      <c r="K4925" t="str">
        <f>IFERROR(IF(AND(VLOOKUP($C4925,Hes!$A:$B, 1, FALSE), $M4925&lt;&gt;" "), "Ingresada", "Falta Ingresar"), " ")</f>
        <v xml:space="preserve"> </v>
      </c>
      <c r="L4925" s="4" t="str">
        <f>IFERROR(VLOOKUP($C4925,Observaciones!$A:$B,2,FALSE)," ")</f>
        <v>XRUT</v>
      </c>
      <c r="M4925" t="s">
        <v>681</v>
      </c>
      <c r="O4925" s="5">
        <v>30860960</v>
      </c>
      <c r="P4925" s="5">
        <v>16308</v>
      </c>
      <c r="Q4925" s="5">
        <v>3099</v>
      </c>
      <c r="R4925" s="5">
        <v>19407</v>
      </c>
    </row>
    <row r="4926" spans="1:18" x14ac:dyDescent="0.25">
      <c r="A4926" t="s">
        <v>3</v>
      </c>
      <c r="B4926" t="s">
        <v>494</v>
      </c>
      <c r="C4926">
        <v>96670340</v>
      </c>
      <c r="D4926">
        <v>64</v>
      </c>
      <c r="E4926">
        <v>30860308</v>
      </c>
      <c r="F4926" t="s">
        <v>1708</v>
      </c>
      <c r="G4926" s="1">
        <v>45237</v>
      </c>
      <c r="H4926">
        <v>5414467</v>
      </c>
      <c r="I4926">
        <v>72</v>
      </c>
      <c r="J4926" t="s">
        <v>176</v>
      </c>
      <c r="K4926" t="str">
        <f>IFERROR(IF(AND(VLOOKUP($C4926,Hes!$A:$B, 1, FALSE), $M4926&lt;&gt;" "), "Ingresada", "Falta Ingresar"), " ")</f>
        <v xml:space="preserve"> </v>
      </c>
      <c r="L4926" s="4" t="str">
        <f>IFERROR(VLOOKUP($C4926,Observaciones!$A:$B,2,FALSE)," ")</f>
        <v>XRUT</v>
      </c>
      <c r="M4926" t="s">
        <v>681</v>
      </c>
      <c r="O4926" s="5">
        <v>30860308</v>
      </c>
      <c r="P4926" s="5">
        <v>29963</v>
      </c>
      <c r="Q4926" s="5">
        <v>5693</v>
      </c>
      <c r="R4926" s="5">
        <v>35656</v>
      </c>
    </row>
    <row r="4927" spans="1:18" x14ac:dyDescent="0.25">
      <c r="A4927" t="s">
        <v>3</v>
      </c>
      <c r="B4927" t="s">
        <v>494</v>
      </c>
      <c r="C4927">
        <v>96670340</v>
      </c>
      <c r="D4927">
        <v>1088</v>
      </c>
      <c r="E4927">
        <v>30861692</v>
      </c>
      <c r="F4927" t="s">
        <v>1708</v>
      </c>
      <c r="G4927" s="1">
        <v>45238</v>
      </c>
      <c r="H4927">
        <v>5414538</v>
      </c>
      <c r="I4927">
        <v>72</v>
      </c>
      <c r="J4927" t="s">
        <v>176</v>
      </c>
      <c r="K4927" t="str">
        <f>IFERROR(IF(AND(VLOOKUP($C4927,Hes!$A:$B, 1, FALSE), $M4927&lt;&gt;" "), "Ingresada", "Falta Ingresar"), " ")</f>
        <v xml:space="preserve"> </v>
      </c>
      <c r="L4927" s="4" t="str">
        <f>IFERROR(VLOOKUP($C4927,Observaciones!$A:$B,2,FALSE)," ")</f>
        <v>XRUT</v>
      </c>
      <c r="M4927" t="s">
        <v>681</v>
      </c>
      <c r="O4927" s="5">
        <v>30861692</v>
      </c>
      <c r="P4927" s="5">
        <v>29964</v>
      </c>
      <c r="Q4927" s="5">
        <v>5693</v>
      </c>
      <c r="R4927" s="5">
        <v>35657</v>
      </c>
    </row>
    <row r="4928" spans="1:18" x14ac:dyDescent="0.25">
      <c r="A4928" t="s">
        <v>3</v>
      </c>
      <c r="B4928" t="s">
        <v>494</v>
      </c>
      <c r="C4928">
        <v>96670340</v>
      </c>
      <c r="D4928">
        <v>32</v>
      </c>
      <c r="E4928">
        <v>30863163</v>
      </c>
      <c r="F4928" t="s">
        <v>1708</v>
      </c>
      <c r="G4928" s="1">
        <v>45238</v>
      </c>
      <c r="H4928">
        <v>5414548</v>
      </c>
      <c r="I4928">
        <v>72</v>
      </c>
      <c r="J4928" t="s">
        <v>176</v>
      </c>
      <c r="K4928" t="str">
        <f>IFERROR(IF(AND(VLOOKUP($C4928,Hes!$A:$B, 1, FALSE), $M4928&lt;&gt;" "), "Ingresada", "Falta Ingresar"), " ")</f>
        <v xml:space="preserve"> </v>
      </c>
      <c r="L4928" s="4" t="str">
        <f>IFERROR(VLOOKUP($C4928,Observaciones!$A:$B,2,FALSE)," ")</f>
        <v>XRUT</v>
      </c>
      <c r="M4928" t="s">
        <v>681</v>
      </c>
      <c r="O4928" s="5">
        <v>30863163</v>
      </c>
      <c r="P4928" s="5">
        <v>14859</v>
      </c>
      <c r="Q4928" s="5">
        <v>2823</v>
      </c>
      <c r="R4928" s="5">
        <v>17682</v>
      </c>
    </row>
    <row r="4929" spans="1:18" x14ac:dyDescent="0.25">
      <c r="A4929" t="s">
        <v>3</v>
      </c>
      <c r="B4929" t="s">
        <v>494</v>
      </c>
      <c r="C4929">
        <v>96670340</v>
      </c>
      <c r="D4929">
        <v>1039</v>
      </c>
      <c r="E4929">
        <v>30861632</v>
      </c>
      <c r="F4929" t="s">
        <v>1708</v>
      </c>
      <c r="G4929" s="1">
        <v>45238</v>
      </c>
      <c r="H4929">
        <v>5414557</v>
      </c>
      <c r="I4929">
        <v>72</v>
      </c>
      <c r="J4929" t="s">
        <v>176</v>
      </c>
      <c r="K4929" t="str">
        <f>IFERROR(IF(AND(VLOOKUP($C4929,Hes!$A:$B, 1, FALSE), $M4929&lt;&gt;" "), "Ingresada", "Falta Ingresar"), " ")</f>
        <v xml:space="preserve"> </v>
      </c>
      <c r="L4929" s="4" t="str">
        <f>IFERROR(VLOOKUP($C4929,Observaciones!$A:$B,2,FALSE)," ")</f>
        <v>XRUT</v>
      </c>
      <c r="M4929" t="s">
        <v>681</v>
      </c>
      <c r="O4929" s="5">
        <v>30861632</v>
      </c>
      <c r="P4929" s="5">
        <v>29863</v>
      </c>
      <c r="Q4929" s="5">
        <v>5674</v>
      </c>
      <c r="R4929" s="5">
        <v>35537</v>
      </c>
    </row>
    <row r="4930" spans="1:18" x14ac:dyDescent="0.25">
      <c r="A4930" t="s">
        <v>3</v>
      </c>
      <c r="B4930" t="s">
        <v>494</v>
      </c>
      <c r="C4930">
        <v>96670340</v>
      </c>
      <c r="D4930">
        <v>607</v>
      </c>
      <c r="E4930">
        <v>30857974</v>
      </c>
      <c r="F4930" t="s">
        <v>1708</v>
      </c>
      <c r="G4930" s="1">
        <v>45238</v>
      </c>
      <c r="H4930">
        <v>5414563</v>
      </c>
      <c r="I4930">
        <v>72</v>
      </c>
      <c r="J4930" t="s">
        <v>176</v>
      </c>
      <c r="K4930" t="str">
        <f>IFERROR(IF(AND(VLOOKUP($C4930,Hes!$A:$B, 1, FALSE), $M4930&lt;&gt;" "), "Ingresada", "Falta Ingresar"), " ")</f>
        <v xml:space="preserve"> </v>
      </c>
      <c r="L4930" s="4" t="str">
        <f>IFERROR(VLOOKUP($C4930,Observaciones!$A:$B,2,FALSE)," ")</f>
        <v>XRUT</v>
      </c>
      <c r="M4930" t="s">
        <v>681</v>
      </c>
      <c r="O4930" s="5">
        <v>30857974</v>
      </c>
      <c r="P4930" s="5">
        <v>29343</v>
      </c>
      <c r="Q4930" s="5">
        <v>5575</v>
      </c>
      <c r="R4930" s="5">
        <v>34918</v>
      </c>
    </row>
    <row r="4931" spans="1:18" x14ac:dyDescent="0.25">
      <c r="A4931" t="s">
        <v>3</v>
      </c>
      <c r="B4931" t="s">
        <v>494</v>
      </c>
      <c r="C4931">
        <v>96670340</v>
      </c>
      <c r="D4931">
        <v>474</v>
      </c>
      <c r="E4931">
        <v>30858277</v>
      </c>
      <c r="F4931" t="s">
        <v>1708</v>
      </c>
      <c r="G4931" s="1">
        <v>45238</v>
      </c>
      <c r="H4931">
        <v>5414569</v>
      </c>
      <c r="I4931">
        <v>72</v>
      </c>
      <c r="J4931" t="s">
        <v>176</v>
      </c>
      <c r="K4931" t="str">
        <f>IFERROR(IF(AND(VLOOKUP($C4931,Hes!$A:$B, 1, FALSE), $M4931&lt;&gt;" "), "Ingresada", "Falta Ingresar"), " ")</f>
        <v xml:space="preserve"> </v>
      </c>
      <c r="L4931" s="4" t="str">
        <f>IFERROR(VLOOKUP($C4931,Observaciones!$A:$B,2,FALSE)," ")</f>
        <v>XRUT</v>
      </c>
      <c r="M4931" t="s">
        <v>681</v>
      </c>
      <c r="O4931" s="5">
        <v>30858277</v>
      </c>
      <c r="P4931" s="5">
        <v>14355</v>
      </c>
      <c r="Q4931" s="5">
        <v>2727</v>
      </c>
      <c r="R4931" s="5">
        <v>17082</v>
      </c>
    </row>
    <row r="4932" spans="1:18" x14ac:dyDescent="0.25">
      <c r="A4932" t="s">
        <v>3</v>
      </c>
      <c r="B4932" t="s">
        <v>494</v>
      </c>
      <c r="C4932">
        <v>96670340</v>
      </c>
      <c r="D4932">
        <v>422</v>
      </c>
      <c r="E4932">
        <v>30858248</v>
      </c>
      <c r="F4932" t="s">
        <v>1708</v>
      </c>
      <c r="G4932" s="1">
        <v>45238</v>
      </c>
      <c r="H4932">
        <v>5414570</v>
      </c>
      <c r="I4932">
        <v>72</v>
      </c>
      <c r="J4932" t="s">
        <v>176</v>
      </c>
      <c r="K4932" t="str">
        <f>IFERROR(IF(AND(VLOOKUP($C4932,Hes!$A:$B, 1, FALSE), $M4932&lt;&gt;" "), "Ingresada", "Falta Ingresar"), " ")</f>
        <v xml:space="preserve"> </v>
      </c>
      <c r="L4932" s="4" t="str">
        <f>IFERROR(VLOOKUP($C4932,Observaciones!$A:$B,2,FALSE)," ")</f>
        <v>XRUT</v>
      </c>
      <c r="M4932" t="s">
        <v>681</v>
      </c>
      <c r="O4932" s="5">
        <v>30858248</v>
      </c>
      <c r="P4932" s="5">
        <v>29879</v>
      </c>
      <c r="Q4932" s="5">
        <v>5677</v>
      </c>
      <c r="R4932" s="5">
        <v>35556</v>
      </c>
    </row>
    <row r="4933" spans="1:18" x14ac:dyDescent="0.25">
      <c r="A4933" t="s">
        <v>3</v>
      </c>
      <c r="B4933" t="s">
        <v>494</v>
      </c>
      <c r="C4933">
        <v>96670340</v>
      </c>
      <c r="D4933">
        <v>628</v>
      </c>
      <c r="E4933">
        <v>30858068</v>
      </c>
      <c r="F4933" t="s">
        <v>1708</v>
      </c>
      <c r="G4933" s="1">
        <v>45238</v>
      </c>
      <c r="H4933">
        <v>5414576</v>
      </c>
      <c r="I4933">
        <v>72</v>
      </c>
      <c r="J4933" t="s">
        <v>176</v>
      </c>
      <c r="K4933" t="str">
        <f>IFERROR(IF(AND(VLOOKUP($C4933,Hes!$A:$B, 1, FALSE), $M4933&lt;&gt;" "), "Ingresada", "Falta Ingresar"), " ")</f>
        <v xml:space="preserve"> </v>
      </c>
      <c r="L4933" s="4" t="str">
        <f>IFERROR(VLOOKUP($C4933,Observaciones!$A:$B,2,FALSE)," ")</f>
        <v>XRUT</v>
      </c>
      <c r="M4933" t="s">
        <v>681</v>
      </c>
      <c r="O4933" s="5">
        <v>30858068</v>
      </c>
      <c r="P4933" s="5">
        <v>29972</v>
      </c>
      <c r="Q4933" s="5">
        <v>5695</v>
      </c>
      <c r="R4933" s="5">
        <v>35667</v>
      </c>
    </row>
    <row r="4934" spans="1:18" x14ac:dyDescent="0.25">
      <c r="A4934" t="s">
        <v>3</v>
      </c>
      <c r="B4934" t="s">
        <v>494</v>
      </c>
      <c r="C4934">
        <v>96670340</v>
      </c>
      <c r="D4934">
        <v>1041</v>
      </c>
      <c r="E4934">
        <v>30858232</v>
      </c>
      <c r="F4934" t="s">
        <v>1708</v>
      </c>
      <c r="G4934" s="1">
        <v>45238</v>
      </c>
      <c r="H4934">
        <v>5414579</v>
      </c>
      <c r="I4934">
        <v>72</v>
      </c>
      <c r="J4934" t="s">
        <v>176</v>
      </c>
      <c r="K4934" t="str">
        <f>IFERROR(IF(AND(VLOOKUP($C4934,Hes!$A:$B, 1, FALSE), $M4934&lt;&gt;" "), "Ingresada", "Falta Ingresar"), " ")</f>
        <v xml:space="preserve"> </v>
      </c>
      <c r="L4934" s="4" t="str">
        <f>IFERROR(VLOOKUP($C4934,Observaciones!$A:$B,2,FALSE)," ")</f>
        <v>XRUT</v>
      </c>
      <c r="M4934" t="s">
        <v>681</v>
      </c>
      <c r="O4934" s="5">
        <v>30858232</v>
      </c>
      <c r="P4934" s="5">
        <v>29613</v>
      </c>
      <c r="Q4934" s="5">
        <v>5626</v>
      </c>
      <c r="R4934" s="5">
        <v>35239</v>
      </c>
    </row>
    <row r="4935" spans="1:18" x14ac:dyDescent="0.25">
      <c r="A4935" t="s">
        <v>3</v>
      </c>
      <c r="B4935" t="s">
        <v>494</v>
      </c>
      <c r="C4935">
        <v>96670340</v>
      </c>
      <c r="D4935">
        <v>469</v>
      </c>
      <c r="E4935">
        <v>30861460</v>
      </c>
      <c r="F4935" t="s">
        <v>1708</v>
      </c>
      <c r="G4935" s="1">
        <v>45238</v>
      </c>
      <c r="H4935">
        <v>5414587</v>
      </c>
      <c r="I4935">
        <v>72</v>
      </c>
      <c r="J4935" t="s">
        <v>176</v>
      </c>
      <c r="K4935" t="str">
        <f>IFERROR(IF(AND(VLOOKUP($C4935,Hes!$A:$B, 1, FALSE), $M4935&lt;&gt;" "), "Ingresada", "Falta Ingresar"), " ")</f>
        <v xml:space="preserve"> </v>
      </c>
      <c r="L4935" s="4" t="str">
        <f>IFERROR(VLOOKUP($C4935,Observaciones!$A:$B,2,FALSE)," ")</f>
        <v>XRUT</v>
      </c>
      <c r="M4935" t="s">
        <v>681</v>
      </c>
      <c r="O4935" s="5">
        <v>30861460</v>
      </c>
      <c r="P4935" s="5">
        <v>29946</v>
      </c>
      <c r="Q4935" s="5">
        <v>5690</v>
      </c>
      <c r="R4935" s="5">
        <v>35636</v>
      </c>
    </row>
    <row r="4936" spans="1:18" x14ac:dyDescent="0.25">
      <c r="A4936" t="s">
        <v>3</v>
      </c>
      <c r="B4936" t="s">
        <v>494</v>
      </c>
      <c r="C4936">
        <v>96670340</v>
      </c>
      <c r="D4936">
        <v>537</v>
      </c>
      <c r="E4936">
        <v>30858209</v>
      </c>
      <c r="F4936" t="s">
        <v>1708</v>
      </c>
      <c r="G4936" s="1">
        <v>45238</v>
      </c>
      <c r="H4936">
        <v>5414608</v>
      </c>
      <c r="I4936">
        <v>72</v>
      </c>
      <c r="J4936" t="s">
        <v>176</v>
      </c>
      <c r="K4936" t="str">
        <f>IFERROR(IF(AND(VLOOKUP($C4936,Hes!$A:$B, 1, FALSE), $M4936&lt;&gt;" "), "Ingresada", "Falta Ingresar"), " ")</f>
        <v xml:space="preserve"> </v>
      </c>
      <c r="L4936" s="4" t="str">
        <f>IFERROR(VLOOKUP($C4936,Observaciones!$A:$B,2,FALSE)," ")</f>
        <v>XRUT</v>
      </c>
      <c r="M4936" t="s">
        <v>681</v>
      </c>
      <c r="O4936" s="5">
        <v>30858209</v>
      </c>
      <c r="P4936" s="5">
        <v>29983</v>
      </c>
      <c r="Q4936" s="5">
        <v>5697</v>
      </c>
      <c r="R4936" s="5">
        <v>35680</v>
      </c>
    </row>
    <row r="4937" spans="1:18" x14ac:dyDescent="0.25">
      <c r="A4937" t="s">
        <v>3</v>
      </c>
      <c r="B4937" t="s">
        <v>494</v>
      </c>
      <c r="C4937">
        <v>96670340</v>
      </c>
      <c r="D4937">
        <v>630</v>
      </c>
      <c r="E4937">
        <v>30858255</v>
      </c>
      <c r="F4937" t="s">
        <v>1708</v>
      </c>
      <c r="G4937" s="1">
        <v>45238</v>
      </c>
      <c r="H4937">
        <v>5414610</v>
      </c>
      <c r="I4937">
        <v>72</v>
      </c>
      <c r="J4937" t="s">
        <v>176</v>
      </c>
      <c r="K4937" t="str">
        <f>IFERROR(IF(AND(VLOOKUP($C4937,Hes!$A:$B, 1, FALSE), $M4937&lt;&gt;" "), "Ingresada", "Falta Ingresar"), " ")</f>
        <v xml:space="preserve"> </v>
      </c>
      <c r="L4937" s="4" t="str">
        <f>IFERROR(VLOOKUP($C4937,Observaciones!$A:$B,2,FALSE)," ")</f>
        <v>XRUT</v>
      </c>
      <c r="M4937" t="s">
        <v>681</v>
      </c>
      <c r="O4937" s="5">
        <v>30858255</v>
      </c>
      <c r="P4937" s="5">
        <v>29287</v>
      </c>
      <c r="Q4937" s="5">
        <v>5565</v>
      </c>
      <c r="R4937" s="5">
        <v>34852</v>
      </c>
    </row>
    <row r="4938" spans="1:18" x14ac:dyDescent="0.25">
      <c r="A4938" t="s">
        <v>3</v>
      </c>
      <c r="B4938" t="s">
        <v>494</v>
      </c>
      <c r="C4938">
        <v>96670340</v>
      </c>
      <c r="D4938">
        <v>317</v>
      </c>
      <c r="E4938">
        <v>30861313</v>
      </c>
      <c r="F4938" t="s">
        <v>1708</v>
      </c>
      <c r="G4938" s="1">
        <v>45238</v>
      </c>
      <c r="H4938">
        <v>5414693</v>
      </c>
      <c r="I4938">
        <v>72</v>
      </c>
      <c r="J4938" t="s">
        <v>176</v>
      </c>
      <c r="K4938" t="str">
        <f>IFERROR(IF(AND(VLOOKUP($C4938,Hes!$A:$B, 1, FALSE), $M4938&lt;&gt;" "), "Ingresada", "Falta Ingresar"), " ")</f>
        <v xml:space="preserve"> </v>
      </c>
      <c r="L4938" s="4" t="str">
        <f>IFERROR(VLOOKUP($C4938,Observaciones!$A:$B,2,FALSE)," ")</f>
        <v>XRUT</v>
      </c>
      <c r="M4938" t="s">
        <v>681</v>
      </c>
      <c r="O4938" s="5">
        <v>30861313</v>
      </c>
      <c r="P4938" s="5">
        <v>29323</v>
      </c>
      <c r="Q4938" s="5">
        <v>5571</v>
      </c>
      <c r="R4938" s="5">
        <v>34894</v>
      </c>
    </row>
    <row r="4939" spans="1:18" x14ac:dyDescent="0.25">
      <c r="A4939" t="s">
        <v>3</v>
      </c>
      <c r="B4939" t="s">
        <v>494</v>
      </c>
      <c r="C4939">
        <v>96670340</v>
      </c>
      <c r="D4939">
        <v>503</v>
      </c>
      <c r="E4939">
        <v>30858180</v>
      </c>
      <c r="F4939" t="s">
        <v>1708</v>
      </c>
      <c r="G4939" s="1">
        <v>45238</v>
      </c>
      <c r="H4939">
        <v>5414706</v>
      </c>
      <c r="I4939">
        <v>72</v>
      </c>
      <c r="J4939" t="s">
        <v>176</v>
      </c>
      <c r="K4939" t="str">
        <f>IFERROR(IF(AND(VLOOKUP($C4939,Hes!$A:$B, 1, FALSE), $M4939&lt;&gt;" "), "Ingresada", "Falta Ingresar"), " ")</f>
        <v xml:space="preserve"> </v>
      </c>
      <c r="L4939" s="4" t="str">
        <f>IFERROR(VLOOKUP($C4939,Observaciones!$A:$B,2,FALSE)," ")</f>
        <v>XRUT</v>
      </c>
      <c r="M4939" t="s">
        <v>681</v>
      </c>
      <c r="O4939" s="5">
        <v>30858180</v>
      </c>
      <c r="P4939" s="5">
        <v>29934</v>
      </c>
      <c r="Q4939" s="5">
        <v>5687</v>
      </c>
      <c r="R4939" s="5">
        <v>35621</v>
      </c>
    </row>
    <row r="4940" spans="1:18" x14ac:dyDescent="0.25">
      <c r="A4940" t="s">
        <v>3</v>
      </c>
      <c r="B4940" t="s">
        <v>494</v>
      </c>
      <c r="C4940">
        <v>96670340</v>
      </c>
      <c r="D4940">
        <v>137</v>
      </c>
      <c r="E4940">
        <v>30859477</v>
      </c>
      <c r="F4940" t="s">
        <v>1708</v>
      </c>
      <c r="G4940" s="1">
        <v>45237</v>
      </c>
      <c r="H4940">
        <v>5414725</v>
      </c>
      <c r="I4940">
        <v>72</v>
      </c>
      <c r="J4940" t="s">
        <v>176</v>
      </c>
      <c r="K4940" t="str">
        <f>IFERROR(IF(AND(VLOOKUP($C4940,Hes!$A:$B, 1, FALSE), $M4940&lt;&gt;" "), "Ingresada", "Falta Ingresar"), " ")</f>
        <v xml:space="preserve"> </v>
      </c>
      <c r="L4940" s="4" t="str">
        <f>IFERROR(VLOOKUP($C4940,Observaciones!$A:$B,2,FALSE)," ")</f>
        <v>XRUT</v>
      </c>
      <c r="M4940" t="s">
        <v>681</v>
      </c>
      <c r="O4940" s="5">
        <v>30859477</v>
      </c>
      <c r="P4940" s="5">
        <v>29622</v>
      </c>
      <c r="Q4940" s="5">
        <v>5628</v>
      </c>
      <c r="R4940" s="5">
        <v>35250</v>
      </c>
    </row>
    <row r="4941" spans="1:18" x14ac:dyDescent="0.25">
      <c r="A4941" t="s">
        <v>3</v>
      </c>
      <c r="B4941" t="s">
        <v>494</v>
      </c>
      <c r="C4941">
        <v>96670340</v>
      </c>
      <c r="D4941">
        <v>451</v>
      </c>
      <c r="E4941">
        <v>30861830</v>
      </c>
      <c r="F4941" t="s">
        <v>1708</v>
      </c>
      <c r="G4941" s="1">
        <v>45238</v>
      </c>
      <c r="H4941">
        <v>5414756</v>
      </c>
      <c r="I4941">
        <v>72</v>
      </c>
      <c r="J4941" t="s">
        <v>176</v>
      </c>
      <c r="K4941" t="str">
        <f>IFERROR(IF(AND(VLOOKUP($C4941,Hes!$A:$B, 1, FALSE), $M4941&lt;&gt;" "), "Ingresada", "Falta Ingresar"), " ")</f>
        <v xml:space="preserve"> </v>
      </c>
      <c r="L4941" s="4" t="str">
        <f>IFERROR(VLOOKUP($C4941,Observaciones!$A:$B,2,FALSE)," ")</f>
        <v>XRUT</v>
      </c>
      <c r="M4941" t="s">
        <v>681</v>
      </c>
      <c r="O4941" s="5">
        <v>30861830</v>
      </c>
      <c r="P4941" s="5">
        <v>24187</v>
      </c>
      <c r="Q4941" s="5">
        <v>4596</v>
      </c>
      <c r="R4941" s="5">
        <v>28783</v>
      </c>
    </row>
    <row r="4942" spans="1:18" x14ac:dyDescent="0.25">
      <c r="A4942" t="s">
        <v>3</v>
      </c>
      <c r="B4942" t="s">
        <v>494</v>
      </c>
      <c r="C4942">
        <v>96670340</v>
      </c>
      <c r="D4942">
        <v>969</v>
      </c>
      <c r="E4942">
        <v>30863098</v>
      </c>
      <c r="F4942" t="s">
        <v>1708</v>
      </c>
      <c r="G4942" s="1">
        <v>45238</v>
      </c>
      <c r="H4942">
        <v>5414758</v>
      </c>
      <c r="I4942">
        <v>72</v>
      </c>
      <c r="J4942" t="s">
        <v>176</v>
      </c>
      <c r="K4942" t="str">
        <f>IFERROR(IF(AND(VLOOKUP($C4942,Hes!$A:$B, 1, FALSE), $M4942&lt;&gt;" "), "Ingresada", "Falta Ingresar"), " ")</f>
        <v xml:space="preserve"> </v>
      </c>
      <c r="L4942" s="4" t="str">
        <f>IFERROR(VLOOKUP($C4942,Observaciones!$A:$B,2,FALSE)," ")</f>
        <v>XRUT</v>
      </c>
      <c r="M4942" t="s">
        <v>681</v>
      </c>
      <c r="O4942" s="5">
        <v>30863098</v>
      </c>
      <c r="P4942" s="5">
        <v>29996</v>
      </c>
      <c r="Q4942" s="5">
        <v>5699</v>
      </c>
      <c r="R4942" s="5">
        <v>35695</v>
      </c>
    </row>
    <row r="4943" spans="1:18" x14ac:dyDescent="0.25">
      <c r="A4943" t="s">
        <v>3</v>
      </c>
      <c r="B4943" t="s">
        <v>494</v>
      </c>
      <c r="C4943">
        <v>96670340</v>
      </c>
      <c r="D4943">
        <v>1126</v>
      </c>
      <c r="E4943">
        <v>30860279</v>
      </c>
      <c r="F4943" t="s">
        <v>1708</v>
      </c>
      <c r="G4943" s="1">
        <v>45238</v>
      </c>
      <c r="H4943">
        <v>5414771</v>
      </c>
      <c r="I4943">
        <v>72</v>
      </c>
      <c r="J4943" t="s">
        <v>176</v>
      </c>
      <c r="K4943" t="str">
        <f>IFERROR(IF(AND(VLOOKUP($C4943,Hes!$A:$B, 1, FALSE), $M4943&lt;&gt;" "), "Ingresada", "Falta Ingresar"), " ")</f>
        <v xml:space="preserve"> </v>
      </c>
      <c r="L4943" s="4" t="str">
        <f>IFERROR(VLOOKUP($C4943,Observaciones!$A:$B,2,FALSE)," ")</f>
        <v>XRUT</v>
      </c>
      <c r="M4943" t="s">
        <v>681</v>
      </c>
      <c r="O4943" s="5">
        <v>30860279</v>
      </c>
      <c r="P4943" s="5">
        <v>29266</v>
      </c>
      <c r="Q4943" s="5">
        <v>5561</v>
      </c>
      <c r="R4943" s="5">
        <v>34827</v>
      </c>
    </row>
    <row r="4944" spans="1:18" x14ac:dyDescent="0.25">
      <c r="A4944" t="s">
        <v>3</v>
      </c>
      <c r="B4944" t="s">
        <v>494</v>
      </c>
      <c r="C4944">
        <v>96670340</v>
      </c>
      <c r="D4944">
        <v>1081</v>
      </c>
      <c r="E4944">
        <v>30861988</v>
      </c>
      <c r="F4944" t="s">
        <v>1708</v>
      </c>
      <c r="G4944" s="1">
        <v>45238</v>
      </c>
      <c r="H4944">
        <v>5414774</v>
      </c>
      <c r="I4944">
        <v>72</v>
      </c>
      <c r="J4944" t="s">
        <v>176</v>
      </c>
      <c r="K4944" t="str">
        <f>IFERROR(IF(AND(VLOOKUP($C4944,Hes!$A:$B, 1, FALSE), $M4944&lt;&gt;" "), "Ingresada", "Falta Ingresar"), " ")</f>
        <v xml:space="preserve"> </v>
      </c>
      <c r="L4944" s="4" t="str">
        <f>IFERROR(VLOOKUP($C4944,Observaciones!$A:$B,2,FALSE)," ")</f>
        <v>XRUT</v>
      </c>
      <c r="M4944" t="s">
        <v>681</v>
      </c>
      <c r="O4944" s="5">
        <v>30861988</v>
      </c>
      <c r="P4944" s="5">
        <v>29916</v>
      </c>
      <c r="Q4944" s="5">
        <v>5684</v>
      </c>
      <c r="R4944" s="5">
        <v>35600</v>
      </c>
    </row>
    <row r="4945" spans="1:18" x14ac:dyDescent="0.25">
      <c r="A4945" t="s">
        <v>3</v>
      </c>
      <c r="B4945" t="s">
        <v>494</v>
      </c>
      <c r="C4945">
        <v>96670340</v>
      </c>
      <c r="D4945">
        <v>136</v>
      </c>
      <c r="E4945">
        <v>30861474</v>
      </c>
      <c r="F4945" t="s">
        <v>1708</v>
      </c>
      <c r="G4945" s="1">
        <v>45237</v>
      </c>
      <c r="H4945">
        <v>5414789</v>
      </c>
      <c r="I4945">
        <v>72</v>
      </c>
      <c r="J4945" t="s">
        <v>176</v>
      </c>
      <c r="K4945" t="str">
        <f>IFERROR(IF(AND(VLOOKUP($C4945,Hes!$A:$B, 1, FALSE), $M4945&lt;&gt;" "), "Ingresada", "Falta Ingresar"), " ")</f>
        <v xml:space="preserve"> </v>
      </c>
      <c r="L4945" s="4" t="str">
        <f>IFERROR(VLOOKUP($C4945,Observaciones!$A:$B,2,FALSE)," ")</f>
        <v>XRUT</v>
      </c>
      <c r="M4945" t="s">
        <v>681</v>
      </c>
      <c r="O4945" s="5">
        <v>30861474</v>
      </c>
      <c r="P4945" s="5">
        <v>29996</v>
      </c>
      <c r="Q4945" s="5">
        <v>5699</v>
      </c>
      <c r="R4945" s="5">
        <v>35695</v>
      </c>
    </row>
    <row r="4946" spans="1:18" x14ac:dyDescent="0.25">
      <c r="A4946" t="s">
        <v>3</v>
      </c>
      <c r="B4946" t="s">
        <v>494</v>
      </c>
      <c r="C4946">
        <v>96670340</v>
      </c>
      <c r="D4946">
        <v>517</v>
      </c>
      <c r="E4946">
        <v>30863054</v>
      </c>
      <c r="F4946" t="s">
        <v>1708</v>
      </c>
      <c r="G4946" s="1">
        <v>45237</v>
      </c>
      <c r="H4946">
        <v>5414791</v>
      </c>
      <c r="I4946">
        <v>72</v>
      </c>
      <c r="J4946" t="s">
        <v>176</v>
      </c>
      <c r="K4946" t="str">
        <f>IFERROR(IF(AND(VLOOKUP($C4946,Hes!$A:$B, 1, FALSE), $M4946&lt;&gt;" "), "Ingresada", "Falta Ingresar"), " ")</f>
        <v xml:space="preserve"> </v>
      </c>
      <c r="L4946" s="4" t="str">
        <f>IFERROR(VLOOKUP($C4946,Observaciones!$A:$B,2,FALSE)," ")</f>
        <v>XRUT</v>
      </c>
      <c r="M4946" t="s">
        <v>681</v>
      </c>
      <c r="O4946" s="5">
        <v>30863054</v>
      </c>
      <c r="P4946" s="5">
        <v>28097</v>
      </c>
      <c r="Q4946" s="5">
        <v>5338</v>
      </c>
      <c r="R4946" s="5">
        <v>33435</v>
      </c>
    </row>
    <row r="4947" spans="1:18" x14ac:dyDescent="0.25">
      <c r="A4947" t="s">
        <v>3</v>
      </c>
      <c r="B4947" t="s">
        <v>494</v>
      </c>
      <c r="C4947">
        <v>96670340</v>
      </c>
      <c r="D4947">
        <v>985</v>
      </c>
      <c r="E4947">
        <v>30862433</v>
      </c>
      <c r="F4947" t="s">
        <v>1708</v>
      </c>
      <c r="G4947" s="1">
        <v>45238</v>
      </c>
      <c r="H4947">
        <v>5414805</v>
      </c>
      <c r="I4947">
        <v>72</v>
      </c>
      <c r="J4947" t="s">
        <v>176</v>
      </c>
      <c r="K4947" t="str">
        <f>IFERROR(IF(AND(VLOOKUP($C4947,Hes!$A:$B, 1, FALSE), $M4947&lt;&gt;" "), "Ingresada", "Falta Ingresar"), " ")</f>
        <v xml:space="preserve"> </v>
      </c>
      <c r="L4947" s="4" t="str">
        <f>IFERROR(VLOOKUP($C4947,Observaciones!$A:$B,2,FALSE)," ")</f>
        <v>XRUT</v>
      </c>
      <c r="M4947" t="s">
        <v>681</v>
      </c>
      <c r="O4947" s="5">
        <v>30862433</v>
      </c>
      <c r="P4947" s="5">
        <v>14656</v>
      </c>
      <c r="Q4947" s="5">
        <v>2785</v>
      </c>
      <c r="R4947" s="5">
        <v>17441</v>
      </c>
    </row>
    <row r="4948" spans="1:18" x14ac:dyDescent="0.25">
      <c r="A4948" t="s">
        <v>3</v>
      </c>
      <c r="B4948" t="s">
        <v>494</v>
      </c>
      <c r="C4948">
        <v>96670340</v>
      </c>
      <c r="D4948">
        <v>955</v>
      </c>
      <c r="E4948">
        <v>30862648</v>
      </c>
      <c r="F4948" t="s">
        <v>1708</v>
      </c>
      <c r="G4948" s="1">
        <v>45238</v>
      </c>
      <c r="H4948">
        <v>5414827</v>
      </c>
      <c r="I4948">
        <v>72</v>
      </c>
      <c r="J4948" t="s">
        <v>176</v>
      </c>
      <c r="K4948" t="str">
        <f>IFERROR(IF(AND(VLOOKUP($C4948,Hes!$A:$B, 1, FALSE), $M4948&lt;&gt;" "), "Ingresada", "Falta Ingresar"), " ")</f>
        <v xml:space="preserve"> </v>
      </c>
      <c r="L4948" s="4" t="str">
        <f>IFERROR(VLOOKUP($C4948,Observaciones!$A:$B,2,FALSE)," ")</f>
        <v>XRUT</v>
      </c>
      <c r="M4948" t="s">
        <v>681</v>
      </c>
      <c r="O4948" s="5">
        <v>30862648</v>
      </c>
      <c r="P4948" s="5">
        <v>29952</v>
      </c>
      <c r="Q4948" s="5">
        <v>5691</v>
      </c>
      <c r="R4948" s="5">
        <v>35643</v>
      </c>
    </row>
    <row r="4949" spans="1:18" x14ac:dyDescent="0.25">
      <c r="A4949" t="s">
        <v>3</v>
      </c>
      <c r="B4949" t="s">
        <v>494</v>
      </c>
      <c r="C4949">
        <v>96670340</v>
      </c>
      <c r="D4949">
        <v>1002</v>
      </c>
      <c r="E4949">
        <v>30858311</v>
      </c>
      <c r="F4949" t="s">
        <v>1708</v>
      </c>
      <c r="G4949" s="1">
        <v>45238</v>
      </c>
      <c r="H4949">
        <v>5414835</v>
      </c>
      <c r="I4949">
        <v>72</v>
      </c>
      <c r="J4949" t="s">
        <v>176</v>
      </c>
      <c r="K4949" t="str">
        <f>IFERROR(IF(AND(VLOOKUP($C4949,Hes!$A:$B, 1, FALSE), $M4949&lt;&gt;" "), "Ingresada", "Falta Ingresar"), " ")</f>
        <v xml:space="preserve"> </v>
      </c>
      <c r="L4949" s="4" t="str">
        <f>IFERROR(VLOOKUP($C4949,Observaciones!$A:$B,2,FALSE)," ")</f>
        <v>XRUT</v>
      </c>
      <c r="M4949" t="s">
        <v>681</v>
      </c>
      <c r="O4949" s="5">
        <v>30858311</v>
      </c>
      <c r="P4949" s="5">
        <v>29850</v>
      </c>
      <c r="Q4949" s="5">
        <v>5672</v>
      </c>
      <c r="R4949" s="5">
        <v>35522</v>
      </c>
    </row>
    <row r="4950" spans="1:18" x14ac:dyDescent="0.25">
      <c r="A4950" t="s">
        <v>3</v>
      </c>
      <c r="B4950" t="s">
        <v>494</v>
      </c>
      <c r="C4950">
        <v>96670340</v>
      </c>
      <c r="D4950">
        <v>943</v>
      </c>
      <c r="E4950">
        <v>30858275</v>
      </c>
      <c r="F4950" t="s">
        <v>1708</v>
      </c>
      <c r="G4950" s="1">
        <v>45238</v>
      </c>
      <c r="H4950">
        <v>5414836</v>
      </c>
      <c r="I4950">
        <v>72</v>
      </c>
      <c r="J4950" t="s">
        <v>176</v>
      </c>
      <c r="K4950" t="str">
        <f>IFERROR(IF(AND(VLOOKUP($C4950,Hes!$A:$B, 1, FALSE), $M4950&lt;&gt;" "), "Ingresada", "Falta Ingresar"), " ")</f>
        <v xml:space="preserve"> </v>
      </c>
      <c r="L4950" s="4" t="str">
        <f>IFERROR(VLOOKUP($C4950,Observaciones!$A:$B,2,FALSE)," ")</f>
        <v>XRUT</v>
      </c>
      <c r="M4950" t="s">
        <v>681</v>
      </c>
      <c r="O4950" s="5">
        <v>30858275</v>
      </c>
      <c r="P4950" s="5">
        <v>12370</v>
      </c>
      <c r="Q4950" s="5">
        <v>2350</v>
      </c>
      <c r="R4950" s="5">
        <v>14720</v>
      </c>
    </row>
    <row r="4951" spans="1:18" x14ac:dyDescent="0.25">
      <c r="A4951" t="s">
        <v>3</v>
      </c>
      <c r="B4951" t="s">
        <v>494</v>
      </c>
      <c r="C4951">
        <v>96670340</v>
      </c>
      <c r="D4951">
        <v>26</v>
      </c>
      <c r="E4951">
        <v>30863144</v>
      </c>
      <c r="F4951" t="s">
        <v>1708</v>
      </c>
      <c r="G4951" s="1">
        <v>45237</v>
      </c>
      <c r="H4951">
        <v>5414843</v>
      </c>
      <c r="I4951">
        <v>72</v>
      </c>
      <c r="J4951" t="s">
        <v>176</v>
      </c>
      <c r="K4951" t="str">
        <f>IFERROR(IF(AND(VLOOKUP($C4951,Hes!$A:$B, 1, FALSE), $M4951&lt;&gt;" "), "Ingresada", "Falta Ingresar"), " ")</f>
        <v xml:space="preserve"> </v>
      </c>
      <c r="L4951" s="4" t="str">
        <f>IFERROR(VLOOKUP($C4951,Observaciones!$A:$B,2,FALSE)," ")</f>
        <v>XRUT</v>
      </c>
      <c r="M4951" t="s">
        <v>681</v>
      </c>
      <c r="O4951" s="5">
        <v>30863144</v>
      </c>
      <c r="P4951" s="5">
        <v>29448</v>
      </c>
      <c r="Q4951" s="5">
        <v>5595</v>
      </c>
      <c r="R4951" s="5">
        <v>35043</v>
      </c>
    </row>
    <row r="4952" spans="1:18" x14ac:dyDescent="0.25">
      <c r="A4952" t="s">
        <v>3</v>
      </c>
      <c r="B4952" t="s">
        <v>494</v>
      </c>
      <c r="C4952">
        <v>96670340</v>
      </c>
      <c r="D4952">
        <v>362</v>
      </c>
      <c r="E4952">
        <v>30863063</v>
      </c>
      <c r="F4952" t="s">
        <v>1708</v>
      </c>
      <c r="G4952" s="1">
        <v>45237</v>
      </c>
      <c r="H4952">
        <v>5414894</v>
      </c>
      <c r="I4952">
        <v>72</v>
      </c>
      <c r="J4952" t="s">
        <v>176</v>
      </c>
      <c r="K4952" t="str">
        <f>IFERROR(IF(AND(VLOOKUP($C4952,Hes!$A:$B, 1, FALSE), $M4952&lt;&gt;" "), "Ingresada", "Falta Ingresar"), " ")</f>
        <v xml:space="preserve"> </v>
      </c>
      <c r="L4952" s="4" t="str">
        <f>IFERROR(VLOOKUP($C4952,Observaciones!$A:$B,2,FALSE)," ")</f>
        <v>XRUT</v>
      </c>
      <c r="M4952" t="s">
        <v>681</v>
      </c>
      <c r="O4952" s="5">
        <v>30863063</v>
      </c>
      <c r="P4952" s="5">
        <v>22021</v>
      </c>
      <c r="Q4952" s="5">
        <v>4184</v>
      </c>
      <c r="R4952" s="5">
        <v>26205</v>
      </c>
    </row>
    <row r="4953" spans="1:18" x14ac:dyDescent="0.25">
      <c r="A4953" t="s">
        <v>3</v>
      </c>
      <c r="B4953" t="s">
        <v>494</v>
      </c>
      <c r="C4953">
        <v>96670340</v>
      </c>
      <c r="D4953">
        <v>1059</v>
      </c>
      <c r="E4953">
        <v>30861453</v>
      </c>
      <c r="F4953" t="s">
        <v>1708</v>
      </c>
      <c r="G4953" s="1">
        <v>45238</v>
      </c>
      <c r="H4953">
        <v>5414958</v>
      </c>
      <c r="I4953">
        <v>72</v>
      </c>
      <c r="J4953" t="s">
        <v>176</v>
      </c>
      <c r="K4953" t="str">
        <f>IFERROR(IF(AND(VLOOKUP($C4953,Hes!$A:$B, 1, FALSE), $M4953&lt;&gt;" "), "Ingresada", "Falta Ingresar"), " ")</f>
        <v xml:space="preserve"> </v>
      </c>
      <c r="L4953" s="4" t="str">
        <f>IFERROR(VLOOKUP($C4953,Observaciones!$A:$B,2,FALSE)," ")</f>
        <v>XRUT</v>
      </c>
      <c r="M4953" t="s">
        <v>681</v>
      </c>
      <c r="O4953" s="5">
        <v>30861453</v>
      </c>
      <c r="P4953" s="5">
        <v>29743</v>
      </c>
      <c r="Q4953" s="5">
        <v>5651</v>
      </c>
      <c r="R4953" s="5">
        <v>35394</v>
      </c>
    </row>
    <row r="4954" spans="1:18" x14ac:dyDescent="0.25">
      <c r="A4954" t="s">
        <v>3</v>
      </c>
      <c r="B4954" t="s">
        <v>494</v>
      </c>
      <c r="C4954">
        <v>96670340</v>
      </c>
      <c r="D4954">
        <v>978</v>
      </c>
      <c r="E4954">
        <v>30863111</v>
      </c>
      <c r="F4954" t="s">
        <v>1708</v>
      </c>
      <c r="G4954" s="1">
        <v>45238</v>
      </c>
      <c r="H4954">
        <v>5415038</v>
      </c>
      <c r="I4954">
        <v>72</v>
      </c>
      <c r="J4954" t="s">
        <v>176</v>
      </c>
      <c r="K4954" t="str">
        <f>IFERROR(IF(AND(VLOOKUP($C4954,Hes!$A:$B, 1, FALSE), $M4954&lt;&gt;" "), "Ingresada", "Falta Ingresar"), " ")</f>
        <v xml:space="preserve"> </v>
      </c>
      <c r="L4954" s="4" t="str">
        <f>IFERROR(VLOOKUP($C4954,Observaciones!$A:$B,2,FALSE)," ")</f>
        <v>XRUT</v>
      </c>
      <c r="M4954" t="s">
        <v>681</v>
      </c>
      <c r="O4954" s="5">
        <v>30863111</v>
      </c>
      <c r="P4954" s="5">
        <v>28073</v>
      </c>
      <c r="Q4954" s="5">
        <v>5334</v>
      </c>
      <c r="R4954" s="5">
        <v>33407</v>
      </c>
    </row>
    <row r="4955" spans="1:18" x14ac:dyDescent="0.25">
      <c r="A4955" t="s">
        <v>3</v>
      </c>
      <c r="B4955" t="s">
        <v>494</v>
      </c>
      <c r="C4955">
        <v>96670340</v>
      </c>
      <c r="D4955">
        <v>534</v>
      </c>
      <c r="E4955">
        <v>30861572</v>
      </c>
      <c r="F4955" t="s">
        <v>1708</v>
      </c>
      <c r="G4955" s="1">
        <v>45238</v>
      </c>
      <c r="H4955">
        <v>5415046</v>
      </c>
      <c r="I4955">
        <v>72</v>
      </c>
      <c r="J4955" t="s">
        <v>176</v>
      </c>
      <c r="K4955" t="str">
        <f>IFERROR(IF(AND(VLOOKUP($C4955,Hes!$A:$B, 1, FALSE), $M4955&lt;&gt;" "), "Ingresada", "Falta Ingresar"), " ")</f>
        <v xml:space="preserve"> </v>
      </c>
      <c r="L4955" s="4" t="str">
        <f>IFERROR(VLOOKUP($C4955,Observaciones!$A:$B,2,FALSE)," ")</f>
        <v>XRUT</v>
      </c>
      <c r="M4955" t="s">
        <v>681</v>
      </c>
      <c r="O4955" s="5">
        <v>30861572</v>
      </c>
      <c r="P4955" s="5">
        <v>29988</v>
      </c>
      <c r="Q4955" s="5">
        <v>5698</v>
      </c>
      <c r="R4955" s="5">
        <v>35686</v>
      </c>
    </row>
    <row r="4956" spans="1:18" x14ac:dyDescent="0.25">
      <c r="A4956" t="s">
        <v>3</v>
      </c>
      <c r="B4956" t="s">
        <v>494</v>
      </c>
      <c r="C4956">
        <v>96670340</v>
      </c>
      <c r="D4956">
        <v>98</v>
      </c>
      <c r="E4956">
        <v>30861552</v>
      </c>
      <c r="F4956" t="s">
        <v>1708</v>
      </c>
      <c r="G4956" s="1">
        <v>45238</v>
      </c>
      <c r="H4956">
        <v>5415050</v>
      </c>
      <c r="I4956">
        <v>72</v>
      </c>
      <c r="J4956" t="s">
        <v>176</v>
      </c>
      <c r="K4956" t="str">
        <f>IFERROR(IF(AND(VLOOKUP($C4956,Hes!$A:$B, 1, FALSE), $M4956&lt;&gt;" "), "Ingresada", "Falta Ingresar"), " ")</f>
        <v xml:space="preserve"> </v>
      </c>
      <c r="L4956" s="4" t="str">
        <f>IFERROR(VLOOKUP($C4956,Observaciones!$A:$B,2,FALSE)," ")</f>
        <v>XRUT</v>
      </c>
      <c r="M4956" t="s">
        <v>681</v>
      </c>
      <c r="O4956" s="5">
        <v>30861552</v>
      </c>
      <c r="P4956" s="5">
        <v>24720</v>
      </c>
      <c r="Q4956" s="5">
        <v>4697</v>
      </c>
      <c r="R4956" s="5">
        <v>29417</v>
      </c>
    </row>
    <row r="4957" spans="1:18" x14ac:dyDescent="0.25">
      <c r="A4957" t="s">
        <v>3</v>
      </c>
      <c r="B4957" t="s">
        <v>494</v>
      </c>
      <c r="C4957">
        <v>96670340</v>
      </c>
      <c r="D4957">
        <v>86</v>
      </c>
      <c r="E4957">
        <v>30862437</v>
      </c>
      <c r="F4957" t="s">
        <v>1708</v>
      </c>
      <c r="G4957" s="1">
        <v>45238</v>
      </c>
      <c r="H4957">
        <v>5415051</v>
      </c>
      <c r="I4957">
        <v>72</v>
      </c>
      <c r="J4957" t="s">
        <v>176</v>
      </c>
      <c r="K4957" t="str">
        <f>IFERROR(IF(AND(VLOOKUP($C4957,Hes!$A:$B, 1, FALSE), $M4957&lt;&gt;" "), "Ingresada", "Falta Ingresar"), " ")</f>
        <v xml:space="preserve"> </v>
      </c>
      <c r="L4957" s="4" t="str">
        <f>IFERROR(VLOOKUP($C4957,Observaciones!$A:$B,2,FALSE)," ")</f>
        <v>XRUT</v>
      </c>
      <c r="M4957" t="s">
        <v>681</v>
      </c>
      <c r="O4957" s="5">
        <v>30862437</v>
      </c>
      <c r="P4957" s="5">
        <v>29870</v>
      </c>
      <c r="Q4957" s="5">
        <v>5675</v>
      </c>
      <c r="R4957" s="5">
        <v>35545</v>
      </c>
    </row>
    <row r="4958" spans="1:18" x14ac:dyDescent="0.25">
      <c r="A4958" t="s">
        <v>3</v>
      </c>
      <c r="B4958" t="s">
        <v>494</v>
      </c>
      <c r="C4958">
        <v>96670340</v>
      </c>
      <c r="D4958">
        <v>956</v>
      </c>
      <c r="E4958">
        <v>30863157</v>
      </c>
      <c r="F4958" t="s">
        <v>1708</v>
      </c>
      <c r="G4958" s="1">
        <v>45238</v>
      </c>
      <c r="H4958">
        <v>5415065</v>
      </c>
      <c r="I4958">
        <v>72</v>
      </c>
      <c r="J4958" t="s">
        <v>176</v>
      </c>
      <c r="K4958" t="str">
        <f>IFERROR(IF(AND(VLOOKUP($C4958,Hes!$A:$B, 1, FALSE), $M4958&lt;&gt;" "), "Ingresada", "Falta Ingresar"), " ")</f>
        <v xml:space="preserve"> </v>
      </c>
      <c r="L4958" s="4" t="str">
        <f>IFERROR(VLOOKUP($C4958,Observaciones!$A:$B,2,FALSE)," ")</f>
        <v>XRUT</v>
      </c>
      <c r="M4958" t="s">
        <v>681</v>
      </c>
      <c r="O4958" s="5">
        <v>30863157</v>
      </c>
      <c r="P4958" s="5">
        <v>29906</v>
      </c>
      <c r="Q4958" s="5">
        <v>5682</v>
      </c>
      <c r="R4958" s="5">
        <v>35588</v>
      </c>
    </row>
    <row r="4959" spans="1:18" x14ac:dyDescent="0.25">
      <c r="A4959" t="s">
        <v>3</v>
      </c>
      <c r="B4959" t="s">
        <v>494</v>
      </c>
      <c r="C4959">
        <v>96670340</v>
      </c>
      <c r="D4959">
        <v>954</v>
      </c>
      <c r="E4959">
        <v>30862348</v>
      </c>
      <c r="F4959" t="s">
        <v>1708</v>
      </c>
      <c r="G4959" s="1">
        <v>45238</v>
      </c>
      <c r="H4959">
        <v>5415073</v>
      </c>
      <c r="I4959">
        <v>72</v>
      </c>
      <c r="J4959" t="s">
        <v>176</v>
      </c>
      <c r="K4959" t="str">
        <f>IFERROR(IF(AND(VLOOKUP($C4959,Hes!$A:$B, 1, FALSE), $M4959&lt;&gt;" "), "Ingresada", "Falta Ingresar"), " ")</f>
        <v xml:space="preserve"> </v>
      </c>
      <c r="L4959" s="4" t="str">
        <f>IFERROR(VLOOKUP($C4959,Observaciones!$A:$B,2,FALSE)," ")</f>
        <v>XRUT</v>
      </c>
      <c r="M4959" t="s">
        <v>681</v>
      </c>
      <c r="O4959" s="5">
        <v>30862348</v>
      </c>
      <c r="P4959" s="5">
        <v>29826</v>
      </c>
      <c r="Q4959" s="5">
        <v>5667</v>
      </c>
      <c r="R4959" s="5">
        <v>35493</v>
      </c>
    </row>
    <row r="4960" spans="1:18" x14ac:dyDescent="0.25">
      <c r="A4960" t="s">
        <v>3</v>
      </c>
      <c r="B4960" t="s">
        <v>494</v>
      </c>
      <c r="C4960">
        <v>96670340</v>
      </c>
      <c r="D4960">
        <v>962</v>
      </c>
      <c r="E4960">
        <v>30863109</v>
      </c>
      <c r="F4960" t="s">
        <v>1708</v>
      </c>
      <c r="G4960" s="1">
        <v>45238</v>
      </c>
      <c r="H4960">
        <v>5415092</v>
      </c>
      <c r="I4960">
        <v>72</v>
      </c>
      <c r="J4960" t="s">
        <v>176</v>
      </c>
      <c r="K4960" t="str">
        <f>IFERROR(IF(AND(VLOOKUP($C4960,Hes!$A:$B, 1, FALSE), $M4960&lt;&gt;" "), "Ingresada", "Falta Ingresar"), " ")</f>
        <v xml:space="preserve"> </v>
      </c>
      <c r="L4960" s="4" t="str">
        <f>IFERROR(VLOOKUP($C4960,Observaciones!$A:$B,2,FALSE)," ")</f>
        <v>XRUT</v>
      </c>
      <c r="M4960" t="s">
        <v>681</v>
      </c>
      <c r="O4960" s="5">
        <v>30863109</v>
      </c>
      <c r="P4960" s="5">
        <v>29954</v>
      </c>
      <c r="Q4960" s="5">
        <v>5691</v>
      </c>
      <c r="R4960" s="5">
        <v>35645</v>
      </c>
    </row>
    <row r="4961" spans="1:18" x14ac:dyDescent="0.25">
      <c r="A4961" t="s">
        <v>3</v>
      </c>
      <c r="B4961" t="s">
        <v>494</v>
      </c>
      <c r="C4961">
        <v>96670340</v>
      </c>
      <c r="D4961">
        <v>493</v>
      </c>
      <c r="E4961">
        <v>30861756</v>
      </c>
      <c r="F4961" t="s">
        <v>1708</v>
      </c>
      <c r="G4961" s="1">
        <v>45238</v>
      </c>
      <c r="H4961">
        <v>5415097</v>
      </c>
      <c r="I4961">
        <v>72</v>
      </c>
      <c r="J4961" t="s">
        <v>176</v>
      </c>
      <c r="K4961" t="str">
        <f>IFERROR(IF(AND(VLOOKUP($C4961,Hes!$A:$B, 1, FALSE), $M4961&lt;&gt;" "), "Ingresada", "Falta Ingresar"), " ")</f>
        <v xml:space="preserve"> </v>
      </c>
      <c r="L4961" s="4" t="str">
        <f>IFERROR(VLOOKUP($C4961,Observaciones!$A:$B,2,FALSE)," ")</f>
        <v>XRUT</v>
      </c>
      <c r="M4961" t="s">
        <v>681</v>
      </c>
      <c r="O4961" s="5">
        <v>30861756</v>
      </c>
      <c r="P4961" s="5">
        <v>29669</v>
      </c>
      <c r="Q4961" s="5">
        <v>5637</v>
      </c>
      <c r="R4961" s="5">
        <v>35306</v>
      </c>
    </row>
    <row r="4962" spans="1:18" x14ac:dyDescent="0.25">
      <c r="A4962" t="s">
        <v>3</v>
      </c>
      <c r="B4962" t="s">
        <v>494</v>
      </c>
      <c r="C4962">
        <v>96670340</v>
      </c>
      <c r="D4962">
        <v>578</v>
      </c>
      <c r="E4962">
        <v>30863632</v>
      </c>
      <c r="F4962" t="s">
        <v>1708</v>
      </c>
      <c r="G4962" s="1">
        <v>45238</v>
      </c>
      <c r="H4962">
        <v>5415142</v>
      </c>
      <c r="I4962">
        <v>72</v>
      </c>
      <c r="J4962" t="s">
        <v>176</v>
      </c>
      <c r="K4962" t="str">
        <f>IFERROR(IF(AND(VLOOKUP($C4962,Hes!$A:$B, 1, FALSE), $M4962&lt;&gt;" "), "Ingresada", "Falta Ingresar"), " ")</f>
        <v xml:space="preserve"> </v>
      </c>
      <c r="L4962" s="4" t="str">
        <f>IFERROR(VLOOKUP($C4962,Observaciones!$A:$B,2,FALSE)," ")</f>
        <v>XRUT</v>
      </c>
      <c r="M4962" t="s">
        <v>681</v>
      </c>
      <c r="O4962" s="5">
        <v>30863632</v>
      </c>
      <c r="P4962" s="5">
        <v>28974</v>
      </c>
      <c r="Q4962" s="5">
        <v>5505</v>
      </c>
      <c r="R4962" s="5">
        <v>34479</v>
      </c>
    </row>
    <row r="4963" spans="1:18" x14ac:dyDescent="0.25">
      <c r="A4963" t="s">
        <v>3</v>
      </c>
      <c r="B4963" t="s">
        <v>494</v>
      </c>
      <c r="C4963">
        <v>96670340</v>
      </c>
      <c r="D4963">
        <v>983</v>
      </c>
      <c r="E4963">
        <v>30863136</v>
      </c>
      <c r="F4963" t="s">
        <v>1708</v>
      </c>
      <c r="G4963" s="1">
        <v>45238</v>
      </c>
      <c r="H4963">
        <v>5415195</v>
      </c>
      <c r="I4963">
        <v>72</v>
      </c>
      <c r="J4963" t="s">
        <v>176</v>
      </c>
      <c r="K4963" t="str">
        <f>IFERROR(IF(AND(VLOOKUP($C4963,Hes!$A:$B, 1, FALSE), $M4963&lt;&gt;" "), "Ingresada", "Falta Ingresar"), " ")</f>
        <v xml:space="preserve"> </v>
      </c>
      <c r="L4963" s="4" t="str">
        <f>IFERROR(VLOOKUP($C4963,Observaciones!$A:$B,2,FALSE)," ")</f>
        <v>XRUT</v>
      </c>
      <c r="M4963" t="s">
        <v>681</v>
      </c>
      <c r="O4963" s="5">
        <v>30863136</v>
      </c>
      <c r="P4963" s="5">
        <v>26630</v>
      </c>
      <c r="Q4963" s="5">
        <v>5060</v>
      </c>
      <c r="R4963" s="5">
        <v>31690</v>
      </c>
    </row>
    <row r="4964" spans="1:18" x14ac:dyDescent="0.25">
      <c r="A4964" t="s">
        <v>3</v>
      </c>
      <c r="B4964" t="s">
        <v>494</v>
      </c>
      <c r="C4964">
        <v>96670340</v>
      </c>
      <c r="D4964">
        <v>1108</v>
      </c>
      <c r="E4964">
        <v>30864485</v>
      </c>
      <c r="F4964" t="s">
        <v>1708</v>
      </c>
      <c r="G4964" s="1">
        <v>45237</v>
      </c>
      <c r="H4964">
        <v>5415254</v>
      </c>
      <c r="I4964">
        <v>72</v>
      </c>
      <c r="J4964" t="s">
        <v>176</v>
      </c>
      <c r="K4964" t="str">
        <f>IFERROR(IF(AND(VLOOKUP($C4964,Hes!$A:$B, 1, FALSE), $M4964&lt;&gt;" "), "Ingresada", "Falta Ingresar"), " ")</f>
        <v xml:space="preserve"> </v>
      </c>
      <c r="L4964" s="4" t="str">
        <f>IFERROR(VLOOKUP($C4964,Observaciones!$A:$B,2,FALSE)," ")</f>
        <v>XRUT</v>
      </c>
      <c r="M4964" t="s">
        <v>681</v>
      </c>
      <c r="O4964" s="5">
        <v>30864485</v>
      </c>
      <c r="P4964" s="5">
        <v>28582</v>
      </c>
      <c r="Q4964" s="5">
        <v>5431</v>
      </c>
      <c r="R4964" s="5">
        <v>34013</v>
      </c>
    </row>
    <row r="4965" spans="1:18" x14ac:dyDescent="0.25">
      <c r="A4965" t="s">
        <v>3</v>
      </c>
      <c r="B4965" t="s">
        <v>494</v>
      </c>
      <c r="C4965">
        <v>96670340</v>
      </c>
      <c r="D4965">
        <v>1145</v>
      </c>
      <c r="E4965">
        <v>30863145</v>
      </c>
      <c r="F4965" t="s">
        <v>1708</v>
      </c>
      <c r="G4965" s="1">
        <v>45237</v>
      </c>
      <c r="H4965">
        <v>5415259</v>
      </c>
      <c r="I4965">
        <v>72</v>
      </c>
      <c r="J4965" t="s">
        <v>176</v>
      </c>
      <c r="K4965" t="str">
        <f>IFERROR(IF(AND(VLOOKUP($C4965,Hes!$A:$B, 1, FALSE), $M4965&lt;&gt;" "), "Ingresada", "Falta Ingresar"), " ")</f>
        <v xml:space="preserve"> </v>
      </c>
      <c r="L4965" s="4" t="str">
        <f>IFERROR(VLOOKUP($C4965,Observaciones!$A:$B,2,FALSE)," ")</f>
        <v>XRUT</v>
      </c>
      <c r="M4965" t="s">
        <v>681</v>
      </c>
      <c r="O4965" s="5">
        <v>30863145</v>
      </c>
      <c r="P4965" s="5">
        <v>29869</v>
      </c>
      <c r="Q4965" s="5">
        <v>5675</v>
      </c>
      <c r="R4965" s="5">
        <v>35544</v>
      </c>
    </row>
    <row r="4966" spans="1:18" x14ac:dyDescent="0.25">
      <c r="A4966" t="s">
        <v>3</v>
      </c>
      <c r="B4966" t="s">
        <v>494</v>
      </c>
      <c r="C4966">
        <v>96670340</v>
      </c>
      <c r="D4966">
        <v>67</v>
      </c>
      <c r="E4966">
        <v>30863147</v>
      </c>
      <c r="F4966" t="s">
        <v>1708</v>
      </c>
      <c r="G4966" s="1">
        <v>45237</v>
      </c>
      <c r="H4966">
        <v>5415278</v>
      </c>
      <c r="I4966">
        <v>72</v>
      </c>
      <c r="J4966" t="s">
        <v>176</v>
      </c>
      <c r="K4966" t="str">
        <f>IFERROR(IF(AND(VLOOKUP($C4966,Hes!$A:$B, 1, FALSE), $M4966&lt;&gt;" "), "Ingresada", "Falta Ingresar"), " ")</f>
        <v xml:space="preserve"> </v>
      </c>
      <c r="L4966" s="4" t="str">
        <f>IFERROR(VLOOKUP($C4966,Observaciones!$A:$B,2,FALSE)," ")</f>
        <v>XRUT</v>
      </c>
      <c r="M4966" t="s">
        <v>681</v>
      </c>
      <c r="O4966" s="5">
        <v>30863147</v>
      </c>
      <c r="P4966" s="5">
        <v>29385</v>
      </c>
      <c r="Q4966" s="5">
        <v>5583</v>
      </c>
      <c r="R4966" s="5">
        <v>34968</v>
      </c>
    </row>
    <row r="4967" spans="1:18" x14ac:dyDescent="0.25">
      <c r="A4967" t="s">
        <v>3</v>
      </c>
      <c r="B4967" t="s">
        <v>494</v>
      </c>
      <c r="C4967">
        <v>96670340</v>
      </c>
      <c r="D4967">
        <v>600</v>
      </c>
      <c r="E4967">
        <v>30863124</v>
      </c>
      <c r="F4967" t="s">
        <v>1708</v>
      </c>
      <c r="G4967" s="1">
        <v>45238</v>
      </c>
      <c r="H4967">
        <v>5415295</v>
      </c>
      <c r="I4967">
        <v>72</v>
      </c>
      <c r="J4967" t="s">
        <v>176</v>
      </c>
      <c r="K4967" t="str">
        <f>IFERROR(IF(AND(VLOOKUP($C4967,Hes!$A:$B, 1, FALSE), $M4967&lt;&gt;" "), "Ingresada", "Falta Ingresar"), " ")</f>
        <v xml:space="preserve"> </v>
      </c>
      <c r="L4967" s="4" t="str">
        <f>IFERROR(VLOOKUP($C4967,Observaciones!$A:$B,2,FALSE)," ")</f>
        <v>XRUT</v>
      </c>
      <c r="M4967" t="s">
        <v>681</v>
      </c>
      <c r="O4967" s="5">
        <v>30863124</v>
      </c>
      <c r="P4967" s="5">
        <v>14750</v>
      </c>
      <c r="Q4967" s="5">
        <v>2803</v>
      </c>
      <c r="R4967" s="5">
        <v>17553</v>
      </c>
    </row>
    <row r="4968" spans="1:18" x14ac:dyDescent="0.25">
      <c r="A4968" t="s">
        <v>3</v>
      </c>
      <c r="B4968" t="s">
        <v>494</v>
      </c>
      <c r="C4968">
        <v>96670340</v>
      </c>
      <c r="D4968">
        <v>1065</v>
      </c>
      <c r="E4968">
        <v>30861184</v>
      </c>
      <c r="F4968" t="s">
        <v>1708</v>
      </c>
      <c r="G4968" s="1">
        <v>45238</v>
      </c>
      <c r="H4968">
        <v>5415324</v>
      </c>
      <c r="I4968">
        <v>72</v>
      </c>
      <c r="J4968" t="s">
        <v>176</v>
      </c>
      <c r="K4968" t="str">
        <f>IFERROR(IF(AND(VLOOKUP($C4968,Hes!$A:$B, 1, FALSE), $M4968&lt;&gt;" "), "Ingresada", "Falta Ingresar"), " ")</f>
        <v xml:space="preserve"> </v>
      </c>
      <c r="L4968" s="4" t="str">
        <f>IFERROR(VLOOKUP($C4968,Observaciones!$A:$B,2,FALSE)," ")</f>
        <v>XRUT</v>
      </c>
      <c r="M4968" t="s">
        <v>681</v>
      </c>
      <c r="O4968" s="5">
        <v>30861184</v>
      </c>
      <c r="P4968" s="5">
        <v>29791</v>
      </c>
      <c r="Q4968" s="5">
        <v>5660</v>
      </c>
      <c r="R4968" s="5">
        <v>35451</v>
      </c>
    </row>
    <row r="4969" spans="1:18" x14ac:dyDescent="0.25">
      <c r="A4969" t="s">
        <v>3</v>
      </c>
      <c r="B4969" t="s">
        <v>494</v>
      </c>
      <c r="C4969">
        <v>96670340</v>
      </c>
      <c r="D4969">
        <v>968</v>
      </c>
      <c r="E4969">
        <v>30864769</v>
      </c>
      <c r="F4969" t="s">
        <v>1708</v>
      </c>
      <c r="G4969" s="1">
        <v>45238</v>
      </c>
      <c r="H4969">
        <v>5415395</v>
      </c>
      <c r="I4969">
        <v>72</v>
      </c>
      <c r="J4969" t="s">
        <v>176</v>
      </c>
      <c r="K4969" t="str">
        <f>IFERROR(IF(AND(VLOOKUP($C4969,Hes!$A:$B, 1, FALSE), $M4969&lt;&gt;" "), "Ingresada", "Falta Ingresar"), " ")</f>
        <v xml:space="preserve"> </v>
      </c>
      <c r="L4969" s="4" t="str">
        <f>IFERROR(VLOOKUP($C4969,Observaciones!$A:$B,2,FALSE)," ")</f>
        <v>XRUT</v>
      </c>
      <c r="M4969" t="s">
        <v>681</v>
      </c>
      <c r="O4969" s="5">
        <v>30864769</v>
      </c>
      <c r="P4969" s="5">
        <v>29637</v>
      </c>
      <c r="Q4969" s="5">
        <v>5631</v>
      </c>
      <c r="R4969" s="5">
        <v>35268</v>
      </c>
    </row>
    <row r="4970" spans="1:18" x14ac:dyDescent="0.25">
      <c r="A4970" t="s">
        <v>3</v>
      </c>
      <c r="B4970" t="s">
        <v>494</v>
      </c>
      <c r="C4970">
        <v>96670340</v>
      </c>
      <c r="D4970">
        <v>2392</v>
      </c>
      <c r="E4970">
        <v>30864745</v>
      </c>
      <c r="F4970" t="s">
        <v>1708</v>
      </c>
      <c r="G4970" s="1">
        <v>45238</v>
      </c>
      <c r="H4970">
        <v>5415404</v>
      </c>
      <c r="I4970">
        <v>72</v>
      </c>
      <c r="J4970" t="s">
        <v>176</v>
      </c>
      <c r="K4970" t="str">
        <f>IFERROR(IF(AND(VLOOKUP($C4970,Hes!$A:$B, 1, FALSE), $M4970&lt;&gt;" "), "Ingresada", "Falta Ingresar"), " ")</f>
        <v xml:space="preserve"> </v>
      </c>
      <c r="L4970" s="4" t="str">
        <f>IFERROR(VLOOKUP($C4970,Observaciones!$A:$B,2,FALSE)," ")</f>
        <v>XRUT</v>
      </c>
      <c r="M4970" t="s">
        <v>681</v>
      </c>
      <c r="O4970" s="5">
        <v>30864745</v>
      </c>
      <c r="P4970" s="5">
        <v>29589</v>
      </c>
      <c r="Q4970" s="5">
        <v>5622</v>
      </c>
      <c r="R4970" s="5">
        <v>35211</v>
      </c>
    </row>
    <row r="4971" spans="1:18" x14ac:dyDescent="0.25">
      <c r="A4971" t="s">
        <v>3</v>
      </c>
      <c r="B4971" t="s">
        <v>494</v>
      </c>
      <c r="C4971">
        <v>96670340</v>
      </c>
      <c r="D4971">
        <v>1090</v>
      </c>
      <c r="E4971">
        <v>30863158</v>
      </c>
      <c r="F4971" t="s">
        <v>1708</v>
      </c>
      <c r="G4971" s="1">
        <v>45238</v>
      </c>
      <c r="H4971">
        <v>5415413</v>
      </c>
      <c r="I4971">
        <v>72</v>
      </c>
      <c r="J4971" t="s">
        <v>176</v>
      </c>
      <c r="K4971" t="str">
        <f>IFERROR(IF(AND(VLOOKUP($C4971,Hes!$A:$B, 1, FALSE), $M4971&lt;&gt;" "), "Ingresada", "Falta Ingresar"), " ")</f>
        <v xml:space="preserve"> </v>
      </c>
      <c r="L4971" s="4" t="str">
        <f>IFERROR(VLOOKUP($C4971,Observaciones!$A:$B,2,FALSE)," ")</f>
        <v>XRUT</v>
      </c>
      <c r="M4971" t="s">
        <v>681</v>
      </c>
      <c r="O4971" s="5">
        <v>30863158</v>
      </c>
      <c r="P4971" s="5">
        <v>14427</v>
      </c>
      <c r="Q4971" s="5">
        <v>2741</v>
      </c>
      <c r="R4971" s="5">
        <v>17168</v>
      </c>
    </row>
    <row r="4972" spans="1:18" x14ac:dyDescent="0.25">
      <c r="A4972" t="s">
        <v>3</v>
      </c>
      <c r="B4972" t="s">
        <v>494</v>
      </c>
      <c r="C4972">
        <v>96670340</v>
      </c>
      <c r="D4972">
        <v>461</v>
      </c>
      <c r="E4972">
        <v>30865915</v>
      </c>
      <c r="F4972" t="s">
        <v>1708</v>
      </c>
      <c r="G4972" s="1">
        <v>45238</v>
      </c>
      <c r="H4972">
        <v>5415479</v>
      </c>
      <c r="I4972">
        <v>72</v>
      </c>
      <c r="J4972" t="s">
        <v>176</v>
      </c>
      <c r="K4972" t="str">
        <f>IFERROR(IF(AND(VLOOKUP($C4972,Hes!$A:$B, 1, FALSE), $M4972&lt;&gt;" "), "Ingresada", "Falta Ingresar"), " ")</f>
        <v xml:space="preserve"> </v>
      </c>
      <c r="L4972" s="4" t="str">
        <f>IFERROR(VLOOKUP($C4972,Observaciones!$A:$B,2,FALSE)," ")</f>
        <v>XRUT</v>
      </c>
      <c r="M4972" t="s">
        <v>681</v>
      </c>
      <c r="O4972" s="5">
        <v>30865915</v>
      </c>
      <c r="P4972" s="5">
        <v>29864</v>
      </c>
      <c r="Q4972" s="5">
        <v>5674</v>
      </c>
      <c r="R4972" s="5">
        <v>35538</v>
      </c>
    </row>
    <row r="4973" spans="1:18" x14ac:dyDescent="0.25">
      <c r="A4973" t="s">
        <v>3</v>
      </c>
      <c r="B4973" t="s">
        <v>494</v>
      </c>
      <c r="C4973">
        <v>96670340</v>
      </c>
      <c r="D4973">
        <v>453</v>
      </c>
      <c r="E4973">
        <v>30865947</v>
      </c>
      <c r="F4973" t="s">
        <v>1708</v>
      </c>
      <c r="G4973" s="1">
        <v>45238</v>
      </c>
      <c r="H4973">
        <v>5415514</v>
      </c>
      <c r="I4973">
        <v>72</v>
      </c>
      <c r="J4973" t="s">
        <v>176</v>
      </c>
      <c r="K4973" t="str">
        <f>IFERROR(IF(AND(VLOOKUP($C4973,Hes!$A:$B, 1, FALSE), $M4973&lt;&gt;" "), "Ingresada", "Falta Ingresar"), " ")</f>
        <v xml:space="preserve"> </v>
      </c>
      <c r="L4973" s="4" t="str">
        <f>IFERROR(VLOOKUP($C4973,Observaciones!$A:$B,2,FALSE)," ")</f>
        <v>XRUT</v>
      </c>
      <c r="M4973" t="s">
        <v>681</v>
      </c>
      <c r="O4973" s="5">
        <v>30865947</v>
      </c>
      <c r="P4973" s="5">
        <v>29934</v>
      </c>
      <c r="Q4973" s="5">
        <v>5687</v>
      </c>
      <c r="R4973" s="5">
        <v>35621</v>
      </c>
    </row>
    <row r="4974" spans="1:18" x14ac:dyDescent="0.25">
      <c r="A4974" t="s">
        <v>3</v>
      </c>
      <c r="B4974" t="s">
        <v>494</v>
      </c>
      <c r="C4974">
        <v>96670340</v>
      </c>
      <c r="D4974">
        <v>562</v>
      </c>
      <c r="E4974">
        <v>30865269</v>
      </c>
      <c r="F4974" t="s">
        <v>1708</v>
      </c>
      <c r="G4974" s="1">
        <v>45238</v>
      </c>
      <c r="H4974">
        <v>5415521</v>
      </c>
      <c r="I4974">
        <v>72</v>
      </c>
      <c r="J4974" t="s">
        <v>176</v>
      </c>
      <c r="K4974" t="str">
        <f>IFERROR(IF(AND(VLOOKUP($C4974,Hes!$A:$B, 1, FALSE), $M4974&lt;&gt;" "), "Ingresada", "Falta Ingresar"), " ")</f>
        <v xml:space="preserve"> </v>
      </c>
      <c r="L4974" s="4" t="str">
        <f>IFERROR(VLOOKUP($C4974,Observaciones!$A:$B,2,FALSE)," ")</f>
        <v>XRUT</v>
      </c>
      <c r="M4974" t="s">
        <v>681</v>
      </c>
      <c r="O4974" s="5">
        <v>30865269</v>
      </c>
      <c r="P4974" s="5">
        <v>29635</v>
      </c>
      <c r="Q4974" s="5">
        <v>5631</v>
      </c>
      <c r="R4974" s="5">
        <v>35266</v>
      </c>
    </row>
    <row r="4975" spans="1:18" x14ac:dyDescent="0.25">
      <c r="A4975" t="s">
        <v>3</v>
      </c>
      <c r="B4975" t="s">
        <v>494</v>
      </c>
      <c r="C4975">
        <v>96670340</v>
      </c>
      <c r="D4975">
        <v>96</v>
      </c>
      <c r="E4975">
        <v>30865614</v>
      </c>
      <c r="F4975" t="s">
        <v>1708</v>
      </c>
      <c r="G4975" s="1">
        <v>45238</v>
      </c>
      <c r="H4975">
        <v>5415523</v>
      </c>
      <c r="I4975">
        <v>72</v>
      </c>
      <c r="J4975" t="s">
        <v>176</v>
      </c>
      <c r="K4975" t="str">
        <f>IFERROR(IF(AND(VLOOKUP($C4975,Hes!$A:$B, 1, FALSE), $M4975&lt;&gt;" "), "Ingresada", "Falta Ingresar"), " ")</f>
        <v xml:space="preserve"> </v>
      </c>
      <c r="L4975" s="4" t="str">
        <f>IFERROR(VLOOKUP($C4975,Observaciones!$A:$B,2,FALSE)," ")</f>
        <v>XRUT</v>
      </c>
      <c r="M4975" t="s">
        <v>681</v>
      </c>
      <c r="O4975" s="5">
        <v>30865614</v>
      </c>
      <c r="P4975" s="5">
        <v>28509</v>
      </c>
      <c r="Q4975" s="5">
        <v>5417</v>
      </c>
      <c r="R4975" s="5">
        <v>33926</v>
      </c>
    </row>
    <row r="4976" spans="1:18" x14ac:dyDescent="0.25">
      <c r="A4976" t="s">
        <v>3</v>
      </c>
      <c r="B4976" t="s">
        <v>494</v>
      </c>
      <c r="C4976">
        <v>96670340</v>
      </c>
      <c r="D4976">
        <v>478</v>
      </c>
      <c r="E4976">
        <v>30861877</v>
      </c>
      <c r="F4976" t="s">
        <v>1708</v>
      </c>
      <c r="G4976" s="1">
        <v>45238</v>
      </c>
      <c r="H4976">
        <v>5415527</v>
      </c>
      <c r="I4976">
        <v>72</v>
      </c>
      <c r="J4976" t="s">
        <v>176</v>
      </c>
      <c r="K4976" t="str">
        <f>IFERROR(IF(AND(VLOOKUP($C4976,Hes!$A:$B, 1, FALSE), $M4976&lt;&gt;" "), "Ingresada", "Falta Ingresar"), " ")</f>
        <v xml:space="preserve"> </v>
      </c>
      <c r="L4976" s="4" t="str">
        <f>IFERROR(VLOOKUP($C4976,Observaciones!$A:$B,2,FALSE)," ")</f>
        <v>XRUT</v>
      </c>
      <c r="M4976" t="s">
        <v>681</v>
      </c>
      <c r="O4976" s="5">
        <v>30861877</v>
      </c>
      <c r="P4976" s="5">
        <v>29413</v>
      </c>
      <c r="Q4976" s="5">
        <v>5588</v>
      </c>
      <c r="R4976" s="5">
        <v>35001</v>
      </c>
    </row>
    <row r="4977" spans="1:18" x14ac:dyDescent="0.25">
      <c r="A4977" t="s">
        <v>3</v>
      </c>
      <c r="B4977" t="s">
        <v>494</v>
      </c>
      <c r="C4977">
        <v>96670340</v>
      </c>
      <c r="D4977">
        <v>143</v>
      </c>
      <c r="E4977">
        <v>30866068</v>
      </c>
      <c r="F4977" t="s">
        <v>1708</v>
      </c>
      <c r="G4977" s="1">
        <v>45238</v>
      </c>
      <c r="H4977">
        <v>5415543</v>
      </c>
      <c r="I4977">
        <v>72</v>
      </c>
      <c r="J4977" t="s">
        <v>176</v>
      </c>
      <c r="K4977" t="str">
        <f>IFERROR(IF(AND(VLOOKUP($C4977,Hes!$A:$B, 1, FALSE), $M4977&lt;&gt;" "), "Ingresada", "Falta Ingresar"), " ")</f>
        <v xml:space="preserve"> </v>
      </c>
      <c r="L4977" s="4" t="str">
        <f>IFERROR(VLOOKUP($C4977,Observaciones!$A:$B,2,FALSE)," ")</f>
        <v>XRUT</v>
      </c>
      <c r="M4977" t="s">
        <v>681</v>
      </c>
      <c r="O4977" s="5">
        <v>30866068</v>
      </c>
      <c r="P4977" s="5">
        <v>28775</v>
      </c>
      <c r="Q4977" s="5">
        <v>5467</v>
      </c>
      <c r="R4977" s="5">
        <v>34242</v>
      </c>
    </row>
    <row r="4978" spans="1:18" x14ac:dyDescent="0.25">
      <c r="A4978" t="s">
        <v>3</v>
      </c>
      <c r="B4978" t="s">
        <v>494</v>
      </c>
      <c r="C4978">
        <v>96670340</v>
      </c>
      <c r="D4978">
        <v>416</v>
      </c>
      <c r="E4978">
        <v>30863156</v>
      </c>
      <c r="F4978" t="s">
        <v>1708</v>
      </c>
      <c r="G4978" s="1">
        <v>45238</v>
      </c>
      <c r="H4978">
        <v>5415606</v>
      </c>
      <c r="I4978">
        <v>72</v>
      </c>
      <c r="J4978" t="s">
        <v>176</v>
      </c>
      <c r="K4978" t="str">
        <f>IFERROR(IF(AND(VLOOKUP($C4978,Hes!$A:$B, 1, FALSE), $M4978&lt;&gt;" "), "Ingresada", "Falta Ingresar"), " ")</f>
        <v xml:space="preserve"> </v>
      </c>
      <c r="L4978" s="4" t="str">
        <f>IFERROR(VLOOKUP($C4978,Observaciones!$A:$B,2,FALSE)," ")</f>
        <v>XRUT</v>
      </c>
      <c r="M4978" t="s">
        <v>681</v>
      </c>
      <c r="O4978" s="5">
        <v>30863156</v>
      </c>
      <c r="P4978" s="5">
        <v>24824</v>
      </c>
      <c r="Q4978" s="5">
        <v>4717</v>
      </c>
      <c r="R4978" s="5">
        <v>29541</v>
      </c>
    </row>
    <row r="4979" spans="1:18" x14ac:dyDescent="0.25">
      <c r="A4979" t="s">
        <v>3</v>
      </c>
      <c r="B4979" t="s">
        <v>494</v>
      </c>
      <c r="C4979">
        <v>96670340</v>
      </c>
      <c r="D4979">
        <v>488</v>
      </c>
      <c r="E4979">
        <v>30863164</v>
      </c>
      <c r="F4979" t="s">
        <v>1708</v>
      </c>
      <c r="G4979" s="1">
        <v>45238</v>
      </c>
      <c r="H4979">
        <v>5415607</v>
      </c>
      <c r="I4979">
        <v>72</v>
      </c>
      <c r="J4979" t="s">
        <v>176</v>
      </c>
      <c r="K4979" t="str">
        <f>IFERROR(IF(AND(VLOOKUP($C4979,Hes!$A:$B, 1, FALSE), $M4979&lt;&gt;" "), "Ingresada", "Falta Ingresar"), " ")</f>
        <v xml:space="preserve"> </v>
      </c>
      <c r="L4979" s="4" t="str">
        <f>IFERROR(VLOOKUP($C4979,Observaciones!$A:$B,2,FALSE)," ")</f>
        <v>XRUT</v>
      </c>
      <c r="M4979" t="s">
        <v>681</v>
      </c>
      <c r="O4979" s="5">
        <v>30863164</v>
      </c>
      <c r="P4979" s="5">
        <v>29403</v>
      </c>
      <c r="Q4979" s="5">
        <v>5587</v>
      </c>
      <c r="R4979" s="5">
        <v>34990</v>
      </c>
    </row>
    <row r="4980" spans="1:18" x14ac:dyDescent="0.25">
      <c r="A4980" t="s">
        <v>3</v>
      </c>
      <c r="B4980" t="s">
        <v>494</v>
      </c>
      <c r="C4980">
        <v>96670340</v>
      </c>
      <c r="D4980">
        <v>1120</v>
      </c>
      <c r="E4980">
        <v>30865881</v>
      </c>
      <c r="F4980" t="s">
        <v>1708</v>
      </c>
      <c r="G4980" s="1">
        <v>45238</v>
      </c>
      <c r="H4980">
        <v>5415686</v>
      </c>
      <c r="I4980">
        <v>72</v>
      </c>
      <c r="J4980" t="s">
        <v>176</v>
      </c>
      <c r="K4980" t="str">
        <f>IFERROR(IF(AND(VLOOKUP($C4980,Hes!$A:$B, 1, FALSE), $M4980&lt;&gt;" "), "Ingresada", "Falta Ingresar"), " ")</f>
        <v xml:space="preserve"> </v>
      </c>
      <c r="L4980" s="4" t="str">
        <f>IFERROR(VLOOKUP($C4980,Observaciones!$A:$B,2,FALSE)," ")</f>
        <v>XRUT</v>
      </c>
      <c r="M4980" t="s">
        <v>681</v>
      </c>
      <c r="O4980" s="5">
        <v>30865881</v>
      </c>
      <c r="P4980" s="5">
        <v>29470</v>
      </c>
      <c r="Q4980" s="5">
        <v>5599</v>
      </c>
      <c r="R4980" s="5">
        <v>35069</v>
      </c>
    </row>
    <row r="4981" spans="1:18" x14ac:dyDescent="0.25">
      <c r="F4981" t="s">
        <v>1709</v>
      </c>
      <c r="K4981" t="str">
        <f>IFERROR(IF(AND(VLOOKUP($C4981,Hes!$A:$B, 1, FALSE), $M4981&lt;&gt;" "), "Ingresada", "Falta Ingresar"), " ")</f>
        <v xml:space="preserve"> </v>
      </c>
      <c r="L4981" s="4" t="str">
        <f>IFERROR(VLOOKUP($C4981,Observaciones!$A:$B,2,FALSE)," ")</f>
        <v xml:space="preserve"> </v>
      </c>
      <c r="M4981" t="s">
        <v>681</v>
      </c>
      <c r="P4981" s="5">
        <v>5119145</v>
      </c>
      <c r="Q4981" s="5">
        <v>972640</v>
      </c>
      <c r="R4981" s="5">
        <v>6091785</v>
      </c>
    </row>
    <row r="4982" spans="1:18" x14ac:dyDescent="0.25">
      <c r="A4982" t="s">
        <v>513</v>
      </c>
      <c r="B4982" t="s">
        <v>509</v>
      </c>
      <c r="C4982">
        <v>96671230</v>
      </c>
      <c r="D4982">
        <v>1</v>
      </c>
      <c r="E4982" t="s">
        <v>1710</v>
      </c>
      <c r="F4982" t="s">
        <v>1711</v>
      </c>
      <c r="G4982" s="1">
        <v>45232</v>
      </c>
      <c r="H4982">
        <v>5410720</v>
      </c>
      <c r="I4982">
        <v>14</v>
      </c>
      <c r="J4982" t="s">
        <v>309</v>
      </c>
      <c r="K4982" t="str">
        <f>IFERROR(IF(AND(VLOOKUP($C4982,Hes!$A:$B, 1, FALSE), $M4982&lt;&gt;" "), "Ingresada", "Falta Ingresar"), " ")</f>
        <v xml:space="preserve"> </v>
      </c>
      <c r="L4982" s="4" t="str">
        <f>IFERROR(VLOOKUP($C4982,Observaciones!$A:$B,2,FALSE)," ")</f>
        <v>XOC Y CC</v>
      </c>
      <c r="M4982" t="s">
        <v>681</v>
      </c>
      <c r="O4982" s="5">
        <v>30842090</v>
      </c>
      <c r="P4982" s="5">
        <v>41930</v>
      </c>
      <c r="Q4982" s="5">
        <v>7967</v>
      </c>
      <c r="R4982" s="5">
        <v>49897</v>
      </c>
    </row>
    <row r="4983" spans="1:18" x14ac:dyDescent="0.25">
      <c r="A4983" t="s">
        <v>513</v>
      </c>
      <c r="B4983" t="s">
        <v>509</v>
      </c>
      <c r="C4983">
        <v>96671230</v>
      </c>
      <c r="D4983">
        <v>0</v>
      </c>
      <c r="E4983" t="s">
        <v>1712</v>
      </c>
      <c r="F4983" t="s">
        <v>1711</v>
      </c>
      <c r="G4983" s="1">
        <v>45232</v>
      </c>
      <c r="H4983">
        <v>5410753</v>
      </c>
      <c r="I4983">
        <v>178</v>
      </c>
      <c r="J4983" t="s">
        <v>303</v>
      </c>
      <c r="K4983" t="str">
        <f>IFERROR(IF(AND(VLOOKUP($C4983,Hes!$A:$B, 1, FALSE), $M4983&lt;&gt;" "), "Ingresada", "Falta Ingresar"), " ")</f>
        <v xml:space="preserve"> </v>
      </c>
      <c r="L4983" s="4" t="str">
        <f>IFERROR(VLOOKUP($C4983,Observaciones!$A:$B,2,FALSE)," ")</f>
        <v>XOC Y CC</v>
      </c>
      <c r="M4983" t="s">
        <v>681</v>
      </c>
      <c r="O4983" s="5">
        <v>30840751</v>
      </c>
      <c r="P4983" s="5">
        <v>84222</v>
      </c>
      <c r="Q4983" s="5">
        <v>16002</v>
      </c>
      <c r="R4983" s="5">
        <v>100224</v>
      </c>
    </row>
    <row r="4984" spans="1:18" x14ac:dyDescent="0.25">
      <c r="A4984" t="s">
        <v>513</v>
      </c>
      <c r="B4984" t="s">
        <v>509</v>
      </c>
      <c r="C4984">
        <v>96671230</v>
      </c>
      <c r="D4984">
        <v>1</v>
      </c>
      <c r="E4984" t="s">
        <v>1713</v>
      </c>
      <c r="F4984" t="s">
        <v>1711</v>
      </c>
      <c r="G4984" s="1">
        <v>45233</v>
      </c>
      <c r="H4984">
        <v>5411376</v>
      </c>
      <c r="I4984">
        <v>14</v>
      </c>
      <c r="J4984" t="s">
        <v>309</v>
      </c>
      <c r="K4984" t="str">
        <f>IFERROR(IF(AND(VLOOKUP($C4984,Hes!$A:$B, 1, FALSE), $M4984&lt;&gt;" "), "Ingresada", "Falta Ingresar"), " ")</f>
        <v xml:space="preserve"> </v>
      </c>
      <c r="L4984" s="4" t="str">
        <f>IFERROR(VLOOKUP($C4984,Observaciones!$A:$B,2,FALSE)," ")</f>
        <v>XOC Y CC</v>
      </c>
      <c r="M4984" t="s">
        <v>681</v>
      </c>
      <c r="O4984" s="5">
        <v>30843468</v>
      </c>
      <c r="P4984" s="5">
        <v>189474</v>
      </c>
      <c r="Q4984" s="5">
        <v>36000</v>
      </c>
      <c r="R4984" s="5">
        <v>225474</v>
      </c>
    </row>
    <row r="4985" spans="1:18" x14ac:dyDescent="0.25">
      <c r="A4985" t="s">
        <v>513</v>
      </c>
      <c r="B4985" t="s">
        <v>509</v>
      </c>
      <c r="C4985">
        <v>96671230</v>
      </c>
      <c r="D4985">
        <v>1</v>
      </c>
      <c r="E4985" t="s">
        <v>1714</v>
      </c>
      <c r="F4985" t="s">
        <v>1711</v>
      </c>
      <c r="G4985" s="1">
        <v>45233</v>
      </c>
      <c r="H4985">
        <v>5411577</v>
      </c>
      <c r="I4985">
        <v>14</v>
      </c>
      <c r="J4985" t="s">
        <v>309</v>
      </c>
      <c r="K4985" t="str">
        <f>IFERROR(IF(AND(VLOOKUP($C4985,Hes!$A:$B, 1, FALSE), $M4985&lt;&gt;" "), "Ingresada", "Falta Ingresar"), " ")</f>
        <v xml:space="preserve"> </v>
      </c>
      <c r="L4985" s="4" t="str">
        <f>IFERROR(VLOOKUP($C4985,Observaciones!$A:$B,2,FALSE)," ")</f>
        <v>XOC Y CC</v>
      </c>
      <c r="M4985" t="s">
        <v>681</v>
      </c>
      <c r="O4985" s="5">
        <v>30850410</v>
      </c>
      <c r="P4985" s="5">
        <v>38170</v>
      </c>
      <c r="Q4985" s="5">
        <v>7252</v>
      </c>
      <c r="R4985" s="5">
        <v>45422</v>
      </c>
    </row>
    <row r="4986" spans="1:18" x14ac:dyDescent="0.25">
      <c r="A4986" t="s">
        <v>513</v>
      </c>
      <c r="B4986" t="s">
        <v>509</v>
      </c>
      <c r="C4986">
        <v>96671230</v>
      </c>
      <c r="D4986">
        <v>1</v>
      </c>
      <c r="E4986" t="s">
        <v>1715</v>
      </c>
      <c r="F4986" t="s">
        <v>1711</v>
      </c>
      <c r="G4986" s="1">
        <v>45236</v>
      </c>
      <c r="H4986">
        <v>5413207</v>
      </c>
      <c r="I4986">
        <v>14</v>
      </c>
      <c r="J4986" t="s">
        <v>309</v>
      </c>
      <c r="K4986" t="str">
        <f>IFERROR(IF(AND(VLOOKUP($C4986,Hes!$A:$B, 1, FALSE), $M4986&lt;&gt;" "), "Ingresada", "Falta Ingresar"), " ")</f>
        <v xml:space="preserve"> </v>
      </c>
      <c r="L4986" s="4" t="str">
        <f>IFERROR(VLOOKUP($C4986,Observaciones!$A:$B,2,FALSE)," ")</f>
        <v>XOC Y CC</v>
      </c>
      <c r="M4986" t="s">
        <v>681</v>
      </c>
      <c r="O4986" s="5">
        <v>30851180</v>
      </c>
      <c r="P4986" s="5">
        <v>45220</v>
      </c>
      <c r="Q4986" s="5">
        <v>8592</v>
      </c>
      <c r="R4986" s="5">
        <v>53812</v>
      </c>
    </row>
    <row r="4987" spans="1:18" x14ac:dyDescent="0.25">
      <c r="A4987" t="s">
        <v>513</v>
      </c>
      <c r="B4987" t="s">
        <v>509</v>
      </c>
      <c r="C4987">
        <v>96671230</v>
      </c>
      <c r="D4987">
        <v>1</v>
      </c>
      <c r="E4987" t="s">
        <v>1716</v>
      </c>
      <c r="F4987" t="s">
        <v>1711</v>
      </c>
      <c r="G4987" s="1">
        <v>45237</v>
      </c>
      <c r="H4987">
        <v>5413950</v>
      </c>
      <c r="I4987">
        <v>14</v>
      </c>
      <c r="J4987" t="s">
        <v>309</v>
      </c>
      <c r="K4987" t="str">
        <f>IFERROR(IF(AND(VLOOKUP($C4987,Hes!$A:$B, 1, FALSE), $M4987&lt;&gt;" "), "Ingresada", "Falta Ingresar"), " ")</f>
        <v xml:space="preserve"> </v>
      </c>
      <c r="L4987" s="4" t="str">
        <f>IFERROR(VLOOKUP($C4987,Observaciones!$A:$B,2,FALSE)," ")</f>
        <v>XOC Y CC</v>
      </c>
      <c r="M4987" t="s">
        <v>681</v>
      </c>
      <c r="O4987" s="5">
        <v>30855222</v>
      </c>
      <c r="P4987" s="5">
        <v>46200</v>
      </c>
      <c r="Q4987" s="5">
        <v>8778</v>
      </c>
      <c r="R4987" s="5">
        <v>54978</v>
      </c>
    </row>
    <row r="4988" spans="1:18" x14ac:dyDescent="0.25">
      <c r="A4988" t="s">
        <v>513</v>
      </c>
      <c r="B4988" t="s">
        <v>509</v>
      </c>
      <c r="C4988">
        <v>96671230</v>
      </c>
      <c r="D4988">
        <v>1</v>
      </c>
      <c r="E4988" t="s">
        <v>1717</v>
      </c>
      <c r="F4988" t="s">
        <v>1711</v>
      </c>
      <c r="G4988" s="1">
        <v>45237</v>
      </c>
      <c r="H4988">
        <v>5414070</v>
      </c>
      <c r="I4988">
        <v>14</v>
      </c>
      <c r="J4988" t="s">
        <v>309</v>
      </c>
      <c r="K4988" t="str">
        <f>IFERROR(IF(AND(VLOOKUP($C4988,Hes!$A:$B, 1, FALSE), $M4988&lt;&gt;" "), "Ingresada", "Falta Ingresar"), " ")</f>
        <v xml:space="preserve"> </v>
      </c>
      <c r="L4988" s="4" t="str">
        <f>IFERROR(VLOOKUP($C4988,Observaciones!$A:$B,2,FALSE)," ")</f>
        <v>XOC Y CC</v>
      </c>
      <c r="M4988" t="s">
        <v>681</v>
      </c>
      <c r="O4988" s="5">
        <v>30848391</v>
      </c>
      <c r="P4988" s="5">
        <v>64145</v>
      </c>
      <c r="Q4988" s="5">
        <v>12188</v>
      </c>
      <c r="R4988" s="5">
        <v>76333</v>
      </c>
    </row>
    <row r="4989" spans="1:18" x14ac:dyDescent="0.25">
      <c r="A4989" t="s">
        <v>513</v>
      </c>
      <c r="B4989" t="s">
        <v>509</v>
      </c>
      <c r="C4989">
        <v>96671230</v>
      </c>
      <c r="D4989">
        <v>1</v>
      </c>
      <c r="E4989" t="s">
        <v>1718</v>
      </c>
      <c r="F4989" t="s">
        <v>1711</v>
      </c>
      <c r="G4989" s="1">
        <v>45237</v>
      </c>
      <c r="H4989">
        <v>5414204</v>
      </c>
      <c r="I4989">
        <v>14</v>
      </c>
      <c r="J4989" t="s">
        <v>309</v>
      </c>
      <c r="K4989" t="str">
        <f>IFERROR(IF(AND(VLOOKUP($C4989,Hes!$A:$B, 1, FALSE), $M4989&lt;&gt;" "), "Ingresada", "Falta Ingresar"), " ")</f>
        <v xml:space="preserve"> </v>
      </c>
      <c r="L4989" s="4" t="str">
        <f>IFERROR(VLOOKUP($C4989,Observaciones!$A:$B,2,FALSE)," ")</f>
        <v>XOC Y CC</v>
      </c>
      <c r="M4989" t="s">
        <v>681</v>
      </c>
      <c r="O4989" s="5">
        <v>30855031</v>
      </c>
      <c r="P4989" s="5">
        <v>71009</v>
      </c>
      <c r="Q4989" s="5">
        <v>13492</v>
      </c>
      <c r="R4989" s="5">
        <v>84501</v>
      </c>
    </row>
    <row r="4990" spans="1:18" x14ac:dyDescent="0.25">
      <c r="F4990" t="s">
        <v>511</v>
      </c>
      <c r="K4990" t="str">
        <f>IFERROR(IF(AND(VLOOKUP($C4990,Hes!$A:$B, 1, FALSE), $M4990&lt;&gt;" "), "Ingresada", "Falta Ingresar"), " ")</f>
        <v xml:space="preserve"> </v>
      </c>
      <c r="L4990" s="4" t="str">
        <f>IFERROR(VLOOKUP($C4990,Observaciones!$A:$B,2,FALSE)," ")</f>
        <v xml:space="preserve"> </v>
      </c>
      <c r="M4990" t="s">
        <v>681</v>
      </c>
      <c r="P4990" s="5">
        <v>580370</v>
      </c>
      <c r="Q4990" s="5">
        <v>110271</v>
      </c>
      <c r="R4990" s="5">
        <v>690641</v>
      </c>
    </row>
    <row r="4991" spans="1:18" x14ac:dyDescent="0.25">
      <c r="A4991" t="s">
        <v>501</v>
      </c>
      <c r="B4991" t="s">
        <v>494</v>
      </c>
      <c r="C4991">
        <v>96672640</v>
      </c>
      <c r="D4991">
        <v>1</v>
      </c>
      <c r="E4991">
        <v>30848984</v>
      </c>
      <c r="F4991" t="s">
        <v>1719</v>
      </c>
      <c r="G4991" s="1">
        <v>45233</v>
      </c>
      <c r="H4991">
        <v>5411309</v>
      </c>
      <c r="I4991">
        <v>63</v>
      </c>
      <c r="J4991" t="s">
        <v>170</v>
      </c>
      <c r="K4991" s="8" t="str">
        <f>IFERROR(IF(AND(VLOOKUP($C4991,Hes!$A:$B, 1, FALSE), $M4991&lt;&gt;" "), "Ingresada", "Falta Ingresar"), " ")</f>
        <v>Falta Ingresar</v>
      </c>
      <c r="L4991" s="4" t="str">
        <f>IFERROR(VLOOKUP($C4991,Observaciones!$A:$B,2,FALSE)," ")</f>
        <v>AVISA MIREYA</v>
      </c>
      <c r="M4991" t="s">
        <v>681</v>
      </c>
      <c r="N4991" s="5" t="s">
        <v>841</v>
      </c>
      <c r="O4991" s="5">
        <v>30848984</v>
      </c>
      <c r="P4991" s="5">
        <v>71347</v>
      </c>
      <c r="Q4991" s="5">
        <v>13556</v>
      </c>
      <c r="R4991" s="5">
        <v>84903</v>
      </c>
    </row>
    <row r="4992" spans="1:18" x14ac:dyDescent="0.25">
      <c r="A4992" t="s">
        <v>501</v>
      </c>
      <c r="B4992" t="s">
        <v>494</v>
      </c>
      <c r="C4992">
        <v>96672640</v>
      </c>
      <c r="D4992">
        <v>1</v>
      </c>
      <c r="E4992">
        <v>30848974</v>
      </c>
      <c r="F4992" t="s">
        <v>1719</v>
      </c>
      <c r="G4992" s="1">
        <v>45233</v>
      </c>
      <c r="H4992">
        <v>5411474</v>
      </c>
      <c r="I4992">
        <v>63</v>
      </c>
      <c r="J4992" t="s">
        <v>170</v>
      </c>
      <c r="K4992" s="8" t="str">
        <f>IFERROR(IF(AND(VLOOKUP($C4992,Hes!$A:$B, 1, FALSE), $M4992&lt;&gt;" "), "Ingresada", "Falta Ingresar"), " ")</f>
        <v>Falta Ingresar</v>
      </c>
      <c r="L4992" s="4" t="str">
        <f>IFERROR(VLOOKUP($C4992,Observaciones!$A:$B,2,FALSE)," ")</f>
        <v>AVISA MIREYA</v>
      </c>
      <c r="M4992" t="s">
        <v>681</v>
      </c>
      <c r="N4992" s="5" t="s">
        <v>841</v>
      </c>
      <c r="O4992" s="5">
        <v>30848974</v>
      </c>
      <c r="P4992" s="5">
        <v>73740</v>
      </c>
      <c r="Q4992" s="5">
        <v>14011</v>
      </c>
      <c r="R4992" s="5">
        <v>87751</v>
      </c>
    </row>
    <row r="4993" spans="1:18" x14ac:dyDescent="0.25">
      <c r="F4993" t="s">
        <v>497</v>
      </c>
      <c r="K4993" t="str">
        <f>IFERROR(IF(AND(VLOOKUP($C4993,Hes!$A:$B, 1, FALSE), $M4993&lt;&gt;" "), "Ingresada", "Falta Ingresar"), " ")</f>
        <v xml:space="preserve"> </v>
      </c>
      <c r="L4993" s="4" t="str">
        <f>IFERROR(VLOOKUP($C4993,Observaciones!$A:$B,2,FALSE)," ")</f>
        <v xml:space="preserve"> </v>
      </c>
      <c r="M4993" t="s">
        <v>681</v>
      </c>
      <c r="P4993" s="5">
        <v>145087</v>
      </c>
      <c r="Q4993" s="5">
        <v>27567</v>
      </c>
      <c r="R4993" s="5">
        <v>172654</v>
      </c>
    </row>
    <row r="4994" spans="1:18" x14ac:dyDescent="0.25">
      <c r="A4994" t="s">
        <v>496</v>
      </c>
      <c r="B4994" t="s">
        <v>494</v>
      </c>
      <c r="C4994">
        <v>96677260</v>
      </c>
      <c r="D4994">
        <v>2</v>
      </c>
      <c r="E4994">
        <v>4511526601</v>
      </c>
      <c r="F4994" t="s">
        <v>1720</v>
      </c>
      <c r="G4994" s="1">
        <v>45234</v>
      </c>
      <c r="H4994">
        <v>5412172</v>
      </c>
      <c r="I4994">
        <v>396</v>
      </c>
      <c r="J4994" t="s">
        <v>184</v>
      </c>
      <c r="K4994" s="8" t="str">
        <f>IFERROR(IF(AND(VLOOKUP($C4994,Hes!$A:$B, 1, FALSE), $M4994&lt;&gt;" "), "Ingresada", "Falta Ingresar"), " ")</f>
        <v>Falta Ingresar</v>
      </c>
      <c r="L4994" s="4" t="str">
        <f>IFERROR(VLOOKUP($C4994,Observaciones!$A:$B,2,FALSE)," ")</f>
        <v xml:space="preserve"> </v>
      </c>
      <c r="M4994" t="s">
        <v>681</v>
      </c>
      <c r="N4994" s="5" t="s">
        <v>841</v>
      </c>
      <c r="O4994" s="5">
        <v>30852877</v>
      </c>
      <c r="P4994" s="5">
        <v>191170</v>
      </c>
      <c r="Q4994" s="5">
        <v>36322</v>
      </c>
      <c r="R4994" s="5">
        <v>227492</v>
      </c>
    </row>
    <row r="4995" spans="1:18" x14ac:dyDescent="0.25">
      <c r="F4995" t="s">
        <v>495</v>
      </c>
      <c r="K4995" t="str">
        <f>IFERROR(IF(AND(VLOOKUP($C4995,Hes!$A:$B, 1, FALSE), $M4995&lt;&gt;" "), "Ingresada", "Falta Ingresar"), " ")</f>
        <v xml:space="preserve"> </v>
      </c>
      <c r="L4995" s="4" t="str">
        <f>IFERROR(VLOOKUP($C4995,Observaciones!$A:$B,2,FALSE)," ")</f>
        <v xml:space="preserve"> </v>
      </c>
      <c r="M4995" t="s">
        <v>681</v>
      </c>
      <c r="P4995" s="5">
        <v>191170</v>
      </c>
      <c r="Q4995" s="5">
        <v>36322</v>
      </c>
      <c r="R4995" s="5">
        <v>227492</v>
      </c>
    </row>
    <row r="4996" spans="1:18" x14ac:dyDescent="0.25">
      <c r="A4996" t="s">
        <v>501</v>
      </c>
      <c r="B4996" t="s">
        <v>494</v>
      </c>
      <c r="C4996">
        <v>96684580</v>
      </c>
      <c r="D4996">
        <v>31</v>
      </c>
      <c r="E4996">
        <v>30864446</v>
      </c>
      <c r="F4996" t="s">
        <v>1721</v>
      </c>
      <c r="G4996" s="1">
        <v>45237</v>
      </c>
      <c r="H4996">
        <v>5415271</v>
      </c>
      <c r="I4996">
        <v>348</v>
      </c>
      <c r="J4996" t="s">
        <v>293</v>
      </c>
      <c r="K4996" t="str">
        <f>IFERROR(IF(AND(VLOOKUP($C4996,Hes!$A:$B, 1, FALSE), $M4996&lt;&gt;" "), "Ingresada", "Falta Ingresar"), " ")</f>
        <v xml:space="preserve"> </v>
      </c>
      <c r="L4996" s="4" t="str">
        <f>IFERROR(VLOOKUP($C4996,Observaciones!$A:$B,2,FALSE)," ")</f>
        <v>ULTIMO DIA, CON ORDEN DE COMPRA 4502056466</v>
      </c>
      <c r="M4996" t="s">
        <v>681</v>
      </c>
      <c r="O4996" s="5">
        <v>30864446</v>
      </c>
      <c r="P4996" s="5">
        <v>23414</v>
      </c>
      <c r="Q4996" s="5">
        <v>4449</v>
      </c>
      <c r="R4996" s="5">
        <v>27863</v>
      </c>
    </row>
    <row r="4997" spans="1:18" x14ac:dyDescent="0.25">
      <c r="A4997" t="s">
        <v>501</v>
      </c>
      <c r="B4997" t="s">
        <v>494</v>
      </c>
      <c r="C4997">
        <v>96684580</v>
      </c>
      <c r="D4997">
        <v>30</v>
      </c>
      <c r="E4997">
        <v>30864436</v>
      </c>
      <c r="F4997" t="s">
        <v>1721</v>
      </c>
      <c r="G4997" s="1">
        <v>45238</v>
      </c>
      <c r="H4997">
        <v>5415611</v>
      </c>
      <c r="I4997">
        <v>348</v>
      </c>
      <c r="J4997" t="s">
        <v>293</v>
      </c>
      <c r="K4997" t="str">
        <f>IFERROR(IF(AND(VLOOKUP($C4997,Hes!$A:$B, 1, FALSE), $M4997&lt;&gt;" "), "Ingresada", "Falta Ingresar"), " ")</f>
        <v xml:space="preserve"> </v>
      </c>
      <c r="L4997" s="4" t="str">
        <f>IFERROR(VLOOKUP($C4997,Observaciones!$A:$B,2,FALSE)," ")</f>
        <v>ULTIMO DIA, CON ORDEN DE COMPRA 4502056466</v>
      </c>
      <c r="M4997" t="s">
        <v>681</v>
      </c>
      <c r="O4997" s="5">
        <v>30864436</v>
      </c>
      <c r="P4997" s="5">
        <v>47955</v>
      </c>
      <c r="Q4997" s="5">
        <v>9111</v>
      </c>
      <c r="R4997" s="5">
        <v>57066</v>
      </c>
    </row>
    <row r="4998" spans="1:18" x14ac:dyDescent="0.25">
      <c r="F4998" t="s">
        <v>497</v>
      </c>
      <c r="K4998" t="str">
        <f>IFERROR(IF(AND(VLOOKUP($C4998,Hes!$A:$B, 1, FALSE), $M4998&lt;&gt;" "), "Ingresada", "Falta Ingresar"), " ")</f>
        <v xml:space="preserve"> </v>
      </c>
      <c r="L4998" s="4" t="str">
        <f>IFERROR(VLOOKUP($C4998,Observaciones!$A:$B,2,FALSE)," ")</f>
        <v xml:space="preserve"> </v>
      </c>
      <c r="M4998" t="s">
        <v>681</v>
      </c>
      <c r="P4998" s="5">
        <v>71369</v>
      </c>
      <c r="Q4998" s="5">
        <v>13560</v>
      </c>
      <c r="R4998" s="5">
        <v>84929</v>
      </c>
    </row>
    <row r="4999" spans="1:18" x14ac:dyDescent="0.25">
      <c r="A4999" t="s">
        <v>513</v>
      </c>
      <c r="B4999" t="s">
        <v>494</v>
      </c>
      <c r="C4999">
        <v>96684990</v>
      </c>
      <c r="D4999">
        <v>6</v>
      </c>
      <c r="E4999">
        <v>30850984</v>
      </c>
      <c r="F4999" t="s">
        <v>1722</v>
      </c>
      <c r="G4999" s="1">
        <v>45236</v>
      </c>
      <c r="H4999">
        <v>5412644</v>
      </c>
      <c r="I4999">
        <v>132</v>
      </c>
      <c r="J4999" t="s">
        <v>416</v>
      </c>
      <c r="K4999" t="str">
        <f>IFERROR(IF(AND(VLOOKUP($C4999,Hes!$A:$B, 1, FALSE), $M4999&lt;&gt;" "), "Ingresada", "Falta Ingresar"), " ")</f>
        <v xml:space="preserve"> </v>
      </c>
      <c r="L4999" s="4" t="s">
        <v>681</v>
      </c>
      <c r="M4999" t="s">
        <v>681</v>
      </c>
      <c r="O4999" s="5">
        <v>30850984</v>
      </c>
      <c r="P4999" s="5">
        <v>339350</v>
      </c>
      <c r="Q4999" s="5">
        <v>64477</v>
      </c>
      <c r="R4999" s="5">
        <v>403827</v>
      </c>
    </row>
    <row r="5000" spans="1:18" x14ac:dyDescent="0.25">
      <c r="A5000" t="s">
        <v>513</v>
      </c>
      <c r="B5000" t="s">
        <v>494</v>
      </c>
      <c r="C5000">
        <v>96684990</v>
      </c>
      <c r="D5000">
        <v>6</v>
      </c>
      <c r="E5000">
        <v>30851080</v>
      </c>
      <c r="F5000" t="s">
        <v>1722</v>
      </c>
      <c r="G5000" s="1">
        <v>45236</v>
      </c>
      <c r="H5000">
        <v>5413399</v>
      </c>
      <c r="I5000">
        <v>132</v>
      </c>
      <c r="J5000" t="s">
        <v>416</v>
      </c>
      <c r="K5000" t="str">
        <f>IFERROR(IF(AND(VLOOKUP($C5000,Hes!$A:$B, 1, FALSE), $M5000&lt;&gt;" "), "Ingresada", "Falta Ingresar"), " ")</f>
        <v xml:space="preserve"> </v>
      </c>
      <c r="L5000" s="4" t="s">
        <v>681</v>
      </c>
      <c r="M5000" t="s">
        <v>681</v>
      </c>
      <c r="O5000" s="5">
        <v>30851080</v>
      </c>
      <c r="P5000" s="5">
        <v>204387</v>
      </c>
      <c r="Q5000" s="5">
        <v>38834</v>
      </c>
      <c r="R5000" s="5">
        <v>243221</v>
      </c>
    </row>
    <row r="5001" spans="1:18" x14ac:dyDescent="0.25">
      <c r="F5001" t="s">
        <v>497</v>
      </c>
      <c r="K5001" t="str">
        <f>IFERROR(IF(AND(VLOOKUP($C5001,Hes!$A:$B, 1, FALSE), $M5001&lt;&gt;" "), "Ingresada", "Falta Ingresar"), " ")</f>
        <v xml:space="preserve"> </v>
      </c>
      <c r="L5001" s="4" t="str">
        <f>IFERROR(VLOOKUP($C5001,Observaciones!$A:$B,2,FALSE)," ")</f>
        <v xml:space="preserve"> </v>
      </c>
      <c r="M5001" t="s">
        <v>681</v>
      </c>
      <c r="P5001" s="5">
        <v>543737</v>
      </c>
      <c r="Q5001" s="5">
        <v>103311</v>
      </c>
      <c r="R5001" s="5">
        <v>647048</v>
      </c>
    </row>
    <row r="5002" spans="1:18" x14ac:dyDescent="0.25">
      <c r="A5002" t="s">
        <v>501</v>
      </c>
      <c r="B5002" t="s">
        <v>494</v>
      </c>
      <c r="C5002">
        <v>96686870</v>
      </c>
      <c r="D5002">
        <v>15</v>
      </c>
      <c r="E5002">
        <v>30853358</v>
      </c>
      <c r="F5002" t="s">
        <v>1723</v>
      </c>
      <c r="G5002" s="1">
        <v>45236</v>
      </c>
      <c r="H5002">
        <v>5412181</v>
      </c>
      <c r="I5002">
        <v>187</v>
      </c>
      <c r="J5002" t="s">
        <v>386</v>
      </c>
      <c r="K5002" t="str">
        <f>IFERROR(IF(AND(VLOOKUP($C5002,Hes!$A:$B, 1, FALSE), $M5002&lt;&gt;" "), "Ingresada", "Falta Ingresar"), " ")</f>
        <v xml:space="preserve"> </v>
      </c>
      <c r="L5002" s="4" t="str">
        <f>IFERROR(VLOOKUP($C5002,Observaciones!$A:$B,2,FALSE)," ")</f>
        <v>ULTIMO DIA</v>
      </c>
      <c r="M5002" t="s">
        <v>681</v>
      </c>
      <c r="O5002" s="5">
        <v>30853358</v>
      </c>
      <c r="P5002" s="5">
        <v>25198</v>
      </c>
      <c r="Q5002" s="5">
        <v>4788</v>
      </c>
      <c r="R5002" s="5">
        <v>29986</v>
      </c>
    </row>
    <row r="5003" spans="1:18" x14ac:dyDescent="0.25">
      <c r="A5003" t="s">
        <v>501</v>
      </c>
      <c r="B5003" t="s">
        <v>494</v>
      </c>
      <c r="C5003">
        <v>96686870</v>
      </c>
      <c r="D5003">
        <v>5203</v>
      </c>
      <c r="E5003">
        <v>30853361</v>
      </c>
      <c r="F5003" t="s">
        <v>1723</v>
      </c>
      <c r="G5003" s="1">
        <v>45236</v>
      </c>
      <c r="H5003">
        <v>5412194</v>
      </c>
      <c r="I5003">
        <v>187</v>
      </c>
      <c r="J5003" t="s">
        <v>386</v>
      </c>
      <c r="K5003" t="str">
        <f>IFERROR(IF(AND(VLOOKUP($C5003,Hes!$A:$B, 1, FALSE), $M5003&lt;&gt;" "), "Ingresada", "Falta Ingresar"), " ")</f>
        <v xml:space="preserve"> </v>
      </c>
      <c r="L5003" s="4" t="str">
        <f>IFERROR(VLOOKUP($C5003,Observaciones!$A:$B,2,FALSE)," ")</f>
        <v>ULTIMO DIA</v>
      </c>
      <c r="M5003" t="s">
        <v>681</v>
      </c>
      <c r="O5003" s="5">
        <v>30853361</v>
      </c>
      <c r="P5003" s="5">
        <v>49978</v>
      </c>
      <c r="Q5003" s="5">
        <v>9496</v>
      </c>
      <c r="R5003" s="5">
        <v>59474</v>
      </c>
    </row>
    <row r="5004" spans="1:18" x14ac:dyDescent="0.25">
      <c r="A5004" t="s">
        <v>501</v>
      </c>
      <c r="B5004" t="s">
        <v>494</v>
      </c>
      <c r="C5004">
        <v>96686870</v>
      </c>
      <c r="D5004">
        <v>27</v>
      </c>
      <c r="E5004">
        <v>30853369</v>
      </c>
      <c r="F5004" t="s">
        <v>1723</v>
      </c>
      <c r="G5004" s="1">
        <v>45234</v>
      </c>
      <c r="H5004">
        <v>5412318</v>
      </c>
      <c r="I5004">
        <v>187</v>
      </c>
      <c r="J5004" t="s">
        <v>386</v>
      </c>
      <c r="K5004" t="str">
        <f>IFERROR(IF(AND(VLOOKUP($C5004,Hes!$A:$B, 1, FALSE), $M5004&lt;&gt;" "), "Ingresada", "Falta Ingresar"), " ")</f>
        <v xml:space="preserve"> </v>
      </c>
      <c r="L5004" s="4" t="str">
        <f>IFERROR(VLOOKUP($C5004,Observaciones!$A:$B,2,FALSE)," ")</f>
        <v>ULTIMO DIA</v>
      </c>
      <c r="M5004" t="s">
        <v>681</v>
      </c>
      <c r="O5004" s="5">
        <v>30853369</v>
      </c>
      <c r="P5004" s="5">
        <v>18390</v>
      </c>
      <c r="Q5004" s="5">
        <v>3494</v>
      </c>
      <c r="R5004" s="5">
        <v>21884</v>
      </c>
    </row>
    <row r="5005" spans="1:18" x14ac:dyDescent="0.25">
      <c r="A5005" t="s">
        <v>501</v>
      </c>
      <c r="B5005" t="s">
        <v>494</v>
      </c>
      <c r="C5005">
        <v>96686870</v>
      </c>
      <c r="D5005">
        <v>27</v>
      </c>
      <c r="E5005">
        <v>30853368</v>
      </c>
      <c r="F5005" t="s">
        <v>1723</v>
      </c>
      <c r="G5005" s="1">
        <v>45234</v>
      </c>
      <c r="H5005">
        <v>5412526</v>
      </c>
      <c r="I5005">
        <v>187</v>
      </c>
      <c r="J5005" t="s">
        <v>386</v>
      </c>
      <c r="K5005" t="str">
        <f>IFERROR(IF(AND(VLOOKUP($C5005,Hes!$A:$B, 1, FALSE), $M5005&lt;&gt;" "), "Ingresada", "Falta Ingresar"), " ")</f>
        <v xml:space="preserve"> </v>
      </c>
      <c r="L5005" s="4" t="str">
        <f>IFERROR(VLOOKUP($C5005,Observaciones!$A:$B,2,FALSE)," ")</f>
        <v>ULTIMO DIA</v>
      </c>
      <c r="M5005" t="s">
        <v>681</v>
      </c>
      <c r="O5005" s="5">
        <v>30853368</v>
      </c>
      <c r="P5005" s="5">
        <v>79393</v>
      </c>
      <c r="Q5005" s="5">
        <v>15085</v>
      </c>
      <c r="R5005" s="5">
        <v>94478</v>
      </c>
    </row>
    <row r="5006" spans="1:18" x14ac:dyDescent="0.25">
      <c r="A5006" t="s">
        <v>501</v>
      </c>
      <c r="B5006" t="s">
        <v>494</v>
      </c>
      <c r="C5006">
        <v>96686870</v>
      </c>
      <c r="D5006">
        <v>24</v>
      </c>
      <c r="E5006">
        <v>30853366</v>
      </c>
      <c r="F5006" t="s">
        <v>1723</v>
      </c>
      <c r="G5006" s="1">
        <v>45236</v>
      </c>
      <c r="H5006">
        <v>5412593</v>
      </c>
      <c r="I5006">
        <v>187</v>
      </c>
      <c r="J5006" t="s">
        <v>386</v>
      </c>
      <c r="K5006" t="str">
        <f>IFERROR(IF(AND(VLOOKUP($C5006,Hes!$A:$B, 1, FALSE), $M5006&lt;&gt;" "), "Ingresada", "Falta Ingresar"), " ")</f>
        <v xml:space="preserve"> </v>
      </c>
      <c r="L5006" s="4" t="str">
        <f>IFERROR(VLOOKUP($C5006,Observaciones!$A:$B,2,FALSE)," ")</f>
        <v>ULTIMO DIA</v>
      </c>
      <c r="M5006" t="s">
        <v>681</v>
      </c>
      <c r="O5006" s="5">
        <v>30853366</v>
      </c>
      <c r="P5006" s="5">
        <v>87610</v>
      </c>
      <c r="Q5006" s="5">
        <v>16646</v>
      </c>
      <c r="R5006" s="5">
        <v>104256</v>
      </c>
    </row>
    <row r="5007" spans="1:18" x14ac:dyDescent="0.25">
      <c r="A5007" t="s">
        <v>501</v>
      </c>
      <c r="B5007" t="s">
        <v>494</v>
      </c>
      <c r="C5007">
        <v>96686870</v>
      </c>
      <c r="D5007">
        <v>16</v>
      </c>
      <c r="E5007">
        <v>30853370</v>
      </c>
      <c r="F5007" t="s">
        <v>1723</v>
      </c>
      <c r="G5007" s="1">
        <v>45236</v>
      </c>
      <c r="H5007">
        <v>5412807</v>
      </c>
      <c r="I5007">
        <v>187</v>
      </c>
      <c r="J5007" t="s">
        <v>386</v>
      </c>
      <c r="K5007" t="str">
        <f>IFERROR(IF(AND(VLOOKUP($C5007,Hes!$A:$B, 1, FALSE), $M5007&lt;&gt;" "), "Ingresada", "Falta Ingresar"), " ")</f>
        <v xml:space="preserve"> </v>
      </c>
      <c r="L5007" s="4" t="str">
        <f>IFERROR(VLOOKUP($C5007,Observaciones!$A:$B,2,FALSE)," ")</f>
        <v>ULTIMO DIA</v>
      </c>
      <c r="M5007" t="s">
        <v>681</v>
      </c>
      <c r="O5007" s="5">
        <v>30853370</v>
      </c>
      <c r="P5007" s="5">
        <v>96024</v>
      </c>
      <c r="Q5007" s="5">
        <v>18245</v>
      </c>
      <c r="R5007" s="5">
        <v>114269</v>
      </c>
    </row>
    <row r="5008" spans="1:18" x14ac:dyDescent="0.25">
      <c r="A5008" t="s">
        <v>501</v>
      </c>
      <c r="B5008" t="s">
        <v>494</v>
      </c>
      <c r="C5008">
        <v>96686870</v>
      </c>
      <c r="D5008">
        <v>15</v>
      </c>
      <c r="E5008">
        <v>30855936</v>
      </c>
      <c r="F5008" t="s">
        <v>1723</v>
      </c>
      <c r="G5008" s="1">
        <v>45236</v>
      </c>
      <c r="H5008">
        <v>5412973</v>
      </c>
      <c r="I5008">
        <v>187</v>
      </c>
      <c r="J5008" t="s">
        <v>386</v>
      </c>
      <c r="K5008" t="str">
        <f>IFERROR(IF(AND(VLOOKUP($C5008,Hes!$A:$B, 1, FALSE), $M5008&lt;&gt;" "), "Ingresada", "Falta Ingresar"), " ")</f>
        <v xml:space="preserve"> </v>
      </c>
      <c r="L5008" s="4" t="str">
        <f>IFERROR(VLOOKUP($C5008,Observaciones!$A:$B,2,FALSE)," ")</f>
        <v>ULTIMO DIA</v>
      </c>
      <c r="M5008" t="s">
        <v>681</v>
      </c>
      <c r="O5008" s="5">
        <v>30855936</v>
      </c>
      <c r="P5008" s="5">
        <v>70429</v>
      </c>
      <c r="Q5008" s="5">
        <v>13382</v>
      </c>
      <c r="R5008" s="5">
        <v>83811</v>
      </c>
    </row>
    <row r="5009" spans="1:18" x14ac:dyDescent="0.25">
      <c r="A5009" t="s">
        <v>501</v>
      </c>
      <c r="B5009" t="s">
        <v>494</v>
      </c>
      <c r="C5009">
        <v>96686870</v>
      </c>
      <c r="D5009">
        <v>21</v>
      </c>
      <c r="E5009">
        <v>30855918</v>
      </c>
      <c r="F5009" t="s">
        <v>1723</v>
      </c>
      <c r="G5009" s="1">
        <v>45236</v>
      </c>
      <c r="H5009">
        <v>5412975</v>
      </c>
      <c r="I5009">
        <v>187</v>
      </c>
      <c r="J5009" t="s">
        <v>386</v>
      </c>
      <c r="K5009" t="str">
        <f>IFERROR(IF(AND(VLOOKUP($C5009,Hes!$A:$B, 1, FALSE), $M5009&lt;&gt;" "), "Ingresada", "Falta Ingresar"), " ")</f>
        <v xml:space="preserve"> </v>
      </c>
      <c r="L5009" s="4" t="str">
        <f>IFERROR(VLOOKUP($C5009,Observaciones!$A:$B,2,FALSE)," ")</f>
        <v>ULTIMO DIA</v>
      </c>
      <c r="M5009" t="s">
        <v>681</v>
      </c>
      <c r="O5009" s="5">
        <v>30855918</v>
      </c>
      <c r="P5009" s="5">
        <v>90296</v>
      </c>
      <c r="Q5009" s="5">
        <v>17156</v>
      </c>
      <c r="R5009" s="5">
        <v>107452</v>
      </c>
    </row>
    <row r="5010" spans="1:18" x14ac:dyDescent="0.25">
      <c r="A5010" t="s">
        <v>501</v>
      </c>
      <c r="B5010" t="s">
        <v>494</v>
      </c>
      <c r="C5010">
        <v>96686870</v>
      </c>
      <c r="D5010">
        <v>10</v>
      </c>
      <c r="E5010">
        <v>30855985</v>
      </c>
      <c r="F5010" t="s">
        <v>1723</v>
      </c>
      <c r="G5010" s="1">
        <v>45236</v>
      </c>
      <c r="H5010">
        <v>5413017</v>
      </c>
      <c r="I5010">
        <v>187</v>
      </c>
      <c r="J5010" t="s">
        <v>386</v>
      </c>
      <c r="K5010" t="str">
        <f>IFERROR(IF(AND(VLOOKUP($C5010,Hes!$A:$B, 1, FALSE), $M5010&lt;&gt;" "), "Ingresada", "Falta Ingresar"), " ")</f>
        <v xml:space="preserve"> </v>
      </c>
      <c r="L5010" s="4" t="str">
        <f>IFERROR(VLOOKUP($C5010,Observaciones!$A:$B,2,FALSE)," ")</f>
        <v>ULTIMO DIA</v>
      </c>
      <c r="M5010" t="s">
        <v>681</v>
      </c>
      <c r="O5010" s="5">
        <v>30855985</v>
      </c>
      <c r="P5010" s="5">
        <v>93024</v>
      </c>
      <c r="Q5010" s="5">
        <v>17675</v>
      </c>
      <c r="R5010" s="5">
        <v>110699</v>
      </c>
    </row>
    <row r="5011" spans="1:18" x14ac:dyDescent="0.25">
      <c r="A5011" t="s">
        <v>501</v>
      </c>
      <c r="B5011" t="s">
        <v>494</v>
      </c>
      <c r="C5011">
        <v>96686870</v>
      </c>
      <c r="D5011">
        <v>10</v>
      </c>
      <c r="E5011">
        <v>30855985</v>
      </c>
      <c r="F5011" t="s">
        <v>1723</v>
      </c>
      <c r="G5011" s="1">
        <v>45236</v>
      </c>
      <c r="H5011">
        <v>5413018</v>
      </c>
      <c r="I5011">
        <v>187</v>
      </c>
      <c r="J5011" t="s">
        <v>386</v>
      </c>
      <c r="K5011" t="str">
        <f>IFERROR(IF(AND(VLOOKUP($C5011,Hes!$A:$B, 1, FALSE), $M5011&lt;&gt;" "), "Ingresada", "Falta Ingresar"), " ")</f>
        <v xml:space="preserve"> </v>
      </c>
      <c r="L5011" s="4" t="str">
        <f>IFERROR(VLOOKUP($C5011,Observaciones!$A:$B,2,FALSE)," ")</f>
        <v>ULTIMO DIA</v>
      </c>
      <c r="M5011" t="s">
        <v>681</v>
      </c>
      <c r="O5011" s="5">
        <v>30855985</v>
      </c>
      <c r="P5011" s="5">
        <v>5118</v>
      </c>
      <c r="Q5011" s="5">
        <v>972</v>
      </c>
      <c r="R5011" s="5">
        <v>6090</v>
      </c>
    </row>
    <row r="5012" spans="1:18" x14ac:dyDescent="0.25">
      <c r="A5012" t="s">
        <v>501</v>
      </c>
      <c r="B5012" t="s">
        <v>494</v>
      </c>
      <c r="C5012">
        <v>96686870</v>
      </c>
      <c r="D5012">
        <v>22</v>
      </c>
      <c r="E5012">
        <v>30856091</v>
      </c>
      <c r="F5012" t="s">
        <v>1723</v>
      </c>
      <c r="G5012" s="1">
        <v>45236</v>
      </c>
      <c r="H5012">
        <v>5413588</v>
      </c>
      <c r="I5012">
        <v>187</v>
      </c>
      <c r="J5012" t="s">
        <v>386</v>
      </c>
      <c r="K5012" t="str">
        <f>IFERROR(IF(AND(VLOOKUP($C5012,Hes!$A:$B, 1, FALSE), $M5012&lt;&gt;" "), "Ingresada", "Falta Ingresar"), " ")</f>
        <v xml:space="preserve"> </v>
      </c>
      <c r="L5012" s="4" t="str">
        <f>IFERROR(VLOOKUP($C5012,Observaciones!$A:$B,2,FALSE)," ")</f>
        <v>ULTIMO DIA</v>
      </c>
      <c r="M5012" t="s">
        <v>681</v>
      </c>
      <c r="O5012" s="5">
        <v>30856091</v>
      </c>
      <c r="P5012" s="5">
        <v>89438</v>
      </c>
      <c r="Q5012" s="5">
        <v>16993</v>
      </c>
      <c r="R5012" s="5">
        <v>106431</v>
      </c>
    </row>
    <row r="5013" spans="1:18" x14ac:dyDescent="0.25">
      <c r="A5013" t="s">
        <v>501</v>
      </c>
      <c r="B5013" t="s">
        <v>494</v>
      </c>
      <c r="C5013">
        <v>96686870</v>
      </c>
      <c r="D5013">
        <v>5202</v>
      </c>
      <c r="E5013">
        <v>30858570</v>
      </c>
      <c r="F5013" t="s">
        <v>1723</v>
      </c>
      <c r="G5013" s="1">
        <v>45238</v>
      </c>
      <c r="H5013">
        <v>5414755</v>
      </c>
      <c r="I5013">
        <v>187</v>
      </c>
      <c r="J5013" t="s">
        <v>386</v>
      </c>
      <c r="K5013" t="str">
        <f>IFERROR(IF(AND(VLOOKUP($C5013,Hes!$A:$B, 1, FALSE), $M5013&lt;&gt;" "), "Ingresada", "Falta Ingresar"), " ")</f>
        <v xml:space="preserve"> </v>
      </c>
      <c r="L5013" s="4" t="str">
        <f>IFERROR(VLOOKUP($C5013,Observaciones!$A:$B,2,FALSE)," ")</f>
        <v>ULTIMO DIA</v>
      </c>
      <c r="M5013" t="s">
        <v>681</v>
      </c>
      <c r="O5013" s="5">
        <v>30858570</v>
      </c>
      <c r="P5013" s="5">
        <v>79915</v>
      </c>
      <c r="Q5013" s="5">
        <v>15184</v>
      </c>
      <c r="R5013" s="5">
        <v>95099</v>
      </c>
    </row>
    <row r="5014" spans="1:18" x14ac:dyDescent="0.25">
      <c r="A5014" t="s">
        <v>501</v>
      </c>
      <c r="B5014" t="s">
        <v>494</v>
      </c>
      <c r="C5014">
        <v>96686870</v>
      </c>
      <c r="D5014">
        <v>19</v>
      </c>
      <c r="E5014">
        <v>30858880</v>
      </c>
      <c r="F5014" t="s">
        <v>1723</v>
      </c>
      <c r="G5014" s="1">
        <v>45238</v>
      </c>
      <c r="H5014">
        <v>5414884</v>
      </c>
      <c r="I5014">
        <v>187</v>
      </c>
      <c r="J5014" t="s">
        <v>386</v>
      </c>
      <c r="K5014" t="str">
        <f>IFERROR(IF(AND(VLOOKUP($C5014,Hes!$A:$B, 1, FALSE), $M5014&lt;&gt;" "), "Ingresada", "Falta Ingresar"), " ")</f>
        <v xml:space="preserve"> </v>
      </c>
      <c r="L5014" s="4" t="str">
        <f>IFERROR(VLOOKUP($C5014,Observaciones!$A:$B,2,FALSE)," ")</f>
        <v>ULTIMO DIA</v>
      </c>
      <c r="M5014" t="s">
        <v>681</v>
      </c>
      <c r="O5014" s="5">
        <v>30858880</v>
      </c>
      <c r="P5014" s="5">
        <v>124017</v>
      </c>
      <c r="Q5014" s="5">
        <v>23563</v>
      </c>
      <c r="R5014" s="5">
        <v>147580</v>
      </c>
    </row>
    <row r="5015" spans="1:18" x14ac:dyDescent="0.25">
      <c r="A5015" t="s">
        <v>501</v>
      </c>
      <c r="B5015" t="s">
        <v>494</v>
      </c>
      <c r="C5015">
        <v>96686870</v>
      </c>
      <c r="D5015">
        <v>8</v>
      </c>
      <c r="E5015">
        <v>30863007</v>
      </c>
      <c r="F5015" t="s">
        <v>1723</v>
      </c>
      <c r="G5015" s="1">
        <v>45238</v>
      </c>
      <c r="H5015">
        <v>5415053</v>
      </c>
      <c r="I5015">
        <v>187</v>
      </c>
      <c r="J5015" t="s">
        <v>386</v>
      </c>
      <c r="K5015" t="str">
        <f>IFERROR(IF(AND(VLOOKUP($C5015,Hes!$A:$B, 1, FALSE), $M5015&lt;&gt;" "), "Ingresada", "Falta Ingresar"), " ")</f>
        <v xml:space="preserve"> </v>
      </c>
      <c r="L5015" s="4" t="str">
        <f>IFERROR(VLOOKUP($C5015,Observaciones!$A:$B,2,FALSE)," ")</f>
        <v>ULTIMO DIA</v>
      </c>
      <c r="M5015" t="s">
        <v>681</v>
      </c>
      <c r="O5015" s="5">
        <v>30863007</v>
      </c>
      <c r="P5015" s="5">
        <v>38422</v>
      </c>
      <c r="Q5015" s="5">
        <v>7300</v>
      </c>
      <c r="R5015" s="5">
        <v>45722</v>
      </c>
    </row>
    <row r="5016" spans="1:18" x14ac:dyDescent="0.25">
      <c r="A5016" t="s">
        <v>501</v>
      </c>
      <c r="B5016" t="s">
        <v>494</v>
      </c>
      <c r="C5016">
        <v>96686870</v>
      </c>
      <c r="D5016">
        <v>31</v>
      </c>
      <c r="E5016">
        <v>30864965</v>
      </c>
      <c r="F5016" t="s">
        <v>1723</v>
      </c>
      <c r="G5016" s="1">
        <v>45238</v>
      </c>
      <c r="H5016">
        <v>5415358</v>
      </c>
      <c r="I5016">
        <v>187</v>
      </c>
      <c r="J5016" t="s">
        <v>386</v>
      </c>
      <c r="K5016" t="str">
        <f>IFERROR(IF(AND(VLOOKUP($C5016,Hes!$A:$B, 1, FALSE), $M5016&lt;&gt;" "), "Ingresada", "Falta Ingresar"), " ")</f>
        <v xml:space="preserve"> </v>
      </c>
      <c r="L5016" s="4" t="str">
        <f>IFERROR(VLOOKUP($C5016,Observaciones!$A:$B,2,FALSE)," ")</f>
        <v>ULTIMO DIA</v>
      </c>
      <c r="M5016" t="s">
        <v>681</v>
      </c>
      <c r="O5016" s="5">
        <v>30864965</v>
      </c>
      <c r="P5016" s="5">
        <v>66248</v>
      </c>
      <c r="Q5016" s="5">
        <v>12587</v>
      </c>
      <c r="R5016" s="5">
        <v>78835</v>
      </c>
    </row>
    <row r="5017" spans="1:18" x14ac:dyDescent="0.25">
      <c r="A5017" t="s">
        <v>501</v>
      </c>
      <c r="B5017" t="s">
        <v>494</v>
      </c>
      <c r="C5017">
        <v>96686870</v>
      </c>
      <c r="D5017">
        <v>194</v>
      </c>
      <c r="E5017">
        <v>30865316</v>
      </c>
      <c r="F5017" t="s">
        <v>1723</v>
      </c>
      <c r="G5017" s="1">
        <v>45238</v>
      </c>
      <c r="H5017">
        <v>5415361</v>
      </c>
      <c r="I5017">
        <v>187</v>
      </c>
      <c r="J5017" t="s">
        <v>386</v>
      </c>
      <c r="K5017" t="str">
        <f>IFERROR(IF(AND(VLOOKUP($C5017,Hes!$A:$B, 1, FALSE), $M5017&lt;&gt;" "), "Ingresada", "Falta Ingresar"), " ")</f>
        <v xml:space="preserve"> </v>
      </c>
      <c r="L5017" s="4" t="str">
        <f>IFERROR(VLOOKUP($C5017,Observaciones!$A:$B,2,FALSE)," ")</f>
        <v>ULTIMO DIA</v>
      </c>
      <c r="M5017" t="s">
        <v>681</v>
      </c>
      <c r="O5017" s="5">
        <v>30865316</v>
      </c>
      <c r="P5017" s="5">
        <v>49455</v>
      </c>
      <c r="Q5017" s="5">
        <v>9396</v>
      </c>
      <c r="R5017" s="5">
        <v>58851</v>
      </c>
    </row>
    <row r="5018" spans="1:18" x14ac:dyDescent="0.25">
      <c r="A5018" t="s">
        <v>501</v>
      </c>
      <c r="B5018" t="s">
        <v>494</v>
      </c>
      <c r="C5018">
        <v>96686870</v>
      </c>
      <c r="D5018">
        <v>38</v>
      </c>
      <c r="E5018">
        <v>30864130</v>
      </c>
      <c r="F5018" t="s">
        <v>1723</v>
      </c>
      <c r="G5018" s="1">
        <v>45238</v>
      </c>
      <c r="H5018">
        <v>5415684</v>
      </c>
      <c r="I5018">
        <v>187</v>
      </c>
      <c r="J5018" t="s">
        <v>386</v>
      </c>
      <c r="K5018" t="str">
        <f>IFERROR(IF(AND(VLOOKUP($C5018,Hes!$A:$B, 1, FALSE), $M5018&lt;&gt;" "), "Ingresada", "Falta Ingresar"), " ")</f>
        <v xml:space="preserve"> </v>
      </c>
      <c r="L5018" s="4" t="str">
        <f>IFERROR(VLOOKUP($C5018,Observaciones!$A:$B,2,FALSE)," ")</f>
        <v>ULTIMO DIA</v>
      </c>
      <c r="M5018" t="s">
        <v>681</v>
      </c>
      <c r="O5018" s="5">
        <v>30864130</v>
      </c>
      <c r="P5018" s="5">
        <v>104832</v>
      </c>
      <c r="Q5018" s="5">
        <v>19918</v>
      </c>
      <c r="R5018" s="5">
        <v>124750</v>
      </c>
    </row>
    <row r="5019" spans="1:18" x14ac:dyDescent="0.25">
      <c r="F5019" t="s">
        <v>567</v>
      </c>
      <c r="K5019" t="str">
        <f>IFERROR(IF(AND(VLOOKUP($C5019,Hes!$A:$B, 1, FALSE), $M5019&lt;&gt;" "), "Ingresada", "Falta Ingresar"), " ")</f>
        <v xml:space="preserve"> </v>
      </c>
      <c r="L5019" s="4" t="str">
        <f>IFERROR(VLOOKUP($C5019,Observaciones!$A:$B,2,FALSE)," ")</f>
        <v xml:space="preserve"> </v>
      </c>
      <c r="M5019" t="s">
        <v>681</v>
      </c>
      <c r="P5019" s="5">
        <v>1167787</v>
      </c>
      <c r="Q5019" s="5">
        <v>221880</v>
      </c>
      <c r="R5019" s="5">
        <v>1389667</v>
      </c>
    </row>
    <row r="5020" spans="1:18" x14ac:dyDescent="0.25">
      <c r="A5020" t="s">
        <v>503</v>
      </c>
      <c r="B5020" t="s">
        <v>509</v>
      </c>
      <c r="C5020">
        <v>96691680</v>
      </c>
      <c r="D5020">
        <v>7</v>
      </c>
      <c r="E5020" t="s">
        <v>1724</v>
      </c>
      <c r="F5020" t="s">
        <v>1725</v>
      </c>
      <c r="G5020" s="1">
        <v>45236</v>
      </c>
      <c r="H5020">
        <v>5413553</v>
      </c>
      <c r="I5020">
        <v>178</v>
      </c>
      <c r="J5020" t="s">
        <v>303</v>
      </c>
      <c r="K5020" s="8" t="str">
        <f>IFERROR(IF(AND(VLOOKUP($C5020,Hes!$A:$B, 1, FALSE), $M5020&lt;&gt;" "), "Ingresada", "Falta Ingresar"), " ")</f>
        <v>Falta Ingresar</v>
      </c>
      <c r="L5020" s="4" t="s">
        <v>681</v>
      </c>
      <c r="M5020" t="s">
        <v>681</v>
      </c>
      <c r="N5020" s="5" t="s">
        <v>841</v>
      </c>
      <c r="O5020" s="5">
        <v>30854848</v>
      </c>
      <c r="P5020" s="5">
        <v>178776</v>
      </c>
      <c r="Q5020" s="5">
        <v>33967</v>
      </c>
      <c r="R5020" s="5">
        <v>214721</v>
      </c>
    </row>
    <row r="5021" spans="1:18" x14ac:dyDescent="0.25">
      <c r="F5021" t="s">
        <v>495</v>
      </c>
      <c r="K5021" t="str">
        <f>IFERROR(IF(AND(VLOOKUP($C5021,Hes!$A:$B, 1, FALSE), $M5021&lt;&gt;" "), "Ingresada", "Falta Ingresar"), " ")</f>
        <v xml:space="preserve"> </v>
      </c>
      <c r="L5021" s="4" t="str">
        <f>IFERROR(VLOOKUP($C5021,Observaciones!$A:$B,2,FALSE)," ")</f>
        <v xml:space="preserve"> </v>
      </c>
      <c r="M5021" t="s">
        <v>681</v>
      </c>
      <c r="P5021" s="5">
        <v>178776</v>
      </c>
      <c r="Q5021" s="5">
        <v>33967</v>
      </c>
      <c r="R5021" s="5">
        <v>214721</v>
      </c>
    </row>
    <row r="5022" spans="1:18" x14ac:dyDescent="0.25">
      <c r="A5022" t="s">
        <v>503</v>
      </c>
      <c r="B5022" t="s">
        <v>509</v>
      </c>
      <c r="C5022">
        <v>96692790</v>
      </c>
      <c r="D5022">
        <v>118</v>
      </c>
      <c r="E5022">
        <v>92037437</v>
      </c>
      <c r="F5022" t="s">
        <v>1726</v>
      </c>
      <c r="G5022" s="1">
        <v>45232</v>
      </c>
      <c r="H5022">
        <v>5410815</v>
      </c>
      <c r="I5022">
        <v>461</v>
      </c>
      <c r="J5022" t="s">
        <v>259</v>
      </c>
      <c r="K5022" t="str">
        <f>IFERROR(IF(AND(VLOOKUP($C5022,Hes!$A:$B, 1, FALSE), $M5022&lt;&gt;" "), "Ingresada", "Falta Ingresar"), " ")</f>
        <v xml:space="preserve"> </v>
      </c>
      <c r="L5022" s="4" t="s">
        <v>681</v>
      </c>
      <c r="M5022" t="s">
        <v>681</v>
      </c>
      <c r="O5022" s="5">
        <v>30844800</v>
      </c>
      <c r="P5022" s="5">
        <v>47867</v>
      </c>
      <c r="Q5022" s="5">
        <v>9095</v>
      </c>
      <c r="R5022" s="5">
        <v>56962</v>
      </c>
    </row>
    <row r="5023" spans="1:18" x14ac:dyDescent="0.25">
      <c r="A5023" t="s">
        <v>503</v>
      </c>
      <c r="B5023" t="s">
        <v>509</v>
      </c>
      <c r="C5023">
        <v>96692790</v>
      </c>
      <c r="D5023">
        <v>118</v>
      </c>
      <c r="E5023">
        <v>92037385</v>
      </c>
      <c r="F5023" t="s">
        <v>1726</v>
      </c>
      <c r="G5023" s="1">
        <v>45232</v>
      </c>
      <c r="H5023">
        <v>5410816</v>
      </c>
      <c r="I5023">
        <v>461</v>
      </c>
      <c r="J5023" t="s">
        <v>259</v>
      </c>
      <c r="K5023" t="str">
        <f>IFERROR(IF(AND(VLOOKUP($C5023,Hes!$A:$B, 1, FALSE), $M5023&lt;&gt;" "), "Ingresada", "Falta Ingresar"), " ")</f>
        <v xml:space="preserve"> </v>
      </c>
      <c r="L5023" s="4" t="s">
        <v>681</v>
      </c>
      <c r="M5023" t="s">
        <v>681</v>
      </c>
      <c r="O5023" s="5">
        <v>30844629</v>
      </c>
      <c r="P5023" s="5">
        <v>240215</v>
      </c>
      <c r="Q5023" s="5">
        <v>45641</v>
      </c>
      <c r="R5023" s="5">
        <v>285856</v>
      </c>
    </row>
    <row r="5024" spans="1:18" x14ac:dyDescent="0.25">
      <c r="A5024" t="s">
        <v>503</v>
      </c>
      <c r="B5024" t="s">
        <v>509</v>
      </c>
      <c r="C5024">
        <v>96692790</v>
      </c>
      <c r="D5024">
        <v>118</v>
      </c>
      <c r="E5024">
        <v>92027395</v>
      </c>
      <c r="F5024" t="s">
        <v>1726</v>
      </c>
      <c r="G5024" s="1">
        <v>45232</v>
      </c>
      <c r="H5024">
        <v>5411127</v>
      </c>
      <c r="I5024">
        <v>461</v>
      </c>
      <c r="J5024" t="s">
        <v>259</v>
      </c>
      <c r="K5024" t="str">
        <f>IFERROR(IF(AND(VLOOKUP($C5024,Hes!$A:$B, 1, FALSE), $M5024&lt;&gt;" "), "Ingresada", "Falta Ingresar"), " ")</f>
        <v xml:space="preserve"> </v>
      </c>
      <c r="L5024" s="4" t="s">
        <v>681</v>
      </c>
      <c r="M5024" t="s">
        <v>681</v>
      </c>
      <c r="O5024" s="5">
        <v>30844707</v>
      </c>
      <c r="P5024" s="5">
        <v>163723</v>
      </c>
      <c r="Q5024" s="5">
        <v>31107</v>
      </c>
      <c r="R5024" s="5">
        <v>194830</v>
      </c>
    </row>
    <row r="5025" spans="1:18" x14ac:dyDescent="0.25">
      <c r="A5025" t="s">
        <v>503</v>
      </c>
      <c r="B5025" t="s">
        <v>509</v>
      </c>
      <c r="C5025">
        <v>96692790</v>
      </c>
      <c r="D5025">
        <v>12</v>
      </c>
      <c r="E5025">
        <v>92035970</v>
      </c>
      <c r="F5025" t="s">
        <v>1726</v>
      </c>
      <c r="G5025" s="1">
        <v>45236</v>
      </c>
      <c r="H5025">
        <v>5411957</v>
      </c>
      <c r="I5025">
        <v>461</v>
      </c>
      <c r="J5025" t="s">
        <v>259</v>
      </c>
      <c r="K5025" t="str">
        <f>IFERROR(IF(AND(VLOOKUP($C5025,Hes!$A:$B, 1, FALSE), $M5025&lt;&gt;" "), "Ingresada", "Falta Ingresar"), " ")</f>
        <v xml:space="preserve"> </v>
      </c>
      <c r="L5025" s="4" t="s">
        <v>681</v>
      </c>
      <c r="M5025" t="s">
        <v>681</v>
      </c>
      <c r="O5025" s="5">
        <v>30834298</v>
      </c>
      <c r="P5025" s="5">
        <v>144425</v>
      </c>
      <c r="Q5025" s="5">
        <v>27441</v>
      </c>
      <c r="R5025" s="5">
        <v>171866</v>
      </c>
    </row>
    <row r="5026" spans="1:18" x14ac:dyDescent="0.25">
      <c r="A5026" t="s">
        <v>503</v>
      </c>
      <c r="B5026" t="s">
        <v>509</v>
      </c>
      <c r="C5026">
        <v>96692790</v>
      </c>
      <c r="D5026">
        <v>114</v>
      </c>
      <c r="E5026">
        <v>95020273</v>
      </c>
      <c r="F5026" t="s">
        <v>1726</v>
      </c>
      <c r="G5026" s="1">
        <v>45236</v>
      </c>
      <c r="H5026">
        <v>5412266</v>
      </c>
      <c r="I5026">
        <v>461</v>
      </c>
      <c r="J5026" t="s">
        <v>259</v>
      </c>
      <c r="K5026" t="str">
        <f>IFERROR(IF(AND(VLOOKUP($C5026,Hes!$A:$B, 1, FALSE), $M5026&lt;&gt;" "), "Ingresada", "Falta Ingresar"), " ")</f>
        <v xml:space="preserve"> </v>
      </c>
      <c r="L5026" s="4" t="s">
        <v>681</v>
      </c>
      <c r="M5026" t="s">
        <v>681</v>
      </c>
      <c r="O5026" s="5">
        <v>30852826</v>
      </c>
      <c r="P5026" s="5">
        <v>74167</v>
      </c>
      <c r="Q5026" s="5">
        <v>14092</v>
      </c>
      <c r="R5026" s="5">
        <v>88259</v>
      </c>
    </row>
    <row r="5027" spans="1:18" x14ac:dyDescent="0.25">
      <c r="A5027" t="s">
        <v>503</v>
      </c>
      <c r="B5027" t="s">
        <v>509</v>
      </c>
      <c r="C5027">
        <v>96692790</v>
      </c>
      <c r="D5027">
        <v>46</v>
      </c>
      <c r="E5027">
        <v>92038922</v>
      </c>
      <c r="F5027" t="s">
        <v>1726</v>
      </c>
      <c r="G5027" s="1">
        <v>45238</v>
      </c>
      <c r="H5027">
        <v>5414944</v>
      </c>
      <c r="I5027">
        <v>461</v>
      </c>
      <c r="J5027" t="s">
        <v>259</v>
      </c>
      <c r="K5027" t="str">
        <f>IFERROR(IF(AND(VLOOKUP($C5027,Hes!$A:$B, 1, FALSE), $M5027&lt;&gt;" "), "Ingresada", "Falta Ingresar"), " ")</f>
        <v xml:space="preserve"> </v>
      </c>
      <c r="L5027" s="4" t="s">
        <v>681</v>
      </c>
      <c r="M5027" t="s">
        <v>681</v>
      </c>
      <c r="O5027" s="5">
        <v>30862537</v>
      </c>
      <c r="P5027" s="5">
        <v>21184</v>
      </c>
      <c r="Q5027" s="5">
        <v>4025</v>
      </c>
      <c r="R5027" s="5">
        <v>25209</v>
      </c>
    </row>
    <row r="5028" spans="1:18" x14ac:dyDescent="0.25">
      <c r="F5028" t="s">
        <v>523</v>
      </c>
      <c r="K5028" t="str">
        <f>IFERROR(IF(AND(VLOOKUP($C5028,Hes!$A:$B, 1, FALSE), $M5028&lt;&gt;" "), "Ingresada", "Falta Ingresar"), " ")</f>
        <v xml:space="preserve"> </v>
      </c>
      <c r="L5028" s="4" t="str">
        <f>IFERROR(VLOOKUP($C5028,Observaciones!$A:$B,2,FALSE)," ")</f>
        <v xml:space="preserve"> </v>
      </c>
      <c r="M5028" t="s">
        <v>681</v>
      </c>
      <c r="P5028" s="5">
        <v>691581</v>
      </c>
      <c r="Q5028" s="5">
        <v>131401</v>
      </c>
      <c r="R5028" s="5">
        <v>822982</v>
      </c>
    </row>
    <row r="5029" spans="1:18" x14ac:dyDescent="0.25">
      <c r="A5029" t="s">
        <v>503</v>
      </c>
      <c r="B5029" t="s">
        <v>509</v>
      </c>
      <c r="C5029">
        <v>96693070</v>
      </c>
      <c r="D5029">
        <v>70</v>
      </c>
      <c r="E5029">
        <v>205483</v>
      </c>
      <c r="F5029" t="s">
        <v>1727</v>
      </c>
      <c r="G5029" s="1">
        <v>45236</v>
      </c>
      <c r="H5029">
        <v>5412036</v>
      </c>
      <c r="I5029">
        <v>422</v>
      </c>
      <c r="J5029" t="s">
        <v>279</v>
      </c>
      <c r="K5029" t="str">
        <f>IFERROR(IF(AND(VLOOKUP($C5029,Hes!$A:$B, 1, FALSE), $M5029&lt;&gt;" "), "Ingresada", "Falta Ingresar"), " ")</f>
        <v xml:space="preserve"> </v>
      </c>
      <c r="L5029" s="4" t="s">
        <v>681</v>
      </c>
      <c r="M5029" t="s">
        <v>681</v>
      </c>
      <c r="O5029" s="5">
        <v>30840784</v>
      </c>
      <c r="P5029" s="5">
        <v>367899</v>
      </c>
      <c r="Q5029" s="5">
        <v>69901</v>
      </c>
      <c r="R5029" s="5">
        <v>437800</v>
      </c>
    </row>
    <row r="5030" spans="1:18" x14ac:dyDescent="0.25">
      <c r="A5030" t="s">
        <v>503</v>
      </c>
      <c r="B5030" t="s">
        <v>509</v>
      </c>
      <c r="C5030">
        <v>96693070</v>
      </c>
      <c r="D5030">
        <v>28</v>
      </c>
      <c r="E5030">
        <v>178085</v>
      </c>
      <c r="F5030" t="s">
        <v>1727</v>
      </c>
      <c r="G5030" s="1">
        <v>45236</v>
      </c>
      <c r="H5030">
        <v>5413222</v>
      </c>
      <c r="I5030">
        <v>422</v>
      </c>
      <c r="J5030" t="s">
        <v>279</v>
      </c>
      <c r="K5030" t="str">
        <f>IFERROR(IF(AND(VLOOKUP($C5030,Hes!$A:$B, 1, FALSE), $M5030&lt;&gt;" "), "Ingresada", "Falta Ingresar"), " ")</f>
        <v xml:space="preserve"> </v>
      </c>
      <c r="L5030" s="4" t="s">
        <v>681</v>
      </c>
      <c r="M5030" t="s">
        <v>681</v>
      </c>
      <c r="O5030" s="5">
        <v>30847295</v>
      </c>
      <c r="P5030" s="5">
        <v>496850</v>
      </c>
      <c r="Q5030" s="5">
        <v>94402</v>
      </c>
      <c r="R5030" s="5">
        <v>591252</v>
      </c>
    </row>
    <row r="5031" spans="1:18" x14ac:dyDescent="0.25">
      <c r="A5031" t="s">
        <v>503</v>
      </c>
      <c r="B5031" t="s">
        <v>509</v>
      </c>
      <c r="C5031">
        <v>96693070</v>
      </c>
      <c r="D5031">
        <v>72</v>
      </c>
      <c r="E5031">
        <v>179452</v>
      </c>
      <c r="F5031" t="s">
        <v>1727</v>
      </c>
      <c r="G5031" s="1">
        <v>45236</v>
      </c>
      <c r="H5031">
        <v>5413341</v>
      </c>
      <c r="I5031">
        <v>422</v>
      </c>
      <c r="J5031" t="s">
        <v>279</v>
      </c>
      <c r="K5031" t="str">
        <f>IFERROR(IF(AND(VLOOKUP($C5031,Hes!$A:$B, 1, FALSE), $M5031&lt;&gt;" "), "Ingresada", "Falta Ingresar"), " ")</f>
        <v xml:space="preserve"> </v>
      </c>
      <c r="L5031" s="4" t="s">
        <v>681</v>
      </c>
      <c r="M5031" t="s">
        <v>681</v>
      </c>
      <c r="O5031" s="5">
        <v>30848376</v>
      </c>
      <c r="P5031" s="5">
        <v>906876</v>
      </c>
      <c r="Q5031" s="5">
        <v>172306</v>
      </c>
      <c r="R5031" s="5">
        <v>1079182</v>
      </c>
    </row>
    <row r="5032" spans="1:18" x14ac:dyDescent="0.25">
      <c r="A5032" t="s">
        <v>503</v>
      </c>
      <c r="B5032" t="s">
        <v>509</v>
      </c>
      <c r="C5032">
        <v>96693070</v>
      </c>
      <c r="D5032">
        <v>29</v>
      </c>
      <c r="E5032">
        <v>180153</v>
      </c>
      <c r="F5032" t="s">
        <v>1727</v>
      </c>
      <c r="G5032" s="1">
        <v>45236</v>
      </c>
      <c r="H5032">
        <v>5413466</v>
      </c>
      <c r="I5032">
        <v>422</v>
      </c>
      <c r="J5032" t="s">
        <v>279</v>
      </c>
      <c r="K5032" t="str">
        <f>IFERROR(IF(AND(VLOOKUP($C5032,Hes!$A:$B, 1, FALSE), $M5032&lt;&gt;" "), "Ingresada", "Falta Ingresar"), " ")</f>
        <v xml:space="preserve"> </v>
      </c>
      <c r="L5032" s="4" t="s">
        <v>681</v>
      </c>
      <c r="M5032" t="s">
        <v>681</v>
      </c>
      <c r="O5032" s="5">
        <v>30850697</v>
      </c>
      <c r="P5032" s="5">
        <v>77496</v>
      </c>
      <c r="Q5032" s="5">
        <v>14724</v>
      </c>
      <c r="R5032" s="5">
        <v>92220</v>
      </c>
    </row>
    <row r="5033" spans="1:18" x14ac:dyDescent="0.25">
      <c r="A5033" t="s">
        <v>503</v>
      </c>
      <c r="B5033" t="s">
        <v>509</v>
      </c>
      <c r="C5033">
        <v>96693070</v>
      </c>
      <c r="D5033">
        <v>51</v>
      </c>
      <c r="E5033">
        <v>176261</v>
      </c>
      <c r="F5033" t="s">
        <v>1727</v>
      </c>
      <c r="G5033" s="1">
        <v>45236</v>
      </c>
      <c r="H5033">
        <v>5413584</v>
      </c>
      <c r="I5033">
        <v>422</v>
      </c>
      <c r="J5033" t="s">
        <v>279</v>
      </c>
      <c r="K5033" t="str">
        <f>IFERROR(IF(AND(VLOOKUP($C5033,Hes!$A:$B, 1, FALSE), $M5033&lt;&gt;" "), "Ingresada", "Falta Ingresar"), " ")</f>
        <v xml:space="preserve"> </v>
      </c>
      <c r="L5033" s="4" t="s">
        <v>681</v>
      </c>
      <c r="M5033" t="s">
        <v>681</v>
      </c>
      <c r="O5033" s="5">
        <v>30854094</v>
      </c>
      <c r="P5033" s="5">
        <v>396180</v>
      </c>
      <c r="Q5033" s="5">
        <v>75274</v>
      </c>
      <c r="R5033" s="5">
        <v>471454</v>
      </c>
    </row>
    <row r="5034" spans="1:18" x14ac:dyDescent="0.25">
      <c r="A5034" t="s">
        <v>503</v>
      </c>
      <c r="B5034" t="s">
        <v>509</v>
      </c>
      <c r="C5034">
        <v>96693070</v>
      </c>
      <c r="D5034">
        <v>0</v>
      </c>
      <c r="E5034">
        <v>164429</v>
      </c>
      <c r="F5034" t="s">
        <v>1727</v>
      </c>
      <c r="G5034" s="1">
        <v>45237</v>
      </c>
      <c r="H5034">
        <v>5414473</v>
      </c>
      <c r="I5034">
        <v>422</v>
      </c>
      <c r="J5034" t="s">
        <v>279</v>
      </c>
      <c r="K5034" t="str">
        <f>IFERROR(IF(AND(VLOOKUP($C5034,Hes!$A:$B, 1, FALSE), $M5034&lt;&gt;" "), "Ingresada", "Falta Ingresar"), " ")</f>
        <v xml:space="preserve"> </v>
      </c>
      <c r="L5034" s="4" t="s">
        <v>681</v>
      </c>
      <c r="M5034" t="s">
        <v>681</v>
      </c>
      <c r="O5034" s="5">
        <v>30856578</v>
      </c>
      <c r="P5034" s="5">
        <v>216384</v>
      </c>
      <c r="Q5034" s="5">
        <v>41113</v>
      </c>
      <c r="R5034" s="5">
        <v>264790</v>
      </c>
    </row>
    <row r="5035" spans="1:18" x14ac:dyDescent="0.25">
      <c r="F5035" t="s">
        <v>523</v>
      </c>
      <c r="K5035" t="str">
        <f>IFERROR(IF(AND(VLOOKUP($C5035,Hes!$A:$B, 1, FALSE), $M5035&lt;&gt;" "), "Ingresada", "Falta Ingresar"), " ")</f>
        <v xml:space="preserve"> </v>
      </c>
      <c r="L5035" s="4" t="str">
        <f>IFERROR(VLOOKUP($C5035,Observaciones!$A:$B,2,FALSE)," ")</f>
        <v xml:space="preserve"> </v>
      </c>
      <c r="M5035" t="s">
        <v>681</v>
      </c>
      <c r="P5035" s="5">
        <v>2461685</v>
      </c>
      <c r="Q5035" s="5">
        <v>467720</v>
      </c>
      <c r="R5035" s="5">
        <v>2936698</v>
      </c>
    </row>
    <row r="5036" spans="1:18" x14ac:dyDescent="0.25">
      <c r="A5036" t="s">
        <v>496</v>
      </c>
      <c r="B5036" t="s">
        <v>494</v>
      </c>
      <c r="C5036">
        <v>96701520</v>
      </c>
      <c r="D5036">
        <v>0</v>
      </c>
      <c r="E5036">
        <v>20007</v>
      </c>
      <c r="F5036" t="s">
        <v>1728</v>
      </c>
      <c r="G5036" s="1">
        <v>45232</v>
      </c>
      <c r="H5036">
        <v>5410703</v>
      </c>
      <c r="I5036">
        <v>396</v>
      </c>
      <c r="J5036" t="s">
        <v>184</v>
      </c>
      <c r="K5036" t="str">
        <f>IFERROR(IF(AND(VLOOKUP($C5036,Hes!$A:$B, 1, FALSE), $M5036&lt;&gt;" "), "Ingresada", "Falta Ingresar"), " ")</f>
        <v xml:space="preserve"> </v>
      </c>
      <c r="L5036" s="4" t="str">
        <f>IFERROR(VLOOKUP($C5036,Observaciones!$A:$B,2,FALSE)," ")</f>
        <v>XOC Y CC</v>
      </c>
      <c r="M5036" t="s">
        <v>681</v>
      </c>
      <c r="O5036" s="5">
        <v>30836610</v>
      </c>
      <c r="P5036" s="5">
        <v>152231</v>
      </c>
      <c r="Q5036" s="5">
        <v>28924</v>
      </c>
      <c r="R5036" s="5">
        <v>181155</v>
      </c>
    </row>
    <row r="5037" spans="1:18" x14ac:dyDescent="0.25">
      <c r="F5037" t="s">
        <v>495</v>
      </c>
      <c r="K5037" t="str">
        <f>IFERROR(IF(AND(VLOOKUP($C5037,Hes!$A:$B, 1, FALSE), $M5037&lt;&gt;" "), "Ingresada", "Falta Ingresar"), " ")</f>
        <v xml:space="preserve"> </v>
      </c>
      <c r="L5037" s="4" t="str">
        <f>IFERROR(VLOOKUP($C5037,Observaciones!$A:$B,2,FALSE)," ")</f>
        <v xml:space="preserve"> </v>
      </c>
      <c r="M5037" t="s">
        <v>681</v>
      </c>
      <c r="P5037" s="5">
        <v>152231</v>
      </c>
      <c r="Q5037" s="5">
        <v>28924</v>
      </c>
      <c r="R5037" s="5">
        <v>181155</v>
      </c>
    </row>
    <row r="5038" spans="1:18" x14ac:dyDescent="0.25">
      <c r="A5038" t="s">
        <v>513</v>
      </c>
      <c r="B5038" t="s">
        <v>494</v>
      </c>
      <c r="C5038">
        <v>96708570</v>
      </c>
      <c r="D5038">
        <v>54</v>
      </c>
      <c r="E5038" t="s">
        <v>1729</v>
      </c>
      <c r="F5038" t="s">
        <v>1730</v>
      </c>
      <c r="G5038" s="1">
        <v>45232</v>
      </c>
      <c r="H5038">
        <v>5410947</v>
      </c>
      <c r="I5038">
        <v>281</v>
      </c>
      <c r="J5038" t="s">
        <v>162</v>
      </c>
      <c r="K5038" t="str">
        <f>IFERROR(IF(AND(VLOOKUP($C5038,Hes!$A:$B, 1, FALSE), $M5038&lt;&gt;" "), "Ingresada", "Falta Ingresar"), " ")</f>
        <v xml:space="preserve"> </v>
      </c>
      <c r="L5038" s="4" t="s">
        <v>681</v>
      </c>
      <c r="M5038" t="s">
        <v>681</v>
      </c>
      <c r="O5038" s="5">
        <v>30846591</v>
      </c>
      <c r="P5038" s="5">
        <v>33581</v>
      </c>
      <c r="Q5038" s="5">
        <v>6380</v>
      </c>
      <c r="R5038" s="5">
        <v>39961</v>
      </c>
    </row>
    <row r="5039" spans="1:18" x14ac:dyDescent="0.25">
      <c r="F5039" t="s">
        <v>495</v>
      </c>
      <c r="K5039" t="str">
        <f>IFERROR(IF(AND(VLOOKUP($C5039,Hes!$A:$B, 1, FALSE), $M5039&lt;&gt;" "), "Ingresada", "Falta Ingresar"), " ")</f>
        <v xml:space="preserve"> </v>
      </c>
      <c r="L5039" s="4" t="str">
        <f>IFERROR(VLOOKUP($C5039,Observaciones!$A:$B,2,FALSE)," ")</f>
        <v xml:space="preserve"> </v>
      </c>
      <c r="M5039" t="s">
        <v>681</v>
      </c>
      <c r="P5039" s="5">
        <v>33581</v>
      </c>
      <c r="Q5039" s="5">
        <v>6380</v>
      </c>
      <c r="R5039" s="5">
        <v>39961</v>
      </c>
    </row>
    <row r="5040" spans="1:18" x14ac:dyDescent="0.25">
      <c r="A5040" t="s">
        <v>503</v>
      </c>
      <c r="B5040" t="s">
        <v>494</v>
      </c>
      <c r="C5040">
        <v>96720910</v>
      </c>
      <c r="D5040">
        <v>10</v>
      </c>
      <c r="E5040">
        <v>7332057141</v>
      </c>
      <c r="F5040" t="s">
        <v>1731</v>
      </c>
      <c r="G5040" s="1">
        <v>45237</v>
      </c>
      <c r="H5040">
        <v>5414456</v>
      </c>
      <c r="I5040">
        <v>384</v>
      </c>
      <c r="J5040" t="s">
        <v>200</v>
      </c>
      <c r="K5040" t="str">
        <f>IFERROR(IF(AND(VLOOKUP($C5040,Hes!$A:$B, 1, FALSE), $M5040&lt;&gt;" "), "Ingresada", "Falta Ingresar"), " ")</f>
        <v xml:space="preserve"> </v>
      </c>
      <c r="L5040" s="4" t="str">
        <f>IFERROR(VLOOKUP($C5040,Observaciones!$A:$B,2,FALSE)," ")</f>
        <v xml:space="preserve"> </v>
      </c>
      <c r="M5040" t="s">
        <v>681</v>
      </c>
      <c r="O5040" s="5">
        <v>30861107</v>
      </c>
      <c r="P5040" s="5">
        <v>136833</v>
      </c>
      <c r="Q5040" s="5">
        <v>25998</v>
      </c>
      <c r="R5040" s="5">
        <v>162831</v>
      </c>
    </row>
    <row r="5041" spans="1:18" x14ac:dyDescent="0.25">
      <c r="F5041" t="s">
        <v>495</v>
      </c>
      <c r="K5041" t="str">
        <f>IFERROR(IF(AND(VLOOKUP($C5041,Hes!$A:$B, 1, FALSE), $M5041&lt;&gt;" "), "Ingresada", "Falta Ingresar"), " ")</f>
        <v xml:space="preserve"> </v>
      </c>
      <c r="L5041" s="4" t="str">
        <f>IFERROR(VLOOKUP($C5041,Observaciones!$A:$B,2,FALSE)," ")</f>
        <v xml:space="preserve"> </v>
      </c>
      <c r="M5041" t="s">
        <v>681</v>
      </c>
      <c r="P5041" s="5">
        <v>136833</v>
      </c>
      <c r="Q5041" s="5">
        <v>25998</v>
      </c>
      <c r="R5041" s="5">
        <v>162831</v>
      </c>
    </row>
    <row r="5042" spans="1:18" x14ac:dyDescent="0.25">
      <c r="A5042" t="s">
        <v>501</v>
      </c>
      <c r="B5042" t="s">
        <v>494</v>
      </c>
      <c r="C5042">
        <v>96722400</v>
      </c>
      <c r="D5042">
        <v>64</v>
      </c>
      <c r="E5042">
        <v>30861067</v>
      </c>
      <c r="F5042" t="s">
        <v>1732</v>
      </c>
      <c r="G5042" s="1">
        <v>45237</v>
      </c>
      <c r="H5042">
        <v>5414259</v>
      </c>
      <c r="I5042">
        <v>23</v>
      </c>
      <c r="J5042" t="s">
        <v>174</v>
      </c>
      <c r="K5042" t="str">
        <f>IFERROR(IF(AND(VLOOKUP($C5042,Hes!$A:$B, 1, FALSE), $M5042&lt;&gt;" "), "Ingresada", "Falta Ingresar"), " ")</f>
        <v xml:space="preserve"> </v>
      </c>
      <c r="L5042" s="4" t="str">
        <f>IFERROR(VLOOKUP($C5042,Observaciones!$A:$B,2,FALSE)," ")</f>
        <v xml:space="preserve"> </v>
      </c>
      <c r="M5042" t="s">
        <v>681</v>
      </c>
      <c r="O5042" s="5">
        <v>30861067</v>
      </c>
      <c r="P5042" s="5">
        <v>38028</v>
      </c>
      <c r="Q5042" s="5">
        <v>7225</v>
      </c>
      <c r="R5042" s="5">
        <v>45253</v>
      </c>
    </row>
    <row r="5043" spans="1:18" x14ac:dyDescent="0.25">
      <c r="A5043" t="s">
        <v>501</v>
      </c>
      <c r="B5043" t="s">
        <v>494</v>
      </c>
      <c r="C5043">
        <v>96722400</v>
      </c>
      <c r="D5043">
        <v>79</v>
      </c>
      <c r="E5043">
        <v>30860976</v>
      </c>
      <c r="F5043" t="s">
        <v>1732</v>
      </c>
      <c r="G5043" s="1">
        <v>45237</v>
      </c>
      <c r="H5043">
        <v>5414260</v>
      </c>
      <c r="I5043">
        <v>23</v>
      </c>
      <c r="J5043" t="s">
        <v>174</v>
      </c>
      <c r="K5043" t="str">
        <f>IFERROR(IF(AND(VLOOKUP($C5043,Hes!$A:$B, 1, FALSE), $M5043&lt;&gt;" "), "Ingresada", "Falta Ingresar"), " ")</f>
        <v xml:space="preserve"> </v>
      </c>
      <c r="L5043" s="4" t="str">
        <f>IFERROR(VLOOKUP($C5043,Observaciones!$A:$B,2,FALSE)," ")</f>
        <v xml:space="preserve"> </v>
      </c>
      <c r="M5043" t="s">
        <v>681</v>
      </c>
      <c r="O5043" s="5">
        <v>30860976</v>
      </c>
      <c r="P5043" s="5">
        <v>14423</v>
      </c>
      <c r="Q5043" s="5">
        <v>2740</v>
      </c>
      <c r="R5043" s="5">
        <v>17163</v>
      </c>
    </row>
    <row r="5044" spans="1:18" x14ac:dyDescent="0.25">
      <c r="A5044" t="s">
        <v>501</v>
      </c>
      <c r="B5044" t="s">
        <v>494</v>
      </c>
      <c r="C5044">
        <v>96722400</v>
      </c>
      <c r="D5044">
        <v>98</v>
      </c>
      <c r="E5044">
        <v>30861283</v>
      </c>
      <c r="F5044" t="s">
        <v>1732</v>
      </c>
      <c r="G5044" s="1">
        <v>45237</v>
      </c>
      <c r="H5044">
        <v>5414503</v>
      </c>
      <c r="I5044">
        <v>23</v>
      </c>
      <c r="J5044" t="s">
        <v>174</v>
      </c>
      <c r="K5044" t="str">
        <f>IFERROR(IF(AND(VLOOKUP($C5044,Hes!$A:$B, 1, FALSE), $M5044&lt;&gt;" "), "Ingresada", "Falta Ingresar"), " ")</f>
        <v xml:space="preserve"> </v>
      </c>
      <c r="L5044" s="4" t="str">
        <f>IFERROR(VLOOKUP($C5044,Observaciones!$A:$B,2,FALSE)," ")</f>
        <v xml:space="preserve"> </v>
      </c>
      <c r="M5044" t="s">
        <v>681</v>
      </c>
      <c r="O5044" s="5">
        <v>30861283</v>
      </c>
      <c r="P5044" s="5">
        <v>22733</v>
      </c>
      <c r="Q5044" s="5">
        <v>4319</v>
      </c>
      <c r="R5044" s="5">
        <v>27052</v>
      </c>
    </row>
    <row r="5045" spans="1:18" x14ac:dyDescent="0.25">
      <c r="A5045" t="s">
        <v>501</v>
      </c>
      <c r="B5045" t="s">
        <v>494</v>
      </c>
      <c r="C5045">
        <v>96722400</v>
      </c>
      <c r="D5045">
        <v>63</v>
      </c>
      <c r="E5045">
        <v>30861020</v>
      </c>
      <c r="F5045" t="s">
        <v>1732</v>
      </c>
      <c r="G5045" s="1">
        <v>45238</v>
      </c>
      <c r="H5045">
        <v>5414588</v>
      </c>
      <c r="I5045">
        <v>23</v>
      </c>
      <c r="J5045" t="s">
        <v>174</v>
      </c>
      <c r="K5045" t="str">
        <f>IFERROR(IF(AND(VLOOKUP($C5045,Hes!$A:$B, 1, FALSE), $M5045&lt;&gt;" "), "Ingresada", "Falta Ingresar"), " ")</f>
        <v xml:space="preserve"> </v>
      </c>
      <c r="L5045" s="4" t="str">
        <f>IFERROR(VLOOKUP($C5045,Observaciones!$A:$B,2,FALSE)," ")</f>
        <v xml:space="preserve"> </v>
      </c>
      <c r="M5045" t="s">
        <v>681</v>
      </c>
      <c r="O5045" s="5">
        <v>30861020</v>
      </c>
      <c r="P5045" s="5">
        <v>22283</v>
      </c>
      <c r="Q5045" s="5">
        <v>4234</v>
      </c>
      <c r="R5045" s="5">
        <v>26517</v>
      </c>
    </row>
    <row r="5046" spans="1:18" x14ac:dyDescent="0.25">
      <c r="A5046" t="s">
        <v>501</v>
      </c>
      <c r="B5046" t="s">
        <v>494</v>
      </c>
      <c r="C5046">
        <v>96722400</v>
      </c>
      <c r="D5046">
        <v>149</v>
      </c>
      <c r="E5046">
        <v>30860962</v>
      </c>
      <c r="F5046" t="s">
        <v>1732</v>
      </c>
      <c r="G5046" s="1">
        <v>45238</v>
      </c>
      <c r="H5046">
        <v>5414642</v>
      </c>
      <c r="I5046">
        <v>23</v>
      </c>
      <c r="J5046" t="s">
        <v>174</v>
      </c>
      <c r="K5046" t="str">
        <f>IFERROR(IF(AND(VLOOKUP($C5046,Hes!$A:$B, 1, FALSE), $M5046&lt;&gt;" "), "Ingresada", "Falta Ingresar"), " ")</f>
        <v xml:space="preserve"> </v>
      </c>
      <c r="L5046" s="4" t="str">
        <f>IFERROR(VLOOKUP($C5046,Observaciones!$A:$B,2,FALSE)," ")</f>
        <v xml:space="preserve"> </v>
      </c>
      <c r="M5046" t="s">
        <v>681</v>
      </c>
      <c r="O5046" s="5">
        <v>30860962</v>
      </c>
      <c r="P5046" s="5">
        <v>38766</v>
      </c>
      <c r="Q5046" s="5">
        <v>7366</v>
      </c>
      <c r="R5046" s="5">
        <v>46132</v>
      </c>
    </row>
    <row r="5047" spans="1:18" x14ac:dyDescent="0.25">
      <c r="A5047" t="s">
        <v>501</v>
      </c>
      <c r="B5047" t="s">
        <v>494</v>
      </c>
      <c r="C5047">
        <v>96722400</v>
      </c>
      <c r="D5047">
        <v>150</v>
      </c>
      <c r="E5047">
        <v>30860835</v>
      </c>
      <c r="F5047" t="s">
        <v>1732</v>
      </c>
      <c r="G5047" s="1">
        <v>45238</v>
      </c>
      <c r="H5047">
        <v>5414644</v>
      </c>
      <c r="I5047">
        <v>23</v>
      </c>
      <c r="J5047" t="s">
        <v>174</v>
      </c>
      <c r="K5047" t="str">
        <f>IFERROR(IF(AND(VLOOKUP($C5047,Hes!$A:$B, 1, FALSE), $M5047&lt;&gt;" "), "Ingresada", "Falta Ingresar"), " ")</f>
        <v xml:space="preserve"> </v>
      </c>
      <c r="L5047" s="4" t="str">
        <f>IFERROR(VLOOKUP($C5047,Observaciones!$A:$B,2,FALSE)," ")</f>
        <v xml:space="preserve"> </v>
      </c>
      <c r="M5047" t="s">
        <v>681</v>
      </c>
      <c r="O5047" s="5">
        <v>30860835</v>
      </c>
      <c r="P5047" s="5">
        <v>29954</v>
      </c>
      <c r="Q5047" s="5">
        <v>5691</v>
      </c>
      <c r="R5047" s="5">
        <v>35645</v>
      </c>
    </row>
    <row r="5048" spans="1:18" x14ac:dyDescent="0.25">
      <c r="A5048" t="s">
        <v>501</v>
      </c>
      <c r="B5048" t="s">
        <v>494</v>
      </c>
      <c r="C5048">
        <v>96722400</v>
      </c>
      <c r="D5048">
        <v>171</v>
      </c>
      <c r="E5048">
        <v>30860945</v>
      </c>
      <c r="F5048" t="s">
        <v>1732</v>
      </c>
      <c r="G5048" s="1">
        <v>45238</v>
      </c>
      <c r="H5048">
        <v>5414645</v>
      </c>
      <c r="I5048">
        <v>23</v>
      </c>
      <c r="J5048" t="s">
        <v>174</v>
      </c>
      <c r="K5048" t="str">
        <f>IFERROR(IF(AND(VLOOKUP($C5048,Hes!$A:$B, 1, FALSE), $M5048&lt;&gt;" "), "Ingresada", "Falta Ingresar"), " ")</f>
        <v xml:space="preserve"> </v>
      </c>
      <c r="L5048" s="4" t="str">
        <f>IFERROR(VLOOKUP($C5048,Observaciones!$A:$B,2,FALSE)," ")</f>
        <v xml:space="preserve"> </v>
      </c>
      <c r="M5048" t="s">
        <v>681</v>
      </c>
      <c r="O5048" s="5">
        <v>30860945</v>
      </c>
      <c r="P5048" s="5">
        <v>17580</v>
      </c>
      <c r="Q5048" s="5">
        <v>3340</v>
      </c>
      <c r="R5048" s="5">
        <v>20920</v>
      </c>
    </row>
    <row r="5049" spans="1:18" x14ac:dyDescent="0.25">
      <c r="A5049" t="s">
        <v>501</v>
      </c>
      <c r="B5049" t="s">
        <v>494</v>
      </c>
      <c r="C5049">
        <v>96722400</v>
      </c>
      <c r="D5049">
        <v>157</v>
      </c>
      <c r="E5049">
        <v>30861344</v>
      </c>
      <c r="F5049" t="s">
        <v>1732</v>
      </c>
      <c r="G5049" s="1">
        <v>45238</v>
      </c>
      <c r="H5049">
        <v>5414648</v>
      </c>
      <c r="I5049">
        <v>23</v>
      </c>
      <c r="J5049" t="s">
        <v>174</v>
      </c>
      <c r="K5049" t="str">
        <f>IFERROR(IF(AND(VLOOKUP($C5049,Hes!$A:$B, 1, FALSE), $M5049&lt;&gt;" "), "Ingresada", "Falta Ingresar"), " ")</f>
        <v xml:space="preserve"> </v>
      </c>
      <c r="L5049" s="4" t="str">
        <f>IFERROR(VLOOKUP($C5049,Observaciones!$A:$B,2,FALSE)," ")</f>
        <v xml:space="preserve"> </v>
      </c>
      <c r="M5049" t="s">
        <v>681</v>
      </c>
      <c r="O5049" s="5">
        <v>30861344</v>
      </c>
      <c r="P5049" s="5">
        <v>24419</v>
      </c>
      <c r="Q5049" s="5">
        <v>4640</v>
      </c>
      <c r="R5049" s="5">
        <v>29059</v>
      </c>
    </row>
    <row r="5050" spans="1:18" x14ac:dyDescent="0.25">
      <c r="A5050" t="s">
        <v>501</v>
      </c>
      <c r="B5050" t="s">
        <v>494</v>
      </c>
      <c r="C5050">
        <v>96722400</v>
      </c>
      <c r="D5050">
        <v>64</v>
      </c>
      <c r="E5050">
        <v>30861103</v>
      </c>
      <c r="F5050" t="s">
        <v>1732</v>
      </c>
      <c r="G5050" s="1">
        <v>45237</v>
      </c>
      <c r="H5050">
        <v>5414734</v>
      </c>
      <c r="I5050">
        <v>23</v>
      </c>
      <c r="J5050" t="s">
        <v>174</v>
      </c>
      <c r="K5050" t="str">
        <f>IFERROR(IF(AND(VLOOKUP($C5050,Hes!$A:$B, 1, FALSE), $M5050&lt;&gt;" "), "Ingresada", "Falta Ingresar"), " ")</f>
        <v xml:space="preserve"> </v>
      </c>
      <c r="L5050" s="4" t="str">
        <f>IFERROR(VLOOKUP($C5050,Observaciones!$A:$B,2,FALSE)," ")</f>
        <v xml:space="preserve"> </v>
      </c>
      <c r="M5050" t="s">
        <v>681</v>
      </c>
      <c r="O5050" s="5">
        <v>30861103</v>
      </c>
      <c r="P5050" s="5">
        <v>42211</v>
      </c>
      <c r="Q5050" s="5">
        <v>8020</v>
      </c>
      <c r="R5050" s="5">
        <v>50231</v>
      </c>
    </row>
    <row r="5051" spans="1:18" x14ac:dyDescent="0.25">
      <c r="A5051" t="s">
        <v>501</v>
      </c>
      <c r="B5051" t="s">
        <v>494</v>
      </c>
      <c r="C5051">
        <v>96722400</v>
      </c>
      <c r="D5051">
        <v>98</v>
      </c>
      <c r="E5051">
        <v>30861290</v>
      </c>
      <c r="F5051" t="s">
        <v>1732</v>
      </c>
      <c r="G5051" s="1">
        <v>45237</v>
      </c>
      <c r="H5051">
        <v>5414786</v>
      </c>
      <c r="I5051">
        <v>23</v>
      </c>
      <c r="J5051" t="s">
        <v>174</v>
      </c>
      <c r="K5051" t="str">
        <f>IFERROR(IF(AND(VLOOKUP($C5051,Hes!$A:$B, 1, FALSE), $M5051&lt;&gt;" "), "Ingresada", "Falta Ingresar"), " ")</f>
        <v xml:space="preserve"> </v>
      </c>
      <c r="L5051" s="4" t="str">
        <f>IFERROR(VLOOKUP($C5051,Observaciones!$A:$B,2,FALSE)," ")</f>
        <v xml:space="preserve"> </v>
      </c>
      <c r="M5051" t="s">
        <v>681</v>
      </c>
      <c r="O5051" s="5">
        <v>30861290</v>
      </c>
      <c r="P5051" s="5">
        <v>10738</v>
      </c>
      <c r="Q5051" s="5">
        <v>2040</v>
      </c>
      <c r="R5051" s="5">
        <v>12778</v>
      </c>
    </row>
    <row r="5052" spans="1:18" x14ac:dyDescent="0.25">
      <c r="A5052" t="s">
        <v>501</v>
      </c>
      <c r="B5052" t="s">
        <v>494</v>
      </c>
      <c r="C5052">
        <v>96722400</v>
      </c>
      <c r="D5052">
        <v>168</v>
      </c>
      <c r="E5052">
        <v>30861333</v>
      </c>
      <c r="F5052" t="s">
        <v>1732</v>
      </c>
      <c r="G5052" s="1">
        <v>45237</v>
      </c>
      <c r="H5052">
        <v>5414790</v>
      </c>
      <c r="I5052">
        <v>23</v>
      </c>
      <c r="J5052" t="s">
        <v>174</v>
      </c>
      <c r="K5052" t="str">
        <f>IFERROR(IF(AND(VLOOKUP($C5052,Hes!$A:$B, 1, FALSE), $M5052&lt;&gt;" "), "Ingresada", "Falta Ingresar"), " ")</f>
        <v xml:space="preserve"> </v>
      </c>
      <c r="L5052" s="4" t="str">
        <f>IFERROR(VLOOKUP($C5052,Observaciones!$A:$B,2,FALSE)," ")</f>
        <v xml:space="preserve"> </v>
      </c>
      <c r="M5052" t="s">
        <v>681</v>
      </c>
      <c r="O5052" s="5">
        <v>30861333</v>
      </c>
      <c r="P5052" s="5">
        <v>82867</v>
      </c>
      <c r="Q5052" s="5">
        <v>15745</v>
      </c>
      <c r="R5052" s="5">
        <v>98612</v>
      </c>
    </row>
    <row r="5053" spans="1:18" x14ac:dyDescent="0.25">
      <c r="A5053" t="s">
        <v>501</v>
      </c>
      <c r="B5053" t="s">
        <v>494</v>
      </c>
      <c r="C5053">
        <v>96722400</v>
      </c>
      <c r="D5053">
        <v>128</v>
      </c>
      <c r="E5053">
        <v>30860856</v>
      </c>
      <c r="F5053" t="s">
        <v>1732</v>
      </c>
      <c r="G5053" s="1">
        <v>45238</v>
      </c>
      <c r="H5053">
        <v>5414807</v>
      </c>
      <c r="I5053">
        <v>23</v>
      </c>
      <c r="J5053" t="s">
        <v>174</v>
      </c>
      <c r="K5053" t="str">
        <f>IFERROR(IF(AND(VLOOKUP($C5053,Hes!$A:$B, 1, FALSE), $M5053&lt;&gt;" "), "Ingresada", "Falta Ingresar"), " ")</f>
        <v xml:space="preserve"> </v>
      </c>
      <c r="L5053" s="4" t="str">
        <f>IFERROR(VLOOKUP($C5053,Observaciones!$A:$B,2,FALSE)," ")</f>
        <v xml:space="preserve"> </v>
      </c>
      <c r="M5053" t="s">
        <v>681</v>
      </c>
      <c r="O5053" s="5">
        <v>30860856</v>
      </c>
      <c r="P5053" s="5">
        <v>50627</v>
      </c>
      <c r="Q5053" s="5">
        <v>9619</v>
      </c>
      <c r="R5053" s="5">
        <v>60246</v>
      </c>
    </row>
    <row r="5054" spans="1:18" x14ac:dyDescent="0.25">
      <c r="A5054" t="s">
        <v>501</v>
      </c>
      <c r="B5054" t="s">
        <v>494</v>
      </c>
      <c r="C5054">
        <v>96722400</v>
      </c>
      <c r="D5054">
        <v>72</v>
      </c>
      <c r="E5054">
        <v>30860816</v>
      </c>
      <c r="F5054" t="s">
        <v>1732</v>
      </c>
      <c r="G5054" s="1">
        <v>45238</v>
      </c>
      <c r="H5054">
        <v>5414808</v>
      </c>
      <c r="I5054">
        <v>23</v>
      </c>
      <c r="J5054" t="s">
        <v>174</v>
      </c>
      <c r="K5054" t="str">
        <f>IFERROR(IF(AND(VLOOKUP($C5054,Hes!$A:$B, 1, FALSE), $M5054&lt;&gt;" "), "Ingresada", "Falta Ingresar"), " ")</f>
        <v xml:space="preserve"> </v>
      </c>
      <c r="L5054" s="4" t="str">
        <f>IFERROR(VLOOKUP($C5054,Observaciones!$A:$B,2,FALSE)," ")</f>
        <v xml:space="preserve"> </v>
      </c>
      <c r="M5054" t="s">
        <v>681</v>
      </c>
      <c r="O5054" s="5">
        <v>30860816</v>
      </c>
      <c r="P5054" s="5">
        <v>57172</v>
      </c>
      <c r="Q5054" s="5">
        <v>10863</v>
      </c>
      <c r="R5054" s="5">
        <v>68035</v>
      </c>
    </row>
    <row r="5055" spans="1:18" x14ac:dyDescent="0.25">
      <c r="A5055" t="s">
        <v>501</v>
      </c>
      <c r="B5055" t="s">
        <v>494</v>
      </c>
      <c r="C5055">
        <v>96722400</v>
      </c>
      <c r="D5055">
        <v>167</v>
      </c>
      <c r="E5055">
        <v>30861316</v>
      </c>
      <c r="F5055" t="s">
        <v>1732</v>
      </c>
      <c r="G5055" s="1">
        <v>45238</v>
      </c>
      <c r="H5055">
        <v>5414813</v>
      </c>
      <c r="I5055">
        <v>23</v>
      </c>
      <c r="J5055" t="s">
        <v>174</v>
      </c>
      <c r="K5055" t="str">
        <f>IFERROR(IF(AND(VLOOKUP($C5055,Hes!$A:$B, 1, FALSE), $M5055&lt;&gt;" "), "Ingresada", "Falta Ingresar"), " ")</f>
        <v xml:space="preserve"> </v>
      </c>
      <c r="L5055" s="4" t="str">
        <f>IFERROR(VLOOKUP($C5055,Observaciones!$A:$B,2,FALSE)," ")</f>
        <v xml:space="preserve"> </v>
      </c>
      <c r="M5055" t="s">
        <v>681</v>
      </c>
      <c r="O5055" s="5">
        <v>30861316</v>
      </c>
      <c r="P5055" s="5">
        <v>106453</v>
      </c>
      <c r="Q5055" s="5">
        <v>20226</v>
      </c>
      <c r="R5055" s="5">
        <v>126679</v>
      </c>
    </row>
    <row r="5056" spans="1:18" x14ac:dyDescent="0.25">
      <c r="A5056" t="s">
        <v>501</v>
      </c>
      <c r="B5056" t="s">
        <v>494</v>
      </c>
      <c r="C5056">
        <v>96722400</v>
      </c>
      <c r="D5056">
        <v>63</v>
      </c>
      <c r="E5056">
        <v>30861054</v>
      </c>
      <c r="F5056" t="s">
        <v>1732</v>
      </c>
      <c r="G5056" s="1">
        <v>45238</v>
      </c>
      <c r="H5056">
        <v>5414858</v>
      </c>
      <c r="I5056">
        <v>23</v>
      </c>
      <c r="J5056" t="s">
        <v>174</v>
      </c>
      <c r="K5056" t="str">
        <f>IFERROR(IF(AND(VLOOKUP($C5056,Hes!$A:$B, 1, FALSE), $M5056&lt;&gt;" "), "Ingresada", "Falta Ingresar"), " ")</f>
        <v xml:space="preserve"> </v>
      </c>
      <c r="L5056" s="4" t="str">
        <f>IFERROR(VLOOKUP($C5056,Observaciones!$A:$B,2,FALSE)," ")</f>
        <v xml:space="preserve"> </v>
      </c>
      <c r="M5056" t="s">
        <v>681</v>
      </c>
      <c r="O5056" s="5">
        <v>30861054</v>
      </c>
      <c r="P5056" s="5">
        <v>83278</v>
      </c>
      <c r="Q5056" s="5">
        <v>15823</v>
      </c>
      <c r="R5056" s="5">
        <v>99101</v>
      </c>
    </row>
    <row r="5057" spans="1:18" x14ac:dyDescent="0.25">
      <c r="A5057" t="s">
        <v>501</v>
      </c>
      <c r="B5057" t="s">
        <v>494</v>
      </c>
      <c r="C5057">
        <v>96722400</v>
      </c>
      <c r="D5057">
        <v>2</v>
      </c>
      <c r="E5057">
        <v>30860919</v>
      </c>
      <c r="F5057" t="s">
        <v>1732</v>
      </c>
      <c r="G5057" s="1">
        <v>45238</v>
      </c>
      <c r="H5057">
        <v>5414954</v>
      </c>
      <c r="I5057">
        <v>23</v>
      </c>
      <c r="J5057" t="s">
        <v>174</v>
      </c>
      <c r="K5057" t="str">
        <f>IFERROR(IF(AND(VLOOKUP($C5057,Hes!$A:$B, 1, FALSE), $M5057&lt;&gt;" "), "Ingresada", "Falta Ingresar"), " ")</f>
        <v xml:space="preserve"> </v>
      </c>
      <c r="L5057" s="4" t="str">
        <f>IFERROR(VLOOKUP($C5057,Observaciones!$A:$B,2,FALSE)," ")</f>
        <v xml:space="preserve"> </v>
      </c>
      <c r="M5057" t="s">
        <v>681</v>
      </c>
      <c r="O5057" s="5">
        <v>30860919</v>
      </c>
      <c r="P5057" s="5">
        <v>130198</v>
      </c>
      <c r="Q5057" s="5">
        <v>24738</v>
      </c>
      <c r="R5057" s="5">
        <v>154936</v>
      </c>
    </row>
    <row r="5058" spans="1:18" x14ac:dyDescent="0.25">
      <c r="A5058" t="s">
        <v>501</v>
      </c>
      <c r="B5058" t="s">
        <v>494</v>
      </c>
      <c r="C5058">
        <v>96722400</v>
      </c>
      <c r="D5058">
        <v>67</v>
      </c>
      <c r="E5058">
        <v>30861189</v>
      </c>
      <c r="F5058" t="s">
        <v>1732</v>
      </c>
      <c r="G5058" s="1">
        <v>45238</v>
      </c>
      <c r="H5058">
        <v>5415034</v>
      </c>
      <c r="I5058">
        <v>23</v>
      </c>
      <c r="J5058" t="s">
        <v>174</v>
      </c>
      <c r="K5058" t="str">
        <f>IFERROR(IF(AND(VLOOKUP($C5058,Hes!$A:$B, 1, FALSE), $M5058&lt;&gt;" "), "Ingresada", "Falta Ingresar"), " ")</f>
        <v xml:space="preserve"> </v>
      </c>
      <c r="L5058" s="4" t="str">
        <f>IFERROR(VLOOKUP($C5058,Observaciones!$A:$B,2,FALSE)," ")</f>
        <v xml:space="preserve"> </v>
      </c>
      <c r="M5058" t="s">
        <v>681</v>
      </c>
      <c r="O5058" s="5">
        <v>30861189</v>
      </c>
      <c r="P5058" s="5">
        <v>56664</v>
      </c>
      <c r="Q5058" s="5">
        <v>10766</v>
      </c>
      <c r="R5058" s="5">
        <v>67430</v>
      </c>
    </row>
    <row r="5059" spans="1:18" x14ac:dyDescent="0.25">
      <c r="A5059" t="s">
        <v>501</v>
      </c>
      <c r="B5059" t="s">
        <v>494</v>
      </c>
      <c r="C5059">
        <v>96722400</v>
      </c>
      <c r="D5059">
        <v>67</v>
      </c>
      <c r="E5059">
        <v>30861166</v>
      </c>
      <c r="F5059" t="s">
        <v>1732</v>
      </c>
      <c r="G5059" s="1">
        <v>45238</v>
      </c>
      <c r="H5059">
        <v>5415059</v>
      </c>
      <c r="I5059">
        <v>23</v>
      </c>
      <c r="J5059" t="s">
        <v>174</v>
      </c>
      <c r="K5059" t="str">
        <f>IFERROR(IF(AND(VLOOKUP($C5059,Hes!$A:$B, 1, FALSE), $M5059&lt;&gt;" "), "Ingresada", "Falta Ingresar"), " ")</f>
        <v xml:space="preserve"> </v>
      </c>
      <c r="L5059" s="4" t="str">
        <f>IFERROR(VLOOKUP($C5059,Observaciones!$A:$B,2,FALSE)," ")</f>
        <v xml:space="preserve"> </v>
      </c>
      <c r="M5059" t="s">
        <v>681</v>
      </c>
      <c r="O5059" s="5">
        <v>30861166</v>
      </c>
      <c r="P5059" s="5">
        <v>40541</v>
      </c>
      <c r="Q5059" s="5">
        <v>7703</v>
      </c>
      <c r="R5059" s="5">
        <v>48244</v>
      </c>
    </row>
    <row r="5060" spans="1:18" x14ac:dyDescent="0.25">
      <c r="A5060" t="s">
        <v>501</v>
      </c>
      <c r="B5060" t="s">
        <v>494</v>
      </c>
      <c r="C5060">
        <v>96722400</v>
      </c>
      <c r="D5060">
        <v>99</v>
      </c>
      <c r="E5060">
        <v>30861592</v>
      </c>
      <c r="F5060" t="s">
        <v>1732</v>
      </c>
      <c r="G5060" s="1">
        <v>45238</v>
      </c>
      <c r="H5060">
        <v>5415067</v>
      </c>
      <c r="I5060">
        <v>23</v>
      </c>
      <c r="J5060" t="s">
        <v>174</v>
      </c>
      <c r="K5060" t="str">
        <f>IFERROR(IF(AND(VLOOKUP($C5060,Hes!$A:$B, 1, FALSE), $M5060&lt;&gt;" "), "Ingresada", "Falta Ingresar"), " ")</f>
        <v xml:space="preserve"> </v>
      </c>
      <c r="L5060" s="4" t="str">
        <f>IFERROR(VLOOKUP($C5060,Observaciones!$A:$B,2,FALSE)," ")</f>
        <v xml:space="preserve"> </v>
      </c>
      <c r="M5060" t="s">
        <v>681</v>
      </c>
      <c r="O5060" s="5">
        <v>30861592</v>
      </c>
      <c r="P5060" s="5">
        <v>52718</v>
      </c>
      <c r="Q5060" s="5">
        <v>10016</v>
      </c>
      <c r="R5060" s="5">
        <v>62734</v>
      </c>
    </row>
    <row r="5061" spans="1:18" x14ac:dyDescent="0.25">
      <c r="A5061" t="s">
        <v>501</v>
      </c>
      <c r="B5061" t="s">
        <v>494</v>
      </c>
      <c r="C5061">
        <v>96722400</v>
      </c>
      <c r="D5061">
        <v>69</v>
      </c>
      <c r="E5061">
        <v>30862717</v>
      </c>
      <c r="F5061" t="s">
        <v>1732</v>
      </c>
      <c r="G5061" s="1">
        <v>45238</v>
      </c>
      <c r="H5061">
        <v>5415078</v>
      </c>
      <c r="I5061">
        <v>23</v>
      </c>
      <c r="J5061" t="s">
        <v>174</v>
      </c>
      <c r="K5061" t="str">
        <f>IFERROR(IF(AND(VLOOKUP($C5061,Hes!$A:$B, 1, FALSE), $M5061&lt;&gt;" "), "Ingresada", "Falta Ingresar"), " ")</f>
        <v xml:space="preserve"> </v>
      </c>
      <c r="L5061" s="4" t="str">
        <f>IFERROR(VLOOKUP($C5061,Observaciones!$A:$B,2,FALSE)," ")</f>
        <v xml:space="preserve"> </v>
      </c>
      <c r="M5061" t="s">
        <v>681</v>
      </c>
      <c r="O5061" s="5">
        <v>30862717</v>
      </c>
      <c r="P5061" s="5">
        <v>125891</v>
      </c>
      <c r="Q5061" s="5">
        <v>23919</v>
      </c>
      <c r="R5061" s="5">
        <v>149810</v>
      </c>
    </row>
    <row r="5062" spans="1:18" x14ac:dyDescent="0.25">
      <c r="A5062" t="s">
        <v>501</v>
      </c>
      <c r="B5062" t="s">
        <v>494</v>
      </c>
      <c r="C5062">
        <v>96722400</v>
      </c>
      <c r="D5062">
        <v>68</v>
      </c>
      <c r="E5062">
        <v>30861571</v>
      </c>
      <c r="F5062" t="s">
        <v>1732</v>
      </c>
      <c r="G5062" s="1">
        <v>45238</v>
      </c>
      <c r="H5062">
        <v>5415104</v>
      </c>
      <c r="I5062">
        <v>23</v>
      </c>
      <c r="J5062" t="s">
        <v>174</v>
      </c>
      <c r="K5062" t="str">
        <f>IFERROR(IF(AND(VLOOKUP($C5062,Hes!$A:$B, 1, FALSE), $M5062&lt;&gt;" "), "Ingresada", "Falta Ingresar"), " ")</f>
        <v xml:space="preserve"> </v>
      </c>
      <c r="L5062" s="4" t="str">
        <f>IFERROR(VLOOKUP($C5062,Observaciones!$A:$B,2,FALSE)," ")</f>
        <v xml:space="preserve"> </v>
      </c>
      <c r="M5062" t="s">
        <v>681</v>
      </c>
      <c r="O5062" s="5">
        <v>30861571</v>
      </c>
      <c r="P5062" s="5">
        <v>13872</v>
      </c>
      <c r="Q5062" s="5">
        <v>2636</v>
      </c>
      <c r="R5062" s="5">
        <v>16508</v>
      </c>
    </row>
    <row r="5063" spans="1:18" x14ac:dyDescent="0.25">
      <c r="A5063" t="s">
        <v>501</v>
      </c>
      <c r="B5063" t="s">
        <v>494</v>
      </c>
      <c r="C5063">
        <v>96722400</v>
      </c>
      <c r="D5063">
        <v>10</v>
      </c>
      <c r="E5063">
        <v>30862828</v>
      </c>
      <c r="F5063" t="s">
        <v>1732</v>
      </c>
      <c r="G5063" s="1">
        <v>45238</v>
      </c>
      <c r="H5063">
        <v>5415309</v>
      </c>
      <c r="I5063">
        <v>23</v>
      </c>
      <c r="J5063" t="s">
        <v>174</v>
      </c>
      <c r="K5063" t="str">
        <f>IFERROR(IF(AND(VLOOKUP($C5063,Hes!$A:$B, 1, FALSE), $M5063&lt;&gt;" "), "Ingresada", "Falta Ingresar"), " ")</f>
        <v xml:space="preserve"> </v>
      </c>
      <c r="L5063" s="4" t="str">
        <f>IFERROR(VLOOKUP($C5063,Observaciones!$A:$B,2,FALSE)," ")</f>
        <v xml:space="preserve"> </v>
      </c>
      <c r="M5063" t="s">
        <v>681</v>
      </c>
      <c r="O5063" s="5">
        <v>30862828</v>
      </c>
      <c r="P5063" s="5">
        <v>36807</v>
      </c>
      <c r="Q5063" s="5">
        <v>6993</v>
      </c>
      <c r="R5063" s="5">
        <v>43800</v>
      </c>
    </row>
    <row r="5064" spans="1:18" x14ac:dyDescent="0.25">
      <c r="A5064" t="s">
        <v>501</v>
      </c>
      <c r="B5064" t="s">
        <v>494</v>
      </c>
      <c r="C5064">
        <v>96722400</v>
      </c>
      <c r="D5064">
        <v>127</v>
      </c>
      <c r="E5064">
        <v>30861268</v>
      </c>
      <c r="F5064" t="s">
        <v>1732</v>
      </c>
      <c r="G5064" s="1">
        <v>45238</v>
      </c>
      <c r="H5064">
        <v>5415333</v>
      </c>
      <c r="I5064">
        <v>23</v>
      </c>
      <c r="J5064" t="s">
        <v>174</v>
      </c>
      <c r="K5064" t="str">
        <f>IFERROR(IF(AND(VLOOKUP($C5064,Hes!$A:$B, 1, FALSE), $M5064&lt;&gt;" "), "Ingresada", "Falta Ingresar"), " ")</f>
        <v xml:space="preserve"> </v>
      </c>
      <c r="L5064" s="4" t="str">
        <f>IFERROR(VLOOKUP($C5064,Observaciones!$A:$B,2,FALSE)," ")</f>
        <v xml:space="preserve"> </v>
      </c>
      <c r="M5064" t="s">
        <v>681</v>
      </c>
      <c r="O5064" s="5">
        <v>30861268</v>
      </c>
      <c r="P5064" s="5">
        <v>52871</v>
      </c>
      <c r="Q5064" s="5">
        <v>10045</v>
      </c>
      <c r="R5064" s="5">
        <v>62916</v>
      </c>
    </row>
    <row r="5065" spans="1:18" x14ac:dyDescent="0.25">
      <c r="A5065" t="s">
        <v>501</v>
      </c>
      <c r="B5065" t="s">
        <v>494</v>
      </c>
      <c r="C5065">
        <v>96722400</v>
      </c>
      <c r="D5065">
        <v>56</v>
      </c>
      <c r="E5065">
        <v>30862146</v>
      </c>
      <c r="F5065" t="s">
        <v>1732</v>
      </c>
      <c r="G5065" s="1">
        <v>45238</v>
      </c>
      <c r="H5065">
        <v>5415335</v>
      </c>
      <c r="I5065">
        <v>23</v>
      </c>
      <c r="J5065" t="s">
        <v>174</v>
      </c>
      <c r="K5065" t="str">
        <f>IFERROR(IF(AND(VLOOKUP($C5065,Hes!$A:$B, 1, FALSE), $M5065&lt;&gt;" "), "Ingresada", "Falta Ingresar"), " ")</f>
        <v xml:space="preserve"> </v>
      </c>
      <c r="L5065" s="4" t="str">
        <f>IFERROR(VLOOKUP($C5065,Observaciones!$A:$B,2,FALSE)," ")</f>
        <v xml:space="preserve"> </v>
      </c>
      <c r="M5065" t="s">
        <v>681</v>
      </c>
      <c r="O5065" s="5">
        <v>30862146</v>
      </c>
      <c r="P5065" s="5">
        <v>41708</v>
      </c>
      <c r="Q5065" s="5">
        <v>7925</v>
      </c>
      <c r="R5065" s="5">
        <v>49633</v>
      </c>
    </row>
    <row r="5066" spans="1:18" x14ac:dyDescent="0.25">
      <c r="A5066" t="s">
        <v>501</v>
      </c>
      <c r="B5066" t="s">
        <v>494</v>
      </c>
      <c r="C5066">
        <v>96722400</v>
      </c>
      <c r="D5066">
        <v>48</v>
      </c>
      <c r="E5066">
        <v>30864232</v>
      </c>
      <c r="F5066" t="s">
        <v>1732</v>
      </c>
      <c r="G5066" s="1">
        <v>45238</v>
      </c>
      <c r="H5066">
        <v>5415364</v>
      </c>
      <c r="I5066">
        <v>23</v>
      </c>
      <c r="J5066" t="s">
        <v>174</v>
      </c>
      <c r="K5066" t="str">
        <f>IFERROR(IF(AND(VLOOKUP($C5066,Hes!$A:$B, 1, FALSE), $M5066&lt;&gt;" "), "Ingresada", "Falta Ingresar"), " ")</f>
        <v xml:space="preserve"> </v>
      </c>
      <c r="L5066" s="4" t="str">
        <f>IFERROR(VLOOKUP($C5066,Observaciones!$A:$B,2,FALSE)," ")</f>
        <v xml:space="preserve"> </v>
      </c>
      <c r="M5066" t="s">
        <v>681</v>
      </c>
      <c r="O5066" s="5">
        <v>30864232</v>
      </c>
      <c r="P5066" s="5">
        <v>53973</v>
      </c>
      <c r="Q5066" s="5">
        <v>10255</v>
      </c>
      <c r="R5066" s="5">
        <v>64228</v>
      </c>
    </row>
    <row r="5067" spans="1:18" x14ac:dyDescent="0.25">
      <c r="A5067" t="s">
        <v>501</v>
      </c>
      <c r="B5067" t="s">
        <v>494</v>
      </c>
      <c r="C5067">
        <v>96722400</v>
      </c>
      <c r="D5067">
        <v>90</v>
      </c>
      <c r="E5067">
        <v>30864252</v>
      </c>
      <c r="F5067" t="s">
        <v>1732</v>
      </c>
      <c r="G5067" s="1">
        <v>45238</v>
      </c>
      <c r="H5067">
        <v>5415398</v>
      </c>
      <c r="I5067">
        <v>23</v>
      </c>
      <c r="J5067" t="s">
        <v>174</v>
      </c>
      <c r="K5067" t="str">
        <f>IFERROR(IF(AND(VLOOKUP($C5067,Hes!$A:$B, 1, FALSE), $M5067&lt;&gt;" "), "Ingresada", "Falta Ingresar"), " ")</f>
        <v xml:space="preserve"> </v>
      </c>
      <c r="L5067" s="4" t="str">
        <f>IFERROR(VLOOKUP($C5067,Observaciones!$A:$B,2,FALSE)," ")</f>
        <v xml:space="preserve"> </v>
      </c>
      <c r="M5067" t="s">
        <v>681</v>
      </c>
      <c r="O5067" s="5">
        <v>30864252</v>
      </c>
      <c r="P5067" s="5">
        <v>42747</v>
      </c>
      <c r="Q5067" s="5">
        <v>8122</v>
      </c>
      <c r="R5067" s="5">
        <v>50869</v>
      </c>
    </row>
    <row r="5068" spans="1:18" x14ac:dyDescent="0.25">
      <c r="A5068" t="s">
        <v>501</v>
      </c>
      <c r="B5068" t="s">
        <v>494</v>
      </c>
      <c r="C5068">
        <v>96722400</v>
      </c>
      <c r="D5068">
        <v>141</v>
      </c>
      <c r="E5068">
        <v>30864368</v>
      </c>
      <c r="F5068" t="s">
        <v>1732</v>
      </c>
      <c r="G5068" s="1">
        <v>45238</v>
      </c>
      <c r="H5068">
        <v>5415442</v>
      </c>
      <c r="I5068">
        <v>23</v>
      </c>
      <c r="J5068" t="s">
        <v>174</v>
      </c>
      <c r="K5068" t="str">
        <f>IFERROR(IF(AND(VLOOKUP($C5068,Hes!$A:$B, 1, FALSE), $M5068&lt;&gt;" "), "Ingresada", "Falta Ingresar"), " ")</f>
        <v xml:space="preserve"> </v>
      </c>
      <c r="L5068" s="4" t="str">
        <f>IFERROR(VLOOKUP($C5068,Observaciones!$A:$B,2,FALSE)," ")</f>
        <v xml:space="preserve"> </v>
      </c>
      <c r="M5068" t="s">
        <v>681</v>
      </c>
      <c r="O5068" s="5">
        <v>30864368</v>
      </c>
      <c r="P5068" s="5">
        <v>95968</v>
      </c>
      <c r="Q5068" s="5">
        <v>18234</v>
      </c>
      <c r="R5068" s="5">
        <v>114202</v>
      </c>
    </row>
    <row r="5069" spans="1:18" x14ac:dyDescent="0.25">
      <c r="A5069" t="s">
        <v>501</v>
      </c>
      <c r="B5069" t="s">
        <v>494</v>
      </c>
      <c r="C5069">
        <v>96722400</v>
      </c>
      <c r="D5069">
        <v>104</v>
      </c>
      <c r="E5069">
        <v>30865510</v>
      </c>
      <c r="F5069" t="s">
        <v>1732</v>
      </c>
      <c r="G5069" s="1">
        <v>45238</v>
      </c>
      <c r="H5069">
        <v>5415554</v>
      </c>
      <c r="I5069">
        <v>23</v>
      </c>
      <c r="J5069" t="s">
        <v>174</v>
      </c>
      <c r="K5069" t="str">
        <f>IFERROR(IF(AND(VLOOKUP($C5069,Hes!$A:$B, 1, FALSE), $M5069&lt;&gt;" "), "Ingresada", "Falta Ingresar"), " ")</f>
        <v xml:space="preserve"> </v>
      </c>
      <c r="L5069" s="4" t="str">
        <f>IFERROR(VLOOKUP($C5069,Observaciones!$A:$B,2,FALSE)," ")</f>
        <v xml:space="preserve"> </v>
      </c>
      <c r="M5069" t="s">
        <v>681</v>
      </c>
      <c r="O5069" s="5">
        <v>30865510</v>
      </c>
      <c r="P5069" s="5">
        <v>41513</v>
      </c>
      <c r="Q5069" s="5">
        <v>7887</v>
      </c>
      <c r="R5069" s="5">
        <v>49400</v>
      </c>
    </row>
    <row r="5070" spans="1:18" x14ac:dyDescent="0.25">
      <c r="A5070" t="s">
        <v>501</v>
      </c>
      <c r="B5070" t="s">
        <v>494</v>
      </c>
      <c r="C5070">
        <v>96722400</v>
      </c>
      <c r="D5070">
        <v>104</v>
      </c>
      <c r="E5070">
        <v>30865510</v>
      </c>
      <c r="F5070" t="s">
        <v>1732</v>
      </c>
      <c r="G5070" s="1">
        <v>45238</v>
      </c>
      <c r="H5070">
        <v>5415555</v>
      </c>
      <c r="I5070">
        <v>23</v>
      </c>
      <c r="J5070" t="s">
        <v>174</v>
      </c>
      <c r="K5070" t="str">
        <f>IFERROR(IF(AND(VLOOKUP($C5070,Hes!$A:$B, 1, FALSE), $M5070&lt;&gt;" "), "Ingresada", "Falta Ingresar"), " ")</f>
        <v xml:space="preserve"> </v>
      </c>
      <c r="L5070" s="4" t="str">
        <f>IFERROR(VLOOKUP($C5070,Observaciones!$A:$B,2,FALSE)," ")</f>
        <v xml:space="preserve"> </v>
      </c>
      <c r="M5070" t="s">
        <v>681</v>
      </c>
      <c r="O5070" s="5">
        <v>30865510</v>
      </c>
      <c r="P5070" s="5">
        <v>75618</v>
      </c>
      <c r="Q5070" s="5">
        <v>14367</v>
      </c>
      <c r="R5070" s="5">
        <v>89985</v>
      </c>
    </row>
    <row r="5071" spans="1:18" x14ac:dyDescent="0.25">
      <c r="A5071" t="s">
        <v>501</v>
      </c>
      <c r="B5071" t="s">
        <v>494</v>
      </c>
      <c r="C5071">
        <v>96722400</v>
      </c>
      <c r="D5071">
        <v>126</v>
      </c>
      <c r="E5071">
        <v>30862549</v>
      </c>
      <c r="F5071" t="s">
        <v>1732</v>
      </c>
      <c r="G5071" s="1">
        <v>45238</v>
      </c>
      <c r="H5071">
        <v>5415588</v>
      </c>
      <c r="I5071">
        <v>23</v>
      </c>
      <c r="J5071" t="s">
        <v>174</v>
      </c>
      <c r="K5071" t="str">
        <f>IFERROR(IF(AND(VLOOKUP($C5071,Hes!$A:$B, 1, FALSE), $M5071&lt;&gt;" "), "Ingresada", "Falta Ingresar"), " ")</f>
        <v xml:space="preserve"> </v>
      </c>
      <c r="L5071" s="4" t="str">
        <f>IFERROR(VLOOKUP($C5071,Observaciones!$A:$B,2,FALSE)," ")</f>
        <v xml:space="preserve"> </v>
      </c>
      <c r="M5071" t="s">
        <v>681</v>
      </c>
      <c r="O5071" s="5">
        <v>30862549</v>
      </c>
      <c r="P5071" s="5">
        <v>44017</v>
      </c>
      <c r="Q5071" s="5">
        <v>8363</v>
      </c>
      <c r="R5071" s="5">
        <v>52380</v>
      </c>
    </row>
    <row r="5072" spans="1:18" x14ac:dyDescent="0.25">
      <c r="A5072" t="s">
        <v>501</v>
      </c>
      <c r="B5072" t="s">
        <v>494</v>
      </c>
      <c r="C5072">
        <v>96722400</v>
      </c>
      <c r="D5072">
        <v>68</v>
      </c>
      <c r="E5072">
        <v>30861554</v>
      </c>
      <c r="F5072" t="s">
        <v>1732</v>
      </c>
      <c r="G5072" s="1">
        <v>45238</v>
      </c>
      <c r="H5072">
        <v>5415659</v>
      </c>
      <c r="I5072">
        <v>23</v>
      </c>
      <c r="J5072" t="s">
        <v>174</v>
      </c>
      <c r="K5072" t="str">
        <f>IFERROR(IF(AND(VLOOKUP($C5072,Hes!$A:$B, 1, FALSE), $M5072&lt;&gt;" "), "Ingresada", "Falta Ingresar"), " ")</f>
        <v xml:space="preserve"> </v>
      </c>
      <c r="L5072" s="4" t="str">
        <f>IFERROR(VLOOKUP($C5072,Observaciones!$A:$B,2,FALSE)," ")</f>
        <v xml:space="preserve"> </v>
      </c>
      <c r="M5072" t="s">
        <v>681</v>
      </c>
      <c r="O5072" s="5">
        <v>30861554</v>
      </c>
      <c r="P5072" s="5">
        <v>96792</v>
      </c>
      <c r="Q5072" s="5">
        <v>18390</v>
      </c>
      <c r="R5072" s="5">
        <v>115182</v>
      </c>
    </row>
    <row r="5073" spans="1:18" x14ac:dyDescent="0.25">
      <c r="A5073" t="s">
        <v>501</v>
      </c>
      <c r="B5073" t="s">
        <v>494</v>
      </c>
      <c r="C5073">
        <v>96722400</v>
      </c>
      <c r="D5073">
        <v>60</v>
      </c>
      <c r="E5073">
        <v>30864937</v>
      </c>
      <c r="F5073" t="s">
        <v>1732</v>
      </c>
      <c r="G5073" s="1">
        <v>45238</v>
      </c>
      <c r="H5073">
        <v>5415685</v>
      </c>
      <c r="I5073">
        <v>23</v>
      </c>
      <c r="J5073" t="s">
        <v>174</v>
      </c>
      <c r="K5073" t="str">
        <f>IFERROR(IF(AND(VLOOKUP($C5073,Hes!$A:$B, 1, FALSE), $M5073&lt;&gt;" "), "Ingresada", "Falta Ingresar"), " ")</f>
        <v xml:space="preserve"> </v>
      </c>
      <c r="L5073" s="4" t="str">
        <f>IFERROR(VLOOKUP($C5073,Observaciones!$A:$B,2,FALSE)," ")</f>
        <v xml:space="preserve"> </v>
      </c>
      <c r="M5073" t="s">
        <v>681</v>
      </c>
      <c r="O5073" s="5">
        <v>30864937</v>
      </c>
      <c r="P5073" s="5">
        <v>94456</v>
      </c>
      <c r="Q5073" s="5">
        <v>17947</v>
      </c>
      <c r="R5073" s="5">
        <v>112403</v>
      </c>
    </row>
    <row r="5074" spans="1:18" x14ac:dyDescent="0.25">
      <c r="A5074" t="s">
        <v>501</v>
      </c>
      <c r="B5074" t="s">
        <v>494</v>
      </c>
      <c r="C5074">
        <v>96722400</v>
      </c>
      <c r="D5074">
        <v>89</v>
      </c>
      <c r="E5074">
        <v>30864134</v>
      </c>
      <c r="F5074" t="s">
        <v>1732</v>
      </c>
      <c r="G5074" s="1">
        <v>45238</v>
      </c>
      <c r="H5074">
        <v>5415715</v>
      </c>
      <c r="I5074">
        <v>23</v>
      </c>
      <c r="J5074" t="s">
        <v>174</v>
      </c>
      <c r="K5074" t="str">
        <f>IFERROR(IF(AND(VLOOKUP($C5074,Hes!$A:$B, 1, FALSE), $M5074&lt;&gt;" "), "Ingresada", "Falta Ingresar"), " ")</f>
        <v xml:space="preserve"> </v>
      </c>
      <c r="L5074" s="4" t="str">
        <f>IFERROR(VLOOKUP($C5074,Observaciones!$A:$B,2,FALSE)," ")</f>
        <v xml:space="preserve"> </v>
      </c>
      <c r="M5074" t="s">
        <v>681</v>
      </c>
      <c r="O5074" s="5">
        <v>30864134</v>
      </c>
      <c r="P5074" s="5">
        <v>43218</v>
      </c>
      <c r="Q5074" s="5">
        <v>8211</v>
      </c>
      <c r="R5074" s="5">
        <v>51429</v>
      </c>
    </row>
    <row r="5075" spans="1:18" x14ac:dyDescent="0.25">
      <c r="A5075" t="s">
        <v>501</v>
      </c>
      <c r="B5075" t="s">
        <v>494</v>
      </c>
      <c r="C5075">
        <v>96722400</v>
      </c>
      <c r="D5075">
        <v>166</v>
      </c>
      <c r="E5075">
        <v>30864064</v>
      </c>
      <c r="F5075" t="s">
        <v>1732</v>
      </c>
      <c r="G5075" s="1">
        <v>45238</v>
      </c>
      <c r="H5075">
        <v>5415719</v>
      </c>
      <c r="I5075">
        <v>23</v>
      </c>
      <c r="J5075" t="s">
        <v>174</v>
      </c>
      <c r="K5075" t="str">
        <f>IFERROR(IF(AND(VLOOKUP($C5075,Hes!$A:$B, 1, FALSE), $M5075&lt;&gt;" "), "Ingresada", "Falta Ingresar"), " ")</f>
        <v xml:space="preserve"> </v>
      </c>
      <c r="L5075" s="4" t="str">
        <f>IFERROR(VLOOKUP($C5075,Observaciones!$A:$B,2,FALSE)," ")</f>
        <v xml:space="preserve"> </v>
      </c>
      <c r="M5075" t="s">
        <v>681</v>
      </c>
      <c r="O5075" s="5">
        <v>30864064</v>
      </c>
      <c r="P5075" s="5">
        <v>113877</v>
      </c>
      <c r="Q5075" s="5">
        <v>21637</v>
      </c>
      <c r="R5075" s="5">
        <v>135514</v>
      </c>
    </row>
    <row r="5076" spans="1:18" x14ac:dyDescent="0.25">
      <c r="F5076" t="s">
        <v>689</v>
      </c>
      <c r="K5076" t="str">
        <f>IFERROR(IF(AND(VLOOKUP($C5076,Hes!$A:$B, 1, FALSE), $M5076&lt;&gt;" "), "Ingresada", "Falta Ingresar"), " ")</f>
        <v xml:space="preserve"> </v>
      </c>
      <c r="L5076" s="4" t="str">
        <f>IFERROR(VLOOKUP($C5076,Observaciones!$A:$B,2,FALSE)," ")</f>
        <v xml:space="preserve"> </v>
      </c>
      <c r="M5076" t="s">
        <v>681</v>
      </c>
      <c r="P5076" s="5">
        <v>1894981</v>
      </c>
      <c r="Q5076" s="5">
        <v>360045</v>
      </c>
      <c r="R5076" s="5">
        <v>2255026</v>
      </c>
    </row>
    <row r="5077" spans="1:18" x14ac:dyDescent="0.25">
      <c r="A5077" t="s">
        <v>512</v>
      </c>
      <c r="B5077" t="s">
        <v>494</v>
      </c>
      <c r="C5077">
        <v>96723760</v>
      </c>
      <c r="D5077">
        <v>1</v>
      </c>
      <c r="E5077">
        <v>691688</v>
      </c>
      <c r="F5077" t="s">
        <v>1733</v>
      </c>
      <c r="G5077" s="1">
        <v>45236</v>
      </c>
      <c r="H5077">
        <v>5412453</v>
      </c>
      <c r="I5077">
        <v>439</v>
      </c>
      <c r="J5077" t="s">
        <v>340</v>
      </c>
      <c r="K5077" t="str">
        <f>IFERROR(IF(AND(VLOOKUP($C5077,Hes!$A:$B, 1, FALSE), $M5077&lt;&gt;" "), "Ingresada", "Falta Ingresar"), " ")</f>
        <v xml:space="preserve"> </v>
      </c>
      <c r="L5077" s="4" t="str">
        <f>IFERROR(VLOOKUP($C5077,Observaciones!$A:$B,2,FALSE)," ")</f>
        <v xml:space="preserve"> </v>
      </c>
      <c r="M5077" t="s">
        <v>681</v>
      </c>
      <c r="O5077" s="5">
        <v>30852228</v>
      </c>
      <c r="P5077" s="5">
        <v>52924</v>
      </c>
      <c r="Q5077" s="5">
        <v>10056</v>
      </c>
      <c r="R5077" s="5">
        <v>62980</v>
      </c>
    </row>
    <row r="5078" spans="1:18" x14ac:dyDescent="0.25">
      <c r="A5078" t="s">
        <v>512</v>
      </c>
      <c r="B5078" t="s">
        <v>494</v>
      </c>
      <c r="C5078">
        <v>96723760</v>
      </c>
      <c r="D5078">
        <v>21</v>
      </c>
      <c r="E5078">
        <v>30856985</v>
      </c>
      <c r="F5078" t="s">
        <v>1733</v>
      </c>
      <c r="G5078" s="1">
        <v>45236</v>
      </c>
      <c r="H5078">
        <v>5413368</v>
      </c>
      <c r="I5078">
        <v>439</v>
      </c>
      <c r="J5078" t="s">
        <v>340</v>
      </c>
      <c r="K5078" t="str">
        <f>IFERROR(IF(AND(VLOOKUP($C5078,Hes!$A:$B, 1, FALSE), $M5078&lt;&gt;" "), "Ingresada", "Falta Ingresar"), " ")</f>
        <v xml:space="preserve"> </v>
      </c>
      <c r="L5078" s="4" t="str">
        <f>IFERROR(VLOOKUP($C5078,Observaciones!$A:$B,2,FALSE)," ")</f>
        <v xml:space="preserve"> </v>
      </c>
      <c r="M5078" t="s">
        <v>681</v>
      </c>
      <c r="O5078" s="5">
        <v>30856985</v>
      </c>
      <c r="P5078" s="5">
        <v>26850</v>
      </c>
      <c r="Q5078" s="5">
        <v>5102</v>
      </c>
      <c r="R5078" s="5">
        <v>31952</v>
      </c>
    </row>
    <row r="5079" spans="1:18" x14ac:dyDescent="0.25">
      <c r="A5079" t="s">
        <v>512</v>
      </c>
      <c r="B5079" t="s">
        <v>494</v>
      </c>
      <c r="C5079">
        <v>96723760</v>
      </c>
      <c r="D5079">
        <v>1</v>
      </c>
      <c r="E5079">
        <v>30858058</v>
      </c>
      <c r="F5079" t="s">
        <v>1733</v>
      </c>
      <c r="G5079" s="1">
        <v>45236</v>
      </c>
      <c r="H5079">
        <v>5413860</v>
      </c>
      <c r="I5079">
        <v>439</v>
      </c>
      <c r="J5079" t="s">
        <v>340</v>
      </c>
      <c r="K5079" t="str">
        <f>IFERROR(IF(AND(VLOOKUP($C5079,Hes!$A:$B, 1, FALSE), $M5079&lt;&gt;" "), "Ingresada", "Falta Ingresar"), " ")</f>
        <v xml:space="preserve"> </v>
      </c>
      <c r="L5079" s="4" t="str">
        <f>IFERROR(VLOOKUP($C5079,Observaciones!$A:$B,2,FALSE)," ")</f>
        <v xml:space="preserve"> </v>
      </c>
      <c r="M5079" t="s">
        <v>681</v>
      </c>
      <c r="O5079" s="5">
        <v>30858058</v>
      </c>
      <c r="P5079" s="5">
        <v>135923</v>
      </c>
      <c r="Q5079" s="5">
        <v>25825</v>
      </c>
      <c r="R5079" s="5">
        <v>161748</v>
      </c>
    </row>
    <row r="5080" spans="1:18" x14ac:dyDescent="0.25">
      <c r="A5080" t="s">
        <v>512</v>
      </c>
      <c r="B5080" t="s">
        <v>494</v>
      </c>
      <c r="C5080">
        <v>96723760</v>
      </c>
      <c r="D5080">
        <v>1</v>
      </c>
      <c r="E5080">
        <v>30858058</v>
      </c>
      <c r="F5080" t="s">
        <v>1733</v>
      </c>
      <c r="G5080" s="1">
        <v>45236</v>
      </c>
      <c r="H5080">
        <v>5413861</v>
      </c>
      <c r="I5080">
        <v>439</v>
      </c>
      <c r="J5080" t="s">
        <v>340</v>
      </c>
      <c r="K5080" t="str">
        <f>IFERROR(IF(AND(VLOOKUP($C5080,Hes!$A:$B, 1, FALSE), $M5080&lt;&gt;" "), "Ingresada", "Falta Ingresar"), " ")</f>
        <v xml:space="preserve"> </v>
      </c>
      <c r="L5080" s="4" t="str">
        <f>IFERROR(VLOOKUP($C5080,Observaciones!$A:$B,2,FALSE)," ")</f>
        <v xml:space="preserve"> </v>
      </c>
      <c r="M5080" t="s">
        <v>681</v>
      </c>
      <c r="O5080" s="5">
        <v>30858058</v>
      </c>
      <c r="P5080" s="5">
        <v>284288</v>
      </c>
      <c r="Q5080" s="5">
        <v>54015</v>
      </c>
      <c r="R5080" s="5">
        <v>338303</v>
      </c>
    </row>
    <row r="5081" spans="1:18" x14ac:dyDescent="0.25">
      <c r="A5081" t="s">
        <v>512</v>
      </c>
      <c r="B5081" t="s">
        <v>494</v>
      </c>
      <c r="C5081">
        <v>96723760</v>
      </c>
      <c r="D5081">
        <v>2</v>
      </c>
      <c r="E5081">
        <v>30856708</v>
      </c>
      <c r="F5081" t="s">
        <v>1733</v>
      </c>
      <c r="G5081" s="1">
        <v>45236</v>
      </c>
      <c r="H5081">
        <v>5413891</v>
      </c>
      <c r="I5081">
        <v>439</v>
      </c>
      <c r="J5081" t="s">
        <v>340</v>
      </c>
      <c r="K5081" t="str">
        <f>IFERROR(IF(AND(VLOOKUP($C5081,Hes!$A:$B, 1, FALSE), $M5081&lt;&gt;" "), "Ingresada", "Falta Ingresar"), " ")</f>
        <v xml:space="preserve"> </v>
      </c>
      <c r="L5081" s="4" t="str">
        <f>IFERROR(VLOOKUP($C5081,Observaciones!$A:$B,2,FALSE)," ")</f>
        <v xml:space="preserve"> </v>
      </c>
      <c r="M5081" t="s">
        <v>681</v>
      </c>
      <c r="O5081" s="5">
        <v>30856708</v>
      </c>
      <c r="P5081" s="5">
        <v>315745</v>
      </c>
      <c r="Q5081" s="5">
        <v>59992</v>
      </c>
      <c r="R5081" s="5">
        <v>375737</v>
      </c>
    </row>
    <row r="5082" spans="1:18" x14ac:dyDescent="0.25">
      <c r="A5082" t="s">
        <v>512</v>
      </c>
      <c r="B5082" t="s">
        <v>494</v>
      </c>
      <c r="C5082">
        <v>96723760</v>
      </c>
      <c r="D5082">
        <v>2</v>
      </c>
      <c r="E5082">
        <v>30856708</v>
      </c>
      <c r="F5082" t="s">
        <v>1733</v>
      </c>
      <c r="G5082" s="1">
        <v>45236</v>
      </c>
      <c r="H5082">
        <v>5413892</v>
      </c>
      <c r="I5082">
        <v>439</v>
      </c>
      <c r="J5082" t="s">
        <v>340</v>
      </c>
      <c r="K5082" t="str">
        <f>IFERROR(IF(AND(VLOOKUP($C5082,Hes!$A:$B, 1, FALSE), $M5082&lt;&gt;" "), "Ingresada", "Falta Ingresar"), " ")</f>
        <v xml:space="preserve"> </v>
      </c>
      <c r="L5082" s="4" t="str">
        <f>IFERROR(VLOOKUP($C5082,Observaciones!$A:$B,2,FALSE)," ")</f>
        <v xml:space="preserve"> </v>
      </c>
      <c r="M5082" t="s">
        <v>681</v>
      </c>
      <c r="O5082" s="5">
        <v>30856708</v>
      </c>
      <c r="P5082" s="5">
        <v>202661</v>
      </c>
      <c r="Q5082" s="5">
        <v>38506</v>
      </c>
      <c r="R5082" s="5">
        <v>241167</v>
      </c>
    </row>
    <row r="5083" spans="1:18" x14ac:dyDescent="0.25">
      <c r="A5083" t="s">
        <v>512</v>
      </c>
      <c r="B5083" t="s">
        <v>494</v>
      </c>
      <c r="C5083">
        <v>96723760</v>
      </c>
      <c r="D5083">
        <v>4</v>
      </c>
      <c r="E5083">
        <v>30860052</v>
      </c>
      <c r="F5083" t="s">
        <v>1733</v>
      </c>
      <c r="G5083" s="1">
        <v>45238</v>
      </c>
      <c r="H5083">
        <v>5414923</v>
      </c>
      <c r="I5083">
        <v>439</v>
      </c>
      <c r="J5083" t="s">
        <v>340</v>
      </c>
      <c r="K5083" t="str">
        <f>IFERROR(IF(AND(VLOOKUP($C5083,Hes!$A:$B, 1, FALSE), $M5083&lt;&gt;" "), "Ingresada", "Falta Ingresar"), " ")</f>
        <v xml:space="preserve"> </v>
      </c>
      <c r="L5083" s="4" t="str">
        <f>IFERROR(VLOOKUP($C5083,Observaciones!$A:$B,2,FALSE)," ")</f>
        <v xml:space="preserve"> </v>
      </c>
      <c r="M5083" t="s">
        <v>681</v>
      </c>
      <c r="O5083" s="5">
        <v>30860052</v>
      </c>
      <c r="P5083" s="5">
        <v>90669</v>
      </c>
      <c r="Q5083" s="5">
        <v>17227</v>
      </c>
      <c r="R5083" s="5">
        <v>107896</v>
      </c>
    </row>
    <row r="5084" spans="1:18" x14ac:dyDescent="0.25">
      <c r="F5084" t="s">
        <v>537</v>
      </c>
      <c r="K5084" t="str">
        <f>IFERROR(IF(AND(VLOOKUP($C5084,Hes!$A:$B, 1, FALSE), $M5084&lt;&gt;" "), "Ingresada", "Falta Ingresar"), " ")</f>
        <v xml:space="preserve"> </v>
      </c>
      <c r="L5084" s="4" t="str">
        <f>IFERROR(VLOOKUP($C5084,Observaciones!$A:$B,2,FALSE)," ")</f>
        <v xml:space="preserve"> </v>
      </c>
      <c r="M5084" t="s">
        <v>681</v>
      </c>
      <c r="P5084" s="5">
        <v>1109060</v>
      </c>
      <c r="Q5084" s="5">
        <v>210723</v>
      </c>
      <c r="R5084" s="5">
        <v>1319783</v>
      </c>
    </row>
    <row r="5085" spans="1:18" x14ac:dyDescent="0.25">
      <c r="A5085" t="s">
        <v>496</v>
      </c>
      <c r="B5085" t="s">
        <v>494</v>
      </c>
      <c r="C5085">
        <v>96726480</v>
      </c>
      <c r="D5085">
        <v>5</v>
      </c>
      <c r="E5085">
        <v>30861319</v>
      </c>
      <c r="F5085" t="s">
        <v>1734</v>
      </c>
      <c r="G5085" s="1">
        <v>45238</v>
      </c>
      <c r="H5085">
        <v>5414616</v>
      </c>
      <c r="I5085">
        <v>446</v>
      </c>
      <c r="J5085" t="s">
        <v>342</v>
      </c>
      <c r="K5085" t="str">
        <f>IFERROR(IF(AND(VLOOKUP($C5085,Hes!$A:$B, 1, FALSE), $M5085&lt;&gt;" "), "Ingresada", "Falta Ingresar"), " ")</f>
        <v xml:space="preserve"> </v>
      </c>
      <c r="L5085" s="4" t="str">
        <f>IFERROR(VLOOKUP($C5085,Observaciones!$A:$B,2,FALSE)," ")</f>
        <v>XOC Y CC</v>
      </c>
      <c r="M5085" t="s">
        <v>681</v>
      </c>
      <c r="O5085" s="5">
        <v>30861319</v>
      </c>
      <c r="P5085" s="5">
        <v>28846</v>
      </c>
      <c r="Q5085" s="5">
        <v>5481</v>
      </c>
      <c r="R5085" s="5">
        <v>34327</v>
      </c>
    </row>
    <row r="5086" spans="1:18" x14ac:dyDescent="0.25">
      <c r="F5086" t="s">
        <v>495</v>
      </c>
      <c r="K5086" t="str">
        <f>IFERROR(IF(AND(VLOOKUP($C5086,Hes!$A:$B, 1, FALSE), $M5086&lt;&gt;" "), "Ingresada", "Falta Ingresar"), " ")</f>
        <v xml:space="preserve"> </v>
      </c>
      <c r="L5086" s="4" t="str">
        <f>IFERROR(VLOOKUP($C5086,Observaciones!$A:$B,2,FALSE)," ")</f>
        <v xml:space="preserve"> </v>
      </c>
      <c r="M5086" t="s">
        <v>681</v>
      </c>
      <c r="P5086" s="5">
        <v>28846</v>
      </c>
      <c r="Q5086" s="5">
        <v>5481</v>
      </c>
      <c r="R5086" s="5">
        <v>34327</v>
      </c>
    </row>
    <row r="5087" spans="1:18" x14ac:dyDescent="0.25">
      <c r="A5087" t="s">
        <v>503</v>
      </c>
      <c r="B5087" t="s">
        <v>494</v>
      </c>
      <c r="C5087">
        <v>96731890</v>
      </c>
      <c r="D5087">
        <v>9</v>
      </c>
      <c r="E5087">
        <v>30850518</v>
      </c>
      <c r="F5087" t="s">
        <v>1735</v>
      </c>
      <c r="G5087" s="1">
        <v>45236</v>
      </c>
      <c r="H5087">
        <v>5411932</v>
      </c>
      <c r="I5087">
        <v>63</v>
      </c>
      <c r="J5087" t="s">
        <v>170</v>
      </c>
      <c r="K5087" s="8" t="str">
        <f>IFERROR(IF(AND(VLOOKUP($C5087,Hes!$A:$B, 1, FALSE), $M5087&lt;&gt;" "), "Ingresada", "Falta Ingresar"), " ")</f>
        <v>Falta Ingresar</v>
      </c>
      <c r="L5087" s="4" t="str">
        <f>IFERROR(VLOOKUP($C5087,Observaciones!$A:$B,2,FALSE)," ")</f>
        <v>FACTURAR CON LAS OC QUE ENVIA VENDEDOR</v>
      </c>
      <c r="M5087" t="s">
        <v>681</v>
      </c>
      <c r="O5087" s="5">
        <v>30850518</v>
      </c>
      <c r="P5087" s="5">
        <v>23410</v>
      </c>
      <c r="Q5087" s="5">
        <v>4448</v>
      </c>
      <c r="R5087" s="5">
        <v>27858</v>
      </c>
    </row>
    <row r="5088" spans="1:18" x14ac:dyDescent="0.25">
      <c r="A5088" t="s">
        <v>503</v>
      </c>
      <c r="B5088" t="s">
        <v>494</v>
      </c>
      <c r="C5088">
        <v>96731890</v>
      </c>
      <c r="D5088">
        <v>9</v>
      </c>
      <c r="E5088">
        <v>30850553</v>
      </c>
      <c r="F5088" t="s">
        <v>1735</v>
      </c>
      <c r="G5088" s="1">
        <v>45236</v>
      </c>
      <c r="H5088">
        <v>5411934</v>
      </c>
      <c r="I5088">
        <v>63</v>
      </c>
      <c r="J5088" t="s">
        <v>170</v>
      </c>
      <c r="K5088" s="8" t="str">
        <f>IFERROR(IF(AND(VLOOKUP($C5088,Hes!$A:$B, 1, FALSE), $M5088&lt;&gt;" "), "Ingresada", "Falta Ingresar"), " ")</f>
        <v>Falta Ingresar</v>
      </c>
      <c r="L5088" s="4" t="str">
        <f>IFERROR(VLOOKUP($C5088,Observaciones!$A:$B,2,FALSE)," ")</f>
        <v>FACTURAR CON LAS OC QUE ENVIA VENDEDOR</v>
      </c>
      <c r="M5088" t="s">
        <v>681</v>
      </c>
      <c r="O5088" s="5">
        <v>30850553</v>
      </c>
      <c r="P5088" s="5">
        <v>81930</v>
      </c>
      <c r="Q5088" s="5">
        <v>15567</v>
      </c>
      <c r="R5088" s="5">
        <v>97497</v>
      </c>
    </row>
    <row r="5089" spans="1:18" x14ac:dyDescent="0.25">
      <c r="A5089" t="s">
        <v>503</v>
      </c>
      <c r="B5089" t="s">
        <v>494</v>
      </c>
      <c r="C5089">
        <v>96731890</v>
      </c>
      <c r="D5089">
        <v>27</v>
      </c>
      <c r="E5089">
        <v>30850393</v>
      </c>
      <c r="F5089" t="s">
        <v>1735</v>
      </c>
      <c r="G5089" s="1">
        <v>45236</v>
      </c>
      <c r="H5089">
        <v>5411939</v>
      </c>
      <c r="I5089">
        <v>63</v>
      </c>
      <c r="J5089" t="s">
        <v>170</v>
      </c>
      <c r="K5089" s="8" t="str">
        <f>IFERROR(IF(AND(VLOOKUP($C5089,Hes!$A:$B, 1, FALSE), $M5089&lt;&gt;" "), "Ingresada", "Falta Ingresar"), " ")</f>
        <v>Falta Ingresar</v>
      </c>
      <c r="L5089" s="4" t="str">
        <f>IFERROR(VLOOKUP($C5089,Observaciones!$A:$B,2,FALSE)," ")</f>
        <v>FACTURAR CON LAS OC QUE ENVIA VENDEDOR</v>
      </c>
      <c r="M5089" t="s">
        <v>681</v>
      </c>
      <c r="O5089" s="5">
        <v>30850393</v>
      </c>
      <c r="P5089" s="5">
        <v>141840</v>
      </c>
      <c r="Q5089" s="5">
        <v>26950</v>
      </c>
      <c r="R5089" s="5">
        <v>168790</v>
      </c>
    </row>
    <row r="5090" spans="1:18" x14ac:dyDescent="0.25">
      <c r="A5090" t="s">
        <v>503</v>
      </c>
      <c r="B5090" t="s">
        <v>494</v>
      </c>
      <c r="C5090">
        <v>96731890</v>
      </c>
      <c r="D5090">
        <v>11</v>
      </c>
      <c r="E5090">
        <v>30850389</v>
      </c>
      <c r="F5090" t="s">
        <v>1735</v>
      </c>
      <c r="G5090" s="1">
        <v>45236</v>
      </c>
      <c r="H5090">
        <v>5412086</v>
      </c>
      <c r="I5090">
        <v>63</v>
      </c>
      <c r="J5090" t="s">
        <v>170</v>
      </c>
      <c r="K5090" s="8" t="str">
        <f>IFERROR(IF(AND(VLOOKUP($C5090,Hes!$A:$B, 1, FALSE), $M5090&lt;&gt;" "), "Ingresada", "Falta Ingresar"), " ")</f>
        <v>Falta Ingresar</v>
      </c>
      <c r="L5090" s="4" t="str">
        <f>IFERROR(VLOOKUP($C5090,Observaciones!$A:$B,2,FALSE)," ")</f>
        <v>FACTURAR CON LAS OC QUE ENVIA VENDEDOR</v>
      </c>
      <c r="M5090" t="s">
        <v>681</v>
      </c>
      <c r="O5090" s="5">
        <v>30850389</v>
      </c>
      <c r="P5090" s="5">
        <v>2490614</v>
      </c>
      <c r="Q5090" s="5">
        <v>473217</v>
      </c>
      <c r="R5090" s="5">
        <v>2963831</v>
      </c>
    </row>
    <row r="5091" spans="1:18" x14ac:dyDescent="0.25">
      <c r="A5091" t="s">
        <v>503</v>
      </c>
      <c r="B5091" t="s">
        <v>494</v>
      </c>
      <c r="C5091">
        <v>96731890</v>
      </c>
      <c r="D5091">
        <v>19</v>
      </c>
      <c r="E5091">
        <v>30850371</v>
      </c>
      <c r="F5091" t="s">
        <v>1735</v>
      </c>
      <c r="G5091" s="1">
        <v>45236</v>
      </c>
      <c r="H5091">
        <v>5412242</v>
      </c>
      <c r="I5091">
        <v>63</v>
      </c>
      <c r="J5091" t="s">
        <v>170</v>
      </c>
      <c r="K5091" s="8" t="str">
        <f>IFERROR(IF(AND(VLOOKUP($C5091,Hes!$A:$B, 1, FALSE), $M5091&lt;&gt;" "), "Ingresada", "Falta Ingresar"), " ")</f>
        <v>Falta Ingresar</v>
      </c>
      <c r="L5091" s="4" t="str">
        <f>IFERROR(VLOOKUP($C5091,Observaciones!$A:$B,2,FALSE)," ")</f>
        <v>FACTURAR CON LAS OC QUE ENVIA VENDEDOR</v>
      </c>
      <c r="M5091" t="s">
        <v>681</v>
      </c>
      <c r="O5091" s="5">
        <v>30850371</v>
      </c>
      <c r="P5091" s="5">
        <v>125353</v>
      </c>
      <c r="Q5091" s="5">
        <v>23817</v>
      </c>
      <c r="R5091" s="5">
        <v>149170</v>
      </c>
    </row>
    <row r="5092" spans="1:18" x14ac:dyDescent="0.25">
      <c r="A5092" t="s">
        <v>503</v>
      </c>
      <c r="B5092" t="s">
        <v>494</v>
      </c>
      <c r="C5092">
        <v>96731890</v>
      </c>
      <c r="D5092">
        <v>11</v>
      </c>
      <c r="E5092">
        <v>30850387</v>
      </c>
      <c r="F5092" t="s">
        <v>1735</v>
      </c>
      <c r="G5092" s="1">
        <v>45236</v>
      </c>
      <c r="H5092">
        <v>5412263</v>
      </c>
      <c r="I5092">
        <v>63</v>
      </c>
      <c r="J5092" t="s">
        <v>170</v>
      </c>
      <c r="K5092" s="8" t="str">
        <f>IFERROR(IF(AND(VLOOKUP($C5092,Hes!$A:$B, 1, FALSE), $M5092&lt;&gt;" "), "Ingresada", "Falta Ingresar"), " ")</f>
        <v>Falta Ingresar</v>
      </c>
      <c r="L5092" s="4" t="str">
        <f>IFERROR(VLOOKUP($C5092,Observaciones!$A:$B,2,FALSE)," ")</f>
        <v>FACTURAR CON LAS OC QUE ENVIA VENDEDOR</v>
      </c>
      <c r="M5092" t="s">
        <v>681</v>
      </c>
      <c r="O5092" s="5">
        <v>30850387</v>
      </c>
      <c r="P5092" s="5">
        <v>957386</v>
      </c>
      <c r="Q5092" s="5">
        <v>181903</v>
      </c>
      <c r="R5092" s="5">
        <v>1139289</v>
      </c>
    </row>
    <row r="5093" spans="1:18" x14ac:dyDescent="0.25">
      <c r="A5093" t="s">
        <v>503</v>
      </c>
      <c r="B5093" t="s">
        <v>494</v>
      </c>
      <c r="C5093">
        <v>96731890</v>
      </c>
      <c r="D5093">
        <v>8</v>
      </c>
      <c r="E5093">
        <v>30854058</v>
      </c>
      <c r="F5093" t="s">
        <v>1735</v>
      </c>
      <c r="G5093" s="1">
        <v>45236</v>
      </c>
      <c r="H5093">
        <v>5412309</v>
      </c>
      <c r="I5093">
        <v>63</v>
      </c>
      <c r="J5093" t="s">
        <v>170</v>
      </c>
      <c r="K5093" s="8" t="str">
        <f>IFERROR(IF(AND(VLOOKUP($C5093,Hes!$A:$B, 1, FALSE), $M5093&lt;&gt;" "), "Ingresada", "Falta Ingresar"), " ")</f>
        <v>Falta Ingresar</v>
      </c>
      <c r="L5093" s="4" t="str">
        <f>IFERROR(VLOOKUP($C5093,Observaciones!$A:$B,2,FALSE)," ")</f>
        <v>FACTURAR CON LAS OC QUE ENVIA VENDEDOR</v>
      </c>
      <c r="M5093" t="s">
        <v>681</v>
      </c>
      <c r="O5093" s="5">
        <v>30854058</v>
      </c>
      <c r="P5093" s="5">
        <v>161440</v>
      </c>
      <c r="Q5093" s="5">
        <v>30674</v>
      </c>
      <c r="R5093" s="5">
        <v>192114</v>
      </c>
    </row>
    <row r="5094" spans="1:18" x14ac:dyDescent="0.25">
      <c r="A5094" t="s">
        <v>503</v>
      </c>
      <c r="B5094" t="s">
        <v>494</v>
      </c>
      <c r="C5094">
        <v>96731890</v>
      </c>
      <c r="D5094">
        <v>11</v>
      </c>
      <c r="E5094">
        <v>30854051</v>
      </c>
      <c r="F5094" t="s">
        <v>1735</v>
      </c>
      <c r="G5094" s="1">
        <v>45236</v>
      </c>
      <c r="H5094">
        <v>5412607</v>
      </c>
      <c r="I5094">
        <v>63</v>
      </c>
      <c r="J5094" t="s">
        <v>170</v>
      </c>
      <c r="K5094" s="8" t="str">
        <f>IFERROR(IF(AND(VLOOKUP($C5094,Hes!$A:$B, 1, FALSE), $M5094&lt;&gt;" "), "Ingresada", "Falta Ingresar"), " ")</f>
        <v>Falta Ingresar</v>
      </c>
      <c r="L5094" s="4" t="str">
        <f>IFERROR(VLOOKUP($C5094,Observaciones!$A:$B,2,FALSE)," ")</f>
        <v>FACTURAR CON LAS OC QUE ENVIA VENDEDOR</v>
      </c>
      <c r="M5094" t="s">
        <v>681</v>
      </c>
      <c r="O5094" s="5">
        <v>30854051</v>
      </c>
      <c r="P5094" s="5">
        <v>648676</v>
      </c>
      <c r="Q5094" s="5">
        <v>123248</v>
      </c>
      <c r="R5094" s="5">
        <v>771924</v>
      </c>
    </row>
    <row r="5095" spans="1:18" x14ac:dyDescent="0.25">
      <c r="A5095" t="s">
        <v>503</v>
      </c>
      <c r="B5095" t="s">
        <v>494</v>
      </c>
      <c r="C5095">
        <v>96731890</v>
      </c>
      <c r="D5095">
        <v>26</v>
      </c>
      <c r="E5095">
        <v>30854677</v>
      </c>
      <c r="F5095" t="s">
        <v>1735</v>
      </c>
      <c r="G5095" s="1">
        <v>45236</v>
      </c>
      <c r="H5095">
        <v>5412632</v>
      </c>
      <c r="I5095">
        <v>63</v>
      </c>
      <c r="J5095" t="s">
        <v>170</v>
      </c>
      <c r="K5095" s="8" t="str">
        <f>IFERROR(IF(AND(VLOOKUP($C5095,Hes!$A:$B, 1, FALSE), $M5095&lt;&gt;" "), "Ingresada", "Falta Ingresar"), " ")</f>
        <v>Falta Ingresar</v>
      </c>
      <c r="L5095" s="4" t="str">
        <f>IFERROR(VLOOKUP($C5095,Observaciones!$A:$B,2,FALSE)," ")</f>
        <v>FACTURAR CON LAS OC QUE ENVIA VENDEDOR</v>
      </c>
      <c r="M5095" t="s">
        <v>681</v>
      </c>
      <c r="O5095" s="5">
        <v>30854677</v>
      </c>
      <c r="P5095" s="5">
        <v>24516</v>
      </c>
      <c r="Q5095" s="5">
        <v>4658</v>
      </c>
      <c r="R5095" s="5">
        <v>29174</v>
      </c>
    </row>
    <row r="5096" spans="1:18" x14ac:dyDescent="0.25">
      <c r="A5096" t="s">
        <v>503</v>
      </c>
      <c r="B5096" t="s">
        <v>494</v>
      </c>
      <c r="C5096">
        <v>96731890</v>
      </c>
      <c r="D5096">
        <v>14</v>
      </c>
      <c r="E5096">
        <v>30854120</v>
      </c>
      <c r="F5096" t="s">
        <v>1735</v>
      </c>
      <c r="G5096" s="1">
        <v>45236</v>
      </c>
      <c r="H5096">
        <v>5412668</v>
      </c>
      <c r="I5096">
        <v>63</v>
      </c>
      <c r="J5096" t="s">
        <v>170</v>
      </c>
      <c r="K5096" s="8" t="str">
        <f>IFERROR(IF(AND(VLOOKUP($C5096,Hes!$A:$B, 1, FALSE), $M5096&lt;&gt;" "), "Ingresada", "Falta Ingresar"), " ")</f>
        <v>Falta Ingresar</v>
      </c>
      <c r="L5096" s="4" t="str">
        <f>IFERROR(VLOOKUP($C5096,Observaciones!$A:$B,2,FALSE)," ")</f>
        <v>FACTURAR CON LAS OC QUE ENVIA VENDEDOR</v>
      </c>
      <c r="M5096" t="s">
        <v>681</v>
      </c>
      <c r="O5096" s="5">
        <v>30854120</v>
      </c>
      <c r="P5096" s="5">
        <v>41388</v>
      </c>
      <c r="Q5096" s="5">
        <v>7864</v>
      </c>
      <c r="R5096" s="5">
        <v>49252</v>
      </c>
    </row>
    <row r="5097" spans="1:18" x14ac:dyDescent="0.25">
      <c r="A5097" t="s">
        <v>503</v>
      </c>
      <c r="B5097" t="s">
        <v>494</v>
      </c>
      <c r="C5097">
        <v>96731890</v>
      </c>
      <c r="D5097">
        <v>14</v>
      </c>
      <c r="E5097">
        <v>30850708</v>
      </c>
      <c r="F5097" t="s">
        <v>1735</v>
      </c>
      <c r="G5097" s="1">
        <v>45236</v>
      </c>
      <c r="H5097">
        <v>5412817</v>
      </c>
      <c r="I5097">
        <v>63</v>
      </c>
      <c r="J5097" t="s">
        <v>170</v>
      </c>
      <c r="K5097" s="8" t="str">
        <f>IFERROR(IF(AND(VLOOKUP($C5097,Hes!$A:$B, 1, FALSE), $M5097&lt;&gt;" "), "Ingresada", "Falta Ingresar"), " ")</f>
        <v>Falta Ingresar</v>
      </c>
      <c r="L5097" s="4" t="str">
        <f>IFERROR(VLOOKUP($C5097,Observaciones!$A:$B,2,FALSE)," ")</f>
        <v>FACTURAR CON LAS OC QUE ENVIA VENDEDOR</v>
      </c>
      <c r="M5097" t="s">
        <v>681</v>
      </c>
      <c r="O5097" s="5">
        <v>30850708</v>
      </c>
      <c r="P5097" s="5">
        <v>56988</v>
      </c>
      <c r="Q5097" s="5">
        <v>10828</v>
      </c>
      <c r="R5097" s="5">
        <v>67816</v>
      </c>
    </row>
    <row r="5098" spans="1:18" x14ac:dyDescent="0.25">
      <c r="A5098" t="s">
        <v>503</v>
      </c>
      <c r="B5098" t="s">
        <v>494</v>
      </c>
      <c r="C5098">
        <v>96731890</v>
      </c>
      <c r="D5098">
        <v>4</v>
      </c>
      <c r="E5098">
        <v>30859535</v>
      </c>
      <c r="F5098" t="s">
        <v>1735</v>
      </c>
      <c r="G5098" s="1">
        <v>45237</v>
      </c>
      <c r="H5098">
        <v>5414138</v>
      </c>
      <c r="I5098">
        <v>63</v>
      </c>
      <c r="J5098" t="s">
        <v>170</v>
      </c>
      <c r="K5098" s="8" t="str">
        <f>IFERROR(IF(AND(VLOOKUP($C5098,Hes!$A:$B, 1, FALSE), $M5098&lt;&gt;" "), "Ingresada", "Falta Ingresar"), " ")</f>
        <v>Falta Ingresar</v>
      </c>
      <c r="L5098" s="4" t="str">
        <f>IFERROR(VLOOKUP($C5098,Observaciones!$A:$B,2,FALSE)," ")</f>
        <v>FACTURAR CON LAS OC QUE ENVIA VENDEDOR</v>
      </c>
      <c r="M5098" t="s">
        <v>681</v>
      </c>
      <c r="O5098" s="5">
        <v>30859535</v>
      </c>
      <c r="P5098" s="5">
        <v>46557</v>
      </c>
      <c r="Q5098" s="5">
        <v>8846</v>
      </c>
      <c r="R5098" s="5">
        <v>55403</v>
      </c>
    </row>
    <row r="5099" spans="1:18" x14ac:dyDescent="0.25">
      <c r="A5099" t="s">
        <v>503</v>
      </c>
      <c r="B5099" t="s">
        <v>494</v>
      </c>
      <c r="C5099">
        <v>96731890</v>
      </c>
      <c r="D5099">
        <v>4</v>
      </c>
      <c r="E5099">
        <v>30859482</v>
      </c>
      <c r="F5099" t="s">
        <v>1735</v>
      </c>
      <c r="G5099" s="1">
        <v>45237</v>
      </c>
      <c r="H5099">
        <v>5414143</v>
      </c>
      <c r="I5099">
        <v>63</v>
      </c>
      <c r="J5099" t="s">
        <v>170</v>
      </c>
      <c r="K5099" s="8" t="str">
        <f>IFERROR(IF(AND(VLOOKUP($C5099,Hes!$A:$B, 1, FALSE), $M5099&lt;&gt;" "), "Ingresada", "Falta Ingresar"), " ")</f>
        <v>Falta Ingresar</v>
      </c>
      <c r="L5099" s="4" t="str">
        <f>IFERROR(VLOOKUP($C5099,Observaciones!$A:$B,2,FALSE)," ")</f>
        <v>FACTURAR CON LAS OC QUE ENVIA VENDEDOR</v>
      </c>
      <c r="M5099" t="s">
        <v>681</v>
      </c>
      <c r="O5099" s="5">
        <v>30859482</v>
      </c>
      <c r="P5099" s="5">
        <v>86712</v>
      </c>
      <c r="Q5099" s="5">
        <v>16475</v>
      </c>
      <c r="R5099" s="5">
        <v>107365</v>
      </c>
    </row>
    <row r="5100" spans="1:18" x14ac:dyDescent="0.25">
      <c r="A5100" t="s">
        <v>503</v>
      </c>
      <c r="B5100" t="s">
        <v>494</v>
      </c>
      <c r="C5100">
        <v>96731890</v>
      </c>
      <c r="D5100">
        <v>4</v>
      </c>
      <c r="E5100">
        <v>30859553</v>
      </c>
      <c r="F5100" t="s">
        <v>1735</v>
      </c>
      <c r="G5100" s="1">
        <v>45237</v>
      </c>
      <c r="H5100">
        <v>5414253</v>
      </c>
      <c r="I5100">
        <v>63</v>
      </c>
      <c r="J5100" t="s">
        <v>170</v>
      </c>
      <c r="K5100" s="8" t="str">
        <f>IFERROR(IF(AND(VLOOKUP($C5100,Hes!$A:$B, 1, FALSE), $M5100&lt;&gt;" "), "Ingresada", "Falta Ingresar"), " ")</f>
        <v>Falta Ingresar</v>
      </c>
      <c r="L5100" s="4" t="str">
        <f>IFERROR(VLOOKUP($C5100,Observaciones!$A:$B,2,FALSE)," ")</f>
        <v>FACTURAR CON LAS OC QUE ENVIA VENDEDOR</v>
      </c>
      <c r="M5100" t="s">
        <v>681</v>
      </c>
      <c r="O5100" s="5">
        <v>30859553</v>
      </c>
      <c r="P5100" s="5">
        <v>45690</v>
      </c>
      <c r="Q5100" s="5">
        <v>8681</v>
      </c>
      <c r="R5100" s="5">
        <v>54371</v>
      </c>
    </row>
    <row r="5101" spans="1:18" x14ac:dyDescent="0.25">
      <c r="A5101" t="s">
        <v>503</v>
      </c>
      <c r="B5101" t="s">
        <v>494</v>
      </c>
      <c r="C5101">
        <v>96731890</v>
      </c>
      <c r="D5101">
        <v>4</v>
      </c>
      <c r="E5101">
        <v>30859515</v>
      </c>
      <c r="F5101" t="s">
        <v>1735</v>
      </c>
      <c r="G5101" s="1">
        <v>45237</v>
      </c>
      <c r="H5101">
        <v>5414435</v>
      </c>
      <c r="I5101">
        <v>63</v>
      </c>
      <c r="J5101" t="s">
        <v>170</v>
      </c>
      <c r="K5101" s="8" t="str">
        <f>IFERROR(IF(AND(VLOOKUP($C5101,Hes!$A:$B, 1, FALSE), $M5101&lt;&gt;" "), "Ingresada", "Falta Ingresar"), " ")</f>
        <v>Falta Ingresar</v>
      </c>
      <c r="L5101" s="4" t="str">
        <f>IFERROR(VLOOKUP($C5101,Observaciones!$A:$B,2,FALSE)," ")</f>
        <v>FACTURAR CON LAS OC QUE ENVIA VENDEDOR</v>
      </c>
      <c r="M5101" t="s">
        <v>681</v>
      </c>
      <c r="O5101" s="5">
        <v>30859515</v>
      </c>
      <c r="P5101" s="5">
        <v>133855</v>
      </c>
      <c r="Q5101" s="5">
        <v>25432</v>
      </c>
      <c r="R5101" s="5">
        <v>159287</v>
      </c>
    </row>
    <row r="5102" spans="1:18" x14ac:dyDescent="0.25">
      <c r="A5102" t="s">
        <v>503</v>
      </c>
      <c r="B5102" t="s">
        <v>494</v>
      </c>
      <c r="C5102">
        <v>96731890</v>
      </c>
      <c r="D5102">
        <v>510</v>
      </c>
      <c r="E5102">
        <v>30858731</v>
      </c>
      <c r="F5102" t="s">
        <v>1735</v>
      </c>
      <c r="G5102" s="1">
        <v>45238</v>
      </c>
      <c r="H5102">
        <v>5414699</v>
      </c>
      <c r="I5102">
        <v>63</v>
      </c>
      <c r="J5102" t="s">
        <v>170</v>
      </c>
      <c r="K5102" s="8" t="str">
        <f>IFERROR(IF(AND(VLOOKUP($C5102,Hes!$A:$B, 1, FALSE), $M5102&lt;&gt;" "), "Ingresada", "Falta Ingresar"), " ")</f>
        <v>Falta Ingresar</v>
      </c>
      <c r="L5102" s="4" t="str">
        <f>IFERROR(VLOOKUP($C5102,Observaciones!$A:$B,2,FALSE)," ")</f>
        <v>FACTURAR CON LAS OC QUE ENVIA VENDEDOR</v>
      </c>
      <c r="M5102" t="s">
        <v>681</v>
      </c>
      <c r="O5102" s="5">
        <v>30858731</v>
      </c>
      <c r="P5102" s="5">
        <v>485184</v>
      </c>
      <c r="Q5102" s="5">
        <v>92185</v>
      </c>
      <c r="R5102" s="5">
        <v>579844</v>
      </c>
    </row>
    <row r="5103" spans="1:18" x14ac:dyDescent="0.25">
      <c r="A5103" t="s">
        <v>503</v>
      </c>
      <c r="B5103" t="s">
        <v>494</v>
      </c>
      <c r="C5103">
        <v>96731890</v>
      </c>
      <c r="D5103">
        <v>28</v>
      </c>
      <c r="E5103">
        <v>30861921</v>
      </c>
      <c r="F5103" t="s">
        <v>1735</v>
      </c>
      <c r="G5103" s="1">
        <v>45238</v>
      </c>
      <c r="H5103">
        <v>5414880</v>
      </c>
      <c r="I5103">
        <v>63</v>
      </c>
      <c r="J5103" t="s">
        <v>170</v>
      </c>
      <c r="K5103" s="8" t="str">
        <f>IFERROR(IF(AND(VLOOKUP($C5103,Hes!$A:$B, 1, FALSE), $M5103&lt;&gt;" "), "Ingresada", "Falta Ingresar"), " ")</f>
        <v>Falta Ingresar</v>
      </c>
      <c r="L5103" s="4" t="str">
        <f>IFERROR(VLOOKUP($C5103,Observaciones!$A:$B,2,FALSE)," ")</f>
        <v>FACTURAR CON LAS OC QUE ENVIA VENDEDOR</v>
      </c>
      <c r="M5103" t="s">
        <v>681</v>
      </c>
      <c r="O5103" s="5">
        <v>30861921</v>
      </c>
      <c r="P5103" s="5">
        <v>76491</v>
      </c>
      <c r="Q5103" s="5">
        <v>14533</v>
      </c>
      <c r="R5103" s="5">
        <v>91024</v>
      </c>
    </row>
    <row r="5104" spans="1:18" x14ac:dyDescent="0.25">
      <c r="A5104" t="s">
        <v>503</v>
      </c>
      <c r="B5104" t="s">
        <v>494</v>
      </c>
      <c r="C5104">
        <v>96731890</v>
      </c>
      <c r="D5104">
        <v>510</v>
      </c>
      <c r="E5104">
        <v>30863680</v>
      </c>
      <c r="F5104" t="s">
        <v>1735</v>
      </c>
      <c r="G5104" s="1">
        <v>45238</v>
      </c>
      <c r="H5104">
        <v>5415150</v>
      </c>
      <c r="I5104">
        <v>63</v>
      </c>
      <c r="J5104" t="s">
        <v>170</v>
      </c>
      <c r="K5104" s="8" t="str">
        <f>IFERROR(IF(AND(VLOOKUP($C5104,Hes!$A:$B, 1, FALSE), $M5104&lt;&gt;" "), "Ingresada", "Falta Ingresar"), " ")</f>
        <v>Falta Ingresar</v>
      </c>
      <c r="L5104" s="4" t="str">
        <f>IFERROR(VLOOKUP($C5104,Observaciones!$A:$B,2,FALSE)," ")</f>
        <v>FACTURAR CON LAS OC QUE ENVIA VENDEDOR</v>
      </c>
      <c r="M5104" t="s">
        <v>681</v>
      </c>
      <c r="O5104" s="5">
        <v>30863680</v>
      </c>
      <c r="P5104" s="5">
        <v>262843</v>
      </c>
      <c r="Q5104" s="5">
        <v>49940</v>
      </c>
      <c r="R5104" s="5">
        <v>312783</v>
      </c>
    </row>
    <row r="5105" spans="1:18" x14ac:dyDescent="0.25">
      <c r="A5105" t="s">
        <v>503</v>
      </c>
      <c r="B5105" t="s">
        <v>494</v>
      </c>
      <c r="C5105">
        <v>96731890</v>
      </c>
      <c r="D5105">
        <v>510</v>
      </c>
      <c r="E5105">
        <v>30863690</v>
      </c>
      <c r="F5105" t="s">
        <v>1735</v>
      </c>
      <c r="G5105" s="1">
        <v>45238</v>
      </c>
      <c r="H5105">
        <v>5415211</v>
      </c>
      <c r="I5105">
        <v>63</v>
      </c>
      <c r="J5105" t="s">
        <v>170</v>
      </c>
      <c r="K5105" s="8" t="str">
        <f>IFERROR(IF(AND(VLOOKUP($C5105,Hes!$A:$B, 1, FALSE), $M5105&lt;&gt;" "), "Ingresada", "Falta Ingresar"), " ")</f>
        <v>Falta Ingresar</v>
      </c>
      <c r="L5105" s="4" t="str">
        <f>IFERROR(VLOOKUP($C5105,Observaciones!$A:$B,2,FALSE)," ")</f>
        <v>FACTURAR CON LAS OC QUE ENVIA VENDEDOR</v>
      </c>
      <c r="M5105" t="s">
        <v>681</v>
      </c>
      <c r="O5105" s="5">
        <v>30863690</v>
      </c>
      <c r="P5105" s="5">
        <v>30416</v>
      </c>
      <c r="Q5105" s="5">
        <v>5779</v>
      </c>
      <c r="R5105" s="5">
        <v>36195</v>
      </c>
    </row>
    <row r="5106" spans="1:18" x14ac:dyDescent="0.25">
      <c r="A5106" t="s">
        <v>503</v>
      </c>
      <c r="B5106" t="s">
        <v>494</v>
      </c>
      <c r="C5106">
        <v>96731890</v>
      </c>
      <c r="D5106">
        <v>510</v>
      </c>
      <c r="E5106">
        <v>30863687</v>
      </c>
      <c r="F5106" t="s">
        <v>1735</v>
      </c>
      <c r="G5106" s="1">
        <v>45238</v>
      </c>
      <c r="H5106">
        <v>5415213</v>
      </c>
      <c r="I5106">
        <v>63</v>
      </c>
      <c r="J5106" t="s">
        <v>170</v>
      </c>
      <c r="K5106" s="8" t="str">
        <f>IFERROR(IF(AND(VLOOKUP($C5106,Hes!$A:$B, 1, FALSE), $M5106&lt;&gt;" "), "Ingresada", "Falta Ingresar"), " ")</f>
        <v>Falta Ingresar</v>
      </c>
      <c r="L5106" s="4" t="str">
        <f>IFERROR(VLOOKUP($C5106,Observaciones!$A:$B,2,FALSE)," ")</f>
        <v>FACTURAR CON LAS OC QUE ENVIA VENDEDOR</v>
      </c>
      <c r="M5106" t="s">
        <v>681</v>
      </c>
      <c r="O5106" s="5">
        <v>30863687</v>
      </c>
      <c r="P5106" s="5">
        <v>178700</v>
      </c>
      <c r="Q5106" s="5">
        <v>33953</v>
      </c>
      <c r="R5106" s="5">
        <v>212653</v>
      </c>
    </row>
    <row r="5107" spans="1:18" x14ac:dyDescent="0.25">
      <c r="A5107" t="s">
        <v>503</v>
      </c>
      <c r="B5107" t="s">
        <v>494</v>
      </c>
      <c r="C5107">
        <v>96731890</v>
      </c>
      <c r="D5107">
        <v>11</v>
      </c>
      <c r="E5107">
        <v>30863238</v>
      </c>
      <c r="F5107" t="s">
        <v>1735</v>
      </c>
      <c r="G5107" s="1">
        <v>45238</v>
      </c>
      <c r="H5107">
        <v>5415225</v>
      </c>
      <c r="I5107">
        <v>63</v>
      </c>
      <c r="J5107" t="s">
        <v>170</v>
      </c>
      <c r="K5107" s="8" t="str">
        <f>IFERROR(IF(AND(VLOOKUP($C5107,Hes!$A:$B, 1, FALSE), $M5107&lt;&gt;" "), "Ingresada", "Falta Ingresar"), " ")</f>
        <v>Falta Ingresar</v>
      </c>
      <c r="L5107" s="4" t="str">
        <f>IFERROR(VLOOKUP($C5107,Observaciones!$A:$B,2,FALSE)," ")</f>
        <v>FACTURAR CON LAS OC QUE ENVIA VENDEDOR</v>
      </c>
      <c r="M5107" t="s">
        <v>681</v>
      </c>
      <c r="O5107" s="5">
        <v>30863238</v>
      </c>
      <c r="P5107" s="5">
        <v>50404</v>
      </c>
      <c r="Q5107" s="5">
        <v>9577</v>
      </c>
      <c r="R5107" s="5">
        <v>59981</v>
      </c>
    </row>
    <row r="5108" spans="1:18" x14ac:dyDescent="0.25">
      <c r="F5108" t="s">
        <v>534</v>
      </c>
      <c r="K5108" t="str">
        <f>IFERROR(IF(AND(VLOOKUP($C5108,Hes!$A:$B, 1, FALSE), $M5108&lt;&gt;" "), "Ingresada", "Falta Ingresar"), " ")</f>
        <v xml:space="preserve"> </v>
      </c>
      <c r="L5108" s="4" t="str">
        <f>IFERROR(VLOOKUP($C5108,Observaciones!$A:$B,2,FALSE)," ")</f>
        <v xml:space="preserve"> </v>
      </c>
      <c r="M5108" t="s">
        <v>681</v>
      </c>
      <c r="P5108" s="5">
        <v>6150393</v>
      </c>
      <c r="Q5108" s="5">
        <v>1168575</v>
      </c>
      <c r="R5108" s="5">
        <v>7325621</v>
      </c>
    </row>
    <row r="5109" spans="1:18" x14ac:dyDescent="0.25">
      <c r="A5109" t="s">
        <v>512</v>
      </c>
      <c r="B5109" t="s">
        <v>494</v>
      </c>
      <c r="C5109">
        <v>96756430</v>
      </c>
      <c r="D5109">
        <v>2</v>
      </c>
      <c r="E5109">
        <v>4500131508</v>
      </c>
      <c r="F5109" t="s">
        <v>1736</v>
      </c>
      <c r="G5109" s="1">
        <v>45232</v>
      </c>
      <c r="H5109">
        <v>5410928</v>
      </c>
      <c r="I5109">
        <v>195</v>
      </c>
      <c r="J5109" t="s">
        <v>406</v>
      </c>
      <c r="K5109" s="8" t="str">
        <f>IFERROR(IF(AND(VLOOKUP($C5109,Hes!$A:$B, 1, FALSE), $M5109&lt;&gt;" "), "Ingresada", "Falta Ingresar"), " ")</f>
        <v>Falta Ingresar</v>
      </c>
      <c r="L5109" s="4" t="str">
        <f>IFERROR(VLOOKUP($C5109,Observaciones!$A:$B,2,FALSE)," ")</f>
        <v>MANUAL XOC Y CC ESPERAR VENDEDOR</v>
      </c>
      <c r="M5109" t="s">
        <v>681</v>
      </c>
      <c r="N5109" s="5" t="s">
        <v>841</v>
      </c>
      <c r="O5109" s="5">
        <v>30841369</v>
      </c>
      <c r="P5109" s="5">
        <v>381679</v>
      </c>
      <c r="Q5109" s="5">
        <v>72519</v>
      </c>
      <c r="R5109" s="5">
        <v>454198</v>
      </c>
    </row>
    <row r="5110" spans="1:18" x14ac:dyDescent="0.25">
      <c r="A5110" t="s">
        <v>512</v>
      </c>
      <c r="B5110" t="s">
        <v>494</v>
      </c>
      <c r="C5110">
        <v>96756430</v>
      </c>
      <c r="D5110">
        <v>2</v>
      </c>
      <c r="E5110">
        <v>4500131510</v>
      </c>
      <c r="F5110" t="s">
        <v>1736</v>
      </c>
      <c r="G5110" s="1">
        <v>45232</v>
      </c>
      <c r="H5110">
        <v>5410929</v>
      </c>
      <c r="I5110">
        <v>195</v>
      </c>
      <c r="J5110" t="s">
        <v>406</v>
      </c>
      <c r="K5110" s="8" t="str">
        <f>IFERROR(IF(AND(VLOOKUP($C5110,Hes!$A:$B, 1, FALSE), $M5110&lt;&gt;" "), "Ingresada", "Falta Ingresar"), " ")</f>
        <v>Falta Ingresar</v>
      </c>
      <c r="L5110" s="4" t="str">
        <f>IFERROR(VLOOKUP($C5110,Observaciones!$A:$B,2,FALSE)," ")</f>
        <v>MANUAL XOC Y CC ESPERAR VENDEDOR</v>
      </c>
      <c r="M5110" t="s">
        <v>681</v>
      </c>
      <c r="N5110" s="5" t="s">
        <v>841</v>
      </c>
      <c r="O5110" s="5">
        <v>30841446</v>
      </c>
      <c r="P5110" s="5">
        <v>138524</v>
      </c>
      <c r="Q5110" s="5">
        <v>26320</v>
      </c>
      <c r="R5110" s="5">
        <v>164844</v>
      </c>
    </row>
    <row r="5111" spans="1:18" x14ac:dyDescent="0.25">
      <c r="A5111" t="s">
        <v>512</v>
      </c>
      <c r="B5111" t="s">
        <v>494</v>
      </c>
      <c r="C5111">
        <v>96756430</v>
      </c>
      <c r="D5111">
        <v>87</v>
      </c>
      <c r="E5111">
        <v>4500131550</v>
      </c>
      <c r="F5111" t="s">
        <v>1736</v>
      </c>
      <c r="G5111" s="1">
        <v>45233</v>
      </c>
      <c r="H5111">
        <v>5411446</v>
      </c>
      <c r="I5111">
        <v>129</v>
      </c>
      <c r="J5111" t="s">
        <v>414</v>
      </c>
      <c r="K5111" s="8" t="str">
        <f>IFERROR(IF(AND(VLOOKUP($C5111,Hes!$A:$B, 1, FALSE), $M5111&lt;&gt;" "), "Ingresada", "Falta Ingresar"), " ")</f>
        <v>Falta Ingresar</v>
      </c>
      <c r="L5111" s="4" t="str">
        <f>IFERROR(VLOOKUP($C5111,Observaciones!$A:$B,2,FALSE)," ")</f>
        <v>MANUAL XOC Y CC ESPERAR VENDEDOR</v>
      </c>
      <c r="M5111" t="s">
        <v>681</v>
      </c>
      <c r="N5111" s="5" t="s">
        <v>841</v>
      </c>
      <c r="O5111" s="5">
        <v>30850116</v>
      </c>
      <c r="P5111" s="5">
        <v>32058</v>
      </c>
      <c r="Q5111" s="5">
        <v>6091</v>
      </c>
      <c r="R5111" s="5">
        <v>38149</v>
      </c>
    </row>
    <row r="5112" spans="1:18" x14ac:dyDescent="0.25">
      <c r="A5112" t="s">
        <v>512</v>
      </c>
      <c r="B5112" t="s">
        <v>494</v>
      </c>
      <c r="C5112">
        <v>96756430</v>
      </c>
      <c r="D5112">
        <v>87</v>
      </c>
      <c r="E5112">
        <v>4500131551</v>
      </c>
      <c r="F5112" t="s">
        <v>1736</v>
      </c>
      <c r="G5112" s="1">
        <v>45233</v>
      </c>
      <c r="H5112">
        <v>5411523</v>
      </c>
      <c r="I5112">
        <v>129</v>
      </c>
      <c r="J5112" t="s">
        <v>414</v>
      </c>
      <c r="K5112" s="8" t="str">
        <f>IFERROR(IF(AND(VLOOKUP($C5112,Hes!$A:$B, 1, FALSE), $M5112&lt;&gt;" "), "Ingresada", "Falta Ingresar"), " ")</f>
        <v>Falta Ingresar</v>
      </c>
      <c r="L5112" s="4" t="str">
        <f>IFERROR(VLOOKUP($C5112,Observaciones!$A:$B,2,FALSE)," ")</f>
        <v>MANUAL XOC Y CC ESPERAR VENDEDOR</v>
      </c>
      <c r="M5112" t="s">
        <v>681</v>
      </c>
      <c r="N5112" s="5" t="s">
        <v>841</v>
      </c>
      <c r="O5112" s="5">
        <v>30850257</v>
      </c>
      <c r="P5112" s="5">
        <v>176367</v>
      </c>
      <c r="Q5112" s="5">
        <v>33510</v>
      </c>
      <c r="R5112" s="5">
        <v>209877</v>
      </c>
    </row>
    <row r="5113" spans="1:18" x14ac:dyDescent="0.25">
      <c r="A5113" t="s">
        <v>512</v>
      </c>
      <c r="B5113" t="s">
        <v>494</v>
      </c>
      <c r="C5113">
        <v>96756430</v>
      </c>
      <c r="D5113">
        <v>30</v>
      </c>
      <c r="E5113">
        <v>4500131547</v>
      </c>
      <c r="F5113" t="s">
        <v>1736</v>
      </c>
      <c r="G5113" s="1">
        <v>45236</v>
      </c>
      <c r="H5113">
        <v>5412466</v>
      </c>
      <c r="I5113">
        <v>129</v>
      </c>
      <c r="J5113" t="s">
        <v>414</v>
      </c>
      <c r="K5113" s="8" t="str">
        <f>IFERROR(IF(AND(VLOOKUP($C5113,Hes!$A:$B, 1, FALSE), $M5113&lt;&gt;" "), "Ingresada", "Falta Ingresar"), " ")</f>
        <v>Falta Ingresar</v>
      </c>
      <c r="L5113" s="4" t="str">
        <f>IFERROR(VLOOKUP($C5113,Observaciones!$A:$B,2,FALSE)," ")</f>
        <v>MANUAL XOC Y CC ESPERAR VENDEDOR</v>
      </c>
      <c r="M5113" t="s">
        <v>681</v>
      </c>
      <c r="N5113" s="5" t="s">
        <v>841</v>
      </c>
      <c r="O5113" s="5">
        <v>30850394</v>
      </c>
      <c r="P5113" s="5">
        <v>2612692</v>
      </c>
      <c r="Q5113" s="5">
        <v>496411</v>
      </c>
      <c r="R5113" s="5">
        <v>3109103</v>
      </c>
    </row>
    <row r="5114" spans="1:18" x14ac:dyDescent="0.25">
      <c r="A5114" t="s">
        <v>512</v>
      </c>
      <c r="B5114" t="s">
        <v>494</v>
      </c>
      <c r="C5114">
        <v>96756430</v>
      </c>
      <c r="D5114">
        <v>125</v>
      </c>
      <c r="E5114">
        <v>4500131560</v>
      </c>
      <c r="F5114" t="s">
        <v>1736</v>
      </c>
      <c r="G5114" s="1">
        <v>45236</v>
      </c>
      <c r="H5114">
        <v>5412614</v>
      </c>
      <c r="I5114">
        <v>129</v>
      </c>
      <c r="J5114" t="s">
        <v>414</v>
      </c>
      <c r="K5114" s="8" t="str">
        <f>IFERROR(IF(AND(VLOOKUP($C5114,Hes!$A:$B, 1, FALSE), $M5114&lt;&gt;" "), "Ingresada", "Falta Ingresar"), " ")</f>
        <v>Falta Ingresar</v>
      </c>
      <c r="L5114" s="4" t="str">
        <f>IFERROR(VLOOKUP($C5114,Observaciones!$A:$B,2,FALSE)," ")</f>
        <v>MANUAL XOC Y CC ESPERAR VENDEDOR</v>
      </c>
      <c r="M5114" t="s">
        <v>681</v>
      </c>
      <c r="N5114" s="5" t="s">
        <v>841</v>
      </c>
      <c r="O5114" s="5">
        <v>30850185</v>
      </c>
      <c r="P5114" s="5">
        <v>72549</v>
      </c>
      <c r="Q5114" s="5">
        <v>13784</v>
      </c>
      <c r="R5114" s="5">
        <v>86333</v>
      </c>
    </row>
    <row r="5115" spans="1:18" x14ac:dyDescent="0.25">
      <c r="A5115" t="s">
        <v>512</v>
      </c>
      <c r="B5115" t="s">
        <v>494</v>
      </c>
      <c r="C5115">
        <v>96756430</v>
      </c>
      <c r="D5115">
        <v>140</v>
      </c>
      <c r="E5115">
        <v>4500131639</v>
      </c>
      <c r="F5115" t="s">
        <v>1736</v>
      </c>
      <c r="G5115" s="1">
        <v>45236</v>
      </c>
      <c r="H5115">
        <v>5412861</v>
      </c>
      <c r="I5115">
        <v>129</v>
      </c>
      <c r="J5115" t="s">
        <v>414</v>
      </c>
      <c r="K5115" s="8" t="str">
        <f>IFERROR(IF(AND(VLOOKUP($C5115,Hes!$A:$B, 1, FALSE), $M5115&lt;&gt;" "), "Ingresada", "Falta Ingresar"), " ")</f>
        <v>Falta Ingresar</v>
      </c>
      <c r="L5115" s="4" t="str">
        <f>IFERROR(VLOOKUP($C5115,Observaciones!$A:$B,2,FALSE)," ")</f>
        <v>MANUAL XOC Y CC ESPERAR VENDEDOR</v>
      </c>
      <c r="M5115" t="s">
        <v>681</v>
      </c>
      <c r="N5115" s="5" t="s">
        <v>841</v>
      </c>
      <c r="O5115" s="5">
        <v>30856052</v>
      </c>
      <c r="P5115" s="5">
        <v>35920</v>
      </c>
      <c r="Q5115" s="5">
        <v>6825</v>
      </c>
      <c r="R5115" s="5">
        <v>42745</v>
      </c>
    </row>
    <row r="5116" spans="1:18" x14ac:dyDescent="0.25">
      <c r="A5116" t="s">
        <v>512</v>
      </c>
      <c r="B5116" t="s">
        <v>494</v>
      </c>
      <c r="C5116">
        <v>96756430</v>
      </c>
      <c r="D5116">
        <v>143</v>
      </c>
      <c r="E5116">
        <v>4500131640</v>
      </c>
      <c r="F5116" t="s">
        <v>1736</v>
      </c>
      <c r="G5116" s="1">
        <v>45236</v>
      </c>
      <c r="H5116">
        <v>5412876</v>
      </c>
      <c r="I5116">
        <v>129</v>
      </c>
      <c r="J5116" t="s">
        <v>414</v>
      </c>
      <c r="K5116" s="8" t="str">
        <f>IFERROR(IF(AND(VLOOKUP($C5116,Hes!$A:$B, 1, FALSE), $M5116&lt;&gt;" "), "Ingresada", "Falta Ingresar"), " ")</f>
        <v>Falta Ingresar</v>
      </c>
      <c r="L5116" s="4" t="str">
        <f>IFERROR(VLOOKUP($C5116,Observaciones!$A:$B,2,FALSE)," ")</f>
        <v>MANUAL XOC Y CC ESPERAR VENDEDOR</v>
      </c>
      <c r="M5116" t="s">
        <v>681</v>
      </c>
      <c r="N5116" s="5" t="s">
        <v>841</v>
      </c>
      <c r="O5116" s="5">
        <v>30855984</v>
      </c>
      <c r="P5116" s="5">
        <v>45474</v>
      </c>
      <c r="Q5116" s="5">
        <v>8640</v>
      </c>
      <c r="R5116" s="5">
        <v>54114</v>
      </c>
    </row>
    <row r="5117" spans="1:18" x14ac:dyDescent="0.25">
      <c r="A5117" t="s">
        <v>512</v>
      </c>
      <c r="B5117" t="s">
        <v>494</v>
      </c>
      <c r="C5117">
        <v>96756430</v>
      </c>
      <c r="D5117">
        <v>34</v>
      </c>
      <c r="E5117">
        <v>4500131641</v>
      </c>
      <c r="F5117" t="s">
        <v>1736</v>
      </c>
      <c r="G5117" s="1">
        <v>45234</v>
      </c>
      <c r="H5117">
        <v>5412885</v>
      </c>
      <c r="I5117">
        <v>129</v>
      </c>
      <c r="J5117" t="s">
        <v>414</v>
      </c>
      <c r="K5117" s="8" t="str">
        <f>IFERROR(IF(AND(VLOOKUP($C5117,Hes!$A:$B, 1, FALSE), $M5117&lt;&gt;" "), "Ingresada", "Falta Ingresar"), " ")</f>
        <v>Falta Ingresar</v>
      </c>
      <c r="L5117" s="4" t="str">
        <f>IFERROR(VLOOKUP($C5117,Observaciones!$A:$B,2,FALSE)," ")</f>
        <v>MANUAL XOC Y CC ESPERAR VENDEDOR</v>
      </c>
      <c r="M5117" t="s">
        <v>681</v>
      </c>
      <c r="N5117" s="5" t="s">
        <v>841</v>
      </c>
      <c r="O5117" s="5">
        <v>30856084</v>
      </c>
      <c r="P5117" s="5">
        <v>83497</v>
      </c>
      <c r="Q5117" s="5">
        <v>15864</v>
      </c>
      <c r="R5117" s="5">
        <v>99361</v>
      </c>
    </row>
    <row r="5118" spans="1:18" x14ac:dyDescent="0.25">
      <c r="A5118" t="s">
        <v>512</v>
      </c>
      <c r="B5118" t="s">
        <v>494</v>
      </c>
      <c r="C5118">
        <v>96756430</v>
      </c>
      <c r="D5118">
        <v>41</v>
      </c>
      <c r="E5118">
        <v>4500131643</v>
      </c>
      <c r="F5118" t="s">
        <v>1736</v>
      </c>
      <c r="G5118" s="1">
        <v>45236</v>
      </c>
      <c r="H5118">
        <v>5413157</v>
      </c>
      <c r="I5118">
        <v>129</v>
      </c>
      <c r="J5118" t="s">
        <v>414</v>
      </c>
      <c r="K5118" s="8" t="str">
        <f>IFERROR(IF(AND(VLOOKUP($C5118,Hes!$A:$B, 1, FALSE), $M5118&lt;&gt;" "), "Ingresada", "Falta Ingresar"), " ")</f>
        <v>Falta Ingresar</v>
      </c>
      <c r="L5118" s="4" t="str">
        <f>IFERROR(VLOOKUP($C5118,Observaciones!$A:$B,2,FALSE)," ")</f>
        <v>MANUAL XOC Y CC ESPERAR VENDEDOR</v>
      </c>
      <c r="M5118" t="s">
        <v>681</v>
      </c>
      <c r="N5118" s="5" t="s">
        <v>841</v>
      </c>
      <c r="O5118" s="5">
        <v>30856332</v>
      </c>
      <c r="P5118" s="5">
        <v>28266</v>
      </c>
      <c r="Q5118" s="5">
        <v>5371</v>
      </c>
      <c r="R5118" s="5">
        <v>33637</v>
      </c>
    </row>
    <row r="5119" spans="1:18" x14ac:dyDescent="0.25">
      <c r="A5119" t="s">
        <v>512</v>
      </c>
      <c r="B5119" t="s">
        <v>494</v>
      </c>
      <c r="C5119">
        <v>96756430</v>
      </c>
      <c r="D5119">
        <v>9</v>
      </c>
      <c r="E5119">
        <v>4500131667</v>
      </c>
      <c r="F5119" t="s">
        <v>1736</v>
      </c>
      <c r="G5119" s="1">
        <v>45236</v>
      </c>
      <c r="H5119">
        <v>5413487</v>
      </c>
      <c r="I5119">
        <v>129</v>
      </c>
      <c r="J5119" t="s">
        <v>414</v>
      </c>
      <c r="K5119" s="8" t="str">
        <f>IFERROR(IF(AND(VLOOKUP($C5119,Hes!$A:$B, 1, FALSE), $M5119&lt;&gt;" "), "Ingresada", "Falta Ingresar"), " ")</f>
        <v>Falta Ingresar</v>
      </c>
      <c r="L5119" s="4" t="str">
        <f>IFERROR(VLOOKUP($C5119,Observaciones!$A:$B,2,FALSE)," ")</f>
        <v>MANUAL XOC Y CC ESPERAR VENDEDOR</v>
      </c>
      <c r="M5119" t="s">
        <v>681</v>
      </c>
      <c r="N5119" s="5" t="s">
        <v>841</v>
      </c>
      <c r="O5119" s="5">
        <v>30856446</v>
      </c>
      <c r="P5119" s="5">
        <v>76770</v>
      </c>
      <c r="Q5119" s="5">
        <v>14586</v>
      </c>
      <c r="R5119" s="5">
        <v>91356</v>
      </c>
    </row>
    <row r="5120" spans="1:18" x14ac:dyDescent="0.25">
      <c r="A5120" t="s">
        <v>512</v>
      </c>
      <c r="B5120" t="s">
        <v>494</v>
      </c>
      <c r="C5120">
        <v>96756430</v>
      </c>
      <c r="D5120">
        <v>295</v>
      </c>
      <c r="E5120">
        <v>4500131642</v>
      </c>
      <c r="F5120" t="s">
        <v>1736</v>
      </c>
      <c r="G5120" s="1">
        <v>45236</v>
      </c>
      <c r="H5120">
        <v>5413527</v>
      </c>
      <c r="I5120">
        <v>129</v>
      </c>
      <c r="J5120" t="s">
        <v>414</v>
      </c>
      <c r="K5120" s="8" t="str">
        <f>IFERROR(IF(AND(VLOOKUP($C5120,Hes!$A:$B, 1, FALSE), $M5120&lt;&gt;" "), "Ingresada", "Falta Ingresar"), " ")</f>
        <v>Falta Ingresar</v>
      </c>
      <c r="L5120" s="4" t="str">
        <f>IFERROR(VLOOKUP($C5120,Observaciones!$A:$B,2,FALSE)," ")</f>
        <v>MANUAL XOC Y CC ESPERAR VENDEDOR</v>
      </c>
      <c r="M5120" t="s">
        <v>681</v>
      </c>
      <c r="N5120" s="5" t="s">
        <v>841</v>
      </c>
      <c r="O5120" s="5">
        <v>30856284</v>
      </c>
      <c r="P5120" s="5">
        <v>56809</v>
      </c>
      <c r="Q5120" s="5">
        <v>10794</v>
      </c>
      <c r="R5120" s="5">
        <v>67603</v>
      </c>
    </row>
    <row r="5121" spans="1:18" x14ac:dyDescent="0.25">
      <c r="A5121" t="s">
        <v>512</v>
      </c>
      <c r="B5121" t="s">
        <v>494</v>
      </c>
      <c r="C5121">
        <v>96756430</v>
      </c>
      <c r="D5121">
        <v>7</v>
      </c>
      <c r="E5121">
        <v>4500131644</v>
      </c>
      <c r="F5121" t="s">
        <v>1736</v>
      </c>
      <c r="G5121" s="1">
        <v>45236</v>
      </c>
      <c r="H5121">
        <v>5413636</v>
      </c>
      <c r="I5121">
        <v>129</v>
      </c>
      <c r="J5121" t="s">
        <v>414</v>
      </c>
      <c r="K5121" s="8" t="str">
        <f>IFERROR(IF(AND(VLOOKUP($C5121,Hes!$A:$B, 1, FALSE), $M5121&lt;&gt;" "), "Ingresada", "Falta Ingresar"), " ")</f>
        <v>Falta Ingresar</v>
      </c>
      <c r="L5121" s="4" t="str">
        <f>IFERROR(VLOOKUP($C5121,Observaciones!$A:$B,2,FALSE)," ")</f>
        <v>MANUAL XOC Y CC ESPERAR VENDEDOR</v>
      </c>
      <c r="M5121" t="s">
        <v>681</v>
      </c>
      <c r="N5121" s="5" t="s">
        <v>841</v>
      </c>
      <c r="O5121" s="5">
        <v>30856200</v>
      </c>
      <c r="P5121" s="5">
        <v>52232</v>
      </c>
      <c r="Q5121" s="5">
        <v>9924</v>
      </c>
      <c r="R5121" s="5">
        <v>62156</v>
      </c>
    </row>
    <row r="5122" spans="1:18" x14ac:dyDescent="0.25">
      <c r="A5122" t="s">
        <v>512</v>
      </c>
      <c r="B5122" t="s">
        <v>494</v>
      </c>
      <c r="C5122">
        <v>96756430</v>
      </c>
      <c r="D5122">
        <v>167</v>
      </c>
      <c r="E5122">
        <v>4500131669</v>
      </c>
      <c r="F5122" t="s">
        <v>1736</v>
      </c>
      <c r="G5122" s="1">
        <v>45238</v>
      </c>
      <c r="H5122">
        <v>5414652</v>
      </c>
      <c r="I5122">
        <v>129</v>
      </c>
      <c r="J5122" t="s">
        <v>414</v>
      </c>
      <c r="K5122" s="8" t="str">
        <f>IFERROR(IF(AND(VLOOKUP($C5122,Hes!$A:$B, 1, FALSE), $M5122&lt;&gt;" "), "Ingresada", "Falta Ingresar"), " ")</f>
        <v>Falta Ingresar</v>
      </c>
      <c r="L5122" s="4" t="str">
        <f>IFERROR(VLOOKUP($C5122,Observaciones!$A:$B,2,FALSE)," ")</f>
        <v>MANUAL XOC Y CC ESPERAR VENDEDOR</v>
      </c>
      <c r="M5122" t="s">
        <v>681</v>
      </c>
      <c r="N5122" s="5" t="s">
        <v>841</v>
      </c>
      <c r="O5122" s="5">
        <v>30856591</v>
      </c>
      <c r="P5122" s="5">
        <v>63598</v>
      </c>
      <c r="Q5122" s="5">
        <v>12084</v>
      </c>
      <c r="R5122" s="5">
        <v>75682</v>
      </c>
    </row>
    <row r="5123" spans="1:18" x14ac:dyDescent="0.25">
      <c r="A5123" t="s">
        <v>512</v>
      </c>
      <c r="B5123" t="s">
        <v>494</v>
      </c>
      <c r="C5123">
        <v>96756430</v>
      </c>
      <c r="D5123">
        <v>165</v>
      </c>
      <c r="E5123">
        <v>4500131645</v>
      </c>
      <c r="F5123" t="s">
        <v>1736</v>
      </c>
      <c r="G5123" s="1">
        <v>45238</v>
      </c>
      <c r="H5123">
        <v>5414653</v>
      </c>
      <c r="I5123">
        <v>129</v>
      </c>
      <c r="J5123" t="s">
        <v>414</v>
      </c>
      <c r="K5123" s="8" t="str">
        <f>IFERROR(IF(AND(VLOOKUP($C5123,Hes!$A:$B, 1, FALSE), $M5123&lt;&gt;" "), "Ingresada", "Falta Ingresar"), " ")</f>
        <v>Falta Ingresar</v>
      </c>
      <c r="L5123" s="4" t="str">
        <f>IFERROR(VLOOKUP($C5123,Observaciones!$A:$B,2,FALSE)," ")</f>
        <v>MANUAL XOC Y CC ESPERAR VENDEDOR</v>
      </c>
      <c r="M5123" t="s">
        <v>681</v>
      </c>
      <c r="N5123" s="5" t="s">
        <v>841</v>
      </c>
      <c r="O5123" s="5">
        <v>30856430</v>
      </c>
      <c r="P5123" s="5">
        <v>146480</v>
      </c>
      <c r="Q5123" s="5">
        <v>27831</v>
      </c>
      <c r="R5123" s="5">
        <v>174311</v>
      </c>
    </row>
    <row r="5124" spans="1:18" x14ac:dyDescent="0.25">
      <c r="A5124" t="s">
        <v>512</v>
      </c>
      <c r="B5124" t="s">
        <v>494</v>
      </c>
      <c r="C5124">
        <v>96756430</v>
      </c>
      <c r="D5124">
        <v>138</v>
      </c>
      <c r="E5124">
        <v>4500131668</v>
      </c>
      <c r="F5124" t="s">
        <v>1736</v>
      </c>
      <c r="G5124" s="1">
        <v>45238</v>
      </c>
      <c r="H5124">
        <v>5414708</v>
      </c>
      <c r="I5124">
        <v>129</v>
      </c>
      <c r="J5124" t="s">
        <v>414</v>
      </c>
      <c r="K5124" s="8" t="str">
        <f>IFERROR(IF(AND(VLOOKUP($C5124,Hes!$A:$B, 1, FALSE), $M5124&lt;&gt;" "), "Ingresada", "Falta Ingresar"), " ")</f>
        <v>Falta Ingresar</v>
      </c>
      <c r="L5124" s="4" t="str">
        <f>IFERROR(VLOOKUP($C5124,Observaciones!$A:$B,2,FALSE)," ")</f>
        <v>MANUAL XOC Y CC ESPERAR VENDEDOR</v>
      </c>
      <c r="M5124" t="s">
        <v>681</v>
      </c>
      <c r="N5124" s="5" t="s">
        <v>841</v>
      </c>
      <c r="O5124" s="5">
        <v>30856467</v>
      </c>
      <c r="P5124" s="5">
        <v>44972</v>
      </c>
      <c r="Q5124" s="5">
        <v>8545</v>
      </c>
      <c r="R5124" s="5">
        <v>53517</v>
      </c>
    </row>
    <row r="5125" spans="1:18" x14ac:dyDescent="0.25">
      <c r="F5125" t="s">
        <v>885</v>
      </c>
      <c r="K5125" t="str">
        <f>IFERROR(IF(AND(VLOOKUP($C5125,Hes!$A:$B, 1, FALSE), $M5125&lt;&gt;" "), "Ingresada", "Falta Ingresar"), " ")</f>
        <v xml:space="preserve"> </v>
      </c>
      <c r="L5125" s="4" t="str">
        <f>IFERROR(VLOOKUP($C5125,Observaciones!$A:$B,2,FALSE)," ")</f>
        <v xml:space="preserve"> </v>
      </c>
      <c r="M5125" t="s">
        <v>681</v>
      </c>
      <c r="P5125" s="5">
        <v>4047887</v>
      </c>
      <c r="Q5125" s="5">
        <v>769099</v>
      </c>
      <c r="R5125" s="5">
        <v>4816986</v>
      </c>
    </row>
    <row r="5126" spans="1:18" x14ac:dyDescent="0.25">
      <c r="A5126" t="s">
        <v>501</v>
      </c>
      <c r="B5126" t="s">
        <v>494</v>
      </c>
      <c r="C5126">
        <v>96756540</v>
      </c>
      <c r="D5126">
        <v>25</v>
      </c>
      <c r="E5126">
        <v>30851708</v>
      </c>
      <c r="F5126" t="s">
        <v>1737</v>
      </c>
      <c r="G5126" s="1">
        <v>45233</v>
      </c>
      <c r="H5126">
        <v>5411720</v>
      </c>
      <c r="I5126">
        <v>20</v>
      </c>
      <c r="J5126" t="s">
        <v>295</v>
      </c>
      <c r="K5126" t="str">
        <f>IFERROR(IF(AND(VLOOKUP($C5126,Hes!$A:$B, 1, FALSE), $M5126&lt;&gt;" "), "Ingresada", "Falta Ingresar"), " ")</f>
        <v xml:space="preserve"> </v>
      </c>
      <c r="L5126" s="4" t="str">
        <f>IFERROR(VLOOKUP($C5126,Observaciones!$A:$B,2,FALSE)," ")</f>
        <v xml:space="preserve"> </v>
      </c>
      <c r="M5126" t="s">
        <v>681</v>
      </c>
      <c r="O5126" s="5">
        <v>30851708</v>
      </c>
      <c r="P5126" s="5">
        <v>155522</v>
      </c>
      <c r="Q5126" s="5">
        <v>29549</v>
      </c>
      <c r="R5126" s="5">
        <v>185071</v>
      </c>
    </row>
    <row r="5127" spans="1:18" x14ac:dyDescent="0.25">
      <c r="A5127" t="s">
        <v>501</v>
      </c>
      <c r="B5127" t="s">
        <v>494</v>
      </c>
      <c r="C5127">
        <v>96756540</v>
      </c>
      <c r="D5127">
        <v>9</v>
      </c>
      <c r="E5127">
        <v>30851711</v>
      </c>
      <c r="F5127" t="s">
        <v>1737</v>
      </c>
      <c r="G5127" s="1">
        <v>45236</v>
      </c>
      <c r="H5127">
        <v>5412326</v>
      </c>
      <c r="I5127">
        <v>20</v>
      </c>
      <c r="J5127" t="s">
        <v>295</v>
      </c>
      <c r="K5127" t="str">
        <f>IFERROR(IF(AND(VLOOKUP($C5127,Hes!$A:$B, 1, FALSE), $M5127&lt;&gt;" "), "Ingresada", "Falta Ingresar"), " ")</f>
        <v xml:space="preserve"> </v>
      </c>
      <c r="L5127" s="4" t="str">
        <f>IFERROR(VLOOKUP($C5127,Observaciones!$A:$B,2,FALSE)," ")</f>
        <v xml:space="preserve"> </v>
      </c>
      <c r="M5127" t="s">
        <v>681</v>
      </c>
      <c r="O5127" s="5">
        <v>30851711</v>
      </c>
      <c r="P5127" s="5">
        <v>165685</v>
      </c>
      <c r="Q5127" s="5">
        <v>31480</v>
      </c>
      <c r="R5127" s="5">
        <v>197165</v>
      </c>
    </row>
    <row r="5128" spans="1:18" x14ac:dyDescent="0.25">
      <c r="F5128" t="s">
        <v>497</v>
      </c>
      <c r="K5128" t="str">
        <f>IFERROR(IF(AND(VLOOKUP($C5128,Hes!$A:$B, 1, FALSE), $M5128&lt;&gt;" "), "Ingresada", "Falta Ingresar"), " ")</f>
        <v xml:space="preserve"> </v>
      </c>
      <c r="L5128" s="4" t="str">
        <f>IFERROR(VLOOKUP($C5128,Observaciones!$A:$B,2,FALSE)," ")</f>
        <v xml:space="preserve"> </v>
      </c>
      <c r="M5128" t="s">
        <v>681</v>
      </c>
      <c r="P5128" s="5">
        <v>321207</v>
      </c>
      <c r="Q5128" s="5">
        <v>61029</v>
      </c>
      <c r="R5128" s="5">
        <v>382236</v>
      </c>
    </row>
    <row r="5129" spans="1:18" x14ac:dyDescent="0.25">
      <c r="A5129" t="s">
        <v>503</v>
      </c>
      <c r="B5129" t="s">
        <v>494</v>
      </c>
      <c r="C5129">
        <v>96757710</v>
      </c>
      <c r="D5129">
        <v>6</v>
      </c>
      <c r="E5129">
        <v>30850108</v>
      </c>
      <c r="F5129" t="s">
        <v>1738</v>
      </c>
      <c r="G5129" s="1">
        <v>45233</v>
      </c>
      <c r="H5129">
        <v>5411445</v>
      </c>
      <c r="I5129">
        <v>63</v>
      </c>
      <c r="J5129" t="s">
        <v>170</v>
      </c>
      <c r="K5129" s="8" t="str">
        <f>IFERROR(IF(AND(VLOOKUP($C5129,Hes!$A:$B, 1, FALSE), $M5129&lt;&gt;" "), "Ingresada", "Falta Ingresar"), " ")</f>
        <v>Falta Ingresar</v>
      </c>
      <c r="L5129" s="4" t="s">
        <v>681</v>
      </c>
      <c r="M5129" t="s">
        <v>681</v>
      </c>
      <c r="N5129" s="5" t="s">
        <v>841</v>
      </c>
      <c r="O5129" s="5">
        <v>30850108</v>
      </c>
      <c r="P5129" s="5">
        <v>41279</v>
      </c>
      <c r="Q5129" s="5">
        <v>7843</v>
      </c>
      <c r="R5129" s="5">
        <v>49122</v>
      </c>
    </row>
    <row r="5130" spans="1:18" x14ac:dyDescent="0.25">
      <c r="A5130" t="s">
        <v>503</v>
      </c>
      <c r="B5130" t="s">
        <v>494</v>
      </c>
      <c r="C5130">
        <v>96757710</v>
      </c>
      <c r="D5130">
        <v>6</v>
      </c>
      <c r="E5130">
        <v>30850105</v>
      </c>
      <c r="F5130" t="s">
        <v>1738</v>
      </c>
      <c r="G5130" s="1">
        <v>45233</v>
      </c>
      <c r="H5130">
        <v>5411483</v>
      </c>
      <c r="I5130">
        <v>63</v>
      </c>
      <c r="J5130" t="s">
        <v>170</v>
      </c>
      <c r="K5130" s="8" t="str">
        <f>IFERROR(IF(AND(VLOOKUP($C5130,Hes!$A:$B, 1, FALSE), $M5130&lt;&gt;" "), "Ingresada", "Falta Ingresar"), " ")</f>
        <v>Falta Ingresar</v>
      </c>
      <c r="L5130" s="4" t="s">
        <v>681</v>
      </c>
      <c r="M5130" t="s">
        <v>681</v>
      </c>
      <c r="N5130" s="5" t="s">
        <v>841</v>
      </c>
      <c r="O5130" s="5">
        <v>30850105</v>
      </c>
      <c r="P5130" s="5">
        <v>144320</v>
      </c>
      <c r="Q5130" s="5">
        <v>27421</v>
      </c>
      <c r="R5130" s="5">
        <v>171741</v>
      </c>
    </row>
    <row r="5131" spans="1:18" x14ac:dyDescent="0.25">
      <c r="A5131" t="s">
        <v>503</v>
      </c>
      <c r="B5131" t="s">
        <v>494</v>
      </c>
      <c r="C5131">
        <v>96757710</v>
      </c>
      <c r="D5131">
        <v>6</v>
      </c>
      <c r="E5131">
        <v>30850112</v>
      </c>
      <c r="F5131" t="s">
        <v>1738</v>
      </c>
      <c r="G5131" s="1">
        <v>45233</v>
      </c>
      <c r="H5131">
        <v>5411518</v>
      </c>
      <c r="I5131">
        <v>63</v>
      </c>
      <c r="J5131" t="s">
        <v>170</v>
      </c>
      <c r="K5131" s="8" t="str">
        <f>IFERROR(IF(AND(VLOOKUP($C5131,Hes!$A:$B, 1, FALSE), $M5131&lt;&gt;" "), "Ingresada", "Falta Ingresar"), " ")</f>
        <v>Falta Ingresar</v>
      </c>
      <c r="L5131" s="4" t="s">
        <v>681</v>
      </c>
      <c r="M5131" t="s">
        <v>681</v>
      </c>
      <c r="N5131" s="5" t="s">
        <v>841</v>
      </c>
      <c r="O5131" s="5">
        <v>30850112</v>
      </c>
      <c r="P5131" s="5">
        <v>278986</v>
      </c>
      <c r="Q5131" s="5">
        <v>53007</v>
      </c>
      <c r="R5131" s="5">
        <v>342722</v>
      </c>
    </row>
    <row r="5132" spans="1:18" x14ac:dyDescent="0.25">
      <c r="A5132" t="s">
        <v>503</v>
      </c>
      <c r="B5132" t="s">
        <v>494</v>
      </c>
      <c r="C5132">
        <v>96757710</v>
      </c>
      <c r="D5132">
        <v>6</v>
      </c>
      <c r="E5132">
        <v>30850103</v>
      </c>
      <c r="F5132" t="s">
        <v>1738</v>
      </c>
      <c r="G5132" s="1">
        <v>45233</v>
      </c>
      <c r="H5132">
        <v>5411590</v>
      </c>
      <c r="I5132">
        <v>63</v>
      </c>
      <c r="J5132" t="s">
        <v>170</v>
      </c>
      <c r="K5132" s="8" t="str">
        <f>IFERROR(IF(AND(VLOOKUP($C5132,Hes!$A:$B, 1, FALSE), $M5132&lt;&gt;" "), "Ingresada", "Falta Ingresar"), " ")</f>
        <v>Falta Ingresar</v>
      </c>
      <c r="L5132" s="4" t="s">
        <v>681</v>
      </c>
      <c r="M5132" t="s">
        <v>681</v>
      </c>
      <c r="N5132" s="5" t="s">
        <v>841</v>
      </c>
      <c r="O5132" s="5">
        <v>30850103</v>
      </c>
      <c r="P5132" s="5">
        <v>187491</v>
      </c>
      <c r="Q5132" s="5">
        <v>35623</v>
      </c>
      <c r="R5132" s="5">
        <v>223114</v>
      </c>
    </row>
    <row r="5133" spans="1:18" x14ac:dyDescent="0.25">
      <c r="A5133" t="s">
        <v>503</v>
      </c>
      <c r="B5133" t="s">
        <v>494</v>
      </c>
      <c r="C5133">
        <v>96757710</v>
      </c>
      <c r="D5133">
        <v>6</v>
      </c>
      <c r="E5133">
        <v>30853656</v>
      </c>
      <c r="F5133" t="s">
        <v>1738</v>
      </c>
      <c r="G5133" s="1">
        <v>45236</v>
      </c>
      <c r="H5133">
        <v>5413066</v>
      </c>
      <c r="I5133">
        <v>63</v>
      </c>
      <c r="J5133" t="s">
        <v>170</v>
      </c>
      <c r="K5133" s="8" t="str">
        <f>IFERROR(IF(AND(VLOOKUP($C5133,Hes!$A:$B, 1, FALSE), $M5133&lt;&gt;" "), "Ingresada", "Falta Ingresar"), " ")</f>
        <v>Falta Ingresar</v>
      </c>
      <c r="L5133" s="4" t="s">
        <v>681</v>
      </c>
      <c r="M5133" t="s">
        <v>681</v>
      </c>
      <c r="N5133" s="5" t="s">
        <v>841</v>
      </c>
      <c r="O5133" s="5">
        <v>30853656</v>
      </c>
      <c r="P5133" s="5">
        <v>53441</v>
      </c>
      <c r="Q5133" s="5">
        <v>10154</v>
      </c>
      <c r="R5133" s="5">
        <v>63595</v>
      </c>
    </row>
    <row r="5134" spans="1:18" x14ac:dyDescent="0.25">
      <c r="F5134" t="s">
        <v>499</v>
      </c>
      <c r="K5134" t="str">
        <f>IFERROR(IF(AND(VLOOKUP($C5134,Hes!$A:$B, 1, FALSE), $M5134&lt;&gt;" "), "Ingresada", "Falta Ingresar"), " ")</f>
        <v xml:space="preserve"> </v>
      </c>
      <c r="L5134" s="4" t="str">
        <f>IFERROR(VLOOKUP($C5134,Observaciones!$A:$B,2,FALSE)," ")</f>
        <v xml:space="preserve"> </v>
      </c>
      <c r="M5134" t="s">
        <v>681</v>
      </c>
      <c r="P5134" s="5">
        <v>705517</v>
      </c>
      <c r="Q5134" s="5">
        <v>134048</v>
      </c>
      <c r="R5134" s="5">
        <v>850294</v>
      </c>
    </row>
    <row r="5135" spans="1:18" x14ac:dyDescent="0.25">
      <c r="A5135" t="s">
        <v>505</v>
      </c>
      <c r="B5135" t="s">
        <v>494</v>
      </c>
      <c r="C5135">
        <v>96766340</v>
      </c>
      <c r="D5135">
        <v>35</v>
      </c>
      <c r="E5135">
        <v>30854829</v>
      </c>
      <c r="F5135" t="s">
        <v>1739</v>
      </c>
      <c r="G5135" s="1">
        <v>45236</v>
      </c>
      <c r="H5135">
        <v>5412760</v>
      </c>
      <c r="I5135">
        <v>178</v>
      </c>
      <c r="J5135" t="s">
        <v>303</v>
      </c>
      <c r="K5135" s="8" t="str">
        <f>IFERROR(IF(AND(VLOOKUP($C5135,Hes!$A:$B, 1, FALSE), $M5135&lt;&gt;" "), "Ingresada", "Falta Ingresar"), " ")</f>
        <v>Falta Ingresar</v>
      </c>
      <c r="L5135" s="4" t="str">
        <f>IFERROR(VLOOKUP($C5135,Observaciones!$A:$B,2,FALSE)," ")</f>
        <v xml:space="preserve"> </v>
      </c>
      <c r="M5135" t="s">
        <v>681</v>
      </c>
      <c r="N5135" s="5" t="s">
        <v>841</v>
      </c>
      <c r="O5135" s="5">
        <v>30854829</v>
      </c>
      <c r="P5135" s="5">
        <v>91412</v>
      </c>
      <c r="Q5135" s="5">
        <v>17368</v>
      </c>
      <c r="R5135" s="5">
        <v>108780</v>
      </c>
    </row>
    <row r="5136" spans="1:18" x14ac:dyDescent="0.25">
      <c r="A5136" t="s">
        <v>505</v>
      </c>
      <c r="B5136" t="s">
        <v>494</v>
      </c>
      <c r="C5136">
        <v>96766340</v>
      </c>
      <c r="D5136">
        <v>2</v>
      </c>
      <c r="E5136">
        <v>30850172</v>
      </c>
      <c r="F5136" t="s">
        <v>1739</v>
      </c>
      <c r="G5136" s="1">
        <v>45236</v>
      </c>
      <c r="H5136">
        <v>5413173</v>
      </c>
      <c r="I5136">
        <v>14</v>
      </c>
      <c r="J5136" t="s">
        <v>309</v>
      </c>
      <c r="K5136" s="8" t="str">
        <f>IFERROR(IF(AND(VLOOKUP($C5136,Hes!$A:$B, 1, FALSE), $M5136&lt;&gt;" "), "Ingresada", "Falta Ingresar"), " ")</f>
        <v>Falta Ingresar</v>
      </c>
      <c r="L5136" s="4" t="str">
        <f>IFERROR(VLOOKUP($C5136,Observaciones!$A:$B,2,FALSE)," ")</f>
        <v xml:space="preserve"> </v>
      </c>
      <c r="M5136" t="s">
        <v>681</v>
      </c>
      <c r="N5136" s="5" t="s">
        <v>841</v>
      </c>
      <c r="O5136" s="5">
        <v>30850172</v>
      </c>
      <c r="P5136" s="5">
        <v>236980</v>
      </c>
      <c r="Q5136" s="5">
        <v>45026</v>
      </c>
      <c r="R5136" s="5">
        <v>282006</v>
      </c>
    </row>
    <row r="5137" spans="1:18" x14ac:dyDescent="0.25">
      <c r="F5137" t="s">
        <v>497</v>
      </c>
      <c r="K5137" t="str">
        <f>IFERROR(IF(AND(VLOOKUP($C5137,Hes!$A:$B, 1, FALSE), $M5137&lt;&gt;" "), "Ingresada", "Falta Ingresar"), " ")</f>
        <v xml:space="preserve"> </v>
      </c>
      <c r="L5137" s="4" t="str">
        <f>IFERROR(VLOOKUP($C5137,Observaciones!$A:$B,2,FALSE)," ")</f>
        <v xml:space="preserve"> </v>
      </c>
      <c r="M5137" t="s">
        <v>681</v>
      </c>
      <c r="P5137" s="5">
        <v>328392</v>
      </c>
      <c r="Q5137" s="5">
        <v>62394</v>
      </c>
      <c r="R5137" s="5">
        <v>390786</v>
      </c>
    </row>
    <row r="5138" spans="1:18" x14ac:dyDescent="0.25">
      <c r="A5138" t="s">
        <v>496</v>
      </c>
      <c r="B5138" t="s">
        <v>494</v>
      </c>
      <c r="C5138">
        <v>96770100</v>
      </c>
      <c r="D5138">
        <v>0</v>
      </c>
      <c r="E5138">
        <v>4500603030</v>
      </c>
      <c r="F5138" t="s">
        <v>1740</v>
      </c>
      <c r="G5138" s="1">
        <v>45232</v>
      </c>
      <c r="H5138">
        <v>5410724</v>
      </c>
      <c r="I5138">
        <v>408</v>
      </c>
      <c r="J5138" t="s">
        <v>444</v>
      </c>
      <c r="K5138" t="str">
        <f>IFERROR(IF(AND(VLOOKUP($C5138,Hes!$A:$B, 1, FALSE), $M5138&lt;&gt;" "), "Ingresada", "Falta Ingresar"), " ")</f>
        <v xml:space="preserve"> </v>
      </c>
      <c r="L5138" s="4" t="s">
        <v>681</v>
      </c>
      <c r="M5138" t="s">
        <v>681</v>
      </c>
      <c r="O5138" s="5">
        <v>30843840</v>
      </c>
      <c r="P5138" s="5">
        <v>3657738</v>
      </c>
      <c r="Q5138" s="5">
        <v>694970</v>
      </c>
      <c r="R5138" s="5">
        <v>4352708</v>
      </c>
    </row>
    <row r="5139" spans="1:18" x14ac:dyDescent="0.25">
      <c r="A5139" t="s">
        <v>496</v>
      </c>
      <c r="B5139" t="s">
        <v>494</v>
      </c>
      <c r="C5139">
        <v>96770100</v>
      </c>
      <c r="D5139">
        <v>0</v>
      </c>
      <c r="E5139">
        <v>4500603030</v>
      </c>
      <c r="F5139" t="s">
        <v>1740</v>
      </c>
      <c r="G5139" s="1">
        <v>45233</v>
      </c>
      <c r="H5139">
        <v>5411324</v>
      </c>
      <c r="I5139">
        <v>408</v>
      </c>
      <c r="J5139" t="s">
        <v>444</v>
      </c>
      <c r="K5139" t="str">
        <f>IFERROR(IF(AND(VLOOKUP($C5139,Hes!$A:$B, 1, FALSE), $M5139&lt;&gt;" "), "Ingresada", "Falta Ingresar"), " ")</f>
        <v xml:space="preserve"> </v>
      </c>
      <c r="L5139" s="4" t="s">
        <v>681</v>
      </c>
      <c r="M5139" t="s">
        <v>681</v>
      </c>
      <c r="O5139" s="5">
        <v>30844076</v>
      </c>
      <c r="P5139" s="5">
        <v>1741876</v>
      </c>
      <c r="Q5139" s="5">
        <v>330956</v>
      </c>
      <c r="R5139" s="5">
        <v>2072832</v>
      </c>
    </row>
    <row r="5140" spans="1:18" x14ac:dyDescent="0.25">
      <c r="A5140" t="s">
        <v>496</v>
      </c>
      <c r="B5140" t="s">
        <v>494</v>
      </c>
      <c r="C5140">
        <v>96770100</v>
      </c>
      <c r="D5140">
        <v>0</v>
      </c>
      <c r="E5140">
        <v>4500604185</v>
      </c>
      <c r="F5140" t="s">
        <v>1740</v>
      </c>
      <c r="G5140" s="1">
        <v>45233</v>
      </c>
      <c r="H5140">
        <v>5411942</v>
      </c>
      <c r="I5140">
        <v>408</v>
      </c>
      <c r="J5140" t="s">
        <v>444</v>
      </c>
      <c r="K5140" t="str">
        <f>IFERROR(IF(AND(VLOOKUP($C5140,Hes!$A:$B, 1, FALSE), $M5140&lt;&gt;" "), "Ingresada", "Falta Ingresar"), " ")</f>
        <v xml:space="preserve"> </v>
      </c>
      <c r="L5140" s="4" t="s">
        <v>681</v>
      </c>
      <c r="M5140" t="s">
        <v>681</v>
      </c>
      <c r="O5140" s="5">
        <v>30852331</v>
      </c>
      <c r="P5140" s="5">
        <v>95744</v>
      </c>
      <c r="Q5140" s="5">
        <v>18191</v>
      </c>
      <c r="R5140" s="5">
        <v>113935</v>
      </c>
    </row>
    <row r="5141" spans="1:18" x14ac:dyDescent="0.25">
      <c r="A5141" t="s">
        <v>496</v>
      </c>
      <c r="B5141" t="s">
        <v>494</v>
      </c>
      <c r="C5141">
        <v>96770100</v>
      </c>
      <c r="D5141">
        <v>7</v>
      </c>
      <c r="E5141">
        <v>4500603960</v>
      </c>
      <c r="F5141" t="s">
        <v>1740</v>
      </c>
      <c r="G5141" s="1">
        <v>45236</v>
      </c>
      <c r="H5141">
        <v>5412377</v>
      </c>
      <c r="I5141">
        <v>408</v>
      </c>
      <c r="J5141" t="s">
        <v>444</v>
      </c>
      <c r="K5141" t="str">
        <f>IFERROR(IF(AND(VLOOKUP($C5141,Hes!$A:$B, 1, FALSE), $M5141&lt;&gt;" "), "Ingresada", "Falta Ingresar"), " ")</f>
        <v xml:space="preserve"> </v>
      </c>
      <c r="L5141" s="4" t="s">
        <v>681</v>
      </c>
      <c r="M5141" t="s">
        <v>681</v>
      </c>
      <c r="O5141" s="5">
        <v>30851578</v>
      </c>
      <c r="P5141" s="5">
        <v>214919</v>
      </c>
      <c r="Q5141" s="5">
        <v>40835</v>
      </c>
      <c r="R5141" s="5">
        <v>255754</v>
      </c>
    </row>
    <row r="5142" spans="1:18" x14ac:dyDescent="0.25">
      <c r="A5142" t="s">
        <v>496</v>
      </c>
      <c r="B5142" t="s">
        <v>494</v>
      </c>
      <c r="C5142">
        <v>96770100</v>
      </c>
      <c r="D5142">
        <v>0</v>
      </c>
      <c r="E5142">
        <v>4500603029</v>
      </c>
      <c r="F5142" t="s">
        <v>1740</v>
      </c>
      <c r="G5142" s="1">
        <v>45236</v>
      </c>
      <c r="H5142">
        <v>5413540</v>
      </c>
      <c r="I5142">
        <v>408</v>
      </c>
      <c r="J5142" t="s">
        <v>444</v>
      </c>
      <c r="K5142" t="str">
        <f>IFERROR(IF(AND(VLOOKUP($C5142,Hes!$A:$B, 1, FALSE), $M5142&lt;&gt;" "), "Ingresada", "Falta Ingresar"), " ")</f>
        <v xml:space="preserve"> </v>
      </c>
      <c r="L5142" s="4" t="s">
        <v>681</v>
      </c>
      <c r="M5142" t="s">
        <v>681</v>
      </c>
      <c r="O5142" s="5">
        <v>30857528</v>
      </c>
      <c r="P5142" s="5">
        <v>1430000</v>
      </c>
      <c r="Q5142" s="5">
        <v>271700</v>
      </c>
      <c r="R5142" s="5">
        <v>1701700</v>
      </c>
    </row>
    <row r="5143" spans="1:18" x14ac:dyDescent="0.25">
      <c r="A5143" t="s">
        <v>496</v>
      </c>
      <c r="B5143" t="s">
        <v>494</v>
      </c>
      <c r="C5143">
        <v>96770100</v>
      </c>
      <c r="D5143">
        <v>0</v>
      </c>
      <c r="E5143">
        <v>4500604692</v>
      </c>
      <c r="F5143" t="s">
        <v>1740</v>
      </c>
      <c r="G5143" s="1">
        <v>45237</v>
      </c>
      <c r="H5143">
        <v>5414053</v>
      </c>
      <c r="I5143">
        <v>408</v>
      </c>
      <c r="J5143" t="s">
        <v>444</v>
      </c>
      <c r="K5143" t="str">
        <f>IFERROR(IF(AND(VLOOKUP($C5143,Hes!$A:$B, 1, FALSE), $M5143&lt;&gt;" "), "Ingresada", "Falta Ingresar"), " ")</f>
        <v xml:space="preserve"> </v>
      </c>
      <c r="L5143" s="4" t="s">
        <v>681</v>
      </c>
      <c r="M5143" t="s">
        <v>681</v>
      </c>
      <c r="O5143" s="5">
        <v>30823931</v>
      </c>
      <c r="P5143" s="5">
        <v>14932</v>
      </c>
      <c r="Q5143" s="5">
        <v>2837</v>
      </c>
      <c r="R5143" s="5">
        <v>17769</v>
      </c>
    </row>
    <row r="5144" spans="1:18" x14ac:dyDescent="0.25">
      <c r="F5144" t="s">
        <v>523</v>
      </c>
      <c r="K5144" t="str">
        <f>IFERROR(IF(AND(VLOOKUP($C5144,Hes!$A:$B, 1, FALSE), $M5144&lt;&gt;" "), "Ingresada", "Falta Ingresar"), " ")</f>
        <v xml:space="preserve"> </v>
      </c>
      <c r="L5144" s="4" t="str">
        <f>IFERROR(VLOOKUP($C5144,Observaciones!$A:$B,2,FALSE)," ")</f>
        <v xml:space="preserve"> </v>
      </c>
      <c r="M5144" t="s">
        <v>681</v>
      </c>
      <c r="P5144" s="5">
        <v>7155209</v>
      </c>
      <c r="Q5144" s="5">
        <v>1359489</v>
      </c>
      <c r="R5144" s="5">
        <v>8514698</v>
      </c>
    </row>
    <row r="5145" spans="1:18" x14ac:dyDescent="0.25">
      <c r="A5145" t="s">
        <v>501</v>
      </c>
      <c r="B5145" t="s">
        <v>494</v>
      </c>
      <c r="C5145">
        <v>96773130</v>
      </c>
      <c r="D5145">
        <v>27</v>
      </c>
      <c r="E5145" t="s">
        <v>1741</v>
      </c>
      <c r="F5145" t="s">
        <v>1742</v>
      </c>
      <c r="G5145" s="1">
        <v>45238</v>
      </c>
      <c r="H5145">
        <v>5414711</v>
      </c>
      <c r="I5145">
        <v>144</v>
      </c>
      <c r="J5145" t="s">
        <v>117</v>
      </c>
      <c r="K5145" t="str">
        <f>IFERROR(IF(AND(VLOOKUP($C5145,Hes!$A:$B, 1, FALSE), $M5145&lt;&gt;" "), "Ingresada", "Falta Ingresar"), " ")</f>
        <v xml:space="preserve"> </v>
      </c>
      <c r="L5145" s="4" t="str">
        <f>IFERROR(VLOOKUP($C5145,Observaciones!$A:$B,2,FALSE)," ")</f>
        <v xml:space="preserve"> </v>
      </c>
      <c r="M5145" t="s">
        <v>681</v>
      </c>
      <c r="O5145" s="5">
        <v>30856256</v>
      </c>
      <c r="P5145" s="5">
        <v>40239</v>
      </c>
      <c r="Q5145" s="5">
        <v>7645</v>
      </c>
      <c r="R5145" s="5">
        <v>47884</v>
      </c>
    </row>
    <row r="5146" spans="1:18" x14ac:dyDescent="0.25">
      <c r="F5146" t="s">
        <v>495</v>
      </c>
      <c r="K5146" t="str">
        <f>IFERROR(IF(AND(VLOOKUP($C5146,Hes!$A:$B, 1, FALSE), $M5146&lt;&gt;" "), "Ingresada", "Falta Ingresar"), " ")</f>
        <v xml:space="preserve"> </v>
      </c>
      <c r="L5146" s="4" t="str">
        <f>IFERROR(VLOOKUP($C5146,Observaciones!$A:$B,2,FALSE)," ")</f>
        <v xml:space="preserve"> </v>
      </c>
      <c r="M5146" t="s">
        <v>681</v>
      </c>
      <c r="P5146" s="5">
        <v>40239</v>
      </c>
      <c r="Q5146" s="5">
        <v>7645</v>
      </c>
      <c r="R5146" s="5">
        <v>47884</v>
      </c>
    </row>
    <row r="5147" spans="1:18" x14ac:dyDescent="0.25">
      <c r="A5147" t="s">
        <v>501</v>
      </c>
      <c r="B5147" t="s">
        <v>494</v>
      </c>
      <c r="C5147">
        <v>96773770</v>
      </c>
      <c r="D5147">
        <v>0</v>
      </c>
      <c r="E5147">
        <v>21856</v>
      </c>
      <c r="F5147" t="s">
        <v>1743</v>
      </c>
      <c r="G5147" s="1">
        <v>45232</v>
      </c>
      <c r="H5147">
        <v>5410738</v>
      </c>
      <c r="I5147">
        <v>12</v>
      </c>
      <c r="J5147" t="s">
        <v>319</v>
      </c>
      <c r="K5147" t="str">
        <f>IFERROR(IF(AND(VLOOKUP($C5147,Hes!$A:$B, 1, FALSE), $M5147&lt;&gt;" "), "Ingresada", "Falta Ingresar"), " ")</f>
        <v xml:space="preserve"> </v>
      </c>
      <c r="L5147" s="4" t="str">
        <f>IFERROR(VLOOKUP($C5147,Observaciones!$A:$B,2,FALSE)," ")</f>
        <v xml:space="preserve"> </v>
      </c>
      <c r="M5147" t="s">
        <v>681</v>
      </c>
      <c r="O5147" s="5">
        <v>30844487</v>
      </c>
      <c r="P5147" s="5">
        <v>131161</v>
      </c>
      <c r="Q5147" s="5">
        <v>24921</v>
      </c>
      <c r="R5147" s="5">
        <v>156082</v>
      </c>
    </row>
    <row r="5148" spans="1:18" x14ac:dyDescent="0.25">
      <c r="F5148" t="s">
        <v>495</v>
      </c>
      <c r="K5148" t="str">
        <f>IFERROR(IF(AND(VLOOKUP($C5148,Hes!$A:$B, 1, FALSE), $M5148&lt;&gt;" "), "Ingresada", "Falta Ingresar"), " ")</f>
        <v xml:space="preserve"> </v>
      </c>
      <c r="L5148" s="4" t="str">
        <f>IFERROR(VLOOKUP($C5148,Observaciones!$A:$B,2,FALSE)," ")</f>
        <v xml:space="preserve"> </v>
      </c>
      <c r="M5148" t="s">
        <v>681</v>
      </c>
      <c r="P5148" s="5">
        <v>131161</v>
      </c>
      <c r="Q5148" s="5">
        <v>24921</v>
      </c>
      <c r="R5148" s="5">
        <v>156082</v>
      </c>
    </row>
    <row r="5149" spans="1:18" x14ac:dyDescent="0.25">
      <c r="A5149" t="s">
        <v>522</v>
      </c>
      <c r="B5149" t="s">
        <v>494</v>
      </c>
      <c r="C5149">
        <v>96773930</v>
      </c>
      <c r="D5149">
        <v>7</v>
      </c>
      <c r="E5149">
        <v>30850369</v>
      </c>
      <c r="F5149" t="s">
        <v>1744</v>
      </c>
      <c r="G5149" s="1">
        <v>45233</v>
      </c>
      <c r="H5149">
        <v>5411556</v>
      </c>
      <c r="I5149">
        <v>134</v>
      </c>
      <c r="J5149" t="s">
        <v>208</v>
      </c>
      <c r="K5149" t="str">
        <f>IFERROR(IF(AND(VLOOKUP($C5149,Hes!$A:$B, 1, FALSE), $M5149&lt;&gt;" "), "Ingresada", "Falta Ingresar"), " ")</f>
        <v xml:space="preserve"> </v>
      </c>
      <c r="L5149" s="4" t="str">
        <f>IFERROR(VLOOKUP($C5149,Observaciones!$A:$B,2,FALSE)," ")</f>
        <v xml:space="preserve"> </v>
      </c>
      <c r="M5149" t="s">
        <v>681</v>
      </c>
      <c r="O5149" s="5">
        <v>30850369</v>
      </c>
      <c r="P5149" s="5">
        <v>26185</v>
      </c>
      <c r="Q5149" s="5">
        <v>4975</v>
      </c>
      <c r="R5149" s="5">
        <v>31160</v>
      </c>
    </row>
    <row r="5150" spans="1:18" x14ac:dyDescent="0.25">
      <c r="F5150" t="s">
        <v>495</v>
      </c>
      <c r="K5150" t="str">
        <f>IFERROR(IF(AND(VLOOKUP($C5150,Hes!$A:$B, 1, FALSE), $M5150&lt;&gt;" "), "Ingresada", "Falta Ingresar"), " ")</f>
        <v xml:space="preserve"> </v>
      </c>
      <c r="L5150" s="4" t="str">
        <f>IFERROR(VLOOKUP($C5150,Observaciones!$A:$B,2,FALSE)," ")</f>
        <v xml:space="preserve"> </v>
      </c>
      <c r="M5150" t="s">
        <v>681</v>
      </c>
      <c r="P5150" s="5">
        <v>26185</v>
      </c>
      <c r="Q5150" s="5">
        <v>4975</v>
      </c>
      <c r="R5150" s="5">
        <v>31160</v>
      </c>
    </row>
    <row r="5151" spans="1:18" x14ac:dyDescent="0.25">
      <c r="A5151" t="s">
        <v>503</v>
      </c>
      <c r="B5151" t="s">
        <v>494</v>
      </c>
      <c r="C5151">
        <v>96774640</v>
      </c>
      <c r="D5151">
        <v>0</v>
      </c>
      <c r="E5151">
        <v>30861986</v>
      </c>
      <c r="F5151" t="s">
        <v>1745</v>
      </c>
      <c r="G5151" s="1">
        <v>45238</v>
      </c>
      <c r="H5151">
        <v>5414981</v>
      </c>
      <c r="I5151">
        <v>424</v>
      </c>
      <c r="J5151" t="s">
        <v>146</v>
      </c>
      <c r="K5151" t="str">
        <f>IFERROR(IF(AND(VLOOKUP($C5151,Hes!$A:$B, 1, FALSE), $M5151&lt;&gt;" "), "Ingresada", "Falta Ingresar"), " ")</f>
        <v xml:space="preserve"> </v>
      </c>
      <c r="L5151" s="4" t="str">
        <f>IFERROR(VLOOKUP($C5151,Observaciones!$A:$B,2,FALSE)," ")</f>
        <v xml:space="preserve"> </v>
      </c>
      <c r="M5151" t="s">
        <v>681</v>
      </c>
      <c r="O5151" s="5">
        <v>30861986</v>
      </c>
      <c r="P5151" s="5">
        <v>99180</v>
      </c>
      <c r="Q5151" s="5">
        <v>18844</v>
      </c>
      <c r="R5151" s="5">
        <v>118024</v>
      </c>
    </row>
    <row r="5152" spans="1:18" x14ac:dyDescent="0.25">
      <c r="F5152" t="s">
        <v>495</v>
      </c>
      <c r="K5152" t="str">
        <f>IFERROR(IF(AND(VLOOKUP($C5152,Hes!$A:$B, 1, FALSE), $M5152&lt;&gt;" "), "Ingresada", "Falta Ingresar"), " ")</f>
        <v xml:space="preserve"> </v>
      </c>
      <c r="L5152" s="4" t="str">
        <f>IFERROR(VLOOKUP($C5152,Observaciones!$A:$B,2,FALSE)," ")</f>
        <v xml:space="preserve"> </v>
      </c>
      <c r="M5152" t="s">
        <v>681</v>
      </c>
      <c r="P5152" s="5">
        <v>99180</v>
      </c>
      <c r="Q5152" s="5">
        <v>18844</v>
      </c>
      <c r="R5152" s="5">
        <v>118024</v>
      </c>
    </row>
    <row r="5153" spans="1:18" x14ac:dyDescent="0.25">
      <c r="A5153" t="s">
        <v>501</v>
      </c>
      <c r="B5153" t="s">
        <v>494</v>
      </c>
      <c r="C5153">
        <v>96775400</v>
      </c>
      <c r="D5153">
        <v>93</v>
      </c>
      <c r="E5153">
        <v>30850719</v>
      </c>
      <c r="F5153" t="s">
        <v>1746</v>
      </c>
      <c r="G5153" s="1">
        <v>45233</v>
      </c>
      <c r="H5153">
        <v>5411711</v>
      </c>
      <c r="I5153">
        <v>181</v>
      </c>
      <c r="J5153" t="s">
        <v>206</v>
      </c>
      <c r="K5153" t="str">
        <f>IFERROR(IF(AND(VLOOKUP($C5153,Hes!$A:$B, 1, FALSE), $M5153&lt;&gt;" "), "Ingresada", "Falta Ingresar"), " ")</f>
        <v xml:space="preserve"> </v>
      </c>
      <c r="L5153" s="4" t="str">
        <f>IFERROR(VLOOKUP($C5153,Observaciones!$A:$B,2,FALSE)," ")</f>
        <v xml:space="preserve"> </v>
      </c>
      <c r="M5153" t="s">
        <v>681</v>
      </c>
      <c r="O5153" s="5">
        <v>30850719</v>
      </c>
      <c r="P5153" s="5">
        <v>501877</v>
      </c>
      <c r="Q5153" s="5">
        <v>95357</v>
      </c>
      <c r="R5153" s="5">
        <v>597234</v>
      </c>
    </row>
    <row r="5154" spans="1:18" x14ac:dyDescent="0.25">
      <c r="A5154" t="s">
        <v>501</v>
      </c>
      <c r="B5154" t="s">
        <v>494</v>
      </c>
      <c r="C5154">
        <v>96775400</v>
      </c>
      <c r="D5154">
        <v>6</v>
      </c>
      <c r="E5154">
        <v>30859181</v>
      </c>
      <c r="F5154" t="s">
        <v>1746</v>
      </c>
      <c r="G5154" s="1">
        <v>45238</v>
      </c>
      <c r="H5154">
        <v>5414555</v>
      </c>
      <c r="I5154">
        <v>181</v>
      </c>
      <c r="J5154" t="s">
        <v>206</v>
      </c>
      <c r="K5154" t="str">
        <f>IFERROR(IF(AND(VLOOKUP($C5154,Hes!$A:$B, 1, FALSE), $M5154&lt;&gt;" "), "Ingresada", "Falta Ingresar"), " ")</f>
        <v xml:space="preserve"> </v>
      </c>
      <c r="L5154" s="4" t="str">
        <f>IFERROR(VLOOKUP($C5154,Observaciones!$A:$B,2,FALSE)," ")</f>
        <v xml:space="preserve"> </v>
      </c>
      <c r="M5154" t="s">
        <v>681</v>
      </c>
      <c r="O5154" s="5">
        <v>30859181</v>
      </c>
      <c r="P5154" s="5">
        <v>299074</v>
      </c>
      <c r="Q5154" s="5">
        <v>56824</v>
      </c>
      <c r="R5154" s="5">
        <v>355898</v>
      </c>
    </row>
    <row r="5155" spans="1:18" x14ac:dyDescent="0.25">
      <c r="A5155" t="s">
        <v>501</v>
      </c>
      <c r="B5155" t="s">
        <v>494</v>
      </c>
      <c r="C5155">
        <v>96775400</v>
      </c>
      <c r="D5155">
        <v>6</v>
      </c>
      <c r="E5155">
        <v>30859181</v>
      </c>
      <c r="F5155" t="s">
        <v>1746</v>
      </c>
      <c r="G5155" s="1">
        <v>45238</v>
      </c>
      <c r="H5155">
        <v>5414556</v>
      </c>
      <c r="I5155">
        <v>181</v>
      </c>
      <c r="J5155" t="s">
        <v>206</v>
      </c>
      <c r="K5155" t="str">
        <f>IFERROR(IF(AND(VLOOKUP($C5155,Hes!$A:$B, 1, FALSE), $M5155&lt;&gt;" "), "Ingresada", "Falta Ingresar"), " ")</f>
        <v xml:space="preserve"> </v>
      </c>
      <c r="L5155" s="4" t="str">
        <f>IFERROR(VLOOKUP($C5155,Observaciones!$A:$B,2,FALSE)," ")</f>
        <v xml:space="preserve"> </v>
      </c>
      <c r="M5155" t="s">
        <v>681</v>
      </c>
      <c r="O5155" s="5">
        <v>30859181</v>
      </c>
      <c r="P5155" s="5">
        <v>18910</v>
      </c>
      <c r="Q5155" s="5">
        <v>3593</v>
      </c>
      <c r="R5155" s="5">
        <v>22503</v>
      </c>
    </row>
    <row r="5156" spans="1:18" x14ac:dyDescent="0.25">
      <c r="A5156" t="s">
        <v>501</v>
      </c>
      <c r="B5156" t="s">
        <v>494</v>
      </c>
      <c r="C5156">
        <v>96775400</v>
      </c>
      <c r="D5156">
        <v>94</v>
      </c>
      <c r="E5156">
        <v>30859053</v>
      </c>
      <c r="F5156" t="s">
        <v>1746</v>
      </c>
      <c r="G5156" s="1">
        <v>45238</v>
      </c>
      <c r="H5156">
        <v>5415322</v>
      </c>
      <c r="I5156">
        <v>181</v>
      </c>
      <c r="J5156" t="s">
        <v>206</v>
      </c>
      <c r="K5156" t="str">
        <f>IFERROR(IF(AND(VLOOKUP($C5156,Hes!$A:$B, 1, FALSE), $M5156&lt;&gt;" "), "Ingresada", "Falta Ingresar"), " ")</f>
        <v xml:space="preserve"> </v>
      </c>
      <c r="L5156" s="4" t="str">
        <f>IFERROR(VLOOKUP($C5156,Observaciones!$A:$B,2,FALSE)," ")</f>
        <v xml:space="preserve"> </v>
      </c>
      <c r="M5156" t="s">
        <v>681</v>
      </c>
      <c r="O5156" s="5">
        <v>30859053</v>
      </c>
      <c r="P5156" s="5">
        <v>46477</v>
      </c>
      <c r="Q5156" s="5">
        <v>8831</v>
      </c>
      <c r="R5156" s="5">
        <v>55308</v>
      </c>
    </row>
    <row r="5157" spans="1:18" x14ac:dyDescent="0.25">
      <c r="A5157" t="s">
        <v>501</v>
      </c>
      <c r="B5157" t="s">
        <v>494</v>
      </c>
      <c r="C5157">
        <v>96775400</v>
      </c>
      <c r="D5157">
        <v>5</v>
      </c>
      <c r="E5157">
        <v>30864139</v>
      </c>
      <c r="F5157" t="s">
        <v>1746</v>
      </c>
      <c r="G5157" s="1">
        <v>45238</v>
      </c>
      <c r="H5157">
        <v>5415704</v>
      </c>
      <c r="I5157">
        <v>181</v>
      </c>
      <c r="J5157" t="s">
        <v>206</v>
      </c>
      <c r="K5157" t="str">
        <f>IFERROR(IF(AND(VLOOKUP($C5157,Hes!$A:$B, 1, FALSE), $M5157&lt;&gt;" "), "Ingresada", "Falta Ingresar"), " ")</f>
        <v xml:space="preserve"> </v>
      </c>
      <c r="L5157" s="4" t="str">
        <f>IFERROR(VLOOKUP($C5157,Observaciones!$A:$B,2,FALSE)," ")</f>
        <v xml:space="preserve"> </v>
      </c>
      <c r="M5157" t="s">
        <v>681</v>
      </c>
      <c r="O5157" s="5">
        <v>30864139</v>
      </c>
      <c r="P5157" s="5">
        <v>230404</v>
      </c>
      <c r="Q5157" s="5">
        <v>43777</v>
      </c>
      <c r="R5157" s="5">
        <v>274181</v>
      </c>
    </row>
    <row r="5158" spans="1:18" x14ac:dyDescent="0.25">
      <c r="A5158" t="s">
        <v>501</v>
      </c>
      <c r="B5158" t="s">
        <v>494</v>
      </c>
      <c r="C5158">
        <v>96775400</v>
      </c>
      <c r="D5158">
        <v>5</v>
      </c>
      <c r="E5158">
        <v>30864139</v>
      </c>
      <c r="F5158" t="s">
        <v>1746</v>
      </c>
      <c r="G5158" s="1">
        <v>45238</v>
      </c>
      <c r="H5158">
        <v>5415705</v>
      </c>
      <c r="I5158">
        <v>181</v>
      </c>
      <c r="J5158" t="s">
        <v>206</v>
      </c>
      <c r="K5158" t="str">
        <f>IFERROR(IF(AND(VLOOKUP($C5158,Hes!$A:$B, 1, FALSE), $M5158&lt;&gt;" "), "Ingresada", "Falta Ingresar"), " ")</f>
        <v xml:space="preserve"> </v>
      </c>
      <c r="L5158" s="4" t="str">
        <f>IFERROR(VLOOKUP($C5158,Observaciones!$A:$B,2,FALSE)," ")</f>
        <v xml:space="preserve"> </v>
      </c>
      <c r="M5158" t="s">
        <v>681</v>
      </c>
      <c r="O5158" s="5">
        <v>30864139</v>
      </c>
      <c r="P5158" s="5">
        <v>44146</v>
      </c>
      <c r="Q5158" s="5">
        <v>8388</v>
      </c>
      <c r="R5158" s="5">
        <v>52534</v>
      </c>
    </row>
    <row r="5159" spans="1:18" x14ac:dyDescent="0.25">
      <c r="F5159" t="s">
        <v>523</v>
      </c>
      <c r="K5159" t="str">
        <f>IFERROR(IF(AND(VLOOKUP($C5159,Hes!$A:$B, 1, FALSE), $M5159&lt;&gt;" "), "Ingresada", "Falta Ingresar"), " ")</f>
        <v xml:space="preserve"> </v>
      </c>
      <c r="L5159" s="4" t="str">
        <f>IFERROR(VLOOKUP($C5159,Observaciones!$A:$B,2,FALSE)," ")</f>
        <v xml:space="preserve"> </v>
      </c>
      <c r="M5159" t="s">
        <v>681</v>
      </c>
      <c r="P5159" s="5">
        <v>1140888</v>
      </c>
      <c r="Q5159" s="5">
        <v>216770</v>
      </c>
      <c r="R5159" s="5">
        <v>1357658</v>
      </c>
    </row>
    <row r="5160" spans="1:18" x14ac:dyDescent="0.25">
      <c r="A5160" t="s">
        <v>501</v>
      </c>
      <c r="B5160" t="s">
        <v>494</v>
      </c>
      <c r="C5160">
        <v>96777350</v>
      </c>
      <c r="D5160">
        <v>0</v>
      </c>
      <c r="E5160">
        <v>30855967</v>
      </c>
      <c r="F5160" t="s">
        <v>1747</v>
      </c>
      <c r="G5160" s="1">
        <v>45236</v>
      </c>
      <c r="H5160">
        <v>5413675</v>
      </c>
      <c r="I5160">
        <v>129</v>
      </c>
      <c r="J5160" t="s">
        <v>414</v>
      </c>
      <c r="K5160" t="str">
        <f>IFERROR(IF(AND(VLOOKUP($C5160,Hes!$A:$B, 1, FALSE), $M5160&lt;&gt;" "), "Ingresada", "Falta Ingresar"), " ")</f>
        <v xml:space="preserve"> </v>
      </c>
      <c r="L5160" s="4" t="str">
        <f>IFERROR(VLOOKUP($C5160,Observaciones!$A:$B,2,FALSE)," ")</f>
        <v xml:space="preserve"> </v>
      </c>
      <c r="M5160" t="s">
        <v>681</v>
      </c>
      <c r="O5160" s="5">
        <v>30855967</v>
      </c>
      <c r="P5160" s="5">
        <v>91517</v>
      </c>
      <c r="Q5160" s="5">
        <v>17388</v>
      </c>
      <c r="R5160" s="5">
        <v>108905</v>
      </c>
    </row>
    <row r="5161" spans="1:18" x14ac:dyDescent="0.25">
      <c r="F5161" t="s">
        <v>495</v>
      </c>
      <c r="K5161" t="str">
        <f>IFERROR(IF(AND(VLOOKUP($C5161,Hes!$A:$B, 1, FALSE), $M5161&lt;&gt;" "), "Ingresada", "Falta Ingresar"), " ")</f>
        <v xml:space="preserve"> </v>
      </c>
      <c r="L5161" s="4" t="str">
        <f>IFERROR(VLOOKUP($C5161,Observaciones!$A:$B,2,FALSE)," ")</f>
        <v xml:space="preserve"> </v>
      </c>
      <c r="M5161" t="s">
        <v>681</v>
      </c>
      <c r="P5161" s="5">
        <v>91517</v>
      </c>
      <c r="Q5161" s="5">
        <v>17388</v>
      </c>
      <c r="R5161" s="5">
        <v>108905</v>
      </c>
    </row>
    <row r="5162" spans="1:18" x14ac:dyDescent="0.25">
      <c r="A5162" t="s">
        <v>496</v>
      </c>
      <c r="B5162" t="s">
        <v>502</v>
      </c>
      <c r="C5162">
        <v>96780490</v>
      </c>
      <c r="D5162">
        <v>7</v>
      </c>
      <c r="E5162">
        <v>4500462316</v>
      </c>
      <c r="F5162" t="s">
        <v>1748</v>
      </c>
      <c r="G5162" s="1">
        <v>45233</v>
      </c>
      <c r="H5162">
        <v>5411541</v>
      </c>
      <c r="I5162">
        <v>394</v>
      </c>
      <c r="J5162" t="s">
        <v>224</v>
      </c>
      <c r="K5162" s="8" t="str">
        <f>IFERROR(IF(AND(VLOOKUP($C5162,Hes!$A:$B, 1, FALSE), $M5162&lt;&gt;" "), "Ingresada", "Falta Ingresar"), " ")</f>
        <v>Falta Ingresar</v>
      </c>
      <c r="L5162" s="4" t="str">
        <f>IFERROR(VLOOKUP($C5162,Observaciones!$A:$B,2,FALSE)," ")</f>
        <v>XOC Y CC</v>
      </c>
      <c r="M5162" t="s">
        <v>681</v>
      </c>
      <c r="N5162" s="5" t="s">
        <v>841</v>
      </c>
      <c r="O5162" s="5">
        <v>30843751</v>
      </c>
      <c r="P5162" s="5">
        <v>62349</v>
      </c>
      <c r="Q5162" s="5">
        <v>11846</v>
      </c>
      <c r="R5162" s="5">
        <v>74195</v>
      </c>
    </row>
    <row r="5163" spans="1:18" x14ac:dyDescent="0.25">
      <c r="F5163" t="s">
        <v>495</v>
      </c>
      <c r="K5163" t="str">
        <f>IFERROR(IF(AND(VLOOKUP($C5163,Hes!$A:$B, 1, FALSE), $M5163&lt;&gt;" "), "Ingresada", "Falta Ingresar"), " ")</f>
        <v xml:space="preserve"> </v>
      </c>
      <c r="L5163" s="4" t="str">
        <f>IFERROR(VLOOKUP($C5163,Observaciones!$A:$B,2,FALSE)," ")</f>
        <v xml:space="preserve"> </v>
      </c>
      <c r="M5163" t="s">
        <v>681</v>
      </c>
      <c r="P5163" s="5">
        <v>62349</v>
      </c>
      <c r="Q5163" s="5">
        <v>11846</v>
      </c>
      <c r="R5163" s="5">
        <v>74195</v>
      </c>
    </row>
    <row r="5164" spans="1:18" x14ac:dyDescent="0.25">
      <c r="A5164" t="s">
        <v>496</v>
      </c>
      <c r="B5164" t="s">
        <v>509</v>
      </c>
      <c r="C5164">
        <v>96784400</v>
      </c>
      <c r="D5164">
        <v>0</v>
      </c>
      <c r="E5164" t="s">
        <v>1749</v>
      </c>
      <c r="F5164" t="s">
        <v>1750</v>
      </c>
      <c r="G5164" s="1">
        <v>45231</v>
      </c>
      <c r="H5164">
        <v>5410586</v>
      </c>
      <c r="I5164">
        <v>364</v>
      </c>
      <c r="J5164" t="s">
        <v>194</v>
      </c>
      <c r="K5164" t="str">
        <f>IFERROR(IF(AND(VLOOKUP($C5164,Hes!$A:$B, 1, FALSE), $M5164&lt;&gt;" "), "Ingresada", "Falta Ingresar"), " ")</f>
        <v xml:space="preserve"> </v>
      </c>
      <c r="L5164" s="4" t="s">
        <v>681</v>
      </c>
      <c r="M5164" t="s">
        <v>681</v>
      </c>
      <c r="O5164" s="5">
        <v>30834010</v>
      </c>
      <c r="P5164" s="5">
        <v>184315</v>
      </c>
      <c r="Q5164" s="5">
        <v>35020</v>
      </c>
      <c r="R5164" s="5">
        <v>219335</v>
      </c>
    </row>
    <row r="5165" spans="1:18" x14ac:dyDescent="0.25">
      <c r="F5165" t="s">
        <v>495</v>
      </c>
      <c r="K5165" t="str">
        <f>IFERROR(IF(AND(VLOOKUP($C5165,Hes!$A:$B, 1, FALSE), $M5165&lt;&gt;" "), "Ingresada", "Falta Ingresar"), " ")</f>
        <v xml:space="preserve"> </v>
      </c>
      <c r="L5165" s="4" t="str">
        <f>IFERROR(VLOOKUP($C5165,Observaciones!$A:$B,2,FALSE)," ")</f>
        <v xml:space="preserve"> </v>
      </c>
      <c r="M5165" t="s">
        <v>681</v>
      </c>
      <c r="P5165" s="5">
        <v>184315</v>
      </c>
      <c r="Q5165" s="5">
        <v>35020</v>
      </c>
      <c r="R5165" s="5">
        <v>219335</v>
      </c>
    </row>
    <row r="5166" spans="1:18" x14ac:dyDescent="0.25">
      <c r="A5166" t="s">
        <v>503</v>
      </c>
      <c r="B5166" t="s">
        <v>494</v>
      </c>
      <c r="C5166">
        <v>96786880</v>
      </c>
      <c r="D5166">
        <v>3</v>
      </c>
      <c r="E5166">
        <v>25038</v>
      </c>
      <c r="F5166" t="s">
        <v>1751</v>
      </c>
      <c r="G5166" s="1">
        <v>45236</v>
      </c>
      <c r="H5166">
        <v>5413130</v>
      </c>
      <c r="I5166">
        <v>52</v>
      </c>
      <c r="J5166" t="s">
        <v>311</v>
      </c>
      <c r="K5166" t="str">
        <f>IFERROR(IF(AND(VLOOKUP($C5166,Hes!$A:$B, 1, FALSE), $M5166&lt;&gt;" "), "Ingresada", "Falta Ingresar"), " ")</f>
        <v xml:space="preserve"> </v>
      </c>
      <c r="L5166" s="4" t="s">
        <v>681</v>
      </c>
      <c r="M5166" t="s">
        <v>681</v>
      </c>
      <c r="O5166" s="5">
        <v>30856211</v>
      </c>
      <c r="P5166" s="5">
        <v>225800</v>
      </c>
      <c r="Q5166" s="5">
        <v>42902</v>
      </c>
      <c r="R5166" s="5">
        <v>268702</v>
      </c>
    </row>
    <row r="5167" spans="1:18" x14ac:dyDescent="0.25">
      <c r="A5167" t="s">
        <v>503</v>
      </c>
      <c r="B5167" t="s">
        <v>494</v>
      </c>
      <c r="C5167">
        <v>96786880</v>
      </c>
      <c r="D5167">
        <v>3</v>
      </c>
      <c r="E5167">
        <v>24466</v>
      </c>
      <c r="F5167" t="s">
        <v>1751</v>
      </c>
      <c r="G5167" s="1">
        <v>45236</v>
      </c>
      <c r="H5167">
        <v>5413275</v>
      </c>
      <c r="I5167">
        <v>52</v>
      </c>
      <c r="J5167" t="s">
        <v>311</v>
      </c>
      <c r="K5167" t="str">
        <f>IFERROR(IF(AND(VLOOKUP($C5167,Hes!$A:$B, 1, FALSE), $M5167&lt;&gt;" "), "Ingresada", "Falta Ingresar"), " ")</f>
        <v xml:space="preserve"> </v>
      </c>
      <c r="L5167" s="4" t="s">
        <v>681</v>
      </c>
      <c r="M5167" t="s">
        <v>681</v>
      </c>
      <c r="O5167" s="5">
        <v>30853064</v>
      </c>
      <c r="P5167" s="5">
        <v>130788</v>
      </c>
      <c r="Q5167" s="5">
        <v>24850</v>
      </c>
      <c r="R5167" s="5">
        <v>155638</v>
      </c>
    </row>
    <row r="5168" spans="1:18" x14ac:dyDescent="0.25">
      <c r="F5168" t="s">
        <v>497</v>
      </c>
      <c r="K5168" t="str">
        <f>IFERROR(IF(AND(VLOOKUP($C5168,Hes!$A:$B, 1, FALSE), $M5168&lt;&gt;" "), "Ingresada", "Falta Ingresar"), " ")</f>
        <v xml:space="preserve"> </v>
      </c>
      <c r="L5168" s="4" t="str">
        <f>IFERROR(VLOOKUP($C5168,Observaciones!$A:$B,2,FALSE)," ")</f>
        <v xml:space="preserve"> </v>
      </c>
      <c r="M5168" t="s">
        <v>681</v>
      </c>
      <c r="P5168" s="5">
        <v>356588</v>
      </c>
      <c r="Q5168" s="5">
        <v>67752</v>
      </c>
      <c r="R5168" s="5">
        <v>424340</v>
      </c>
    </row>
    <row r="5169" spans="1:18" x14ac:dyDescent="0.25">
      <c r="A5169" t="s">
        <v>513</v>
      </c>
      <c r="B5169" t="s">
        <v>494</v>
      </c>
      <c r="C5169">
        <v>96787990</v>
      </c>
      <c r="D5169">
        <v>6</v>
      </c>
      <c r="E5169" t="s">
        <v>1752</v>
      </c>
      <c r="F5169" t="s">
        <v>1753</v>
      </c>
      <c r="G5169" s="1">
        <v>45232</v>
      </c>
      <c r="H5169">
        <v>5410761</v>
      </c>
      <c r="I5169">
        <v>134</v>
      </c>
      <c r="J5169" t="s">
        <v>208</v>
      </c>
      <c r="K5169" t="str">
        <f>IFERROR(IF(AND(VLOOKUP($C5169,Hes!$A:$B, 1, FALSE), $M5169&lt;&gt;" "), "Ingresada", "Falta Ingresar"), " ")</f>
        <v xml:space="preserve"> </v>
      </c>
      <c r="L5169" s="4" t="s">
        <v>681</v>
      </c>
      <c r="M5169" t="s">
        <v>681</v>
      </c>
      <c r="O5169" s="5">
        <v>30840404</v>
      </c>
      <c r="P5169" s="5">
        <v>203818</v>
      </c>
      <c r="Q5169" s="5">
        <v>38725</v>
      </c>
      <c r="R5169" s="5">
        <v>242543</v>
      </c>
    </row>
    <row r="5170" spans="1:18" x14ac:dyDescent="0.25">
      <c r="A5170" t="s">
        <v>513</v>
      </c>
      <c r="B5170" t="s">
        <v>494</v>
      </c>
      <c r="C5170">
        <v>96787990</v>
      </c>
      <c r="D5170">
        <v>0</v>
      </c>
      <c r="E5170" t="s">
        <v>1754</v>
      </c>
      <c r="F5170" t="s">
        <v>1753</v>
      </c>
      <c r="G5170" s="1">
        <v>45232</v>
      </c>
      <c r="H5170">
        <v>5411030</v>
      </c>
      <c r="I5170">
        <v>134</v>
      </c>
      <c r="J5170" t="s">
        <v>208</v>
      </c>
      <c r="K5170" t="str">
        <f>IFERROR(IF(AND(VLOOKUP($C5170,Hes!$A:$B, 1, FALSE), $M5170&lt;&gt;" "), "Ingresada", "Falta Ingresar"), " ")</f>
        <v xml:space="preserve"> </v>
      </c>
      <c r="L5170" s="4" t="s">
        <v>681</v>
      </c>
      <c r="M5170" t="s">
        <v>681</v>
      </c>
      <c r="O5170" s="5">
        <v>30844860</v>
      </c>
      <c r="P5170" s="5">
        <v>358276</v>
      </c>
      <c r="Q5170" s="5">
        <v>68072</v>
      </c>
      <c r="R5170" s="5">
        <v>428896</v>
      </c>
    </row>
    <row r="5171" spans="1:18" x14ac:dyDescent="0.25">
      <c r="A5171" t="s">
        <v>513</v>
      </c>
      <c r="B5171" t="s">
        <v>494</v>
      </c>
      <c r="C5171">
        <v>96787990</v>
      </c>
      <c r="D5171">
        <v>0</v>
      </c>
      <c r="E5171" t="s">
        <v>1754</v>
      </c>
      <c r="F5171" t="s">
        <v>1753</v>
      </c>
      <c r="G5171" s="1">
        <v>45232</v>
      </c>
      <c r="H5171">
        <v>5411031</v>
      </c>
      <c r="I5171">
        <v>134</v>
      </c>
      <c r="J5171" t="s">
        <v>208</v>
      </c>
      <c r="K5171" t="str">
        <f>IFERROR(IF(AND(VLOOKUP($C5171,Hes!$A:$B, 1, FALSE), $M5171&lt;&gt;" "), "Ingresada", "Falta Ingresar"), " ")</f>
        <v xml:space="preserve"> </v>
      </c>
      <c r="L5171" s="4" t="s">
        <v>681</v>
      </c>
      <c r="M5171" t="s">
        <v>681</v>
      </c>
      <c r="O5171" s="5">
        <v>30844860</v>
      </c>
      <c r="P5171" s="5">
        <v>95258</v>
      </c>
      <c r="Q5171" s="5">
        <v>18099</v>
      </c>
      <c r="R5171" s="5">
        <v>113357</v>
      </c>
    </row>
    <row r="5172" spans="1:18" x14ac:dyDescent="0.25">
      <c r="A5172" t="s">
        <v>513</v>
      </c>
      <c r="B5172" t="s">
        <v>494</v>
      </c>
      <c r="C5172">
        <v>96787990</v>
      </c>
      <c r="D5172">
        <v>4</v>
      </c>
      <c r="E5172" t="s">
        <v>1755</v>
      </c>
      <c r="F5172" t="s">
        <v>1753</v>
      </c>
      <c r="G5172" s="1">
        <v>45233</v>
      </c>
      <c r="H5172">
        <v>5411287</v>
      </c>
      <c r="I5172">
        <v>134</v>
      </c>
      <c r="J5172" t="s">
        <v>208</v>
      </c>
      <c r="K5172" t="str">
        <f>IFERROR(IF(AND(VLOOKUP($C5172,Hes!$A:$B, 1, FALSE), $M5172&lt;&gt;" "), "Ingresada", "Falta Ingresar"), " ")</f>
        <v xml:space="preserve"> </v>
      </c>
      <c r="L5172" s="4" t="s">
        <v>681</v>
      </c>
      <c r="M5172" t="s">
        <v>681</v>
      </c>
      <c r="O5172" s="5">
        <v>30839621</v>
      </c>
      <c r="P5172" s="5">
        <v>402068</v>
      </c>
      <c r="Q5172" s="5">
        <v>76393</v>
      </c>
      <c r="R5172" s="5">
        <v>478461</v>
      </c>
    </row>
    <row r="5173" spans="1:18" x14ac:dyDescent="0.25">
      <c r="A5173" t="s">
        <v>513</v>
      </c>
      <c r="B5173" t="s">
        <v>494</v>
      </c>
      <c r="C5173">
        <v>96787990</v>
      </c>
      <c r="D5173">
        <v>30</v>
      </c>
      <c r="E5173">
        <v>30858622</v>
      </c>
      <c r="F5173" t="s">
        <v>1753</v>
      </c>
      <c r="G5173" s="1">
        <v>45238</v>
      </c>
      <c r="H5173">
        <v>5415782</v>
      </c>
      <c r="I5173">
        <v>448</v>
      </c>
      <c r="J5173" t="s">
        <v>192</v>
      </c>
      <c r="K5173" t="str">
        <f>IFERROR(IF(AND(VLOOKUP($C5173,Hes!$A:$B, 1, FALSE), $M5173&lt;&gt;" "), "Ingresada", "Falta Ingresar"), " ")</f>
        <v xml:space="preserve"> </v>
      </c>
      <c r="L5173" s="4" t="s">
        <v>681</v>
      </c>
      <c r="M5173" t="s">
        <v>681</v>
      </c>
      <c r="O5173" s="5">
        <v>30858622</v>
      </c>
      <c r="P5173" s="5">
        <v>147121</v>
      </c>
      <c r="Q5173" s="5">
        <v>27953</v>
      </c>
      <c r="R5173" s="5">
        <v>175074</v>
      </c>
    </row>
    <row r="5174" spans="1:18" x14ac:dyDescent="0.25">
      <c r="F5174" t="s">
        <v>499</v>
      </c>
      <c r="K5174" t="str">
        <f>IFERROR(IF(AND(VLOOKUP($C5174,Hes!$A:$B, 1, FALSE), $M5174&lt;&gt;" "), "Ingresada", "Falta Ingresar"), " ")</f>
        <v xml:space="preserve"> </v>
      </c>
      <c r="L5174" s="4" t="str">
        <f>IFERROR(VLOOKUP($C5174,Observaciones!$A:$B,2,FALSE)," ")</f>
        <v xml:space="preserve"> </v>
      </c>
      <c r="M5174" t="s">
        <v>681</v>
      </c>
      <c r="P5174" s="5">
        <v>1206541</v>
      </c>
      <c r="Q5174" s="5">
        <v>229242</v>
      </c>
      <c r="R5174" s="5">
        <v>1438331</v>
      </c>
    </row>
    <row r="5175" spans="1:18" x14ac:dyDescent="0.25">
      <c r="A5175" t="s">
        <v>501</v>
      </c>
      <c r="B5175" t="s">
        <v>509</v>
      </c>
      <c r="C5175">
        <v>96789280</v>
      </c>
      <c r="D5175">
        <v>7</v>
      </c>
      <c r="E5175">
        <v>30855566</v>
      </c>
      <c r="F5175" t="s">
        <v>1756</v>
      </c>
      <c r="G5175" s="1">
        <v>45234</v>
      </c>
      <c r="H5175">
        <v>5412911</v>
      </c>
      <c r="I5175">
        <v>368</v>
      </c>
      <c r="J5175" t="s">
        <v>360</v>
      </c>
      <c r="K5175" t="str">
        <f>IFERROR(IF(AND(VLOOKUP($C5175,Hes!$A:$B, 1, FALSE), $M5175&lt;&gt;" "), "Ingresada", "Falta Ingresar"), " ")</f>
        <v xml:space="preserve"> </v>
      </c>
      <c r="L5175" s="4" t="s">
        <v>681</v>
      </c>
      <c r="M5175" t="s">
        <v>681</v>
      </c>
      <c r="O5175" s="5">
        <v>30855566</v>
      </c>
      <c r="P5175" s="5">
        <v>115683</v>
      </c>
      <c r="Q5175" s="5">
        <v>21980</v>
      </c>
      <c r="R5175" s="5">
        <v>137663</v>
      </c>
    </row>
    <row r="5176" spans="1:18" x14ac:dyDescent="0.25">
      <c r="A5176" t="s">
        <v>501</v>
      </c>
      <c r="B5176" t="s">
        <v>509</v>
      </c>
      <c r="C5176">
        <v>96789280</v>
      </c>
      <c r="D5176">
        <v>1</v>
      </c>
      <c r="E5176">
        <v>30856196</v>
      </c>
      <c r="F5176" t="s">
        <v>1756</v>
      </c>
      <c r="G5176" s="1">
        <v>45234</v>
      </c>
      <c r="H5176">
        <v>5412992</v>
      </c>
      <c r="I5176">
        <v>368</v>
      </c>
      <c r="J5176" t="s">
        <v>360</v>
      </c>
      <c r="K5176" t="str">
        <f>IFERROR(IF(AND(VLOOKUP($C5176,Hes!$A:$B, 1, FALSE), $M5176&lt;&gt;" "), "Ingresada", "Falta Ingresar"), " ")</f>
        <v xml:space="preserve"> </v>
      </c>
      <c r="L5176" s="4" t="s">
        <v>681</v>
      </c>
      <c r="M5176" t="s">
        <v>681</v>
      </c>
      <c r="O5176" s="5">
        <v>30856196</v>
      </c>
      <c r="P5176" s="5">
        <v>162669</v>
      </c>
      <c r="Q5176" s="5">
        <v>30907</v>
      </c>
      <c r="R5176" s="5">
        <v>193576</v>
      </c>
    </row>
    <row r="5177" spans="1:18" x14ac:dyDescent="0.25">
      <c r="A5177" t="s">
        <v>501</v>
      </c>
      <c r="B5177" t="s">
        <v>509</v>
      </c>
      <c r="C5177">
        <v>96789280</v>
      </c>
      <c r="D5177">
        <v>4</v>
      </c>
      <c r="E5177">
        <v>30856026</v>
      </c>
      <c r="F5177" t="s">
        <v>1756</v>
      </c>
      <c r="G5177" s="1">
        <v>45234</v>
      </c>
      <c r="H5177">
        <v>5413035</v>
      </c>
      <c r="I5177">
        <v>368</v>
      </c>
      <c r="J5177" t="s">
        <v>360</v>
      </c>
      <c r="K5177" t="str">
        <f>IFERROR(IF(AND(VLOOKUP($C5177,Hes!$A:$B, 1, FALSE), $M5177&lt;&gt;" "), "Ingresada", "Falta Ingresar"), " ")</f>
        <v xml:space="preserve"> </v>
      </c>
      <c r="L5177" s="4" t="s">
        <v>681</v>
      </c>
      <c r="M5177" t="s">
        <v>681</v>
      </c>
      <c r="O5177" s="5">
        <v>30856026</v>
      </c>
      <c r="P5177" s="5">
        <v>465145</v>
      </c>
      <c r="Q5177" s="5">
        <v>88378</v>
      </c>
      <c r="R5177" s="5">
        <v>553523</v>
      </c>
    </row>
    <row r="5178" spans="1:18" x14ac:dyDescent="0.25">
      <c r="F5178" t="s">
        <v>500</v>
      </c>
      <c r="K5178" t="str">
        <f>IFERROR(IF(AND(VLOOKUP($C5178,Hes!$A:$B, 1, FALSE), $M5178&lt;&gt;" "), "Ingresada", "Falta Ingresar"), " ")</f>
        <v xml:space="preserve"> </v>
      </c>
      <c r="L5178" s="4" t="str">
        <f>IFERROR(VLOOKUP($C5178,Observaciones!$A:$B,2,FALSE)," ")</f>
        <v xml:space="preserve"> </v>
      </c>
      <c r="M5178" t="s">
        <v>681</v>
      </c>
      <c r="P5178" s="5">
        <v>743497</v>
      </c>
      <c r="Q5178" s="5">
        <v>141265</v>
      </c>
      <c r="R5178" s="5">
        <v>884762</v>
      </c>
    </row>
    <row r="5179" spans="1:18" x14ac:dyDescent="0.25">
      <c r="A5179" t="s">
        <v>503</v>
      </c>
      <c r="B5179" t="s">
        <v>509</v>
      </c>
      <c r="C5179">
        <v>96789820</v>
      </c>
      <c r="D5179">
        <v>3</v>
      </c>
      <c r="E5179" t="s">
        <v>1757</v>
      </c>
      <c r="F5179" t="s">
        <v>1758</v>
      </c>
      <c r="G5179" s="1">
        <v>45232</v>
      </c>
      <c r="H5179">
        <v>5410935</v>
      </c>
      <c r="I5179">
        <v>100</v>
      </c>
      <c r="J5179" t="s">
        <v>384</v>
      </c>
      <c r="K5179" t="str">
        <f>IFERROR(IF(AND(VLOOKUP($C5179,Hes!$A:$B, 1, FALSE), $M5179&lt;&gt;" "), "Ingresada", "Falta Ingresar"), " ")</f>
        <v xml:space="preserve"> </v>
      </c>
      <c r="L5179" s="4" t="str">
        <f>IFERROR(VLOOKUP($C5179,Observaciones!$A:$B,2,FALSE)," ")</f>
        <v xml:space="preserve"> </v>
      </c>
      <c r="M5179" t="s">
        <v>681</v>
      </c>
      <c r="O5179" s="5">
        <v>30843711</v>
      </c>
      <c r="P5179" s="5">
        <v>55260</v>
      </c>
      <c r="Q5179" s="5">
        <v>10499</v>
      </c>
      <c r="R5179" s="5">
        <v>65759</v>
      </c>
    </row>
    <row r="5180" spans="1:18" x14ac:dyDescent="0.25">
      <c r="F5180" t="s">
        <v>495</v>
      </c>
      <c r="K5180" t="str">
        <f>IFERROR(IF(AND(VLOOKUP($C5180,Hes!$A:$B, 1, FALSE), $M5180&lt;&gt;" "), "Ingresada", "Falta Ingresar"), " ")</f>
        <v xml:space="preserve"> </v>
      </c>
      <c r="L5180" s="4" t="str">
        <f>IFERROR(VLOOKUP($C5180,Observaciones!$A:$B,2,FALSE)," ")</f>
        <v xml:space="preserve"> </v>
      </c>
      <c r="M5180" t="s">
        <v>681</v>
      </c>
      <c r="P5180" s="5">
        <v>55260</v>
      </c>
      <c r="Q5180" s="5">
        <v>10499</v>
      </c>
      <c r="R5180" s="5">
        <v>65759</v>
      </c>
    </row>
    <row r="5181" spans="1:18" x14ac:dyDescent="0.25">
      <c r="A5181" t="s">
        <v>496</v>
      </c>
      <c r="B5181" t="s">
        <v>494</v>
      </c>
      <c r="C5181">
        <v>96791730</v>
      </c>
      <c r="D5181">
        <v>9</v>
      </c>
      <c r="E5181" t="s">
        <v>1759</v>
      </c>
      <c r="F5181" t="s">
        <v>1760</v>
      </c>
      <c r="G5181" s="1">
        <v>45236</v>
      </c>
      <c r="H5181">
        <v>5411930</v>
      </c>
      <c r="I5181">
        <v>63</v>
      </c>
      <c r="J5181" t="s">
        <v>170</v>
      </c>
      <c r="K5181" s="8" t="str">
        <f>IFERROR(IF(AND(VLOOKUP($C5181,Hes!$A:$B, 1, FALSE), $M5181&lt;&gt;" "), "Ingresada", "Falta Ingresar"), " ")</f>
        <v>Falta Ingresar</v>
      </c>
      <c r="L5181" s="4" t="s">
        <v>681</v>
      </c>
      <c r="M5181" t="s">
        <v>681</v>
      </c>
      <c r="O5181" s="5">
        <v>30836950</v>
      </c>
      <c r="P5181" s="5">
        <v>59797</v>
      </c>
      <c r="Q5181" s="5">
        <v>11361</v>
      </c>
      <c r="R5181" s="5">
        <v>71158</v>
      </c>
    </row>
    <row r="5182" spans="1:18" x14ac:dyDescent="0.25">
      <c r="A5182" t="s">
        <v>496</v>
      </c>
      <c r="B5182" t="s">
        <v>494</v>
      </c>
      <c r="C5182">
        <v>96791730</v>
      </c>
      <c r="D5182">
        <v>0</v>
      </c>
      <c r="E5182" t="s">
        <v>1761</v>
      </c>
      <c r="F5182" t="s">
        <v>1760</v>
      </c>
      <c r="G5182" s="1">
        <v>45236</v>
      </c>
      <c r="H5182">
        <v>5413821</v>
      </c>
      <c r="I5182">
        <v>63</v>
      </c>
      <c r="J5182" t="s">
        <v>170</v>
      </c>
      <c r="K5182" s="8" t="str">
        <f>IFERROR(IF(AND(VLOOKUP($C5182,Hes!$A:$B, 1, FALSE), $M5182&lt;&gt;" "), "Ingresada", "Falta Ingresar"), " ")</f>
        <v>Falta Ingresar</v>
      </c>
      <c r="L5182" s="4" t="s">
        <v>681</v>
      </c>
      <c r="M5182" t="s">
        <v>681</v>
      </c>
      <c r="O5182" s="5">
        <v>30854203</v>
      </c>
      <c r="P5182" s="5">
        <v>396338</v>
      </c>
      <c r="Q5182" s="5">
        <v>75304</v>
      </c>
      <c r="R5182" s="5">
        <v>471642</v>
      </c>
    </row>
    <row r="5183" spans="1:18" x14ac:dyDescent="0.25">
      <c r="A5183" t="s">
        <v>496</v>
      </c>
      <c r="B5183" t="s">
        <v>494</v>
      </c>
      <c r="C5183">
        <v>96791730</v>
      </c>
      <c r="D5183">
        <v>9</v>
      </c>
      <c r="E5183" t="s">
        <v>1762</v>
      </c>
      <c r="F5183" t="s">
        <v>1760</v>
      </c>
      <c r="G5183" s="1">
        <v>45238</v>
      </c>
      <c r="H5183">
        <v>5415390</v>
      </c>
      <c r="I5183">
        <v>63</v>
      </c>
      <c r="J5183" t="s">
        <v>170</v>
      </c>
      <c r="K5183" s="8" t="str">
        <f>IFERROR(IF(AND(VLOOKUP($C5183,Hes!$A:$B, 1, FALSE), $M5183&lt;&gt;" "), "Ingresada", "Falta Ingresar"), " ")</f>
        <v>Falta Ingresar</v>
      </c>
      <c r="L5183" s="4" t="s">
        <v>681</v>
      </c>
      <c r="M5183" t="s">
        <v>681</v>
      </c>
      <c r="O5183" s="5">
        <v>30854532</v>
      </c>
      <c r="P5183" s="5">
        <v>600627</v>
      </c>
      <c r="Q5183" s="5">
        <v>114119</v>
      </c>
      <c r="R5183" s="5">
        <v>714746</v>
      </c>
    </row>
    <row r="5184" spans="1:18" x14ac:dyDescent="0.25">
      <c r="F5184" t="s">
        <v>500</v>
      </c>
      <c r="K5184" t="str">
        <f>IFERROR(IF(AND(VLOOKUP($C5184,Hes!$A:$B, 1, FALSE), $M5184&lt;&gt;" "), "Ingresada", "Falta Ingresar"), " ")</f>
        <v xml:space="preserve"> </v>
      </c>
      <c r="L5184" s="4" t="str">
        <f>IFERROR(VLOOKUP($C5184,Observaciones!$A:$B,2,FALSE)," ")</f>
        <v xml:space="preserve"> </v>
      </c>
      <c r="M5184" t="s">
        <v>681</v>
      </c>
      <c r="P5184" s="5">
        <v>1056762</v>
      </c>
      <c r="Q5184" s="5">
        <v>200784</v>
      </c>
      <c r="R5184" s="5">
        <v>1257546</v>
      </c>
    </row>
    <row r="5185" spans="1:18" x14ac:dyDescent="0.25">
      <c r="A5185" t="s">
        <v>496</v>
      </c>
      <c r="B5185" t="s">
        <v>494</v>
      </c>
      <c r="C5185">
        <v>96792430</v>
      </c>
      <c r="D5185">
        <v>8055</v>
      </c>
      <c r="E5185">
        <v>6001104228</v>
      </c>
      <c r="F5185" t="s">
        <v>1763</v>
      </c>
      <c r="G5185" s="1">
        <v>45231</v>
      </c>
      <c r="H5185">
        <v>5410883</v>
      </c>
      <c r="I5185">
        <v>268</v>
      </c>
      <c r="J5185" t="s">
        <v>154</v>
      </c>
      <c r="K5185" s="8" t="str">
        <f>IFERROR(IF(AND(VLOOKUP($C5185,Hes!$A:$B, 1, FALSE), $M5185&lt;&gt;" "), "Ingresada", "Falta Ingresar"), " ")</f>
        <v>Falta Ingresar</v>
      </c>
      <c r="L5185" s="4" t="s">
        <v>681</v>
      </c>
      <c r="M5185" t="s">
        <v>681</v>
      </c>
      <c r="N5185" s="5" t="s">
        <v>841</v>
      </c>
      <c r="O5185" s="5">
        <v>30777415</v>
      </c>
      <c r="P5185" s="5">
        <v>187548</v>
      </c>
      <c r="Q5185" s="5">
        <v>35634</v>
      </c>
      <c r="R5185" s="5">
        <v>223182</v>
      </c>
    </row>
    <row r="5186" spans="1:18" x14ac:dyDescent="0.25">
      <c r="A5186" t="s">
        <v>496</v>
      </c>
      <c r="B5186" t="s">
        <v>494</v>
      </c>
      <c r="C5186">
        <v>96792430</v>
      </c>
      <c r="D5186">
        <v>8055</v>
      </c>
      <c r="E5186">
        <v>6400124524</v>
      </c>
      <c r="F5186" t="s">
        <v>1763</v>
      </c>
      <c r="G5186" s="1">
        <v>45237</v>
      </c>
      <c r="H5186">
        <v>5414495</v>
      </c>
      <c r="I5186">
        <v>37</v>
      </c>
      <c r="J5186" t="s">
        <v>156</v>
      </c>
      <c r="K5186" s="8" t="str">
        <f>IFERROR(IF(AND(VLOOKUP($C5186,Hes!$A:$B, 1, FALSE), $M5186&lt;&gt;" "), "Ingresada", "Falta Ingresar"), " ")</f>
        <v>Falta Ingresar</v>
      </c>
      <c r="L5186" s="4" t="s">
        <v>681</v>
      </c>
      <c r="M5186" t="s">
        <v>681</v>
      </c>
      <c r="N5186" s="5" t="s">
        <v>841</v>
      </c>
      <c r="O5186" s="5">
        <v>30860504</v>
      </c>
      <c r="P5186" s="5">
        <v>375096</v>
      </c>
      <c r="Q5186" s="5">
        <v>71268</v>
      </c>
      <c r="R5186" s="5">
        <v>446364</v>
      </c>
    </row>
    <row r="5187" spans="1:18" x14ac:dyDescent="0.25">
      <c r="F5187" t="s">
        <v>497</v>
      </c>
      <c r="K5187" t="str">
        <f>IFERROR(IF(AND(VLOOKUP($C5187,Hes!$A:$B, 1, FALSE), $M5187&lt;&gt;" "), "Ingresada", "Falta Ingresar"), " ")</f>
        <v xml:space="preserve"> </v>
      </c>
      <c r="L5187" s="4" t="str">
        <f>IFERROR(VLOOKUP($C5187,Observaciones!$A:$B,2,FALSE)," ")</f>
        <v xml:space="preserve"> </v>
      </c>
      <c r="M5187" t="s">
        <v>681</v>
      </c>
      <c r="P5187" s="5">
        <v>562644</v>
      </c>
      <c r="Q5187" s="5">
        <v>106902</v>
      </c>
      <c r="R5187" s="5">
        <v>669546</v>
      </c>
    </row>
    <row r="5188" spans="1:18" x14ac:dyDescent="0.25">
      <c r="A5188" t="s">
        <v>496</v>
      </c>
      <c r="B5188" t="s">
        <v>494</v>
      </c>
      <c r="C5188">
        <v>96794750</v>
      </c>
      <c r="D5188">
        <v>344</v>
      </c>
      <c r="E5188">
        <v>30845944</v>
      </c>
      <c r="F5188" t="s">
        <v>1764</v>
      </c>
      <c r="G5188" s="1">
        <v>45232</v>
      </c>
      <c r="H5188">
        <v>5410750</v>
      </c>
      <c r="I5188">
        <v>52</v>
      </c>
      <c r="J5188" t="s">
        <v>311</v>
      </c>
      <c r="K5188" t="str">
        <f>IFERROR(IF(AND(VLOOKUP($C5188,Hes!$A:$B, 1, FALSE), $M5188&lt;&gt;" "), "Ingresada", "Falta Ingresar"), " ")</f>
        <v xml:space="preserve"> </v>
      </c>
      <c r="L5188" s="4" t="str">
        <f>IFERROR(VLOOKUP($C5188,Observaciones!$A:$B,2,FALSE)," ")</f>
        <v>VENDEDOR ENVIA GUIAS Y ORDEN POR CORREO</v>
      </c>
      <c r="M5188" t="s">
        <v>681</v>
      </c>
      <c r="O5188" s="5">
        <v>30845944</v>
      </c>
      <c r="P5188" s="5">
        <v>201375</v>
      </c>
      <c r="Q5188" s="5">
        <v>38261</v>
      </c>
      <c r="R5188" s="5">
        <v>239636</v>
      </c>
    </row>
    <row r="5189" spans="1:18" x14ac:dyDescent="0.25">
      <c r="A5189" t="s">
        <v>496</v>
      </c>
      <c r="B5189" t="s">
        <v>494</v>
      </c>
      <c r="C5189">
        <v>96794750</v>
      </c>
      <c r="D5189">
        <v>346</v>
      </c>
      <c r="E5189">
        <v>30846262</v>
      </c>
      <c r="F5189" t="s">
        <v>1764</v>
      </c>
      <c r="G5189" s="1">
        <v>45232</v>
      </c>
      <c r="H5189">
        <v>5410941</v>
      </c>
      <c r="I5189">
        <v>52</v>
      </c>
      <c r="J5189" t="s">
        <v>311</v>
      </c>
      <c r="K5189" t="str">
        <f>IFERROR(IF(AND(VLOOKUP($C5189,Hes!$A:$B, 1, FALSE), $M5189&lt;&gt;" "), "Ingresada", "Falta Ingresar"), " ")</f>
        <v xml:space="preserve"> </v>
      </c>
      <c r="L5189" s="4" t="str">
        <f>IFERROR(VLOOKUP($C5189,Observaciones!$A:$B,2,FALSE)," ")</f>
        <v>VENDEDOR ENVIA GUIAS Y ORDEN POR CORREO</v>
      </c>
      <c r="M5189" t="s">
        <v>681</v>
      </c>
      <c r="O5189" s="5">
        <v>30846262</v>
      </c>
      <c r="P5189" s="5">
        <v>62364</v>
      </c>
      <c r="Q5189" s="5">
        <v>11849</v>
      </c>
      <c r="R5189" s="5">
        <v>74213</v>
      </c>
    </row>
    <row r="5190" spans="1:18" x14ac:dyDescent="0.25">
      <c r="A5190" t="s">
        <v>496</v>
      </c>
      <c r="B5190" t="s">
        <v>494</v>
      </c>
      <c r="C5190">
        <v>96794750</v>
      </c>
      <c r="D5190">
        <v>346</v>
      </c>
      <c r="E5190">
        <v>30846235</v>
      </c>
      <c r="F5190" t="s">
        <v>1764</v>
      </c>
      <c r="G5190" s="1">
        <v>45232</v>
      </c>
      <c r="H5190">
        <v>5410946</v>
      </c>
      <c r="I5190">
        <v>52</v>
      </c>
      <c r="J5190" t="s">
        <v>311</v>
      </c>
      <c r="K5190" t="str">
        <f>IFERROR(IF(AND(VLOOKUP($C5190,Hes!$A:$B, 1, FALSE), $M5190&lt;&gt;" "), "Ingresada", "Falta Ingresar"), " ")</f>
        <v xml:space="preserve"> </v>
      </c>
      <c r="L5190" s="4" t="str">
        <f>IFERROR(VLOOKUP($C5190,Observaciones!$A:$B,2,FALSE)," ")</f>
        <v>VENDEDOR ENVIA GUIAS Y ORDEN POR CORREO</v>
      </c>
      <c r="M5190" t="s">
        <v>681</v>
      </c>
      <c r="O5190" s="5">
        <v>30846235</v>
      </c>
      <c r="P5190" s="5">
        <v>196421</v>
      </c>
      <c r="Q5190" s="5">
        <v>37320</v>
      </c>
      <c r="R5190" s="5">
        <v>233741</v>
      </c>
    </row>
    <row r="5191" spans="1:18" x14ac:dyDescent="0.25">
      <c r="A5191" t="s">
        <v>496</v>
      </c>
      <c r="B5191" t="s">
        <v>494</v>
      </c>
      <c r="C5191">
        <v>96794750</v>
      </c>
      <c r="D5191">
        <v>346</v>
      </c>
      <c r="E5191">
        <v>30846824</v>
      </c>
      <c r="F5191" t="s">
        <v>1764</v>
      </c>
      <c r="G5191" s="1">
        <v>45232</v>
      </c>
      <c r="H5191">
        <v>5410956</v>
      </c>
      <c r="I5191">
        <v>52</v>
      </c>
      <c r="J5191" t="s">
        <v>311</v>
      </c>
      <c r="K5191" t="str">
        <f>IFERROR(IF(AND(VLOOKUP($C5191,Hes!$A:$B, 1, FALSE), $M5191&lt;&gt;" "), "Ingresada", "Falta Ingresar"), " ")</f>
        <v xml:space="preserve"> </v>
      </c>
      <c r="L5191" s="4" t="str">
        <f>IFERROR(VLOOKUP($C5191,Observaciones!$A:$B,2,FALSE)," ")</f>
        <v>VENDEDOR ENVIA GUIAS Y ORDEN POR CORREO</v>
      </c>
      <c r="M5191" t="s">
        <v>681</v>
      </c>
      <c r="O5191" s="5">
        <v>30846824</v>
      </c>
      <c r="P5191" s="5">
        <v>67495</v>
      </c>
      <c r="Q5191" s="5">
        <v>12824</v>
      </c>
      <c r="R5191" s="5">
        <v>80319</v>
      </c>
    </row>
    <row r="5192" spans="1:18" x14ac:dyDescent="0.25">
      <c r="A5192" t="s">
        <v>496</v>
      </c>
      <c r="B5192" t="s">
        <v>494</v>
      </c>
      <c r="C5192">
        <v>96794750</v>
      </c>
      <c r="D5192">
        <v>346</v>
      </c>
      <c r="E5192">
        <v>30846818</v>
      </c>
      <c r="F5192" t="s">
        <v>1764</v>
      </c>
      <c r="G5192" s="1">
        <v>45232</v>
      </c>
      <c r="H5192">
        <v>5411073</v>
      </c>
      <c r="I5192">
        <v>52</v>
      </c>
      <c r="J5192" t="s">
        <v>311</v>
      </c>
      <c r="K5192" t="str">
        <f>IFERROR(IF(AND(VLOOKUP($C5192,Hes!$A:$B, 1, FALSE), $M5192&lt;&gt;" "), "Ingresada", "Falta Ingresar"), " ")</f>
        <v xml:space="preserve"> </v>
      </c>
      <c r="L5192" s="4" t="str">
        <f>IFERROR(VLOOKUP($C5192,Observaciones!$A:$B,2,FALSE)," ")</f>
        <v>VENDEDOR ENVIA GUIAS Y ORDEN POR CORREO</v>
      </c>
      <c r="M5192" t="s">
        <v>681</v>
      </c>
      <c r="O5192" s="5">
        <v>30846818</v>
      </c>
      <c r="P5192" s="5">
        <v>57683</v>
      </c>
      <c r="Q5192" s="5">
        <v>10960</v>
      </c>
      <c r="R5192" s="5">
        <v>68643</v>
      </c>
    </row>
    <row r="5193" spans="1:18" x14ac:dyDescent="0.25">
      <c r="A5193" t="s">
        <v>496</v>
      </c>
      <c r="B5193" t="s">
        <v>494</v>
      </c>
      <c r="C5193">
        <v>96794750</v>
      </c>
      <c r="D5193">
        <v>346</v>
      </c>
      <c r="E5193">
        <v>30846291</v>
      </c>
      <c r="F5193" t="s">
        <v>1764</v>
      </c>
      <c r="G5193" s="1">
        <v>45232</v>
      </c>
      <c r="H5193">
        <v>5411144</v>
      </c>
      <c r="I5193">
        <v>52</v>
      </c>
      <c r="J5193" t="s">
        <v>311</v>
      </c>
      <c r="K5193" t="str">
        <f>IFERROR(IF(AND(VLOOKUP($C5193,Hes!$A:$B, 1, FALSE), $M5193&lt;&gt;" "), "Ingresada", "Falta Ingresar"), " ")</f>
        <v xml:space="preserve"> </v>
      </c>
      <c r="L5193" s="4" t="str">
        <f>IFERROR(VLOOKUP($C5193,Observaciones!$A:$B,2,FALSE)," ")</f>
        <v>VENDEDOR ENVIA GUIAS Y ORDEN POR CORREO</v>
      </c>
      <c r="M5193" t="s">
        <v>681</v>
      </c>
      <c r="O5193" s="5">
        <v>30846291</v>
      </c>
      <c r="P5193" s="5">
        <v>71759</v>
      </c>
      <c r="Q5193" s="5">
        <v>13634</v>
      </c>
      <c r="R5193" s="5">
        <v>85393</v>
      </c>
    </row>
    <row r="5194" spans="1:18" x14ac:dyDescent="0.25">
      <c r="A5194" t="s">
        <v>496</v>
      </c>
      <c r="B5194" t="s">
        <v>494</v>
      </c>
      <c r="C5194">
        <v>96794750</v>
      </c>
      <c r="D5194">
        <v>336</v>
      </c>
      <c r="E5194">
        <v>24957</v>
      </c>
      <c r="F5194" t="s">
        <v>1764</v>
      </c>
      <c r="G5194" s="1">
        <v>45233</v>
      </c>
      <c r="H5194">
        <v>5411695</v>
      </c>
      <c r="I5194">
        <v>52</v>
      </c>
      <c r="J5194" t="s">
        <v>311</v>
      </c>
      <c r="K5194" t="str">
        <f>IFERROR(IF(AND(VLOOKUP($C5194,Hes!$A:$B, 1, FALSE), $M5194&lt;&gt;" "), "Ingresada", "Falta Ingresar"), " ")</f>
        <v xml:space="preserve"> </v>
      </c>
      <c r="L5194" s="4" t="str">
        <f>IFERROR(VLOOKUP($C5194,Observaciones!$A:$B,2,FALSE)," ")</f>
        <v>VENDEDOR ENVIA GUIAS Y ORDEN POR CORREO</v>
      </c>
      <c r="M5194" t="s">
        <v>681</v>
      </c>
      <c r="O5194" s="5">
        <v>30850634</v>
      </c>
      <c r="P5194" s="5">
        <v>91532</v>
      </c>
      <c r="Q5194" s="5">
        <v>17391</v>
      </c>
      <c r="R5194" s="5">
        <v>108923</v>
      </c>
    </row>
    <row r="5195" spans="1:18" x14ac:dyDescent="0.25">
      <c r="A5195" t="s">
        <v>496</v>
      </c>
      <c r="B5195" t="s">
        <v>494</v>
      </c>
      <c r="C5195">
        <v>96794750</v>
      </c>
      <c r="D5195">
        <v>323</v>
      </c>
      <c r="E5195">
        <v>30850746</v>
      </c>
      <c r="F5195" t="s">
        <v>1764</v>
      </c>
      <c r="G5195" s="1">
        <v>45236</v>
      </c>
      <c r="H5195">
        <v>5412439</v>
      </c>
      <c r="I5195">
        <v>52</v>
      </c>
      <c r="J5195" t="s">
        <v>311</v>
      </c>
      <c r="K5195" t="str">
        <f>IFERROR(IF(AND(VLOOKUP($C5195,Hes!$A:$B, 1, FALSE), $M5195&lt;&gt;" "), "Ingresada", "Falta Ingresar"), " ")</f>
        <v xml:space="preserve"> </v>
      </c>
      <c r="L5195" s="4" t="str">
        <f>IFERROR(VLOOKUP($C5195,Observaciones!$A:$B,2,FALSE)," ")</f>
        <v>VENDEDOR ENVIA GUIAS Y ORDEN POR CORREO</v>
      </c>
      <c r="M5195" t="s">
        <v>681</v>
      </c>
      <c r="O5195" s="5">
        <v>30850746</v>
      </c>
      <c r="P5195" s="5">
        <v>75916</v>
      </c>
      <c r="Q5195" s="5">
        <v>14424</v>
      </c>
      <c r="R5195" s="5">
        <v>90340</v>
      </c>
    </row>
    <row r="5196" spans="1:18" x14ac:dyDescent="0.25">
      <c r="A5196" t="s">
        <v>496</v>
      </c>
      <c r="B5196" t="s">
        <v>494</v>
      </c>
      <c r="C5196">
        <v>96794750</v>
      </c>
      <c r="D5196">
        <v>307</v>
      </c>
      <c r="E5196">
        <v>30851786</v>
      </c>
      <c r="F5196" t="s">
        <v>1764</v>
      </c>
      <c r="G5196" s="1">
        <v>45236</v>
      </c>
      <c r="H5196">
        <v>5412682</v>
      </c>
      <c r="I5196">
        <v>52</v>
      </c>
      <c r="J5196" t="s">
        <v>311</v>
      </c>
      <c r="K5196" t="str">
        <f>IFERROR(IF(AND(VLOOKUP($C5196,Hes!$A:$B, 1, FALSE), $M5196&lt;&gt;" "), "Ingresada", "Falta Ingresar"), " ")</f>
        <v xml:space="preserve"> </v>
      </c>
      <c r="L5196" s="4" t="str">
        <f>IFERROR(VLOOKUP($C5196,Observaciones!$A:$B,2,FALSE)," ")</f>
        <v>VENDEDOR ENVIA GUIAS Y ORDEN POR CORREO</v>
      </c>
      <c r="M5196" t="s">
        <v>681</v>
      </c>
      <c r="O5196" s="5">
        <v>30851786</v>
      </c>
      <c r="P5196" s="5">
        <v>81203</v>
      </c>
      <c r="Q5196" s="5">
        <v>15429</v>
      </c>
      <c r="R5196" s="5">
        <v>96632</v>
      </c>
    </row>
    <row r="5197" spans="1:18" x14ac:dyDescent="0.25">
      <c r="A5197" t="s">
        <v>496</v>
      </c>
      <c r="B5197" t="s">
        <v>494</v>
      </c>
      <c r="C5197">
        <v>96794750</v>
      </c>
      <c r="D5197">
        <v>301</v>
      </c>
      <c r="E5197">
        <v>30851799</v>
      </c>
      <c r="F5197" t="s">
        <v>1764</v>
      </c>
      <c r="G5197" s="1">
        <v>45236</v>
      </c>
      <c r="H5197">
        <v>5412683</v>
      </c>
      <c r="I5197">
        <v>52</v>
      </c>
      <c r="J5197" t="s">
        <v>311</v>
      </c>
      <c r="K5197" t="str">
        <f>IFERROR(IF(AND(VLOOKUP($C5197,Hes!$A:$B, 1, FALSE), $M5197&lt;&gt;" "), "Ingresada", "Falta Ingresar"), " ")</f>
        <v xml:space="preserve"> </v>
      </c>
      <c r="L5197" s="4" t="str">
        <f>IFERROR(VLOOKUP($C5197,Observaciones!$A:$B,2,FALSE)," ")</f>
        <v>VENDEDOR ENVIA GUIAS Y ORDEN POR CORREO</v>
      </c>
      <c r="M5197" t="s">
        <v>681</v>
      </c>
      <c r="O5197" s="5">
        <v>30851799</v>
      </c>
      <c r="P5197" s="5">
        <v>136045</v>
      </c>
      <c r="Q5197" s="5">
        <v>25849</v>
      </c>
      <c r="R5197" s="5">
        <v>161894</v>
      </c>
    </row>
    <row r="5198" spans="1:18" x14ac:dyDescent="0.25">
      <c r="A5198" t="s">
        <v>496</v>
      </c>
      <c r="B5198" t="s">
        <v>494</v>
      </c>
      <c r="C5198">
        <v>96794750</v>
      </c>
      <c r="D5198">
        <v>301</v>
      </c>
      <c r="E5198">
        <v>30851799</v>
      </c>
      <c r="F5198" t="s">
        <v>1764</v>
      </c>
      <c r="G5198" s="1">
        <v>45236</v>
      </c>
      <c r="H5198">
        <v>5412684</v>
      </c>
      <c r="I5198">
        <v>52</v>
      </c>
      <c r="J5198" t="s">
        <v>311</v>
      </c>
      <c r="K5198" t="str">
        <f>IFERROR(IF(AND(VLOOKUP($C5198,Hes!$A:$B, 1, FALSE), $M5198&lt;&gt;" "), "Ingresada", "Falta Ingresar"), " ")</f>
        <v xml:space="preserve"> </v>
      </c>
      <c r="L5198" s="4" t="str">
        <f>IFERROR(VLOOKUP($C5198,Observaciones!$A:$B,2,FALSE)," ")</f>
        <v>VENDEDOR ENVIA GUIAS Y ORDEN POR CORREO</v>
      </c>
      <c r="M5198" t="s">
        <v>681</v>
      </c>
      <c r="O5198" s="5">
        <v>30851799</v>
      </c>
      <c r="P5198" s="5">
        <v>1642</v>
      </c>
      <c r="Q5198" s="5">
        <v>312</v>
      </c>
      <c r="R5198" s="5">
        <v>1954</v>
      </c>
    </row>
    <row r="5199" spans="1:18" x14ac:dyDescent="0.25">
      <c r="A5199" t="s">
        <v>496</v>
      </c>
      <c r="B5199" t="s">
        <v>494</v>
      </c>
      <c r="C5199">
        <v>96794750</v>
      </c>
      <c r="D5199">
        <v>320</v>
      </c>
      <c r="E5199">
        <v>30852379</v>
      </c>
      <c r="F5199" t="s">
        <v>1764</v>
      </c>
      <c r="G5199" s="1">
        <v>45236</v>
      </c>
      <c r="H5199">
        <v>5413180</v>
      </c>
      <c r="I5199">
        <v>52</v>
      </c>
      <c r="J5199" t="s">
        <v>311</v>
      </c>
      <c r="K5199" t="str">
        <f>IFERROR(IF(AND(VLOOKUP($C5199,Hes!$A:$B, 1, FALSE), $M5199&lt;&gt;" "), "Ingresada", "Falta Ingresar"), " ")</f>
        <v xml:space="preserve"> </v>
      </c>
      <c r="L5199" s="4" t="str">
        <f>IFERROR(VLOOKUP($C5199,Observaciones!$A:$B,2,FALSE)," ")</f>
        <v>VENDEDOR ENVIA GUIAS Y ORDEN POR CORREO</v>
      </c>
      <c r="M5199" t="s">
        <v>681</v>
      </c>
      <c r="O5199" s="5">
        <v>30852379</v>
      </c>
      <c r="P5199" s="5">
        <v>95773</v>
      </c>
      <c r="Q5199" s="5">
        <v>18197</v>
      </c>
      <c r="R5199" s="5">
        <v>113970</v>
      </c>
    </row>
    <row r="5200" spans="1:18" x14ac:dyDescent="0.25">
      <c r="A5200" t="s">
        <v>496</v>
      </c>
      <c r="B5200" t="s">
        <v>494</v>
      </c>
      <c r="C5200">
        <v>96794750</v>
      </c>
      <c r="D5200">
        <v>334</v>
      </c>
      <c r="E5200">
        <v>334</v>
      </c>
      <c r="F5200" t="s">
        <v>1764</v>
      </c>
      <c r="G5200" s="1">
        <v>45236</v>
      </c>
      <c r="H5200">
        <v>5413506</v>
      </c>
      <c r="I5200">
        <v>52</v>
      </c>
      <c r="J5200" t="s">
        <v>311</v>
      </c>
      <c r="K5200" t="str">
        <f>IFERROR(IF(AND(VLOOKUP($C5200,Hes!$A:$B, 1, FALSE), $M5200&lt;&gt;" "), "Ingresada", "Falta Ingresar"), " ")</f>
        <v xml:space="preserve"> </v>
      </c>
      <c r="L5200" s="4" t="str">
        <f>IFERROR(VLOOKUP($C5200,Observaciones!$A:$B,2,FALSE)," ")</f>
        <v>VENDEDOR ENVIA GUIAS Y ORDEN POR CORREO</v>
      </c>
      <c r="M5200" t="s">
        <v>681</v>
      </c>
      <c r="O5200" s="5">
        <v>30855114</v>
      </c>
      <c r="P5200" s="5">
        <v>18624</v>
      </c>
      <c r="Q5200" s="5">
        <v>3539</v>
      </c>
      <c r="R5200" s="5">
        <v>22163</v>
      </c>
    </row>
    <row r="5201" spans="1:18" x14ac:dyDescent="0.25">
      <c r="A5201" t="s">
        <v>496</v>
      </c>
      <c r="B5201" t="s">
        <v>494</v>
      </c>
      <c r="C5201">
        <v>96794750</v>
      </c>
      <c r="D5201">
        <v>332</v>
      </c>
      <c r="E5201">
        <v>332</v>
      </c>
      <c r="F5201" t="s">
        <v>1764</v>
      </c>
      <c r="G5201" s="1">
        <v>45236</v>
      </c>
      <c r="H5201">
        <v>5413823</v>
      </c>
      <c r="I5201">
        <v>52</v>
      </c>
      <c r="J5201" t="s">
        <v>311</v>
      </c>
      <c r="K5201" t="str">
        <f>IFERROR(IF(AND(VLOOKUP($C5201,Hes!$A:$B, 1, FALSE), $M5201&lt;&gt;" "), "Ingresada", "Falta Ingresar"), " ")</f>
        <v xml:space="preserve"> </v>
      </c>
      <c r="L5201" s="4" t="str">
        <f>IFERROR(VLOOKUP($C5201,Observaciones!$A:$B,2,FALSE)," ")</f>
        <v>VENDEDOR ENVIA GUIAS Y ORDEN POR CORREO</v>
      </c>
      <c r="M5201" t="s">
        <v>681</v>
      </c>
      <c r="O5201" s="5">
        <v>30855134</v>
      </c>
      <c r="P5201" s="5">
        <v>158632</v>
      </c>
      <c r="Q5201" s="5">
        <v>30140</v>
      </c>
      <c r="R5201" s="5">
        <v>188772</v>
      </c>
    </row>
    <row r="5202" spans="1:18" x14ac:dyDescent="0.25">
      <c r="A5202" t="s">
        <v>496</v>
      </c>
      <c r="B5202" t="s">
        <v>494</v>
      </c>
      <c r="C5202">
        <v>96794750</v>
      </c>
      <c r="D5202">
        <v>332</v>
      </c>
      <c r="E5202" t="s">
        <v>1765</v>
      </c>
      <c r="F5202" t="s">
        <v>1764</v>
      </c>
      <c r="G5202" s="1">
        <v>45236</v>
      </c>
      <c r="H5202">
        <v>5413841</v>
      </c>
      <c r="I5202">
        <v>52</v>
      </c>
      <c r="J5202" t="s">
        <v>311</v>
      </c>
      <c r="K5202" t="str">
        <f>IFERROR(IF(AND(VLOOKUP($C5202,Hes!$A:$B, 1, FALSE), $M5202&lt;&gt;" "), "Ingresada", "Falta Ingresar"), " ")</f>
        <v xml:space="preserve"> </v>
      </c>
      <c r="L5202" s="4" t="str">
        <f>IFERROR(VLOOKUP($C5202,Observaciones!$A:$B,2,FALSE)," ")</f>
        <v>VENDEDOR ENVIA GUIAS Y ORDEN POR CORREO</v>
      </c>
      <c r="M5202" t="s">
        <v>681</v>
      </c>
      <c r="O5202" s="5">
        <v>30857549</v>
      </c>
      <c r="P5202" s="5">
        <v>42329</v>
      </c>
      <c r="Q5202" s="5">
        <v>8043</v>
      </c>
      <c r="R5202" s="5">
        <v>50372</v>
      </c>
    </row>
    <row r="5203" spans="1:18" x14ac:dyDescent="0.25">
      <c r="A5203" t="s">
        <v>496</v>
      </c>
      <c r="B5203" t="s">
        <v>494</v>
      </c>
      <c r="C5203">
        <v>96794750</v>
      </c>
      <c r="D5203">
        <v>343</v>
      </c>
      <c r="E5203">
        <v>30858933</v>
      </c>
      <c r="F5203" t="s">
        <v>1764</v>
      </c>
      <c r="G5203" s="1">
        <v>45237</v>
      </c>
      <c r="H5203">
        <v>5414169</v>
      </c>
      <c r="I5203">
        <v>52</v>
      </c>
      <c r="J5203" t="s">
        <v>311</v>
      </c>
      <c r="K5203" t="str">
        <f>IFERROR(IF(AND(VLOOKUP($C5203,Hes!$A:$B, 1, FALSE), $M5203&lt;&gt;" "), "Ingresada", "Falta Ingresar"), " ")</f>
        <v xml:space="preserve"> </v>
      </c>
      <c r="L5203" s="4" t="str">
        <f>IFERROR(VLOOKUP($C5203,Observaciones!$A:$B,2,FALSE)," ")</f>
        <v>VENDEDOR ENVIA GUIAS Y ORDEN POR CORREO</v>
      </c>
      <c r="M5203" t="s">
        <v>681</v>
      </c>
      <c r="O5203" s="5">
        <v>30858933</v>
      </c>
      <c r="P5203" s="5">
        <v>32764</v>
      </c>
      <c r="Q5203" s="5">
        <v>6225</v>
      </c>
      <c r="R5203" s="5">
        <v>38989</v>
      </c>
    </row>
    <row r="5204" spans="1:18" x14ac:dyDescent="0.25">
      <c r="A5204" t="s">
        <v>496</v>
      </c>
      <c r="B5204" t="s">
        <v>494</v>
      </c>
      <c r="C5204">
        <v>96794750</v>
      </c>
      <c r="D5204">
        <v>345</v>
      </c>
      <c r="E5204">
        <v>30859331</v>
      </c>
      <c r="F5204" t="s">
        <v>1764</v>
      </c>
      <c r="G5204" s="1">
        <v>45237</v>
      </c>
      <c r="H5204">
        <v>5414307</v>
      </c>
      <c r="I5204">
        <v>52</v>
      </c>
      <c r="J5204" t="s">
        <v>311</v>
      </c>
      <c r="K5204" t="str">
        <f>IFERROR(IF(AND(VLOOKUP($C5204,Hes!$A:$B, 1, FALSE), $M5204&lt;&gt;" "), "Ingresada", "Falta Ingresar"), " ")</f>
        <v xml:space="preserve"> </v>
      </c>
      <c r="L5204" s="4" t="str">
        <f>IFERROR(VLOOKUP($C5204,Observaciones!$A:$B,2,FALSE)," ")</f>
        <v>VENDEDOR ENVIA GUIAS Y ORDEN POR CORREO</v>
      </c>
      <c r="M5204" t="s">
        <v>681</v>
      </c>
      <c r="O5204" s="5">
        <v>30859331</v>
      </c>
      <c r="P5204" s="5">
        <v>57080</v>
      </c>
      <c r="Q5204" s="5">
        <v>10845</v>
      </c>
      <c r="R5204" s="5">
        <v>67925</v>
      </c>
    </row>
    <row r="5205" spans="1:18" x14ac:dyDescent="0.25">
      <c r="A5205" t="s">
        <v>496</v>
      </c>
      <c r="B5205" t="s">
        <v>494</v>
      </c>
      <c r="C5205">
        <v>96794750</v>
      </c>
      <c r="D5205">
        <v>313</v>
      </c>
      <c r="E5205">
        <v>30859042</v>
      </c>
      <c r="F5205" t="s">
        <v>1764</v>
      </c>
      <c r="G5205" s="1">
        <v>45237</v>
      </c>
      <c r="H5205">
        <v>5414308</v>
      </c>
      <c r="I5205">
        <v>52</v>
      </c>
      <c r="J5205" t="s">
        <v>311</v>
      </c>
      <c r="K5205" t="str">
        <f>IFERROR(IF(AND(VLOOKUP($C5205,Hes!$A:$B, 1, FALSE), $M5205&lt;&gt;" "), "Ingresada", "Falta Ingresar"), " ")</f>
        <v xml:space="preserve"> </v>
      </c>
      <c r="L5205" s="4" t="str">
        <f>IFERROR(VLOOKUP($C5205,Observaciones!$A:$B,2,FALSE)," ")</f>
        <v>VENDEDOR ENVIA GUIAS Y ORDEN POR CORREO</v>
      </c>
      <c r="M5205" t="s">
        <v>681</v>
      </c>
      <c r="O5205" s="5">
        <v>30859042</v>
      </c>
      <c r="P5205" s="5">
        <v>49834</v>
      </c>
      <c r="Q5205" s="5">
        <v>9468</v>
      </c>
      <c r="R5205" s="5">
        <v>59302</v>
      </c>
    </row>
    <row r="5206" spans="1:18" x14ac:dyDescent="0.25">
      <c r="A5206" t="s">
        <v>496</v>
      </c>
      <c r="B5206" t="s">
        <v>494</v>
      </c>
      <c r="C5206">
        <v>96794750</v>
      </c>
      <c r="D5206">
        <v>325</v>
      </c>
      <c r="E5206">
        <v>30859496</v>
      </c>
      <c r="F5206" t="s">
        <v>1764</v>
      </c>
      <c r="G5206" s="1">
        <v>45237</v>
      </c>
      <c r="H5206">
        <v>5414309</v>
      </c>
      <c r="I5206">
        <v>52</v>
      </c>
      <c r="J5206" t="s">
        <v>311</v>
      </c>
      <c r="K5206" t="str">
        <f>IFERROR(IF(AND(VLOOKUP($C5206,Hes!$A:$B, 1, FALSE), $M5206&lt;&gt;" "), "Ingresada", "Falta Ingresar"), " ")</f>
        <v xml:space="preserve"> </v>
      </c>
      <c r="L5206" s="4" t="str">
        <f>IFERROR(VLOOKUP($C5206,Observaciones!$A:$B,2,FALSE)," ")</f>
        <v>VENDEDOR ENVIA GUIAS Y ORDEN POR CORREO</v>
      </c>
      <c r="M5206" t="s">
        <v>681</v>
      </c>
      <c r="O5206" s="5">
        <v>30859496</v>
      </c>
      <c r="P5206" s="5">
        <v>77816</v>
      </c>
      <c r="Q5206" s="5">
        <v>14785</v>
      </c>
      <c r="R5206" s="5">
        <v>92601</v>
      </c>
    </row>
    <row r="5207" spans="1:18" x14ac:dyDescent="0.25">
      <c r="A5207" t="s">
        <v>496</v>
      </c>
      <c r="B5207" t="s">
        <v>494</v>
      </c>
      <c r="C5207">
        <v>96794750</v>
      </c>
      <c r="D5207">
        <v>327</v>
      </c>
      <c r="E5207">
        <v>30858950</v>
      </c>
      <c r="F5207" t="s">
        <v>1764</v>
      </c>
      <c r="G5207" s="1">
        <v>45237</v>
      </c>
      <c r="H5207">
        <v>5414312</v>
      </c>
      <c r="I5207">
        <v>52</v>
      </c>
      <c r="J5207" t="s">
        <v>311</v>
      </c>
      <c r="K5207" t="str">
        <f>IFERROR(IF(AND(VLOOKUP($C5207,Hes!$A:$B, 1, FALSE), $M5207&lt;&gt;" "), "Ingresada", "Falta Ingresar"), " ")</f>
        <v xml:space="preserve"> </v>
      </c>
      <c r="L5207" s="4" t="str">
        <f>IFERROR(VLOOKUP($C5207,Observaciones!$A:$B,2,FALSE)," ")</f>
        <v>VENDEDOR ENVIA GUIAS Y ORDEN POR CORREO</v>
      </c>
      <c r="M5207" t="s">
        <v>681</v>
      </c>
      <c r="O5207" s="5">
        <v>30858950</v>
      </c>
      <c r="P5207" s="5">
        <v>39380</v>
      </c>
      <c r="Q5207" s="5">
        <v>7482</v>
      </c>
      <c r="R5207" s="5">
        <v>46862</v>
      </c>
    </row>
    <row r="5208" spans="1:18" x14ac:dyDescent="0.25">
      <c r="A5208" t="s">
        <v>496</v>
      </c>
      <c r="B5208" t="s">
        <v>494</v>
      </c>
      <c r="C5208">
        <v>96794750</v>
      </c>
      <c r="D5208">
        <v>321</v>
      </c>
      <c r="E5208">
        <v>30861234</v>
      </c>
      <c r="F5208" t="s">
        <v>1764</v>
      </c>
      <c r="G5208" s="1">
        <v>45237</v>
      </c>
      <c r="H5208">
        <v>5414428</v>
      </c>
      <c r="I5208">
        <v>52</v>
      </c>
      <c r="J5208" t="s">
        <v>311</v>
      </c>
      <c r="K5208" t="str">
        <f>IFERROR(IF(AND(VLOOKUP($C5208,Hes!$A:$B, 1, FALSE), $M5208&lt;&gt;" "), "Ingresada", "Falta Ingresar"), " ")</f>
        <v xml:space="preserve"> </v>
      </c>
      <c r="L5208" s="4" t="str">
        <f>IFERROR(VLOOKUP($C5208,Observaciones!$A:$B,2,FALSE)," ")</f>
        <v>VENDEDOR ENVIA GUIAS Y ORDEN POR CORREO</v>
      </c>
      <c r="M5208" t="s">
        <v>681</v>
      </c>
      <c r="O5208" s="5">
        <v>30861234</v>
      </c>
      <c r="P5208" s="5">
        <v>56714</v>
      </c>
      <c r="Q5208" s="5">
        <v>10776</v>
      </c>
      <c r="R5208" s="5">
        <v>67490</v>
      </c>
    </row>
    <row r="5209" spans="1:18" x14ac:dyDescent="0.25">
      <c r="A5209" t="s">
        <v>496</v>
      </c>
      <c r="B5209" t="s">
        <v>494</v>
      </c>
      <c r="C5209">
        <v>96794750</v>
      </c>
      <c r="D5209">
        <v>312</v>
      </c>
      <c r="E5209">
        <v>30861208</v>
      </c>
      <c r="F5209" t="s">
        <v>1764</v>
      </c>
      <c r="G5209" s="1">
        <v>45238</v>
      </c>
      <c r="H5209">
        <v>5414956</v>
      </c>
      <c r="I5209">
        <v>52</v>
      </c>
      <c r="J5209" t="s">
        <v>311</v>
      </c>
      <c r="K5209" t="str">
        <f>IFERROR(IF(AND(VLOOKUP($C5209,Hes!$A:$B, 1, FALSE), $M5209&lt;&gt;" "), "Ingresada", "Falta Ingresar"), " ")</f>
        <v xml:space="preserve"> </v>
      </c>
      <c r="L5209" s="4" t="str">
        <f>IFERROR(VLOOKUP($C5209,Observaciones!$A:$B,2,FALSE)," ")</f>
        <v>VENDEDOR ENVIA GUIAS Y ORDEN POR CORREO</v>
      </c>
      <c r="M5209" t="s">
        <v>681</v>
      </c>
      <c r="O5209" s="5">
        <v>30861208</v>
      </c>
      <c r="P5209" s="5">
        <v>60021</v>
      </c>
      <c r="Q5209" s="5">
        <v>11404</v>
      </c>
      <c r="R5209" s="5">
        <v>71425</v>
      </c>
    </row>
    <row r="5210" spans="1:18" x14ac:dyDescent="0.25">
      <c r="A5210" t="s">
        <v>496</v>
      </c>
      <c r="B5210" t="s">
        <v>494</v>
      </c>
      <c r="C5210">
        <v>96794750</v>
      </c>
      <c r="D5210">
        <v>308</v>
      </c>
      <c r="E5210">
        <v>30860747</v>
      </c>
      <c r="F5210" t="s">
        <v>1764</v>
      </c>
      <c r="G5210" s="1">
        <v>45238</v>
      </c>
      <c r="H5210">
        <v>5414976</v>
      </c>
      <c r="I5210">
        <v>52</v>
      </c>
      <c r="J5210" t="s">
        <v>311</v>
      </c>
      <c r="K5210" t="str">
        <f>IFERROR(IF(AND(VLOOKUP($C5210,Hes!$A:$B, 1, FALSE), $M5210&lt;&gt;" "), "Ingresada", "Falta Ingresar"), " ")</f>
        <v xml:space="preserve"> </v>
      </c>
      <c r="L5210" s="4" t="str">
        <f>IFERROR(VLOOKUP($C5210,Observaciones!$A:$B,2,FALSE)," ")</f>
        <v>VENDEDOR ENVIA GUIAS Y ORDEN POR CORREO</v>
      </c>
      <c r="M5210" t="s">
        <v>681</v>
      </c>
      <c r="O5210" s="5">
        <v>30860747</v>
      </c>
      <c r="P5210" s="5">
        <v>161515</v>
      </c>
      <c r="Q5210" s="5">
        <v>30688</v>
      </c>
      <c r="R5210" s="5">
        <v>192203</v>
      </c>
    </row>
    <row r="5211" spans="1:18" x14ac:dyDescent="0.25">
      <c r="A5211" t="s">
        <v>496</v>
      </c>
      <c r="B5211" t="s">
        <v>494</v>
      </c>
      <c r="C5211">
        <v>96794750</v>
      </c>
      <c r="D5211">
        <v>308</v>
      </c>
      <c r="E5211">
        <v>30860747</v>
      </c>
      <c r="F5211" t="s">
        <v>1764</v>
      </c>
      <c r="G5211" s="1">
        <v>45238</v>
      </c>
      <c r="H5211">
        <v>5414977</v>
      </c>
      <c r="I5211">
        <v>52</v>
      </c>
      <c r="J5211" t="s">
        <v>311</v>
      </c>
      <c r="K5211" t="str">
        <f>IFERROR(IF(AND(VLOOKUP($C5211,Hes!$A:$B, 1, FALSE), $M5211&lt;&gt;" "), "Ingresada", "Falta Ingresar"), " ")</f>
        <v xml:space="preserve"> </v>
      </c>
      <c r="L5211" s="4" t="str">
        <f>IFERROR(VLOOKUP($C5211,Observaciones!$A:$B,2,FALSE)," ")</f>
        <v>VENDEDOR ENVIA GUIAS Y ORDEN POR CORREO</v>
      </c>
      <c r="M5211" t="s">
        <v>681</v>
      </c>
      <c r="O5211" s="5">
        <v>30860747</v>
      </c>
      <c r="P5211" s="5">
        <v>43394</v>
      </c>
      <c r="Q5211" s="5">
        <v>8245</v>
      </c>
      <c r="R5211" s="5">
        <v>51639</v>
      </c>
    </row>
    <row r="5212" spans="1:18" x14ac:dyDescent="0.25">
      <c r="A5212" t="s">
        <v>496</v>
      </c>
      <c r="B5212" t="s">
        <v>494</v>
      </c>
      <c r="C5212">
        <v>96794750</v>
      </c>
      <c r="D5212">
        <v>334</v>
      </c>
      <c r="E5212" t="s">
        <v>1766</v>
      </c>
      <c r="F5212" t="s">
        <v>1764</v>
      </c>
      <c r="G5212" s="1">
        <v>45238</v>
      </c>
      <c r="H5212">
        <v>5415743</v>
      </c>
      <c r="I5212">
        <v>52</v>
      </c>
      <c r="J5212" t="s">
        <v>311</v>
      </c>
      <c r="K5212" t="str">
        <f>IFERROR(IF(AND(VLOOKUP($C5212,Hes!$A:$B, 1, FALSE), $M5212&lt;&gt;" "), "Ingresada", "Falta Ingresar"), " ")</f>
        <v xml:space="preserve"> </v>
      </c>
      <c r="L5212" s="4" t="str">
        <f>IFERROR(VLOOKUP($C5212,Observaciones!$A:$B,2,FALSE)," ")</f>
        <v>VENDEDOR ENVIA GUIAS Y ORDEN POR CORREO</v>
      </c>
      <c r="M5212" t="s">
        <v>681</v>
      </c>
      <c r="O5212" s="5">
        <v>30864072</v>
      </c>
      <c r="P5212" s="5">
        <v>18200</v>
      </c>
      <c r="Q5212" s="5">
        <v>3458</v>
      </c>
      <c r="R5212" s="5">
        <v>21658</v>
      </c>
    </row>
    <row r="5213" spans="1:18" x14ac:dyDescent="0.25">
      <c r="A5213" t="s">
        <v>496</v>
      </c>
      <c r="B5213" t="s">
        <v>494</v>
      </c>
      <c r="C5213">
        <v>96794750</v>
      </c>
      <c r="D5213">
        <v>344</v>
      </c>
      <c r="E5213">
        <v>30864313</v>
      </c>
      <c r="F5213" t="s">
        <v>1764</v>
      </c>
      <c r="G5213" s="1">
        <v>45238</v>
      </c>
      <c r="H5213">
        <v>5415756</v>
      </c>
      <c r="I5213">
        <v>52</v>
      </c>
      <c r="J5213" t="s">
        <v>311</v>
      </c>
      <c r="K5213" t="str">
        <f>IFERROR(IF(AND(VLOOKUP($C5213,Hes!$A:$B, 1, FALSE), $M5213&lt;&gt;" "), "Ingresada", "Falta Ingresar"), " ")</f>
        <v xml:space="preserve"> </v>
      </c>
      <c r="L5213" s="4" t="str">
        <f>IFERROR(VLOOKUP($C5213,Observaciones!$A:$B,2,FALSE)," ")</f>
        <v>VENDEDOR ENVIA GUIAS Y ORDEN POR CORREO</v>
      </c>
      <c r="M5213" t="s">
        <v>681</v>
      </c>
      <c r="O5213" s="5">
        <v>30864313</v>
      </c>
      <c r="P5213" s="5">
        <v>75858</v>
      </c>
      <c r="Q5213" s="5">
        <v>14413</v>
      </c>
      <c r="R5213" s="5">
        <v>90271</v>
      </c>
    </row>
    <row r="5214" spans="1:18" x14ac:dyDescent="0.25">
      <c r="F5214" t="s">
        <v>1020</v>
      </c>
      <c r="K5214" t="str">
        <f>IFERROR(IF(AND(VLOOKUP($C5214,Hes!$A:$B, 1, FALSE), $M5214&lt;&gt;" "), "Ingresada", "Falta Ingresar"), " ")</f>
        <v xml:space="preserve"> </v>
      </c>
      <c r="L5214" s="4" t="str">
        <f>IFERROR(VLOOKUP($C5214,Observaciones!$A:$B,2,FALSE)," ")</f>
        <v xml:space="preserve"> </v>
      </c>
      <c r="M5214" t="s">
        <v>681</v>
      </c>
      <c r="P5214" s="5">
        <v>2031369</v>
      </c>
      <c r="Q5214" s="5">
        <v>385961</v>
      </c>
      <c r="R5214" s="5">
        <v>2417330</v>
      </c>
    </row>
    <row r="5215" spans="1:18" x14ac:dyDescent="0.25">
      <c r="A5215" t="s">
        <v>513</v>
      </c>
      <c r="B5215" t="s">
        <v>494</v>
      </c>
      <c r="C5215">
        <v>96795980</v>
      </c>
      <c r="D5215">
        <v>1</v>
      </c>
      <c r="E5215" t="s">
        <v>1767</v>
      </c>
      <c r="F5215" t="s">
        <v>1768</v>
      </c>
      <c r="G5215" s="1">
        <v>45238</v>
      </c>
      <c r="H5215">
        <v>5415297</v>
      </c>
      <c r="I5215">
        <v>394</v>
      </c>
      <c r="J5215" t="s">
        <v>224</v>
      </c>
      <c r="K5215" t="str">
        <f>IFERROR(IF(AND(VLOOKUP($C5215,Hes!$A:$B, 1, FALSE), $M5215&lt;&gt;" "), "Ingresada", "Falta Ingresar"), " ")</f>
        <v xml:space="preserve"> </v>
      </c>
      <c r="L5215" s="4" t="s">
        <v>681</v>
      </c>
      <c r="M5215" t="s">
        <v>681</v>
      </c>
      <c r="O5215" s="5">
        <v>30854695</v>
      </c>
      <c r="P5215" s="5">
        <v>23748</v>
      </c>
      <c r="Q5215" s="5">
        <v>4512</v>
      </c>
      <c r="R5215" s="5">
        <v>28260</v>
      </c>
    </row>
    <row r="5216" spans="1:18" x14ac:dyDescent="0.25">
      <c r="A5216" t="s">
        <v>513</v>
      </c>
      <c r="B5216" t="s">
        <v>494</v>
      </c>
      <c r="C5216">
        <v>96795980</v>
      </c>
      <c r="D5216">
        <v>1</v>
      </c>
      <c r="E5216" t="s">
        <v>1767</v>
      </c>
      <c r="F5216" t="s">
        <v>1768</v>
      </c>
      <c r="G5216" s="1">
        <v>45238</v>
      </c>
      <c r="H5216">
        <v>5415308</v>
      </c>
      <c r="I5216">
        <v>394</v>
      </c>
      <c r="J5216" t="s">
        <v>224</v>
      </c>
      <c r="K5216" t="str">
        <f>IFERROR(IF(AND(VLOOKUP($C5216,Hes!$A:$B, 1, FALSE), $M5216&lt;&gt;" "), "Ingresada", "Falta Ingresar"), " ")</f>
        <v xml:space="preserve"> </v>
      </c>
      <c r="L5216" s="4" t="s">
        <v>681</v>
      </c>
      <c r="M5216" t="s">
        <v>681</v>
      </c>
      <c r="O5216" s="5">
        <v>30856509</v>
      </c>
      <c r="P5216" s="5">
        <v>44404</v>
      </c>
      <c r="Q5216" s="5">
        <v>8437</v>
      </c>
      <c r="R5216" s="5">
        <v>52841</v>
      </c>
    </row>
    <row r="5217" spans="1:18" x14ac:dyDescent="0.25">
      <c r="A5217" t="s">
        <v>513</v>
      </c>
      <c r="B5217" t="s">
        <v>494</v>
      </c>
      <c r="C5217">
        <v>96795980</v>
      </c>
      <c r="D5217">
        <v>1</v>
      </c>
      <c r="E5217" t="s">
        <v>1767</v>
      </c>
      <c r="F5217" t="s">
        <v>1768</v>
      </c>
      <c r="G5217" s="1">
        <v>45238</v>
      </c>
      <c r="H5217">
        <v>5415370</v>
      </c>
      <c r="I5217">
        <v>71</v>
      </c>
      <c r="J5217" t="s">
        <v>250</v>
      </c>
      <c r="K5217" t="str">
        <f>IFERROR(IF(AND(VLOOKUP($C5217,Hes!$A:$B, 1, FALSE), $M5217&lt;&gt;" "), "Ingresada", "Falta Ingresar"), " ")</f>
        <v xml:space="preserve"> </v>
      </c>
      <c r="L5217" s="4" t="s">
        <v>681</v>
      </c>
      <c r="M5217" t="s">
        <v>681</v>
      </c>
      <c r="O5217" s="5">
        <v>30853246</v>
      </c>
      <c r="P5217" s="5">
        <v>44176</v>
      </c>
      <c r="Q5217" s="5">
        <v>8393</v>
      </c>
      <c r="R5217" s="5">
        <v>52569</v>
      </c>
    </row>
    <row r="5218" spans="1:18" x14ac:dyDescent="0.25">
      <c r="A5218" t="s">
        <v>513</v>
      </c>
      <c r="B5218" t="s">
        <v>494</v>
      </c>
      <c r="C5218">
        <v>96795980</v>
      </c>
      <c r="D5218">
        <v>1</v>
      </c>
      <c r="E5218" t="s">
        <v>1767</v>
      </c>
      <c r="F5218" t="s">
        <v>1768</v>
      </c>
      <c r="G5218" s="1">
        <v>45238</v>
      </c>
      <c r="H5218">
        <v>5415387</v>
      </c>
      <c r="I5218">
        <v>394</v>
      </c>
      <c r="J5218" t="s">
        <v>224</v>
      </c>
      <c r="K5218" t="str">
        <f>IFERROR(IF(AND(VLOOKUP($C5218,Hes!$A:$B, 1, FALSE), $M5218&lt;&gt;" "), "Ingresada", "Falta Ingresar"), " ")</f>
        <v xml:space="preserve"> </v>
      </c>
      <c r="L5218" s="4" t="s">
        <v>681</v>
      </c>
      <c r="M5218" t="s">
        <v>681</v>
      </c>
      <c r="O5218" s="5">
        <v>30857501</v>
      </c>
      <c r="P5218" s="5">
        <v>84965</v>
      </c>
      <c r="Q5218" s="5">
        <v>16143</v>
      </c>
      <c r="R5218" s="5">
        <v>101108</v>
      </c>
    </row>
    <row r="5219" spans="1:18" x14ac:dyDescent="0.25">
      <c r="A5219" t="s">
        <v>513</v>
      </c>
      <c r="B5219" t="s">
        <v>494</v>
      </c>
      <c r="C5219">
        <v>96795980</v>
      </c>
      <c r="D5219">
        <v>1</v>
      </c>
      <c r="E5219" t="s">
        <v>1767</v>
      </c>
      <c r="F5219" t="s">
        <v>1768</v>
      </c>
      <c r="G5219" s="1">
        <v>45238</v>
      </c>
      <c r="H5219">
        <v>5415481</v>
      </c>
      <c r="I5219">
        <v>394</v>
      </c>
      <c r="J5219" t="s">
        <v>224</v>
      </c>
      <c r="K5219" t="str">
        <f>IFERROR(IF(AND(VLOOKUP($C5219,Hes!$A:$B, 1, FALSE), $M5219&lt;&gt;" "), "Ingresada", "Falta Ingresar"), " ")</f>
        <v xml:space="preserve"> </v>
      </c>
      <c r="L5219" s="4" t="s">
        <v>681</v>
      </c>
      <c r="M5219" t="s">
        <v>681</v>
      </c>
      <c r="O5219" s="5">
        <v>30854741</v>
      </c>
      <c r="P5219" s="5">
        <v>32769</v>
      </c>
      <c r="Q5219" s="5">
        <v>6226</v>
      </c>
      <c r="R5219" s="5">
        <v>38995</v>
      </c>
    </row>
    <row r="5220" spans="1:18" x14ac:dyDescent="0.25">
      <c r="A5220" t="s">
        <v>513</v>
      </c>
      <c r="B5220" t="s">
        <v>494</v>
      </c>
      <c r="C5220">
        <v>96795980</v>
      </c>
      <c r="D5220">
        <v>1</v>
      </c>
      <c r="E5220" t="s">
        <v>1767</v>
      </c>
      <c r="F5220" t="s">
        <v>1768</v>
      </c>
      <c r="G5220" s="1">
        <v>45238</v>
      </c>
      <c r="H5220">
        <v>5415504</v>
      </c>
      <c r="I5220">
        <v>394</v>
      </c>
      <c r="J5220" t="s">
        <v>224</v>
      </c>
      <c r="K5220" t="str">
        <f>IFERROR(IF(AND(VLOOKUP($C5220,Hes!$A:$B, 1, FALSE), $M5220&lt;&gt;" "), "Ingresada", "Falta Ingresar"), " ")</f>
        <v xml:space="preserve"> </v>
      </c>
      <c r="L5220" s="4" t="s">
        <v>681</v>
      </c>
      <c r="M5220" t="s">
        <v>681</v>
      </c>
      <c r="O5220" s="5">
        <v>30856459</v>
      </c>
      <c r="P5220" s="5">
        <v>122453</v>
      </c>
      <c r="Q5220" s="5">
        <v>23266</v>
      </c>
      <c r="R5220" s="5">
        <v>145719</v>
      </c>
    </row>
    <row r="5221" spans="1:18" x14ac:dyDescent="0.25">
      <c r="A5221" t="s">
        <v>513</v>
      </c>
      <c r="B5221" t="s">
        <v>494</v>
      </c>
      <c r="C5221">
        <v>96795980</v>
      </c>
      <c r="D5221">
        <v>1</v>
      </c>
      <c r="E5221" t="s">
        <v>1767</v>
      </c>
      <c r="F5221" t="s">
        <v>1768</v>
      </c>
      <c r="G5221" s="1">
        <v>45238</v>
      </c>
      <c r="H5221">
        <v>5415505</v>
      </c>
      <c r="I5221">
        <v>71</v>
      </c>
      <c r="J5221" t="s">
        <v>250</v>
      </c>
      <c r="K5221" t="str">
        <f>IFERROR(IF(AND(VLOOKUP($C5221,Hes!$A:$B, 1, FALSE), $M5221&lt;&gt;" "), "Ingresada", "Falta Ingresar"), " ")</f>
        <v xml:space="preserve"> </v>
      </c>
      <c r="L5221" s="4" t="s">
        <v>681</v>
      </c>
      <c r="M5221" t="s">
        <v>681</v>
      </c>
      <c r="O5221" s="5">
        <v>30858871</v>
      </c>
      <c r="P5221" s="5">
        <v>16698</v>
      </c>
      <c r="Q5221" s="5">
        <v>3173</v>
      </c>
      <c r="R5221" s="5">
        <v>19871</v>
      </c>
    </row>
    <row r="5222" spans="1:18" x14ac:dyDescent="0.25">
      <c r="A5222" t="s">
        <v>513</v>
      </c>
      <c r="B5222" t="s">
        <v>494</v>
      </c>
      <c r="C5222">
        <v>96795980</v>
      </c>
      <c r="D5222">
        <v>1</v>
      </c>
      <c r="E5222" t="s">
        <v>1767</v>
      </c>
      <c r="F5222" t="s">
        <v>1768</v>
      </c>
      <c r="G5222" s="1">
        <v>45238</v>
      </c>
      <c r="H5222">
        <v>5415506</v>
      </c>
      <c r="I5222">
        <v>71</v>
      </c>
      <c r="J5222" t="s">
        <v>250</v>
      </c>
      <c r="K5222" t="str">
        <f>IFERROR(IF(AND(VLOOKUP($C5222,Hes!$A:$B, 1, FALSE), $M5222&lt;&gt;" "), "Ingresada", "Falta Ingresar"), " ")</f>
        <v xml:space="preserve"> </v>
      </c>
      <c r="L5222" s="4" t="s">
        <v>681</v>
      </c>
      <c r="M5222" t="s">
        <v>681</v>
      </c>
      <c r="O5222" s="5">
        <v>30853252</v>
      </c>
      <c r="P5222" s="5">
        <v>60966</v>
      </c>
      <c r="Q5222" s="5">
        <v>11584</v>
      </c>
      <c r="R5222" s="5">
        <v>72550</v>
      </c>
    </row>
    <row r="5223" spans="1:18" x14ac:dyDescent="0.25">
      <c r="A5223" t="s">
        <v>513</v>
      </c>
      <c r="B5223" t="s">
        <v>494</v>
      </c>
      <c r="C5223">
        <v>96795980</v>
      </c>
      <c r="D5223">
        <v>1</v>
      </c>
      <c r="E5223" t="s">
        <v>1767</v>
      </c>
      <c r="F5223" t="s">
        <v>1768</v>
      </c>
      <c r="G5223" s="1">
        <v>45238</v>
      </c>
      <c r="H5223">
        <v>5415515</v>
      </c>
      <c r="I5223">
        <v>394</v>
      </c>
      <c r="J5223" t="s">
        <v>224</v>
      </c>
      <c r="K5223" t="str">
        <f>IFERROR(IF(AND(VLOOKUP($C5223,Hes!$A:$B, 1, FALSE), $M5223&lt;&gt;" "), "Ingresada", "Falta Ingresar"), " ")</f>
        <v xml:space="preserve"> </v>
      </c>
      <c r="L5223" s="4" t="s">
        <v>681</v>
      </c>
      <c r="M5223" t="s">
        <v>681</v>
      </c>
      <c r="O5223" s="5">
        <v>30857636</v>
      </c>
      <c r="P5223" s="5">
        <v>158241</v>
      </c>
      <c r="Q5223" s="5">
        <v>30066</v>
      </c>
      <c r="R5223" s="5">
        <v>188307</v>
      </c>
    </row>
    <row r="5224" spans="1:18" x14ac:dyDescent="0.25">
      <c r="A5224" t="s">
        <v>513</v>
      </c>
      <c r="B5224" t="s">
        <v>494</v>
      </c>
      <c r="C5224">
        <v>96795980</v>
      </c>
      <c r="D5224">
        <v>1</v>
      </c>
      <c r="E5224" t="s">
        <v>1769</v>
      </c>
      <c r="F5224" t="s">
        <v>1768</v>
      </c>
      <c r="G5224" s="1">
        <v>45238</v>
      </c>
      <c r="H5224">
        <v>5415549</v>
      </c>
      <c r="I5224">
        <v>71</v>
      </c>
      <c r="J5224" t="s">
        <v>250</v>
      </c>
      <c r="K5224" t="str">
        <f>IFERROR(IF(AND(VLOOKUP($C5224,Hes!$A:$B, 1, FALSE), $M5224&lt;&gt;" "), "Ingresada", "Falta Ingresar"), " ")</f>
        <v xml:space="preserve"> </v>
      </c>
      <c r="L5224" s="4" t="s">
        <v>681</v>
      </c>
      <c r="M5224" t="s">
        <v>681</v>
      </c>
      <c r="O5224" s="5">
        <v>30853238</v>
      </c>
      <c r="P5224" s="5">
        <v>16511</v>
      </c>
      <c r="Q5224" s="5">
        <v>3137</v>
      </c>
      <c r="R5224" s="5">
        <v>19648</v>
      </c>
    </row>
    <row r="5225" spans="1:18" x14ac:dyDescent="0.25">
      <c r="A5225" t="s">
        <v>513</v>
      </c>
      <c r="B5225" t="s">
        <v>494</v>
      </c>
      <c r="C5225">
        <v>96795980</v>
      </c>
      <c r="D5225">
        <v>1</v>
      </c>
      <c r="E5225" t="s">
        <v>1767</v>
      </c>
      <c r="F5225" t="s">
        <v>1768</v>
      </c>
      <c r="G5225" s="1">
        <v>45238</v>
      </c>
      <c r="H5225">
        <v>5415550</v>
      </c>
      <c r="I5225">
        <v>394</v>
      </c>
      <c r="J5225" t="s">
        <v>224</v>
      </c>
      <c r="K5225" t="str">
        <f>IFERROR(IF(AND(VLOOKUP($C5225,Hes!$A:$B, 1, FALSE), $M5225&lt;&gt;" "), "Ingresada", "Falta Ingresar"), " ")</f>
        <v xml:space="preserve"> </v>
      </c>
      <c r="L5225" s="4" t="s">
        <v>681</v>
      </c>
      <c r="M5225" t="s">
        <v>681</v>
      </c>
      <c r="O5225" s="5">
        <v>30857319</v>
      </c>
      <c r="P5225" s="5">
        <v>119052</v>
      </c>
      <c r="Q5225" s="5">
        <v>22620</v>
      </c>
      <c r="R5225" s="5">
        <v>141672</v>
      </c>
    </row>
    <row r="5226" spans="1:18" x14ac:dyDescent="0.25">
      <c r="F5226" t="s">
        <v>510</v>
      </c>
      <c r="K5226" t="str">
        <f>IFERROR(IF(AND(VLOOKUP($C5226,Hes!$A:$B, 1, FALSE), $M5226&lt;&gt;" "), "Ingresada", "Falta Ingresar"), " ")</f>
        <v xml:space="preserve"> </v>
      </c>
      <c r="L5226" s="4" t="str">
        <f>IFERROR(VLOOKUP($C5226,Observaciones!$A:$B,2,FALSE)," ")</f>
        <v xml:space="preserve"> </v>
      </c>
      <c r="M5226" t="s">
        <v>681</v>
      </c>
      <c r="P5226" s="5">
        <v>723983</v>
      </c>
      <c r="Q5226" s="5">
        <v>137557</v>
      </c>
      <c r="R5226" s="5">
        <v>861540</v>
      </c>
    </row>
    <row r="5227" spans="1:18" x14ac:dyDescent="0.25">
      <c r="A5227" t="s">
        <v>496</v>
      </c>
      <c r="B5227" t="s">
        <v>494</v>
      </c>
      <c r="C5227">
        <v>96799790</v>
      </c>
      <c r="D5227">
        <v>0</v>
      </c>
      <c r="E5227">
        <v>4000192998</v>
      </c>
      <c r="F5227" t="s">
        <v>656</v>
      </c>
      <c r="G5227" s="1">
        <v>45233</v>
      </c>
      <c r="H5227">
        <v>5411600</v>
      </c>
      <c r="I5227">
        <v>364</v>
      </c>
      <c r="J5227" t="s">
        <v>194</v>
      </c>
      <c r="K5227" s="7" t="str">
        <f>IFERROR(IF(AND(VLOOKUP($C5227,Hes!$A:$B, 1, FALSE), $M5227&lt;&gt;" "), "Ingresada", "Falta Ingresar"), " ")</f>
        <v>Ingresada</v>
      </c>
      <c r="L5227" s="4" t="str">
        <f>IFERROR(VLOOKUP($C5227,Observaciones!$A:$B,2,FALSE)," ")</f>
        <v xml:space="preserve"> </v>
      </c>
      <c r="M5227">
        <v>5000665606</v>
      </c>
      <c r="N5227" s="5" t="s">
        <v>841</v>
      </c>
      <c r="O5227" s="5">
        <v>30850328</v>
      </c>
      <c r="P5227" s="5">
        <v>85878</v>
      </c>
      <c r="Q5227" s="5">
        <v>16317</v>
      </c>
      <c r="R5227" s="5">
        <v>102195</v>
      </c>
    </row>
    <row r="5228" spans="1:18" x14ac:dyDescent="0.25">
      <c r="F5228" t="s">
        <v>495</v>
      </c>
      <c r="K5228" t="str">
        <f>IFERROR(IF(AND(VLOOKUP($C5228,Hes!$A:$B, 1, FALSE), $M5228&lt;&gt;" "), "Ingresada", "Falta Ingresar"), " ")</f>
        <v xml:space="preserve"> </v>
      </c>
      <c r="L5228" s="4" t="str">
        <f>IFERROR(VLOOKUP($C5228,Observaciones!$A:$B,2,FALSE)," ")</f>
        <v xml:space="preserve"> </v>
      </c>
      <c r="M5228" t="s">
        <v>681</v>
      </c>
      <c r="P5228" s="5">
        <v>85878</v>
      </c>
      <c r="Q5228" s="5">
        <v>16317</v>
      </c>
      <c r="R5228" s="5">
        <v>102195</v>
      </c>
    </row>
    <row r="5229" spans="1:18" x14ac:dyDescent="0.25">
      <c r="A5229" t="s">
        <v>503</v>
      </c>
      <c r="B5229" t="s">
        <v>494</v>
      </c>
      <c r="C5229">
        <v>96801810</v>
      </c>
      <c r="D5229">
        <v>0</v>
      </c>
      <c r="E5229">
        <v>90637</v>
      </c>
      <c r="F5229" t="s">
        <v>1770</v>
      </c>
      <c r="G5229" s="1">
        <v>45232</v>
      </c>
      <c r="H5229">
        <v>5410708</v>
      </c>
      <c r="I5229">
        <v>136</v>
      </c>
      <c r="J5229" t="s">
        <v>313</v>
      </c>
      <c r="K5229" t="str">
        <f>IFERROR(IF(AND(VLOOKUP($C5229,Hes!$A:$B, 1, FALSE), $M5229&lt;&gt;" "), "Ingresada", "Falta Ingresar"), " ")</f>
        <v xml:space="preserve"> </v>
      </c>
      <c r="L5229" s="4" t="s">
        <v>681</v>
      </c>
      <c r="M5229" t="s">
        <v>681</v>
      </c>
      <c r="O5229" s="5">
        <v>30844174</v>
      </c>
      <c r="P5229" s="5">
        <v>905164</v>
      </c>
      <c r="Q5229" s="5">
        <v>171981</v>
      </c>
      <c r="R5229" s="5">
        <v>1077145</v>
      </c>
    </row>
    <row r="5230" spans="1:18" x14ac:dyDescent="0.25">
      <c r="A5230" t="s">
        <v>503</v>
      </c>
      <c r="B5230" t="s">
        <v>494</v>
      </c>
      <c r="C5230">
        <v>96801810</v>
      </c>
      <c r="D5230">
        <v>1</v>
      </c>
      <c r="E5230">
        <v>90806</v>
      </c>
      <c r="F5230" t="s">
        <v>1770</v>
      </c>
      <c r="G5230" s="1">
        <v>45234</v>
      </c>
      <c r="H5230">
        <v>5413032</v>
      </c>
      <c r="I5230">
        <v>136</v>
      </c>
      <c r="J5230" t="s">
        <v>313</v>
      </c>
      <c r="K5230" t="str">
        <f>IFERROR(IF(AND(VLOOKUP($C5230,Hes!$A:$B, 1, FALSE), $M5230&lt;&gt;" "), "Ingresada", "Falta Ingresar"), " ")</f>
        <v xml:space="preserve"> </v>
      </c>
      <c r="L5230" s="4" t="s">
        <v>681</v>
      </c>
      <c r="M5230" t="s">
        <v>681</v>
      </c>
      <c r="O5230" s="5">
        <v>30838002</v>
      </c>
      <c r="P5230" s="5">
        <v>417667</v>
      </c>
      <c r="Q5230" s="5">
        <v>79357</v>
      </c>
      <c r="R5230" s="5">
        <v>497024</v>
      </c>
    </row>
    <row r="5231" spans="1:18" x14ac:dyDescent="0.25">
      <c r="F5231" t="s">
        <v>497</v>
      </c>
      <c r="K5231" t="str">
        <f>IFERROR(IF(AND(VLOOKUP($C5231,Hes!$A:$B, 1, FALSE), $M5231&lt;&gt;" "), "Ingresada", "Falta Ingresar"), " ")</f>
        <v xml:space="preserve"> </v>
      </c>
      <c r="L5231" s="4" t="str">
        <f>IFERROR(VLOOKUP($C5231,Observaciones!$A:$B,2,FALSE)," ")</f>
        <v xml:space="preserve"> </v>
      </c>
      <c r="M5231" t="s">
        <v>681</v>
      </c>
      <c r="P5231" s="5">
        <v>1322831</v>
      </c>
      <c r="Q5231" s="5">
        <v>251338</v>
      </c>
      <c r="R5231" s="5">
        <v>1574169</v>
      </c>
    </row>
    <row r="5232" spans="1:18" x14ac:dyDescent="0.25">
      <c r="A5232" t="s">
        <v>522</v>
      </c>
      <c r="B5232" t="s">
        <v>494</v>
      </c>
      <c r="C5232">
        <v>96802420</v>
      </c>
      <c r="D5232">
        <v>0</v>
      </c>
      <c r="E5232">
        <v>125784</v>
      </c>
      <c r="F5232" t="s">
        <v>1771</v>
      </c>
      <c r="G5232" s="1">
        <v>45234</v>
      </c>
      <c r="H5232">
        <v>5413076</v>
      </c>
      <c r="I5232">
        <v>196</v>
      </c>
      <c r="J5232" t="s">
        <v>382</v>
      </c>
      <c r="K5232" t="str">
        <f>IFERROR(IF(AND(VLOOKUP($C5232,Hes!$A:$B, 1, FALSE), $M5232&lt;&gt;" "), "Ingresada", "Falta Ingresar"), " ")</f>
        <v xml:space="preserve"> </v>
      </c>
      <c r="L5232" s="4" t="str">
        <f>IFERROR(VLOOKUP($C5232,Observaciones!$A:$B,2,FALSE)," ")</f>
        <v xml:space="preserve"> </v>
      </c>
      <c r="M5232" t="s">
        <v>681</v>
      </c>
      <c r="O5232" s="5">
        <v>30834935</v>
      </c>
      <c r="P5232" s="5">
        <v>166874</v>
      </c>
      <c r="Q5232" s="5">
        <v>31706</v>
      </c>
      <c r="R5232" s="5">
        <v>198580</v>
      </c>
    </row>
    <row r="5233" spans="1:18" x14ac:dyDescent="0.25">
      <c r="F5233" t="s">
        <v>495</v>
      </c>
      <c r="K5233" t="str">
        <f>IFERROR(IF(AND(VLOOKUP($C5233,Hes!$A:$B, 1, FALSE), $M5233&lt;&gt;" "), "Ingresada", "Falta Ingresar"), " ")</f>
        <v xml:space="preserve"> </v>
      </c>
      <c r="L5233" s="4" t="str">
        <f>IFERROR(VLOOKUP($C5233,Observaciones!$A:$B,2,FALSE)," ")</f>
        <v xml:space="preserve"> </v>
      </c>
      <c r="M5233" t="s">
        <v>681</v>
      </c>
      <c r="P5233" s="5">
        <v>166874</v>
      </c>
      <c r="Q5233" s="5">
        <v>31706</v>
      </c>
      <c r="R5233" s="5">
        <v>198580</v>
      </c>
    </row>
    <row r="5234" spans="1:18" x14ac:dyDescent="0.25">
      <c r="A5234" t="s">
        <v>496</v>
      </c>
      <c r="B5234" t="s">
        <v>509</v>
      </c>
      <c r="C5234">
        <v>96803460</v>
      </c>
      <c r="D5234">
        <v>6</v>
      </c>
      <c r="E5234" t="s">
        <v>1772</v>
      </c>
      <c r="F5234" t="s">
        <v>1773</v>
      </c>
      <c r="G5234" s="1">
        <v>45236</v>
      </c>
      <c r="H5234">
        <v>5413645</v>
      </c>
      <c r="I5234">
        <v>25</v>
      </c>
      <c r="J5234" t="s">
        <v>323</v>
      </c>
      <c r="K5234" t="str">
        <f>IFERROR(IF(AND(VLOOKUP($C5234,Hes!$A:$B, 1, FALSE), $M5234&lt;&gt;" "), "Ingresada", "Falta Ingresar"), " ")</f>
        <v xml:space="preserve"> </v>
      </c>
      <c r="L5234" s="4" t="str">
        <f>IFERROR(VLOOKUP($C5234,Observaciones!$A:$B,2,FALSE)," ")</f>
        <v xml:space="preserve"> </v>
      </c>
      <c r="M5234" t="s">
        <v>681</v>
      </c>
      <c r="O5234" s="5">
        <v>30857631</v>
      </c>
      <c r="P5234" s="5">
        <v>299922</v>
      </c>
      <c r="Q5234" s="5">
        <v>56985</v>
      </c>
      <c r="R5234" s="5">
        <v>356907</v>
      </c>
    </row>
    <row r="5235" spans="1:18" x14ac:dyDescent="0.25">
      <c r="A5235" t="s">
        <v>496</v>
      </c>
      <c r="B5235" t="s">
        <v>509</v>
      </c>
      <c r="C5235">
        <v>96803460</v>
      </c>
      <c r="D5235">
        <v>5015</v>
      </c>
      <c r="E5235" t="s">
        <v>1774</v>
      </c>
      <c r="F5235" t="s">
        <v>1773</v>
      </c>
      <c r="G5235" s="1">
        <v>45237</v>
      </c>
      <c r="H5235">
        <v>5413923</v>
      </c>
      <c r="I5235">
        <v>25</v>
      </c>
      <c r="J5235" t="s">
        <v>323</v>
      </c>
      <c r="K5235" t="str">
        <f>IFERROR(IF(AND(VLOOKUP($C5235,Hes!$A:$B, 1, FALSE), $M5235&lt;&gt;" "), "Ingresada", "Falta Ingresar"), " ")</f>
        <v xml:space="preserve"> </v>
      </c>
      <c r="L5235" s="4" t="str">
        <f>IFERROR(VLOOKUP($C5235,Observaciones!$A:$B,2,FALSE)," ")</f>
        <v xml:space="preserve"> </v>
      </c>
      <c r="M5235" t="s">
        <v>681</v>
      </c>
      <c r="O5235" s="5">
        <v>30856639</v>
      </c>
      <c r="P5235" s="5">
        <v>12423</v>
      </c>
      <c r="Q5235" s="5">
        <v>2360</v>
      </c>
      <c r="R5235" s="5">
        <v>14783</v>
      </c>
    </row>
    <row r="5236" spans="1:18" x14ac:dyDescent="0.25">
      <c r="A5236" t="s">
        <v>496</v>
      </c>
      <c r="B5236" t="s">
        <v>509</v>
      </c>
      <c r="C5236">
        <v>96803460</v>
      </c>
      <c r="D5236">
        <v>5025</v>
      </c>
      <c r="E5236" t="s">
        <v>1775</v>
      </c>
      <c r="F5236" t="s">
        <v>1773</v>
      </c>
      <c r="G5236" s="1">
        <v>45237</v>
      </c>
      <c r="H5236">
        <v>5414726</v>
      </c>
      <c r="I5236">
        <v>25</v>
      </c>
      <c r="J5236" t="s">
        <v>323</v>
      </c>
      <c r="K5236" t="str">
        <f>IFERROR(IF(AND(VLOOKUP($C5236,Hes!$A:$B, 1, FALSE), $M5236&lt;&gt;" "), "Ingresada", "Falta Ingresar"), " ")</f>
        <v xml:space="preserve"> </v>
      </c>
      <c r="L5236" s="4" t="str">
        <f>IFERROR(VLOOKUP($C5236,Observaciones!$A:$B,2,FALSE)," ")</f>
        <v xml:space="preserve"> </v>
      </c>
      <c r="M5236" t="s">
        <v>681</v>
      </c>
      <c r="O5236" s="5">
        <v>30859635</v>
      </c>
      <c r="P5236" s="5">
        <v>86174</v>
      </c>
      <c r="Q5236" s="5">
        <v>16373</v>
      </c>
      <c r="R5236" s="5">
        <v>102547</v>
      </c>
    </row>
    <row r="5237" spans="1:18" x14ac:dyDescent="0.25">
      <c r="F5237" t="s">
        <v>500</v>
      </c>
      <c r="K5237" t="str">
        <f>IFERROR(IF(AND(VLOOKUP($C5237,Hes!$A:$B, 1, FALSE), $M5237&lt;&gt;" "), "Ingresada", "Falta Ingresar"), " ")</f>
        <v xml:space="preserve"> </v>
      </c>
      <c r="L5237" s="4" t="str">
        <f>IFERROR(VLOOKUP($C5237,Observaciones!$A:$B,2,FALSE)," ")</f>
        <v xml:space="preserve"> </v>
      </c>
      <c r="M5237" t="s">
        <v>681</v>
      </c>
      <c r="P5237" s="5">
        <v>398519</v>
      </c>
      <c r="Q5237" s="5">
        <v>75718</v>
      </c>
      <c r="R5237" s="5">
        <v>474237</v>
      </c>
    </row>
    <row r="5238" spans="1:18" x14ac:dyDescent="0.25">
      <c r="A5238" t="s">
        <v>503</v>
      </c>
      <c r="B5238" t="s">
        <v>502</v>
      </c>
      <c r="C5238">
        <v>96805920</v>
      </c>
      <c r="D5238">
        <v>0</v>
      </c>
      <c r="E5238" t="s">
        <v>1776</v>
      </c>
      <c r="F5238" t="s">
        <v>1777</v>
      </c>
      <c r="G5238" s="1">
        <v>45236</v>
      </c>
      <c r="H5238">
        <v>5413386</v>
      </c>
      <c r="I5238">
        <v>196</v>
      </c>
      <c r="J5238" t="s">
        <v>382</v>
      </c>
      <c r="K5238" t="str">
        <f>IFERROR(IF(AND(VLOOKUP($C5238,Hes!$A:$B, 1, FALSE), $M5238&lt;&gt;" "), "Ingresada", "Falta Ingresar"), " ")</f>
        <v xml:space="preserve"> </v>
      </c>
      <c r="L5238" s="4" t="s">
        <v>681</v>
      </c>
      <c r="M5238" t="s">
        <v>681</v>
      </c>
      <c r="O5238" s="5">
        <v>30855718</v>
      </c>
      <c r="P5238" s="5">
        <v>114048</v>
      </c>
      <c r="Q5238" s="5">
        <v>21669</v>
      </c>
      <c r="R5238" s="5">
        <v>135717</v>
      </c>
    </row>
    <row r="5239" spans="1:18" x14ac:dyDescent="0.25">
      <c r="F5239" t="s">
        <v>495</v>
      </c>
      <c r="K5239" t="str">
        <f>IFERROR(IF(AND(VLOOKUP($C5239,Hes!$A:$B, 1, FALSE), $M5239&lt;&gt;" "), "Ingresada", "Falta Ingresar"), " ")</f>
        <v xml:space="preserve"> </v>
      </c>
      <c r="L5239" s="4" t="str">
        <f>IFERROR(VLOOKUP($C5239,Observaciones!$A:$B,2,FALSE)," ")</f>
        <v xml:space="preserve"> </v>
      </c>
      <c r="M5239" t="s">
        <v>681</v>
      </c>
      <c r="P5239" s="5">
        <v>114048</v>
      </c>
      <c r="Q5239" s="5">
        <v>21669</v>
      </c>
      <c r="R5239" s="5">
        <v>135717</v>
      </c>
    </row>
    <row r="5240" spans="1:18" x14ac:dyDescent="0.25">
      <c r="A5240" t="s">
        <v>501</v>
      </c>
      <c r="B5240" t="s">
        <v>494</v>
      </c>
      <c r="C5240">
        <v>96812960</v>
      </c>
      <c r="D5240">
        <v>7</v>
      </c>
      <c r="E5240" t="s">
        <v>1778</v>
      </c>
      <c r="F5240" t="s">
        <v>1779</v>
      </c>
      <c r="G5240" s="1">
        <v>45233</v>
      </c>
      <c r="H5240">
        <v>5411297</v>
      </c>
      <c r="I5240">
        <v>129</v>
      </c>
      <c r="J5240" t="s">
        <v>414</v>
      </c>
      <c r="K5240" t="str">
        <f>IFERROR(IF(AND(VLOOKUP($C5240,Hes!$A:$B, 1, FALSE), $M5240&lt;&gt;" "), "Ingresada", "Falta Ingresar"), " ")</f>
        <v xml:space="preserve"> </v>
      </c>
      <c r="L5240" s="4" t="str">
        <f>IFERROR(VLOOKUP($C5240,Observaciones!$A:$B,2,FALSE)," ")</f>
        <v xml:space="preserve"> </v>
      </c>
      <c r="M5240" t="s">
        <v>681</v>
      </c>
      <c r="O5240" s="5">
        <v>30848320</v>
      </c>
      <c r="P5240" s="5">
        <v>6934</v>
      </c>
      <c r="Q5240" s="5">
        <v>1317</v>
      </c>
      <c r="R5240" s="5">
        <v>8251</v>
      </c>
    </row>
    <row r="5241" spans="1:18" x14ac:dyDescent="0.25">
      <c r="A5241" t="s">
        <v>501</v>
      </c>
      <c r="B5241" t="s">
        <v>494</v>
      </c>
      <c r="C5241">
        <v>96812960</v>
      </c>
      <c r="D5241">
        <v>16</v>
      </c>
      <c r="E5241" t="s">
        <v>1780</v>
      </c>
      <c r="F5241" t="s">
        <v>1779</v>
      </c>
      <c r="G5241" s="1">
        <v>45233</v>
      </c>
      <c r="H5241">
        <v>5411377</v>
      </c>
      <c r="I5241">
        <v>129</v>
      </c>
      <c r="J5241" t="s">
        <v>414</v>
      </c>
      <c r="K5241" t="str">
        <f>IFERROR(IF(AND(VLOOKUP($C5241,Hes!$A:$B, 1, FALSE), $M5241&lt;&gt;" "), "Ingresada", "Falta Ingresar"), " ")</f>
        <v xml:space="preserve"> </v>
      </c>
      <c r="L5241" s="4" t="str">
        <f>IFERROR(VLOOKUP($C5241,Observaciones!$A:$B,2,FALSE)," ")</f>
        <v xml:space="preserve"> </v>
      </c>
      <c r="M5241" t="s">
        <v>681</v>
      </c>
      <c r="O5241" s="5">
        <v>30843857</v>
      </c>
      <c r="P5241" s="5">
        <v>228132</v>
      </c>
      <c r="Q5241" s="5">
        <v>43345</v>
      </c>
      <c r="R5241" s="5">
        <v>271477</v>
      </c>
    </row>
    <row r="5242" spans="1:18" x14ac:dyDescent="0.25">
      <c r="A5242" t="s">
        <v>501</v>
      </c>
      <c r="B5242" t="s">
        <v>494</v>
      </c>
      <c r="C5242">
        <v>96812960</v>
      </c>
      <c r="D5242">
        <v>12</v>
      </c>
      <c r="E5242" t="s">
        <v>1781</v>
      </c>
      <c r="F5242" t="s">
        <v>1779</v>
      </c>
      <c r="G5242" s="1">
        <v>45233</v>
      </c>
      <c r="H5242">
        <v>5411380</v>
      </c>
      <c r="I5242">
        <v>129</v>
      </c>
      <c r="J5242" t="s">
        <v>414</v>
      </c>
      <c r="K5242" t="str">
        <f>IFERROR(IF(AND(VLOOKUP($C5242,Hes!$A:$B, 1, FALSE), $M5242&lt;&gt;" "), "Ingresada", "Falta Ingresar"), " ")</f>
        <v xml:space="preserve"> </v>
      </c>
      <c r="L5242" s="4" t="str">
        <f>IFERROR(VLOOKUP($C5242,Observaciones!$A:$B,2,FALSE)," ")</f>
        <v xml:space="preserve"> </v>
      </c>
      <c r="M5242" t="s">
        <v>681</v>
      </c>
      <c r="O5242" s="5">
        <v>30848293</v>
      </c>
      <c r="P5242" s="5">
        <v>68070</v>
      </c>
      <c r="Q5242" s="5">
        <v>12933</v>
      </c>
      <c r="R5242" s="5">
        <v>81003</v>
      </c>
    </row>
    <row r="5243" spans="1:18" x14ac:dyDescent="0.25">
      <c r="A5243" t="s">
        <v>501</v>
      </c>
      <c r="B5243" t="s">
        <v>494</v>
      </c>
      <c r="C5243">
        <v>96812960</v>
      </c>
      <c r="D5243">
        <v>12</v>
      </c>
      <c r="E5243" t="s">
        <v>1781</v>
      </c>
      <c r="F5243" t="s">
        <v>1779</v>
      </c>
      <c r="G5243" s="1">
        <v>45236</v>
      </c>
      <c r="H5243">
        <v>5412686</v>
      </c>
      <c r="I5243">
        <v>129</v>
      </c>
      <c r="J5243" t="s">
        <v>414</v>
      </c>
      <c r="K5243" t="str">
        <f>IFERROR(IF(AND(VLOOKUP($C5243,Hes!$A:$B, 1, FALSE), $M5243&lt;&gt;" "), "Ingresada", "Falta Ingresar"), " ")</f>
        <v xml:space="preserve"> </v>
      </c>
      <c r="L5243" s="4" t="str">
        <f>IFERROR(VLOOKUP($C5243,Observaciones!$A:$B,2,FALSE)," ")</f>
        <v xml:space="preserve"> </v>
      </c>
      <c r="M5243" t="s">
        <v>681</v>
      </c>
      <c r="O5243" s="5">
        <v>30854126</v>
      </c>
      <c r="P5243" s="5">
        <v>13010</v>
      </c>
      <c r="Q5243" s="5">
        <v>2472</v>
      </c>
      <c r="R5243" s="5">
        <v>15482</v>
      </c>
    </row>
    <row r="5244" spans="1:18" x14ac:dyDescent="0.25">
      <c r="A5244" t="s">
        <v>501</v>
      </c>
      <c r="B5244" t="s">
        <v>494</v>
      </c>
      <c r="C5244">
        <v>96812960</v>
      </c>
      <c r="D5244">
        <v>9</v>
      </c>
      <c r="E5244" t="s">
        <v>1782</v>
      </c>
      <c r="F5244" t="s">
        <v>1779</v>
      </c>
      <c r="G5244" s="1">
        <v>45238</v>
      </c>
      <c r="H5244">
        <v>5415813</v>
      </c>
      <c r="I5244">
        <v>129</v>
      </c>
      <c r="J5244" t="s">
        <v>414</v>
      </c>
      <c r="K5244" t="str">
        <f>IFERROR(IF(AND(VLOOKUP($C5244,Hes!$A:$B, 1, FALSE), $M5244&lt;&gt;" "), "Ingresada", "Falta Ingresar"), " ")</f>
        <v xml:space="preserve"> </v>
      </c>
      <c r="L5244" s="4" t="str">
        <f>IFERROR(VLOOKUP($C5244,Observaciones!$A:$B,2,FALSE)," ")</f>
        <v xml:space="preserve"> </v>
      </c>
      <c r="M5244" t="s">
        <v>681</v>
      </c>
      <c r="O5244" s="5">
        <v>30866192</v>
      </c>
      <c r="P5244" s="5">
        <v>4918</v>
      </c>
      <c r="Q5244" s="5">
        <v>934</v>
      </c>
      <c r="R5244" s="5">
        <v>5852</v>
      </c>
    </row>
    <row r="5245" spans="1:18" x14ac:dyDescent="0.25">
      <c r="F5245" t="s">
        <v>499</v>
      </c>
      <c r="K5245" t="str">
        <f>IFERROR(IF(AND(VLOOKUP($C5245,Hes!$A:$B, 1, FALSE), $M5245&lt;&gt;" "), "Ingresada", "Falta Ingresar"), " ")</f>
        <v xml:space="preserve"> </v>
      </c>
      <c r="L5245" s="4" t="str">
        <f>IFERROR(VLOOKUP($C5245,Observaciones!$A:$B,2,FALSE)," ")</f>
        <v xml:space="preserve"> </v>
      </c>
      <c r="M5245" t="s">
        <v>681</v>
      </c>
      <c r="P5245" s="5">
        <v>321064</v>
      </c>
      <c r="Q5245" s="5">
        <v>61001</v>
      </c>
      <c r="R5245" s="5">
        <v>382065</v>
      </c>
    </row>
    <row r="5246" spans="1:18" x14ac:dyDescent="0.25">
      <c r="A5246" t="s">
        <v>522</v>
      </c>
      <c r="B5246" t="s">
        <v>509</v>
      </c>
      <c r="C5246">
        <v>96815280</v>
      </c>
      <c r="D5246">
        <v>117</v>
      </c>
      <c r="E5246">
        <v>30851974</v>
      </c>
      <c r="F5246" t="s">
        <v>1783</v>
      </c>
      <c r="G5246" s="1">
        <v>45233</v>
      </c>
      <c r="H5246">
        <v>5411699</v>
      </c>
      <c r="I5246">
        <v>179</v>
      </c>
      <c r="J5246" t="s">
        <v>410</v>
      </c>
      <c r="K5246" t="str">
        <f>IFERROR(IF(AND(VLOOKUP($C5246,Hes!$A:$B, 1, FALSE), $M5246&lt;&gt;" "), "Ingresada", "Falta Ingresar"), " ")</f>
        <v xml:space="preserve"> </v>
      </c>
      <c r="L5246" s="4" t="s">
        <v>681</v>
      </c>
      <c r="M5246" t="s">
        <v>681</v>
      </c>
      <c r="O5246" s="5">
        <v>30851974</v>
      </c>
      <c r="P5246" s="5">
        <v>63678</v>
      </c>
      <c r="Q5246" s="5">
        <v>12099</v>
      </c>
      <c r="R5246" s="5">
        <v>75777</v>
      </c>
    </row>
    <row r="5247" spans="1:18" x14ac:dyDescent="0.25">
      <c r="F5247" t="s">
        <v>495</v>
      </c>
      <c r="K5247" t="str">
        <f>IFERROR(IF(AND(VLOOKUP($C5247,Hes!$A:$B, 1, FALSE), $M5247&lt;&gt;" "), "Ingresada", "Falta Ingresar"), " ")</f>
        <v xml:space="preserve"> </v>
      </c>
      <c r="L5247" s="4" t="str">
        <f>IFERROR(VLOOKUP($C5247,Observaciones!$A:$B,2,FALSE)," ")</f>
        <v xml:space="preserve"> </v>
      </c>
      <c r="M5247" t="s">
        <v>681</v>
      </c>
      <c r="P5247" s="5">
        <v>63678</v>
      </c>
      <c r="Q5247" s="5">
        <v>12099</v>
      </c>
      <c r="R5247" s="5">
        <v>75777</v>
      </c>
    </row>
    <row r="5248" spans="1:18" x14ac:dyDescent="0.25">
      <c r="A5248" t="s">
        <v>503</v>
      </c>
      <c r="B5248" t="s">
        <v>494</v>
      </c>
      <c r="C5248">
        <v>96816640</v>
      </c>
      <c r="D5248">
        <v>83</v>
      </c>
      <c r="E5248">
        <v>83946</v>
      </c>
      <c r="F5248" t="s">
        <v>1784</v>
      </c>
      <c r="G5248" s="1">
        <v>45237</v>
      </c>
      <c r="H5248">
        <v>5414281</v>
      </c>
      <c r="I5248">
        <v>37</v>
      </c>
      <c r="J5248" t="s">
        <v>156</v>
      </c>
      <c r="K5248" t="str">
        <f>IFERROR(IF(AND(VLOOKUP($C5248,Hes!$A:$B, 1, FALSE), $M5248&lt;&gt;" "), "Ingresada", "Falta Ingresar"), " ")</f>
        <v xml:space="preserve"> </v>
      </c>
      <c r="L5248" s="4" t="str">
        <f>IFERROR(VLOOKUP($C5248,Observaciones!$A:$B,2,FALSE)," ")</f>
        <v>MANUAL XOC Y CC INDIVIDUAL</v>
      </c>
      <c r="M5248" t="s">
        <v>681</v>
      </c>
      <c r="O5248" s="5">
        <v>30837878</v>
      </c>
      <c r="P5248" s="5">
        <v>17400</v>
      </c>
      <c r="Q5248" s="5">
        <v>3306</v>
      </c>
      <c r="R5248" s="5">
        <v>20706</v>
      </c>
    </row>
    <row r="5249" spans="1:18" x14ac:dyDescent="0.25">
      <c r="F5249" t="s">
        <v>495</v>
      </c>
      <c r="K5249" t="str">
        <f>IFERROR(IF(AND(VLOOKUP($C5249,Hes!$A:$B, 1, FALSE), $M5249&lt;&gt;" "), "Ingresada", "Falta Ingresar"), " ")</f>
        <v xml:space="preserve"> </v>
      </c>
      <c r="L5249" s="4" t="str">
        <f>IFERROR(VLOOKUP($C5249,Observaciones!$A:$B,2,FALSE)," ")</f>
        <v xml:space="preserve"> </v>
      </c>
      <c r="M5249" t="s">
        <v>681</v>
      </c>
      <c r="P5249" s="5">
        <v>17400</v>
      </c>
      <c r="Q5249" s="5">
        <v>3306</v>
      </c>
      <c r="R5249" s="5">
        <v>20706</v>
      </c>
    </row>
    <row r="5250" spans="1:18" x14ac:dyDescent="0.25">
      <c r="A5250" t="s">
        <v>496</v>
      </c>
      <c r="B5250" t="s">
        <v>509</v>
      </c>
      <c r="C5250">
        <v>96817680</v>
      </c>
      <c r="D5250">
        <v>87</v>
      </c>
      <c r="E5250">
        <v>8530097526</v>
      </c>
      <c r="F5250" t="s">
        <v>1785</v>
      </c>
      <c r="G5250" s="1">
        <v>45232</v>
      </c>
      <c r="H5250">
        <v>5410712</v>
      </c>
      <c r="I5250">
        <v>394</v>
      </c>
      <c r="J5250" t="s">
        <v>224</v>
      </c>
      <c r="K5250" t="str">
        <f>IFERROR(IF(AND(VLOOKUP($C5250,Hes!$A:$B, 1, FALSE), $M5250&lt;&gt;" "), "Ingresada", "Falta Ingresar"), " ")</f>
        <v xml:space="preserve"> </v>
      </c>
      <c r="L5250" s="4" t="str">
        <f>IFERROR(VLOOKUP($C5250,Observaciones!$A:$B,2,FALSE)," ")</f>
        <v>XOC Y CC</v>
      </c>
      <c r="M5250" t="s">
        <v>681</v>
      </c>
      <c r="O5250" s="5">
        <v>30844414</v>
      </c>
      <c r="P5250" s="5">
        <v>227720</v>
      </c>
      <c r="Q5250" s="5">
        <v>43267</v>
      </c>
      <c r="R5250" s="5">
        <v>270987</v>
      </c>
    </row>
    <row r="5251" spans="1:18" x14ac:dyDescent="0.25">
      <c r="A5251" t="s">
        <v>496</v>
      </c>
      <c r="B5251" t="s">
        <v>509</v>
      </c>
      <c r="C5251">
        <v>96817680</v>
      </c>
      <c r="D5251">
        <v>60</v>
      </c>
      <c r="E5251">
        <v>8530097346</v>
      </c>
      <c r="F5251" t="s">
        <v>1785</v>
      </c>
      <c r="G5251" s="1">
        <v>45232</v>
      </c>
      <c r="H5251">
        <v>5411103</v>
      </c>
      <c r="I5251">
        <v>394</v>
      </c>
      <c r="J5251" t="s">
        <v>224</v>
      </c>
      <c r="K5251" t="str">
        <f>IFERROR(IF(AND(VLOOKUP($C5251,Hes!$A:$B, 1, FALSE), $M5251&lt;&gt;" "), "Ingresada", "Falta Ingresar"), " ")</f>
        <v xml:space="preserve"> </v>
      </c>
      <c r="L5251" s="4" t="str">
        <f>IFERROR(VLOOKUP($C5251,Observaciones!$A:$B,2,FALSE)," ")</f>
        <v>XOC Y CC</v>
      </c>
      <c r="M5251" t="s">
        <v>681</v>
      </c>
      <c r="O5251" s="5">
        <v>30803701</v>
      </c>
      <c r="P5251" s="5">
        <v>36968</v>
      </c>
      <c r="Q5251" s="5">
        <v>7024</v>
      </c>
      <c r="R5251" s="5">
        <v>43992</v>
      </c>
    </row>
    <row r="5252" spans="1:18" x14ac:dyDescent="0.25">
      <c r="F5252" t="s">
        <v>497</v>
      </c>
      <c r="K5252" t="str">
        <f>IFERROR(IF(AND(VLOOKUP($C5252,Hes!$A:$B, 1, FALSE), $M5252&lt;&gt;" "), "Ingresada", "Falta Ingresar"), " ")</f>
        <v xml:space="preserve"> </v>
      </c>
      <c r="L5252" s="4" t="str">
        <f>IFERROR(VLOOKUP($C5252,Observaciones!$A:$B,2,FALSE)," ")</f>
        <v xml:space="preserve"> </v>
      </c>
      <c r="M5252" t="s">
        <v>681</v>
      </c>
      <c r="P5252" s="5">
        <v>264688</v>
      </c>
      <c r="Q5252" s="5">
        <v>50291</v>
      </c>
      <c r="R5252" s="5">
        <v>314979</v>
      </c>
    </row>
    <row r="5253" spans="1:18" x14ac:dyDescent="0.25">
      <c r="A5253" t="s">
        <v>501</v>
      </c>
      <c r="B5253" t="s">
        <v>494</v>
      </c>
      <c r="C5253">
        <v>96820170</v>
      </c>
      <c r="D5253">
        <v>56</v>
      </c>
      <c r="E5253">
        <v>30849234</v>
      </c>
      <c r="F5253" t="s">
        <v>1786</v>
      </c>
      <c r="G5253" s="1">
        <v>45233</v>
      </c>
      <c r="H5253">
        <v>5411389</v>
      </c>
      <c r="I5253">
        <v>72</v>
      </c>
      <c r="J5253" t="s">
        <v>176</v>
      </c>
      <c r="K5253" t="str">
        <f>IFERROR(IF(AND(VLOOKUP($C5253,Hes!$A:$B, 1, FALSE), $M5253&lt;&gt;" "), "Ingresada", "Falta Ingresar"), " ")</f>
        <v xml:space="preserve"> </v>
      </c>
      <c r="L5253" s="4" t="str">
        <f>IFERROR(VLOOKUP($C5253,Observaciones!$A:$B,2,FALSE)," ")</f>
        <v xml:space="preserve"> </v>
      </c>
      <c r="M5253" t="s">
        <v>681</v>
      </c>
      <c r="O5253" s="5">
        <v>30849234</v>
      </c>
      <c r="P5253" s="5">
        <v>22750</v>
      </c>
      <c r="Q5253" s="5">
        <v>4323</v>
      </c>
      <c r="R5253" s="5">
        <v>27073</v>
      </c>
    </row>
    <row r="5254" spans="1:18" x14ac:dyDescent="0.25">
      <c r="A5254" t="s">
        <v>501</v>
      </c>
      <c r="B5254" t="s">
        <v>494</v>
      </c>
      <c r="C5254">
        <v>96820170</v>
      </c>
      <c r="D5254">
        <v>132</v>
      </c>
      <c r="E5254">
        <v>30849726</v>
      </c>
      <c r="F5254" t="s">
        <v>1786</v>
      </c>
      <c r="G5254" s="1">
        <v>45233</v>
      </c>
      <c r="H5254">
        <v>5411554</v>
      </c>
      <c r="I5254">
        <v>72</v>
      </c>
      <c r="J5254" t="s">
        <v>176</v>
      </c>
      <c r="K5254" t="str">
        <f>IFERROR(IF(AND(VLOOKUP($C5254,Hes!$A:$B, 1, FALSE), $M5254&lt;&gt;" "), "Ingresada", "Falta Ingresar"), " ")</f>
        <v xml:space="preserve"> </v>
      </c>
      <c r="L5254" s="4" t="str">
        <f>IFERROR(VLOOKUP($C5254,Observaciones!$A:$B,2,FALSE)," ")</f>
        <v xml:space="preserve"> </v>
      </c>
      <c r="M5254" t="s">
        <v>681</v>
      </c>
      <c r="O5254" s="5">
        <v>30849726</v>
      </c>
      <c r="P5254" s="5">
        <v>20745</v>
      </c>
      <c r="Q5254" s="5">
        <v>3942</v>
      </c>
      <c r="R5254" s="5">
        <v>24687</v>
      </c>
    </row>
    <row r="5255" spans="1:18" x14ac:dyDescent="0.25">
      <c r="A5255" t="s">
        <v>501</v>
      </c>
      <c r="B5255" t="s">
        <v>494</v>
      </c>
      <c r="C5255">
        <v>96820170</v>
      </c>
      <c r="D5255">
        <v>1080</v>
      </c>
      <c r="E5255">
        <v>30851862</v>
      </c>
      <c r="F5255" t="s">
        <v>1786</v>
      </c>
      <c r="G5255" s="1">
        <v>45236</v>
      </c>
      <c r="H5255">
        <v>5412436</v>
      </c>
      <c r="I5255">
        <v>72</v>
      </c>
      <c r="J5255" t="s">
        <v>176</v>
      </c>
      <c r="K5255" t="str">
        <f>IFERROR(IF(AND(VLOOKUP($C5255,Hes!$A:$B, 1, FALSE), $M5255&lt;&gt;" "), "Ingresada", "Falta Ingresar"), " ")</f>
        <v xml:space="preserve"> </v>
      </c>
      <c r="L5255" s="4" t="str">
        <f>IFERROR(VLOOKUP($C5255,Observaciones!$A:$B,2,FALSE)," ")</f>
        <v xml:space="preserve"> </v>
      </c>
      <c r="M5255" t="s">
        <v>681</v>
      </c>
      <c r="O5255" s="5">
        <v>30851862</v>
      </c>
      <c r="P5255" s="5">
        <v>46269</v>
      </c>
      <c r="Q5255" s="5">
        <v>8791</v>
      </c>
      <c r="R5255" s="5">
        <v>55060</v>
      </c>
    </row>
    <row r="5256" spans="1:18" x14ac:dyDescent="0.25">
      <c r="A5256" t="s">
        <v>501</v>
      </c>
      <c r="B5256" t="s">
        <v>494</v>
      </c>
      <c r="C5256">
        <v>96820170</v>
      </c>
      <c r="D5256">
        <v>168</v>
      </c>
      <c r="E5256">
        <v>30863424</v>
      </c>
      <c r="F5256" t="s">
        <v>1786</v>
      </c>
      <c r="G5256" s="1">
        <v>45238</v>
      </c>
      <c r="H5256">
        <v>5415464</v>
      </c>
      <c r="I5256">
        <v>72</v>
      </c>
      <c r="J5256" t="s">
        <v>176</v>
      </c>
      <c r="K5256" t="str">
        <f>IFERROR(IF(AND(VLOOKUP($C5256,Hes!$A:$B, 1, FALSE), $M5256&lt;&gt;" "), "Ingresada", "Falta Ingresar"), " ")</f>
        <v xml:space="preserve"> </v>
      </c>
      <c r="L5256" s="4" t="str">
        <f>IFERROR(VLOOKUP($C5256,Observaciones!$A:$B,2,FALSE)," ")</f>
        <v xml:space="preserve"> </v>
      </c>
      <c r="M5256" t="s">
        <v>681</v>
      </c>
      <c r="O5256" s="5">
        <v>30863424</v>
      </c>
      <c r="P5256" s="5">
        <v>105072</v>
      </c>
      <c r="Q5256" s="5">
        <v>19964</v>
      </c>
      <c r="R5256" s="5">
        <v>125036</v>
      </c>
    </row>
    <row r="5257" spans="1:18" x14ac:dyDescent="0.25">
      <c r="F5257" t="s">
        <v>498</v>
      </c>
      <c r="K5257" t="str">
        <f>IFERROR(IF(AND(VLOOKUP($C5257,Hes!$A:$B, 1, FALSE), $M5257&lt;&gt;" "), "Ingresada", "Falta Ingresar"), " ")</f>
        <v xml:space="preserve"> </v>
      </c>
      <c r="L5257" s="4" t="str">
        <f>IFERROR(VLOOKUP($C5257,Observaciones!$A:$B,2,FALSE)," ")</f>
        <v xml:space="preserve"> </v>
      </c>
      <c r="M5257" t="s">
        <v>681</v>
      </c>
      <c r="P5257" s="5">
        <v>194836</v>
      </c>
      <c r="Q5257" s="5">
        <v>37020</v>
      </c>
      <c r="R5257" s="5">
        <v>231856</v>
      </c>
    </row>
    <row r="5258" spans="1:18" x14ac:dyDescent="0.25">
      <c r="A5258" t="s">
        <v>501</v>
      </c>
      <c r="B5258" t="s">
        <v>494</v>
      </c>
      <c r="C5258">
        <v>96823770</v>
      </c>
      <c r="D5258">
        <v>1</v>
      </c>
      <c r="E5258">
        <v>30844197</v>
      </c>
      <c r="F5258" t="s">
        <v>1787</v>
      </c>
      <c r="G5258" s="1">
        <v>45232</v>
      </c>
      <c r="H5258">
        <v>5410936</v>
      </c>
      <c r="I5258">
        <v>446</v>
      </c>
      <c r="J5258" t="s">
        <v>342</v>
      </c>
      <c r="K5258" t="str">
        <f>IFERROR(IF(AND(VLOOKUP($C5258,Hes!$A:$B, 1, FALSE), $M5258&lt;&gt;" "), "Ingresada", "Falta Ingresar"), " ")</f>
        <v xml:space="preserve"> </v>
      </c>
      <c r="L5258" s="4" t="str">
        <f>IFERROR(VLOOKUP($C5258,Observaciones!$A:$B,2,FALSE)," ")</f>
        <v xml:space="preserve"> </v>
      </c>
      <c r="M5258" t="s">
        <v>681</v>
      </c>
      <c r="O5258" s="5">
        <v>30844197</v>
      </c>
      <c r="P5258" s="5">
        <v>69922</v>
      </c>
      <c r="Q5258" s="5">
        <v>13285</v>
      </c>
      <c r="R5258" s="5">
        <v>83207</v>
      </c>
    </row>
    <row r="5259" spans="1:18" x14ac:dyDescent="0.25">
      <c r="A5259" t="s">
        <v>501</v>
      </c>
      <c r="B5259" t="s">
        <v>494</v>
      </c>
      <c r="C5259">
        <v>96823770</v>
      </c>
      <c r="D5259">
        <v>0</v>
      </c>
      <c r="E5259">
        <v>30860130</v>
      </c>
      <c r="F5259" t="s">
        <v>1787</v>
      </c>
      <c r="G5259" s="1">
        <v>45237</v>
      </c>
      <c r="H5259">
        <v>5414175</v>
      </c>
      <c r="I5259">
        <v>446</v>
      </c>
      <c r="J5259" t="s">
        <v>342</v>
      </c>
      <c r="K5259" t="str">
        <f>IFERROR(IF(AND(VLOOKUP($C5259,Hes!$A:$B, 1, FALSE), $M5259&lt;&gt;" "), "Ingresada", "Falta Ingresar"), " ")</f>
        <v xml:space="preserve"> </v>
      </c>
      <c r="L5259" s="4" t="str">
        <f>IFERROR(VLOOKUP($C5259,Observaciones!$A:$B,2,FALSE)," ")</f>
        <v xml:space="preserve"> </v>
      </c>
      <c r="M5259" t="s">
        <v>681</v>
      </c>
      <c r="O5259" s="5">
        <v>30860130</v>
      </c>
      <c r="P5259" s="5">
        <v>42800</v>
      </c>
      <c r="Q5259" s="5">
        <v>8132</v>
      </c>
      <c r="R5259" s="5">
        <v>50932</v>
      </c>
    </row>
    <row r="5260" spans="1:18" x14ac:dyDescent="0.25">
      <c r="F5260" t="s">
        <v>497</v>
      </c>
      <c r="K5260" t="str">
        <f>IFERROR(IF(AND(VLOOKUP($C5260,Hes!$A:$B, 1, FALSE), $M5260&lt;&gt;" "), "Ingresada", "Falta Ingresar"), " ")</f>
        <v xml:space="preserve"> </v>
      </c>
      <c r="L5260" s="4" t="str">
        <f>IFERROR(VLOOKUP($C5260,Observaciones!$A:$B,2,FALSE)," ")</f>
        <v xml:space="preserve"> </v>
      </c>
      <c r="M5260" t="s">
        <v>681</v>
      </c>
      <c r="P5260" s="5">
        <v>112722</v>
      </c>
      <c r="Q5260" s="5">
        <v>21417</v>
      </c>
      <c r="R5260" s="5">
        <v>134139</v>
      </c>
    </row>
    <row r="5261" spans="1:18" x14ac:dyDescent="0.25">
      <c r="A5261" t="s">
        <v>503</v>
      </c>
      <c r="B5261" t="s">
        <v>494</v>
      </c>
      <c r="C5261">
        <v>96825130</v>
      </c>
      <c r="D5261">
        <v>25</v>
      </c>
      <c r="E5261" t="s">
        <v>1788</v>
      </c>
      <c r="F5261" t="s">
        <v>1789</v>
      </c>
      <c r="G5261" s="1">
        <v>45231</v>
      </c>
      <c r="H5261">
        <v>5410471</v>
      </c>
      <c r="I5261">
        <v>462</v>
      </c>
      <c r="J5261" t="s">
        <v>190</v>
      </c>
      <c r="K5261" t="str">
        <f>IFERROR(IF(AND(VLOOKUP($C5261,Hes!$A:$B, 1, FALSE), $M5261&lt;&gt;" "), "Ingresada", "Falta Ingresar"), " ")</f>
        <v xml:space="preserve"> </v>
      </c>
      <c r="L5261" s="4" t="s">
        <v>681</v>
      </c>
      <c r="M5261" t="s">
        <v>681</v>
      </c>
      <c r="O5261" s="5">
        <v>30840842</v>
      </c>
      <c r="P5261" s="5">
        <v>11067</v>
      </c>
      <c r="Q5261" s="5">
        <v>2103</v>
      </c>
      <c r="R5261" s="5">
        <v>13170</v>
      </c>
    </row>
    <row r="5262" spans="1:18" x14ac:dyDescent="0.25">
      <c r="A5262" t="s">
        <v>503</v>
      </c>
      <c r="B5262" t="s">
        <v>494</v>
      </c>
      <c r="C5262">
        <v>96825130</v>
      </c>
      <c r="D5262">
        <v>25</v>
      </c>
      <c r="E5262" t="s">
        <v>1790</v>
      </c>
      <c r="F5262" t="s">
        <v>1789</v>
      </c>
      <c r="G5262" s="1">
        <v>45231</v>
      </c>
      <c r="H5262">
        <v>5410573</v>
      </c>
      <c r="I5262">
        <v>462</v>
      </c>
      <c r="J5262" t="s">
        <v>190</v>
      </c>
      <c r="K5262" t="str">
        <f>IFERROR(IF(AND(VLOOKUP($C5262,Hes!$A:$B, 1, FALSE), $M5262&lt;&gt;" "), "Ingresada", "Falta Ingresar"), " ")</f>
        <v xml:space="preserve"> </v>
      </c>
      <c r="L5262" s="4" t="s">
        <v>681</v>
      </c>
      <c r="M5262" t="s">
        <v>681</v>
      </c>
      <c r="O5262" s="5">
        <v>30840830</v>
      </c>
      <c r="P5262" s="5">
        <v>10008</v>
      </c>
      <c r="Q5262" s="5">
        <v>1902</v>
      </c>
      <c r="R5262" s="5">
        <v>11910</v>
      </c>
    </row>
    <row r="5263" spans="1:18" x14ac:dyDescent="0.25">
      <c r="A5263" t="s">
        <v>503</v>
      </c>
      <c r="B5263" t="s">
        <v>494</v>
      </c>
      <c r="C5263">
        <v>96825130</v>
      </c>
      <c r="D5263">
        <v>34</v>
      </c>
      <c r="E5263" t="s">
        <v>1791</v>
      </c>
      <c r="F5263" t="s">
        <v>1789</v>
      </c>
      <c r="G5263" s="1">
        <v>45234</v>
      </c>
      <c r="H5263">
        <v>5411764</v>
      </c>
      <c r="I5263">
        <v>462</v>
      </c>
      <c r="J5263" t="s">
        <v>190</v>
      </c>
      <c r="K5263" t="str">
        <f>IFERROR(IF(AND(VLOOKUP($C5263,Hes!$A:$B, 1, FALSE), $M5263&lt;&gt;" "), "Ingresada", "Falta Ingresar"), " ")</f>
        <v xml:space="preserve"> </v>
      </c>
      <c r="L5263" s="4" t="s">
        <v>681</v>
      </c>
      <c r="M5263" t="s">
        <v>681</v>
      </c>
      <c r="O5263" s="5">
        <v>30833278</v>
      </c>
      <c r="P5263" s="5">
        <v>296480</v>
      </c>
      <c r="Q5263" s="5">
        <v>56331</v>
      </c>
      <c r="R5263" s="5">
        <v>352811</v>
      </c>
    </row>
    <row r="5264" spans="1:18" x14ac:dyDescent="0.25">
      <c r="A5264" t="s">
        <v>503</v>
      </c>
      <c r="B5264" t="s">
        <v>494</v>
      </c>
      <c r="C5264">
        <v>96825130</v>
      </c>
      <c r="D5264">
        <v>11</v>
      </c>
      <c r="E5264">
        <v>30856943</v>
      </c>
      <c r="F5264" t="s">
        <v>1789</v>
      </c>
      <c r="G5264" s="1">
        <v>45236</v>
      </c>
      <c r="H5264">
        <v>5413883</v>
      </c>
      <c r="I5264">
        <v>181</v>
      </c>
      <c r="J5264" t="s">
        <v>206</v>
      </c>
      <c r="K5264" t="str">
        <f>IFERROR(IF(AND(VLOOKUP($C5264,Hes!$A:$B, 1, FALSE), $M5264&lt;&gt;" "), "Ingresada", "Falta Ingresar"), " ")</f>
        <v xml:space="preserve"> </v>
      </c>
      <c r="L5264" s="4" t="s">
        <v>681</v>
      </c>
      <c r="M5264" t="s">
        <v>681</v>
      </c>
      <c r="O5264" s="5">
        <v>30856943</v>
      </c>
      <c r="P5264" s="5">
        <v>861885</v>
      </c>
      <c r="Q5264" s="5">
        <v>163758</v>
      </c>
      <c r="R5264" s="5">
        <v>1025643</v>
      </c>
    </row>
    <row r="5265" spans="1:18" x14ac:dyDescent="0.25">
      <c r="A5265" t="s">
        <v>503</v>
      </c>
      <c r="B5265" t="s">
        <v>494</v>
      </c>
      <c r="C5265">
        <v>96825130</v>
      </c>
      <c r="D5265">
        <v>25</v>
      </c>
      <c r="E5265" t="s">
        <v>1792</v>
      </c>
      <c r="F5265" t="s">
        <v>1789</v>
      </c>
      <c r="G5265" s="1">
        <v>45238</v>
      </c>
      <c r="H5265">
        <v>5415232</v>
      </c>
      <c r="I5265">
        <v>181</v>
      </c>
      <c r="J5265" t="s">
        <v>206</v>
      </c>
      <c r="K5265" t="str">
        <f>IFERROR(IF(AND(VLOOKUP($C5265,Hes!$A:$B, 1, FALSE), $M5265&lt;&gt;" "), "Ingresada", "Falta Ingresar"), " ")</f>
        <v xml:space="preserve"> </v>
      </c>
      <c r="L5265" s="4" t="s">
        <v>681</v>
      </c>
      <c r="M5265" t="s">
        <v>681</v>
      </c>
      <c r="O5265" s="5">
        <v>30864651</v>
      </c>
      <c r="P5265" s="5">
        <v>1822000</v>
      </c>
      <c r="Q5265" s="5">
        <v>346180</v>
      </c>
      <c r="R5265" s="5">
        <v>2168180</v>
      </c>
    </row>
    <row r="5266" spans="1:18" x14ac:dyDescent="0.25">
      <c r="A5266" t="s">
        <v>503</v>
      </c>
      <c r="B5266" t="s">
        <v>494</v>
      </c>
      <c r="C5266">
        <v>96825130</v>
      </c>
      <c r="D5266">
        <v>25</v>
      </c>
      <c r="E5266" t="s">
        <v>1793</v>
      </c>
      <c r="F5266" t="s">
        <v>1789</v>
      </c>
      <c r="G5266" s="1">
        <v>45238</v>
      </c>
      <c r="H5266">
        <v>5415522</v>
      </c>
      <c r="I5266">
        <v>181</v>
      </c>
      <c r="J5266" t="s">
        <v>206</v>
      </c>
      <c r="K5266" t="str">
        <f>IFERROR(IF(AND(VLOOKUP($C5266,Hes!$A:$B, 1, FALSE), $M5266&lt;&gt;" "), "Ingresada", "Falta Ingresar"), " ")</f>
        <v xml:space="preserve"> </v>
      </c>
      <c r="L5266" s="4" t="s">
        <v>681</v>
      </c>
      <c r="M5266" t="s">
        <v>681</v>
      </c>
      <c r="O5266" s="5">
        <v>30864633</v>
      </c>
      <c r="P5266" s="5">
        <v>36890</v>
      </c>
      <c r="Q5266" s="5">
        <v>7009</v>
      </c>
      <c r="R5266" s="5">
        <v>43899</v>
      </c>
    </row>
    <row r="5267" spans="1:18" x14ac:dyDescent="0.25">
      <c r="F5267" t="s">
        <v>523</v>
      </c>
      <c r="K5267" t="str">
        <f>IFERROR(IF(AND(VLOOKUP($C5267,Hes!$A:$B, 1, FALSE), $M5267&lt;&gt;" "), "Ingresada", "Falta Ingresar"), " ")</f>
        <v xml:space="preserve"> </v>
      </c>
      <c r="L5267" s="4" t="str">
        <f>IFERROR(VLOOKUP($C5267,Observaciones!$A:$B,2,FALSE)," ")</f>
        <v xml:space="preserve"> </v>
      </c>
      <c r="M5267" t="s">
        <v>681</v>
      </c>
      <c r="P5267" s="5">
        <v>3038330</v>
      </c>
      <c r="Q5267" s="5">
        <v>577283</v>
      </c>
      <c r="R5267" s="5">
        <v>3615613</v>
      </c>
    </row>
    <row r="5268" spans="1:18" x14ac:dyDescent="0.25">
      <c r="A5268" t="s">
        <v>503</v>
      </c>
      <c r="B5268" t="s">
        <v>494</v>
      </c>
      <c r="C5268">
        <v>96831620</v>
      </c>
      <c r="D5268">
        <v>0</v>
      </c>
      <c r="E5268">
        <v>4500031710</v>
      </c>
      <c r="F5268" t="s">
        <v>1794</v>
      </c>
      <c r="G5268" s="1">
        <v>45237</v>
      </c>
      <c r="H5268">
        <v>5414189</v>
      </c>
      <c r="I5268">
        <v>2</v>
      </c>
      <c r="J5268" t="s">
        <v>242</v>
      </c>
      <c r="K5268" s="7" t="str">
        <f>IFERROR(IF(AND(VLOOKUP($C5268,Hes!$A:$B, 1, FALSE), $M5268&lt;&gt;" "), "Ingresada", "Falta Ingresar"), " ")</f>
        <v>Ingresada</v>
      </c>
      <c r="L5268" s="4" t="str">
        <f>IFERROR(VLOOKUP($C5268,Observaciones!$A:$B,2,FALSE)," ")</f>
        <v xml:space="preserve"> </v>
      </c>
      <c r="M5268">
        <v>5000036723</v>
      </c>
      <c r="N5268" s="5" t="s">
        <v>841</v>
      </c>
      <c r="O5268" s="5">
        <v>30819916</v>
      </c>
      <c r="P5268" s="5">
        <v>93406</v>
      </c>
      <c r="Q5268" s="5">
        <v>17747</v>
      </c>
      <c r="R5268" s="5">
        <v>111153</v>
      </c>
    </row>
    <row r="5269" spans="1:18" x14ac:dyDescent="0.25">
      <c r="F5269" t="s">
        <v>495</v>
      </c>
      <c r="K5269" t="str">
        <f>IFERROR(IF(AND(VLOOKUP($C5269,Hes!$A:$B, 1, FALSE), $M5269&lt;&gt;" "), "Ingresada", "Falta Ingresar"), " ")</f>
        <v xml:space="preserve"> </v>
      </c>
      <c r="L5269" s="4" t="str">
        <f>IFERROR(VLOOKUP($C5269,Observaciones!$A:$B,2,FALSE)," ")</f>
        <v xml:space="preserve"> </v>
      </c>
      <c r="M5269" t="s">
        <v>681</v>
      </c>
      <c r="P5269" s="5">
        <v>93406</v>
      </c>
      <c r="Q5269" s="5">
        <v>17747</v>
      </c>
      <c r="R5269" s="5">
        <v>111153</v>
      </c>
    </row>
    <row r="5270" spans="1:18" x14ac:dyDescent="0.25">
      <c r="A5270" t="s">
        <v>501</v>
      </c>
      <c r="B5270" t="s">
        <v>494</v>
      </c>
      <c r="C5270">
        <v>96836390</v>
      </c>
      <c r="D5270">
        <v>0</v>
      </c>
      <c r="E5270">
        <v>30859809</v>
      </c>
      <c r="F5270" t="s">
        <v>1795</v>
      </c>
      <c r="G5270" s="1">
        <v>45237</v>
      </c>
      <c r="H5270">
        <v>5414295</v>
      </c>
      <c r="I5270">
        <v>16</v>
      </c>
      <c r="J5270" t="s">
        <v>330</v>
      </c>
      <c r="K5270" t="str">
        <f>IFERROR(IF(AND(VLOOKUP($C5270,Hes!$A:$B, 1, FALSE), $M5270&lt;&gt;" "), "Ingresada", "Falta Ingresar"), " ")</f>
        <v xml:space="preserve"> </v>
      </c>
      <c r="L5270" s="4" t="str">
        <f>IFERROR(VLOOKUP($C5270,Observaciones!$A:$B,2,FALSE)," ")</f>
        <v xml:space="preserve"> </v>
      </c>
      <c r="M5270" t="s">
        <v>681</v>
      </c>
      <c r="O5270" s="5">
        <v>30859809</v>
      </c>
      <c r="P5270" s="5">
        <v>364790</v>
      </c>
      <c r="Q5270" s="5">
        <v>69310</v>
      </c>
      <c r="R5270" s="5">
        <v>434100</v>
      </c>
    </row>
    <row r="5271" spans="1:18" x14ac:dyDescent="0.25">
      <c r="A5271" t="s">
        <v>501</v>
      </c>
      <c r="B5271" t="s">
        <v>494</v>
      </c>
      <c r="C5271">
        <v>96836390</v>
      </c>
      <c r="D5271">
        <v>0</v>
      </c>
      <c r="E5271" t="s">
        <v>1796</v>
      </c>
      <c r="F5271" t="s">
        <v>1795</v>
      </c>
      <c r="G5271" s="1">
        <v>45238</v>
      </c>
      <c r="H5271">
        <v>5414985</v>
      </c>
      <c r="I5271">
        <v>16</v>
      </c>
      <c r="J5271" t="s">
        <v>330</v>
      </c>
      <c r="K5271" t="str">
        <f>IFERROR(IF(AND(VLOOKUP($C5271,Hes!$A:$B, 1, FALSE), $M5271&lt;&gt;" "), "Ingresada", "Falta Ingresar"), " ")</f>
        <v xml:space="preserve"> </v>
      </c>
      <c r="L5271" s="4" t="str">
        <f>IFERROR(VLOOKUP($C5271,Observaciones!$A:$B,2,FALSE)," ")</f>
        <v xml:space="preserve"> </v>
      </c>
      <c r="M5271" t="s">
        <v>681</v>
      </c>
      <c r="O5271" s="5">
        <v>30862357</v>
      </c>
      <c r="P5271" s="5">
        <v>19802</v>
      </c>
      <c r="Q5271" s="5">
        <v>3762</v>
      </c>
      <c r="R5271" s="5">
        <v>23564</v>
      </c>
    </row>
    <row r="5272" spans="1:18" x14ac:dyDescent="0.25">
      <c r="F5272" t="s">
        <v>497</v>
      </c>
      <c r="K5272" t="str">
        <f>IFERROR(IF(AND(VLOOKUP($C5272,Hes!$A:$B, 1, FALSE), $M5272&lt;&gt;" "), "Ingresada", "Falta Ingresar"), " ")</f>
        <v xml:space="preserve"> </v>
      </c>
      <c r="L5272" s="4" t="str">
        <f>IFERROR(VLOOKUP($C5272,Observaciones!$A:$B,2,FALSE)," ")</f>
        <v xml:space="preserve"> </v>
      </c>
      <c r="M5272" t="s">
        <v>681</v>
      </c>
      <c r="P5272" s="5">
        <v>384592</v>
      </c>
      <c r="Q5272" s="5">
        <v>73072</v>
      </c>
      <c r="R5272" s="5">
        <v>457664</v>
      </c>
    </row>
    <row r="5273" spans="1:18" x14ac:dyDescent="0.25">
      <c r="A5273" t="s">
        <v>503</v>
      </c>
      <c r="B5273" t="s">
        <v>494</v>
      </c>
      <c r="C5273">
        <v>96841740</v>
      </c>
      <c r="D5273">
        <v>3</v>
      </c>
      <c r="E5273" t="s">
        <v>1797</v>
      </c>
      <c r="F5273" t="s">
        <v>1798</v>
      </c>
      <c r="G5273" s="1">
        <v>45236</v>
      </c>
      <c r="H5273">
        <v>5413067</v>
      </c>
      <c r="I5273">
        <v>321</v>
      </c>
      <c r="J5273" t="s">
        <v>202</v>
      </c>
      <c r="K5273" t="str">
        <f>IFERROR(IF(AND(VLOOKUP($C5273,Hes!$A:$B, 1, FALSE), $M5273&lt;&gt;" "), "Ingresada", "Falta Ingresar"), " ")</f>
        <v xml:space="preserve"> </v>
      </c>
      <c r="L5273" s="4" t="s">
        <v>681</v>
      </c>
      <c r="M5273" t="s">
        <v>681</v>
      </c>
      <c r="O5273" s="5">
        <v>30848100</v>
      </c>
      <c r="P5273" s="5">
        <v>198586</v>
      </c>
      <c r="Q5273" s="5">
        <v>37731</v>
      </c>
      <c r="R5273" s="5">
        <v>236317</v>
      </c>
    </row>
    <row r="5274" spans="1:18" x14ac:dyDescent="0.25">
      <c r="A5274" t="s">
        <v>503</v>
      </c>
      <c r="B5274" t="s">
        <v>494</v>
      </c>
      <c r="C5274">
        <v>96841740</v>
      </c>
      <c r="D5274">
        <v>3</v>
      </c>
      <c r="E5274" t="s">
        <v>1797</v>
      </c>
      <c r="F5274" t="s">
        <v>1798</v>
      </c>
      <c r="G5274" s="1">
        <v>45236</v>
      </c>
      <c r="H5274">
        <v>5413068</v>
      </c>
      <c r="I5274">
        <v>321</v>
      </c>
      <c r="J5274" t="s">
        <v>202</v>
      </c>
      <c r="K5274" t="str">
        <f>IFERROR(IF(AND(VLOOKUP($C5274,Hes!$A:$B, 1, FALSE), $M5274&lt;&gt;" "), "Ingresada", "Falta Ingresar"), " ")</f>
        <v xml:space="preserve"> </v>
      </c>
      <c r="L5274" s="4" t="s">
        <v>681</v>
      </c>
      <c r="M5274" t="s">
        <v>681</v>
      </c>
      <c r="O5274" s="5">
        <v>30848100</v>
      </c>
      <c r="P5274" s="5">
        <v>68650</v>
      </c>
      <c r="Q5274" s="5">
        <v>13044</v>
      </c>
      <c r="R5274" s="5">
        <v>81694</v>
      </c>
    </row>
    <row r="5275" spans="1:18" x14ac:dyDescent="0.25">
      <c r="F5275" t="s">
        <v>497</v>
      </c>
      <c r="K5275" t="str">
        <f>IFERROR(IF(AND(VLOOKUP($C5275,Hes!$A:$B, 1, FALSE), $M5275&lt;&gt;" "), "Ingresada", "Falta Ingresar"), " ")</f>
        <v xml:space="preserve"> </v>
      </c>
      <c r="L5275" s="4" t="str">
        <f>IFERROR(VLOOKUP($C5275,Observaciones!$A:$B,2,FALSE)," ")</f>
        <v xml:space="preserve"> </v>
      </c>
      <c r="M5275" t="s">
        <v>681</v>
      </c>
      <c r="P5275" s="5">
        <v>267236</v>
      </c>
      <c r="Q5275" s="5">
        <v>50775</v>
      </c>
      <c r="R5275" s="5">
        <v>318011</v>
      </c>
    </row>
    <row r="5276" spans="1:18" x14ac:dyDescent="0.25">
      <c r="A5276" t="s">
        <v>503</v>
      </c>
      <c r="B5276" t="s">
        <v>509</v>
      </c>
      <c r="C5276">
        <v>96842410</v>
      </c>
      <c r="D5276">
        <v>0</v>
      </c>
      <c r="E5276" t="s">
        <v>1799</v>
      </c>
      <c r="F5276" t="s">
        <v>1800</v>
      </c>
      <c r="G5276" s="1">
        <v>45236</v>
      </c>
      <c r="H5276">
        <v>5413802</v>
      </c>
      <c r="I5276">
        <v>58</v>
      </c>
      <c r="J5276" t="s">
        <v>230</v>
      </c>
      <c r="K5276" t="str">
        <f>IFERROR(IF(AND(VLOOKUP($C5276,Hes!$A:$B, 1, FALSE), $M5276&lt;&gt;" "), "Ingresada", "Falta Ingresar"), " ")</f>
        <v xml:space="preserve"> </v>
      </c>
      <c r="L5276" s="4" t="s">
        <v>681</v>
      </c>
      <c r="M5276" t="s">
        <v>681</v>
      </c>
      <c r="O5276" s="5">
        <v>30843677</v>
      </c>
      <c r="P5276" s="5">
        <v>408279</v>
      </c>
      <c r="Q5276" s="5">
        <v>77573</v>
      </c>
      <c r="R5276" s="5">
        <v>491283</v>
      </c>
    </row>
    <row r="5277" spans="1:18" x14ac:dyDescent="0.25">
      <c r="F5277" t="s">
        <v>495</v>
      </c>
      <c r="K5277" t="str">
        <f>IFERROR(IF(AND(VLOOKUP($C5277,Hes!$A:$B, 1, FALSE), $M5277&lt;&gt;" "), "Ingresada", "Falta Ingresar"), " ")</f>
        <v xml:space="preserve"> </v>
      </c>
      <c r="L5277" s="4" t="str">
        <f>IFERROR(VLOOKUP($C5277,Observaciones!$A:$B,2,FALSE)," ")</f>
        <v xml:space="preserve"> </v>
      </c>
      <c r="M5277" t="s">
        <v>681</v>
      </c>
      <c r="P5277" s="5">
        <v>408279</v>
      </c>
      <c r="Q5277" s="5">
        <v>77573</v>
      </c>
      <c r="R5277" s="5">
        <v>491283</v>
      </c>
    </row>
    <row r="5278" spans="1:18" x14ac:dyDescent="0.25">
      <c r="A5278" t="s">
        <v>503</v>
      </c>
      <c r="B5278" t="s">
        <v>509</v>
      </c>
      <c r="C5278">
        <v>96842570</v>
      </c>
      <c r="D5278">
        <v>4</v>
      </c>
      <c r="E5278" t="s">
        <v>1801</v>
      </c>
      <c r="F5278" t="s">
        <v>1802</v>
      </c>
      <c r="G5278" s="1">
        <v>45236</v>
      </c>
      <c r="H5278">
        <v>5412018</v>
      </c>
      <c r="I5278">
        <v>41</v>
      </c>
      <c r="J5278" t="s">
        <v>307</v>
      </c>
      <c r="K5278" t="str">
        <f>IFERROR(IF(AND(VLOOKUP($C5278,Hes!$A:$B, 1, FALSE), $M5278&lt;&gt;" "), "Ingresada", "Falta Ingresar"), " ")</f>
        <v xml:space="preserve"> </v>
      </c>
      <c r="L5278" s="4" t="s">
        <v>681</v>
      </c>
      <c r="M5278" t="s">
        <v>681</v>
      </c>
      <c r="O5278" s="5">
        <v>30836047</v>
      </c>
      <c r="P5278" s="5">
        <v>216802</v>
      </c>
      <c r="Q5278" s="5">
        <v>41192</v>
      </c>
      <c r="R5278" s="5">
        <v>257994</v>
      </c>
    </row>
    <row r="5279" spans="1:18" x14ac:dyDescent="0.25">
      <c r="A5279" t="s">
        <v>503</v>
      </c>
      <c r="B5279" t="s">
        <v>509</v>
      </c>
      <c r="C5279">
        <v>96842570</v>
      </c>
      <c r="D5279">
        <v>4</v>
      </c>
      <c r="E5279" t="s">
        <v>1803</v>
      </c>
      <c r="F5279" t="s">
        <v>1802</v>
      </c>
      <c r="G5279" s="1">
        <v>45236</v>
      </c>
      <c r="H5279">
        <v>5412030</v>
      </c>
      <c r="I5279">
        <v>41</v>
      </c>
      <c r="J5279" t="s">
        <v>307</v>
      </c>
      <c r="K5279" t="str">
        <f>IFERROR(IF(AND(VLOOKUP($C5279,Hes!$A:$B, 1, FALSE), $M5279&lt;&gt;" "), "Ingresada", "Falta Ingresar"), " ")</f>
        <v xml:space="preserve"> </v>
      </c>
      <c r="L5279" s="4" t="s">
        <v>681</v>
      </c>
      <c r="M5279" t="s">
        <v>681</v>
      </c>
      <c r="O5279" s="5">
        <v>30845927</v>
      </c>
      <c r="P5279" s="5">
        <v>682020</v>
      </c>
      <c r="Q5279" s="5">
        <v>129584</v>
      </c>
      <c r="R5279" s="5">
        <v>811604</v>
      </c>
    </row>
    <row r="5280" spans="1:18" x14ac:dyDescent="0.25">
      <c r="F5280" t="s">
        <v>497</v>
      </c>
      <c r="K5280" t="str">
        <f>IFERROR(IF(AND(VLOOKUP($C5280,Hes!$A:$B, 1, FALSE), $M5280&lt;&gt;" "), "Ingresada", "Falta Ingresar"), " ")</f>
        <v xml:space="preserve"> </v>
      </c>
      <c r="L5280" s="4" t="str">
        <f>IFERROR(VLOOKUP($C5280,Observaciones!$A:$B,2,FALSE)," ")</f>
        <v xml:space="preserve"> </v>
      </c>
      <c r="M5280" t="s">
        <v>681</v>
      </c>
      <c r="P5280" s="5">
        <v>898822</v>
      </c>
      <c r="Q5280" s="5">
        <v>170776</v>
      </c>
      <c r="R5280" s="5">
        <v>1069598</v>
      </c>
    </row>
    <row r="5281" spans="1:18" x14ac:dyDescent="0.25">
      <c r="A5281" t="s">
        <v>496</v>
      </c>
      <c r="B5281" t="s">
        <v>502</v>
      </c>
      <c r="C5281">
        <v>96843130</v>
      </c>
      <c r="D5281">
        <v>6</v>
      </c>
      <c r="E5281">
        <v>4500461314</v>
      </c>
      <c r="F5281" t="s">
        <v>1804</v>
      </c>
      <c r="G5281" s="1">
        <v>45233</v>
      </c>
      <c r="H5281">
        <v>5411512</v>
      </c>
      <c r="I5281">
        <v>394</v>
      </c>
      <c r="J5281" t="s">
        <v>224</v>
      </c>
      <c r="K5281" s="8" t="str">
        <f>IFERROR(IF(AND(VLOOKUP($C5281,Hes!$A:$B, 1, FALSE), $M5281&lt;&gt;" "), "Ingresada", "Falta Ingresar"), " ")</f>
        <v>Falta Ingresar</v>
      </c>
      <c r="L5281" s="4" t="str">
        <f>IFERROR(VLOOKUP($C5281,Observaciones!$A:$B,2,FALSE)," ")</f>
        <v>XOC Y CC</v>
      </c>
      <c r="M5281" t="s">
        <v>681</v>
      </c>
      <c r="N5281" s="5" t="s">
        <v>841</v>
      </c>
      <c r="O5281" s="5">
        <v>30830972</v>
      </c>
      <c r="P5281" s="5">
        <v>2208</v>
      </c>
      <c r="Q5281" s="5">
        <v>420</v>
      </c>
      <c r="R5281" s="5">
        <v>2628</v>
      </c>
    </row>
    <row r="5282" spans="1:18" x14ac:dyDescent="0.25">
      <c r="A5282" t="s">
        <v>496</v>
      </c>
      <c r="B5282" t="s">
        <v>502</v>
      </c>
      <c r="C5282">
        <v>96843130</v>
      </c>
      <c r="D5282">
        <v>5</v>
      </c>
      <c r="E5282">
        <v>4500462106</v>
      </c>
      <c r="F5282" t="s">
        <v>1804</v>
      </c>
      <c r="G5282" s="1">
        <v>45236</v>
      </c>
      <c r="H5282">
        <v>5412119</v>
      </c>
      <c r="I5282">
        <v>394</v>
      </c>
      <c r="J5282" t="s">
        <v>224</v>
      </c>
      <c r="K5282" s="8" t="str">
        <f>IFERROR(IF(AND(VLOOKUP($C5282,Hes!$A:$B, 1, FALSE), $M5282&lt;&gt;" "), "Ingresada", "Falta Ingresar"), " ")</f>
        <v>Falta Ingresar</v>
      </c>
      <c r="L5282" s="4" t="str">
        <f>IFERROR(VLOOKUP($C5282,Observaciones!$A:$B,2,FALSE)," ")</f>
        <v>XOC Y CC</v>
      </c>
      <c r="M5282" t="s">
        <v>681</v>
      </c>
      <c r="N5282" s="5" t="s">
        <v>841</v>
      </c>
      <c r="O5282" s="5">
        <v>30849444</v>
      </c>
      <c r="P5282" s="5">
        <v>87570</v>
      </c>
      <c r="Q5282" s="5">
        <v>16638</v>
      </c>
      <c r="R5282" s="5">
        <v>104208</v>
      </c>
    </row>
    <row r="5283" spans="1:18" x14ac:dyDescent="0.25">
      <c r="A5283" t="s">
        <v>496</v>
      </c>
      <c r="B5283" t="s">
        <v>502</v>
      </c>
      <c r="C5283">
        <v>96843130</v>
      </c>
      <c r="D5283">
        <v>5</v>
      </c>
      <c r="E5283">
        <v>4500461821</v>
      </c>
      <c r="F5283" t="s">
        <v>1804</v>
      </c>
      <c r="G5283" s="1">
        <v>45236</v>
      </c>
      <c r="H5283">
        <v>5412120</v>
      </c>
      <c r="I5283">
        <v>394</v>
      </c>
      <c r="J5283" t="s">
        <v>224</v>
      </c>
      <c r="K5283" s="8" t="str">
        <f>IFERROR(IF(AND(VLOOKUP($C5283,Hes!$A:$B, 1, FALSE), $M5283&lt;&gt;" "), "Ingresada", "Falta Ingresar"), " ")</f>
        <v>Falta Ingresar</v>
      </c>
      <c r="L5283" s="4" t="str">
        <f>IFERROR(VLOOKUP($C5283,Observaciones!$A:$B,2,FALSE)," ")</f>
        <v>XOC Y CC</v>
      </c>
      <c r="M5283" t="s">
        <v>681</v>
      </c>
      <c r="N5283" s="5" t="s">
        <v>841</v>
      </c>
      <c r="O5283" s="5">
        <v>30849417</v>
      </c>
      <c r="P5283" s="5">
        <v>9240</v>
      </c>
      <c r="Q5283" s="5">
        <v>1756</v>
      </c>
      <c r="R5283" s="5">
        <v>10996</v>
      </c>
    </row>
    <row r="5284" spans="1:18" x14ac:dyDescent="0.25">
      <c r="A5284" t="s">
        <v>496</v>
      </c>
      <c r="B5284" t="s">
        <v>502</v>
      </c>
      <c r="C5284">
        <v>96843130</v>
      </c>
      <c r="D5284">
        <v>5</v>
      </c>
      <c r="E5284">
        <v>4500462634</v>
      </c>
      <c r="F5284" t="s">
        <v>1804</v>
      </c>
      <c r="G5284" s="1">
        <v>45236</v>
      </c>
      <c r="H5284">
        <v>5412121</v>
      </c>
      <c r="I5284">
        <v>394</v>
      </c>
      <c r="J5284" t="s">
        <v>224</v>
      </c>
      <c r="K5284" s="8" t="str">
        <f>IFERROR(IF(AND(VLOOKUP($C5284,Hes!$A:$B, 1, FALSE), $M5284&lt;&gt;" "), "Ingresada", "Falta Ingresar"), " ")</f>
        <v>Falta Ingresar</v>
      </c>
      <c r="L5284" s="4" t="str">
        <f>IFERROR(VLOOKUP($C5284,Observaciones!$A:$B,2,FALSE)," ")</f>
        <v>XOC Y CC</v>
      </c>
      <c r="M5284" t="s">
        <v>681</v>
      </c>
      <c r="N5284" s="5" t="s">
        <v>841</v>
      </c>
      <c r="O5284" s="5">
        <v>30849784</v>
      </c>
      <c r="P5284" s="5">
        <v>116556</v>
      </c>
      <c r="Q5284" s="5">
        <v>22146</v>
      </c>
      <c r="R5284" s="5">
        <v>138702</v>
      </c>
    </row>
    <row r="5285" spans="1:18" x14ac:dyDescent="0.25">
      <c r="A5285" t="s">
        <v>496</v>
      </c>
      <c r="B5285" t="s">
        <v>502</v>
      </c>
      <c r="C5285">
        <v>96843130</v>
      </c>
      <c r="D5285">
        <v>0</v>
      </c>
      <c r="E5285">
        <v>4500462003</v>
      </c>
      <c r="F5285" t="s">
        <v>1804</v>
      </c>
      <c r="G5285" s="1">
        <v>45236</v>
      </c>
      <c r="H5285">
        <v>5412128</v>
      </c>
      <c r="I5285">
        <v>394</v>
      </c>
      <c r="J5285" t="s">
        <v>224</v>
      </c>
      <c r="K5285" s="8" t="str">
        <f>IFERROR(IF(AND(VLOOKUP($C5285,Hes!$A:$B, 1, FALSE), $M5285&lt;&gt;" "), "Ingresada", "Falta Ingresar"), " ")</f>
        <v>Falta Ingresar</v>
      </c>
      <c r="L5285" s="4" t="str">
        <f>IFERROR(VLOOKUP($C5285,Observaciones!$A:$B,2,FALSE)," ")</f>
        <v>XOC Y CC</v>
      </c>
      <c r="M5285" t="s">
        <v>681</v>
      </c>
      <c r="N5285" s="5" t="s">
        <v>841</v>
      </c>
      <c r="O5285" s="5">
        <v>30843602</v>
      </c>
      <c r="P5285" s="5">
        <v>397764</v>
      </c>
      <c r="Q5285" s="5">
        <v>75575</v>
      </c>
      <c r="R5285" s="5">
        <v>473339</v>
      </c>
    </row>
    <row r="5286" spans="1:18" x14ac:dyDescent="0.25">
      <c r="A5286" t="s">
        <v>496</v>
      </c>
      <c r="B5286" t="s">
        <v>502</v>
      </c>
      <c r="C5286">
        <v>96843130</v>
      </c>
      <c r="D5286">
        <v>0</v>
      </c>
      <c r="E5286">
        <v>4500462110</v>
      </c>
      <c r="F5286" t="s">
        <v>1804</v>
      </c>
      <c r="G5286" s="1">
        <v>45236</v>
      </c>
      <c r="H5286">
        <v>5412129</v>
      </c>
      <c r="I5286">
        <v>394</v>
      </c>
      <c r="J5286" t="s">
        <v>224</v>
      </c>
      <c r="K5286" s="8" t="str">
        <f>IFERROR(IF(AND(VLOOKUP($C5286,Hes!$A:$B, 1, FALSE), $M5286&lt;&gt;" "), "Ingresada", "Falta Ingresar"), " ")</f>
        <v>Falta Ingresar</v>
      </c>
      <c r="L5286" s="4" t="str">
        <f>IFERROR(VLOOKUP($C5286,Observaciones!$A:$B,2,FALSE)," ")</f>
        <v>XOC Y CC</v>
      </c>
      <c r="M5286" t="s">
        <v>681</v>
      </c>
      <c r="N5286" s="5" t="s">
        <v>841</v>
      </c>
      <c r="O5286" s="5">
        <v>30843653</v>
      </c>
      <c r="P5286" s="5">
        <v>17924</v>
      </c>
      <c r="Q5286" s="5">
        <v>3406</v>
      </c>
      <c r="R5286" s="5">
        <v>21330</v>
      </c>
    </row>
    <row r="5287" spans="1:18" x14ac:dyDescent="0.25">
      <c r="A5287" t="s">
        <v>496</v>
      </c>
      <c r="B5287" t="s">
        <v>502</v>
      </c>
      <c r="C5287">
        <v>96843130</v>
      </c>
      <c r="D5287">
        <v>0</v>
      </c>
      <c r="E5287">
        <v>4500462241</v>
      </c>
      <c r="F5287" t="s">
        <v>1804</v>
      </c>
      <c r="G5287" s="1">
        <v>45236</v>
      </c>
      <c r="H5287">
        <v>5412130</v>
      </c>
      <c r="I5287">
        <v>394</v>
      </c>
      <c r="J5287" t="s">
        <v>224</v>
      </c>
      <c r="K5287" s="8" t="str">
        <f>IFERROR(IF(AND(VLOOKUP($C5287,Hes!$A:$B, 1, FALSE), $M5287&lt;&gt;" "), "Ingresada", "Falta Ingresar"), " ")</f>
        <v>Falta Ingresar</v>
      </c>
      <c r="L5287" s="4" t="str">
        <f>IFERROR(VLOOKUP($C5287,Observaciones!$A:$B,2,FALSE)," ")</f>
        <v>XOC Y CC</v>
      </c>
      <c r="M5287" t="s">
        <v>681</v>
      </c>
      <c r="N5287" s="5" t="s">
        <v>841</v>
      </c>
      <c r="O5287" s="5">
        <v>30843718</v>
      </c>
      <c r="P5287" s="5">
        <v>47619</v>
      </c>
      <c r="Q5287" s="5">
        <v>9048</v>
      </c>
      <c r="R5287" s="5">
        <v>56667</v>
      </c>
    </row>
    <row r="5288" spans="1:18" x14ac:dyDescent="0.25">
      <c r="A5288" t="s">
        <v>496</v>
      </c>
      <c r="B5288" t="s">
        <v>502</v>
      </c>
      <c r="C5288">
        <v>96843130</v>
      </c>
      <c r="D5288">
        <v>0</v>
      </c>
      <c r="E5288">
        <v>4500461828</v>
      </c>
      <c r="F5288" t="s">
        <v>1804</v>
      </c>
      <c r="G5288" s="1">
        <v>45236</v>
      </c>
      <c r="H5288">
        <v>5412133</v>
      </c>
      <c r="I5288">
        <v>394</v>
      </c>
      <c r="J5288" t="s">
        <v>224</v>
      </c>
      <c r="K5288" s="8" t="str">
        <f>IFERROR(IF(AND(VLOOKUP($C5288,Hes!$A:$B, 1, FALSE), $M5288&lt;&gt;" "), "Ingresada", "Falta Ingresar"), " ")</f>
        <v>Falta Ingresar</v>
      </c>
      <c r="L5288" s="4" t="str">
        <f>IFERROR(VLOOKUP($C5288,Observaciones!$A:$B,2,FALSE)," ")</f>
        <v>XOC Y CC</v>
      </c>
      <c r="M5288" t="s">
        <v>681</v>
      </c>
      <c r="N5288" s="5" t="s">
        <v>841</v>
      </c>
      <c r="O5288" s="5">
        <v>30843333</v>
      </c>
      <c r="P5288" s="5">
        <v>129390</v>
      </c>
      <c r="Q5288" s="5">
        <v>24584</v>
      </c>
      <c r="R5288" s="5">
        <v>153974</v>
      </c>
    </row>
    <row r="5289" spans="1:18" x14ac:dyDescent="0.25">
      <c r="A5289" t="s">
        <v>496</v>
      </c>
      <c r="B5289" t="s">
        <v>502</v>
      </c>
      <c r="C5289">
        <v>96843130</v>
      </c>
      <c r="D5289">
        <v>1</v>
      </c>
      <c r="E5289">
        <v>4500461805</v>
      </c>
      <c r="F5289" t="s">
        <v>1804</v>
      </c>
      <c r="G5289" s="1">
        <v>45236</v>
      </c>
      <c r="H5289">
        <v>5412471</v>
      </c>
      <c r="I5289">
        <v>394</v>
      </c>
      <c r="J5289" t="s">
        <v>224</v>
      </c>
      <c r="K5289" s="8" t="str">
        <f>IFERROR(IF(AND(VLOOKUP($C5289,Hes!$A:$B, 1, FALSE), $M5289&lt;&gt;" "), "Ingresada", "Falta Ingresar"), " ")</f>
        <v>Falta Ingresar</v>
      </c>
      <c r="L5289" s="4" t="str">
        <f>IFERROR(VLOOKUP($C5289,Observaciones!$A:$B,2,FALSE)," ")</f>
        <v>XOC Y CC</v>
      </c>
      <c r="M5289" t="s">
        <v>681</v>
      </c>
      <c r="N5289" s="5" t="s">
        <v>841</v>
      </c>
      <c r="O5289" s="5">
        <v>30842773</v>
      </c>
      <c r="P5289" s="5">
        <v>135218</v>
      </c>
      <c r="Q5289" s="5">
        <v>25691</v>
      </c>
      <c r="R5289" s="5">
        <v>160909</v>
      </c>
    </row>
    <row r="5290" spans="1:18" x14ac:dyDescent="0.25">
      <c r="A5290" t="s">
        <v>496</v>
      </c>
      <c r="B5290" t="s">
        <v>502</v>
      </c>
      <c r="C5290">
        <v>96843130</v>
      </c>
      <c r="D5290">
        <v>1</v>
      </c>
      <c r="E5290">
        <v>4500461587</v>
      </c>
      <c r="F5290" t="s">
        <v>1804</v>
      </c>
      <c r="G5290" s="1">
        <v>45236</v>
      </c>
      <c r="H5290">
        <v>5412473</v>
      </c>
      <c r="I5290">
        <v>394</v>
      </c>
      <c r="J5290" t="s">
        <v>224</v>
      </c>
      <c r="K5290" s="8" t="str">
        <f>IFERROR(IF(AND(VLOOKUP($C5290,Hes!$A:$B, 1, FALSE), $M5290&lt;&gt;" "), "Ingresada", "Falta Ingresar"), " ")</f>
        <v>Falta Ingresar</v>
      </c>
      <c r="L5290" s="4" t="str">
        <f>IFERROR(VLOOKUP($C5290,Observaciones!$A:$B,2,FALSE)," ")</f>
        <v>XOC Y CC</v>
      </c>
      <c r="M5290" t="s">
        <v>681</v>
      </c>
      <c r="N5290" s="5" t="s">
        <v>841</v>
      </c>
      <c r="O5290" s="5">
        <v>30842883</v>
      </c>
      <c r="P5290" s="5">
        <v>348371</v>
      </c>
      <c r="Q5290" s="5">
        <v>66190</v>
      </c>
      <c r="R5290" s="5">
        <v>414561</v>
      </c>
    </row>
    <row r="5291" spans="1:18" x14ac:dyDescent="0.25">
      <c r="A5291" t="s">
        <v>496</v>
      </c>
      <c r="B5291" t="s">
        <v>502</v>
      </c>
      <c r="C5291">
        <v>96843130</v>
      </c>
      <c r="D5291">
        <v>1</v>
      </c>
      <c r="E5291">
        <v>4500460969</v>
      </c>
      <c r="F5291" t="s">
        <v>1804</v>
      </c>
      <c r="G5291" s="1">
        <v>45236</v>
      </c>
      <c r="H5291">
        <v>5412474</v>
      </c>
      <c r="I5291">
        <v>394</v>
      </c>
      <c r="J5291" t="s">
        <v>224</v>
      </c>
      <c r="K5291" s="8" t="str">
        <f>IFERROR(IF(AND(VLOOKUP($C5291,Hes!$A:$B, 1, FALSE), $M5291&lt;&gt;" "), "Ingresada", "Falta Ingresar"), " ")</f>
        <v>Falta Ingresar</v>
      </c>
      <c r="L5291" s="4" t="str">
        <f>IFERROR(VLOOKUP($C5291,Observaciones!$A:$B,2,FALSE)," ")</f>
        <v>XOC Y CC</v>
      </c>
      <c r="M5291" t="s">
        <v>681</v>
      </c>
      <c r="N5291" s="5" t="s">
        <v>841</v>
      </c>
      <c r="O5291" s="5">
        <v>30842928</v>
      </c>
      <c r="P5291" s="5">
        <v>51186</v>
      </c>
      <c r="Q5291" s="5">
        <v>9725</v>
      </c>
      <c r="R5291" s="5">
        <v>60911</v>
      </c>
    </row>
    <row r="5292" spans="1:18" x14ac:dyDescent="0.25">
      <c r="A5292" t="s">
        <v>496</v>
      </c>
      <c r="B5292" t="s">
        <v>502</v>
      </c>
      <c r="C5292">
        <v>96843130</v>
      </c>
      <c r="D5292">
        <v>1</v>
      </c>
      <c r="E5292">
        <v>4500461348</v>
      </c>
      <c r="F5292" t="s">
        <v>1804</v>
      </c>
      <c r="G5292" s="1">
        <v>45236</v>
      </c>
      <c r="H5292">
        <v>5412475</v>
      </c>
      <c r="I5292">
        <v>394</v>
      </c>
      <c r="J5292" t="s">
        <v>224</v>
      </c>
      <c r="K5292" s="8" t="str">
        <f>IFERROR(IF(AND(VLOOKUP($C5292,Hes!$A:$B, 1, FALSE), $M5292&lt;&gt;" "), "Ingresada", "Falta Ingresar"), " ")</f>
        <v>Falta Ingresar</v>
      </c>
      <c r="L5292" s="4" t="str">
        <f>IFERROR(VLOOKUP($C5292,Observaciones!$A:$B,2,FALSE)," ")</f>
        <v>XOC Y CC</v>
      </c>
      <c r="M5292" t="s">
        <v>681</v>
      </c>
      <c r="N5292" s="5" t="s">
        <v>841</v>
      </c>
      <c r="O5292" s="5">
        <v>30842944</v>
      </c>
      <c r="P5292" s="5">
        <v>69600</v>
      </c>
      <c r="Q5292" s="5">
        <v>13224</v>
      </c>
      <c r="R5292" s="5">
        <v>82824</v>
      </c>
    </row>
    <row r="5293" spans="1:18" x14ac:dyDescent="0.25">
      <c r="A5293" t="s">
        <v>496</v>
      </c>
      <c r="B5293" t="s">
        <v>502</v>
      </c>
      <c r="C5293">
        <v>96843130</v>
      </c>
      <c r="D5293">
        <v>1</v>
      </c>
      <c r="E5293">
        <v>4500461452</v>
      </c>
      <c r="F5293" t="s">
        <v>1804</v>
      </c>
      <c r="G5293" s="1">
        <v>45236</v>
      </c>
      <c r="H5293">
        <v>5412476</v>
      </c>
      <c r="I5293">
        <v>394</v>
      </c>
      <c r="J5293" t="s">
        <v>224</v>
      </c>
      <c r="K5293" s="8" t="str">
        <f>IFERROR(IF(AND(VLOOKUP($C5293,Hes!$A:$B, 1, FALSE), $M5293&lt;&gt;" "), "Ingresada", "Falta Ingresar"), " ")</f>
        <v>Falta Ingresar</v>
      </c>
      <c r="L5293" s="4" t="str">
        <f>IFERROR(VLOOKUP($C5293,Observaciones!$A:$B,2,FALSE)," ")</f>
        <v>XOC Y CC</v>
      </c>
      <c r="M5293" t="s">
        <v>681</v>
      </c>
      <c r="N5293" s="5" t="s">
        <v>841</v>
      </c>
      <c r="O5293" s="5">
        <v>30842963</v>
      </c>
      <c r="P5293" s="5">
        <v>54200</v>
      </c>
      <c r="Q5293" s="5">
        <v>10298</v>
      </c>
      <c r="R5293" s="5">
        <v>64498</v>
      </c>
    </row>
    <row r="5294" spans="1:18" x14ac:dyDescent="0.25">
      <c r="A5294" t="s">
        <v>496</v>
      </c>
      <c r="B5294" t="s">
        <v>502</v>
      </c>
      <c r="C5294">
        <v>96843130</v>
      </c>
      <c r="D5294">
        <v>1</v>
      </c>
      <c r="E5294">
        <v>4500461729</v>
      </c>
      <c r="F5294" t="s">
        <v>1804</v>
      </c>
      <c r="G5294" s="1">
        <v>45236</v>
      </c>
      <c r="H5294">
        <v>5412477</v>
      </c>
      <c r="I5294">
        <v>394</v>
      </c>
      <c r="J5294" t="s">
        <v>224</v>
      </c>
      <c r="K5294" s="8" t="str">
        <f>IFERROR(IF(AND(VLOOKUP($C5294,Hes!$A:$B, 1, FALSE), $M5294&lt;&gt;" "), "Ingresada", "Falta Ingresar"), " ")</f>
        <v>Falta Ingresar</v>
      </c>
      <c r="L5294" s="4" t="str">
        <f>IFERROR(VLOOKUP($C5294,Observaciones!$A:$B,2,FALSE)," ")</f>
        <v>XOC Y CC</v>
      </c>
      <c r="M5294" t="s">
        <v>681</v>
      </c>
      <c r="N5294" s="5" t="s">
        <v>841</v>
      </c>
      <c r="O5294" s="5">
        <v>30842969</v>
      </c>
      <c r="P5294" s="5">
        <v>53328</v>
      </c>
      <c r="Q5294" s="5">
        <v>10132</v>
      </c>
      <c r="R5294" s="5">
        <v>63460</v>
      </c>
    </row>
    <row r="5295" spans="1:18" x14ac:dyDescent="0.25">
      <c r="A5295" t="s">
        <v>496</v>
      </c>
      <c r="B5295" t="s">
        <v>502</v>
      </c>
      <c r="C5295">
        <v>96843130</v>
      </c>
      <c r="D5295">
        <v>1</v>
      </c>
      <c r="E5295">
        <v>4500461804</v>
      </c>
      <c r="F5295" t="s">
        <v>1804</v>
      </c>
      <c r="G5295" s="1">
        <v>45236</v>
      </c>
      <c r="H5295">
        <v>5412478</v>
      </c>
      <c r="I5295">
        <v>394</v>
      </c>
      <c r="J5295" t="s">
        <v>224</v>
      </c>
      <c r="K5295" s="8" t="str">
        <f>IFERROR(IF(AND(VLOOKUP($C5295,Hes!$A:$B, 1, FALSE), $M5295&lt;&gt;" "), "Ingresada", "Falta Ingresar"), " ")</f>
        <v>Falta Ingresar</v>
      </c>
      <c r="L5295" s="4" t="str">
        <f>IFERROR(VLOOKUP($C5295,Observaciones!$A:$B,2,FALSE)," ")</f>
        <v>XOC Y CC</v>
      </c>
      <c r="M5295" t="s">
        <v>681</v>
      </c>
      <c r="N5295" s="5" t="s">
        <v>841</v>
      </c>
      <c r="O5295" s="5">
        <v>30842999</v>
      </c>
      <c r="P5295" s="5">
        <v>17355</v>
      </c>
      <c r="Q5295" s="5">
        <v>3297</v>
      </c>
      <c r="R5295" s="5">
        <v>20652</v>
      </c>
    </row>
    <row r="5296" spans="1:18" x14ac:dyDescent="0.25">
      <c r="A5296" t="s">
        <v>496</v>
      </c>
      <c r="B5296" t="s">
        <v>502</v>
      </c>
      <c r="C5296">
        <v>96843130</v>
      </c>
      <c r="D5296">
        <v>1</v>
      </c>
      <c r="E5296">
        <v>4500461589</v>
      </c>
      <c r="F5296" t="s">
        <v>1804</v>
      </c>
      <c r="G5296" s="1">
        <v>45236</v>
      </c>
      <c r="H5296">
        <v>5412479</v>
      </c>
      <c r="I5296">
        <v>394</v>
      </c>
      <c r="J5296" t="s">
        <v>224</v>
      </c>
      <c r="K5296" s="8" t="str">
        <f>IFERROR(IF(AND(VLOOKUP($C5296,Hes!$A:$B, 1, FALSE), $M5296&lt;&gt;" "), "Ingresada", "Falta Ingresar"), " ")</f>
        <v>Falta Ingresar</v>
      </c>
      <c r="L5296" s="4" t="str">
        <f>IFERROR(VLOOKUP($C5296,Observaciones!$A:$B,2,FALSE)," ")</f>
        <v>XOC Y CC</v>
      </c>
      <c r="M5296" t="s">
        <v>681</v>
      </c>
      <c r="N5296" s="5" t="s">
        <v>841</v>
      </c>
      <c r="O5296" s="5">
        <v>30843020</v>
      </c>
      <c r="P5296" s="5">
        <v>12601</v>
      </c>
      <c r="Q5296" s="5">
        <v>2394</v>
      </c>
      <c r="R5296" s="5">
        <v>14995</v>
      </c>
    </row>
    <row r="5297" spans="1:18" x14ac:dyDescent="0.25">
      <c r="A5297" t="s">
        <v>496</v>
      </c>
      <c r="B5297" t="s">
        <v>502</v>
      </c>
      <c r="C5297">
        <v>96843130</v>
      </c>
      <c r="D5297">
        <v>1</v>
      </c>
      <c r="E5297">
        <v>4500461360</v>
      </c>
      <c r="F5297" t="s">
        <v>1804</v>
      </c>
      <c r="G5297" s="1">
        <v>45236</v>
      </c>
      <c r="H5297">
        <v>5412480</v>
      </c>
      <c r="I5297">
        <v>394</v>
      </c>
      <c r="J5297" t="s">
        <v>224</v>
      </c>
      <c r="K5297" s="8" t="str">
        <f>IFERROR(IF(AND(VLOOKUP($C5297,Hes!$A:$B, 1, FALSE), $M5297&lt;&gt;" "), "Ingresada", "Falta Ingresar"), " ")</f>
        <v>Falta Ingresar</v>
      </c>
      <c r="L5297" s="4" t="str">
        <f>IFERROR(VLOOKUP($C5297,Observaciones!$A:$B,2,FALSE)," ")</f>
        <v>XOC Y CC</v>
      </c>
      <c r="M5297" t="s">
        <v>681</v>
      </c>
      <c r="N5297" s="5" t="s">
        <v>841</v>
      </c>
      <c r="O5297" s="5">
        <v>30843359</v>
      </c>
      <c r="P5297" s="5">
        <v>7164</v>
      </c>
      <c r="Q5297" s="5">
        <v>1361</v>
      </c>
      <c r="R5297" s="5">
        <v>8525</v>
      </c>
    </row>
    <row r="5298" spans="1:18" x14ac:dyDescent="0.25">
      <c r="A5298" t="s">
        <v>496</v>
      </c>
      <c r="B5298" t="s">
        <v>502</v>
      </c>
      <c r="C5298">
        <v>96843130</v>
      </c>
      <c r="D5298">
        <v>1</v>
      </c>
      <c r="E5298">
        <v>4500461600</v>
      </c>
      <c r="F5298" t="s">
        <v>1804</v>
      </c>
      <c r="G5298" s="1">
        <v>45236</v>
      </c>
      <c r="H5298">
        <v>5412481</v>
      </c>
      <c r="I5298">
        <v>394</v>
      </c>
      <c r="J5298" t="s">
        <v>224</v>
      </c>
      <c r="K5298" s="8" t="str">
        <f>IFERROR(IF(AND(VLOOKUP($C5298,Hes!$A:$B, 1, FALSE), $M5298&lt;&gt;" "), "Ingresada", "Falta Ingresar"), " ")</f>
        <v>Falta Ingresar</v>
      </c>
      <c r="L5298" s="4" t="str">
        <f>IFERROR(VLOOKUP($C5298,Observaciones!$A:$B,2,FALSE)," ")</f>
        <v>XOC Y CC</v>
      </c>
      <c r="M5298" t="s">
        <v>681</v>
      </c>
      <c r="N5298" s="5" t="s">
        <v>841</v>
      </c>
      <c r="O5298" s="5">
        <v>30843416</v>
      </c>
      <c r="P5298" s="5">
        <v>687873</v>
      </c>
      <c r="Q5298" s="5">
        <v>130696</v>
      </c>
      <c r="R5298" s="5">
        <v>818569</v>
      </c>
    </row>
    <row r="5299" spans="1:18" x14ac:dyDescent="0.25">
      <c r="A5299" t="s">
        <v>496</v>
      </c>
      <c r="B5299" t="s">
        <v>502</v>
      </c>
      <c r="C5299">
        <v>96843130</v>
      </c>
      <c r="D5299">
        <v>1</v>
      </c>
      <c r="E5299">
        <v>4500461035</v>
      </c>
      <c r="F5299" t="s">
        <v>1804</v>
      </c>
      <c r="G5299" s="1">
        <v>45236</v>
      </c>
      <c r="H5299">
        <v>5412482</v>
      </c>
      <c r="I5299">
        <v>394</v>
      </c>
      <c r="J5299" t="s">
        <v>224</v>
      </c>
      <c r="K5299" s="8" t="str">
        <f>IFERROR(IF(AND(VLOOKUP($C5299,Hes!$A:$B, 1, FALSE), $M5299&lt;&gt;" "), "Ingresada", "Falta Ingresar"), " ")</f>
        <v>Falta Ingresar</v>
      </c>
      <c r="L5299" s="4" t="str">
        <f>IFERROR(VLOOKUP($C5299,Observaciones!$A:$B,2,FALSE)," ")</f>
        <v>XOC Y CC</v>
      </c>
      <c r="M5299" t="s">
        <v>681</v>
      </c>
      <c r="N5299" s="5" t="s">
        <v>841</v>
      </c>
      <c r="O5299" s="5">
        <v>30843441</v>
      </c>
      <c r="P5299" s="5">
        <v>500598</v>
      </c>
      <c r="Q5299" s="5">
        <v>95114</v>
      </c>
      <c r="R5299" s="5">
        <v>595712</v>
      </c>
    </row>
    <row r="5300" spans="1:18" x14ac:dyDescent="0.25">
      <c r="A5300" t="s">
        <v>496</v>
      </c>
      <c r="B5300" t="s">
        <v>502</v>
      </c>
      <c r="C5300">
        <v>96843130</v>
      </c>
      <c r="D5300">
        <v>1</v>
      </c>
      <c r="E5300">
        <v>4500461816</v>
      </c>
      <c r="F5300" t="s">
        <v>1804</v>
      </c>
      <c r="G5300" s="1">
        <v>45236</v>
      </c>
      <c r="H5300">
        <v>5412484</v>
      </c>
      <c r="I5300">
        <v>394</v>
      </c>
      <c r="J5300" t="s">
        <v>224</v>
      </c>
      <c r="K5300" s="8" t="str">
        <f>IFERROR(IF(AND(VLOOKUP($C5300,Hes!$A:$B, 1, FALSE), $M5300&lt;&gt;" "), "Ingresada", "Falta Ingresar"), " ")</f>
        <v>Falta Ingresar</v>
      </c>
      <c r="L5300" s="4" t="str">
        <f>IFERROR(VLOOKUP($C5300,Observaciones!$A:$B,2,FALSE)," ")</f>
        <v>XOC Y CC</v>
      </c>
      <c r="M5300" t="s">
        <v>681</v>
      </c>
      <c r="N5300" s="5" t="s">
        <v>841</v>
      </c>
      <c r="O5300" s="5">
        <v>30843532</v>
      </c>
      <c r="P5300" s="5">
        <v>63180</v>
      </c>
      <c r="Q5300" s="5">
        <v>12004</v>
      </c>
      <c r="R5300" s="5">
        <v>75184</v>
      </c>
    </row>
    <row r="5301" spans="1:18" x14ac:dyDescent="0.25">
      <c r="A5301" t="s">
        <v>496</v>
      </c>
      <c r="B5301" t="s">
        <v>502</v>
      </c>
      <c r="C5301">
        <v>96843130</v>
      </c>
      <c r="D5301">
        <v>1</v>
      </c>
      <c r="E5301">
        <v>4500461754</v>
      </c>
      <c r="F5301" t="s">
        <v>1804</v>
      </c>
      <c r="G5301" s="1">
        <v>45236</v>
      </c>
      <c r="H5301">
        <v>5412485</v>
      </c>
      <c r="I5301">
        <v>394</v>
      </c>
      <c r="J5301" t="s">
        <v>224</v>
      </c>
      <c r="K5301" s="8" t="str">
        <f>IFERROR(IF(AND(VLOOKUP($C5301,Hes!$A:$B, 1, FALSE), $M5301&lt;&gt;" "), "Ingresada", "Falta Ingresar"), " ")</f>
        <v>Falta Ingresar</v>
      </c>
      <c r="L5301" s="4" t="str">
        <f>IFERROR(VLOOKUP($C5301,Observaciones!$A:$B,2,FALSE)," ")</f>
        <v>XOC Y CC</v>
      </c>
      <c r="M5301" t="s">
        <v>681</v>
      </c>
      <c r="N5301" s="5" t="s">
        <v>841</v>
      </c>
      <c r="O5301" s="5">
        <v>30843546</v>
      </c>
      <c r="P5301" s="5">
        <v>345301</v>
      </c>
      <c r="Q5301" s="5">
        <v>65607</v>
      </c>
      <c r="R5301" s="5">
        <v>410908</v>
      </c>
    </row>
    <row r="5302" spans="1:18" x14ac:dyDescent="0.25">
      <c r="A5302" t="s">
        <v>496</v>
      </c>
      <c r="B5302" t="s">
        <v>502</v>
      </c>
      <c r="C5302">
        <v>96843130</v>
      </c>
      <c r="D5302">
        <v>1</v>
      </c>
      <c r="E5302">
        <v>4500462082</v>
      </c>
      <c r="F5302" t="s">
        <v>1804</v>
      </c>
      <c r="G5302" s="1">
        <v>45236</v>
      </c>
      <c r="H5302">
        <v>5412486</v>
      </c>
      <c r="I5302">
        <v>394</v>
      </c>
      <c r="J5302" t="s">
        <v>224</v>
      </c>
      <c r="K5302" s="8" t="str">
        <f>IFERROR(IF(AND(VLOOKUP($C5302,Hes!$A:$B, 1, FALSE), $M5302&lt;&gt;" "), "Ingresada", "Falta Ingresar"), " ")</f>
        <v>Falta Ingresar</v>
      </c>
      <c r="L5302" s="4" t="str">
        <f>IFERROR(VLOOKUP($C5302,Observaciones!$A:$B,2,FALSE)," ")</f>
        <v>XOC Y CC</v>
      </c>
      <c r="M5302" t="s">
        <v>681</v>
      </c>
      <c r="N5302" s="5" t="s">
        <v>841</v>
      </c>
      <c r="O5302" s="5">
        <v>30843573</v>
      </c>
      <c r="P5302" s="5">
        <v>171929</v>
      </c>
      <c r="Q5302" s="5">
        <v>32667</v>
      </c>
      <c r="R5302" s="5">
        <v>204596</v>
      </c>
    </row>
    <row r="5303" spans="1:18" x14ac:dyDescent="0.25">
      <c r="A5303" t="s">
        <v>496</v>
      </c>
      <c r="B5303" t="s">
        <v>502</v>
      </c>
      <c r="C5303">
        <v>96843130</v>
      </c>
      <c r="D5303">
        <v>1</v>
      </c>
      <c r="E5303">
        <v>4500462079</v>
      </c>
      <c r="F5303" t="s">
        <v>1804</v>
      </c>
      <c r="G5303" s="1">
        <v>45236</v>
      </c>
      <c r="H5303">
        <v>5412487</v>
      </c>
      <c r="I5303">
        <v>394</v>
      </c>
      <c r="J5303" t="s">
        <v>224</v>
      </c>
      <c r="K5303" s="8" t="str">
        <f>IFERROR(IF(AND(VLOOKUP($C5303,Hes!$A:$B, 1, FALSE), $M5303&lt;&gt;" "), "Ingresada", "Falta Ingresar"), " ")</f>
        <v>Falta Ingresar</v>
      </c>
      <c r="L5303" s="4" t="str">
        <f>IFERROR(VLOOKUP($C5303,Observaciones!$A:$B,2,FALSE)," ")</f>
        <v>XOC Y CC</v>
      </c>
      <c r="M5303" t="s">
        <v>681</v>
      </c>
      <c r="N5303" s="5" t="s">
        <v>841</v>
      </c>
      <c r="O5303" s="5">
        <v>30843593</v>
      </c>
      <c r="P5303" s="5">
        <v>28274</v>
      </c>
      <c r="Q5303" s="5">
        <v>5372</v>
      </c>
      <c r="R5303" s="5">
        <v>33646</v>
      </c>
    </row>
    <row r="5304" spans="1:18" x14ac:dyDescent="0.25">
      <c r="A5304" t="s">
        <v>496</v>
      </c>
      <c r="B5304" t="s">
        <v>502</v>
      </c>
      <c r="C5304">
        <v>96843130</v>
      </c>
      <c r="D5304">
        <v>1</v>
      </c>
      <c r="E5304">
        <v>4500462228</v>
      </c>
      <c r="F5304" t="s">
        <v>1804</v>
      </c>
      <c r="G5304" s="1">
        <v>45236</v>
      </c>
      <c r="H5304">
        <v>5412488</v>
      </c>
      <c r="I5304">
        <v>394</v>
      </c>
      <c r="J5304" t="s">
        <v>224</v>
      </c>
      <c r="K5304" s="8" t="str">
        <f>IFERROR(IF(AND(VLOOKUP($C5304,Hes!$A:$B, 1, FALSE), $M5304&lt;&gt;" "), "Ingresada", "Falta Ingresar"), " ")</f>
        <v>Falta Ingresar</v>
      </c>
      <c r="L5304" s="4" t="str">
        <f>IFERROR(VLOOKUP($C5304,Observaciones!$A:$B,2,FALSE)," ")</f>
        <v>XOC Y CC</v>
      </c>
      <c r="M5304" t="s">
        <v>681</v>
      </c>
      <c r="N5304" s="5" t="s">
        <v>841</v>
      </c>
      <c r="O5304" s="5">
        <v>30843624</v>
      </c>
      <c r="P5304" s="5">
        <v>64192</v>
      </c>
      <c r="Q5304" s="5">
        <v>12196</v>
      </c>
      <c r="R5304" s="5">
        <v>76388</v>
      </c>
    </row>
    <row r="5305" spans="1:18" x14ac:dyDescent="0.25">
      <c r="A5305" t="s">
        <v>496</v>
      </c>
      <c r="B5305" t="s">
        <v>502</v>
      </c>
      <c r="C5305">
        <v>96843130</v>
      </c>
      <c r="D5305">
        <v>1</v>
      </c>
      <c r="E5305">
        <v>4500462127</v>
      </c>
      <c r="F5305" t="s">
        <v>1804</v>
      </c>
      <c r="G5305" s="1">
        <v>45236</v>
      </c>
      <c r="H5305">
        <v>5412489</v>
      </c>
      <c r="I5305">
        <v>394</v>
      </c>
      <c r="J5305" t="s">
        <v>224</v>
      </c>
      <c r="K5305" s="8" t="str">
        <f>IFERROR(IF(AND(VLOOKUP($C5305,Hes!$A:$B, 1, FALSE), $M5305&lt;&gt;" "), "Ingresada", "Falta Ingresar"), " ")</f>
        <v>Falta Ingresar</v>
      </c>
      <c r="L5305" s="4" t="str">
        <f>IFERROR(VLOOKUP($C5305,Observaciones!$A:$B,2,FALSE)," ")</f>
        <v>XOC Y CC</v>
      </c>
      <c r="M5305" t="s">
        <v>681</v>
      </c>
      <c r="N5305" s="5" t="s">
        <v>841</v>
      </c>
      <c r="O5305" s="5">
        <v>30843704</v>
      </c>
      <c r="P5305" s="5">
        <v>9366</v>
      </c>
      <c r="Q5305" s="5">
        <v>1780</v>
      </c>
      <c r="R5305" s="5">
        <v>11146</v>
      </c>
    </row>
    <row r="5306" spans="1:18" x14ac:dyDescent="0.25">
      <c r="A5306" t="s">
        <v>496</v>
      </c>
      <c r="B5306" t="s">
        <v>502</v>
      </c>
      <c r="C5306">
        <v>96843130</v>
      </c>
      <c r="D5306">
        <v>1</v>
      </c>
      <c r="E5306">
        <v>4500461093</v>
      </c>
      <c r="F5306" t="s">
        <v>1804</v>
      </c>
      <c r="G5306" s="1">
        <v>45236</v>
      </c>
      <c r="H5306">
        <v>5412491</v>
      </c>
      <c r="I5306">
        <v>394</v>
      </c>
      <c r="J5306" t="s">
        <v>224</v>
      </c>
      <c r="K5306" s="8" t="str">
        <f>IFERROR(IF(AND(VLOOKUP($C5306,Hes!$A:$B, 1, FALSE), $M5306&lt;&gt;" "), "Ingresada", "Falta Ingresar"), " ")</f>
        <v>Falta Ingresar</v>
      </c>
      <c r="L5306" s="4" t="str">
        <f>IFERROR(VLOOKUP($C5306,Observaciones!$A:$B,2,FALSE)," ")</f>
        <v>XOC Y CC</v>
      </c>
      <c r="M5306" t="s">
        <v>681</v>
      </c>
      <c r="N5306" s="5" t="s">
        <v>841</v>
      </c>
      <c r="O5306" s="5">
        <v>30843743</v>
      </c>
      <c r="P5306" s="5">
        <v>603892</v>
      </c>
      <c r="Q5306" s="5">
        <v>114739</v>
      </c>
      <c r="R5306" s="5">
        <v>718631</v>
      </c>
    </row>
    <row r="5307" spans="1:18" x14ac:dyDescent="0.25">
      <c r="A5307" t="s">
        <v>496</v>
      </c>
      <c r="B5307" t="s">
        <v>502</v>
      </c>
      <c r="C5307">
        <v>96843130</v>
      </c>
      <c r="D5307">
        <v>1</v>
      </c>
      <c r="E5307">
        <v>4500462098</v>
      </c>
      <c r="F5307" t="s">
        <v>1804</v>
      </c>
      <c r="G5307" s="1">
        <v>45236</v>
      </c>
      <c r="H5307">
        <v>5412492</v>
      </c>
      <c r="I5307">
        <v>394</v>
      </c>
      <c r="J5307" t="s">
        <v>224</v>
      </c>
      <c r="K5307" s="8" t="str">
        <f>IFERROR(IF(AND(VLOOKUP($C5307,Hes!$A:$B, 1, FALSE), $M5307&lt;&gt;" "), "Ingresada", "Falta Ingresar"), " ")</f>
        <v>Falta Ingresar</v>
      </c>
      <c r="L5307" s="4" t="str">
        <f>IFERROR(VLOOKUP($C5307,Observaciones!$A:$B,2,FALSE)," ")</f>
        <v>XOC Y CC</v>
      </c>
      <c r="M5307" t="s">
        <v>681</v>
      </c>
      <c r="N5307" s="5" t="s">
        <v>841</v>
      </c>
      <c r="O5307" s="5">
        <v>30846454</v>
      </c>
      <c r="P5307" s="5">
        <v>420160</v>
      </c>
      <c r="Q5307" s="5">
        <v>79830</v>
      </c>
      <c r="R5307" s="5">
        <v>499990</v>
      </c>
    </row>
    <row r="5308" spans="1:18" x14ac:dyDescent="0.25">
      <c r="A5308" t="s">
        <v>496</v>
      </c>
      <c r="B5308" t="s">
        <v>502</v>
      </c>
      <c r="C5308">
        <v>96843130</v>
      </c>
      <c r="D5308">
        <v>1</v>
      </c>
      <c r="E5308">
        <v>4500461856</v>
      </c>
      <c r="F5308" t="s">
        <v>1804</v>
      </c>
      <c r="G5308" s="1">
        <v>45236</v>
      </c>
      <c r="H5308">
        <v>5412493</v>
      </c>
      <c r="I5308">
        <v>394</v>
      </c>
      <c r="J5308" t="s">
        <v>224</v>
      </c>
      <c r="K5308" s="8" t="str">
        <f>IFERROR(IF(AND(VLOOKUP($C5308,Hes!$A:$B, 1, FALSE), $M5308&lt;&gt;" "), "Ingresada", "Falta Ingresar"), " ")</f>
        <v>Falta Ingresar</v>
      </c>
      <c r="L5308" s="4" t="str">
        <f>IFERROR(VLOOKUP($C5308,Observaciones!$A:$B,2,FALSE)," ")</f>
        <v>XOC Y CC</v>
      </c>
      <c r="M5308" t="s">
        <v>681</v>
      </c>
      <c r="N5308" s="5" t="s">
        <v>841</v>
      </c>
      <c r="O5308" s="5">
        <v>30847275</v>
      </c>
      <c r="P5308" s="5">
        <v>318600</v>
      </c>
      <c r="Q5308" s="5">
        <v>60534</v>
      </c>
      <c r="R5308" s="5">
        <v>379134</v>
      </c>
    </row>
    <row r="5309" spans="1:18" x14ac:dyDescent="0.25">
      <c r="A5309" t="s">
        <v>496</v>
      </c>
      <c r="B5309" t="s">
        <v>502</v>
      </c>
      <c r="C5309">
        <v>96843130</v>
      </c>
      <c r="D5309">
        <v>1</v>
      </c>
      <c r="E5309">
        <v>4500462131</v>
      </c>
      <c r="F5309" t="s">
        <v>1804</v>
      </c>
      <c r="G5309" s="1">
        <v>45236</v>
      </c>
      <c r="H5309">
        <v>5412494</v>
      </c>
      <c r="I5309">
        <v>394</v>
      </c>
      <c r="J5309" t="s">
        <v>224</v>
      </c>
      <c r="K5309" s="8" t="str">
        <f>IFERROR(IF(AND(VLOOKUP($C5309,Hes!$A:$B, 1, FALSE), $M5309&lt;&gt;" "), "Ingresada", "Falta Ingresar"), " ")</f>
        <v>Falta Ingresar</v>
      </c>
      <c r="L5309" s="4" t="str">
        <f>IFERROR(VLOOKUP($C5309,Observaciones!$A:$B,2,FALSE)," ")</f>
        <v>XOC Y CC</v>
      </c>
      <c r="M5309" t="s">
        <v>681</v>
      </c>
      <c r="N5309" s="5" t="s">
        <v>841</v>
      </c>
      <c r="O5309" s="5">
        <v>30847296</v>
      </c>
      <c r="P5309" s="5">
        <v>243600</v>
      </c>
      <c r="Q5309" s="5">
        <v>46284</v>
      </c>
      <c r="R5309" s="5">
        <v>289884</v>
      </c>
    </row>
    <row r="5310" spans="1:18" x14ac:dyDescent="0.25">
      <c r="A5310" t="s">
        <v>496</v>
      </c>
      <c r="B5310" t="s">
        <v>502</v>
      </c>
      <c r="C5310">
        <v>96843130</v>
      </c>
      <c r="D5310">
        <v>1</v>
      </c>
      <c r="E5310">
        <v>4500462138</v>
      </c>
      <c r="F5310" t="s">
        <v>1804</v>
      </c>
      <c r="G5310" s="1">
        <v>45236</v>
      </c>
      <c r="H5310">
        <v>5412495</v>
      </c>
      <c r="I5310">
        <v>394</v>
      </c>
      <c r="J5310" t="s">
        <v>224</v>
      </c>
      <c r="K5310" s="8" t="str">
        <f>IFERROR(IF(AND(VLOOKUP($C5310,Hes!$A:$B, 1, FALSE), $M5310&lt;&gt;" "), "Ingresada", "Falta Ingresar"), " ")</f>
        <v>Falta Ingresar</v>
      </c>
      <c r="L5310" s="4" t="str">
        <f>IFERROR(VLOOKUP($C5310,Observaciones!$A:$B,2,FALSE)," ")</f>
        <v>XOC Y CC</v>
      </c>
      <c r="M5310" t="s">
        <v>681</v>
      </c>
      <c r="N5310" s="5" t="s">
        <v>841</v>
      </c>
      <c r="O5310" s="5">
        <v>30847311</v>
      </c>
      <c r="P5310" s="5">
        <v>110454</v>
      </c>
      <c r="Q5310" s="5">
        <v>20986</v>
      </c>
      <c r="R5310" s="5">
        <v>131440</v>
      </c>
    </row>
    <row r="5311" spans="1:18" x14ac:dyDescent="0.25">
      <c r="A5311" t="s">
        <v>496</v>
      </c>
      <c r="B5311" t="s">
        <v>502</v>
      </c>
      <c r="C5311">
        <v>96843130</v>
      </c>
      <c r="D5311">
        <v>1</v>
      </c>
      <c r="E5311">
        <v>4500462124</v>
      </c>
      <c r="F5311" t="s">
        <v>1804</v>
      </c>
      <c r="G5311" s="1">
        <v>45236</v>
      </c>
      <c r="H5311">
        <v>5412496</v>
      </c>
      <c r="I5311">
        <v>394</v>
      </c>
      <c r="J5311" t="s">
        <v>224</v>
      </c>
      <c r="K5311" s="8" t="str">
        <f>IFERROR(IF(AND(VLOOKUP($C5311,Hes!$A:$B, 1, FALSE), $M5311&lt;&gt;" "), "Ingresada", "Falta Ingresar"), " ")</f>
        <v>Falta Ingresar</v>
      </c>
      <c r="L5311" s="4" t="str">
        <f>IFERROR(VLOOKUP($C5311,Observaciones!$A:$B,2,FALSE)," ")</f>
        <v>XOC Y CC</v>
      </c>
      <c r="M5311" t="s">
        <v>681</v>
      </c>
      <c r="N5311" s="5" t="s">
        <v>841</v>
      </c>
      <c r="O5311" s="5">
        <v>30847325</v>
      </c>
      <c r="P5311" s="5">
        <v>14850</v>
      </c>
      <c r="Q5311" s="5">
        <v>2822</v>
      </c>
      <c r="R5311" s="5">
        <v>17672</v>
      </c>
    </row>
    <row r="5312" spans="1:18" x14ac:dyDescent="0.25">
      <c r="A5312" t="s">
        <v>496</v>
      </c>
      <c r="B5312" t="s">
        <v>502</v>
      </c>
      <c r="C5312">
        <v>96843130</v>
      </c>
      <c r="D5312">
        <v>1</v>
      </c>
      <c r="E5312">
        <v>4500462156</v>
      </c>
      <c r="F5312" t="s">
        <v>1804</v>
      </c>
      <c r="G5312" s="1">
        <v>45236</v>
      </c>
      <c r="H5312">
        <v>5412500</v>
      </c>
      <c r="I5312">
        <v>394</v>
      </c>
      <c r="J5312" t="s">
        <v>224</v>
      </c>
      <c r="K5312" s="8" t="str">
        <f>IFERROR(IF(AND(VLOOKUP($C5312,Hes!$A:$B, 1, FALSE), $M5312&lt;&gt;" "), "Ingresada", "Falta Ingresar"), " ")</f>
        <v>Falta Ingresar</v>
      </c>
      <c r="L5312" s="4" t="str">
        <f>IFERROR(VLOOKUP($C5312,Observaciones!$A:$B,2,FALSE)," ")</f>
        <v>XOC Y CC</v>
      </c>
      <c r="M5312" t="s">
        <v>681</v>
      </c>
      <c r="N5312" s="5" t="s">
        <v>841</v>
      </c>
      <c r="O5312" s="5">
        <v>30847393</v>
      </c>
      <c r="P5312" s="5">
        <v>11761</v>
      </c>
      <c r="Q5312" s="5">
        <v>2235</v>
      </c>
      <c r="R5312" s="5">
        <v>13996</v>
      </c>
    </row>
    <row r="5313" spans="1:18" x14ac:dyDescent="0.25">
      <c r="A5313" t="s">
        <v>496</v>
      </c>
      <c r="B5313" t="s">
        <v>502</v>
      </c>
      <c r="C5313">
        <v>96843130</v>
      </c>
      <c r="D5313">
        <v>1</v>
      </c>
      <c r="E5313">
        <v>4500462148</v>
      </c>
      <c r="F5313" t="s">
        <v>1804</v>
      </c>
      <c r="G5313" s="1">
        <v>45236</v>
      </c>
      <c r="H5313">
        <v>5412501</v>
      </c>
      <c r="I5313">
        <v>394</v>
      </c>
      <c r="J5313" t="s">
        <v>224</v>
      </c>
      <c r="K5313" s="8" t="str">
        <f>IFERROR(IF(AND(VLOOKUP($C5313,Hes!$A:$B, 1, FALSE), $M5313&lt;&gt;" "), "Ingresada", "Falta Ingresar"), " ")</f>
        <v>Falta Ingresar</v>
      </c>
      <c r="L5313" s="4" t="str">
        <f>IFERROR(VLOOKUP($C5313,Observaciones!$A:$B,2,FALSE)," ")</f>
        <v>XOC Y CC</v>
      </c>
      <c r="M5313" t="s">
        <v>681</v>
      </c>
      <c r="N5313" s="5" t="s">
        <v>841</v>
      </c>
      <c r="O5313" s="5">
        <v>30847402</v>
      </c>
      <c r="P5313" s="5">
        <v>6084</v>
      </c>
      <c r="Q5313" s="5">
        <v>1156</v>
      </c>
      <c r="R5313" s="5">
        <v>7240</v>
      </c>
    </row>
    <row r="5314" spans="1:18" x14ac:dyDescent="0.25">
      <c r="A5314" t="s">
        <v>496</v>
      </c>
      <c r="B5314" t="s">
        <v>502</v>
      </c>
      <c r="C5314">
        <v>96843130</v>
      </c>
      <c r="D5314">
        <v>1</v>
      </c>
      <c r="E5314">
        <v>4500462315</v>
      </c>
      <c r="F5314" t="s">
        <v>1804</v>
      </c>
      <c r="G5314" s="1">
        <v>45236</v>
      </c>
      <c r="H5314">
        <v>5412502</v>
      </c>
      <c r="I5314">
        <v>394</v>
      </c>
      <c r="J5314" t="s">
        <v>224</v>
      </c>
      <c r="K5314" s="8" t="str">
        <f>IFERROR(IF(AND(VLOOKUP($C5314,Hes!$A:$B, 1, FALSE), $M5314&lt;&gt;" "), "Ingresada", "Falta Ingresar"), " ")</f>
        <v>Falta Ingresar</v>
      </c>
      <c r="L5314" s="4" t="str">
        <f>IFERROR(VLOOKUP($C5314,Observaciones!$A:$B,2,FALSE)," ")</f>
        <v>XOC Y CC</v>
      </c>
      <c r="M5314" t="s">
        <v>681</v>
      </c>
      <c r="N5314" s="5" t="s">
        <v>841</v>
      </c>
      <c r="O5314" s="5">
        <v>30847415</v>
      </c>
      <c r="P5314" s="5">
        <v>214188</v>
      </c>
      <c r="Q5314" s="5">
        <v>40696</v>
      </c>
      <c r="R5314" s="5">
        <v>254884</v>
      </c>
    </row>
    <row r="5315" spans="1:18" x14ac:dyDescent="0.25">
      <c r="A5315" t="s">
        <v>496</v>
      </c>
      <c r="B5315" t="s">
        <v>502</v>
      </c>
      <c r="C5315">
        <v>96843130</v>
      </c>
      <c r="D5315">
        <v>1</v>
      </c>
      <c r="E5315">
        <v>4500462157</v>
      </c>
      <c r="F5315" t="s">
        <v>1804</v>
      </c>
      <c r="G5315" s="1">
        <v>45236</v>
      </c>
      <c r="H5315">
        <v>5412503</v>
      </c>
      <c r="I5315">
        <v>394</v>
      </c>
      <c r="J5315" t="s">
        <v>224</v>
      </c>
      <c r="K5315" s="8" t="str">
        <f>IFERROR(IF(AND(VLOOKUP($C5315,Hes!$A:$B, 1, FALSE), $M5315&lt;&gt;" "), "Ingresada", "Falta Ingresar"), " ")</f>
        <v>Falta Ingresar</v>
      </c>
      <c r="L5315" s="4" t="str">
        <f>IFERROR(VLOOKUP($C5315,Observaciones!$A:$B,2,FALSE)," ")</f>
        <v>XOC Y CC</v>
      </c>
      <c r="M5315" t="s">
        <v>681</v>
      </c>
      <c r="N5315" s="5" t="s">
        <v>841</v>
      </c>
      <c r="O5315" s="5">
        <v>30847419</v>
      </c>
      <c r="P5315" s="5">
        <v>10630</v>
      </c>
      <c r="Q5315" s="5">
        <v>2020</v>
      </c>
      <c r="R5315" s="5">
        <v>12650</v>
      </c>
    </row>
    <row r="5316" spans="1:18" x14ac:dyDescent="0.25">
      <c r="A5316" t="s">
        <v>496</v>
      </c>
      <c r="B5316" t="s">
        <v>502</v>
      </c>
      <c r="C5316">
        <v>96843130</v>
      </c>
      <c r="D5316">
        <v>1</v>
      </c>
      <c r="E5316">
        <v>4500461690</v>
      </c>
      <c r="F5316" t="s">
        <v>1804</v>
      </c>
      <c r="G5316" s="1">
        <v>45236</v>
      </c>
      <c r="H5316">
        <v>5412504</v>
      </c>
      <c r="I5316">
        <v>394</v>
      </c>
      <c r="J5316" t="s">
        <v>224</v>
      </c>
      <c r="K5316" s="8" t="str">
        <f>IFERROR(IF(AND(VLOOKUP($C5316,Hes!$A:$B, 1, FALSE), $M5316&lt;&gt;" "), "Ingresada", "Falta Ingresar"), " ")</f>
        <v>Falta Ingresar</v>
      </c>
      <c r="L5316" s="4" t="str">
        <f>IFERROR(VLOOKUP($C5316,Observaciones!$A:$B,2,FALSE)," ")</f>
        <v>XOC Y CC</v>
      </c>
      <c r="M5316" t="s">
        <v>681</v>
      </c>
      <c r="N5316" s="5" t="s">
        <v>841</v>
      </c>
      <c r="O5316" s="5">
        <v>30847427</v>
      </c>
      <c r="P5316" s="5">
        <v>62000</v>
      </c>
      <c r="Q5316" s="5">
        <v>11780</v>
      </c>
      <c r="R5316" s="5">
        <v>73780</v>
      </c>
    </row>
    <row r="5317" spans="1:18" x14ac:dyDescent="0.25">
      <c r="A5317" t="s">
        <v>496</v>
      </c>
      <c r="B5317" t="s">
        <v>502</v>
      </c>
      <c r="C5317">
        <v>96843130</v>
      </c>
      <c r="D5317">
        <v>1</v>
      </c>
      <c r="E5317">
        <v>4500462122</v>
      </c>
      <c r="F5317" t="s">
        <v>1804</v>
      </c>
      <c r="G5317" s="1">
        <v>45236</v>
      </c>
      <c r="H5317">
        <v>5412505</v>
      </c>
      <c r="I5317">
        <v>394</v>
      </c>
      <c r="J5317" t="s">
        <v>224</v>
      </c>
      <c r="K5317" s="8" t="str">
        <f>IFERROR(IF(AND(VLOOKUP($C5317,Hes!$A:$B, 1, FALSE), $M5317&lt;&gt;" "), "Ingresada", "Falta Ingresar"), " ")</f>
        <v>Falta Ingresar</v>
      </c>
      <c r="L5317" s="4" t="str">
        <f>IFERROR(VLOOKUP($C5317,Observaciones!$A:$B,2,FALSE)," ")</f>
        <v>XOC Y CC</v>
      </c>
      <c r="M5317" t="s">
        <v>681</v>
      </c>
      <c r="N5317" s="5" t="s">
        <v>841</v>
      </c>
      <c r="O5317" s="5">
        <v>30848388</v>
      </c>
      <c r="P5317" s="5">
        <v>18800</v>
      </c>
      <c r="Q5317" s="5">
        <v>3572</v>
      </c>
      <c r="R5317" s="5">
        <v>22372</v>
      </c>
    </row>
    <row r="5318" spans="1:18" x14ac:dyDescent="0.25">
      <c r="A5318" t="s">
        <v>496</v>
      </c>
      <c r="B5318" t="s">
        <v>502</v>
      </c>
      <c r="C5318">
        <v>96843130</v>
      </c>
      <c r="D5318">
        <v>1</v>
      </c>
      <c r="E5318">
        <v>4500462340</v>
      </c>
      <c r="F5318" t="s">
        <v>1804</v>
      </c>
      <c r="G5318" s="1">
        <v>45236</v>
      </c>
      <c r="H5318">
        <v>5412506</v>
      </c>
      <c r="I5318">
        <v>394</v>
      </c>
      <c r="J5318" t="s">
        <v>224</v>
      </c>
      <c r="K5318" s="8" t="str">
        <f>IFERROR(IF(AND(VLOOKUP($C5318,Hes!$A:$B, 1, FALSE), $M5318&lt;&gt;" "), "Ingresada", "Falta Ingresar"), " ")</f>
        <v>Falta Ingresar</v>
      </c>
      <c r="L5318" s="4" t="str">
        <f>IFERROR(VLOOKUP($C5318,Observaciones!$A:$B,2,FALSE)," ")</f>
        <v>XOC Y CC</v>
      </c>
      <c r="M5318" t="s">
        <v>681</v>
      </c>
      <c r="N5318" s="5" t="s">
        <v>841</v>
      </c>
      <c r="O5318" s="5">
        <v>30848396</v>
      </c>
      <c r="P5318" s="5">
        <v>47754</v>
      </c>
      <c r="Q5318" s="5">
        <v>9073</v>
      </c>
      <c r="R5318" s="5">
        <v>56827</v>
      </c>
    </row>
    <row r="5319" spans="1:18" x14ac:dyDescent="0.25">
      <c r="A5319" t="s">
        <v>496</v>
      </c>
      <c r="B5319" t="s">
        <v>502</v>
      </c>
      <c r="C5319">
        <v>96843130</v>
      </c>
      <c r="D5319">
        <v>1</v>
      </c>
      <c r="E5319">
        <v>4500462438</v>
      </c>
      <c r="F5319" t="s">
        <v>1804</v>
      </c>
      <c r="G5319" s="1">
        <v>45236</v>
      </c>
      <c r="H5319">
        <v>5412507</v>
      </c>
      <c r="I5319">
        <v>394</v>
      </c>
      <c r="J5319" t="s">
        <v>224</v>
      </c>
      <c r="K5319" s="8" t="str">
        <f>IFERROR(IF(AND(VLOOKUP($C5319,Hes!$A:$B, 1, FALSE), $M5319&lt;&gt;" "), "Ingresada", "Falta Ingresar"), " ")</f>
        <v>Falta Ingresar</v>
      </c>
      <c r="L5319" s="4" t="str">
        <f>IFERROR(VLOOKUP($C5319,Observaciones!$A:$B,2,FALSE)," ")</f>
        <v>XOC Y CC</v>
      </c>
      <c r="M5319" t="s">
        <v>681</v>
      </c>
      <c r="N5319" s="5" t="s">
        <v>841</v>
      </c>
      <c r="O5319" s="5">
        <v>30848471</v>
      </c>
      <c r="P5319" s="5">
        <v>69600</v>
      </c>
      <c r="Q5319" s="5">
        <v>13224</v>
      </c>
      <c r="R5319" s="5">
        <v>82824</v>
      </c>
    </row>
    <row r="5320" spans="1:18" x14ac:dyDescent="0.25">
      <c r="A5320" t="s">
        <v>496</v>
      </c>
      <c r="B5320" t="s">
        <v>502</v>
      </c>
      <c r="C5320">
        <v>96843130</v>
      </c>
      <c r="D5320">
        <v>1</v>
      </c>
      <c r="E5320">
        <v>4500462132</v>
      </c>
      <c r="F5320" t="s">
        <v>1804</v>
      </c>
      <c r="G5320" s="1">
        <v>45236</v>
      </c>
      <c r="H5320">
        <v>5412508</v>
      </c>
      <c r="I5320">
        <v>394</v>
      </c>
      <c r="J5320" t="s">
        <v>224</v>
      </c>
      <c r="K5320" s="8" t="str">
        <f>IFERROR(IF(AND(VLOOKUP($C5320,Hes!$A:$B, 1, FALSE), $M5320&lt;&gt;" "), "Ingresada", "Falta Ingresar"), " ")</f>
        <v>Falta Ingresar</v>
      </c>
      <c r="L5320" s="4" t="str">
        <f>IFERROR(VLOOKUP($C5320,Observaciones!$A:$B,2,FALSE)," ")</f>
        <v>XOC Y CC</v>
      </c>
      <c r="M5320" t="s">
        <v>681</v>
      </c>
      <c r="N5320" s="5" t="s">
        <v>841</v>
      </c>
      <c r="O5320" s="5">
        <v>30848588</v>
      </c>
      <c r="P5320" s="5">
        <v>156312</v>
      </c>
      <c r="Q5320" s="5">
        <v>29699</v>
      </c>
      <c r="R5320" s="5">
        <v>186011</v>
      </c>
    </row>
    <row r="5321" spans="1:18" x14ac:dyDescent="0.25">
      <c r="A5321" t="s">
        <v>496</v>
      </c>
      <c r="B5321" t="s">
        <v>502</v>
      </c>
      <c r="C5321">
        <v>96843130</v>
      </c>
      <c r="D5321">
        <v>6</v>
      </c>
      <c r="E5321">
        <v>4500462478</v>
      </c>
      <c r="F5321" t="s">
        <v>1804</v>
      </c>
      <c r="G5321" s="1">
        <v>45236</v>
      </c>
      <c r="H5321">
        <v>5412517</v>
      </c>
      <c r="I5321">
        <v>394</v>
      </c>
      <c r="J5321" t="s">
        <v>224</v>
      </c>
      <c r="K5321" s="8" t="str">
        <f>IFERROR(IF(AND(VLOOKUP($C5321,Hes!$A:$B, 1, FALSE), $M5321&lt;&gt;" "), "Ingresada", "Falta Ingresar"), " ")</f>
        <v>Falta Ingresar</v>
      </c>
      <c r="L5321" s="4" t="str">
        <f>IFERROR(VLOOKUP($C5321,Observaciones!$A:$B,2,FALSE)," ")</f>
        <v>XOC Y CC</v>
      </c>
      <c r="M5321" t="s">
        <v>681</v>
      </c>
      <c r="N5321" s="5" t="s">
        <v>841</v>
      </c>
      <c r="O5321" s="5">
        <v>30848496</v>
      </c>
      <c r="P5321" s="5">
        <v>322449</v>
      </c>
      <c r="Q5321" s="5">
        <v>61265</v>
      </c>
      <c r="R5321" s="5">
        <v>383714</v>
      </c>
    </row>
    <row r="5322" spans="1:18" x14ac:dyDescent="0.25">
      <c r="A5322" t="s">
        <v>496</v>
      </c>
      <c r="B5322" t="s">
        <v>502</v>
      </c>
      <c r="C5322">
        <v>96843130</v>
      </c>
      <c r="D5322">
        <v>5</v>
      </c>
      <c r="E5322">
        <v>4500462663</v>
      </c>
      <c r="F5322" t="s">
        <v>1804</v>
      </c>
      <c r="G5322" s="1">
        <v>45236</v>
      </c>
      <c r="H5322">
        <v>5412519</v>
      </c>
      <c r="I5322">
        <v>394</v>
      </c>
      <c r="J5322" t="s">
        <v>224</v>
      </c>
      <c r="K5322" s="8" t="str">
        <f>IFERROR(IF(AND(VLOOKUP($C5322,Hes!$A:$B, 1, FALSE), $M5322&lt;&gt;" "), "Ingresada", "Falta Ingresar"), " ")</f>
        <v>Falta Ingresar</v>
      </c>
      <c r="L5322" s="4" t="str">
        <f>IFERROR(VLOOKUP($C5322,Observaciones!$A:$B,2,FALSE)," ")</f>
        <v>XOC Y CC</v>
      </c>
      <c r="M5322" t="s">
        <v>681</v>
      </c>
      <c r="N5322" s="5" t="s">
        <v>841</v>
      </c>
      <c r="O5322" s="5">
        <v>30849841</v>
      </c>
      <c r="P5322" s="5">
        <v>79778</v>
      </c>
      <c r="Q5322" s="5">
        <v>15158</v>
      </c>
      <c r="R5322" s="5">
        <v>94936</v>
      </c>
    </row>
    <row r="5323" spans="1:18" x14ac:dyDescent="0.25">
      <c r="A5323" t="s">
        <v>496</v>
      </c>
      <c r="B5323" t="s">
        <v>502</v>
      </c>
      <c r="C5323">
        <v>96843130</v>
      </c>
      <c r="D5323">
        <v>1</v>
      </c>
      <c r="E5323">
        <v>4500461870</v>
      </c>
      <c r="F5323" t="s">
        <v>1804</v>
      </c>
      <c r="G5323" s="1">
        <v>45236</v>
      </c>
      <c r="H5323">
        <v>5412674</v>
      </c>
      <c r="I5323">
        <v>394</v>
      </c>
      <c r="J5323" t="s">
        <v>224</v>
      </c>
      <c r="K5323" s="8" t="str">
        <f>IFERROR(IF(AND(VLOOKUP($C5323,Hes!$A:$B, 1, FALSE), $M5323&lt;&gt;" "), "Ingresada", "Falta Ingresar"), " ")</f>
        <v>Falta Ingresar</v>
      </c>
      <c r="L5323" s="4" t="str">
        <f>IFERROR(VLOOKUP($C5323,Observaciones!$A:$B,2,FALSE)," ")</f>
        <v>XOC Y CC</v>
      </c>
      <c r="M5323" t="s">
        <v>681</v>
      </c>
      <c r="N5323" s="5" t="s">
        <v>841</v>
      </c>
      <c r="O5323" s="5">
        <v>30842987</v>
      </c>
      <c r="P5323" s="5">
        <v>104400</v>
      </c>
      <c r="Q5323" s="5">
        <v>19836</v>
      </c>
      <c r="R5323" s="5">
        <v>124236</v>
      </c>
    </row>
    <row r="5324" spans="1:18" x14ac:dyDescent="0.25">
      <c r="A5324" t="s">
        <v>496</v>
      </c>
      <c r="B5324" t="s">
        <v>502</v>
      </c>
      <c r="C5324">
        <v>96843130</v>
      </c>
      <c r="D5324">
        <v>1</v>
      </c>
      <c r="E5324">
        <v>4500462597</v>
      </c>
      <c r="F5324" t="s">
        <v>1804</v>
      </c>
      <c r="G5324" s="1">
        <v>45236</v>
      </c>
      <c r="H5324">
        <v>5412739</v>
      </c>
      <c r="I5324">
        <v>394</v>
      </c>
      <c r="J5324" t="s">
        <v>224</v>
      </c>
      <c r="K5324" s="8" t="str">
        <f>IFERROR(IF(AND(VLOOKUP($C5324,Hes!$A:$B, 1, FALSE), $M5324&lt;&gt;" "), "Ingresada", "Falta Ingresar"), " ")</f>
        <v>Falta Ingresar</v>
      </c>
      <c r="L5324" s="4" t="str">
        <f>IFERROR(VLOOKUP($C5324,Observaciones!$A:$B,2,FALSE)," ")</f>
        <v>XOC Y CC</v>
      </c>
      <c r="M5324" t="s">
        <v>681</v>
      </c>
      <c r="N5324" s="5" t="s">
        <v>841</v>
      </c>
      <c r="O5324" s="5">
        <v>30853819</v>
      </c>
      <c r="P5324" s="5">
        <v>36960</v>
      </c>
      <c r="Q5324" s="5">
        <v>7022</v>
      </c>
      <c r="R5324" s="5">
        <v>43982</v>
      </c>
    </row>
    <row r="5325" spans="1:18" x14ac:dyDescent="0.25">
      <c r="A5325" t="s">
        <v>496</v>
      </c>
      <c r="B5325" t="s">
        <v>502</v>
      </c>
      <c r="C5325">
        <v>96843130</v>
      </c>
      <c r="D5325">
        <v>0</v>
      </c>
      <c r="E5325">
        <v>4500462649</v>
      </c>
      <c r="F5325" t="s">
        <v>1804</v>
      </c>
      <c r="G5325" s="1">
        <v>45238</v>
      </c>
      <c r="H5325">
        <v>5415445</v>
      </c>
      <c r="I5325">
        <v>394</v>
      </c>
      <c r="J5325" t="s">
        <v>224</v>
      </c>
      <c r="K5325" s="8" t="str">
        <f>IFERROR(IF(AND(VLOOKUP($C5325,Hes!$A:$B, 1, FALSE), $M5325&lt;&gt;" "), "Ingresada", "Falta Ingresar"), " ")</f>
        <v>Falta Ingresar</v>
      </c>
      <c r="L5325" s="4" t="str">
        <f>IFERROR(VLOOKUP($C5325,Observaciones!$A:$B,2,FALSE)," ")</f>
        <v>XOC Y CC</v>
      </c>
      <c r="M5325" t="s">
        <v>681</v>
      </c>
      <c r="N5325" s="5" t="s">
        <v>841</v>
      </c>
      <c r="O5325" s="5">
        <v>30858831</v>
      </c>
      <c r="P5325" s="5">
        <v>54438</v>
      </c>
      <c r="Q5325" s="5">
        <v>10343</v>
      </c>
      <c r="R5325" s="5">
        <v>64781</v>
      </c>
    </row>
    <row r="5326" spans="1:18" x14ac:dyDescent="0.25">
      <c r="F5326" t="s">
        <v>1805</v>
      </c>
      <c r="K5326" t="str">
        <f>IFERROR(IF(AND(VLOOKUP($C5326,Hes!$A:$B, 1, FALSE), $M5326&lt;&gt;" "), "Ingresada", "Falta Ingresar"), " ")</f>
        <v xml:space="preserve"> </v>
      </c>
      <c r="L5326" s="4" t="str">
        <f>IFERROR(VLOOKUP($C5326,Observaciones!$A:$B,2,FALSE)," ")</f>
        <v xml:space="preserve"> </v>
      </c>
      <c r="M5326" t="s">
        <v>681</v>
      </c>
      <c r="P5326" s="5">
        <v>6334717</v>
      </c>
      <c r="Q5326" s="5">
        <v>1203595</v>
      </c>
      <c r="R5326" s="5">
        <v>7538312</v>
      </c>
    </row>
    <row r="5327" spans="1:18" x14ac:dyDescent="0.25">
      <c r="A5327" t="s">
        <v>496</v>
      </c>
      <c r="B5327" t="s">
        <v>502</v>
      </c>
      <c r="C5327">
        <v>96843140</v>
      </c>
      <c r="D5327">
        <v>3</v>
      </c>
      <c r="E5327">
        <v>4500461739</v>
      </c>
      <c r="F5327" t="s">
        <v>659</v>
      </c>
      <c r="G5327" s="1">
        <v>45233</v>
      </c>
      <c r="H5327">
        <v>5411328</v>
      </c>
      <c r="I5327">
        <v>394</v>
      </c>
      <c r="J5327" t="s">
        <v>224</v>
      </c>
      <c r="K5327" s="8" t="str">
        <f>IFERROR(IF(AND(VLOOKUP($C5327,Hes!$A:$B, 1, FALSE), $M5327&lt;&gt;" "), "Ingresada", "Falta Ingresar"), " ")</f>
        <v>Falta Ingresar</v>
      </c>
      <c r="L5327" s="4" t="str">
        <f>IFERROR(VLOOKUP($C5327,Observaciones!$A:$B,2,FALSE)," ")</f>
        <v>XOC Y CC</v>
      </c>
      <c r="M5327" t="s">
        <v>681</v>
      </c>
      <c r="N5327" s="5" t="s">
        <v>841</v>
      </c>
      <c r="O5327" s="5">
        <v>30842853</v>
      </c>
      <c r="P5327" s="5">
        <v>10400</v>
      </c>
      <c r="Q5327" s="5">
        <v>1976</v>
      </c>
      <c r="R5327" s="5">
        <v>12376</v>
      </c>
    </row>
    <row r="5328" spans="1:18" x14ac:dyDescent="0.25">
      <c r="A5328" t="s">
        <v>496</v>
      </c>
      <c r="B5328" t="s">
        <v>502</v>
      </c>
      <c r="C5328">
        <v>96843140</v>
      </c>
      <c r="D5328">
        <v>4</v>
      </c>
      <c r="E5328">
        <v>4500462479</v>
      </c>
      <c r="F5328" t="s">
        <v>659</v>
      </c>
      <c r="G5328" s="1">
        <v>45236</v>
      </c>
      <c r="H5328">
        <v>5412123</v>
      </c>
      <c r="I5328">
        <v>394</v>
      </c>
      <c r="J5328" t="s">
        <v>224</v>
      </c>
      <c r="K5328" s="8" t="str">
        <f>IFERROR(IF(AND(VLOOKUP($C5328,Hes!$A:$B, 1, FALSE), $M5328&lt;&gt;" "), "Ingresada", "Falta Ingresar"), " ")</f>
        <v>Falta Ingresar</v>
      </c>
      <c r="L5328" s="4" t="str">
        <f>IFERROR(VLOOKUP($C5328,Observaciones!$A:$B,2,FALSE)," ")</f>
        <v>XOC Y CC</v>
      </c>
      <c r="M5328" t="s">
        <v>681</v>
      </c>
      <c r="N5328" s="5" t="s">
        <v>841</v>
      </c>
      <c r="O5328" s="5">
        <v>30848447</v>
      </c>
      <c r="P5328" s="5">
        <v>32328</v>
      </c>
      <c r="Q5328" s="5">
        <v>6142</v>
      </c>
      <c r="R5328" s="5">
        <v>38470</v>
      </c>
    </row>
    <row r="5329" spans="1:18" x14ac:dyDescent="0.25">
      <c r="A5329" t="s">
        <v>496</v>
      </c>
      <c r="B5329" t="s">
        <v>502</v>
      </c>
      <c r="C5329">
        <v>96843140</v>
      </c>
      <c r="D5329">
        <v>0</v>
      </c>
      <c r="E5329">
        <v>4500462042</v>
      </c>
      <c r="F5329" t="s">
        <v>659</v>
      </c>
      <c r="G5329" s="1">
        <v>45236</v>
      </c>
      <c r="H5329">
        <v>5412132</v>
      </c>
      <c r="I5329">
        <v>394</v>
      </c>
      <c r="J5329" t="s">
        <v>224</v>
      </c>
      <c r="K5329" s="8" t="str">
        <f>IFERROR(IF(AND(VLOOKUP($C5329,Hes!$A:$B, 1, FALSE), $M5329&lt;&gt;" "), "Ingresada", "Falta Ingresar"), " ")</f>
        <v>Falta Ingresar</v>
      </c>
      <c r="L5329" s="4" t="str">
        <f>IFERROR(VLOOKUP($C5329,Observaciones!$A:$B,2,FALSE)," ")</f>
        <v>XOC Y CC</v>
      </c>
      <c r="M5329" t="s">
        <v>681</v>
      </c>
      <c r="N5329" s="5" t="s">
        <v>841</v>
      </c>
      <c r="O5329" s="5">
        <v>30848355</v>
      </c>
      <c r="P5329" s="5">
        <v>170439</v>
      </c>
      <c r="Q5329" s="5">
        <v>32383</v>
      </c>
      <c r="R5329" s="5">
        <v>202822</v>
      </c>
    </row>
    <row r="5330" spans="1:18" x14ac:dyDescent="0.25">
      <c r="A5330" t="s">
        <v>496</v>
      </c>
      <c r="B5330" t="s">
        <v>502</v>
      </c>
      <c r="C5330">
        <v>96843140</v>
      </c>
      <c r="D5330">
        <v>1</v>
      </c>
      <c r="E5330">
        <v>4500461632</v>
      </c>
      <c r="F5330" t="s">
        <v>659</v>
      </c>
      <c r="G5330" s="1">
        <v>45236</v>
      </c>
      <c r="H5330">
        <v>5412472</v>
      </c>
      <c r="I5330">
        <v>394</v>
      </c>
      <c r="J5330" t="s">
        <v>224</v>
      </c>
      <c r="K5330" s="8" t="str">
        <f>IFERROR(IF(AND(VLOOKUP($C5330,Hes!$A:$B, 1, FALSE), $M5330&lt;&gt;" "), "Ingresada", "Falta Ingresar"), " ")</f>
        <v>Falta Ingresar</v>
      </c>
      <c r="L5330" s="4" t="str">
        <f>IFERROR(VLOOKUP($C5330,Observaciones!$A:$B,2,FALSE)," ")</f>
        <v>XOC Y CC</v>
      </c>
      <c r="M5330" t="s">
        <v>681</v>
      </c>
      <c r="N5330" s="5" t="s">
        <v>841</v>
      </c>
      <c r="O5330" s="5">
        <v>30842792</v>
      </c>
      <c r="P5330" s="5">
        <v>56803</v>
      </c>
      <c r="Q5330" s="5">
        <v>10793</v>
      </c>
      <c r="R5330" s="5">
        <v>70436</v>
      </c>
    </row>
    <row r="5331" spans="1:18" x14ac:dyDescent="0.25">
      <c r="A5331" t="s">
        <v>496</v>
      </c>
      <c r="B5331" t="s">
        <v>502</v>
      </c>
      <c r="C5331">
        <v>96843140</v>
      </c>
      <c r="D5331">
        <v>1</v>
      </c>
      <c r="E5331">
        <v>4500462005</v>
      </c>
      <c r="F5331" t="s">
        <v>659</v>
      </c>
      <c r="G5331" s="1">
        <v>45236</v>
      </c>
      <c r="H5331">
        <v>5412483</v>
      </c>
      <c r="I5331">
        <v>394</v>
      </c>
      <c r="J5331" t="s">
        <v>224</v>
      </c>
      <c r="K5331" s="8" t="str">
        <f>IFERROR(IF(AND(VLOOKUP($C5331,Hes!$A:$B, 1, FALSE), $M5331&lt;&gt;" "), "Ingresada", "Falta Ingresar"), " ")</f>
        <v>Falta Ingresar</v>
      </c>
      <c r="L5331" s="4" t="str">
        <f>IFERROR(VLOOKUP($C5331,Observaciones!$A:$B,2,FALSE)," ")</f>
        <v>XOC Y CC</v>
      </c>
      <c r="M5331" t="s">
        <v>681</v>
      </c>
      <c r="N5331" s="5" t="s">
        <v>841</v>
      </c>
      <c r="O5331" s="5">
        <v>30843501</v>
      </c>
      <c r="P5331" s="5">
        <v>105460</v>
      </c>
      <c r="Q5331" s="5">
        <v>20037</v>
      </c>
      <c r="R5331" s="5">
        <v>125497</v>
      </c>
    </row>
    <row r="5332" spans="1:18" x14ac:dyDescent="0.25">
      <c r="A5332" t="s">
        <v>496</v>
      </c>
      <c r="B5332" t="s">
        <v>502</v>
      </c>
      <c r="C5332">
        <v>96843140</v>
      </c>
      <c r="D5332">
        <v>1</v>
      </c>
      <c r="E5332">
        <v>4500461556</v>
      </c>
      <c r="F5332" t="s">
        <v>659</v>
      </c>
      <c r="G5332" s="1">
        <v>45236</v>
      </c>
      <c r="H5332">
        <v>5412490</v>
      </c>
      <c r="I5332">
        <v>394</v>
      </c>
      <c r="J5332" t="s">
        <v>224</v>
      </c>
      <c r="K5332" s="8" t="str">
        <f>IFERROR(IF(AND(VLOOKUP($C5332,Hes!$A:$B, 1, FALSE), $M5332&lt;&gt;" "), "Ingresada", "Falta Ingresar"), " ")</f>
        <v>Falta Ingresar</v>
      </c>
      <c r="L5332" s="4" t="str">
        <f>IFERROR(VLOOKUP($C5332,Observaciones!$A:$B,2,FALSE)," ")</f>
        <v>XOC Y CC</v>
      </c>
      <c r="M5332" t="s">
        <v>681</v>
      </c>
      <c r="N5332" s="5" t="s">
        <v>841</v>
      </c>
      <c r="O5332" s="5">
        <v>30843728</v>
      </c>
      <c r="P5332" s="5">
        <v>111498</v>
      </c>
      <c r="Q5332" s="5">
        <v>21185</v>
      </c>
      <c r="R5332" s="5">
        <v>132683</v>
      </c>
    </row>
    <row r="5333" spans="1:18" x14ac:dyDescent="0.25">
      <c r="A5333" t="s">
        <v>496</v>
      </c>
      <c r="B5333" t="s">
        <v>502</v>
      </c>
      <c r="C5333">
        <v>96843140</v>
      </c>
      <c r="D5333">
        <v>3</v>
      </c>
      <c r="E5333">
        <v>4500462541</v>
      </c>
      <c r="F5333" t="s">
        <v>659</v>
      </c>
      <c r="G5333" s="1">
        <v>45236</v>
      </c>
      <c r="H5333">
        <v>5412518</v>
      </c>
      <c r="I5333">
        <v>394</v>
      </c>
      <c r="J5333" t="s">
        <v>224</v>
      </c>
      <c r="K5333" s="8" t="str">
        <f>IFERROR(IF(AND(VLOOKUP($C5333,Hes!$A:$B, 1, FALSE), $M5333&lt;&gt;" "), "Ingresada", "Falta Ingresar"), " ")</f>
        <v>Falta Ingresar</v>
      </c>
      <c r="L5333" s="4" t="str">
        <f>IFERROR(VLOOKUP($C5333,Observaciones!$A:$B,2,FALSE)," ")</f>
        <v>XOC Y CC</v>
      </c>
      <c r="M5333" t="s">
        <v>681</v>
      </c>
      <c r="N5333" s="5" t="s">
        <v>841</v>
      </c>
      <c r="O5333" s="5">
        <v>30851535</v>
      </c>
      <c r="P5333" s="5">
        <v>5938</v>
      </c>
      <c r="Q5333" s="5">
        <v>1128</v>
      </c>
      <c r="R5333" s="5">
        <v>7066</v>
      </c>
    </row>
    <row r="5334" spans="1:18" x14ac:dyDescent="0.25">
      <c r="A5334" t="s">
        <v>496</v>
      </c>
      <c r="B5334" t="s">
        <v>502</v>
      </c>
      <c r="C5334">
        <v>96843140</v>
      </c>
      <c r="D5334">
        <v>3</v>
      </c>
      <c r="E5334">
        <v>4500461759</v>
      </c>
      <c r="F5334" t="s">
        <v>659</v>
      </c>
      <c r="G5334" s="1">
        <v>45236</v>
      </c>
      <c r="H5334">
        <v>5412520</v>
      </c>
      <c r="I5334">
        <v>394</v>
      </c>
      <c r="J5334" t="s">
        <v>224</v>
      </c>
      <c r="K5334" s="8" t="str">
        <f>IFERROR(IF(AND(VLOOKUP($C5334,Hes!$A:$B, 1, FALSE), $M5334&lt;&gt;" "), "Ingresada", "Falta Ingresar"), " ")</f>
        <v>Falta Ingresar</v>
      </c>
      <c r="L5334" s="4" t="str">
        <f>IFERROR(VLOOKUP($C5334,Observaciones!$A:$B,2,FALSE)," ")</f>
        <v>XOC Y CC</v>
      </c>
      <c r="M5334" t="s">
        <v>681</v>
      </c>
      <c r="N5334" s="5" t="s">
        <v>841</v>
      </c>
      <c r="O5334" s="5">
        <v>30851551</v>
      </c>
      <c r="P5334" s="5">
        <v>53709</v>
      </c>
      <c r="Q5334" s="5">
        <v>10205</v>
      </c>
      <c r="R5334" s="5">
        <v>63914</v>
      </c>
    </row>
    <row r="5335" spans="1:18" x14ac:dyDescent="0.25">
      <c r="F5335" t="s">
        <v>511</v>
      </c>
      <c r="K5335" t="str">
        <f>IFERROR(IF(AND(VLOOKUP($C5335,Hes!$A:$B, 1, FALSE), $M5335&lt;&gt;" "), "Ingresada", "Falta Ingresar"), " ")</f>
        <v xml:space="preserve"> </v>
      </c>
      <c r="L5335" s="4" t="str">
        <f>IFERROR(VLOOKUP($C5335,Observaciones!$A:$B,2,FALSE)," ")</f>
        <v xml:space="preserve"> </v>
      </c>
      <c r="M5335" t="s">
        <v>681</v>
      </c>
      <c r="P5335" s="5">
        <v>546575</v>
      </c>
      <c r="Q5335" s="5">
        <v>103849</v>
      </c>
      <c r="R5335" s="5">
        <v>653264</v>
      </c>
    </row>
    <row r="5336" spans="1:18" x14ac:dyDescent="0.25">
      <c r="A5336" t="s">
        <v>496</v>
      </c>
      <c r="B5336" t="s">
        <v>494</v>
      </c>
      <c r="C5336">
        <v>96846410</v>
      </c>
      <c r="D5336">
        <v>3</v>
      </c>
      <c r="E5336">
        <v>170366</v>
      </c>
      <c r="F5336" t="s">
        <v>1806</v>
      </c>
      <c r="G5336" s="1">
        <v>45238</v>
      </c>
      <c r="H5336">
        <v>5415127</v>
      </c>
      <c r="I5336">
        <v>91</v>
      </c>
      <c r="J5336" t="s">
        <v>172</v>
      </c>
      <c r="K5336" t="str">
        <f>IFERROR(IF(AND(VLOOKUP($C5336,Hes!$A:$B, 1, FALSE), $M5336&lt;&gt;" "), "Ingresada", "Falta Ingresar"), " ")</f>
        <v xml:space="preserve"> </v>
      </c>
      <c r="L5336" s="4" t="str">
        <f>IFERROR(VLOOKUP($C5336,Observaciones!$A:$B,2,FALSE)," ")</f>
        <v xml:space="preserve"> </v>
      </c>
      <c r="M5336" t="s">
        <v>681</v>
      </c>
      <c r="O5336" s="5">
        <v>30862737</v>
      </c>
      <c r="P5336" s="5">
        <v>70270</v>
      </c>
      <c r="Q5336" s="5">
        <v>13351</v>
      </c>
      <c r="R5336" s="5">
        <v>83621</v>
      </c>
    </row>
    <row r="5337" spans="1:18" x14ac:dyDescent="0.25">
      <c r="A5337" t="s">
        <v>496</v>
      </c>
      <c r="B5337" t="s">
        <v>494</v>
      </c>
      <c r="C5337">
        <v>96846410</v>
      </c>
      <c r="D5337">
        <v>3</v>
      </c>
      <c r="E5337">
        <v>170378</v>
      </c>
      <c r="F5337" t="s">
        <v>1806</v>
      </c>
      <c r="G5337" s="1">
        <v>45238</v>
      </c>
      <c r="H5337">
        <v>5415624</v>
      </c>
      <c r="I5337">
        <v>91</v>
      </c>
      <c r="J5337" t="s">
        <v>172</v>
      </c>
      <c r="K5337" t="str">
        <f>IFERROR(IF(AND(VLOOKUP($C5337,Hes!$A:$B, 1, FALSE), $M5337&lt;&gt;" "), "Ingresada", "Falta Ingresar"), " ")</f>
        <v xml:space="preserve"> </v>
      </c>
      <c r="L5337" s="4" t="str">
        <f>IFERROR(VLOOKUP($C5337,Observaciones!$A:$B,2,FALSE)," ")</f>
        <v xml:space="preserve"> </v>
      </c>
      <c r="M5337" t="s">
        <v>681</v>
      </c>
      <c r="O5337" s="5">
        <v>30864498</v>
      </c>
      <c r="P5337" s="5">
        <v>1867</v>
      </c>
      <c r="Q5337" s="5">
        <v>355</v>
      </c>
      <c r="R5337" s="5">
        <v>2222</v>
      </c>
    </row>
    <row r="5338" spans="1:18" x14ac:dyDescent="0.25">
      <c r="F5338" t="s">
        <v>497</v>
      </c>
      <c r="K5338" t="str">
        <f>IFERROR(IF(AND(VLOOKUP($C5338,Hes!$A:$B, 1, FALSE), $M5338&lt;&gt;" "), "Ingresada", "Falta Ingresar"), " ")</f>
        <v xml:space="preserve"> </v>
      </c>
      <c r="L5338" s="4" t="str">
        <f>IFERROR(VLOOKUP($C5338,Observaciones!$A:$B,2,FALSE)," ")</f>
        <v xml:space="preserve"> </v>
      </c>
      <c r="M5338" t="s">
        <v>681</v>
      </c>
      <c r="P5338" s="5">
        <v>72137</v>
      </c>
      <c r="Q5338" s="5">
        <v>13706</v>
      </c>
      <c r="R5338" s="5">
        <v>85843</v>
      </c>
    </row>
    <row r="5339" spans="1:18" x14ac:dyDescent="0.25">
      <c r="A5339" t="s">
        <v>881</v>
      </c>
      <c r="B5339" t="s">
        <v>494</v>
      </c>
      <c r="C5339">
        <v>96848260</v>
      </c>
      <c r="D5339">
        <v>5</v>
      </c>
      <c r="E5339" t="s">
        <v>1807</v>
      </c>
      <c r="F5339" t="s">
        <v>1808</v>
      </c>
      <c r="G5339" s="1">
        <v>45231</v>
      </c>
      <c r="H5339">
        <v>5410621</v>
      </c>
      <c r="I5339">
        <v>122</v>
      </c>
      <c r="J5339" t="s">
        <v>396</v>
      </c>
      <c r="K5339" t="str">
        <f>IFERROR(IF(AND(VLOOKUP($C5339,Hes!$A:$B, 1, FALSE), $M5339&lt;&gt;" "), "Ingresada", "Falta Ingresar"), " ")</f>
        <v xml:space="preserve"> </v>
      </c>
      <c r="L5339" s="4" t="s">
        <v>681</v>
      </c>
      <c r="M5339" t="s">
        <v>681</v>
      </c>
      <c r="O5339" s="5">
        <v>30842027</v>
      </c>
      <c r="P5339" s="5">
        <v>18418</v>
      </c>
      <c r="Q5339" s="5">
        <v>3499</v>
      </c>
      <c r="R5339" s="5">
        <v>21917</v>
      </c>
    </row>
    <row r="5340" spans="1:18" x14ac:dyDescent="0.25">
      <c r="A5340" t="s">
        <v>881</v>
      </c>
      <c r="B5340" t="s">
        <v>494</v>
      </c>
      <c r="C5340">
        <v>96848260</v>
      </c>
      <c r="D5340">
        <v>21</v>
      </c>
      <c r="E5340" t="s">
        <v>1807</v>
      </c>
      <c r="F5340" t="s">
        <v>1808</v>
      </c>
      <c r="G5340" s="1">
        <v>45232</v>
      </c>
      <c r="H5340">
        <v>5411126</v>
      </c>
      <c r="I5340">
        <v>122</v>
      </c>
      <c r="J5340" t="s">
        <v>396</v>
      </c>
      <c r="K5340" t="str">
        <f>IFERROR(IF(AND(VLOOKUP($C5340,Hes!$A:$B, 1, FALSE), $M5340&lt;&gt;" "), "Ingresada", "Falta Ingresar"), " ")</f>
        <v xml:space="preserve"> </v>
      </c>
      <c r="L5340" s="4" t="s">
        <v>681</v>
      </c>
      <c r="M5340" t="s">
        <v>681</v>
      </c>
      <c r="O5340" s="5">
        <v>30846387</v>
      </c>
      <c r="P5340" s="5">
        <v>120572</v>
      </c>
      <c r="Q5340" s="5">
        <v>22909</v>
      </c>
      <c r="R5340" s="5">
        <v>143481</v>
      </c>
    </row>
    <row r="5341" spans="1:18" x14ac:dyDescent="0.25">
      <c r="A5341" t="s">
        <v>881</v>
      </c>
      <c r="B5341" t="s">
        <v>494</v>
      </c>
      <c r="C5341">
        <v>96848260</v>
      </c>
      <c r="D5341">
        <v>0</v>
      </c>
      <c r="E5341" t="s">
        <v>1807</v>
      </c>
      <c r="F5341" t="s">
        <v>1808</v>
      </c>
      <c r="G5341" s="1">
        <v>45233</v>
      </c>
      <c r="H5341">
        <v>5411722</v>
      </c>
      <c r="I5341">
        <v>122</v>
      </c>
      <c r="J5341" t="s">
        <v>396</v>
      </c>
      <c r="K5341" t="str">
        <f>IFERROR(IF(AND(VLOOKUP($C5341,Hes!$A:$B, 1, FALSE), $M5341&lt;&gt;" "), "Ingresada", "Falta Ingresar"), " ")</f>
        <v xml:space="preserve"> </v>
      </c>
      <c r="L5341" s="4" t="s">
        <v>681</v>
      </c>
      <c r="M5341" t="s">
        <v>681</v>
      </c>
      <c r="O5341" s="5">
        <v>30851880</v>
      </c>
      <c r="P5341" s="5">
        <v>17952</v>
      </c>
      <c r="Q5341" s="5">
        <v>3411</v>
      </c>
      <c r="R5341" s="5">
        <v>21363</v>
      </c>
    </row>
    <row r="5342" spans="1:18" x14ac:dyDescent="0.25">
      <c r="A5342" t="s">
        <v>881</v>
      </c>
      <c r="B5342" t="s">
        <v>494</v>
      </c>
      <c r="C5342">
        <v>96848260</v>
      </c>
      <c r="D5342">
        <v>28</v>
      </c>
      <c r="E5342" t="s">
        <v>1807</v>
      </c>
      <c r="F5342" t="s">
        <v>1808</v>
      </c>
      <c r="G5342" s="1">
        <v>45236</v>
      </c>
      <c r="H5342">
        <v>5412625</v>
      </c>
      <c r="I5342">
        <v>122</v>
      </c>
      <c r="J5342" t="s">
        <v>396</v>
      </c>
      <c r="K5342" t="str">
        <f>IFERROR(IF(AND(VLOOKUP($C5342,Hes!$A:$B, 1, FALSE), $M5342&lt;&gt;" "), "Ingresada", "Falta Ingresar"), " ")</f>
        <v xml:space="preserve"> </v>
      </c>
      <c r="L5342" s="4" t="s">
        <v>681</v>
      </c>
      <c r="M5342" t="s">
        <v>681</v>
      </c>
      <c r="O5342" s="5">
        <v>30851870</v>
      </c>
      <c r="P5342" s="5">
        <v>115861</v>
      </c>
      <c r="Q5342" s="5">
        <v>22014</v>
      </c>
      <c r="R5342" s="5">
        <v>137875</v>
      </c>
    </row>
    <row r="5343" spans="1:18" x14ac:dyDescent="0.25">
      <c r="A5343" t="s">
        <v>881</v>
      </c>
      <c r="B5343" t="s">
        <v>494</v>
      </c>
      <c r="C5343">
        <v>96848260</v>
      </c>
      <c r="D5343">
        <v>0</v>
      </c>
      <c r="E5343" t="s">
        <v>1807</v>
      </c>
      <c r="F5343" t="s">
        <v>1808</v>
      </c>
      <c r="G5343" s="1">
        <v>45236</v>
      </c>
      <c r="H5343">
        <v>5412704</v>
      </c>
      <c r="I5343">
        <v>122</v>
      </c>
      <c r="J5343" t="s">
        <v>396</v>
      </c>
      <c r="K5343" t="str">
        <f>IFERROR(IF(AND(VLOOKUP($C5343,Hes!$A:$B, 1, FALSE), $M5343&lt;&gt;" "), "Ingresada", "Falta Ingresar"), " ")</f>
        <v xml:space="preserve"> </v>
      </c>
      <c r="L5343" s="4" t="s">
        <v>681</v>
      </c>
      <c r="M5343" t="s">
        <v>681</v>
      </c>
      <c r="O5343" s="5">
        <v>30851858</v>
      </c>
      <c r="P5343" s="5">
        <v>24372</v>
      </c>
      <c r="Q5343" s="5">
        <v>4631</v>
      </c>
      <c r="R5343" s="5">
        <v>29003</v>
      </c>
    </row>
    <row r="5344" spans="1:18" x14ac:dyDescent="0.25">
      <c r="A5344" t="s">
        <v>881</v>
      </c>
      <c r="B5344" t="s">
        <v>494</v>
      </c>
      <c r="C5344">
        <v>96848260</v>
      </c>
      <c r="D5344">
        <v>0</v>
      </c>
      <c r="E5344" t="s">
        <v>1807</v>
      </c>
      <c r="F5344" t="s">
        <v>1808</v>
      </c>
      <c r="G5344" s="1">
        <v>45236</v>
      </c>
      <c r="H5344">
        <v>5413194</v>
      </c>
      <c r="I5344">
        <v>122</v>
      </c>
      <c r="J5344" t="s">
        <v>396</v>
      </c>
      <c r="K5344" t="str">
        <f>IFERROR(IF(AND(VLOOKUP($C5344,Hes!$A:$B, 1, FALSE), $M5344&lt;&gt;" "), "Ingresada", "Falta Ingresar"), " ")</f>
        <v xml:space="preserve"> </v>
      </c>
      <c r="L5344" s="4" t="s">
        <v>681</v>
      </c>
      <c r="M5344" t="s">
        <v>681</v>
      </c>
      <c r="O5344" s="5">
        <v>30851849</v>
      </c>
      <c r="P5344" s="5">
        <v>142000</v>
      </c>
      <c r="Q5344" s="5">
        <v>26980</v>
      </c>
      <c r="R5344" s="5">
        <v>168980</v>
      </c>
    </row>
    <row r="5345" spans="1:18" x14ac:dyDescent="0.25">
      <c r="A5345" t="s">
        <v>881</v>
      </c>
      <c r="B5345" t="s">
        <v>494</v>
      </c>
      <c r="C5345">
        <v>96848260</v>
      </c>
      <c r="D5345">
        <v>41</v>
      </c>
      <c r="E5345" t="s">
        <v>1807</v>
      </c>
      <c r="F5345" t="s">
        <v>1808</v>
      </c>
      <c r="G5345" s="1">
        <v>45236</v>
      </c>
      <c r="H5345">
        <v>5413305</v>
      </c>
      <c r="I5345">
        <v>122</v>
      </c>
      <c r="J5345" t="s">
        <v>396</v>
      </c>
      <c r="K5345" t="str">
        <f>IFERROR(IF(AND(VLOOKUP($C5345,Hes!$A:$B, 1, FALSE), $M5345&lt;&gt;" "), "Ingresada", "Falta Ingresar"), " ")</f>
        <v xml:space="preserve"> </v>
      </c>
      <c r="L5345" s="4" t="s">
        <v>681</v>
      </c>
      <c r="M5345" t="s">
        <v>681</v>
      </c>
      <c r="O5345" s="5">
        <v>30852976</v>
      </c>
      <c r="P5345" s="5">
        <v>117704</v>
      </c>
      <c r="Q5345" s="5">
        <v>22364</v>
      </c>
      <c r="R5345" s="5">
        <v>140068</v>
      </c>
    </row>
    <row r="5346" spans="1:18" x14ac:dyDescent="0.25">
      <c r="A5346" t="s">
        <v>881</v>
      </c>
      <c r="B5346" t="s">
        <v>494</v>
      </c>
      <c r="C5346">
        <v>96848260</v>
      </c>
      <c r="D5346">
        <v>7</v>
      </c>
      <c r="E5346" t="s">
        <v>1807</v>
      </c>
      <c r="F5346" t="s">
        <v>1808</v>
      </c>
      <c r="G5346" s="1">
        <v>45236</v>
      </c>
      <c r="H5346">
        <v>5413426</v>
      </c>
      <c r="I5346">
        <v>122</v>
      </c>
      <c r="J5346" t="s">
        <v>396</v>
      </c>
      <c r="K5346" t="str">
        <f>IFERROR(IF(AND(VLOOKUP($C5346,Hes!$A:$B, 1, FALSE), $M5346&lt;&gt;" "), "Ingresada", "Falta Ingresar"), " ")</f>
        <v xml:space="preserve"> </v>
      </c>
      <c r="L5346" s="4" t="s">
        <v>681</v>
      </c>
      <c r="M5346" t="s">
        <v>681</v>
      </c>
      <c r="O5346" s="5">
        <v>30852846</v>
      </c>
      <c r="P5346" s="5">
        <v>143667</v>
      </c>
      <c r="Q5346" s="5">
        <v>27297</v>
      </c>
      <c r="R5346" s="5">
        <v>170964</v>
      </c>
    </row>
    <row r="5347" spans="1:18" x14ac:dyDescent="0.25">
      <c r="A5347" t="s">
        <v>881</v>
      </c>
      <c r="B5347" t="s">
        <v>494</v>
      </c>
      <c r="C5347">
        <v>96848260</v>
      </c>
      <c r="D5347">
        <v>41</v>
      </c>
      <c r="E5347" t="s">
        <v>1807</v>
      </c>
      <c r="F5347" t="s">
        <v>1808</v>
      </c>
      <c r="G5347" s="1">
        <v>45237</v>
      </c>
      <c r="H5347">
        <v>5414292</v>
      </c>
      <c r="I5347">
        <v>122</v>
      </c>
      <c r="J5347" t="s">
        <v>396</v>
      </c>
      <c r="K5347" t="str">
        <f>IFERROR(IF(AND(VLOOKUP($C5347,Hes!$A:$B, 1, FALSE), $M5347&lt;&gt;" "), "Ingresada", "Falta Ingresar"), " ")</f>
        <v xml:space="preserve"> </v>
      </c>
      <c r="L5347" s="4" t="s">
        <v>681</v>
      </c>
      <c r="M5347" t="s">
        <v>681</v>
      </c>
      <c r="O5347" s="5">
        <v>30859050</v>
      </c>
      <c r="P5347" s="5">
        <v>81847</v>
      </c>
      <c r="Q5347" s="5">
        <v>15551</v>
      </c>
      <c r="R5347" s="5">
        <v>97398</v>
      </c>
    </row>
    <row r="5348" spans="1:18" x14ac:dyDescent="0.25">
      <c r="A5348" t="s">
        <v>881</v>
      </c>
      <c r="B5348" t="s">
        <v>494</v>
      </c>
      <c r="C5348">
        <v>96848260</v>
      </c>
      <c r="D5348">
        <v>0</v>
      </c>
      <c r="E5348" t="s">
        <v>1807</v>
      </c>
      <c r="F5348" t="s">
        <v>1808</v>
      </c>
      <c r="G5348" s="1">
        <v>45237</v>
      </c>
      <c r="H5348">
        <v>5414395</v>
      </c>
      <c r="I5348">
        <v>122</v>
      </c>
      <c r="J5348" t="s">
        <v>396</v>
      </c>
      <c r="K5348" t="str">
        <f>IFERROR(IF(AND(VLOOKUP($C5348,Hes!$A:$B, 1, FALSE), $M5348&lt;&gt;" "), "Ingresada", "Falta Ingresar"), " ")</f>
        <v xml:space="preserve"> </v>
      </c>
      <c r="L5348" s="4" t="s">
        <v>681</v>
      </c>
      <c r="M5348" t="s">
        <v>681</v>
      </c>
      <c r="O5348" s="5">
        <v>30861482</v>
      </c>
      <c r="P5348" s="5">
        <v>40388</v>
      </c>
      <c r="Q5348" s="5">
        <v>7674</v>
      </c>
      <c r="R5348" s="5">
        <v>48062</v>
      </c>
    </row>
    <row r="5349" spans="1:18" x14ac:dyDescent="0.25">
      <c r="A5349" t="s">
        <v>881</v>
      </c>
      <c r="B5349" t="s">
        <v>494</v>
      </c>
      <c r="C5349">
        <v>96848260</v>
      </c>
      <c r="D5349">
        <v>22</v>
      </c>
      <c r="E5349" t="s">
        <v>1807</v>
      </c>
      <c r="F5349" t="s">
        <v>1808</v>
      </c>
      <c r="G5349" s="1">
        <v>45237</v>
      </c>
      <c r="H5349">
        <v>5414400</v>
      </c>
      <c r="I5349">
        <v>122</v>
      </c>
      <c r="J5349" t="s">
        <v>396</v>
      </c>
      <c r="K5349" t="str">
        <f>IFERROR(IF(AND(VLOOKUP($C5349,Hes!$A:$B, 1, FALSE), $M5349&lt;&gt;" "), "Ingresada", "Falta Ingresar"), " ")</f>
        <v xml:space="preserve"> </v>
      </c>
      <c r="L5349" s="4" t="s">
        <v>681</v>
      </c>
      <c r="M5349" t="s">
        <v>681</v>
      </c>
      <c r="O5349" s="5">
        <v>30859027</v>
      </c>
      <c r="P5349" s="5">
        <v>23310</v>
      </c>
      <c r="Q5349" s="5">
        <v>4429</v>
      </c>
      <c r="R5349" s="5">
        <v>27739</v>
      </c>
    </row>
    <row r="5350" spans="1:18" x14ac:dyDescent="0.25">
      <c r="A5350" t="s">
        <v>881</v>
      </c>
      <c r="B5350" t="s">
        <v>494</v>
      </c>
      <c r="C5350">
        <v>96848260</v>
      </c>
      <c r="D5350">
        <v>4</v>
      </c>
      <c r="E5350" t="s">
        <v>1807</v>
      </c>
      <c r="F5350" t="s">
        <v>1808</v>
      </c>
      <c r="G5350" s="1">
        <v>45238</v>
      </c>
      <c r="H5350">
        <v>5414667</v>
      </c>
      <c r="I5350">
        <v>122</v>
      </c>
      <c r="J5350" t="s">
        <v>396</v>
      </c>
      <c r="K5350" t="str">
        <f>IFERROR(IF(AND(VLOOKUP($C5350,Hes!$A:$B, 1, FALSE), $M5350&lt;&gt;" "), "Ingresada", "Falta Ingresar"), " ")</f>
        <v xml:space="preserve"> </v>
      </c>
      <c r="L5350" s="4" t="s">
        <v>681</v>
      </c>
      <c r="M5350" t="s">
        <v>681</v>
      </c>
      <c r="O5350" s="5">
        <v>30858894</v>
      </c>
      <c r="P5350" s="5">
        <v>293787</v>
      </c>
      <c r="Q5350" s="5">
        <v>55820</v>
      </c>
      <c r="R5350" s="5">
        <v>349607</v>
      </c>
    </row>
    <row r="5351" spans="1:18" x14ac:dyDescent="0.25">
      <c r="A5351" t="s">
        <v>881</v>
      </c>
      <c r="B5351" t="s">
        <v>494</v>
      </c>
      <c r="C5351">
        <v>96848260</v>
      </c>
      <c r="D5351">
        <v>42</v>
      </c>
      <c r="E5351" t="s">
        <v>1807</v>
      </c>
      <c r="F5351" t="s">
        <v>1808</v>
      </c>
      <c r="G5351" s="1">
        <v>45238</v>
      </c>
      <c r="H5351">
        <v>5414717</v>
      </c>
      <c r="I5351">
        <v>122</v>
      </c>
      <c r="J5351" t="s">
        <v>396</v>
      </c>
      <c r="K5351" t="str">
        <f>IFERROR(IF(AND(VLOOKUP($C5351,Hes!$A:$B, 1, FALSE), $M5351&lt;&gt;" "), "Ingresada", "Falta Ingresar"), " ")</f>
        <v xml:space="preserve"> </v>
      </c>
      <c r="L5351" s="4" t="s">
        <v>681</v>
      </c>
      <c r="M5351" t="s">
        <v>681</v>
      </c>
      <c r="O5351" s="5">
        <v>30861535</v>
      </c>
      <c r="P5351" s="5">
        <v>62234</v>
      </c>
      <c r="Q5351" s="5">
        <v>11824</v>
      </c>
      <c r="R5351" s="5">
        <v>74058</v>
      </c>
    </row>
    <row r="5352" spans="1:18" x14ac:dyDescent="0.25">
      <c r="A5352" t="s">
        <v>881</v>
      </c>
      <c r="B5352" t="s">
        <v>494</v>
      </c>
      <c r="C5352">
        <v>96848260</v>
      </c>
      <c r="D5352">
        <v>9</v>
      </c>
      <c r="E5352" t="s">
        <v>1807</v>
      </c>
      <c r="F5352" t="s">
        <v>1808</v>
      </c>
      <c r="G5352" s="1">
        <v>45237</v>
      </c>
      <c r="H5352">
        <v>5414798</v>
      </c>
      <c r="I5352">
        <v>122</v>
      </c>
      <c r="J5352" t="s">
        <v>396</v>
      </c>
      <c r="K5352" t="str">
        <f>IFERROR(IF(AND(VLOOKUP($C5352,Hes!$A:$B, 1, FALSE), $M5352&lt;&gt;" "), "Ingresada", "Falta Ingresar"), " ")</f>
        <v xml:space="preserve"> </v>
      </c>
      <c r="L5352" s="4" t="s">
        <v>681</v>
      </c>
      <c r="M5352" t="s">
        <v>681</v>
      </c>
      <c r="O5352" s="5">
        <v>30860039</v>
      </c>
      <c r="P5352" s="5">
        <v>77839</v>
      </c>
      <c r="Q5352" s="5">
        <v>14789</v>
      </c>
      <c r="R5352" s="5">
        <v>92628</v>
      </c>
    </row>
    <row r="5353" spans="1:18" x14ac:dyDescent="0.25">
      <c r="A5353" t="s">
        <v>881</v>
      </c>
      <c r="B5353" t="s">
        <v>494</v>
      </c>
      <c r="C5353">
        <v>96848260</v>
      </c>
      <c r="D5353">
        <v>10</v>
      </c>
      <c r="E5353" t="s">
        <v>1807</v>
      </c>
      <c r="F5353" t="s">
        <v>1808</v>
      </c>
      <c r="G5353" s="1">
        <v>45238</v>
      </c>
      <c r="H5353">
        <v>5414959</v>
      </c>
      <c r="I5353">
        <v>122</v>
      </c>
      <c r="J5353" t="s">
        <v>396</v>
      </c>
      <c r="K5353" t="str">
        <f>IFERROR(IF(AND(VLOOKUP($C5353,Hes!$A:$B, 1, FALSE), $M5353&lt;&gt;" "), "Ingresada", "Falta Ingresar"), " ")</f>
        <v xml:space="preserve"> </v>
      </c>
      <c r="L5353" s="4" t="s">
        <v>681</v>
      </c>
      <c r="M5353" t="s">
        <v>681</v>
      </c>
      <c r="O5353" s="5">
        <v>30858990</v>
      </c>
      <c r="P5353" s="5">
        <v>209535</v>
      </c>
      <c r="Q5353" s="5">
        <v>39812</v>
      </c>
      <c r="R5353" s="5">
        <v>249347</v>
      </c>
    </row>
    <row r="5354" spans="1:18" x14ac:dyDescent="0.25">
      <c r="A5354" t="s">
        <v>881</v>
      </c>
      <c r="B5354" t="s">
        <v>494</v>
      </c>
      <c r="C5354">
        <v>96848260</v>
      </c>
      <c r="D5354">
        <v>26</v>
      </c>
      <c r="E5354" t="s">
        <v>1807</v>
      </c>
      <c r="F5354" t="s">
        <v>1808</v>
      </c>
      <c r="G5354" s="1">
        <v>45238</v>
      </c>
      <c r="H5354">
        <v>5415125</v>
      </c>
      <c r="I5354">
        <v>122</v>
      </c>
      <c r="J5354" t="s">
        <v>396</v>
      </c>
      <c r="K5354" t="str">
        <f>IFERROR(IF(AND(VLOOKUP($C5354,Hes!$A:$B, 1, FALSE), $M5354&lt;&gt;" "), "Ingresada", "Falta Ingresar"), " ")</f>
        <v xml:space="preserve"> </v>
      </c>
      <c r="L5354" s="4" t="s">
        <v>681</v>
      </c>
      <c r="M5354" t="s">
        <v>681</v>
      </c>
      <c r="O5354" s="5">
        <v>30861547</v>
      </c>
      <c r="P5354" s="5">
        <v>158322</v>
      </c>
      <c r="Q5354" s="5">
        <v>30081</v>
      </c>
      <c r="R5354" s="5">
        <v>188403</v>
      </c>
    </row>
    <row r="5355" spans="1:18" x14ac:dyDescent="0.25">
      <c r="A5355" t="s">
        <v>881</v>
      </c>
      <c r="B5355" t="s">
        <v>494</v>
      </c>
      <c r="C5355">
        <v>96848260</v>
      </c>
      <c r="D5355">
        <v>27</v>
      </c>
      <c r="E5355" t="s">
        <v>1807</v>
      </c>
      <c r="F5355" t="s">
        <v>1808</v>
      </c>
      <c r="G5355" s="1">
        <v>45238</v>
      </c>
      <c r="H5355">
        <v>5415238</v>
      </c>
      <c r="I5355">
        <v>122</v>
      </c>
      <c r="J5355" t="s">
        <v>396</v>
      </c>
      <c r="K5355" t="str">
        <f>IFERROR(IF(AND(VLOOKUP($C5355,Hes!$A:$B, 1, FALSE), $M5355&lt;&gt;" "), "Ingresada", "Falta Ingresar"), " ")</f>
        <v xml:space="preserve"> </v>
      </c>
      <c r="L5355" s="4" t="s">
        <v>681</v>
      </c>
      <c r="M5355" t="s">
        <v>681</v>
      </c>
      <c r="O5355" s="5">
        <v>30864180</v>
      </c>
      <c r="P5355" s="5">
        <v>276791</v>
      </c>
      <c r="Q5355" s="5">
        <v>52590</v>
      </c>
      <c r="R5355" s="5">
        <v>329381</v>
      </c>
    </row>
    <row r="5356" spans="1:18" x14ac:dyDescent="0.25">
      <c r="A5356" t="s">
        <v>881</v>
      </c>
      <c r="B5356" t="s">
        <v>494</v>
      </c>
      <c r="C5356">
        <v>96848260</v>
      </c>
      <c r="D5356">
        <v>17</v>
      </c>
      <c r="E5356" t="s">
        <v>1807</v>
      </c>
      <c r="F5356" t="s">
        <v>1808</v>
      </c>
      <c r="G5356" s="1">
        <v>45237</v>
      </c>
      <c r="H5356">
        <v>5415253</v>
      </c>
      <c r="I5356">
        <v>122</v>
      </c>
      <c r="J5356" t="s">
        <v>396</v>
      </c>
      <c r="K5356" t="str">
        <f>IFERROR(IF(AND(VLOOKUP($C5356,Hes!$A:$B, 1, FALSE), $M5356&lt;&gt;" "), "Ingresada", "Falta Ingresar"), " ")</f>
        <v xml:space="preserve"> </v>
      </c>
      <c r="L5356" s="4" t="s">
        <v>681</v>
      </c>
      <c r="M5356" t="s">
        <v>681</v>
      </c>
      <c r="O5356" s="5">
        <v>30863876</v>
      </c>
      <c r="P5356" s="5">
        <v>156710</v>
      </c>
      <c r="Q5356" s="5">
        <v>29775</v>
      </c>
      <c r="R5356" s="5">
        <v>186485</v>
      </c>
    </row>
    <row r="5357" spans="1:18" x14ac:dyDescent="0.25">
      <c r="A5357" t="s">
        <v>881</v>
      </c>
      <c r="B5357" t="s">
        <v>494</v>
      </c>
      <c r="C5357">
        <v>96848260</v>
      </c>
      <c r="D5357">
        <v>29</v>
      </c>
      <c r="E5357" t="s">
        <v>1807</v>
      </c>
      <c r="F5357" t="s">
        <v>1808</v>
      </c>
      <c r="G5357" s="1">
        <v>45238</v>
      </c>
      <c r="H5357">
        <v>5415500</v>
      </c>
      <c r="I5357">
        <v>122</v>
      </c>
      <c r="J5357" t="s">
        <v>396</v>
      </c>
      <c r="K5357" t="str">
        <f>IFERROR(IF(AND(VLOOKUP($C5357,Hes!$A:$B, 1, FALSE), $M5357&lt;&gt;" "), "Ingresada", "Falta Ingresar"), " ")</f>
        <v xml:space="preserve"> </v>
      </c>
      <c r="L5357" s="4" t="s">
        <v>681</v>
      </c>
      <c r="M5357" t="s">
        <v>681</v>
      </c>
      <c r="O5357" s="5">
        <v>30865801</v>
      </c>
      <c r="P5357" s="5">
        <v>79372</v>
      </c>
      <c r="Q5357" s="5">
        <v>15081</v>
      </c>
      <c r="R5357" s="5">
        <v>94453</v>
      </c>
    </row>
    <row r="5358" spans="1:18" x14ac:dyDescent="0.25">
      <c r="A5358" t="s">
        <v>881</v>
      </c>
      <c r="B5358" t="s">
        <v>494</v>
      </c>
      <c r="C5358">
        <v>96848260</v>
      </c>
      <c r="D5358">
        <v>7</v>
      </c>
      <c r="E5358" t="s">
        <v>1807</v>
      </c>
      <c r="F5358" t="s">
        <v>1808</v>
      </c>
      <c r="G5358" s="1">
        <v>45238</v>
      </c>
      <c r="H5358">
        <v>5415675</v>
      </c>
      <c r="I5358">
        <v>122</v>
      </c>
      <c r="J5358" t="s">
        <v>396</v>
      </c>
      <c r="K5358" t="str">
        <f>IFERROR(IF(AND(VLOOKUP($C5358,Hes!$A:$B, 1, FALSE), $M5358&lt;&gt;" "), "Ingresada", "Falta Ingresar"), " ")</f>
        <v xml:space="preserve"> </v>
      </c>
      <c r="L5358" s="4" t="s">
        <v>681</v>
      </c>
      <c r="M5358" t="s">
        <v>681</v>
      </c>
      <c r="O5358" s="5">
        <v>30865855</v>
      </c>
      <c r="P5358" s="5">
        <v>25320</v>
      </c>
      <c r="Q5358" s="5">
        <v>4811</v>
      </c>
      <c r="R5358" s="5">
        <v>30131</v>
      </c>
    </row>
    <row r="5359" spans="1:18" x14ac:dyDescent="0.25">
      <c r="F5359" t="s">
        <v>1086</v>
      </c>
      <c r="K5359" t="str">
        <f>IFERROR(IF(AND(VLOOKUP($C5359,Hes!$A:$B, 1, FALSE), $M5359&lt;&gt;" "), "Ingresada", "Falta Ingresar"), " ")</f>
        <v xml:space="preserve"> </v>
      </c>
      <c r="L5359" s="4" t="str">
        <f>IFERROR(VLOOKUP($C5359,Observaciones!$A:$B,2,FALSE)," ")</f>
        <v xml:space="preserve"> </v>
      </c>
      <c r="M5359" t="s">
        <v>681</v>
      </c>
      <c r="P5359" s="5">
        <v>2186001</v>
      </c>
      <c r="Q5359" s="5">
        <v>415342</v>
      </c>
      <c r="R5359" s="5">
        <v>2601343</v>
      </c>
    </row>
    <row r="5360" spans="1:18" x14ac:dyDescent="0.25">
      <c r="A5360" t="s">
        <v>512</v>
      </c>
      <c r="B5360" t="s">
        <v>494</v>
      </c>
      <c r="C5360">
        <v>96853150</v>
      </c>
      <c r="D5360">
        <v>37</v>
      </c>
      <c r="E5360">
        <v>30850972</v>
      </c>
      <c r="F5360" t="s">
        <v>660</v>
      </c>
      <c r="G5360" s="1">
        <v>45233</v>
      </c>
      <c r="H5360">
        <v>5411478</v>
      </c>
      <c r="I5360">
        <v>63</v>
      </c>
      <c r="J5360" t="s">
        <v>170</v>
      </c>
      <c r="K5360" s="8" t="str">
        <f>IFERROR(IF(AND(VLOOKUP($C5360,Hes!$A:$B, 1, FALSE), $M5360&lt;&gt;" "), "Ingresada", "Falta Ingresar"), " ")</f>
        <v>Falta Ingresar</v>
      </c>
      <c r="L5360" s="4" t="str">
        <f>IFERROR(VLOOKUP($C5360,Observaciones!$A:$B,2,FALSE)," ")</f>
        <v xml:space="preserve"> </v>
      </c>
      <c r="M5360" t="s">
        <v>681</v>
      </c>
      <c r="N5360" s="5" t="s">
        <v>841</v>
      </c>
      <c r="O5360" s="5">
        <v>30850972</v>
      </c>
      <c r="P5360" s="5">
        <v>265548</v>
      </c>
      <c r="Q5360" s="5">
        <v>50454</v>
      </c>
      <c r="R5360" s="5">
        <v>316002</v>
      </c>
    </row>
    <row r="5361" spans="1:18" x14ac:dyDescent="0.25">
      <c r="A5361" t="s">
        <v>512</v>
      </c>
      <c r="B5361" t="s">
        <v>494</v>
      </c>
      <c r="C5361">
        <v>96853150</v>
      </c>
      <c r="D5361">
        <v>11</v>
      </c>
      <c r="E5361">
        <v>30850780</v>
      </c>
      <c r="F5361" t="s">
        <v>660</v>
      </c>
      <c r="G5361" s="1">
        <v>45233</v>
      </c>
      <c r="H5361">
        <v>5411524</v>
      </c>
      <c r="I5361">
        <v>63</v>
      </c>
      <c r="J5361" t="s">
        <v>170</v>
      </c>
      <c r="K5361" s="8" t="str">
        <f>IFERROR(IF(AND(VLOOKUP($C5361,Hes!$A:$B, 1, FALSE), $M5361&lt;&gt;" "), "Ingresada", "Falta Ingresar"), " ")</f>
        <v>Falta Ingresar</v>
      </c>
      <c r="L5361" s="4" t="str">
        <f>IFERROR(VLOOKUP($C5361,Observaciones!$A:$B,2,FALSE)," ")</f>
        <v xml:space="preserve"> </v>
      </c>
      <c r="M5361" t="s">
        <v>681</v>
      </c>
      <c r="N5361" s="5" t="s">
        <v>841</v>
      </c>
      <c r="O5361" s="5">
        <v>30850780</v>
      </c>
      <c r="P5361" s="5">
        <v>395411</v>
      </c>
      <c r="Q5361" s="5">
        <v>75128</v>
      </c>
      <c r="R5361" s="5">
        <v>470539</v>
      </c>
    </row>
    <row r="5362" spans="1:18" x14ac:dyDescent="0.25">
      <c r="A5362" t="s">
        <v>512</v>
      </c>
      <c r="B5362" t="s">
        <v>494</v>
      </c>
      <c r="C5362">
        <v>96853150</v>
      </c>
      <c r="D5362">
        <v>6</v>
      </c>
      <c r="E5362">
        <v>30850463</v>
      </c>
      <c r="F5362" t="s">
        <v>660</v>
      </c>
      <c r="G5362" s="1">
        <v>45233</v>
      </c>
      <c r="H5362">
        <v>5411549</v>
      </c>
      <c r="I5362">
        <v>63</v>
      </c>
      <c r="J5362" t="s">
        <v>170</v>
      </c>
      <c r="K5362" s="8" t="str">
        <f>IFERROR(IF(AND(VLOOKUP($C5362,Hes!$A:$B, 1, FALSE), $M5362&lt;&gt;" "), "Ingresada", "Falta Ingresar"), " ")</f>
        <v>Falta Ingresar</v>
      </c>
      <c r="L5362" s="4" t="str">
        <f>IFERROR(VLOOKUP($C5362,Observaciones!$A:$B,2,FALSE)," ")</f>
        <v xml:space="preserve"> </v>
      </c>
      <c r="M5362" t="s">
        <v>681</v>
      </c>
      <c r="N5362" s="5" t="s">
        <v>841</v>
      </c>
      <c r="O5362" s="5">
        <v>30850463</v>
      </c>
      <c r="P5362" s="5">
        <v>254218</v>
      </c>
      <c r="Q5362" s="5">
        <v>48301</v>
      </c>
      <c r="R5362" s="5">
        <v>302519</v>
      </c>
    </row>
    <row r="5363" spans="1:18" x14ac:dyDescent="0.25">
      <c r="A5363" t="s">
        <v>512</v>
      </c>
      <c r="B5363" t="s">
        <v>494</v>
      </c>
      <c r="C5363">
        <v>96853150</v>
      </c>
      <c r="D5363">
        <v>38</v>
      </c>
      <c r="E5363">
        <v>30850319</v>
      </c>
      <c r="F5363" t="s">
        <v>660</v>
      </c>
      <c r="G5363" s="1">
        <v>45233</v>
      </c>
      <c r="H5363">
        <v>5411584</v>
      </c>
      <c r="I5363">
        <v>63</v>
      </c>
      <c r="J5363" t="s">
        <v>170</v>
      </c>
      <c r="K5363" s="8" t="str">
        <f>IFERROR(IF(AND(VLOOKUP($C5363,Hes!$A:$B, 1, FALSE), $M5363&lt;&gt;" "), "Ingresada", "Falta Ingresar"), " ")</f>
        <v>Falta Ingresar</v>
      </c>
      <c r="L5363" s="4" t="str">
        <f>IFERROR(VLOOKUP($C5363,Observaciones!$A:$B,2,FALSE)," ")</f>
        <v xml:space="preserve"> </v>
      </c>
      <c r="M5363" t="s">
        <v>681</v>
      </c>
      <c r="N5363" s="5" t="s">
        <v>841</v>
      </c>
      <c r="O5363" s="5">
        <v>30850319</v>
      </c>
      <c r="P5363" s="5">
        <v>121782</v>
      </c>
      <c r="Q5363" s="5">
        <v>23139</v>
      </c>
      <c r="R5363" s="5">
        <v>144921</v>
      </c>
    </row>
    <row r="5364" spans="1:18" x14ac:dyDescent="0.25">
      <c r="A5364" t="s">
        <v>512</v>
      </c>
      <c r="B5364" t="s">
        <v>494</v>
      </c>
      <c r="C5364">
        <v>96853150</v>
      </c>
      <c r="D5364">
        <v>37</v>
      </c>
      <c r="E5364">
        <v>30851115</v>
      </c>
      <c r="F5364" t="s">
        <v>660</v>
      </c>
      <c r="G5364" s="1">
        <v>45233</v>
      </c>
      <c r="H5364">
        <v>5411621</v>
      </c>
      <c r="I5364">
        <v>63</v>
      </c>
      <c r="J5364" t="s">
        <v>170</v>
      </c>
      <c r="K5364" s="8" t="str">
        <f>IFERROR(IF(AND(VLOOKUP($C5364,Hes!$A:$B, 1, FALSE), $M5364&lt;&gt;" "), "Ingresada", "Falta Ingresar"), " ")</f>
        <v>Falta Ingresar</v>
      </c>
      <c r="L5364" s="4" t="str">
        <f>IFERROR(VLOOKUP($C5364,Observaciones!$A:$B,2,FALSE)," ")</f>
        <v xml:space="preserve"> </v>
      </c>
      <c r="M5364" t="s">
        <v>681</v>
      </c>
      <c r="N5364" s="5" t="s">
        <v>841</v>
      </c>
      <c r="O5364" s="5">
        <v>30851115</v>
      </c>
      <c r="P5364" s="5">
        <v>375039</v>
      </c>
      <c r="Q5364" s="5">
        <v>71257</v>
      </c>
      <c r="R5364" s="5">
        <v>446296</v>
      </c>
    </row>
    <row r="5365" spans="1:18" x14ac:dyDescent="0.25">
      <c r="A5365" t="s">
        <v>512</v>
      </c>
      <c r="B5365" t="s">
        <v>494</v>
      </c>
      <c r="C5365">
        <v>96853150</v>
      </c>
      <c r="D5365">
        <v>38</v>
      </c>
      <c r="E5365">
        <v>30852073</v>
      </c>
      <c r="F5365" t="s">
        <v>660</v>
      </c>
      <c r="G5365" s="1">
        <v>45233</v>
      </c>
      <c r="H5365">
        <v>5411675</v>
      </c>
      <c r="I5365">
        <v>63</v>
      </c>
      <c r="J5365" t="s">
        <v>170</v>
      </c>
      <c r="K5365" s="8" t="str">
        <f>IFERROR(IF(AND(VLOOKUP($C5365,Hes!$A:$B, 1, FALSE), $M5365&lt;&gt;" "), "Ingresada", "Falta Ingresar"), " ")</f>
        <v>Falta Ingresar</v>
      </c>
      <c r="L5365" s="4" t="str">
        <f>IFERROR(VLOOKUP($C5365,Observaciones!$A:$B,2,FALSE)," ")</f>
        <v xml:space="preserve"> </v>
      </c>
      <c r="M5365" t="s">
        <v>681</v>
      </c>
      <c r="N5365" s="5" t="s">
        <v>841</v>
      </c>
      <c r="O5365" s="5">
        <v>30852073</v>
      </c>
      <c r="P5365" s="5">
        <v>98182</v>
      </c>
      <c r="Q5365" s="5">
        <v>18655</v>
      </c>
      <c r="R5365" s="5">
        <v>116837</v>
      </c>
    </row>
    <row r="5366" spans="1:18" x14ac:dyDescent="0.25">
      <c r="A5366" t="s">
        <v>512</v>
      </c>
      <c r="B5366" t="s">
        <v>494</v>
      </c>
      <c r="C5366">
        <v>96853150</v>
      </c>
      <c r="D5366">
        <v>5</v>
      </c>
      <c r="E5366">
        <v>30851215</v>
      </c>
      <c r="F5366" t="s">
        <v>660</v>
      </c>
      <c r="G5366" s="1">
        <v>45233</v>
      </c>
      <c r="H5366">
        <v>5411734</v>
      </c>
      <c r="I5366">
        <v>63</v>
      </c>
      <c r="J5366" t="s">
        <v>170</v>
      </c>
      <c r="K5366" s="8" t="str">
        <f>IFERROR(IF(AND(VLOOKUP($C5366,Hes!$A:$B, 1, FALSE), $M5366&lt;&gt;" "), "Ingresada", "Falta Ingresar"), " ")</f>
        <v>Falta Ingresar</v>
      </c>
      <c r="L5366" s="4" t="str">
        <f>IFERROR(VLOOKUP($C5366,Observaciones!$A:$B,2,FALSE)," ")</f>
        <v xml:space="preserve"> </v>
      </c>
      <c r="M5366" t="s">
        <v>681</v>
      </c>
      <c r="N5366" s="5" t="s">
        <v>841</v>
      </c>
      <c r="O5366" s="5">
        <v>30851215</v>
      </c>
      <c r="P5366" s="5">
        <v>80722</v>
      </c>
      <c r="Q5366" s="5">
        <v>15337</v>
      </c>
      <c r="R5366" s="5">
        <v>96059</v>
      </c>
    </row>
    <row r="5367" spans="1:18" x14ac:dyDescent="0.25">
      <c r="A5367" t="s">
        <v>512</v>
      </c>
      <c r="B5367" t="s">
        <v>494</v>
      </c>
      <c r="C5367">
        <v>96853150</v>
      </c>
      <c r="D5367">
        <v>5</v>
      </c>
      <c r="E5367">
        <v>30852103</v>
      </c>
      <c r="F5367" t="s">
        <v>660</v>
      </c>
      <c r="G5367" s="1">
        <v>45233</v>
      </c>
      <c r="H5367">
        <v>5411943</v>
      </c>
      <c r="I5367">
        <v>63</v>
      </c>
      <c r="J5367" t="s">
        <v>170</v>
      </c>
      <c r="K5367" s="8" t="str">
        <f>IFERROR(IF(AND(VLOOKUP($C5367,Hes!$A:$B, 1, FALSE), $M5367&lt;&gt;" "), "Ingresada", "Falta Ingresar"), " ")</f>
        <v>Falta Ingresar</v>
      </c>
      <c r="L5367" s="4" t="str">
        <f>IFERROR(VLOOKUP($C5367,Observaciones!$A:$B,2,FALSE)," ")</f>
        <v xml:space="preserve"> </v>
      </c>
      <c r="M5367" t="s">
        <v>681</v>
      </c>
      <c r="N5367" s="5" t="s">
        <v>841</v>
      </c>
      <c r="O5367" s="5">
        <v>30852103</v>
      </c>
      <c r="P5367" s="5">
        <v>82504</v>
      </c>
      <c r="Q5367" s="5">
        <v>15676</v>
      </c>
      <c r="R5367" s="5">
        <v>98180</v>
      </c>
    </row>
    <row r="5368" spans="1:18" x14ac:dyDescent="0.25">
      <c r="A5368" t="s">
        <v>512</v>
      </c>
      <c r="B5368" t="s">
        <v>494</v>
      </c>
      <c r="C5368">
        <v>96853150</v>
      </c>
      <c r="D5368">
        <v>6</v>
      </c>
      <c r="E5368">
        <v>30852098</v>
      </c>
      <c r="F5368" t="s">
        <v>660</v>
      </c>
      <c r="G5368" s="1">
        <v>45233</v>
      </c>
      <c r="H5368">
        <v>5412054</v>
      </c>
      <c r="I5368">
        <v>63</v>
      </c>
      <c r="J5368" t="s">
        <v>170</v>
      </c>
      <c r="K5368" s="8" t="str">
        <f>IFERROR(IF(AND(VLOOKUP($C5368,Hes!$A:$B, 1, FALSE), $M5368&lt;&gt;" "), "Ingresada", "Falta Ingresar"), " ")</f>
        <v>Falta Ingresar</v>
      </c>
      <c r="L5368" s="4" t="str">
        <f>IFERROR(VLOOKUP($C5368,Observaciones!$A:$B,2,FALSE)," ")</f>
        <v xml:space="preserve"> </v>
      </c>
      <c r="M5368" t="s">
        <v>681</v>
      </c>
      <c r="N5368" s="5" t="s">
        <v>841</v>
      </c>
      <c r="O5368" s="5">
        <v>30852098</v>
      </c>
      <c r="P5368" s="5">
        <v>25659</v>
      </c>
      <c r="Q5368" s="5">
        <v>4875</v>
      </c>
      <c r="R5368" s="5">
        <v>30534</v>
      </c>
    </row>
    <row r="5369" spans="1:18" x14ac:dyDescent="0.25">
      <c r="A5369" t="s">
        <v>512</v>
      </c>
      <c r="B5369" t="s">
        <v>494</v>
      </c>
      <c r="C5369">
        <v>96853150</v>
      </c>
      <c r="D5369">
        <v>16</v>
      </c>
      <c r="E5369">
        <v>30851540</v>
      </c>
      <c r="F5369" t="s">
        <v>660</v>
      </c>
      <c r="G5369" s="1">
        <v>45233</v>
      </c>
      <c r="H5369">
        <v>5412199</v>
      </c>
      <c r="I5369">
        <v>63</v>
      </c>
      <c r="J5369" t="s">
        <v>170</v>
      </c>
      <c r="K5369" s="8" t="str">
        <f>IFERROR(IF(AND(VLOOKUP($C5369,Hes!$A:$B, 1, FALSE), $M5369&lt;&gt;" "), "Ingresada", "Falta Ingresar"), " ")</f>
        <v>Falta Ingresar</v>
      </c>
      <c r="L5369" s="4" t="str">
        <f>IFERROR(VLOOKUP($C5369,Observaciones!$A:$B,2,FALSE)," ")</f>
        <v xml:space="preserve"> </v>
      </c>
      <c r="M5369" t="s">
        <v>681</v>
      </c>
      <c r="N5369" s="5" t="s">
        <v>841</v>
      </c>
      <c r="O5369" s="5">
        <v>30851540</v>
      </c>
      <c r="P5369" s="5">
        <v>28146</v>
      </c>
      <c r="Q5369" s="5">
        <v>5348</v>
      </c>
      <c r="R5369" s="5">
        <v>33494</v>
      </c>
    </row>
    <row r="5370" spans="1:18" x14ac:dyDescent="0.25">
      <c r="A5370" t="s">
        <v>512</v>
      </c>
      <c r="B5370" t="s">
        <v>494</v>
      </c>
      <c r="C5370">
        <v>96853150</v>
      </c>
      <c r="D5370">
        <v>10</v>
      </c>
      <c r="E5370">
        <v>30852125</v>
      </c>
      <c r="F5370" t="s">
        <v>660</v>
      </c>
      <c r="G5370" s="1">
        <v>45236</v>
      </c>
      <c r="H5370">
        <v>5412360</v>
      </c>
      <c r="I5370">
        <v>63</v>
      </c>
      <c r="J5370" t="s">
        <v>170</v>
      </c>
      <c r="K5370" s="8" t="str">
        <f>IFERROR(IF(AND(VLOOKUP($C5370,Hes!$A:$B, 1, FALSE), $M5370&lt;&gt;" "), "Ingresada", "Falta Ingresar"), " ")</f>
        <v>Falta Ingresar</v>
      </c>
      <c r="L5370" s="4" t="str">
        <f>IFERROR(VLOOKUP($C5370,Observaciones!$A:$B,2,FALSE)," ")</f>
        <v xml:space="preserve"> </v>
      </c>
      <c r="M5370" t="s">
        <v>681</v>
      </c>
      <c r="N5370" s="5" t="s">
        <v>841</v>
      </c>
      <c r="O5370" s="5">
        <v>30852125</v>
      </c>
      <c r="P5370" s="5">
        <v>120538</v>
      </c>
      <c r="Q5370" s="5">
        <v>22902</v>
      </c>
      <c r="R5370" s="5">
        <v>143440</v>
      </c>
    </row>
    <row r="5371" spans="1:18" x14ac:dyDescent="0.25">
      <c r="A5371" t="s">
        <v>512</v>
      </c>
      <c r="B5371" t="s">
        <v>494</v>
      </c>
      <c r="C5371">
        <v>96853150</v>
      </c>
      <c r="D5371">
        <v>5</v>
      </c>
      <c r="E5371">
        <v>30852080</v>
      </c>
      <c r="F5371" t="s">
        <v>660</v>
      </c>
      <c r="G5371" s="1">
        <v>45236</v>
      </c>
      <c r="H5371">
        <v>5413176</v>
      </c>
      <c r="I5371">
        <v>63</v>
      </c>
      <c r="J5371" t="s">
        <v>170</v>
      </c>
      <c r="K5371" s="8" t="str">
        <f>IFERROR(IF(AND(VLOOKUP($C5371,Hes!$A:$B, 1, FALSE), $M5371&lt;&gt;" "), "Ingresada", "Falta Ingresar"), " ")</f>
        <v>Falta Ingresar</v>
      </c>
      <c r="L5371" s="4" t="str">
        <f>IFERROR(VLOOKUP($C5371,Observaciones!$A:$B,2,FALSE)," ")</f>
        <v xml:space="preserve"> </v>
      </c>
      <c r="M5371" t="s">
        <v>681</v>
      </c>
      <c r="N5371" s="5" t="s">
        <v>841</v>
      </c>
      <c r="O5371" s="5">
        <v>30852080</v>
      </c>
      <c r="P5371" s="5">
        <v>119547</v>
      </c>
      <c r="Q5371" s="5">
        <v>22714</v>
      </c>
      <c r="R5371" s="5">
        <v>142261</v>
      </c>
    </row>
    <row r="5372" spans="1:18" x14ac:dyDescent="0.25">
      <c r="A5372" t="s">
        <v>512</v>
      </c>
      <c r="B5372" t="s">
        <v>494</v>
      </c>
      <c r="C5372">
        <v>96853150</v>
      </c>
      <c r="D5372">
        <v>38</v>
      </c>
      <c r="E5372">
        <v>30850583</v>
      </c>
      <c r="F5372" t="s">
        <v>660</v>
      </c>
      <c r="G5372" s="1">
        <v>45236</v>
      </c>
      <c r="H5372">
        <v>5413234</v>
      </c>
      <c r="I5372">
        <v>63</v>
      </c>
      <c r="J5372" t="s">
        <v>170</v>
      </c>
      <c r="K5372" s="8" t="str">
        <f>IFERROR(IF(AND(VLOOKUP($C5372,Hes!$A:$B, 1, FALSE), $M5372&lt;&gt;" "), "Ingresada", "Falta Ingresar"), " ")</f>
        <v>Falta Ingresar</v>
      </c>
      <c r="L5372" s="4" t="str">
        <f>IFERROR(VLOOKUP($C5372,Observaciones!$A:$B,2,FALSE)," ")</f>
        <v xml:space="preserve"> </v>
      </c>
      <c r="M5372" t="s">
        <v>681</v>
      </c>
      <c r="N5372" s="5" t="s">
        <v>841</v>
      </c>
      <c r="O5372" s="5">
        <v>30850583</v>
      </c>
      <c r="P5372" s="5">
        <v>443143</v>
      </c>
      <c r="Q5372" s="5">
        <v>84197</v>
      </c>
      <c r="R5372" s="5">
        <v>530093</v>
      </c>
    </row>
    <row r="5373" spans="1:18" x14ac:dyDescent="0.25">
      <c r="A5373" t="s">
        <v>512</v>
      </c>
      <c r="B5373" t="s">
        <v>494</v>
      </c>
      <c r="C5373">
        <v>96853150</v>
      </c>
      <c r="D5373">
        <v>33</v>
      </c>
      <c r="E5373">
        <v>30854653</v>
      </c>
      <c r="F5373" t="s">
        <v>660</v>
      </c>
      <c r="G5373" s="1">
        <v>45236</v>
      </c>
      <c r="H5373">
        <v>5413238</v>
      </c>
      <c r="I5373">
        <v>63</v>
      </c>
      <c r="J5373" t="s">
        <v>170</v>
      </c>
      <c r="K5373" s="8" t="str">
        <f>IFERROR(IF(AND(VLOOKUP($C5373,Hes!$A:$B, 1, FALSE), $M5373&lt;&gt;" "), "Ingresada", "Falta Ingresar"), " ")</f>
        <v>Falta Ingresar</v>
      </c>
      <c r="L5373" s="4" t="str">
        <f>IFERROR(VLOOKUP($C5373,Observaciones!$A:$B,2,FALSE)," ")</f>
        <v xml:space="preserve"> </v>
      </c>
      <c r="M5373" t="s">
        <v>681</v>
      </c>
      <c r="N5373" s="5" t="s">
        <v>841</v>
      </c>
      <c r="O5373" s="5">
        <v>30854653</v>
      </c>
      <c r="P5373" s="5">
        <v>264057</v>
      </c>
      <c r="Q5373" s="5">
        <v>50171</v>
      </c>
      <c r="R5373" s="5">
        <v>314228</v>
      </c>
    </row>
    <row r="5374" spans="1:18" x14ac:dyDescent="0.25">
      <c r="A5374" t="s">
        <v>512</v>
      </c>
      <c r="B5374" t="s">
        <v>494</v>
      </c>
      <c r="C5374">
        <v>96853150</v>
      </c>
      <c r="D5374">
        <v>13</v>
      </c>
      <c r="E5374">
        <v>30850066</v>
      </c>
      <c r="F5374" t="s">
        <v>660</v>
      </c>
      <c r="G5374" s="1">
        <v>45236</v>
      </c>
      <c r="H5374">
        <v>5413499</v>
      </c>
      <c r="I5374">
        <v>63</v>
      </c>
      <c r="J5374" t="s">
        <v>170</v>
      </c>
      <c r="K5374" s="8" t="str">
        <f>IFERROR(IF(AND(VLOOKUP($C5374,Hes!$A:$B, 1, FALSE), $M5374&lt;&gt;" "), "Ingresada", "Falta Ingresar"), " ")</f>
        <v>Falta Ingresar</v>
      </c>
      <c r="L5374" s="4" t="str">
        <f>IFERROR(VLOOKUP($C5374,Observaciones!$A:$B,2,FALSE)," ")</f>
        <v xml:space="preserve"> </v>
      </c>
      <c r="M5374" t="s">
        <v>681</v>
      </c>
      <c r="N5374" s="5" t="s">
        <v>841</v>
      </c>
      <c r="O5374" s="5">
        <v>30850066</v>
      </c>
      <c r="P5374" s="5">
        <v>114726</v>
      </c>
      <c r="Q5374" s="5">
        <v>21798</v>
      </c>
      <c r="R5374" s="5">
        <v>136524</v>
      </c>
    </row>
    <row r="5375" spans="1:18" x14ac:dyDescent="0.25">
      <c r="A5375" t="s">
        <v>512</v>
      </c>
      <c r="B5375" t="s">
        <v>494</v>
      </c>
      <c r="C5375">
        <v>96853150</v>
      </c>
      <c r="D5375">
        <v>13</v>
      </c>
      <c r="E5375">
        <v>30850066</v>
      </c>
      <c r="F5375" t="s">
        <v>660</v>
      </c>
      <c r="G5375" s="1">
        <v>45236</v>
      </c>
      <c r="H5375">
        <v>5413500</v>
      </c>
      <c r="I5375">
        <v>63</v>
      </c>
      <c r="J5375" t="s">
        <v>170</v>
      </c>
      <c r="K5375" s="8" t="str">
        <f>IFERROR(IF(AND(VLOOKUP($C5375,Hes!$A:$B, 1, FALSE), $M5375&lt;&gt;" "), "Ingresada", "Falta Ingresar"), " ")</f>
        <v>Falta Ingresar</v>
      </c>
      <c r="L5375" s="4" t="str">
        <f>IFERROR(VLOOKUP($C5375,Observaciones!$A:$B,2,FALSE)," ")</f>
        <v xml:space="preserve"> </v>
      </c>
      <c r="M5375" t="s">
        <v>681</v>
      </c>
      <c r="N5375" s="5" t="s">
        <v>841</v>
      </c>
      <c r="O5375" s="5">
        <v>30850066</v>
      </c>
      <c r="P5375" s="5">
        <v>2687</v>
      </c>
      <c r="Q5375" s="5">
        <v>511</v>
      </c>
      <c r="R5375" s="5">
        <v>3198</v>
      </c>
    </row>
    <row r="5376" spans="1:18" x14ac:dyDescent="0.25">
      <c r="A5376" t="s">
        <v>512</v>
      </c>
      <c r="B5376" t="s">
        <v>494</v>
      </c>
      <c r="C5376">
        <v>96853150</v>
      </c>
      <c r="D5376">
        <v>33</v>
      </c>
      <c r="E5376">
        <v>30854956</v>
      </c>
      <c r="F5376" t="s">
        <v>660</v>
      </c>
      <c r="G5376" s="1">
        <v>45236</v>
      </c>
      <c r="H5376">
        <v>5413578</v>
      </c>
      <c r="I5376">
        <v>63</v>
      </c>
      <c r="J5376" t="s">
        <v>170</v>
      </c>
      <c r="K5376" s="8" t="str">
        <f>IFERROR(IF(AND(VLOOKUP($C5376,Hes!$A:$B, 1, FALSE), $M5376&lt;&gt;" "), "Ingresada", "Falta Ingresar"), " ")</f>
        <v>Falta Ingresar</v>
      </c>
      <c r="L5376" s="4" t="str">
        <f>IFERROR(VLOOKUP($C5376,Observaciones!$A:$B,2,FALSE)," ")</f>
        <v xml:space="preserve"> </v>
      </c>
      <c r="M5376" t="s">
        <v>681</v>
      </c>
      <c r="N5376" s="5" t="s">
        <v>841</v>
      </c>
      <c r="O5376" s="5">
        <v>30854956</v>
      </c>
      <c r="P5376" s="5">
        <v>172854</v>
      </c>
      <c r="Q5376" s="5">
        <v>32842</v>
      </c>
      <c r="R5376" s="5">
        <v>205696</v>
      </c>
    </row>
    <row r="5377" spans="1:18" x14ac:dyDescent="0.25">
      <c r="A5377" t="s">
        <v>512</v>
      </c>
      <c r="B5377" t="s">
        <v>494</v>
      </c>
      <c r="C5377">
        <v>96853150</v>
      </c>
      <c r="D5377">
        <v>29</v>
      </c>
      <c r="E5377">
        <v>30855625</v>
      </c>
      <c r="F5377" t="s">
        <v>660</v>
      </c>
      <c r="G5377" s="1">
        <v>45236</v>
      </c>
      <c r="H5377">
        <v>5413619</v>
      </c>
      <c r="I5377">
        <v>63</v>
      </c>
      <c r="J5377" t="s">
        <v>170</v>
      </c>
      <c r="K5377" s="8" t="str">
        <f>IFERROR(IF(AND(VLOOKUP($C5377,Hes!$A:$B, 1, FALSE), $M5377&lt;&gt;" "), "Ingresada", "Falta Ingresar"), " ")</f>
        <v>Falta Ingresar</v>
      </c>
      <c r="L5377" s="4" t="str">
        <f>IFERROR(VLOOKUP($C5377,Observaciones!$A:$B,2,FALSE)," ")</f>
        <v xml:space="preserve"> </v>
      </c>
      <c r="M5377" t="s">
        <v>681</v>
      </c>
      <c r="N5377" s="5" t="s">
        <v>841</v>
      </c>
      <c r="O5377" s="5">
        <v>30855625</v>
      </c>
      <c r="P5377" s="5">
        <v>518766</v>
      </c>
      <c r="Q5377" s="5">
        <v>98566</v>
      </c>
      <c r="R5377" s="5">
        <v>618774</v>
      </c>
    </row>
    <row r="5378" spans="1:18" x14ac:dyDescent="0.25">
      <c r="A5378" t="s">
        <v>512</v>
      </c>
      <c r="B5378" t="s">
        <v>494</v>
      </c>
      <c r="C5378">
        <v>96853150</v>
      </c>
      <c r="D5378">
        <v>33</v>
      </c>
      <c r="E5378">
        <v>30854516</v>
      </c>
      <c r="F5378" t="s">
        <v>660</v>
      </c>
      <c r="G5378" s="1">
        <v>45236</v>
      </c>
      <c r="H5378">
        <v>5413680</v>
      </c>
      <c r="I5378">
        <v>63</v>
      </c>
      <c r="J5378" t="s">
        <v>170</v>
      </c>
      <c r="K5378" s="8" t="str">
        <f>IFERROR(IF(AND(VLOOKUP($C5378,Hes!$A:$B, 1, FALSE), $M5378&lt;&gt;" "), "Ingresada", "Falta Ingresar"), " ")</f>
        <v>Falta Ingresar</v>
      </c>
      <c r="L5378" s="4" t="str">
        <f>IFERROR(VLOOKUP($C5378,Observaciones!$A:$B,2,FALSE)," ")</f>
        <v xml:space="preserve"> </v>
      </c>
      <c r="M5378" t="s">
        <v>681</v>
      </c>
      <c r="N5378" s="5" t="s">
        <v>841</v>
      </c>
      <c r="O5378" s="5">
        <v>30854516</v>
      </c>
      <c r="P5378" s="5">
        <v>247359</v>
      </c>
      <c r="Q5378" s="5">
        <v>46998</v>
      </c>
      <c r="R5378" s="5">
        <v>297401</v>
      </c>
    </row>
    <row r="5379" spans="1:18" x14ac:dyDescent="0.25">
      <c r="A5379" t="s">
        <v>512</v>
      </c>
      <c r="B5379" t="s">
        <v>494</v>
      </c>
      <c r="C5379">
        <v>96853150</v>
      </c>
      <c r="D5379">
        <v>31</v>
      </c>
      <c r="E5379">
        <v>30858064</v>
      </c>
      <c r="F5379" t="s">
        <v>660</v>
      </c>
      <c r="G5379" s="1">
        <v>45236</v>
      </c>
      <c r="H5379">
        <v>5413783</v>
      </c>
      <c r="I5379">
        <v>63</v>
      </c>
      <c r="J5379" t="s">
        <v>170</v>
      </c>
      <c r="K5379" s="8" t="str">
        <f>IFERROR(IF(AND(VLOOKUP($C5379,Hes!$A:$B, 1, FALSE), $M5379&lt;&gt;" "), "Ingresada", "Falta Ingresar"), " ")</f>
        <v>Falta Ingresar</v>
      </c>
      <c r="L5379" s="4" t="str">
        <f>IFERROR(VLOOKUP($C5379,Observaciones!$A:$B,2,FALSE)," ")</f>
        <v xml:space="preserve"> </v>
      </c>
      <c r="M5379" t="s">
        <v>681</v>
      </c>
      <c r="N5379" s="5" t="s">
        <v>841</v>
      </c>
      <c r="O5379" s="5">
        <v>30858064</v>
      </c>
      <c r="P5379" s="5">
        <v>288222</v>
      </c>
      <c r="Q5379" s="5">
        <v>54762</v>
      </c>
      <c r="R5379" s="5">
        <v>345869</v>
      </c>
    </row>
    <row r="5380" spans="1:18" x14ac:dyDescent="0.25">
      <c r="A5380" t="s">
        <v>512</v>
      </c>
      <c r="B5380" t="s">
        <v>494</v>
      </c>
      <c r="C5380">
        <v>96853150</v>
      </c>
      <c r="D5380">
        <v>31</v>
      </c>
      <c r="E5380">
        <v>30858064</v>
      </c>
      <c r="F5380" t="s">
        <v>660</v>
      </c>
      <c r="G5380" s="1">
        <v>45236</v>
      </c>
      <c r="H5380">
        <v>5413784</v>
      </c>
      <c r="I5380">
        <v>63</v>
      </c>
      <c r="J5380" t="s">
        <v>170</v>
      </c>
      <c r="K5380" s="8" t="str">
        <f>IFERROR(IF(AND(VLOOKUP($C5380,Hes!$A:$B, 1, FALSE), $M5380&lt;&gt;" "), "Ingresada", "Falta Ingresar"), " ")</f>
        <v>Falta Ingresar</v>
      </c>
      <c r="L5380" s="4" t="str">
        <f>IFERROR(VLOOKUP($C5380,Observaciones!$A:$B,2,FALSE)," ")</f>
        <v xml:space="preserve"> </v>
      </c>
      <c r="M5380" t="s">
        <v>681</v>
      </c>
      <c r="N5380" s="5" t="s">
        <v>841</v>
      </c>
      <c r="O5380" s="5">
        <v>30858064</v>
      </c>
      <c r="P5380" s="5">
        <v>11902</v>
      </c>
      <c r="Q5380" s="5">
        <v>2261</v>
      </c>
      <c r="R5380" s="5">
        <v>14163</v>
      </c>
    </row>
    <row r="5381" spans="1:18" x14ac:dyDescent="0.25">
      <c r="A5381" t="s">
        <v>512</v>
      </c>
      <c r="B5381" t="s">
        <v>494</v>
      </c>
      <c r="C5381">
        <v>96853150</v>
      </c>
      <c r="D5381">
        <v>7</v>
      </c>
      <c r="E5381">
        <v>30855027</v>
      </c>
      <c r="F5381" t="s">
        <v>660</v>
      </c>
      <c r="G5381" s="1">
        <v>45236</v>
      </c>
      <c r="H5381">
        <v>5413793</v>
      </c>
      <c r="I5381">
        <v>63</v>
      </c>
      <c r="J5381" t="s">
        <v>170</v>
      </c>
      <c r="K5381" s="8" t="str">
        <f>IFERROR(IF(AND(VLOOKUP($C5381,Hes!$A:$B, 1, FALSE), $M5381&lt;&gt;" "), "Ingresada", "Falta Ingresar"), " ")</f>
        <v>Falta Ingresar</v>
      </c>
      <c r="L5381" s="4" t="str">
        <f>IFERROR(VLOOKUP($C5381,Observaciones!$A:$B,2,FALSE)," ")</f>
        <v xml:space="preserve"> </v>
      </c>
      <c r="M5381" t="s">
        <v>681</v>
      </c>
      <c r="N5381" s="5" t="s">
        <v>841</v>
      </c>
      <c r="O5381" s="5">
        <v>30855027</v>
      </c>
      <c r="P5381" s="5">
        <v>259143</v>
      </c>
      <c r="Q5381" s="5">
        <v>49237</v>
      </c>
      <c r="R5381" s="5">
        <v>308380</v>
      </c>
    </row>
    <row r="5382" spans="1:18" x14ac:dyDescent="0.25">
      <c r="A5382" t="s">
        <v>512</v>
      </c>
      <c r="B5382" t="s">
        <v>494</v>
      </c>
      <c r="C5382">
        <v>96853150</v>
      </c>
      <c r="D5382">
        <v>31</v>
      </c>
      <c r="E5382">
        <v>30859578</v>
      </c>
      <c r="F5382" t="s">
        <v>660</v>
      </c>
      <c r="G5382" s="1">
        <v>45237</v>
      </c>
      <c r="H5382">
        <v>5414249</v>
      </c>
      <c r="I5382">
        <v>63</v>
      </c>
      <c r="J5382" t="s">
        <v>170</v>
      </c>
      <c r="K5382" s="8" t="str">
        <f>IFERROR(IF(AND(VLOOKUP($C5382,Hes!$A:$B, 1, FALSE), $M5382&lt;&gt;" "), "Ingresada", "Falta Ingresar"), " ")</f>
        <v>Falta Ingresar</v>
      </c>
      <c r="L5382" s="4" t="str">
        <f>IFERROR(VLOOKUP($C5382,Observaciones!$A:$B,2,FALSE)," ")</f>
        <v xml:space="preserve"> </v>
      </c>
      <c r="M5382" t="s">
        <v>681</v>
      </c>
      <c r="N5382" s="5" t="s">
        <v>841</v>
      </c>
      <c r="O5382" s="5">
        <v>30859578</v>
      </c>
      <c r="P5382" s="5">
        <v>164030</v>
      </c>
      <c r="Q5382" s="5">
        <v>31166</v>
      </c>
      <c r="R5382" s="5">
        <v>195196</v>
      </c>
    </row>
    <row r="5383" spans="1:18" x14ac:dyDescent="0.25">
      <c r="A5383" t="s">
        <v>512</v>
      </c>
      <c r="B5383" t="s">
        <v>494</v>
      </c>
      <c r="C5383">
        <v>96853150</v>
      </c>
      <c r="D5383">
        <v>22</v>
      </c>
      <c r="E5383">
        <v>30864019</v>
      </c>
      <c r="F5383" t="s">
        <v>660</v>
      </c>
      <c r="G5383" s="1">
        <v>45238</v>
      </c>
      <c r="H5383">
        <v>5415655</v>
      </c>
      <c r="I5383">
        <v>63</v>
      </c>
      <c r="J5383" t="s">
        <v>170</v>
      </c>
      <c r="K5383" s="8" t="str">
        <f>IFERROR(IF(AND(VLOOKUP($C5383,Hes!$A:$B, 1, FALSE), $M5383&lt;&gt;" "), "Ingresada", "Falta Ingresar"), " ")</f>
        <v>Falta Ingresar</v>
      </c>
      <c r="L5383" s="4" t="str">
        <f>IFERROR(VLOOKUP($C5383,Observaciones!$A:$B,2,FALSE)," ")</f>
        <v xml:space="preserve"> </v>
      </c>
      <c r="M5383" t="s">
        <v>681</v>
      </c>
      <c r="N5383" s="5" t="s">
        <v>841</v>
      </c>
      <c r="O5383" s="5">
        <v>30864019</v>
      </c>
      <c r="P5383" s="5">
        <v>123568</v>
      </c>
      <c r="Q5383" s="5">
        <v>23478</v>
      </c>
      <c r="R5383" s="5">
        <v>147046</v>
      </c>
    </row>
    <row r="5384" spans="1:18" x14ac:dyDescent="0.25">
      <c r="A5384" t="s">
        <v>512</v>
      </c>
      <c r="B5384" t="s">
        <v>494</v>
      </c>
      <c r="C5384">
        <v>96853150</v>
      </c>
      <c r="D5384">
        <v>39</v>
      </c>
      <c r="E5384">
        <v>30863637</v>
      </c>
      <c r="F5384" t="s">
        <v>660</v>
      </c>
      <c r="G5384" s="1">
        <v>45238</v>
      </c>
      <c r="H5384">
        <v>5415674</v>
      </c>
      <c r="I5384">
        <v>63</v>
      </c>
      <c r="J5384" t="s">
        <v>170</v>
      </c>
      <c r="K5384" s="8" t="str">
        <f>IFERROR(IF(AND(VLOOKUP($C5384,Hes!$A:$B, 1, FALSE), $M5384&lt;&gt;" "), "Ingresada", "Falta Ingresar"), " ")</f>
        <v>Falta Ingresar</v>
      </c>
      <c r="L5384" s="4" t="str">
        <f>IFERROR(VLOOKUP($C5384,Observaciones!$A:$B,2,FALSE)," ")</f>
        <v xml:space="preserve"> </v>
      </c>
      <c r="M5384" t="s">
        <v>681</v>
      </c>
      <c r="N5384" s="5" t="s">
        <v>841</v>
      </c>
      <c r="O5384" s="5">
        <v>30863637</v>
      </c>
      <c r="P5384" s="5">
        <v>142777</v>
      </c>
      <c r="Q5384" s="5">
        <v>27128</v>
      </c>
      <c r="R5384" s="5">
        <v>169905</v>
      </c>
    </row>
    <row r="5385" spans="1:18" x14ac:dyDescent="0.25">
      <c r="F5385" t="s">
        <v>507</v>
      </c>
      <c r="K5385" t="str">
        <f>IFERROR(IF(AND(VLOOKUP($C5385,Hes!$A:$B, 1, FALSE), $M5385&lt;&gt;" "), "Ingresada", "Falta Ingresar"), " ")</f>
        <v xml:space="preserve"> </v>
      </c>
      <c r="L5385" s="4" t="str">
        <f>IFERROR(VLOOKUP($C5385,Observaciones!$A:$B,2,FALSE)," ")</f>
        <v xml:space="preserve"> </v>
      </c>
      <c r="M5385" t="s">
        <v>681</v>
      </c>
      <c r="P5385" s="5">
        <v>4720530</v>
      </c>
      <c r="Q5385" s="5">
        <v>896901</v>
      </c>
      <c r="R5385" s="5">
        <v>5627555</v>
      </c>
    </row>
    <row r="5386" spans="1:18" x14ac:dyDescent="0.25">
      <c r="A5386" t="s">
        <v>503</v>
      </c>
      <c r="B5386" t="s">
        <v>494</v>
      </c>
      <c r="C5386">
        <v>96853800</v>
      </c>
      <c r="D5386">
        <v>0</v>
      </c>
      <c r="E5386" t="s">
        <v>1809</v>
      </c>
      <c r="F5386" t="s">
        <v>1810</v>
      </c>
      <c r="G5386" s="1">
        <v>45233</v>
      </c>
      <c r="H5386">
        <v>5411552</v>
      </c>
      <c r="I5386">
        <v>100</v>
      </c>
      <c r="J5386" t="s">
        <v>384</v>
      </c>
      <c r="K5386" t="str">
        <f>IFERROR(IF(AND(VLOOKUP($C5386,Hes!$A:$B, 1, FALSE), $M5386&lt;&gt;" "), "Ingresada", "Falta Ingresar"), " ")</f>
        <v xml:space="preserve"> </v>
      </c>
      <c r="L5386" s="4" t="s">
        <v>681</v>
      </c>
      <c r="M5386" t="s">
        <v>681</v>
      </c>
      <c r="O5386" s="5">
        <v>30850767</v>
      </c>
      <c r="P5386" s="5">
        <v>12276</v>
      </c>
      <c r="Q5386" s="5">
        <v>2332</v>
      </c>
      <c r="R5386" s="5">
        <v>14608</v>
      </c>
    </row>
    <row r="5387" spans="1:18" x14ac:dyDescent="0.25">
      <c r="A5387" t="s">
        <v>503</v>
      </c>
      <c r="B5387" t="s">
        <v>494</v>
      </c>
      <c r="C5387">
        <v>96853800</v>
      </c>
      <c r="D5387">
        <v>0</v>
      </c>
      <c r="E5387" t="s">
        <v>1811</v>
      </c>
      <c r="F5387" t="s">
        <v>1810</v>
      </c>
      <c r="G5387" s="1">
        <v>45236</v>
      </c>
      <c r="H5387">
        <v>5413756</v>
      </c>
      <c r="I5387">
        <v>100</v>
      </c>
      <c r="J5387" t="s">
        <v>384</v>
      </c>
      <c r="K5387" t="str">
        <f>IFERROR(IF(AND(VLOOKUP($C5387,Hes!$A:$B, 1, FALSE), $M5387&lt;&gt;" "), "Ingresada", "Falta Ingresar"), " ")</f>
        <v xml:space="preserve"> </v>
      </c>
      <c r="L5387" s="4" t="s">
        <v>681</v>
      </c>
      <c r="M5387" t="s">
        <v>681</v>
      </c>
      <c r="O5387" s="5">
        <v>30843019</v>
      </c>
      <c r="P5387" s="5">
        <v>83424</v>
      </c>
      <c r="Q5387" s="5">
        <v>15851</v>
      </c>
      <c r="R5387" s="5">
        <v>99275</v>
      </c>
    </row>
    <row r="5388" spans="1:18" x14ac:dyDescent="0.25">
      <c r="F5388" t="s">
        <v>497</v>
      </c>
      <c r="K5388" t="str">
        <f>IFERROR(IF(AND(VLOOKUP($C5388,Hes!$A:$B, 1, FALSE), $M5388&lt;&gt;" "), "Ingresada", "Falta Ingresar"), " ")</f>
        <v xml:space="preserve"> </v>
      </c>
      <c r="L5388" s="4" t="str">
        <f>IFERROR(VLOOKUP($C5388,Observaciones!$A:$B,2,FALSE)," ")</f>
        <v xml:space="preserve"> </v>
      </c>
      <c r="M5388" t="s">
        <v>681</v>
      </c>
      <c r="P5388" s="5">
        <v>95700</v>
      </c>
      <c r="Q5388" s="5">
        <v>18183</v>
      </c>
      <c r="R5388" s="5">
        <v>113883</v>
      </c>
    </row>
    <row r="5389" spans="1:18" x14ac:dyDescent="0.25">
      <c r="A5389" t="s">
        <v>496</v>
      </c>
      <c r="B5389" t="s">
        <v>494</v>
      </c>
      <c r="C5389">
        <v>96862140</v>
      </c>
      <c r="D5389">
        <v>1</v>
      </c>
      <c r="E5389" t="s">
        <v>1812</v>
      </c>
      <c r="F5389" t="s">
        <v>1813</v>
      </c>
      <c r="G5389" s="1">
        <v>45234</v>
      </c>
      <c r="H5389">
        <v>5412852</v>
      </c>
      <c r="I5389">
        <v>16</v>
      </c>
      <c r="J5389" t="s">
        <v>330</v>
      </c>
      <c r="K5389" t="str">
        <f>IFERROR(IF(AND(VLOOKUP($C5389,Hes!$A:$B, 1, FALSE), $M5389&lt;&gt;" "), "Ingresada", "Falta Ingresar"), " ")</f>
        <v xml:space="preserve"> </v>
      </c>
      <c r="L5389" s="4" t="str">
        <f>IFERROR(VLOOKUP($C5389,Observaciones!$A:$B,2,FALSE)," ")</f>
        <v xml:space="preserve"> </v>
      </c>
      <c r="M5389" t="s">
        <v>681</v>
      </c>
      <c r="O5389" s="5">
        <v>30807605</v>
      </c>
      <c r="P5389" s="5">
        <v>107244</v>
      </c>
      <c r="Q5389" s="5">
        <v>20376</v>
      </c>
      <c r="R5389" s="5">
        <v>127620</v>
      </c>
    </row>
    <row r="5390" spans="1:18" x14ac:dyDescent="0.25">
      <c r="A5390" t="s">
        <v>496</v>
      </c>
      <c r="B5390" t="s">
        <v>494</v>
      </c>
      <c r="C5390">
        <v>96862140</v>
      </c>
      <c r="D5390">
        <v>4</v>
      </c>
      <c r="E5390" t="s">
        <v>1814</v>
      </c>
      <c r="F5390" t="s">
        <v>1813</v>
      </c>
      <c r="G5390" s="1">
        <v>45236</v>
      </c>
      <c r="H5390">
        <v>5413179</v>
      </c>
      <c r="I5390">
        <v>16</v>
      </c>
      <c r="J5390" t="s">
        <v>330</v>
      </c>
      <c r="K5390" t="str">
        <f>IFERROR(IF(AND(VLOOKUP($C5390,Hes!$A:$B, 1, FALSE), $M5390&lt;&gt;" "), "Ingresada", "Falta Ingresar"), " ")</f>
        <v xml:space="preserve"> </v>
      </c>
      <c r="L5390" s="4" t="str">
        <f>IFERROR(VLOOKUP($C5390,Observaciones!$A:$B,2,FALSE)," ")</f>
        <v xml:space="preserve"> </v>
      </c>
      <c r="M5390" t="s">
        <v>681</v>
      </c>
      <c r="O5390" s="5">
        <v>30778270</v>
      </c>
      <c r="P5390" s="5">
        <v>285500</v>
      </c>
      <c r="Q5390" s="5">
        <v>54245</v>
      </c>
      <c r="R5390" s="5">
        <v>339745</v>
      </c>
    </row>
    <row r="5391" spans="1:18" x14ac:dyDescent="0.25">
      <c r="F5391" t="s">
        <v>497</v>
      </c>
      <c r="K5391" t="str">
        <f>IFERROR(IF(AND(VLOOKUP($C5391,Hes!$A:$B, 1, FALSE), $M5391&lt;&gt;" "), "Ingresada", "Falta Ingresar"), " ")</f>
        <v xml:space="preserve"> </v>
      </c>
      <c r="L5391" s="4" t="str">
        <f>IFERROR(VLOOKUP($C5391,Observaciones!$A:$B,2,FALSE)," ")</f>
        <v xml:space="preserve"> </v>
      </c>
      <c r="M5391" t="s">
        <v>681</v>
      </c>
      <c r="P5391" s="5">
        <v>392744</v>
      </c>
      <c r="Q5391" s="5">
        <v>74621</v>
      </c>
      <c r="R5391" s="5">
        <v>467365</v>
      </c>
    </row>
    <row r="5392" spans="1:18" x14ac:dyDescent="0.25">
      <c r="A5392" t="s">
        <v>501</v>
      </c>
      <c r="B5392" t="s">
        <v>494</v>
      </c>
      <c r="C5392">
        <v>96870620</v>
      </c>
      <c r="D5392">
        <v>2</v>
      </c>
      <c r="E5392">
        <v>30848842</v>
      </c>
      <c r="F5392" t="s">
        <v>1815</v>
      </c>
      <c r="G5392" s="1">
        <v>45232</v>
      </c>
      <c r="H5392">
        <v>5411222</v>
      </c>
      <c r="I5392">
        <v>187</v>
      </c>
      <c r="J5392" t="s">
        <v>386</v>
      </c>
      <c r="K5392" t="str">
        <f>IFERROR(IF(AND(VLOOKUP($C5392,Hes!$A:$B, 1, FALSE), $M5392&lt;&gt;" "), "Ingresada", "Falta Ingresar"), " ")</f>
        <v xml:space="preserve"> </v>
      </c>
      <c r="L5392" s="4" t="str">
        <f>IFERROR(VLOOKUP($C5392,Observaciones!$A:$B,2,FALSE)," ")</f>
        <v xml:space="preserve"> </v>
      </c>
      <c r="M5392" t="s">
        <v>681</v>
      </c>
      <c r="O5392" s="5">
        <v>30848842</v>
      </c>
      <c r="P5392" s="5">
        <v>264573</v>
      </c>
      <c r="Q5392" s="5">
        <v>50269</v>
      </c>
      <c r="R5392" s="5">
        <v>314842</v>
      </c>
    </row>
    <row r="5393" spans="1:18" x14ac:dyDescent="0.25">
      <c r="A5393" t="s">
        <v>501</v>
      </c>
      <c r="B5393" t="s">
        <v>494</v>
      </c>
      <c r="C5393">
        <v>96870620</v>
      </c>
      <c r="D5393">
        <v>4</v>
      </c>
      <c r="E5393">
        <v>30848844</v>
      </c>
      <c r="F5393" t="s">
        <v>1815</v>
      </c>
      <c r="G5393" s="1">
        <v>45233</v>
      </c>
      <c r="H5393">
        <v>5411520</v>
      </c>
      <c r="I5393">
        <v>187</v>
      </c>
      <c r="J5393" t="s">
        <v>386</v>
      </c>
      <c r="K5393" t="str">
        <f>IFERROR(IF(AND(VLOOKUP($C5393,Hes!$A:$B, 1, FALSE), $M5393&lt;&gt;" "), "Ingresada", "Falta Ingresar"), " ")</f>
        <v xml:space="preserve"> </v>
      </c>
      <c r="L5393" s="4" t="str">
        <f>IFERROR(VLOOKUP($C5393,Observaciones!$A:$B,2,FALSE)," ")</f>
        <v xml:space="preserve"> </v>
      </c>
      <c r="M5393" t="s">
        <v>681</v>
      </c>
      <c r="O5393" s="5">
        <v>30848844</v>
      </c>
      <c r="P5393" s="5">
        <v>194678</v>
      </c>
      <c r="Q5393" s="5">
        <v>36989</v>
      </c>
      <c r="R5393" s="5">
        <v>231667</v>
      </c>
    </row>
    <row r="5394" spans="1:18" x14ac:dyDescent="0.25">
      <c r="F5394" t="s">
        <v>497</v>
      </c>
      <c r="K5394" t="str">
        <f>IFERROR(IF(AND(VLOOKUP($C5394,Hes!$A:$B, 1, FALSE), $M5394&lt;&gt;" "), "Ingresada", "Falta Ingresar"), " ")</f>
        <v xml:space="preserve"> </v>
      </c>
      <c r="L5394" s="4" t="str">
        <f>IFERROR(VLOOKUP($C5394,Observaciones!$A:$B,2,FALSE)," ")</f>
        <v xml:space="preserve"> </v>
      </c>
      <c r="M5394" t="s">
        <v>681</v>
      </c>
      <c r="P5394" s="5">
        <v>459251</v>
      </c>
      <c r="Q5394" s="5">
        <v>87258</v>
      </c>
      <c r="R5394" s="5">
        <v>546509</v>
      </c>
    </row>
    <row r="5395" spans="1:18" x14ac:dyDescent="0.25">
      <c r="A5395" t="s">
        <v>1816</v>
      </c>
      <c r="B5395" t="s">
        <v>494</v>
      </c>
      <c r="C5395">
        <v>96870780</v>
      </c>
      <c r="D5395">
        <v>1</v>
      </c>
      <c r="E5395" t="s">
        <v>1817</v>
      </c>
      <c r="F5395" t="s">
        <v>1818</v>
      </c>
      <c r="G5395" s="1">
        <v>45233</v>
      </c>
      <c r="H5395">
        <v>5411225</v>
      </c>
      <c r="I5395">
        <v>321</v>
      </c>
      <c r="J5395" t="s">
        <v>202</v>
      </c>
      <c r="K5395" s="8" t="str">
        <f>IFERROR(IF(AND(VLOOKUP($C5395,Hes!$A:$B, 1, FALSE), $M5395&lt;&gt;" "), "Ingresada", "Falta Ingresar"), " ")</f>
        <v>Falta Ingresar</v>
      </c>
      <c r="L5395" s="4" t="str">
        <f>IFERROR(VLOOKUP($C5395,Observaciones!$A:$B,2,FALSE)," ")</f>
        <v>XOC Y CC INDIVIDUAL</v>
      </c>
      <c r="M5395" t="s">
        <v>681</v>
      </c>
      <c r="N5395" s="5" t="s">
        <v>841</v>
      </c>
      <c r="O5395" s="5">
        <v>30848030</v>
      </c>
      <c r="P5395" s="5">
        <v>88228</v>
      </c>
      <c r="Q5395" s="5">
        <v>16763</v>
      </c>
      <c r="R5395" s="5">
        <v>104991</v>
      </c>
    </row>
    <row r="5396" spans="1:18" x14ac:dyDescent="0.25">
      <c r="A5396" t="s">
        <v>1816</v>
      </c>
      <c r="B5396" t="s">
        <v>494</v>
      </c>
      <c r="C5396">
        <v>96870780</v>
      </c>
      <c r="D5396">
        <v>1</v>
      </c>
      <c r="E5396" t="s">
        <v>1819</v>
      </c>
      <c r="F5396" t="s">
        <v>1818</v>
      </c>
      <c r="G5396" s="1">
        <v>45233</v>
      </c>
      <c r="H5396">
        <v>5411409</v>
      </c>
      <c r="I5396">
        <v>321</v>
      </c>
      <c r="J5396" t="s">
        <v>202</v>
      </c>
      <c r="K5396" s="8" t="str">
        <f>IFERROR(IF(AND(VLOOKUP($C5396,Hes!$A:$B, 1, FALSE), $M5396&lt;&gt;" "), "Ingresada", "Falta Ingresar"), " ")</f>
        <v>Falta Ingresar</v>
      </c>
      <c r="L5396" s="4" t="str">
        <f>IFERROR(VLOOKUP($C5396,Observaciones!$A:$B,2,FALSE)," ")</f>
        <v>XOC Y CC INDIVIDUAL</v>
      </c>
      <c r="M5396" t="s">
        <v>681</v>
      </c>
      <c r="N5396" s="5" t="s">
        <v>841</v>
      </c>
      <c r="O5396" s="5">
        <v>30849481</v>
      </c>
      <c r="P5396" s="5">
        <v>562613</v>
      </c>
      <c r="Q5396" s="5">
        <v>106896</v>
      </c>
      <c r="R5396" s="5">
        <v>669509</v>
      </c>
    </row>
    <row r="5397" spans="1:18" x14ac:dyDescent="0.25">
      <c r="A5397" t="s">
        <v>1816</v>
      </c>
      <c r="B5397" t="s">
        <v>494</v>
      </c>
      <c r="C5397">
        <v>96870780</v>
      </c>
      <c r="D5397">
        <v>10</v>
      </c>
      <c r="E5397" t="s">
        <v>1820</v>
      </c>
      <c r="F5397" t="s">
        <v>1818</v>
      </c>
      <c r="G5397" s="1">
        <v>45233</v>
      </c>
      <c r="H5397">
        <v>5411457</v>
      </c>
      <c r="I5397">
        <v>321</v>
      </c>
      <c r="J5397" t="s">
        <v>202</v>
      </c>
      <c r="K5397" s="8" t="str">
        <f>IFERROR(IF(AND(VLOOKUP($C5397,Hes!$A:$B, 1, FALSE), $M5397&lt;&gt;" "), "Ingresada", "Falta Ingresar"), " ")</f>
        <v>Falta Ingresar</v>
      </c>
      <c r="L5397" s="4" t="str">
        <f>IFERROR(VLOOKUP($C5397,Observaciones!$A:$B,2,FALSE)," ")</f>
        <v>XOC Y CC INDIVIDUAL</v>
      </c>
      <c r="M5397" t="s">
        <v>681</v>
      </c>
      <c r="N5397" s="5" t="s">
        <v>841</v>
      </c>
      <c r="O5397" s="5">
        <v>30847778</v>
      </c>
      <c r="P5397" s="5">
        <v>1844</v>
      </c>
      <c r="Q5397" s="5">
        <v>350</v>
      </c>
      <c r="R5397" s="5">
        <v>2194</v>
      </c>
    </row>
    <row r="5398" spans="1:18" x14ac:dyDescent="0.25">
      <c r="A5398" t="s">
        <v>1816</v>
      </c>
      <c r="B5398" t="s">
        <v>494</v>
      </c>
      <c r="C5398">
        <v>96870780</v>
      </c>
      <c r="D5398">
        <v>1</v>
      </c>
      <c r="E5398" t="s">
        <v>1821</v>
      </c>
      <c r="F5398" t="s">
        <v>1818</v>
      </c>
      <c r="G5398" s="1">
        <v>45233</v>
      </c>
      <c r="H5398">
        <v>5411508</v>
      </c>
      <c r="I5398">
        <v>321</v>
      </c>
      <c r="J5398" t="s">
        <v>202</v>
      </c>
      <c r="K5398" s="8" t="str">
        <f>IFERROR(IF(AND(VLOOKUP($C5398,Hes!$A:$B, 1, FALSE), $M5398&lt;&gt;" "), "Ingresada", "Falta Ingresar"), " ")</f>
        <v>Falta Ingresar</v>
      </c>
      <c r="L5398" s="4" t="str">
        <f>IFERROR(VLOOKUP($C5398,Observaciones!$A:$B,2,FALSE)," ")</f>
        <v>XOC Y CC INDIVIDUAL</v>
      </c>
      <c r="M5398" t="s">
        <v>681</v>
      </c>
      <c r="N5398" s="5" t="s">
        <v>841</v>
      </c>
      <c r="O5398" s="5">
        <v>30848053</v>
      </c>
      <c r="P5398" s="5">
        <v>43852</v>
      </c>
      <c r="Q5398" s="5">
        <v>8332</v>
      </c>
      <c r="R5398" s="5">
        <v>52184</v>
      </c>
    </row>
    <row r="5399" spans="1:18" x14ac:dyDescent="0.25">
      <c r="A5399" t="s">
        <v>1816</v>
      </c>
      <c r="B5399" t="s">
        <v>494</v>
      </c>
      <c r="C5399">
        <v>96870780</v>
      </c>
      <c r="D5399">
        <v>10</v>
      </c>
      <c r="E5399" t="s">
        <v>1822</v>
      </c>
      <c r="F5399" t="s">
        <v>1818</v>
      </c>
      <c r="G5399" s="1">
        <v>45233</v>
      </c>
      <c r="H5399">
        <v>5411604</v>
      </c>
      <c r="I5399">
        <v>321</v>
      </c>
      <c r="J5399" t="s">
        <v>202</v>
      </c>
      <c r="K5399" s="8" t="str">
        <f>IFERROR(IF(AND(VLOOKUP($C5399,Hes!$A:$B, 1, FALSE), $M5399&lt;&gt;" "), "Ingresada", "Falta Ingresar"), " ")</f>
        <v>Falta Ingresar</v>
      </c>
      <c r="L5399" s="4" t="str">
        <f>IFERROR(VLOOKUP($C5399,Observaciones!$A:$B,2,FALSE)," ")</f>
        <v>XOC Y CC INDIVIDUAL</v>
      </c>
      <c r="M5399" t="s">
        <v>681</v>
      </c>
      <c r="N5399" s="5" t="s">
        <v>841</v>
      </c>
      <c r="O5399" s="5">
        <v>30847781</v>
      </c>
      <c r="P5399" s="5">
        <v>130276</v>
      </c>
      <c r="Q5399" s="5">
        <v>24752</v>
      </c>
      <c r="R5399" s="5">
        <v>155028</v>
      </c>
    </row>
    <row r="5400" spans="1:18" x14ac:dyDescent="0.25">
      <c r="A5400" t="s">
        <v>1816</v>
      </c>
      <c r="B5400" t="s">
        <v>494</v>
      </c>
      <c r="C5400">
        <v>96870780</v>
      </c>
      <c r="D5400">
        <v>20</v>
      </c>
      <c r="E5400" t="s">
        <v>1823</v>
      </c>
      <c r="F5400" t="s">
        <v>1818</v>
      </c>
      <c r="G5400" s="1">
        <v>45236</v>
      </c>
      <c r="H5400">
        <v>5412004</v>
      </c>
      <c r="I5400">
        <v>321</v>
      </c>
      <c r="J5400" t="s">
        <v>202</v>
      </c>
      <c r="K5400" s="8" t="str">
        <f>IFERROR(IF(AND(VLOOKUP($C5400,Hes!$A:$B, 1, FALSE), $M5400&lt;&gt;" "), "Ingresada", "Falta Ingresar"), " ")</f>
        <v>Falta Ingresar</v>
      </c>
      <c r="L5400" s="4" t="str">
        <f>IFERROR(VLOOKUP($C5400,Observaciones!$A:$B,2,FALSE)," ")</f>
        <v>XOC Y CC INDIVIDUAL</v>
      </c>
      <c r="M5400" t="s">
        <v>681</v>
      </c>
      <c r="N5400" s="5" t="s">
        <v>841</v>
      </c>
      <c r="O5400" s="5">
        <v>30830611</v>
      </c>
      <c r="P5400" s="5">
        <v>209416</v>
      </c>
      <c r="Q5400" s="5">
        <v>39789</v>
      </c>
      <c r="R5400" s="5">
        <v>249205</v>
      </c>
    </row>
    <row r="5401" spans="1:18" x14ac:dyDescent="0.25">
      <c r="A5401" t="s">
        <v>1816</v>
      </c>
      <c r="B5401" t="s">
        <v>494</v>
      </c>
      <c r="C5401">
        <v>96870780</v>
      </c>
      <c r="D5401">
        <v>1</v>
      </c>
      <c r="E5401" t="s">
        <v>1824</v>
      </c>
      <c r="F5401" t="s">
        <v>1818</v>
      </c>
      <c r="G5401" s="1">
        <v>45236</v>
      </c>
      <c r="H5401">
        <v>5412720</v>
      </c>
      <c r="I5401">
        <v>321</v>
      </c>
      <c r="J5401" t="s">
        <v>202</v>
      </c>
      <c r="K5401" s="8" t="str">
        <f>IFERROR(IF(AND(VLOOKUP($C5401,Hes!$A:$B, 1, FALSE), $M5401&lt;&gt;" "), "Ingresada", "Falta Ingresar"), " ")</f>
        <v>Falta Ingresar</v>
      </c>
      <c r="L5401" s="4" t="str">
        <f>IFERROR(VLOOKUP($C5401,Observaciones!$A:$B,2,FALSE)," ")</f>
        <v>XOC Y CC INDIVIDUAL</v>
      </c>
      <c r="M5401" t="s">
        <v>681</v>
      </c>
      <c r="N5401" s="5" t="s">
        <v>841</v>
      </c>
      <c r="O5401" s="5">
        <v>30849509</v>
      </c>
      <c r="P5401" s="5">
        <v>43848</v>
      </c>
      <c r="Q5401" s="5">
        <v>8331</v>
      </c>
      <c r="R5401" s="5">
        <v>52179</v>
      </c>
    </row>
    <row r="5402" spans="1:18" x14ac:dyDescent="0.25">
      <c r="A5402" t="s">
        <v>1816</v>
      </c>
      <c r="B5402" t="s">
        <v>494</v>
      </c>
      <c r="C5402">
        <v>96870780</v>
      </c>
      <c r="D5402">
        <v>20</v>
      </c>
      <c r="E5402" t="s">
        <v>1825</v>
      </c>
      <c r="F5402" t="s">
        <v>1818</v>
      </c>
      <c r="G5402" s="1">
        <v>45236</v>
      </c>
      <c r="H5402">
        <v>5413043</v>
      </c>
      <c r="I5402">
        <v>321</v>
      </c>
      <c r="J5402" t="s">
        <v>202</v>
      </c>
      <c r="K5402" s="8" t="str">
        <f>IFERROR(IF(AND(VLOOKUP($C5402,Hes!$A:$B, 1, FALSE), $M5402&lt;&gt;" "), "Ingresada", "Falta Ingresar"), " ")</f>
        <v>Falta Ingresar</v>
      </c>
      <c r="L5402" s="4" t="str">
        <f>IFERROR(VLOOKUP($C5402,Observaciones!$A:$B,2,FALSE)," ")</f>
        <v>XOC Y CC INDIVIDUAL</v>
      </c>
      <c r="M5402" t="s">
        <v>681</v>
      </c>
      <c r="N5402" s="5" t="s">
        <v>841</v>
      </c>
      <c r="O5402" s="5">
        <v>30845534</v>
      </c>
      <c r="P5402" s="5">
        <v>70940</v>
      </c>
      <c r="Q5402" s="5">
        <v>13479</v>
      </c>
      <c r="R5402" s="5">
        <v>84419</v>
      </c>
    </row>
    <row r="5403" spans="1:18" x14ac:dyDescent="0.25">
      <c r="A5403" t="s">
        <v>1816</v>
      </c>
      <c r="B5403" t="s">
        <v>494</v>
      </c>
      <c r="C5403">
        <v>96870780</v>
      </c>
      <c r="D5403">
        <v>3</v>
      </c>
      <c r="E5403" t="s">
        <v>1826</v>
      </c>
      <c r="F5403" t="s">
        <v>1818</v>
      </c>
      <c r="G5403" s="1">
        <v>45236</v>
      </c>
      <c r="H5403">
        <v>5413664</v>
      </c>
      <c r="I5403">
        <v>321</v>
      </c>
      <c r="J5403" t="s">
        <v>202</v>
      </c>
      <c r="K5403" s="8" t="str">
        <f>IFERROR(IF(AND(VLOOKUP($C5403,Hes!$A:$B, 1, FALSE), $M5403&lt;&gt;" "), "Ingresada", "Falta Ingresar"), " ")</f>
        <v>Falta Ingresar</v>
      </c>
      <c r="L5403" s="4" t="str">
        <f>IFERROR(VLOOKUP($C5403,Observaciones!$A:$B,2,FALSE)," ")</f>
        <v>XOC Y CC INDIVIDUAL</v>
      </c>
      <c r="M5403" t="s">
        <v>681</v>
      </c>
      <c r="N5403" s="5" t="s">
        <v>841</v>
      </c>
      <c r="O5403" s="5">
        <v>30849300</v>
      </c>
      <c r="P5403" s="5">
        <v>49884</v>
      </c>
      <c r="Q5403" s="5">
        <v>9478</v>
      </c>
      <c r="R5403" s="5">
        <v>59362</v>
      </c>
    </row>
    <row r="5404" spans="1:18" x14ac:dyDescent="0.25">
      <c r="A5404" t="s">
        <v>1816</v>
      </c>
      <c r="B5404" t="s">
        <v>494</v>
      </c>
      <c r="C5404">
        <v>96870780</v>
      </c>
      <c r="D5404">
        <v>2</v>
      </c>
      <c r="E5404" t="s">
        <v>1827</v>
      </c>
      <c r="F5404" t="s">
        <v>1818</v>
      </c>
      <c r="G5404" s="1">
        <v>45237</v>
      </c>
      <c r="H5404">
        <v>5414340</v>
      </c>
      <c r="I5404">
        <v>321</v>
      </c>
      <c r="J5404" t="s">
        <v>202</v>
      </c>
      <c r="K5404" s="8" t="str">
        <f>IFERROR(IF(AND(VLOOKUP($C5404,Hes!$A:$B, 1, FALSE), $M5404&lt;&gt;" "), "Ingresada", "Falta Ingresar"), " ")</f>
        <v>Falta Ingresar</v>
      </c>
      <c r="L5404" s="4" t="str">
        <f>IFERROR(VLOOKUP($C5404,Observaciones!$A:$B,2,FALSE)," ")</f>
        <v>XOC Y CC INDIVIDUAL</v>
      </c>
      <c r="M5404" t="s">
        <v>681</v>
      </c>
      <c r="N5404" s="5" t="s">
        <v>841</v>
      </c>
      <c r="O5404" s="5">
        <v>30853923</v>
      </c>
      <c r="P5404" s="5">
        <v>9460</v>
      </c>
      <c r="Q5404" s="5">
        <v>1797</v>
      </c>
      <c r="R5404" s="5">
        <v>11257</v>
      </c>
    </row>
    <row r="5405" spans="1:18" x14ac:dyDescent="0.25">
      <c r="A5405" t="s">
        <v>1816</v>
      </c>
      <c r="B5405" t="s">
        <v>494</v>
      </c>
      <c r="C5405">
        <v>96870780</v>
      </c>
      <c r="D5405">
        <v>2</v>
      </c>
      <c r="E5405" t="s">
        <v>1828</v>
      </c>
      <c r="F5405" t="s">
        <v>1818</v>
      </c>
      <c r="G5405" s="1">
        <v>45237</v>
      </c>
      <c r="H5405">
        <v>5414377</v>
      </c>
      <c r="I5405">
        <v>321</v>
      </c>
      <c r="J5405" t="s">
        <v>202</v>
      </c>
      <c r="K5405" s="8" t="str">
        <f>IFERROR(IF(AND(VLOOKUP($C5405,Hes!$A:$B, 1, FALSE), $M5405&lt;&gt;" "), "Ingresada", "Falta Ingresar"), " ")</f>
        <v>Falta Ingresar</v>
      </c>
      <c r="L5405" s="4" t="str">
        <f>IFERROR(VLOOKUP($C5405,Observaciones!$A:$B,2,FALSE)," ")</f>
        <v>XOC Y CC INDIVIDUAL</v>
      </c>
      <c r="M5405" t="s">
        <v>681</v>
      </c>
      <c r="N5405" s="5" t="s">
        <v>841</v>
      </c>
      <c r="O5405" s="5">
        <v>30853929</v>
      </c>
      <c r="P5405" s="5">
        <v>45000</v>
      </c>
      <c r="Q5405" s="5">
        <v>8550</v>
      </c>
      <c r="R5405" s="5">
        <v>53550</v>
      </c>
    </row>
    <row r="5406" spans="1:18" x14ac:dyDescent="0.25">
      <c r="A5406" t="s">
        <v>1816</v>
      </c>
      <c r="B5406" t="s">
        <v>494</v>
      </c>
      <c r="C5406">
        <v>96870780</v>
      </c>
      <c r="D5406">
        <v>2</v>
      </c>
      <c r="E5406" t="s">
        <v>1829</v>
      </c>
      <c r="F5406" t="s">
        <v>1818</v>
      </c>
      <c r="G5406" s="1">
        <v>45237</v>
      </c>
      <c r="H5406">
        <v>5414469</v>
      </c>
      <c r="I5406">
        <v>321</v>
      </c>
      <c r="J5406" t="s">
        <v>202</v>
      </c>
      <c r="K5406" s="8" t="str">
        <f>IFERROR(IF(AND(VLOOKUP($C5406,Hes!$A:$B, 1, FALSE), $M5406&lt;&gt;" "), "Ingresada", "Falta Ingresar"), " ")</f>
        <v>Falta Ingresar</v>
      </c>
      <c r="L5406" s="4" t="str">
        <f>IFERROR(VLOOKUP($C5406,Observaciones!$A:$B,2,FALSE)," ")</f>
        <v>XOC Y CC INDIVIDUAL</v>
      </c>
      <c r="M5406" t="s">
        <v>681</v>
      </c>
      <c r="N5406" s="5" t="s">
        <v>841</v>
      </c>
      <c r="O5406" s="5">
        <v>30854036</v>
      </c>
      <c r="P5406" s="5">
        <v>155916</v>
      </c>
      <c r="Q5406" s="5">
        <v>29624</v>
      </c>
      <c r="R5406" s="5">
        <v>185540</v>
      </c>
    </row>
    <row r="5407" spans="1:18" x14ac:dyDescent="0.25">
      <c r="A5407" t="s">
        <v>1816</v>
      </c>
      <c r="B5407" t="s">
        <v>494</v>
      </c>
      <c r="C5407">
        <v>96870780</v>
      </c>
      <c r="D5407">
        <v>10</v>
      </c>
      <c r="E5407" t="s">
        <v>1830</v>
      </c>
      <c r="F5407" t="s">
        <v>1818</v>
      </c>
      <c r="G5407" s="1">
        <v>45237</v>
      </c>
      <c r="H5407">
        <v>5414476</v>
      </c>
      <c r="I5407">
        <v>321</v>
      </c>
      <c r="J5407" t="s">
        <v>202</v>
      </c>
      <c r="K5407" s="8" t="str">
        <f>IFERROR(IF(AND(VLOOKUP($C5407,Hes!$A:$B, 1, FALSE), $M5407&lt;&gt;" "), "Ingresada", "Falta Ingresar"), " ")</f>
        <v>Falta Ingresar</v>
      </c>
      <c r="L5407" s="4" t="str">
        <f>IFERROR(VLOOKUP($C5407,Observaciones!$A:$B,2,FALSE)," ")</f>
        <v>XOC Y CC INDIVIDUAL</v>
      </c>
      <c r="M5407" t="s">
        <v>681</v>
      </c>
      <c r="N5407" s="5" t="s">
        <v>841</v>
      </c>
      <c r="O5407" s="5">
        <v>30859058</v>
      </c>
      <c r="P5407" s="5">
        <v>59082</v>
      </c>
      <c r="Q5407" s="5">
        <v>11226</v>
      </c>
      <c r="R5407" s="5">
        <v>70308</v>
      </c>
    </row>
    <row r="5408" spans="1:18" x14ac:dyDescent="0.25">
      <c r="A5408" t="s">
        <v>1816</v>
      </c>
      <c r="B5408" t="s">
        <v>494</v>
      </c>
      <c r="C5408">
        <v>96870780</v>
      </c>
      <c r="D5408">
        <v>1</v>
      </c>
      <c r="E5408" t="s">
        <v>1831</v>
      </c>
      <c r="F5408" t="s">
        <v>1818</v>
      </c>
      <c r="G5408" s="1">
        <v>45238</v>
      </c>
      <c r="H5408">
        <v>5414803</v>
      </c>
      <c r="I5408">
        <v>321</v>
      </c>
      <c r="J5408" t="s">
        <v>202</v>
      </c>
      <c r="K5408" s="8" t="str">
        <f>IFERROR(IF(AND(VLOOKUP($C5408,Hes!$A:$B, 1, FALSE), $M5408&lt;&gt;" "), "Ingresada", "Falta Ingresar"), " ")</f>
        <v>Falta Ingresar</v>
      </c>
      <c r="L5408" s="4" t="str">
        <f>IFERROR(VLOOKUP($C5408,Observaciones!$A:$B,2,FALSE)," ")</f>
        <v>XOC Y CC INDIVIDUAL</v>
      </c>
      <c r="M5408" t="s">
        <v>681</v>
      </c>
      <c r="N5408" s="5" t="s">
        <v>841</v>
      </c>
      <c r="O5408" s="5">
        <v>30861718</v>
      </c>
      <c r="P5408" s="5">
        <v>158216</v>
      </c>
      <c r="Q5408" s="5">
        <v>30061</v>
      </c>
      <c r="R5408" s="5">
        <v>188277</v>
      </c>
    </row>
    <row r="5409" spans="1:18" x14ac:dyDescent="0.25">
      <c r="A5409" t="s">
        <v>1816</v>
      </c>
      <c r="B5409" t="s">
        <v>494</v>
      </c>
      <c r="C5409">
        <v>96870780</v>
      </c>
      <c r="D5409">
        <v>3</v>
      </c>
      <c r="E5409" t="s">
        <v>1832</v>
      </c>
      <c r="F5409" t="s">
        <v>1818</v>
      </c>
      <c r="G5409" s="1">
        <v>45238</v>
      </c>
      <c r="H5409">
        <v>5415178</v>
      </c>
      <c r="I5409">
        <v>321</v>
      </c>
      <c r="J5409" t="s">
        <v>202</v>
      </c>
      <c r="K5409" s="8" t="str">
        <f>IFERROR(IF(AND(VLOOKUP($C5409,Hes!$A:$B, 1, FALSE), $M5409&lt;&gt;" "), "Ingresada", "Falta Ingresar"), " ")</f>
        <v>Falta Ingresar</v>
      </c>
      <c r="L5409" s="4" t="str">
        <f>IFERROR(VLOOKUP($C5409,Observaciones!$A:$B,2,FALSE)," ")</f>
        <v>XOC Y CC INDIVIDUAL</v>
      </c>
      <c r="M5409" t="s">
        <v>681</v>
      </c>
      <c r="N5409" s="5" t="s">
        <v>841</v>
      </c>
      <c r="O5409" s="5">
        <v>30855199</v>
      </c>
      <c r="P5409" s="5">
        <v>70028</v>
      </c>
      <c r="Q5409" s="5">
        <v>13305</v>
      </c>
      <c r="R5409" s="5">
        <v>83333</v>
      </c>
    </row>
    <row r="5410" spans="1:18" x14ac:dyDescent="0.25">
      <c r="F5410" t="s">
        <v>518</v>
      </c>
      <c r="K5410" t="str">
        <f>IFERROR(IF(AND(VLOOKUP($C5410,Hes!$A:$B, 1, FALSE), $M5410&lt;&gt;" "), "Ingresada", "Falta Ingresar"), " ")</f>
        <v xml:space="preserve"> </v>
      </c>
      <c r="L5410" s="4" t="str">
        <f>IFERROR(VLOOKUP($C5410,Observaciones!$A:$B,2,FALSE)," ")</f>
        <v xml:space="preserve"> </v>
      </c>
      <c r="M5410" t="s">
        <v>681</v>
      </c>
      <c r="P5410" s="5">
        <v>1698603</v>
      </c>
      <c r="Q5410" s="5">
        <v>322733</v>
      </c>
      <c r="R5410" s="5">
        <v>2021336</v>
      </c>
    </row>
    <row r="5411" spans="1:18" x14ac:dyDescent="0.25">
      <c r="A5411" t="s">
        <v>503</v>
      </c>
      <c r="B5411" t="s">
        <v>509</v>
      </c>
      <c r="C5411">
        <v>96872220</v>
      </c>
      <c r="D5411">
        <v>0</v>
      </c>
      <c r="E5411">
        <v>4500120843</v>
      </c>
      <c r="F5411" t="s">
        <v>1833</v>
      </c>
      <c r="G5411" s="1">
        <v>45233</v>
      </c>
      <c r="H5411">
        <v>5411521</v>
      </c>
      <c r="I5411">
        <v>349</v>
      </c>
      <c r="J5411" t="s">
        <v>364</v>
      </c>
      <c r="K5411" t="str">
        <f>IFERROR(IF(AND(VLOOKUP($C5411,Hes!$A:$B, 1, FALSE), $M5411&lt;&gt;" "), "Ingresada", "Falta Ingresar"), " ")</f>
        <v xml:space="preserve"> </v>
      </c>
      <c r="L5411" s="4" t="s">
        <v>681</v>
      </c>
      <c r="M5411" t="s">
        <v>681</v>
      </c>
      <c r="O5411" s="5">
        <v>30809675</v>
      </c>
      <c r="P5411" s="5">
        <v>86339</v>
      </c>
      <c r="Q5411" s="5">
        <v>16404</v>
      </c>
      <c r="R5411" s="5">
        <v>102743</v>
      </c>
    </row>
    <row r="5412" spans="1:18" x14ac:dyDescent="0.25">
      <c r="A5412" t="s">
        <v>503</v>
      </c>
      <c r="B5412" t="s">
        <v>509</v>
      </c>
      <c r="C5412">
        <v>96872220</v>
      </c>
      <c r="D5412">
        <v>0</v>
      </c>
      <c r="E5412">
        <v>4500120883</v>
      </c>
      <c r="F5412" t="s">
        <v>1833</v>
      </c>
      <c r="G5412" s="1">
        <v>45236</v>
      </c>
      <c r="H5412">
        <v>5413792</v>
      </c>
      <c r="I5412">
        <v>349</v>
      </c>
      <c r="J5412" t="s">
        <v>364</v>
      </c>
      <c r="K5412" t="str">
        <f>IFERROR(IF(AND(VLOOKUP($C5412,Hes!$A:$B, 1, FALSE), $M5412&lt;&gt;" "), "Ingresada", "Falta Ingresar"), " ")</f>
        <v xml:space="preserve"> </v>
      </c>
      <c r="L5412" s="4" t="s">
        <v>681</v>
      </c>
      <c r="M5412" t="s">
        <v>681</v>
      </c>
      <c r="O5412" s="5">
        <v>30854208</v>
      </c>
      <c r="P5412" s="5">
        <v>187898</v>
      </c>
      <c r="Q5412" s="5">
        <v>35701</v>
      </c>
      <c r="R5412" s="5">
        <v>223599</v>
      </c>
    </row>
    <row r="5413" spans="1:18" x14ac:dyDescent="0.25">
      <c r="F5413" t="s">
        <v>497</v>
      </c>
      <c r="K5413" t="str">
        <f>IFERROR(IF(AND(VLOOKUP($C5413,Hes!$A:$B, 1, FALSE), $M5413&lt;&gt;" "), "Ingresada", "Falta Ingresar"), " ")</f>
        <v xml:space="preserve"> </v>
      </c>
      <c r="L5413" s="4" t="str">
        <f>IFERROR(VLOOKUP($C5413,Observaciones!$A:$B,2,FALSE)," ")</f>
        <v xml:space="preserve"> </v>
      </c>
      <c r="M5413" t="s">
        <v>681</v>
      </c>
      <c r="P5413" s="5">
        <v>274237</v>
      </c>
      <c r="Q5413" s="5">
        <v>52105</v>
      </c>
      <c r="R5413" s="5">
        <v>326342</v>
      </c>
    </row>
    <row r="5414" spans="1:18" x14ac:dyDescent="0.25">
      <c r="A5414" t="s">
        <v>512</v>
      </c>
      <c r="B5414" t="s">
        <v>494</v>
      </c>
      <c r="C5414">
        <v>96874030</v>
      </c>
      <c r="D5414">
        <v>38</v>
      </c>
      <c r="E5414">
        <v>30847839</v>
      </c>
      <c r="F5414" t="s">
        <v>1834</v>
      </c>
      <c r="G5414" s="1">
        <v>45232</v>
      </c>
      <c r="H5414">
        <v>5411135</v>
      </c>
      <c r="I5414">
        <v>348</v>
      </c>
      <c r="J5414" t="s">
        <v>293</v>
      </c>
      <c r="K5414" t="str">
        <f>IFERROR(IF(AND(VLOOKUP($C5414,Hes!$A:$B, 1, FALSE), $M5414&lt;&gt;" "), "Ingresada", "Falta Ingresar"), " ")</f>
        <v xml:space="preserve"> </v>
      </c>
      <c r="L5414" s="4" t="str">
        <f>IFERROR(VLOOKUP($C5414,Observaciones!$A:$B,2,FALSE)," ")</f>
        <v xml:space="preserve"> </v>
      </c>
      <c r="M5414" t="s">
        <v>681</v>
      </c>
      <c r="O5414" s="5">
        <v>30847839</v>
      </c>
      <c r="P5414" s="5">
        <v>52440</v>
      </c>
      <c r="Q5414" s="5">
        <v>9964</v>
      </c>
      <c r="R5414" s="5">
        <v>62404</v>
      </c>
    </row>
    <row r="5415" spans="1:18" x14ac:dyDescent="0.25">
      <c r="A5415" t="s">
        <v>512</v>
      </c>
      <c r="B5415" t="s">
        <v>494</v>
      </c>
      <c r="C5415">
        <v>96874030</v>
      </c>
      <c r="D5415">
        <v>58</v>
      </c>
      <c r="E5415">
        <v>30851634</v>
      </c>
      <c r="F5415" t="s">
        <v>1834</v>
      </c>
      <c r="G5415" s="1">
        <v>45233</v>
      </c>
      <c r="H5415">
        <v>5411628</v>
      </c>
      <c r="I5415">
        <v>348</v>
      </c>
      <c r="J5415" t="s">
        <v>293</v>
      </c>
      <c r="K5415" t="str">
        <f>IFERROR(IF(AND(VLOOKUP($C5415,Hes!$A:$B, 1, FALSE), $M5415&lt;&gt;" "), "Ingresada", "Falta Ingresar"), " ")</f>
        <v xml:space="preserve"> </v>
      </c>
      <c r="L5415" s="4" t="str">
        <f>IFERROR(VLOOKUP($C5415,Observaciones!$A:$B,2,FALSE)," ")</f>
        <v xml:space="preserve"> </v>
      </c>
      <c r="M5415" t="s">
        <v>681</v>
      </c>
      <c r="O5415" s="5">
        <v>30851634</v>
      </c>
      <c r="P5415" s="5">
        <v>31792</v>
      </c>
      <c r="Q5415" s="5">
        <v>6040</v>
      </c>
      <c r="R5415" s="5">
        <v>37832</v>
      </c>
    </row>
    <row r="5416" spans="1:18" x14ac:dyDescent="0.25">
      <c r="A5416" t="s">
        <v>512</v>
      </c>
      <c r="B5416" t="s">
        <v>494</v>
      </c>
      <c r="C5416">
        <v>96874030</v>
      </c>
      <c r="D5416">
        <v>6</v>
      </c>
      <c r="E5416">
        <v>30851266</v>
      </c>
      <c r="F5416" t="s">
        <v>1834</v>
      </c>
      <c r="G5416" s="1">
        <v>45236</v>
      </c>
      <c r="H5416">
        <v>5412028</v>
      </c>
      <c r="I5416">
        <v>348</v>
      </c>
      <c r="J5416" t="s">
        <v>293</v>
      </c>
      <c r="K5416" t="str">
        <f>IFERROR(IF(AND(VLOOKUP($C5416,Hes!$A:$B, 1, FALSE), $M5416&lt;&gt;" "), "Ingresada", "Falta Ingresar"), " ")</f>
        <v xml:space="preserve"> </v>
      </c>
      <c r="L5416" s="4" t="str">
        <f>IFERROR(VLOOKUP($C5416,Observaciones!$A:$B,2,FALSE)," ")</f>
        <v xml:space="preserve"> </v>
      </c>
      <c r="M5416" t="s">
        <v>681</v>
      </c>
      <c r="O5416" s="5">
        <v>30851266</v>
      </c>
      <c r="P5416" s="5">
        <v>21394</v>
      </c>
      <c r="Q5416" s="5">
        <v>4065</v>
      </c>
      <c r="R5416" s="5">
        <v>25459</v>
      </c>
    </row>
    <row r="5417" spans="1:18" x14ac:dyDescent="0.25">
      <c r="F5417" t="s">
        <v>500</v>
      </c>
      <c r="K5417" t="str">
        <f>IFERROR(IF(AND(VLOOKUP($C5417,Hes!$A:$B, 1, FALSE), $M5417&lt;&gt;" "), "Ingresada", "Falta Ingresar"), " ")</f>
        <v xml:space="preserve"> </v>
      </c>
      <c r="L5417" s="4" t="str">
        <f>IFERROR(VLOOKUP($C5417,Observaciones!$A:$B,2,FALSE)," ")</f>
        <v xml:space="preserve"> </v>
      </c>
      <c r="M5417" t="s">
        <v>681</v>
      </c>
      <c r="P5417" s="5">
        <v>105626</v>
      </c>
      <c r="Q5417" s="5">
        <v>20069</v>
      </c>
      <c r="R5417" s="5">
        <v>125695</v>
      </c>
    </row>
    <row r="5418" spans="1:18" x14ac:dyDescent="0.25">
      <c r="A5418" t="s">
        <v>501</v>
      </c>
      <c r="B5418" t="s">
        <v>494</v>
      </c>
      <c r="C5418">
        <v>96875230</v>
      </c>
      <c r="D5418">
        <v>12</v>
      </c>
      <c r="E5418">
        <v>30849725</v>
      </c>
      <c r="F5418" t="s">
        <v>1835</v>
      </c>
      <c r="G5418" s="1">
        <v>45233</v>
      </c>
      <c r="H5418">
        <v>5411582</v>
      </c>
      <c r="I5418">
        <v>100</v>
      </c>
      <c r="J5418" t="s">
        <v>384</v>
      </c>
      <c r="K5418" t="str">
        <f>IFERROR(IF(AND(VLOOKUP($C5418,Hes!$A:$B, 1, FALSE), $M5418&lt;&gt;" "), "Ingresada", "Falta Ingresar"), " ")</f>
        <v xml:space="preserve"> </v>
      </c>
      <c r="L5418" s="4" t="str">
        <f>IFERROR(VLOOKUP($C5418,Observaciones!$A:$B,2,FALSE)," ")</f>
        <v xml:space="preserve"> </v>
      </c>
      <c r="M5418" t="s">
        <v>681</v>
      </c>
      <c r="O5418" s="5">
        <v>30849725</v>
      </c>
      <c r="P5418" s="5">
        <v>142087</v>
      </c>
      <c r="Q5418" s="5">
        <v>26997</v>
      </c>
      <c r="R5418" s="5">
        <v>169435</v>
      </c>
    </row>
    <row r="5419" spans="1:18" x14ac:dyDescent="0.25">
      <c r="A5419" t="s">
        <v>501</v>
      </c>
      <c r="B5419" t="s">
        <v>494</v>
      </c>
      <c r="C5419">
        <v>96875230</v>
      </c>
      <c r="D5419">
        <v>10</v>
      </c>
      <c r="E5419">
        <v>30855819</v>
      </c>
      <c r="F5419" t="s">
        <v>1835</v>
      </c>
      <c r="G5419" s="1">
        <v>45236</v>
      </c>
      <c r="H5419">
        <v>5413846</v>
      </c>
      <c r="I5419">
        <v>100</v>
      </c>
      <c r="J5419" t="s">
        <v>384</v>
      </c>
      <c r="K5419" t="str">
        <f>IFERROR(IF(AND(VLOOKUP($C5419,Hes!$A:$B, 1, FALSE), $M5419&lt;&gt;" "), "Ingresada", "Falta Ingresar"), " ")</f>
        <v xml:space="preserve"> </v>
      </c>
      <c r="L5419" s="4" t="str">
        <f>IFERROR(VLOOKUP($C5419,Observaciones!$A:$B,2,FALSE)," ")</f>
        <v xml:space="preserve"> </v>
      </c>
      <c r="M5419" t="s">
        <v>681</v>
      </c>
      <c r="O5419" s="5">
        <v>30855819</v>
      </c>
      <c r="P5419" s="5">
        <v>302937</v>
      </c>
      <c r="Q5419" s="5">
        <v>57558</v>
      </c>
      <c r="R5419" s="5">
        <v>362601</v>
      </c>
    </row>
    <row r="5420" spans="1:18" x14ac:dyDescent="0.25">
      <c r="A5420" t="s">
        <v>501</v>
      </c>
      <c r="B5420" t="s">
        <v>494</v>
      </c>
      <c r="C5420">
        <v>96875230</v>
      </c>
      <c r="D5420">
        <v>12</v>
      </c>
      <c r="E5420">
        <v>30863070</v>
      </c>
      <c r="F5420" t="s">
        <v>1835</v>
      </c>
      <c r="G5420" s="1">
        <v>45238</v>
      </c>
      <c r="H5420">
        <v>5415650</v>
      </c>
      <c r="I5420">
        <v>100</v>
      </c>
      <c r="J5420" t="s">
        <v>384</v>
      </c>
      <c r="K5420" t="str">
        <f>IFERROR(IF(AND(VLOOKUP($C5420,Hes!$A:$B, 1, FALSE), $M5420&lt;&gt;" "), "Ingresada", "Falta Ingresar"), " ")</f>
        <v xml:space="preserve"> </v>
      </c>
      <c r="L5420" s="4" t="str">
        <f>IFERROR(VLOOKUP($C5420,Observaciones!$A:$B,2,FALSE)," ")</f>
        <v xml:space="preserve"> </v>
      </c>
      <c r="M5420" t="s">
        <v>681</v>
      </c>
      <c r="O5420" s="5">
        <v>30863070</v>
      </c>
      <c r="P5420" s="5">
        <v>30041</v>
      </c>
      <c r="Q5420" s="5">
        <v>5708</v>
      </c>
      <c r="R5420" s="5">
        <v>35749</v>
      </c>
    </row>
    <row r="5421" spans="1:18" x14ac:dyDescent="0.25">
      <c r="F5421" t="s">
        <v>500</v>
      </c>
      <c r="K5421" t="str">
        <f>IFERROR(IF(AND(VLOOKUP($C5421,Hes!$A:$B, 1, FALSE), $M5421&lt;&gt;" "), "Ingresada", "Falta Ingresar"), " ")</f>
        <v xml:space="preserve"> </v>
      </c>
      <c r="L5421" s="4" t="str">
        <f>IFERROR(VLOOKUP($C5421,Observaciones!$A:$B,2,FALSE)," ")</f>
        <v xml:space="preserve"> </v>
      </c>
      <c r="M5421" t="s">
        <v>681</v>
      </c>
      <c r="P5421" s="5">
        <v>475065</v>
      </c>
      <c r="Q5421" s="5">
        <v>90263</v>
      </c>
      <c r="R5421" s="5">
        <v>567785</v>
      </c>
    </row>
    <row r="5422" spans="1:18" x14ac:dyDescent="0.25">
      <c r="A5422" t="s">
        <v>501</v>
      </c>
      <c r="B5422" t="s">
        <v>494</v>
      </c>
      <c r="C5422">
        <v>96885590</v>
      </c>
      <c r="D5422">
        <v>0</v>
      </c>
      <c r="E5422" t="s">
        <v>1836</v>
      </c>
      <c r="F5422" t="s">
        <v>1837</v>
      </c>
      <c r="G5422" s="1">
        <v>45232</v>
      </c>
      <c r="H5422">
        <v>5411178</v>
      </c>
      <c r="I5422">
        <v>359</v>
      </c>
      <c r="J5422" t="s">
        <v>334</v>
      </c>
      <c r="K5422" t="str">
        <f>IFERROR(IF(AND(VLOOKUP($C5422,Hes!$A:$B, 1, FALSE), $M5422&lt;&gt;" "), "Ingresada", "Falta Ingresar"), " ")</f>
        <v xml:space="preserve"> </v>
      </c>
      <c r="L5422" s="4" t="str">
        <f>IFERROR(VLOOKUP($C5422,Observaciones!$A:$B,2,FALSE)," ")</f>
        <v xml:space="preserve"> </v>
      </c>
      <c r="M5422" t="s">
        <v>681</v>
      </c>
      <c r="O5422" s="5">
        <v>30844477</v>
      </c>
      <c r="P5422" s="5">
        <v>252890</v>
      </c>
      <c r="Q5422" s="5">
        <v>48049</v>
      </c>
      <c r="R5422" s="5">
        <v>300939</v>
      </c>
    </row>
    <row r="5423" spans="1:18" x14ac:dyDescent="0.25">
      <c r="F5423" t="s">
        <v>495</v>
      </c>
      <c r="K5423" t="str">
        <f>IFERROR(IF(AND(VLOOKUP($C5423,Hes!$A:$B, 1, FALSE), $M5423&lt;&gt;" "), "Ingresada", "Falta Ingresar"), " ")</f>
        <v xml:space="preserve"> </v>
      </c>
      <c r="L5423" s="4" t="str">
        <f>IFERROR(VLOOKUP($C5423,Observaciones!$A:$B,2,FALSE)," ")</f>
        <v xml:space="preserve"> </v>
      </c>
      <c r="M5423" t="s">
        <v>681</v>
      </c>
      <c r="P5423" s="5">
        <v>252890</v>
      </c>
      <c r="Q5423" s="5">
        <v>48049</v>
      </c>
      <c r="R5423" s="5">
        <v>300939</v>
      </c>
    </row>
    <row r="5424" spans="1:18" x14ac:dyDescent="0.25">
      <c r="A5424" t="s">
        <v>501</v>
      </c>
      <c r="B5424" t="s">
        <v>494</v>
      </c>
      <c r="C5424">
        <v>96889950</v>
      </c>
      <c r="D5424">
        <v>80</v>
      </c>
      <c r="E5424">
        <v>30857184</v>
      </c>
      <c r="F5424" t="s">
        <v>1838</v>
      </c>
      <c r="G5424" s="1">
        <v>45236</v>
      </c>
      <c r="H5424">
        <v>5413407</v>
      </c>
      <c r="I5424">
        <v>431</v>
      </c>
      <c r="J5424" t="s">
        <v>354</v>
      </c>
      <c r="K5424" t="str">
        <f>IFERROR(IF(AND(VLOOKUP($C5424,Hes!$A:$B, 1, FALSE), $M5424&lt;&gt;" "), "Ingresada", "Falta Ingresar"), " ")</f>
        <v xml:space="preserve"> </v>
      </c>
      <c r="L5424" s="4" t="str">
        <f>IFERROR(VLOOKUP($C5424,Observaciones!$A:$B,2,FALSE)," ")</f>
        <v xml:space="preserve"> </v>
      </c>
      <c r="M5424" t="s">
        <v>681</v>
      </c>
      <c r="O5424" s="5">
        <v>30857184</v>
      </c>
      <c r="P5424" s="5">
        <v>15667</v>
      </c>
      <c r="Q5424" s="5">
        <v>2977</v>
      </c>
      <c r="R5424" s="5">
        <v>18644</v>
      </c>
    </row>
    <row r="5425" spans="1:18" x14ac:dyDescent="0.25">
      <c r="A5425" t="s">
        <v>501</v>
      </c>
      <c r="B5425" t="s">
        <v>494</v>
      </c>
      <c r="C5425">
        <v>96889950</v>
      </c>
      <c r="D5425">
        <v>100</v>
      </c>
      <c r="E5425">
        <v>30857179</v>
      </c>
      <c r="F5425" t="s">
        <v>1838</v>
      </c>
      <c r="G5425" s="1">
        <v>45237</v>
      </c>
      <c r="H5425">
        <v>5413930</v>
      </c>
      <c r="I5425">
        <v>431</v>
      </c>
      <c r="J5425" t="s">
        <v>354</v>
      </c>
      <c r="K5425" t="str">
        <f>IFERROR(IF(AND(VLOOKUP($C5425,Hes!$A:$B, 1, FALSE), $M5425&lt;&gt;" "), "Ingresada", "Falta Ingresar"), " ")</f>
        <v xml:space="preserve"> </v>
      </c>
      <c r="L5425" s="4" t="str">
        <f>IFERROR(VLOOKUP($C5425,Observaciones!$A:$B,2,FALSE)," ")</f>
        <v xml:space="preserve"> </v>
      </c>
      <c r="M5425" t="s">
        <v>681</v>
      </c>
      <c r="O5425" s="5">
        <v>30857179</v>
      </c>
      <c r="P5425" s="5">
        <v>43951</v>
      </c>
      <c r="Q5425" s="5">
        <v>8351</v>
      </c>
      <c r="R5425" s="5">
        <v>52302</v>
      </c>
    </row>
    <row r="5426" spans="1:18" x14ac:dyDescent="0.25">
      <c r="F5426" t="s">
        <v>497</v>
      </c>
      <c r="K5426" t="str">
        <f>IFERROR(IF(AND(VLOOKUP($C5426,Hes!$A:$B, 1, FALSE), $M5426&lt;&gt;" "), "Ingresada", "Falta Ingresar"), " ")</f>
        <v xml:space="preserve"> </v>
      </c>
      <c r="L5426" s="4" t="str">
        <f>IFERROR(VLOOKUP($C5426,Observaciones!$A:$B,2,FALSE)," ")</f>
        <v xml:space="preserve"> </v>
      </c>
      <c r="M5426" t="s">
        <v>681</v>
      </c>
      <c r="P5426" s="5">
        <v>59618</v>
      </c>
      <c r="Q5426" s="5">
        <v>11328</v>
      </c>
      <c r="R5426" s="5">
        <v>70946</v>
      </c>
    </row>
    <row r="5427" spans="1:18" x14ac:dyDescent="0.25">
      <c r="A5427" t="s">
        <v>501</v>
      </c>
      <c r="B5427" t="s">
        <v>494</v>
      </c>
      <c r="C5427">
        <v>96896480</v>
      </c>
      <c r="D5427">
        <v>32</v>
      </c>
      <c r="E5427">
        <v>30859622</v>
      </c>
      <c r="F5427" t="s">
        <v>1839</v>
      </c>
      <c r="G5427" s="1">
        <v>45237</v>
      </c>
      <c r="H5427">
        <v>5414159</v>
      </c>
      <c r="I5427">
        <v>424</v>
      </c>
      <c r="J5427" t="s">
        <v>146</v>
      </c>
      <c r="K5427" t="str">
        <f>IFERROR(IF(AND(VLOOKUP($C5427,Hes!$A:$B, 1, FALSE), $M5427&lt;&gt;" "), "Ingresada", "Falta Ingresar"), " ")</f>
        <v xml:space="preserve"> </v>
      </c>
      <c r="L5427" s="4" t="str">
        <f>IFERROR(VLOOKUP($C5427,Observaciones!$A:$B,2,FALSE)," ")</f>
        <v xml:space="preserve"> </v>
      </c>
      <c r="M5427" t="s">
        <v>681</v>
      </c>
      <c r="O5427" s="5">
        <v>30859622</v>
      </c>
      <c r="P5427" s="5">
        <v>348793</v>
      </c>
      <c r="Q5427" s="5">
        <v>66271</v>
      </c>
      <c r="R5427" s="5">
        <v>415064</v>
      </c>
    </row>
    <row r="5428" spans="1:18" x14ac:dyDescent="0.25">
      <c r="A5428" t="s">
        <v>501</v>
      </c>
      <c r="B5428" t="s">
        <v>494</v>
      </c>
      <c r="C5428">
        <v>96896480</v>
      </c>
      <c r="D5428">
        <v>16</v>
      </c>
      <c r="E5428">
        <v>30859621</v>
      </c>
      <c r="F5428" t="s">
        <v>1839</v>
      </c>
      <c r="G5428" s="1">
        <v>45237</v>
      </c>
      <c r="H5428">
        <v>5414228</v>
      </c>
      <c r="I5428">
        <v>424</v>
      </c>
      <c r="J5428" t="s">
        <v>146</v>
      </c>
      <c r="K5428" t="str">
        <f>IFERROR(IF(AND(VLOOKUP($C5428,Hes!$A:$B, 1, FALSE), $M5428&lt;&gt;" "), "Ingresada", "Falta Ingresar"), " ")</f>
        <v xml:space="preserve"> </v>
      </c>
      <c r="L5428" s="4" t="str">
        <f>IFERROR(VLOOKUP($C5428,Observaciones!$A:$B,2,FALSE)," ")</f>
        <v xml:space="preserve"> </v>
      </c>
      <c r="M5428" t="s">
        <v>681</v>
      </c>
      <c r="O5428" s="5">
        <v>30859621</v>
      </c>
      <c r="P5428" s="5">
        <v>105315</v>
      </c>
      <c r="Q5428" s="5">
        <v>20010</v>
      </c>
      <c r="R5428" s="5">
        <v>125325</v>
      </c>
    </row>
    <row r="5429" spans="1:18" x14ac:dyDescent="0.25">
      <c r="A5429" t="s">
        <v>501</v>
      </c>
      <c r="B5429" t="s">
        <v>494</v>
      </c>
      <c r="C5429">
        <v>96896480</v>
      </c>
      <c r="D5429">
        <v>4</v>
      </c>
      <c r="E5429">
        <v>30859617</v>
      </c>
      <c r="F5429" t="s">
        <v>1839</v>
      </c>
      <c r="G5429" s="1">
        <v>45237</v>
      </c>
      <c r="H5429">
        <v>5414337</v>
      </c>
      <c r="I5429">
        <v>424</v>
      </c>
      <c r="J5429" t="s">
        <v>146</v>
      </c>
      <c r="K5429" t="str">
        <f>IFERROR(IF(AND(VLOOKUP($C5429,Hes!$A:$B, 1, FALSE), $M5429&lt;&gt;" "), "Ingresada", "Falta Ingresar"), " ")</f>
        <v xml:space="preserve"> </v>
      </c>
      <c r="L5429" s="4" t="str">
        <f>IFERROR(VLOOKUP($C5429,Observaciones!$A:$B,2,FALSE)," ")</f>
        <v xml:space="preserve"> </v>
      </c>
      <c r="M5429" t="s">
        <v>681</v>
      </c>
      <c r="O5429" s="5">
        <v>30859617</v>
      </c>
      <c r="P5429" s="5">
        <v>318197</v>
      </c>
      <c r="Q5429" s="5">
        <v>60457</v>
      </c>
      <c r="R5429" s="5">
        <v>378654</v>
      </c>
    </row>
    <row r="5430" spans="1:18" x14ac:dyDescent="0.25">
      <c r="A5430" t="s">
        <v>501</v>
      </c>
      <c r="B5430" t="s">
        <v>494</v>
      </c>
      <c r="C5430">
        <v>96896480</v>
      </c>
      <c r="D5430">
        <v>4</v>
      </c>
      <c r="E5430">
        <v>30859617</v>
      </c>
      <c r="F5430" t="s">
        <v>1839</v>
      </c>
      <c r="G5430" s="1">
        <v>45237</v>
      </c>
      <c r="H5430">
        <v>5414338</v>
      </c>
      <c r="I5430">
        <v>424</v>
      </c>
      <c r="J5430" t="s">
        <v>146</v>
      </c>
      <c r="K5430" t="str">
        <f>IFERROR(IF(AND(VLOOKUP($C5430,Hes!$A:$B, 1, FALSE), $M5430&lt;&gt;" "), "Ingresada", "Falta Ingresar"), " ")</f>
        <v xml:space="preserve"> </v>
      </c>
      <c r="L5430" s="4" t="str">
        <f>IFERROR(VLOOKUP($C5430,Observaciones!$A:$B,2,FALSE)," ")</f>
        <v xml:space="preserve"> </v>
      </c>
      <c r="M5430" t="s">
        <v>681</v>
      </c>
      <c r="O5430" s="5">
        <v>30859617</v>
      </c>
      <c r="P5430" s="5">
        <v>51534</v>
      </c>
      <c r="Q5430" s="5">
        <v>9791</v>
      </c>
      <c r="R5430" s="5">
        <v>61325</v>
      </c>
    </row>
    <row r="5431" spans="1:18" x14ac:dyDescent="0.25">
      <c r="A5431" t="s">
        <v>501</v>
      </c>
      <c r="B5431" t="s">
        <v>494</v>
      </c>
      <c r="C5431">
        <v>96896480</v>
      </c>
      <c r="D5431">
        <v>29</v>
      </c>
      <c r="E5431">
        <v>30858391</v>
      </c>
      <c r="F5431" t="s">
        <v>1839</v>
      </c>
      <c r="G5431" s="1">
        <v>45238</v>
      </c>
      <c r="H5431">
        <v>5414646</v>
      </c>
      <c r="I5431">
        <v>424</v>
      </c>
      <c r="J5431" t="s">
        <v>146</v>
      </c>
      <c r="K5431" t="str">
        <f>IFERROR(IF(AND(VLOOKUP($C5431,Hes!$A:$B, 1, FALSE), $M5431&lt;&gt;" "), "Ingresada", "Falta Ingresar"), " ")</f>
        <v xml:space="preserve"> </v>
      </c>
      <c r="L5431" s="4" t="str">
        <f>IFERROR(VLOOKUP($C5431,Observaciones!$A:$B,2,FALSE)," ")</f>
        <v xml:space="preserve"> </v>
      </c>
      <c r="M5431" t="s">
        <v>681</v>
      </c>
      <c r="O5431" s="5">
        <v>30858391</v>
      </c>
      <c r="P5431" s="5">
        <v>199923</v>
      </c>
      <c r="Q5431" s="5">
        <v>37985</v>
      </c>
      <c r="R5431" s="5">
        <v>237908</v>
      </c>
    </row>
    <row r="5432" spans="1:18" x14ac:dyDescent="0.25">
      <c r="A5432" t="s">
        <v>501</v>
      </c>
      <c r="B5432" t="s">
        <v>494</v>
      </c>
      <c r="C5432">
        <v>96896480</v>
      </c>
      <c r="D5432">
        <v>9</v>
      </c>
      <c r="E5432">
        <v>30859601</v>
      </c>
      <c r="F5432" t="s">
        <v>1839</v>
      </c>
      <c r="G5432" s="1">
        <v>45238</v>
      </c>
      <c r="H5432">
        <v>5414664</v>
      </c>
      <c r="I5432">
        <v>424</v>
      </c>
      <c r="J5432" t="s">
        <v>146</v>
      </c>
      <c r="K5432" t="str">
        <f>IFERROR(IF(AND(VLOOKUP($C5432,Hes!$A:$B, 1, FALSE), $M5432&lt;&gt;" "), "Ingresada", "Falta Ingresar"), " ")</f>
        <v xml:space="preserve"> </v>
      </c>
      <c r="L5432" s="4" t="str">
        <f>IFERROR(VLOOKUP($C5432,Observaciones!$A:$B,2,FALSE)," ")</f>
        <v xml:space="preserve"> </v>
      </c>
      <c r="M5432" t="s">
        <v>681</v>
      </c>
      <c r="O5432" s="5">
        <v>30859601</v>
      </c>
      <c r="P5432" s="5">
        <v>94963</v>
      </c>
      <c r="Q5432" s="5">
        <v>18043</v>
      </c>
      <c r="R5432" s="5">
        <v>113006</v>
      </c>
    </row>
    <row r="5433" spans="1:18" x14ac:dyDescent="0.25">
      <c r="A5433" t="s">
        <v>501</v>
      </c>
      <c r="B5433" t="s">
        <v>494</v>
      </c>
      <c r="C5433">
        <v>96896480</v>
      </c>
      <c r="D5433">
        <v>16</v>
      </c>
      <c r="E5433">
        <v>30861929</v>
      </c>
      <c r="F5433" t="s">
        <v>1839</v>
      </c>
      <c r="G5433" s="1">
        <v>45238</v>
      </c>
      <c r="H5433">
        <v>5414907</v>
      </c>
      <c r="I5433">
        <v>424</v>
      </c>
      <c r="J5433" t="s">
        <v>146</v>
      </c>
      <c r="K5433" t="str">
        <f>IFERROR(IF(AND(VLOOKUP($C5433,Hes!$A:$B, 1, FALSE), $M5433&lt;&gt;" "), "Ingresada", "Falta Ingresar"), " ")</f>
        <v xml:space="preserve"> </v>
      </c>
      <c r="L5433" s="4" t="str">
        <f>IFERROR(VLOOKUP($C5433,Observaciones!$A:$B,2,FALSE)," ")</f>
        <v xml:space="preserve"> </v>
      </c>
      <c r="M5433" t="s">
        <v>681</v>
      </c>
      <c r="O5433" s="5">
        <v>30861929</v>
      </c>
      <c r="P5433" s="5">
        <v>22250</v>
      </c>
      <c r="Q5433" s="5">
        <v>4228</v>
      </c>
      <c r="R5433" s="5">
        <v>26478</v>
      </c>
    </row>
    <row r="5434" spans="1:18" x14ac:dyDescent="0.25">
      <c r="F5434" t="s">
        <v>537</v>
      </c>
      <c r="K5434" t="str">
        <f>IFERROR(IF(AND(VLOOKUP($C5434,Hes!$A:$B, 1, FALSE), $M5434&lt;&gt;" "), "Ingresada", "Falta Ingresar"), " ")</f>
        <v xml:space="preserve"> </v>
      </c>
      <c r="L5434" s="4" t="str">
        <f>IFERROR(VLOOKUP($C5434,Observaciones!$A:$B,2,FALSE)," ")</f>
        <v xml:space="preserve"> </v>
      </c>
      <c r="M5434" t="s">
        <v>681</v>
      </c>
      <c r="P5434" s="5">
        <v>1140975</v>
      </c>
      <c r="Q5434" s="5">
        <v>216785</v>
      </c>
      <c r="R5434" s="5">
        <v>1357760</v>
      </c>
    </row>
    <row r="5435" spans="1:18" x14ac:dyDescent="0.25">
      <c r="A5435" t="s">
        <v>1840</v>
      </c>
      <c r="B5435" t="s">
        <v>494</v>
      </c>
      <c r="C5435">
        <v>96899100</v>
      </c>
      <c r="D5435">
        <v>2</v>
      </c>
      <c r="E5435">
        <v>91303</v>
      </c>
      <c r="F5435" t="s">
        <v>1841</v>
      </c>
      <c r="G5435" s="1">
        <v>45236</v>
      </c>
      <c r="H5435">
        <v>5413464</v>
      </c>
      <c r="I5435">
        <v>195</v>
      </c>
      <c r="J5435" t="s">
        <v>406</v>
      </c>
      <c r="K5435" t="str">
        <f>IFERROR(IF(AND(VLOOKUP($C5435,Hes!$A:$B, 1, FALSE), $M5435&lt;&gt;" "), "Ingresada", "Falta Ingresar"), " ")</f>
        <v xml:space="preserve"> </v>
      </c>
      <c r="L5435" s="4" t="str">
        <f>IFERROR(VLOOKUP($C5435,Observaciones!$A:$B,2,FALSE)," ")</f>
        <v>XOC Y CC INDIVIDUAL</v>
      </c>
      <c r="M5435" t="s">
        <v>681</v>
      </c>
      <c r="O5435" s="5">
        <v>30835028</v>
      </c>
      <c r="P5435" s="5">
        <v>194583</v>
      </c>
      <c r="Q5435" s="5">
        <v>36971</v>
      </c>
      <c r="R5435" s="5">
        <v>231554</v>
      </c>
    </row>
    <row r="5436" spans="1:18" x14ac:dyDescent="0.25">
      <c r="A5436" t="s">
        <v>1840</v>
      </c>
      <c r="B5436" t="s">
        <v>494</v>
      </c>
      <c r="C5436">
        <v>96899100</v>
      </c>
      <c r="D5436">
        <v>6</v>
      </c>
      <c r="E5436">
        <v>91289</v>
      </c>
      <c r="F5436" t="s">
        <v>1841</v>
      </c>
      <c r="G5436" s="1">
        <v>45236</v>
      </c>
      <c r="H5436">
        <v>5413735</v>
      </c>
      <c r="I5436">
        <v>195</v>
      </c>
      <c r="J5436" t="s">
        <v>406</v>
      </c>
      <c r="K5436" t="str">
        <f>IFERROR(IF(AND(VLOOKUP($C5436,Hes!$A:$B, 1, FALSE), $M5436&lt;&gt;" "), "Ingresada", "Falta Ingresar"), " ")</f>
        <v xml:space="preserve"> </v>
      </c>
      <c r="L5436" s="4" t="str">
        <f>IFERROR(VLOOKUP($C5436,Observaciones!$A:$B,2,FALSE)," ")</f>
        <v>XOC Y CC INDIVIDUAL</v>
      </c>
      <c r="M5436" t="s">
        <v>681</v>
      </c>
      <c r="O5436" s="5">
        <v>30841487</v>
      </c>
      <c r="P5436" s="5">
        <v>361991</v>
      </c>
      <c r="Q5436" s="5">
        <v>68778</v>
      </c>
      <c r="R5436" s="5">
        <v>438425</v>
      </c>
    </row>
    <row r="5437" spans="1:18" x14ac:dyDescent="0.25">
      <c r="F5437" t="s">
        <v>497</v>
      </c>
      <c r="K5437" t="str">
        <f>IFERROR(IF(AND(VLOOKUP($C5437,Hes!$A:$B, 1, FALSE), $M5437&lt;&gt;" "), "Ingresada", "Falta Ingresar"), " ")</f>
        <v xml:space="preserve"> </v>
      </c>
      <c r="L5437" s="4" t="str">
        <f>IFERROR(VLOOKUP($C5437,Observaciones!$A:$B,2,FALSE)," ")</f>
        <v xml:space="preserve"> </v>
      </c>
      <c r="M5437" t="s">
        <v>681</v>
      </c>
      <c r="P5437" s="5">
        <v>556574</v>
      </c>
      <c r="Q5437" s="5">
        <v>105749</v>
      </c>
      <c r="R5437" s="5">
        <v>669979</v>
      </c>
    </row>
    <row r="5438" spans="1:18" x14ac:dyDescent="0.25">
      <c r="A5438" t="s">
        <v>503</v>
      </c>
      <c r="B5438" t="s">
        <v>494</v>
      </c>
      <c r="C5438">
        <v>96908870</v>
      </c>
      <c r="D5438">
        <v>13</v>
      </c>
      <c r="E5438">
        <v>4700448388</v>
      </c>
      <c r="F5438" t="s">
        <v>1842</v>
      </c>
      <c r="G5438" s="1">
        <v>45237</v>
      </c>
      <c r="H5438">
        <v>5414874</v>
      </c>
      <c r="I5438">
        <v>392</v>
      </c>
      <c r="J5438" t="s">
        <v>228</v>
      </c>
      <c r="K5438" s="8" t="str">
        <f>IFERROR(IF(AND(VLOOKUP($C5438,Hes!$A:$B, 1, FALSE), $M5438&lt;&gt;" "), "Ingresada", "Falta Ingresar"), " ")</f>
        <v>Falta Ingresar</v>
      </c>
      <c r="L5438" s="4" t="str">
        <f>IFERROR(VLOOKUP($C5438,Observaciones!$A:$B,2,FALSE)," ")</f>
        <v>LLEVA HES</v>
      </c>
      <c r="M5438" t="s">
        <v>681</v>
      </c>
      <c r="N5438" s="5" t="s">
        <v>841</v>
      </c>
      <c r="O5438" s="5">
        <v>30785924</v>
      </c>
      <c r="P5438" s="5">
        <v>460176</v>
      </c>
      <c r="Q5438" s="5">
        <v>87433</v>
      </c>
      <c r="R5438" s="5">
        <v>547609</v>
      </c>
    </row>
    <row r="5439" spans="1:18" x14ac:dyDescent="0.25">
      <c r="F5439" t="s">
        <v>495</v>
      </c>
      <c r="K5439" t="str">
        <f>IFERROR(IF(AND(VLOOKUP($C5439,Hes!$A:$B, 1, FALSE), $M5439&lt;&gt;" "), "Ingresada", "Falta Ingresar"), " ")</f>
        <v xml:space="preserve"> </v>
      </c>
      <c r="L5439" s="4" t="str">
        <f>IFERROR(VLOOKUP($C5439,Observaciones!$A:$B,2,FALSE)," ")</f>
        <v xml:space="preserve"> </v>
      </c>
      <c r="M5439" t="s">
        <v>681</v>
      </c>
      <c r="P5439" s="5">
        <v>460176</v>
      </c>
      <c r="Q5439" s="5">
        <v>87433</v>
      </c>
      <c r="R5439" s="5">
        <v>547609</v>
      </c>
    </row>
    <row r="5440" spans="1:18" x14ac:dyDescent="0.25">
      <c r="A5440" t="s">
        <v>501</v>
      </c>
      <c r="B5440" t="s">
        <v>494</v>
      </c>
      <c r="C5440">
        <v>96908930</v>
      </c>
      <c r="D5440">
        <v>0</v>
      </c>
      <c r="E5440">
        <v>285525</v>
      </c>
      <c r="F5440" t="s">
        <v>1843</v>
      </c>
      <c r="G5440" s="1">
        <v>45238</v>
      </c>
      <c r="H5440">
        <v>5414519</v>
      </c>
      <c r="I5440">
        <v>456</v>
      </c>
      <c r="J5440" t="s">
        <v>275</v>
      </c>
      <c r="K5440" t="str">
        <f>IFERROR(IF(AND(VLOOKUP($C5440,Hes!$A:$B, 1, FALSE), $M5440&lt;&gt;" "), "Ingresada", "Falta Ingresar"), " ")</f>
        <v xml:space="preserve"> </v>
      </c>
      <c r="L5440" s="4" t="str">
        <f>IFERROR(VLOOKUP($C5440,Observaciones!$A:$B,2,FALSE)," ")</f>
        <v xml:space="preserve"> </v>
      </c>
      <c r="M5440" t="s">
        <v>681</v>
      </c>
      <c r="O5440" s="5">
        <v>30847294</v>
      </c>
      <c r="P5440" s="5">
        <v>196650</v>
      </c>
      <c r="Q5440" s="5">
        <v>37364</v>
      </c>
      <c r="R5440" s="5">
        <v>234014</v>
      </c>
    </row>
    <row r="5441" spans="1:18" x14ac:dyDescent="0.25">
      <c r="F5441" t="s">
        <v>495</v>
      </c>
      <c r="K5441" t="str">
        <f>IFERROR(IF(AND(VLOOKUP($C5441,Hes!$A:$B, 1, FALSE), $M5441&lt;&gt;" "), "Ingresada", "Falta Ingresar"), " ")</f>
        <v xml:space="preserve"> </v>
      </c>
      <c r="L5441" s="4" t="str">
        <f>IFERROR(VLOOKUP($C5441,Observaciones!$A:$B,2,FALSE)," ")</f>
        <v xml:space="preserve"> </v>
      </c>
      <c r="M5441" t="s">
        <v>681</v>
      </c>
      <c r="P5441" s="5">
        <v>196650</v>
      </c>
      <c r="Q5441" s="5">
        <v>37364</v>
      </c>
      <c r="R5441" s="5">
        <v>234014</v>
      </c>
    </row>
    <row r="5442" spans="1:18" x14ac:dyDescent="0.25">
      <c r="A5442" t="s">
        <v>881</v>
      </c>
      <c r="B5442" t="s">
        <v>494</v>
      </c>
      <c r="C5442">
        <v>96911930</v>
      </c>
      <c r="D5442">
        <v>0</v>
      </c>
      <c r="E5442">
        <v>19843</v>
      </c>
      <c r="F5442" t="s">
        <v>1844</v>
      </c>
      <c r="G5442" s="1">
        <v>45233</v>
      </c>
      <c r="H5442">
        <v>5411626</v>
      </c>
      <c r="I5442">
        <v>52</v>
      </c>
      <c r="J5442" t="s">
        <v>311</v>
      </c>
      <c r="K5442" t="str">
        <f>IFERROR(IF(AND(VLOOKUP($C5442,Hes!$A:$B, 1, FALSE), $M5442&lt;&gt;" "), "Ingresada", "Falta Ingresar"), " ")</f>
        <v xml:space="preserve"> </v>
      </c>
      <c r="L5442" s="4" t="str">
        <f>IFERROR(VLOOKUP($C5442,Observaciones!$A:$B,2,FALSE)," ")</f>
        <v xml:space="preserve"> </v>
      </c>
      <c r="M5442" t="s">
        <v>681</v>
      </c>
      <c r="O5442" s="5">
        <v>30843370</v>
      </c>
      <c r="P5442" s="5">
        <v>118385</v>
      </c>
      <c r="Q5442" s="5">
        <v>22493</v>
      </c>
      <c r="R5442" s="5">
        <v>140878</v>
      </c>
    </row>
    <row r="5443" spans="1:18" x14ac:dyDescent="0.25">
      <c r="A5443" t="s">
        <v>881</v>
      </c>
      <c r="B5443" t="s">
        <v>494</v>
      </c>
      <c r="C5443">
        <v>96911930</v>
      </c>
      <c r="D5443">
        <v>0</v>
      </c>
      <c r="E5443">
        <v>19851</v>
      </c>
      <c r="F5443" t="s">
        <v>1844</v>
      </c>
      <c r="G5443" s="1">
        <v>45236</v>
      </c>
      <c r="H5443">
        <v>5413396</v>
      </c>
      <c r="I5443">
        <v>52</v>
      </c>
      <c r="J5443" t="s">
        <v>311</v>
      </c>
      <c r="K5443" t="str">
        <f>IFERROR(IF(AND(VLOOKUP($C5443,Hes!$A:$B, 1, FALSE), $M5443&lt;&gt;" "), "Ingresada", "Falta Ingresar"), " ")</f>
        <v xml:space="preserve"> </v>
      </c>
      <c r="L5443" s="4" t="str">
        <f>IFERROR(VLOOKUP($C5443,Observaciones!$A:$B,2,FALSE)," ")</f>
        <v xml:space="preserve"> </v>
      </c>
      <c r="M5443" t="s">
        <v>681</v>
      </c>
      <c r="O5443" s="5">
        <v>30845886</v>
      </c>
      <c r="P5443" s="5">
        <v>61780</v>
      </c>
      <c r="Q5443" s="5">
        <v>11738</v>
      </c>
      <c r="R5443" s="5">
        <v>73518</v>
      </c>
    </row>
    <row r="5444" spans="1:18" x14ac:dyDescent="0.25">
      <c r="F5444" t="s">
        <v>497</v>
      </c>
      <c r="K5444" t="str">
        <f>IFERROR(IF(AND(VLOOKUP($C5444,Hes!$A:$B, 1, FALSE), $M5444&lt;&gt;" "), "Ingresada", "Falta Ingresar"), " ")</f>
        <v xml:space="preserve"> </v>
      </c>
      <c r="L5444" s="4" t="str">
        <f>IFERROR(VLOOKUP($C5444,Observaciones!$A:$B,2,FALSE)," ")</f>
        <v xml:space="preserve"> </v>
      </c>
      <c r="M5444" t="s">
        <v>681</v>
      </c>
      <c r="P5444" s="5">
        <v>180165</v>
      </c>
      <c r="Q5444" s="5">
        <v>34231</v>
      </c>
      <c r="R5444" s="5">
        <v>214396</v>
      </c>
    </row>
    <row r="5445" spans="1:18" x14ac:dyDescent="0.25">
      <c r="A5445" t="s">
        <v>503</v>
      </c>
      <c r="B5445" t="s">
        <v>494</v>
      </c>
      <c r="C5445">
        <v>96912440</v>
      </c>
      <c r="D5445">
        <v>1</v>
      </c>
      <c r="E5445">
        <v>4501020984</v>
      </c>
      <c r="F5445" t="s">
        <v>1845</v>
      </c>
      <c r="G5445" s="1">
        <v>45231</v>
      </c>
      <c r="H5445">
        <v>5410647</v>
      </c>
      <c r="I5445">
        <v>344</v>
      </c>
      <c r="J5445" t="s">
        <v>301</v>
      </c>
      <c r="K5445" t="str">
        <f>IFERROR(IF(AND(VLOOKUP($C5445,Hes!$A:$B, 1, FALSE), $M5445&lt;&gt;" "), "Ingresada", "Falta Ingresar"), " ")</f>
        <v xml:space="preserve"> </v>
      </c>
      <c r="L5445" s="4" t="str">
        <f>IFERROR(VLOOKUP($C5445,Observaciones!$A:$B,2,FALSE)," ")</f>
        <v xml:space="preserve"> </v>
      </c>
      <c r="M5445" t="s">
        <v>681</v>
      </c>
      <c r="O5445" s="5">
        <v>30828547</v>
      </c>
      <c r="P5445" s="5">
        <v>1100644</v>
      </c>
      <c r="Q5445" s="5">
        <v>209122</v>
      </c>
      <c r="R5445" s="5">
        <v>1309766</v>
      </c>
    </row>
    <row r="5446" spans="1:18" x14ac:dyDescent="0.25">
      <c r="A5446" t="s">
        <v>503</v>
      </c>
      <c r="B5446" t="s">
        <v>494</v>
      </c>
      <c r="C5446">
        <v>96912440</v>
      </c>
      <c r="D5446">
        <v>1</v>
      </c>
      <c r="E5446">
        <v>4501020984</v>
      </c>
      <c r="F5446" t="s">
        <v>1845</v>
      </c>
      <c r="G5446" s="1">
        <v>45238</v>
      </c>
      <c r="H5446">
        <v>5415047</v>
      </c>
      <c r="I5446">
        <v>344</v>
      </c>
      <c r="J5446" t="s">
        <v>301</v>
      </c>
      <c r="K5446" t="str">
        <f>IFERROR(IF(AND(VLOOKUP($C5446,Hes!$A:$B, 1, FALSE), $M5446&lt;&gt;" "), "Ingresada", "Falta Ingresar"), " ")</f>
        <v xml:space="preserve"> </v>
      </c>
      <c r="L5446" s="4" t="str">
        <f>IFERROR(VLOOKUP($C5446,Observaciones!$A:$B,2,FALSE)," ")</f>
        <v xml:space="preserve"> </v>
      </c>
      <c r="M5446" t="s">
        <v>681</v>
      </c>
      <c r="O5446" s="5">
        <v>30864216</v>
      </c>
      <c r="P5446" s="5">
        <v>47180</v>
      </c>
      <c r="Q5446" s="5">
        <v>8964</v>
      </c>
      <c r="R5446" s="5">
        <v>56144</v>
      </c>
    </row>
    <row r="5447" spans="1:18" x14ac:dyDescent="0.25">
      <c r="A5447" t="s">
        <v>503</v>
      </c>
      <c r="B5447" t="s">
        <v>494</v>
      </c>
      <c r="C5447">
        <v>96912440</v>
      </c>
      <c r="D5447">
        <v>0</v>
      </c>
      <c r="E5447">
        <v>4501021698</v>
      </c>
      <c r="F5447" t="s">
        <v>1845</v>
      </c>
      <c r="G5447" s="1">
        <v>45238</v>
      </c>
      <c r="H5447">
        <v>5415214</v>
      </c>
      <c r="I5447">
        <v>344</v>
      </c>
      <c r="J5447" t="s">
        <v>301</v>
      </c>
      <c r="K5447" t="str">
        <f>IFERROR(IF(AND(VLOOKUP($C5447,Hes!$A:$B, 1, FALSE), $M5447&lt;&gt;" "), "Ingresada", "Falta Ingresar"), " ")</f>
        <v xml:space="preserve"> </v>
      </c>
      <c r="L5447" s="4" t="str">
        <f>IFERROR(VLOOKUP($C5447,Observaciones!$A:$B,2,FALSE)," ")</f>
        <v xml:space="preserve"> </v>
      </c>
      <c r="M5447" t="s">
        <v>681</v>
      </c>
      <c r="O5447" s="5">
        <v>30840881</v>
      </c>
      <c r="P5447" s="5">
        <v>174600</v>
      </c>
      <c r="Q5447" s="5">
        <v>33174</v>
      </c>
      <c r="R5447" s="5">
        <v>207774</v>
      </c>
    </row>
    <row r="5448" spans="1:18" x14ac:dyDescent="0.25">
      <c r="F5448" t="s">
        <v>500</v>
      </c>
      <c r="K5448" t="str">
        <f>IFERROR(IF(AND(VLOOKUP($C5448,Hes!$A:$B, 1, FALSE), $M5448&lt;&gt;" "), "Ingresada", "Falta Ingresar"), " ")</f>
        <v xml:space="preserve"> </v>
      </c>
      <c r="L5448" s="4" t="str">
        <f>IFERROR(VLOOKUP($C5448,Observaciones!$A:$B,2,FALSE)," ")</f>
        <v xml:space="preserve"> </v>
      </c>
      <c r="M5448" t="s">
        <v>681</v>
      </c>
      <c r="P5448" s="5">
        <v>1322424</v>
      </c>
      <c r="Q5448" s="5">
        <v>251260</v>
      </c>
      <c r="R5448" s="5">
        <v>1573684</v>
      </c>
    </row>
    <row r="5449" spans="1:18" x14ac:dyDescent="0.25">
      <c r="A5449" t="s">
        <v>522</v>
      </c>
      <c r="B5449" t="s">
        <v>494</v>
      </c>
      <c r="C5449">
        <v>96914620</v>
      </c>
      <c r="D5449">
        <v>1</v>
      </c>
      <c r="E5449">
        <v>30846806</v>
      </c>
      <c r="F5449" t="s">
        <v>1846</v>
      </c>
      <c r="G5449" s="1">
        <v>45232</v>
      </c>
      <c r="H5449">
        <v>5411077</v>
      </c>
      <c r="I5449">
        <v>134</v>
      </c>
      <c r="J5449" t="s">
        <v>208</v>
      </c>
      <c r="K5449" t="str">
        <f>IFERROR(IF(AND(VLOOKUP($C5449,Hes!$A:$B, 1, FALSE), $M5449&lt;&gt;" "), "Ingresada", "Falta Ingresar"), " ")</f>
        <v xml:space="preserve"> </v>
      </c>
      <c r="L5449" s="4" t="s">
        <v>681</v>
      </c>
      <c r="M5449" t="s">
        <v>681</v>
      </c>
      <c r="O5449" s="5">
        <v>30846806</v>
      </c>
      <c r="P5449" s="5">
        <v>471592</v>
      </c>
      <c r="Q5449" s="5">
        <v>89602</v>
      </c>
      <c r="R5449" s="5">
        <v>581637</v>
      </c>
    </row>
    <row r="5450" spans="1:18" x14ac:dyDescent="0.25">
      <c r="A5450" t="s">
        <v>522</v>
      </c>
      <c r="B5450" t="s">
        <v>494</v>
      </c>
      <c r="C5450">
        <v>96914620</v>
      </c>
      <c r="D5450">
        <v>1</v>
      </c>
      <c r="E5450">
        <v>30846806</v>
      </c>
      <c r="F5450" t="s">
        <v>1847</v>
      </c>
      <c r="G5450" s="1">
        <v>45232</v>
      </c>
      <c r="H5450">
        <v>5411078</v>
      </c>
      <c r="I5450">
        <v>134</v>
      </c>
      <c r="J5450" t="s">
        <v>208</v>
      </c>
      <c r="K5450" t="str">
        <f>IFERROR(IF(AND(VLOOKUP($C5450,Hes!$A:$B, 1, FALSE), $M5450&lt;&gt;" "), "Ingresada", "Falta Ingresar"), " ")</f>
        <v xml:space="preserve"> </v>
      </c>
      <c r="L5450" s="4" t="s">
        <v>681</v>
      </c>
      <c r="M5450" t="s">
        <v>681</v>
      </c>
      <c r="O5450" s="5">
        <v>30846806</v>
      </c>
      <c r="P5450" s="5">
        <v>3432</v>
      </c>
      <c r="Q5450" s="5">
        <v>652</v>
      </c>
      <c r="R5450" s="5">
        <v>4084</v>
      </c>
    </row>
    <row r="5451" spans="1:18" x14ac:dyDescent="0.25">
      <c r="F5451" t="s">
        <v>497</v>
      </c>
      <c r="K5451" t="str">
        <f>IFERROR(IF(AND(VLOOKUP($C5451,Hes!$A:$B, 1, FALSE), $M5451&lt;&gt;" "), "Ingresada", "Falta Ingresar"), " ")</f>
        <v xml:space="preserve"> </v>
      </c>
      <c r="L5451" s="4" t="str">
        <f>IFERROR(VLOOKUP($C5451,Observaciones!$A:$B,2,FALSE)," ")</f>
        <v xml:space="preserve"> </v>
      </c>
      <c r="M5451" t="s">
        <v>681</v>
      </c>
      <c r="P5451" s="5">
        <v>475024</v>
      </c>
      <c r="Q5451" s="5">
        <v>90254</v>
      </c>
      <c r="R5451" s="5">
        <v>585721</v>
      </c>
    </row>
    <row r="5452" spans="1:18" x14ac:dyDescent="0.25">
      <c r="A5452" t="s">
        <v>501</v>
      </c>
      <c r="B5452" t="s">
        <v>509</v>
      </c>
      <c r="C5452">
        <v>96915310</v>
      </c>
      <c r="D5452">
        <v>0</v>
      </c>
      <c r="E5452">
        <v>30855741</v>
      </c>
      <c r="F5452" t="s">
        <v>1848</v>
      </c>
      <c r="G5452" s="1">
        <v>45236</v>
      </c>
      <c r="H5452">
        <v>5413379</v>
      </c>
      <c r="I5452">
        <v>349</v>
      </c>
      <c r="J5452" t="s">
        <v>364</v>
      </c>
      <c r="K5452" t="str">
        <f>IFERROR(IF(AND(VLOOKUP($C5452,Hes!$A:$B, 1, FALSE), $M5452&lt;&gt;" "), "Ingresada", "Falta Ingresar"), " ")</f>
        <v xml:space="preserve"> </v>
      </c>
      <c r="L5452" s="4" t="str">
        <f>IFERROR(VLOOKUP($C5452,Observaciones!$A:$B,2,FALSE)," ")</f>
        <v xml:space="preserve"> </v>
      </c>
      <c r="M5452" t="s">
        <v>681</v>
      </c>
      <c r="O5452" s="5">
        <v>30855741</v>
      </c>
      <c r="P5452" s="5">
        <v>324175</v>
      </c>
      <c r="Q5452" s="5">
        <v>61593</v>
      </c>
      <c r="R5452" s="5">
        <v>385768</v>
      </c>
    </row>
    <row r="5453" spans="1:18" x14ac:dyDescent="0.25">
      <c r="F5453" t="s">
        <v>495</v>
      </c>
      <c r="K5453" t="str">
        <f>IFERROR(IF(AND(VLOOKUP($C5453,Hes!$A:$B, 1, FALSE), $M5453&lt;&gt;" "), "Ingresada", "Falta Ingresar"), " ")</f>
        <v xml:space="preserve"> </v>
      </c>
      <c r="L5453" s="4" t="str">
        <f>IFERROR(VLOOKUP($C5453,Observaciones!$A:$B,2,FALSE)," ")</f>
        <v xml:space="preserve"> </v>
      </c>
      <c r="M5453" t="s">
        <v>681</v>
      </c>
      <c r="P5453" s="5">
        <v>324175</v>
      </c>
      <c r="Q5453" s="5">
        <v>61593</v>
      </c>
      <c r="R5453" s="5">
        <v>385768</v>
      </c>
    </row>
    <row r="5454" spans="1:18" x14ac:dyDescent="0.25">
      <c r="A5454" t="s">
        <v>503</v>
      </c>
      <c r="B5454" t="s">
        <v>494</v>
      </c>
      <c r="C5454">
        <v>96919980</v>
      </c>
      <c r="D5454">
        <v>0</v>
      </c>
      <c r="E5454">
        <v>4502172991</v>
      </c>
      <c r="F5454" t="s">
        <v>1849</v>
      </c>
      <c r="G5454" s="1">
        <v>45232</v>
      </c>
      <c r="H5454">
        <v>5411153</v>
      </c>
      <c r="I5454">
        <v>100</v>
      </c>
      <c r="J5454" t="s">
        <v>384</v>
      </c>
      <c r="K5454" s="8" t="str">
        <f>IFERROR(IF(AND(VLOOKUP($C5454,Hes!$A:$B, 1, FALSE), $M5454&lt;&gt;" "), "Ingresada", "Falta Ingresar"), " ")</f>
        <v>Falta Ingresar</v>
      </c>
      <c r="L5454" s="4" t="str">
        <f>IFERROR(VLOOKUP($C5454,Observaciones!$A:$B,2,FALSE)," ")</f>
        <v xml:space="preserve"> </v>
      </c>
      <c r="M5454" t="s">
        <v>681</v>
      </c>
      <c r="N5454" s="5" t="s">
        <v>841</v>
      </c>
      <c r="O5454" s="5">
        <v>30848709</v>
      </c>
      <c r="P5454" s="5">
        <v>422986</v>
      </c>
      <c r="Q5454" s="5">
        <v>80367</v>
      </c>
      <c r="R5454" s="5">
        <v>503353</v>
      </c>
    </row>
    <row r="5455" spans="1:18" x14ac:dyDescent="0.25">
      <c r="A5455" t="s">
        <v>503</v>
      </c>
      <c r="B5455" t="s">
        <v>494</v>
      </c>
      <c r="C5455">
        <v>96919980</v>
      </c>
      <c r="D5455">
        <v>0</v>
      </c>
      <c r="E5455">
        <v>4502173965</v>
      </c>
      <c r="F5455" t="s">
        <v>1849</v>
      </c>
      <c r="G5455" s="1">
        <v>45236</v>
      </c>
      <c r="H5455">
        <v>5413566</v>
      </c>
      <c r="I5455">
        <v>100</v>
      </c>
      <c r="J5455" t="s">
        <v>384</v>
      </c>
      <c r="K5455" s="8" t="str">
        <f>IFERROR(IF(AND(VLOOKUP($C5455,Hes!$A:$B, 1, FALSE), $M5455&lt;&gt;" "), "Ingresada", "Falta Ingresar"), " ")</f>
        <v>Falta Ingresar</v>
      </c>
      <c r="L5455" s="4" t="str">
        <f>IFERROR(VLOOKUP($C5455,Observaciones!$A:$B,2,FALSE)," ")</f>
        <v xml:space="preserve"> </v>
      </c>
      <c r="M5455" t="s">
        <v>681</v>
      </c>
      <c r="N5455" s="5" t="s">
        <v>841</v>
      </c>
      <c r="O5455" s="5">
        <v>30852894</v>
      </c>
      <c r="P5455" s="5">
        <v>421716</v>
      </c>
      <c r="Q5455" s="5">
        <v>80126</v>
      </c>
      <c r="R5455" s="5">
        <v>501842</v>
      </c>
    </row>
    <row r="5456" spans="1:18" x14ac:dyDescent="0.25">
      <c r="A5456" t="s">
        <v>503</v>
      </c>
      <c r="B5456" t="s">
        <v>494</v>
      </c>
      <c r="C5456">
        <v>96919980</v>
      </c>
      <c r="D5456">
        <v>0</v>
      </c>
      <c r="E5456">
        <v>4502173965</v>
      </c>
      <c r="F5456" t="s">
        <v>1849</v>
      </c>
      <c r="G5456" s="1">
        <v>45236</v>
      </c>
      <c r="H5456">
        <v>5413567</v>
      </c>
      <c r="I5456">
        <v>100</v>
      </c>
      <c r="J5456" t="s">
        <v>384</v>
      </c>
      <c r="K5456" s="8" t="str">
        <f>IFERROR(IF(AND(VLOOKUP($C5456,Hes!$A:$B, 1, FALSE), $M5456&lt;&gt;" "), "Ingresada", "Falta Ingresar"), " ")</f>
        <v>Falta Ingresar</v>
      </c>
      <c r="L5456" s="4" t="str">
        <f>IFERROR(VLOOKUP($C5456,Observaciones!$A:$B,2,FALSE)," ")</f>
        <v xml:space="preserve"> </v>
      </c>
      <c r="M5456" t="s">
        <v>681</v>
      </c>
      <c r="N5456" s="5" t="s">
        <v>841</v>
      </c>
      <c r="O5456" s="5">
        <v>30852894</v>
      </c>
      <c r="P5456" s="5">
        <v>54600</v>
      </c>
      <c r="Q5456" s="5">
        <v>10374</v>
      </c>
      <c r="R5456" s="5">
        <v>64974</v>
      </c>
    </row>
    <row r="5457" spans="1:18" x14ac:dyDescent="0.25">
      <c r="F5457" t="s">
        <v>500</v>
      </c>
      <c r="K5457" t="str">
        <f>IFERROR(IF(AND(VLOOKUP($C5457,Hes!$A:$B, 1, FALSE), $M5457&lt;&gt;" "), "Ingresada", "Falta Ingresar"), " ")</f>
        <v xml:space="preserve"> </v>
      </c>
      <c r="L5457" s="4" t="str">
        <f>IFERROR(VLOOKUP($C5457,Observaciones!$A:$B,2,FALSE)," ")</f>
        <v xml:space="preserve"> </v>
      </c>
      <c r="M5457" t="s">
        <v>681</v>
      </c>
      <c r="P5457" s="5">
        <v>899302</v>
      </c>
      <c r="Q5457" s="5">
        <v>170867</v>
      </c>
      <c r="R5457" s="5">
        <v>1070169</v>
      </c>
    </row>
    <row r="5458" spans="1:18" x14ac:dyDescent="0.25">
      <c r="A5458" t="s">
        <v>503</v>
      </c>
      <c r="B5458" t="s">
        <v>494</v>
      </c>
      <c r="C5458">
        <v>96924780</v>
      </c>
      <c r="D5458">
        <v>12</v>
      </c>
      <c r="E5458" t="s">
        <v>1850</v>
      </c>
      <c r="F5458" t="s">
        <v>1851</v>
      </c>
      <c r="G5458" s="1">
        <v>45231</v>
      </c>
      <c r="H5458">
        <v>5410859</v>
      </c>
      <c r="I5458">
        <v>196</v>
      </c>
      <c r="J5458" t="s">
        <v>382</v>
      </c>
      <c r="K5458" t="str">
        <f>IFERROR(IF(AND(VLOOKUP($C5458,Hes!$A:$B, 1, FALSE), $M5458&lt;&gt;" "), "Ingresada", "Falta Ingresar"), " ")</f>
        <v xml:space="preserve"> </v>
      </c>
      <c r="L5458" s="4" t="s">
        <v>681</v>
      </c>
      <c r="M5458" t="s">
        <v>681</v>
      </c>
      <c r="O5458" s="5">
        <v>30835508</v>
      </c>
      <c r="P5458" s="5">
        <v>1312600</v>
      </c>
      <c r="Q5458" s="5">
        <v>249394</v>
      </c>
      <c r="R5458" s="5">
        <v>1561994</v>
      </c>
    </row>
    <row r="5459" spans="1:18" x14ac:dyDescent="0.25">
      <c r="A5459" t="s">
        <v>503</v>
      </c>
      <c r="B5459" t="s">
        <v>494</v>
      </c>
      <c r="C5459">
        <v>96924780</v>
      </c>
      <c r="D5459">
        <v>2</v>
      </c>
      <c r="E5459" t="s">
        <v>1852</v>
      </c>
      <c r="F5459" t="s">
        <v>1851</v>
      </c>
      <c r="G5459" s="1">
        <v>45231</v>
      </c>
      <c r="H5459">
        <v>5410871</v>
      </c>
      <c r="I5459">
        <v>196</v>
      </c>
      <c r="J5459" t="s">
        <v>382</v>
      </c>
      <c r="K5459" t="str">
        <f>IFERROR(IF(AND(VLOOKUP($C5459,Hes!$A:$B, 1, FALSE), $M5459&lt;&gt;" "), "Ingresada", "Falta Ingresar"), " ")</f>
        <v xml:space="preserve"> </v>
      </c>
      <c r="L5459" s="4" t="s">
        <v>681</v>
      </c>
      <c r="M5459" t="s">
        <v>681</v>
      </c>
      <c r="O5459" s="5">
        <v>30829616</v>
      </c>
      <c r="P5459" s="5">
        <v>979750</v>
      </c>
      <c r="Q5459" s="5">
        <v>186153</v>
      </c>
      <c r="R5459" s="5">
        <v>1165903</v>
      </c>
    </row>
    <row r="5460" spans="1:18" x14ac:dyDescent="0.25">
      <c r="A5460" t="s">
        <v>503</v>
      </c>
      <c r="B5460" t="s">
        <v>494</v>
      </c>
      <c r="C5460">
        <v>96924780</v>
      </c>
      <c r="D5460">
        <v>2</v>
      </c>
      <c r="E5460" t="s">
        <v>1853</v>
      </c>
      <c r="F5460" t="s">
        <v>1851</v>
      </c>
      <c r="G5460" s="1">
        <v>45234</v>
      </c>
      <c r="H5460">
        <v>5411826</v>
      </c>
      <c r="I5460">
        <v>196</v>
      </c>
      <c r="J5460" t="s">
        <v>382</v>
      </c>
      <c r="K5460" t="str">
        <f>IFERROR(IF(AND(VLOOKUP($C5460,Hes!$A:$B, 1, FALSE), $M5460&lt;&gt;" "), "Ingresada", "Falta Ingresar"), " ")</f>
        <v xml:space="preserve"> </v>
      </c>
      <c r="L5460" s="4" t="s">
        <v>681</v>
      </c>
      <c r="M5460" t="s">
        <v>681</v>
      </c>
      <c r="O5460" s="5">
        <v>30847787</v>
      </c>
      <c r="P5460" s="5">
        <v>135650</v>
      </c>
      <c r="Q5460" s="5">
        <v>25774</v>
      </c>
      <c r="R5460" s="5">
        <v>161424</v>
      </c>
    </row>
    <row r="5461" spans="1:18" x14ac:dyDescent="0.25">
      <c r="A5461" t="s">
        <v>503</v>
      </c>
      <c r="B5461" t="s">
        <v>494</v>
      </c>
      <c r="C5461">
        <v>96924780</v>
      </c>
      <c r="D5461">
        <v>11</v>
      </c>
      <c r="E5461" t="s">
        <v>1854</v>
      </c>
      <c r="F5461" t="s">
        <v>1851</v>
      </c>
      <c r="G5461" s="1">
        <v>45237</v>
      </c>
      <c r="H5461">
        <v>5414149</v>
      </c>
      <c r="I5461">
        <v>196</v>
      </c>
      <c r="J5461" t="s">
        <v>382</v>
      </c>
      <c r="K5461" t="str">
        <f>IFERROR(IF(AND(VLOOKUP($C5461,Hes!$A:$B, 1, FALSE), $M5461&lt;&gt;" "), "Ingresada", "Falta Ingresar"), " ")</f>
        <v xml:space="preserve"> </v>
      </c>
      <c r="L5461" s="4" t="s">
        <v>681</v>
      </c>
      <c r="M5461" t="s">
        <v>681</v>
      </c>
      <c r="O5461" s="5">
        <v>30848213</v>
      </c>
      <c r="P5461" s="5">
        <v>173090</v>
      </c>
      <c r="Q5461" s="5">
        <v>32887</v>
      </c>
      <c r="R5461" s="5">
        <v>211293</v>
      </c>
    </row>
    <row r="5462" spans="1:18" x14ac:dyDescent="0.25">
      <c r="A5462" t="s">
        <v>503</v>
      </c>
      <c r="B5462" t="s">
        <v>494</v>
      </c>
      <c r="C5462">
        <v>96924780</v>
      </c>
      <c r="D5462">
        <v>10</v>
      </c>
      <c r="E5462" t="s">
        <v>1855</v>
      </c>
      <c r="F5462" t="s">
        <v>1851</v>
      </c>
      <c r="G5462" s="1">
        <v>45237</v>
      </c>
      <c r="H5462">
        <v>5414378</v>
      </c>
      <c r="I5462">
        <v>196</v>
      </c>
      <c r="J5462" t="s">
        <v>382</v>
      </c>
      <c r="K5462" t="str">
        <f>IFERROR(IF(AND(VLOOKUP($C5462,Hes!$A:$B, 1, FALSE), $M5462&lt;&gt;" "), "Ingresada", "Falta Ingresar"), " ")</f>
        <v xml:space="preserve"> </v>
      </c>
      <c r="L5462" s="4" t="s">
        <v>681</v>
      </c>
      <c r="M5462" t="s">
        <v>681</v>
      </c>
      <c r="O5462" s="5">
        <v>30861680</v>
      </c>
      <c r="P5462" s="5">
        <v>11601</v>
      </c>
      <c r="Q5462" s="5">
        <v>2204</v>
      </c>
      <c r="R5462" s="5">
        <v>13805</v>
      </c>
    </row>
    <row r="5463" spans="1:18" x14ac:dyDescent="0.25">
      <c r="A5463" t="s">
        <v>503</v>
      </c>
      <c r="B5463" t="s">
        <v>494</v>
      </c>
      <c r="C5463">
        <v>96924780</v>
      </c>
      <c r="D5463">
        <v>10</v>
      </c>
      <c r="E5463" t="s">
        <v>1856</v>
      </c>
      <c r="F5463" t="s">
        <v>1851</v>
      </c>
      <c r="G5463" s="1">
        <v>45237</v>
      </c>
      <c r="H5463">
        <v>5414420</v>
      </c>
      <c r="I5463">
        <v>196</v>
      </c>
      <c r="J5463" t="s">
        <v>382</v>
      </c>
      <c r="K5463" t="str">
        <f>IFERROR(IF(AND(VLOOKUP($C5463,Hes!$A:$B, 1, FALSE), $M5463&lt;&gt;" "), "Ingresada", "Falta Ingresar"), " ")</f>
        <v xml:space="preserve"> </v>
      </c>
      <c r="L5463" s="4" t="s">
        <v>681</v>
      </c>
      <c r="M5463" t="s">
        <v>681</v>
      </c>
      <c r="O5463" s="5">
        <v>30840661</v>
      </c>
      <c r="P5463" s="5">
        <v>204698</v>
      </c>
      <c r="Q5463" s="5">
        <v>38893</v>
      </c>
      <c r="R5463" s="5">
        <v>243591</v>
      </c>
    </row>
    <row r="5464" spans="1:18" x14ac:dyDescent="0.25">
      <c r="A5464" t="s">
        <v>503</v>
      </c>
      <c r="B5464" t="s">
        <v>494</v>
      </c>
      <c r="C5464">
        <v>96924780</v>
      </c>
      <c r="D5464">
        <v>10</v>
      </c>
      <c r="E5464" t="s">
        <v>1857</v>
      </c>
      <c r="F5464" t="s">
        <v>1851</v>
      </c>
      <c r="G5464" s="1">
        <v>45237</v>
      </c>
      <c r="H5464">
        <v>5414422</v>
      </c>
      <c r="I5464">
        <v>196</v>
      </c>
      <c r="J5464" t="s">
        <v>382</v>
      </c>
      <c r="K5464" t="str">
        <f>IFERROR(IF(AND(VLOOKUP($C5464,Hes!$A:$B, 1, FALSE), $M5464&lt;&gt;" "), "Ingresada", "Falta Ingresar"), " ")</f>
        <v xml:space="preserve"> </v>
      </c>
      <c r="L5464" s="4" t="s">
        <v>681</v>
      </c>
      <c r="M5464" t="s">
        <v>681</v>
      </c>
      <c r="O5464" s="5">
        <v>30860941</v>
      </c>
      <c r="P5464" s="5">
        <v>103550</v>
      </c>
      <c r="Q5464" s="5">
        <v>19675</v>
      </c>
      <c r="R5464" s="5">
        <v>123225</v>
      </c>
    </row>
    <row r="5465" spans="1:18" x14ac:dyDescent="0.25">
      <c r="A5465" t="s">
        <v>503</v>
      </c>
      <c r="B5465" t="s">
        <v>494</v>
      </c>
      <c r="C5465">
        <v>96924780</v>
      </c>
      <c r="D5465">
        <v>12</v>
      </c>
      <c r="E5465" t="s">
        <v>1858</v>
      </c>
      <c r="F5465" t="s">
        <v>1851</v>
      </c>
      <c r="G5465" s="1">
        <v>45237</v>
      </c>
      <c r="H5465">
        <v>5414510</v>
      </c>
      <c r="I5465">
        <v>196</v>
      </c>
      <c r="J5465" t="s">
        <v>382</v>
      </c>
      <c r="K5465" t="str">
        <f>IFERROR(IF(AND(VLOOKUP($C5465,Hes!$A:$B, 1, FALSE), $M5465&lt;&gt;" "), "Ingresada", "Falta Ingresar"), " ")</f>
        <v xml:space="preserve"> </v>
      </c>
      <c r="L5465" s="4" t="s">
        <v>681</v>
      </c>
      <c r="M5465" t="s">
        <v>681</v>
      </c>
      <c r="O5465" s="5">
        <v>30843936</v>
      </c>
      <c r="P5465" s="5">
        <v>6032760</v>
      </c>
      <c r="Q5465" s="5">
        <v>1146224</v>
      </c>
      <c r="R5465" s="5">
        <v>7178984</v>
      </c>
    </row>
    <row r="5466" spans="1:18" x14ac:dyDescent="0.25">
      <c r="A5466" t="s">
        <v>503</v>
      </c>
      <c r="B5466" t="s">
        <v>494</v>
      </c>
      <c r="C5466">
        <v>96924780</v>
      </c>
      <c r="D5466">
        <v>5</v>
      </c>
      <c r="E5466" t="s">
        <v>1859</v>
      </c>
      <c r="F5466" t="s">
        <v>1851</v>
      </c>
      <c r="G5466" s="1">
        <v>45238</v>
      </c>
      <c r="H5466">
        <v>5414913</v>
      </c>
      <c r="I5466">
        <v>196</v>
      </c>
      <c r="J5466" t="s">
        <v>382</v>
      </c>
      <c r="K5466" t="str">
        <f>IFERROR(IF(AND(VLOOKUP($C5466,Hes!$A:$B, 1, FALSE), $M5466&lt;&gt;" "), "Ingresada", "Falta Ingresar"), " ")</f>
        <v xml:space="preserve"> </v>
      </c>
      <c r="L5466" s="4" t="s">
        <v>681</v>
      </c>
      <c r="M5466" t="s">
        <v>681</v>
      </c>
      <c r="O5466" s="5">
        <v>30861963</v>
      </c>
      <c r="P5466" s="5">
        <v>22994</v>
      </c>
      <c r="Q5466" s="5">
        <v>4369</v>
      </c>
      <c r="R5466" s="5">
        <v>27363</v>
      </c>
    </row>
    <row r="5467" spans="1:18" x14ac:dyDescent="0.25">
      <c r="A5467" t="s">
        <v>503</v>
      </c>
      <c r="B5467" t="s">
        <v>494</v>
      </c>
      <c r="C5467">
        <v>96924780</v>
      </c>
      <c r="D5467">
        <v>11</v>
      </c>
      <c r="E5467" t="s">
        <v>1860</v>
      </c>
      <c r="F5467" t="s">
        <v>1851</v>
      </c>
      <c r="G5467" s="1">
        <v>45238</v>
      </c>
      <c r="H5467">
        <v>5414914</v>
      </c>
      <c r="I5467">
        <v>196</v>
      </c>
      <c r="J5467" t="s">
        <v>382</v>
      </c>
      <c r="K5467" t="str">
        <f>IFERROR(IF(AND(VLOOKUP($C5467,Hes!$A:$B, 1, FALSE), $M5467&lt;&gt;" "), "Ingresada", "Falta Ingresar"), " ")</f>
        <v xml:space="preserve"> </v>
      </c>
      <c r="L5467" s="4" t="s">
        <v>681</v>
      </c>
      <c r="M5467" t="s">
        <v>681</v>
      </c>
      <c r="O5467" s="5">
        <v>30843502</v>
      </c>
      <c r="P5467" s="5">
        <v>321308</v>
      </c>
      <c r="Q5467" s="5">
        <v>61049</v>
      </c>
      <c r="R5467" s="5">
        <v>382357</v>
      </c>
    </row>
    <row r="5468" spans="1:18" x14ac:dyDescent="0.25">
      <c r="A5468" t="s">
        <v>503</v>
      </c>
      <c r="B5468" t="s">
        <v>494</v>
      </c>
      <c r="C5468">
        <v>96924780</v>
      </c>
      <c r="D5468">
        <v>11</v>
      </c>
      <c r="E5468" t="s">
        <v>1860</v>
      </c>
      <c r="F5468" t="s">
        <v>1851</v>
      </c>
      <c r="G5468" s="1">
        <v>45238</v>
      </c>
      <c r="H5468">
        <v>5414915</v>
      </c>
      <c r="I5468">
        <v>196</v>
      </c>
      <c r="J5468" t="s">
        <v>382</v>
      </c>
      <c r="K5468" t="str">
        <f>IFERROR(IF(AND(VLOOKUP($C5468,Hes!$A:$B, 1, FALSE), $M5468&lt;&gt;" "), "Ingresada", "Falta Ingresar"), " ")</f>
        <v xml:space="preserve"> </v>
      </c>
      <c r="L5468" s="4" t="s">
        <v>681</v>
      </c>
      <c r="M5468" t="s">
        <v>681</v>
      </c>
      <c r="O5468" s="5">
        <v>30843502</v>
      </c>
      <c r="P5468" s="5">
        <v>55532</v>
      </c>
      <c r="Q5468" s="5">
        <v>10551</v>
      </c>
      <c r="R5468" s="5">
        <v>66083</v>
      </c>
    </row>
    <row r="5469" spans="1:18" x14ac:dyDescent="0.25">
      <c r="A5469" t="s">
        <v>503</v>
      </c>
      <c r="B5469" t="s">
        <v>494</v>
      </c>
      <c r="C5469">
        <v>96924780</v>
      </c>
      <c r="D5469">
        <v>11</v>
      </c>
      <c r="E5469" t="s">
        <v>1861</v>
      </c>
      <c r="F5469" t="s">
        <v>1851</v>
      </c>
      <c r="G5469" s="1">
        <v>45238</v>
      </c>
      <c r="H5469">
        <v>5415525</v>
      </c>
      <c r="I5469">
        <v>196</v>
      </c>
      <c r="J5469" t="s">
        <v>382</v>
      </c>
      <c r="K5469" t="str">
        <f>IFERROR(IF(AND(VLOOKUP($C5469,Hes!$A:$B, 1, FALSE), $M5469&lt;&gt;" "), "Ingresada", "Falta Ingresar"), " ")</f>
        <v xml:space="preserve"> </v>
      </c>
      <c r="L5469" s="4" t="s">
        <v>681</v>
      </c>
      <c r="M5469" t="s">
        <v>681</v>
      </c>
      <c r="O5469" s="5">
        <v>30844009</v>
      </c>
      <c r="P5469" s="5">
        <v>694316</v>
      </c>
      <c r="Q5469" s="5">
        <v>131920</v>
      </c>
      <c r="R5469" s="5">
        <v>826236</v>
      </c>
    </row>
    <row r="5470" spans="1:18" x14ac:dyDescent="0.25">
      <c r="A5470" t="s">
        <v>503</v>
      </c>
      <c r="B5470" t="s">
        <v>494</v>
      </c>
      <c r="C5470">
        <v>96924780</v>
      </c>
      <c r="D5470">
        <v>11</v>
      </c>
      <c r="E5470" t="s">
        <v>1861</v>
      </c>
      <c r="F5470" t="s">
        <v>1851</v>
      </c>
      <c r="G5470" s="1">
        <v>45238</v>
      </c>
      <c r="H5470">
        <v>5415526</v>
      </c>
      <c r="I5470">
        <v>196</v>
      </c>
      <c r="J5470" t="s">
        <v>382</v>
      </c>
      <c r="K5470" t="str">
        <f>IFERROR(IF(AND(VLOOKUP($C5470,Hes!$A:$B, 1, FALSE), $M5470&lt;&gt;" "), "Ingresada", "Falta Ingresar"), " ")</f>
        <v xml:space="preserve"> </v>
      </c>
      <c r="L5470" s="4" t="s">
        <v>681</v>
      </c>
      <c r="M5470" t="s">
        <v>681</v>
      </c>
      <c r="O5470" s="5">
        <v>30844009</v>
      </c>
      <c r="P5470" s="5">
        <v>196700</v>
      </c>
      <c r="Q5470" s="5">
        <v>37373</v>
      </c>
      <c r="R5470" s="5">
        <v>234073</v>
      </c>
    </row>
    <row r="5471" spans="1:18" x14ac:dyDescent="0.25">
      <c r="F5471" t="s">
        <v>544</v>
      </c>
      <c r="K5471" t="str">
        <f>IFERROR(IF(AND(VLOOKUP($C5471,Hes!$A:$B, 1, FALSE), $M5471&lt;&gt;" "), "Ingresada", "Falta Ingresar"), " ")</f>
        <v xml:space="preserve"> </v>
      </c>
      <c r="L5471" s="4" t="str">
        <f>IFERROR(VLOOKUP($C5471,Observaciones!$A:$B,2,FALSE)," ")</f>
        <v xml:space="preserve"> </v>
      </c>
      <c r="M5471" t="s">
        <v>681</v>
      </c>
      <c r="P5471" s="5">
        <v>10244549</v>
      </c>
      <c r="Q5471" s="5">
        <v>1946466</v>
      </c>
      <c r="R5471" s="5">
        <v>12196331</v>
      </c>
    </row>
    <row r="5472" spans="1:18" x14ac:dyDescent="0.25">
      <c r="A5472" t="s">
        <v>512</v>
      </c>
      <c r="B5472" t="s">
        <v>494</v>
      </c>
      <c r="C5472">
        <v>96928510</v>
      </c>
      <c r="D5472">
        <v>23</v>
      </c>
      <c r="E5472">
        <v>30854484</v>
      </c>
      <c r="F5472" t="s">
        <v>1862</v>
      </c>
      <c r="G5472" s="1">
        <v>45236</v>
      </c>
      <c r="H5472">
        <v>5412939</v>
      </c>
      <c r="I5472">
        <v>392</v>
      </c>
      <c r="J5472" t="s">
        <v>228</v>
      </c>
      <c r="K5472" s="8" t="str">
        <f>IFERROR(IF(AND(VLOOKUP($C5472,Hes!$A:$B, 1, FALSE), $M5472&lt;&gt;" "), "Ingresada", "Falta Ingresar"), " ")</f>
        <v>Falta Ingresar</v>
      </c>
      <c r="L5472" s="4" t="str">
        <f>IFERROR(VLOOKUP($C5472,Observaciones!$A:$B,2,FALSE)," ")</f>
        <v xml:space="preserve"> </v>
      </c>
      <c r="M5472" t="s">
        <v>681</v>
      </c>
      <c r="N5472" s="5" t="s">
        <v>841</v>
      </c>
      <c r="O5472" s="5">
        <v>30854484</v>
      </c>
      <c r="P5472" s="5">
        <v>268968</v>
      </c>
      <c r="Q5472" s="5">
        <v>51104</v>
      </c>
      <c r="R5472" s="5">
        <v>320072</v>
      </c>
    </row>
    <row r="5473" spans="1:18" x14ac:dyDescent="0.25">
      <c r="A5473" t="s">
        <v>512</v>
      </c>
      <c r="B5473" t="s">
        <v>494</v>
      </c>
      <c r="C5473">
        <v>96928510</v>
      </c>
      <c r="D5473">
        <v>47</v>
      </c>
      <c r="E5473">
        <v>30854863</v>
      </c>
      <c r="F5473" t="s">
        <v>1862</v>
      </c>
      <c r="G5473" s="1">
        <v>45236</v>
      </c>
      <c r="H5473">
        <v>5413003</v>
      </c>
      <c r="I5473">
        <v>392</v>
      </c>
      <c r="J5473" t="s">
        <v>228</v>
      </c>
      <c r="K5473" s="8" t="str">
        <f>IFERROR(IF(AND(VLOOKUP($C5473,Hes!$A:$B, 1, FALSE), $M5473&lt;&gt;" "), "Ingresada", "Falta Ingresar"), " ")</f>
        <v>Falta Ingresar</v>
      </c>
      <c r="L5473" s="4" t="str">
        <f>IFERROR(VLOOKUP($C5473,Observaciones!$A:$B,2,FALSE)," ")</f>
        <v xml:space="preserve"> </v>
      </c>
      <c r="M5473" t="s">
        <v>681</v>
      </c>
      <c r="N5473" s="5" t="s">
        <v>841</v>
      </c>
      <c r="O5473" s="5">
        <v>30854863</v>
      </c>
      <c r="P5473" s="5">
        <v>249946</v>
      </c>
      <c r="Q5473" s="5">
        <v>47490</v>
      </c>
      <c r="R5473" s="5">
        <v>297436</v>
      </c>
    </row>
    <row r="5474" spans="1:18" x14ac:dyDescent="0.25">
      <c r="A5474" t="s">
        <v>512</v>
      </c>
      <c r="B5474" t="s">
        <v>494</v>
      </c>
      <c r="C5474">
        <v>96928510</v>
      </c>
      <c r="D5474">
        <v>29</v>
      </c>
      <c r="E5474">
        <v>30862552</v>
      </c>
      <c r="F5474" t="s">
        <v>1862</v>
      </c>
      <c r="G5474" s="1">
        <v>45238</v>
      </c>
      <c r="H5474">
        <v>5415035</v>
      </c>
      <c r="I5474">
        <v>392</v>
      </c>
      <c r="J5474" t="s">
        <v>228</v>
      </c>
      <c r="K5474" s="8" t="str">
        <f>IFERROR(IF(AND(VLOOKUP($C5474,Hes!$A:$B, 1, FALSE), $M5474&lt;&gt;" "), "Ingresada", "Falta Ingresar"), " ")</f>
        <v>Falta Ingresar</v>
      </c>
      <c r="L5474" s="4" t="str">
        <f>IFERROR(VLOOKUP($C5474,Observaciones!$A:$B,2,FALSE)," ")</f>
        <v xml:space="preserve"> </v>
      </c>
      <c r="M5474" t="s">
        <v>681</v>
      </c>
      <c r="N5474" s="5" t="s">
        <v>841</v>
      </c>
      <c r="O5474" s="5">
        <v>30862552</v>
      </c>
      <c r="P5474" s="5">
        <v>133272</v>
      </c>
      <c r="Q5474" s="5">
        <v>25322</v>
      </c>
      <c r="R5474" s="5">
        <v>158594</v>
      </c>
    </row>
    <row r="5475" spans="1:18" x14ac:dyDescent="0.25">
      <c r="A5475" t="s">
        <v>512</v>
      </c>
      <c r="B5475" t="s">
        <v>494</v>
      </c>
      <c r="C5475">
        <v>96928510</v>
      </c>
      <c r="D5475">
        <v>28</v>
      </c>
      <c r="E5475">
        <v>30862514</v>
      </c>
      <c r="F5475" t="s">
        <v>1862</v>
      </c>
      <c r="G5475" s="1">
        <v>45238</v>
      </c>
      <c r="H5475">
        <v>5415052</v>
      </c>
      <c r="I5475">
        <v>392</v>
      </c>
      <c r="J5475" t="s">
        <v>228</v>
      </c>
      <c r="K5475" s="8" t="str">
        <f>IFERROR(IF(AND(VLOOKUP($C5475,Hes!$A:$B, 1, FALSE), $M5475&lt;&gt;" "), "Ingresada", "Falta Ingresar"), " ")</f>
        <v>Falta Ingresar</v>
      </c>
      <c r="L5475" s="4" t="str">
        <f>IFERROR(VLOOKUP($C5475,Observaciones!$A:$B,2,FALSE)," ")</f>
        <v xml:space="preserve"> </v>
      </c>
      <c r="M5475" t="s">
        <v>681</v>
      </c>
      <c r="N5475" s="5" t="s">
        <v>841</v>
      </c>
      <c r="O5475" s="5">
        <v>30862514</v>
      </c>
      <c r="P5475" s="5">
        <v>161462</v>
      </c>
      <c r="Q5475" s="5">
        <v>30678</v>
      </c>
      <c r="R5475" s="5">
        <v>192140</v>
      </c>
    </row>
    <row r="5476" spans="1:18" x14ac:dyDescent="0.25">
      <c r="A5476" t="s">
        <v>512</v>
      </c>
      <c r="B5476" t="s">
        <v>494</v>
      </c>
      <c r="C5476">
        <v>96928510</v>
      </c>
      <c r="D5476">
        <v>12</v>
      </c>
      <c r="E5476">
        <v>30862756</v>
      </c>
      <c r="F5476" t="s">
        <v>1862</v>
      </c>
      <c r="G5476" s="1">
        <v>45238</v>
      </c>
      <c r="H5476">
        <v>5415635</v>
      </c>
      <c r="I5476">
        <v>392</v>
      </c>
      <c r="J5476" t="s">
        <v>228</v>
      </c>
      <c r="K5476" s="8" t="str">
        <f>IFERROR(IF(AND(VLOOKUP($C5476,Hes!$A:$B, 1, FALSE), $M5476&lt;&gt;" "), "Ingresada", "Falta Ingresar"), " ")</f>
        <v>Falta Ingresar</v>
      </c>
      <c r="L5476" s="4" t="str">
        <f>IFERROR(VLOOKUP($C5476,Observaciones!$A:$B,2,FALSE)," ")</f>
        <v xml:space="preserve"> </v>
      </c>
      <c r="M5476" t="s">
        <v>681</v>
      </c>
      <c r="N5476" s="5" t="s">
        <v>841</v>
      </c>
      <c r="O5476" s="5">
        <v>30862756</v>
      </c>
      <c r="P5476" s="5">
        <v>82150</v>
      </c>
      <c r="Q5476" s="5">
        <v>15609</v>
      </c>
      <c r="R5476" s="5">
        <v>97759</v>
      </c>
    </row>
    <row r="5477" spans="1:18" x14ac:dyDescent="0.25">
      <c r="A5477" t="s">
        <v>512</v>
      </c>
      <c r="B5477" t="s">
        <v>494</v>
      </c>
      <c r="C5477">
        <v>96928510</v>
      </c>
      <c r="D5477">
        <v>68</v>
      </c>
      <c r="E5477">
        <v>30865693</v>
      </c>
      <c r="F5477" t="s">
        <v>1862</v>
      </c>
      <c r="G5477" s="1">
        <v>45238</v>
      </c>
      <c r="H5477">
        <v>5415769</v>
      </c>
      <c r="I5477">
        <v>392</v>
      </c>
      <c r="J5477" t="s">
        <v>228</v>
      </c>
      <c r="K5477" s="8" t="str">
        <f>IFERROR(IF(AND(VLOOKUP($C5477,Hes!$A:$B, 1, FALSE), $M5477&lt;&gt;" "), "Ingresada", "Falta Ingresar"), " ")</f>
        <v>Falta Ingresar</v>
      </c>
      <c r="L5477" s="4" t="str">
        <f>IFERROR(VLOOKUP($C5477,Observaciones!$A:$B,2,FALSE)," ")</f>
        <v xml:space="preserve"> </v>
      </c>
      <c r="M5477" t="s">
        <v>681</v>
      </c>
      <c r="N5477" s="5" t="s">
        <v>841</v>
      </c>
      <c r="O5477" s="5">
        <v>30865693</v>
      </c>
      <c r="P5477" s="5">
        <v>126597</v>
      </c>
      <c r="Q5477" s="5">
        <v>24053</v>
      </c>
      <c r="R5477" s="5">
        <v>150650</v>
      </c>
    </row>
    <row r="5478" spans="1:18" x14ac:dyDescent="0.25">
      <c r="F5478" t="s">
        <v>523</v>
      </c>
      <c r="K5478" t="str">
        <f>IFERROR(IF(AND(VLOOKUP($C5478,Hes!$A:$B, 1, FALSE), $M5478&lt;&gt;" "), "Ingresada", "Falta Ingresar"), " ")</f>
        <v xml:space="preserve"> </v>
      </c>
      <c r="L5478" s="4" t="str">
        <f>IFERROR(VLOOKUP($C5478,Observaciones!$A:$B,2,FALSE)," ")</f>
        <v xml:space="preserve"> </v>
      </c>
      <c r="M5478" t="s">
        <v>681</v>
      </c>
      <c r="P5478" s="5">
        <v>1022395</v>
      </c>
      <c r="Q5478" s="5">
        <v>194256</v>
      </c>
      <c r="R5478" s="5">
        <v>1216651</v>
      </c>
    </row>
    <row r="5479" spans="1:18" x14ac:dyDescent="0.25">
      <c r="A5479" t="s">
        <v>501</v>
      </c>
      <c r="B5479" t="s">
        <v>494</v>
      </c>
      <c r="C5479">
        <v>96930480</v>
      </c>
      <c r="D5479">
        <v>20</v>
      </c>
      <c r="E5479">
        <v>30860152</v>
      </c>
      <c r="F5479" t="s">
        <v>1863</v>
      </c>
      <c r="G5479" s="1">
        <v>45237</v>
      </c>
      <c r="H5479">
        <v>5414399</v>
      </c>
      <c r="I5479">
        <v>446</v>
      </c>
      <c r="J5479" t="s">
        <v>342</v>
      </c>
      <c r="K5479" t="str">
        <f>IFERROR(IF(AND(VLOOKUP($C5479,Hes!$A:$B, 1, FALSE), $M5479&lt;&gt;" "), "Ingresada", "Falta Ingresar"), " ")</f>
        <v xml:space="preserve"> </v>
      </c>
      <c r="L5479" s="4" t="str">
        <f>IFERROR(VLOOKUP($C5479,Observaciones!$A:$B,2,FALSE)," ")</f>
        <v xml:space="preserve"> </v>
      </c>
      <c r="M5479" t="s">
        <v>681</v>
      </c>
      <c r="O5479" s="5">
        <v>30860152</v>
      </c>
      <c r="P5479" s="5">
        <v>20858</v>
      </c>
      <c r="Q5479" s="5">
        <v>3963</v>
      </c>
      <c r="R5479" s="5">
        <v>24821</v>
      </c>
    </row>
    <row r="5480" spans="1:18" x14ac:dyDescent="0.25">
      <c r="F5480" t="s">
        <v>495</v>
      </c>
      <c r="K5480" t="str">
        <f>IFERROR(IF(AND(VLOOKUP($C5480,Hes!$A:$B, 1, FALSE), $M5480&lt;&gt;" "), "Ingresada", "Falta Ingresar"), " ")</f>
        <v xml:space="preserve"> </v>
      </c>
      <c r="L5480" s="4" t="str">
        <f>IFERROR(VLOOKUP($C5480,Observaciones!$A:$B,2,FALSE)," ")</f>
        <v xml:space="preserve"> </v>
      </c>
      <c r="M5480" t="s">
        <v>681</v>
      </c>
      <c r="P5480" s="5">
        <v>20858</v>
      </c>
      <c r="Q5480" s="5">
        <v>3963</v>
      </c>
      <c r="R5480" s="5">
        <v>24821</v>
      </c>
    </row>
    <row r="5481" spans="1:18" x14ac:dyDescent="0.25">
      <c r="A5481" t="s">
        <v>501</v>
      </c>
      <c r="B5481" t="s">
        <v>494</v>
      </c>
      <c r="C5481">
        <v>96930550</v>
      </c>
      <c r="D5481">
        <v>16</v>
      </c>
      <c r="E5481" t="s">
        <v>1864</v>
      </c>
      <c r="F5481" t="s">
        <v>1865</v>
      </c>
      <c r="G5481" s="1">
        <v>45232</v>
      </c>
      <c r="H5481">
        <v>5410801</v>
      </c>
      <c r="I5481">
        <v>60</v>
      </c>
      <c r="J5481" t="s">
        <v>269</v>
      </c>
      <c r="K5481" t="str">
        <f>IFERROR(IF(AND(VLOOKUP($C5481,Hes!$A:$B, 1, FALSE), $M5481&lt;&gt;" "), "Ingresada", "Falta Ingresar"), " ")</f>
        <v xml:space="preserve"> </v>
      </c>
      <c r="L5481" s="4" t="str">
        <f>IFERROR(VLOOKUP($C5481,Observaciones!$A:$B,2,FALSE)," ")</f>
        <v xml:space="preserve"> </v>
      </c>
      <c r="M5481" t="s">
        <v>681</v>
      </c>
      <c r="O5481" s="5">
        <v>30841914</v>
      </c>
      <c r="P5481" s="5">
        <v>122260</v>
      </c>
      <c r="Q5481" s="5">
        <v>23229</v>
      </c>
      <c r="R5481" s="5">
        <v>145489</v>
      </c>
    </row>
    <row r="5482" spans="1:18" x14ac:dyDescent="0.25">
      <c r="A5482" t="s">
        <v>501</v>
      </c>
      <c r="B5482" t="s">
        <v>494</v>
      </c>
      <c r="C5482">
        <v>96930550</v>
      </c>
      <c r="D5482">
        <v>16</v>
      </c>
      <c r="E5482" t="s">
        <v>1866</v>
      </c>
      <c r="F5482" t="s">
        <v>1865</v>
      </c>
      <c r="G5482" s="1">
        <v>45238</v>
      </c>
      <c r="H5482">
        <v>5415673</v>
      </c>
      <c r="I5482">
        <v>60</v>
      </c>
      <c r="J5482" t="s">
        <v>269</v>
      </c>
      <c r="K5482" t="str">
        <f>IFERROR(IF(AND(VLOOKUP($C5482,Hes!$A:$B, 1, FALSE), $M5482&lt;&gt;" "), "Ingresada", "Falta Ingresar"), " ")</f>
        <v xml:space="preserve"> </v>
      </c>
      <c r="L5482" s="4" t="str">
        <f>IFERROR(VLOOKUP($C5482,Observaciones!$A:$B,2,FALSE)," ")</f>
        <v xml:space="preserve"> </v>
      </c>
      <c r="M5482" t="s">
        <v>681</v>
      </c>
      <c r="O5482" s="5">
        <v>30865163</v>
      </c>
      <c r="P5482" s="5">
        <v>15692</v>
      </c>
      <c r="Q5482" s="5">
        <v>2981</v>
      </c>
      <c r="R5482" s="5">
        <v>18673</v>
      </c>
    </row>
    <row r="5483" spans="1:18" x14ac:dyDescent="0.25">
      <c r="F5483" t="s">
        <v>497</v>
      </c>
      <c r="K5483" t="str">
        <f>IFERROR(IF(AND(VLOOKUP($C5483,Hes!$A:$B, 1, FALSE), $M5483&lt;&gt;" "), "Ingresada", "Falta Ingresar"), " ")</f>
        <v xml:space="preserve"> </v>
      </c>
      <c r="L5483" s="4" t="str">
        <f>IFERROR(VLOOKUP($C5483,Observaciones!$A:$B,2,FALSE)," ")</f>
        <v xml:space="preserve"> </v>
      </c>
      <c r="M5483" t="s">
        <v>681</v>
      </c>
      <c r="P5483" s="5">
        <v>137952</v>
      </c>
      <c r="Q5483" s="5">
        <v>26210</v>
      </c>
      <c r="R5483" s="5">
        <v>164162</v>
      </c>
    </row>
    <row r="5484" spans="1:18" x14ac:dyDescent="0.25">
      <c r="A5484" t="s">
        <v>503</v>
      </c>
      <c r="B5484" t="s">
        <v>509</v>
      </c>
      <c r="C5484">
        <v>96937250</v>
      </c>
      <c r="D5484">
        <v>15</v>
      </c>
      <c r="E5484">
        <v>65263</v>
      </c>
      <c r="F5484" t="s">
        <v>1867</v>
      </c>
      <c r="G5484" s="1">
        <v>45232</v>
      </c>
      <c r="H5484">
        <v>5411210</v>
      </c>
      <c r="I5484">
        <v>178</v>
      </c>
      <c r="J5484" t="s">
        <v>303</v>
      </c>
      <c r="K5484" t="str">
        <f>IFERROR(IF(AND(VLOOKUP($C5484,Hes!$A:$B, 1, FALSE), $M5484&lt;&gt;" "), "Ingresada", "Falta Ingresar"), " ")</f>
        <v xml:space="preserve"> </v>
      </c>
      <c r="L5484" s="4" t="s">
        <v>681</v>
      </c>
      <c r="M5484" t="s">
        <v>681</v>
      </c>
      <c r="O5484" s="5">
        <v>30832070</v>
      </c>
      <c r="P5484" s="5">
        <v>63582</v>
      </c>
      <c r="Q5484" s="5">
        <v>12081</v>
      </c>
      <c r="R5484" s="5">
        <v>75663</v>
      </c>
    </row>
    <row r="5485" spans="1:18" x14ac:dyDescent="0.25">
      <c r="A5485" t="s">
        <v>503</v>
      </c>
      <c r="B5485" t="s">
        <v>509</v>
      </c>
      <c r="C5485">
        <v>96937250</v>
      </c>
      <c r="D5485">
        <v>15</v>
      </c>
      <c r="E5485">
        <v>65274</v>
      </c>
      <c r="F5485" t="s">
        <v>1867</v>
      </c>
      <c r="G5485" s="1">
        <v>45233</v>
      </c>
      <c r="H5485">
        <v>5411659</v>
      </c>
      <c r="I5485">
        <v>178</v>
      </c>
      <c r="J5485" t="s">
        <v>303</v>
      </c>
      <c r="K5485" t="str">
        <f>IFERROR(IF(AND(VLOOKUP($C5485,Hes!$A:$B, 1, FALSE), $M5485&lt;&gt;" "), "Ingresada", "Falta Ingresar"), " ")</f>
        <v xml:space="preserve"> </v>
      </c>
      <c r="L5485" s="4" t="s">
        <v>681</v>
      </c>
      <c r="M5485" t="s">
        <v>681</v>
      </c>
      <c r="O5485" s="5">
        <v>30838899</v>
      </c>
      <c r="P5485" s="5">
        <v>59114</v>
      </c>
      <c r="Q5485" s="5">
        <v>11232</v>
      </c>
      <c r="R5485" s="5">
        <v>70346</v>
      </c>
    </row>
    <row r="5486" spans="1:18" x14ac:dyDescent="0.25">
      <c r="A5486" t="s">
        <v>503</v>
      </c>
      <c r="B5486" t="s">
        <v>509</v>
      </c>
      <c r="C5486">
        <v>96937250</v>
      </c>
      <c r="D5486">
        <v>16</v>
      </c>
      <c r="E5486">
        <v>65279</v>
      </c>
      <c r="F5486" t="s">
        <v>1867</v>
      </c>
      <c r="G5486" s="1">
        <v>45233</v>
      </c>
      <c r="H5486">
        <v>5411715</v>
      </c>
      <c r="I5486">
        <v>178</v>
      </c>
      <c r="J5486" t="s">
        <v>303</v>
      </c>
      <c r="K5486" t="str">
        <f>IFERROR(IF(AND(VLOOKUP($C5486,Hes!$A:$B, 1, FALSE), $M5486&lt;&gt;" "), "Ingresada", "Falta Ingresar"), " ")</f>
        <v xml:space="preserve"> </v>
      </c>
      <c r="L5486" s="4" t="s">
        <v>681</v>
      </c>
      <c r="M5486" t="s">
        <v>681</v>
      </c>
      <c r="O5486" s="5">
        <v>30823091</v>
      </c>
      <c r="P5486" s="5">
        <v>126471</v>
      </c>
      <c r="Q5486" s="5">
        <v>24029</v>
      </c>
      <c r="R5486" s="5">
        <v>150500</v>
      </c>
    </row>
    <row r="5487" spans="1:18" x14ac:dyDescent="0.25">
      <c r="F5487" t="s">
        <v>500</v>
      </c>
      <c r="K5487" t="str">
        <f>IFERROR(IF(AND(VLOOKUP($C5487,Hes!$A:$B, 1, FALSE), $M5487&lt;&gt;" "), "Ingresada", "Falta Ingresar"), " ")</f>
        <v xml:space="preserve"> </v>
      </c>
      <c r="L5487" s="4" t="str">
        <f>IFERROR(VLOOKUP($C5487,Observaciones!$A:$B,2,FALSE)," ")</f>
        <v xml:space="preserve"> </v>
      </c>
      <c r="M5487" t="s">
        <v>681</v>
      </c>
      <c r="P5487" s="5">
        <v>249167</v>
      </c>
      <c r="Q5487" s="5">
        <v>47342</v>
      </c>
      <c r="R5487" s="5">
        <v>296509</v>
      </c>
    </row>
    <row r="5488" spans="1:18" x14ac:dyDescent="0.25">
      <c r="A5488" t="s">
        <v>503</v>
      </c>
      <c r="B5488" t="s">
        <v>494</v>
      </c>
      <c r="C5488">
        <v>96937270</v>
      </c>
      <c r="D5488">
        <v>71</v>
      </c>
      <c r="E5488">
        <v>154859</v>
      </c>
      <c r="F5488" t="s">
        <v>1868</v>
      </c>
      <c r="G5488" s="1">
        <v>45233</v>
      </c>
      <c r="H5488">
        <v>5411458</v>
      </c>
      <c r="I5488">
        <v>178</v>
      </c>
      <c r="J5488" t="s">
        <v>303</v>
      </c>
      <c r="K5488" t="str">
        <f>IFERROR(IF(AND(VLOOKUP($C5488,Hes!$A:$B, 1, FALSE), $M5488&lt;&gt;" "), "Ingresada", "Falta Ingresar"), " ")</f>
        <v xml:space="preserve"> </v>
      </c>
      <c r="L5488" s="4" t="s">
        <v>681</v>
      </c>
      <c r="M5488" t="s">
        <v>681</v>
      </c>
      <c r="O5488" s="5">
        <v>30823223</v>
      </c>
      <c r="P5488" s="5">
        <v>135574</v>
      </c>
      <c r="Q5488" s="5">
        <v>25759</v>
      </c>
      <c r="R5488" s="5">
        <v>161333</v>
      </c>
    </row>
    <row r="5489" spans="1:18" x14ac:dyDescent="0.25">
      <c r="A5489" t="s">
        <v>503</v>
      </c>
      <c r="B5489" t="s">
        <v>494</v>
      </c>
      <c r="C5489">
        <v>96937270</v>
      </c>
      <c r="D5489">
        <v>13</v>
      </c>
      <c r="E5489">
        <v>154763</v>
      </c>
      <c r="F5489" t="s">
        <v>1868</v>
      </c>
      <c r="G5489" s="1">
        <v>45234</v>
      </c>
      <c r="H5489">
        <v>5411905</v>
      </c>
      <c r="I5489">
        <v>178</v>
      </c>
      <c r="J5489" t="s">
        <v>303</v>
      </c>
      <c r="K5489" t="str">
        <f>IFERROR(IF(AND(VLOOKUP($C5489,Hes!$A:$B, 1, FALSE), $M5489&lt;&gt;" "), "Ingresada", "Falta Ingresar"), " ")</f>
        <v xml:space="preserve"> </v>
      </c>
      <c r="L5489" s="4" t="s">
        <v>681</v>
      </c>
      <c r="M5489" t="s">
        <v>681</v>
      </c>
      <c r="O5489" s="5">
        <v>30848270</v>
      </c>
      <c r="P5489" s="5">
        <v>297108</v>
      </c>
      <c r="Q5489" s="5">
        <v>56451</v>
      </c>
      <c r="R5489" s="5">
        <v>353559</v>
      </c>
    </row>
    <row r="5490" spans="1:18" x14ac:dyDescent="0.25">
      <c r="A5490" t="s">
        <v>503</v>
      </c>
      <c r="B5490" t="s">
        <v>494</v>
      </c>
      <c r="C5490">
        <v>96937270</v>
      </c>
      <c r="D5490">
        <v>6</v>
      </c>
      <c r="E5490">
        <v>154953</v>
      </c>
      <c r="F5490" t="s">
        <v>1868</v>
      </c>
      <c r="G5490" s="1">
        <v>45236</v>
      </c>
      <c r="H5490">
        <v>5412275</v>
      </c>
      <c r="I5490">
        <v>14</v>
      </c>
      <c r="J5490" t="s">
        <v>309</v>
      </c>
      <c r="K5490" t="str">
        <f>IFERROR(IF(AND(VLOOKUP($C5490,Hes!$A:$B, 1, FALSE), $M5490&lt;&gt;" "), "Ingresada", "Falta Ingresar"), " ")</f>
        <v xml:space="preserve"> </v>
      </c>
      <c r="L5490" s="4" t="s">
        <v>681</v>
      </c>
      <c r="M5490" t="s">
        <v>681</v>
      </c>
      <c r="O5490" s="5">
        <v>30852967</v>
      </c>
      <c r="P5490" s="5">
        <v>167114</v>
      </c>
      <c r="Q5490" s="5">
        <v>31752</v>
      </c>
      <c r="R5490" s="5">
        <v>198866</v>
      </c>
    </row>
    <row r="5491" spans="1:18" x14ac:dyDescent="0.25">
      <c r="A5491" t="s">
        <v>503</v>
      </c>
      <c r="B5491" t="s">
        <v>494</v>
      </c>
      <c r="C5491">
        <v>96937270</v>
      </c>
      <c r="D5491">
        <v>16</v>
      </c>
      <c r="E5491">
        <v>154768</v>
      </c>
      <c r="F5491" t="s">
        <v>1868</v>
      </c>
      <c r="G5491" s="1">
        <v>45236</v>
      </c>
      <c r="H5491">
        <v>5413087</v>
      </c>
      <c r="I5491">
        <v>178</v>
      </c>
      <c r="J5491" t="s">
        <v>303</v>
      </c>
      <c r="K5491" t="str">
        <f>IFERROR(IF(AND(VLOOKUP($C5491,Hes!$A:$B, 1, FALSE), $M5491&lt;&gt;" "), "Ingresada", "Falta Ingresar"), " ")</f>
        <v xml:space="preserve"> </v>
      </c>
      <c r="L5491" s="4" t="s">
        <v>681</v>
      </c>
      <c r="M5491" t="s">
        <v>681</v>
      </c>
      <c r="O5491" s="5">
        <v>30856085</v>
      </c>
      <c r="P5491" s="5">
        <v>87315</v>
      </c>
      <c r="Q5491" s="5">
        <v>16590</v>
      </c>
      <c r="R5491" s="5">
        <v>103905</v>
      </c>
    </row>
    <row r="5492" spans="1:18" x14ac:dyDescent="0.25">
      <c r="A5492" t="s">
        <v>503</v>
      </c>
      <c r="B5492" t="s">
        <v>494</v>
      </c>
      <c r="C5492">
        <v>96937270</v>
      </c>
      <c r="D5492">
        <v>30</v>
      </c>
      <c r="E5492">
        <v>154775</v>
      </c>
      <c r="F5492" t="s">
        <v>1868</v>
      </c>
      <c r="G5492" s="1">
        <v>45236</v>
      </c>
      <c r="H5492">
        <v>5413096</v>
      </c>
      <c r="I5492">
        <v>178</v>
      </c>
      <c r="J5492" t="s">
        <v>303</v>
      </c>
      <c r="K5492" t="str">
        <f>IFERROR(IF(AND(VLOOKUP($C5492,Hes!$A:$B, 1, FALSE), $M5492&lt;&gt;" "), "Ingresada", "Falta Ingresar"), " ")</f>
        <v xml:space="preserve"> </v>
      </c>
      <c r="L5492" s="4" t="s">
        <v>681</v>
      </c>
      <c r="M5492" t="s">
        <v>681</v>
      </c>
      <c r="O5492" s="5">
        <v>30856004</v>
      </c>
      <c r="P5492" s="5">
        <v>891577</v>
      </c>
      <c r="Q5492" s="5">
        <v>169400</v>
      </c>
      <c r="R5492" s="5">
        <v>1060977</v>
      </c>
    </row>
    <row r="5493" spans="1:18" x14ac:dyDescent="0.25">
      <c r="A5493" t="s">
        <v>503</v>
      </c>
      <c r="B5493" t="s">
        <v>494</v>
      </c>
      <c r="C5493">
        <v>96937270</v>
      </c>
      <c r="D5493">
        <v>71</v>
      </c>
      <c r="E5493">
        <v>154797</v>
      </c>
      <c r="F5493" t="s">
        <v>1868</v>
      </c>
      <c r="G5493" s="1">
        <v>45236</v>
      </c>
      <c r="H5493">
        <v>5413522</v>
      </c>
      <c r="I5493">
        <v>178</v>
      </c>
      <c r="J5493" t="s">
        <v>303</v>
      </c>
      <c r="K5493" t="str">
        <f>IFERROR(IF(AND(VLOOKUP($C5493,Hes!$A:$B, 1, FALSE), $M5493&lt;&gt;" "), "Ingresada", "Falta Ingresar"), " ")</f>
        <v xml:space="preserve"> </v>
      </c>
      <c r="L5493" s="4" t="s">
        <v>681</v>
      </c>
      <c r="M5493" t="s">
        <v>681</v>
      </c>
      <c r="O5493" s="5">
        <v>30857489</v>
      </c>
      <c r="P5493" s="5">
        <v>176247</v>
      </c>
      <c r="Q5493" s="5">
        <v>33487</v>
      </c>
      <c r="R5493" s="5">
        <v>209734</v>
      </c>
    </row>
    <row r="5494" spans="1:18" x14ac:dyDescent="0.25">
      <c r="A5494" t="s">
        <v>503</v>
      </c>
      <c r="B5494" t="s">
        <v>494</v>
      </c>
      <c r="C5494">
        <v>96937270</v>
      </c>
      <c r="D5494">
        <v>15</v>
      </c>
      <c r="E5494">
        <v>154787</v>
      </c>
      <c r="F5494" t="s">
        <v>1868</v>
      </c>
      <c r="G5494" s="1">
        <v>45236</v>
      </c>
      <c r="H5494">
        <v>5413825</v>
      </c>
      <c r="I5494">
        <v>178</v>
      </c>
      <c r="J5494" t="s">
        <v>303</v>
      </c>
      <c r="K5494" t="str">
        <f>IFERROR(IF(AND(VLOOKUP($C5494,Hes!$A:$B, 1, FALSE), $M5494&lt;&gt;" "), "Ingresada", "Falta Ingresar"), " ")</f>
        <v xml:space="preserve"> </v>
      </c>
      <c r="L5494" s="4" t="s">
        <v>681</v>
      </c>
      <c r="M5494" t="s">
        <v>681</v>
      </c>
      <c r="O5494" s="5">
        <v>30857432</v>
      </c>
      <c r="P5494" s="5">
        <v>39083</v>
      </c>
      <c r="Q5494" s="5">
        <v>7426</v>
      </c>
      <c r="R5494" s="5">
        <v>46509</v>
      </c>
    </row>
    <row r="5495" spans="1:18" x14ac:dyDescent="0.25">
      <c r="A5495" t="s">
        <v>503</v>
      </c>
      <c r="B5495" t="s">
        <v>494</v>
      </c>
      <c r="C5495">
        <v>96937270</v>
      </c>
      <c r="D5495">
        <v>9</v>
      </c>
      <c r="E5495">
        <v>154822</v>
      </c>
      <c r="F5495" t="s">
        <v>1868</v>
      </c>
      <c r="G5495" s="1">
        <v>45237</v>
      </c>
      <c r="H5495">
        <v>5413938</v>
      </c>
      <c r="I5495">
        <v>178</v>
      </c>
      <c r="J5495" t="s">
        <v>303</v>
      </c>
      <c r="K5495" t="str">
        <f>IFERROR(IF(AND(VLOOKUP($C5495,Hes!$A:$B, 1, FALSE), $M5495&lt;&gt;" "), "Ingresada", "Falta Ingresar"), " ")</f>
        <v xml:space="preserve"> </v>
      </c>
      <c r="L5495" s="4" t="s">
        <v>681</v>
      </c>
      <c r="M5495" t="s">
        <v>681</v>
      </c>
      <c r="O5495" s="5">
        <v>30857524</v>
      </c>
      <c r="P5495" s="5">
        <v>222907</v>
      </c>
      <c r="Q5495" s="5">
        <v>42352</v>
      </c>
      <c r="R5495" s="5">
        <v>265259</v>
      </c>
    </row>
    <row r="5496" spans="1:18" x14ac:dyDescent="0.25">
      <c r="A5496" t="s">
        <v>503</v>
      </c>
      <c r="B5496" t="s">
        <v>494</v>
      </c>
      <c r="C5496">
        <v>96937270</v>
      </c>
      <c r="D5496">
        <v>1</v>
      </c>
      <c r="E5496">
        <v>154908</v>
      </c>
      <c r="F5496" t="s">
        <v>1868</v>
      </c>
      <c r="G5496" s="1">
        <v>45238</v>
      </c>
      <c r="H5496">
        <v>5414637</v>
      </c>
      <c r="I5496">
        <v>178</v>
      </c>
      <c r="J5496" t="s">
        <v>303</v>
      </c>
      <c r="K5496" t="str">
        <f>IFERROR(IF(AND(VLOOKUP($C5496,Hes!$A:$B, 1, FALSE), $M5496&lt;&gt;" "), "Ingresada", "Falta Ingresar"), " ")</f>
        <v xml:space="preserve"> </v>
      </c>
      <c r="L5496" s="4" t="s">
        <v>681</v>
      </c>
      <c r="M5496" t="s">
        <v>681</v>
      </c>
      <c r="O5496" s="5">
        <v>30857672</v>
      </c>
      <c r="P5496" s="5">
        <v>1543614</v>
      </c>
      <c r="Q5496" s="5">
        <v>293287</v>
      </c>
      <c r="R5496" s="5">
        <v>1836901</v>
      </c>
    </row>
    <row r="5497" spans="1:18" x14ac:dyDescent="0.25">
      <c r="A5497" t="s">
        <v>503</v>
      </c>
      <c r="B5497" t="s">
        <v>494</v>
      </c>
      <c r="C5497">
        <v>96937270</v>
      </c>
      <c r="D5497">
        <v>8</v>
      </c>
      <c r="E5497">
        <v>154921</v>
      </c>
      <c r="F5497" t="s">
        <v>1868</v>
      </c>
      <c r="G5497" s="1">
        <v>45238</v>
      </c>
      <c r="H5497">
        <v>5414720</v>
      </c>
      <c r="I5497">
        <v>178</v>
      </c>
      <c r="J5497" t="s">
        <v>303</v>
      </c>
      <c r="K5497" t="str">
        <f>IFERROR(IF(AND(VLOOKUP($C5497,Hes!$A:$B, 1, FALSE), $M5497&lt;&gt;" "), "Ingresada", "Falta Ingresar"), " ")</f>
        <v xml:space="preserve"> </v>
      </c>
      <c r="L5497" s="4" t="s">
        <v>681</v>
      </c>
      <c r="M5497" t="s">
        <v>681</v>
      </c>
      <c r="O5497" s="5">
        <v>30859836</v>
      </c>
      <c r="P5497" s="5">
        <v>314104</v>
      </c>
      <c r="Q5497" s="5">
        <v>59680</v>
      </c>
      <c r="R5497" s="5">
        <v>373784</v>
      </c>
    </row>
    <row r="5498" spans="1:18" x14ac:dyDescent="0.25">
      <c r="A5498" t="s">
        <v>503</v>
      </c>
      <c r="B5498" t="s">
        <v>494</v>
      </c>
      <c r="C5498">
        <v>96937270</v>
      </c>
      <c r="D5498">
        <v>24</v>
      </c>
      <c r="E5498">
        <v>154898</v>
      </c>
      <c r="F5498" t="s">
        <v>1868</v>
      </c>
      <c r="G5498" s="1">
        <v>45238</v>
      </c>
      <c r="H5498">
        <v>5414811</v>
      </c>
      <c r="I5498">
        <v>178</v>
      </c>
      <c r="J5498" t="s">
        <v>303</v>
      </c>
      <c r="K5498" t="str">
        <f>IFERROR(IF(AND(VLOOKUP($C5498,Hes!$A:$B, 1, FALSE), $M5498&lt;&gt;" "), "Ingresada", "Falta Ingresar"), " ")</f>
        <v xml:space="preserve"> </v>
      </c>
      <c r="L5498" s="4" t="s">
        <v>681</v>
      </c>
      <c r="M5498" t="s">
        <v>681</v>
      </c>
      <c r="O5498" s="5">
        <v>30859683</v>
      </c>
      <c r="P5498" s="5">
        <v>423888</v>
      </c>
      <c r="Q5498" s="5">
        <v>80539</v>
      </c>
      <c r="R5498" s="5">
        <v>504427</v>
      </c>
    </row>
    <row r="5499" spans="1:18" x14ac:dyDescent="0.25">
      <c r="A5499" t="s">
        <v>503</v>
      </c>
      <c r="B5499" t="s">
        <v>494</v>
      </c>
      <c r="C5499">
        <v>96937270</v>
      </c>
      <c r="D5499">
        <v>1</v>
      </c>
      <c r="E5499">
        <v>154908</v>
      </c>
      <c r="F5499" t="s">
        <v>1868</v>
      </c>
      <c r="G5499" s="1">
        <v>45238</v>
      </c>
      <c r="H5499">
        <v>5415396</v>
      </c>
      <c r="I5499">
        <v>178</v>
      </c>
      <c r="J5499" t="s">
        <v>303</v>
      </c>
      <c r="K5499" t="str">
        <f>IFERROR(IF(AND(VLOOKUP($C5499,Hes!$A:$B, 1, FALSE), $M5499&lt;&gt;" "), "Ingresada", "Falta Ingresar"), " ")</f>
        <v xml:space="preserve"> </v>
      </c>
      <c r="L5499" s="4" t="s">
        <v>681</v>
      </c>
      <c r="M5499" t="s">
        <v>681</v>
      </c>
      <c r="O5499" s="5">
        <v>30865428</v>
      </c>
      <c r="P5499" s="5">
        <v>124024</v>
      </c>
      <c r="Q5499" s="5">
        <v>23565</v>
      </c>
      <c r="R5499" s="5">
        <v>147589</v>
      </c>
    </row>
    <row r="5500" spans="1:18" x14ac:dyDescent="0.25">
      <c r="F5500" t="s">
        <v>971</v>
      </c>
      <c r="K5500" t="str">
        <f>IFERROR(IF(AND(VLOOKUP($C5500,Hes!$A:$B, 1, FALSE), $M5500&lt;&gt;" "), "Ingresada", "Falta Ingresar"), " ")</f>
        <v xml:space="preserve"> </v>
      </c>
      <c r="L5500" s="4" t="str">
        <f>IFERROR(VLOOKUP($C5500,Observaciones!$A:$B,2,FALSE)," ")</f>
        <v xml:space="preserve"> </v>
      </c>
      <c r="M5500" t="s">
        <v>681</v>
      </c>
      <c r="P5500" s="5">
        <v>4422555</v>
      </c>
      <c r="Q5500" s="5">
        <v>840288</v>
      </c>
      <c r="R5500" s="5">
        <v>5262843</v>
      </c>
    </row>
    <row r="5501" spans="1:18" x14ac:dyDescent="0.25">
      <c r="A5501" t="s">
        <v>520</v>
      </c>
      <c r="B5501" t="s">
        <v>494</v>
      </c>
      <c r="C5501">
        <v>96938840</v>
      </c>
      <c r="D5501">
        <v>223</v>
      </c>
      <c r="E5501">
        <v>30849001</v>
      </c>
      <c r="F5501" t="s">
        <v>1869</v>
      </c>
      <c r="G5501" s="1">
        <v>45233</v>
      </c>
      <c r="H5501">
        <v>5411447</v>
      </c>
      <c r="I5501">
        <v>394</v>
      </c>
      <c r="J5501" t="s">
        <v>224</v>
      </c>
      <c r="K5501" s="8" t="str">
        <f>IFERROR(IF(AND(VLOOKUP($C5501,Hes!$A:$B, 1, FALSE), $M5501&lt;&gt;" "), "Ingresada", "Falta Ingresar"), " ")</f>
        <v>Falta Ingresar</v>
      </c>
      <c r="L5501" s="4" t="str">
        <f>IFERROR(VLOOKUP($C5501,Observaciones!$A:$B,2,FALSE)," ")</f>
        <v>OC 49000000... XOC Y CC INDIVIDUAL, PAGINA WEB VENDEDOR ENVIA CORREO CON OC</v>
      </c>
      <c r="M5501" t="s">
        <v>681</v>
      </c>
      <c r="N5501" s="5" t="s">
        <v>841</v>
      </c>
      <c r="O5501" s="5">
        <v>30849001</v>
      </c>
      <c r="P5501" s="5">
        <v>299755</v>
      </c>
      <c r="Q5501" s="5">
        <v>56953</v>
      </c>
      <c r="R5501" s="5">
        <v>356708</v>
      </c>
    </row>
    <row r="5502" spans="1:18" x14ac:dyDescent="0.25">
      <c r="A5502" t="s">
        <v>520</v>
      </c>
      <c r="B5502" t="s">
        <v>494</v>
      </c>
      <c r="C5502">
        <v>96938840</v>
      </c>
      <c r="D5502">
        <v>1187</v>
      </c>
      <c r="E5502">
        <v>30851745</v>
      </c>
      <c r="F5502" t="s">
        <v>1869</v>
      </c>
      <c r="G5502" s="1">
        <v>45233</v>
      </c>
      <c r="H5502">
        <v>5411606</v>
      </c>
      <c r="I5502">
        <v>394</v>
      </c>
      <c r="J5502" t="s">
        <v>224</v>
      </c>
      <c r="K5502" s="8" t="str">
        <f>IFERROR(IF(AND(VLOOKUP($C5502,Hes!$A:$B, 1, FALSE), $M5502&lt;&gt;" "), "Ingresada", "Falta Ingresar"), " ")</f>
        <v>Falta Ingresar</v>
      </c>
      <c r="L5502" s="4" t="str">
        <f>IFERROR(VLOOKUP($C5502,Observaciones!$A:$B,2,FALSE)," ")</f>
        <v>OC 49000000... XOC Y CC INDIVIDUAL, PAGINA WEB VENDEDOR ENVIA CORREO CON OC</v>
      </c>
      <c r="M5502" t="s">
        <v>681</v>
      </c>
      <c r="N5502" s="5" t="s">
        <v>841</v>
      </c>
      <c r="O5502" s="5">
        <v>30851745</v>
      </c>
      <c r="P5502" s="5">
        <v>22500</v>
      </c>
      <c r="Q5502" s="5">
        <v>4275</v>
      </c>
      <c r="R5502" s="5">
        <v>26775</v>
      </c>
    </row>
    <row r="5503" spans="1:18" x14ac:dyDescent="0.25">
      <c r="A5503" t="s">
        <v>520</v>
      </c>
      <c r="B5503" t="s">
        <v>494</v>
      </c>
      <c r="C5503">
        <v>96938840</v>
      </c>
      <c r="D5503">
        <v>15</v>
      </c>
      <c r="E5503">
        <v>30852112</v>
      </c>
      <c r="F5503" t="s">
        <v>1869</v>
      </c>
      <c r="G5503" s="1">
        <v>45236</v>
      </c>
      <c r="H5503">
        <v>5412102</v>
      </c>
      <c r="I5503">
        <v>394</v>
      </c>
      <c r="J5503" t="s">
        <v>224</v>
      </c>
      <c r="K5503" s="8" t="str">
        <f>IFERROR(IF(AND(VLOOKUP($C5503,Hes!$A:$B, 1, FALSE), $M5503&lt;&gt;" "), "Ingresada", "Falta Ingresar"), " ")</f>
        <v>Falta Ingresar</v>
      </c>
      <c r="L5503" s="4" t="str">
        <f>IFERROR(VLOOKUP($C5503,Observaciones!$A:$B,2,FALSE)," ")</f>
        <v>OC 49000000... XOC Y CC INDIVIDUAL, PAGINA WEB VENDEDOR ENVIA CORREO CON OC</v>
      </c>
      <c r="M5503" t="s">
        <v>681</v>
      </c>
      <c r="N5503" s="5" t="s">
        <v>841</v>
      </c>
      <c r="O5503" s="5">
        <v>30852112</v>
      </c>
      <c r="P5503" s="5">
        <v>186662</v>
      </c>
      <c r="Q5503" s="5">
        <v>35466</v>
      </c>
      <c r="R5503" s="5">
        <v>222128</v>
      </c>
    </row>
    <row r="5504" spans="1:18" x14ac:dyDescent="0.25">
      <c r="A5504" t="s">
        <v>520</v>
      </c>
      <c r="B5504" t="s">
        <v>494</v>
      </c>
      <c r="C5504">
        <v>96938840</v>
      </c>
      <c r="D5504">
        <v>9</v>
      </c>
      <c r="E5504">
        <v>30853300</v>
      </c>
      <c r="F5504" t="s">
        <v>1869</v>
      </c>
      <c r="G5504" s="1">
        <v>45236</v>
      </c>
      <c r="H5504">
        <v>5412389</v>
      </c>
      <c r="I5504">
        <v>394</v>
      </c>
      <c r="J5504" t="s">
        <v>224</v>
      </c>
      <c r="K5504" s="8" t="str">
        <f>IFERROR(IF(AND(VLOOKUP($C5504,Hes!$A:$B, 1, FALSE), $M5504&lt;&gt;" "), "Ingresada", "Falta Ingresar"), " ")</f>
        <v>Falta Ingresar</v>
      </c>
      <c r="L5504" s="4" t="str">
        <f>IFERROR(VLOOKUP($C5504,Observaciones!$A:$B,2,FALSE)," ")</f>
        <v>OC 49000000... XOC Y CC INDIVIDUAL, PAGINA WEB VENDEDOR ENVIA CORREO CON OC</v>
      </c>
      <c r="M5504" t="s">
        <v>681</v>
      </c>
      <c r="N5504" s="5" t="s">
        <v>841</v>
      </c>
      <c r="O5504" s="5">
        <v>30853300</v>
      </c>
      <c r="P5504" s="5">
        <v>82348</v>
      </c>
      <c r="Q5504" s="5">
        <v>15646</v>
      </c>
      <c r="R5504" s="5">
        <v>97994</v>
      </c>
    </row>
    <row r="5505" spans="1:18" x14ac:dyDescent="0.25">
      <c r="A5505" t="s">
        <v>520</v>
      </c>
      <c r="B5505" t="s">
        <v>494</v>
      </c>
      <c r="C5505">
        <v>96938840</v>
      </c>
      <c r="D5505">
        <v>1185</v>
      </c>
      <c r="E5505">
        <v>30854087</v>
      </c>
      <c r="F5505" t="s">
        <v>1869</v>
      </c>
      <c r="G5505" s="1">
        <v>45236</v>
      </c>
      <c r="H5505">
        <v>5413413</v>
      </c>
      <c r="I5505">
        <v>394</v>
      </c>
      <c r="J5505" t="s">
        <v>224</v>
      </c>
      <c r="K5505" s="8" t="str">
        <f>IFERROR(IF(AND(VLOOKUP($C5505,Hes!$A:$B, 1, FALSE), $M5505&lt;&gt;" "), "Ingresada", "Falta Ingresar"), " ")</f>
        <v>Falta Ingresar</v>
      </c>
      <c r="L5505" s="4" t="str">
        <f>IFERROR(VLOOKUP($C5505,Observaciones!$A:$B,2,FALSE)," ")</f>
        <v>OC 49000000... XOC Y CC INDIVIDUAL, PAGINA WEB VENDEDOR ENVIA CORREO CON OC</v>
      </c>
      <c r="M5505" t="s">
        <v>681</v>
      </c>
      <c r="N5505" s="5" t="s">
        <v>841</v>
      </c>
      <c r="O5505" s="5">
        <v>30854087</v>
      </c>
      <c r="P5505" s="5">
        <v>210508</v>
      </c>
      <c r="Q5505" s="5">
        <v>39997</v>
      </c>
      <c r="R5505" s="5">
        <v>250505</v>
      </c>
    </row>
    <row r="5506" spans="1:18" x14ac:dyDescent="0.25">
      <c r="A5506" t="s">
        <v>520</v>
      </c>
      <c r="B5506" t="s">
        <v>494</v>
      </c>
      <c r="C5506">
        <v>96938840</v>
      </c>
      <c r="D5506">
        <v>14</v>
      </c>
      <c r="E5506">
        <v>30856061</v>
      </c>
      <c r="F5506" t="s">
        <v>1869</v>
      </c>
      <c r="G5506" s="1">
        <v>45236</v>
      </c>
      <c r="H5506">
        <v>5413490</v>
      </c>
      <c r="I5506">
        <v>394</v>
      </c>
      <c r="J5506" t="s">
        <v>224</v>
      </c>
      <c r="K5506" s="8" t="str">
        <f>IFERROR(IF(AND(VLOOKUP($C5506,Hes!$A:$B, 1, FALSE), $M5506&lt;&gt;" "), "Ingresada", "Falta Ingresar"), " ")</f>
        <v>Falta Ingresar</v>
      </c>
      <c r="L5506" s="4" t="str">
        <f>IFERROR(VLOOKUP($C5506,Observaciones!$A:$B,2,FALSE)," ")</f>
        <v>OC 49000000... XOC Y CC INDIVIDUAL, PAGINA WEB VENDEDOR ENVIA CORREO CON OC</v>
      </c>
      <c r="M5506" t="s">
        <v>681</v>
      </c>
      <c r="N5506" s="5" t="s">
        <v>841</v>
      </c>
      <c r="O5506" s="5">
        <v>30856061</v>
      </c>
      <c r="P5506" s="5">
        <v>84967</v>
      </c>
      <c r="Q5506" s="5">
        <v>16144</v>
      </c>
      <c r="R5506" s="5">
        <v>101111</v>
      </c>
    </row>
    <row r="5507" spans="1:18" x14ac:dyDescent="0.25">
      <c r="A5507" t="s">
        <v>520</v>
      </c>
      <c r="B5507" t="s">
        <v>494</v>
      </c>
      <c r="C5507">
        <v>96938840</v>
      </c>
      <c r="D5507">
        <v>1184</v>
      </c>
      <c r="E5507">
        <v>30857185</v>
      </c>
      <c r="F5507" t="s">
        <v>1869</v>
      </c>
      <c r="G5507" s="1">
        <v>45236</v>
      </c>
      <c r="H5507">
        <v>5413574</v>
      </c>
      <c r="I5507">
        <v>394</v>
      </c>
      <c r="J5507" t="s">
        <v>224</v>
      </c>
      <c r="K5507" s="8" t="str">
        <f>IFERROR(IF(AND(VLOOKUP($C5507,Hes!$A:$B, 1, FALSE), $M5507&lt;&gt;" "), "Ingresada", "Falta Ingresar"), " ")</f>
        <v>Falta Ingresar</v>
      </c>
      <c r="L5507" s="4" t="str">
        <f>IFERROR(VLOOKUP($C5507,Observaciones!$A:$B,2,FALSE)," ")</f>
        <v>OC 49000000... XOC Y CC INDIVIDUAL, PAGINA WEB VENDEDOR ENVIA CORREO CON OC</v>
      </c>
      <c r="M5507" t="s">
        <v>681</v>
      </c>
      <c r="N5507" s="5" t="s">
        <v>841</v>
      </c>
      <c r="O5507" s="5">
        <v>30857185</v>
      </c>
      <c r="P5507" s="5">
        <v>233960</v>
      </c>
      <c r="Q5507" s="5">
        <v>44452</v>
      </c>
      <c r="R5507" s="5">
        <v>278412</v>
      </c>
    </row>
    <row r="5508" spans="1:18" x14ac:dyDescent="0.25">
      <c r="A5508" t="s">
        <v>520</v>
      </c>
      <c r="B5508" t="s">
        <v>494</v>
      </c>
      <c r="C5508">
        <v>96938840</v>
      </c>
      <c r="D5508">
        <v>1187</v>
      </c>
      <c r="E5508">
        <v>30857677</v>
      </c>
      <c r="F5508" t="s">
        <v>1869</v>
      </c>
      <c r="G5508" s="1">
        <v>45236</v>
      </c>
      <c r="H5508">
        <v>5413583</v>
      </c>
      <c r="I5508">
        <v>394</v>
      </c>
      <c r="J5508" t="s">
        <v>224</v>
      </c>
      <c r="K5508" s="8" t="str">
        <f>IFERROR(IF(AND(VLOOKUP($C5508,Hes!$A:$B, 1, FALSE), $M5508&lt;&gt;" "), "Ingresada", "Falta Ingresar"), " ")</f>
        <v>Falta Ingresar</v>
      </c>
      <c r="L5508" s="4" t="str">
        <f>IFERROR(VLOOKUP($C5508,Observaciones!$A:$B,2,FALSE)," ")</f>
        <v>OC 49000000... XOC Y CC INDIVIDUAL, PAGINA WEB VENDEDOR ENVIA CORREO CON OC</v>
      </c>
      <c r="M5508" t="s">
        <v>681</v>
      </c>
      <c r="N5508" s="5" t="s">
        <v>841</v>
      </c>
      <c r="O5508" s="5">
        <v>30857677</v>
      </c>
      <c r="P5508" s="5">
        <v>21390</v>
      </c>
      <c r="Q5508" s="5">
        <v>4064</v>
      </c>
      <c r="R5508" s="5">
        <v>25454</v>
      </c>
    </row>
    <row r="5509" spans="1:18" x14ac:dyDescent="0.25">
      <c r="A5509" t="s">
        <v>520</v>
      </c>
      <c r="B5509" t="s">
        <v>494</v>
      </c>
      <c r="C5509">
        <v>96938840</v>
      </c>
      <c r="D5509">
        <v>242</v>
      </c>
      <c r="E5509">
        <v>30855657</v>
      </c>
      <c r="F5509" t="s">
        <v>1869</v>
      </c>
      <c r="G5509" s="1">
        <v>45236</v>
      </c>
      <c r="H5509">
        <v>5413602</v>
      </c>
      <c r="I5509">
        <v>394</v>
      </c>
      <c r="J5509" t="s">
        <v>224</v>
      </c>
      <c r="K5509" s="8" t="str">
        <f>IFERROR(IF(AND(VLOOKUP($C5509,Hes!$A:$B, 1, FALSE), $M5509&lt;&gt;" "), "Ingresada", "Falta Ingresar"), " ")</f>
        <v>Falta Ingresar</v>
      </c>
      <c r="L5509" s="4" t="str">
        <f>IFERROR(VLOOKUP($C5509,Observaciones!$A:$B,2,FALSE)," ")</f>
        <v>OC 49000000... XOC Y CC INDIVIDUAL, PAGINA WEB VENDEDOR ENVIA CORREO CON OC</v>
      </c>
      <c r="M5509" t="s">
        <v>681</v>
      </c>
      <c r="N5509" s="5" t="s">
        <v>841</v>
      </c>
      <c r="O5509" s="5">
        <v>30855657</v>
      </c>
      <c r="P5509" s="5">
        <v>115598</v>
      </c>
      <c r="Q5509" s="5">
        <v>21964</v>
      </c>
      <c r="R5509" s="5">
        <v>137562</v>
      </c>
    </row>
    <row r="5510" spans="1:18" x14ac:dyDescent="0.25">
      <c r="A5510" t="s">
        <v>520</v>
      </c>
      <c r="B5510" t="s">
        <v>494</v>
      </c>
      <c r="C5510">
        <v>96938840</v>
      </c>
      <c r="D5510">
        <v>12</v>
      </c>
      <c r="E5510">
        <v>30857598</v>
      </c>
      <c r="F5510" t="s">
        <v>1869</v>
      </c>
      <c r="G5510" s="1">
        <v>45237</v>
      </c>
      <c r="H5510">
        <v>5413917</v>
      </c>
      <c r="I5510">
        <v>394</v>
      </c>
      <c r="J5510" t="s">
        <v>224</v>
      </c>
      <c r="K5510" s="8" t="str">
        <f>IFERROR(IF(AND(VLOOKUP($C5510,Hes!$A:$B, 1, FALSE), $M5510&lt;&gt;" "), "Ingresada", "Falta Ingresar"), " ")</f>
        <v>Falta Ingresar</v>
      </c>
      <c r="L5510" s="4" t="str">
        <f>IFERROR(VLOOKUP($C5510,Observaciones!$A:$B,2,FALSE)," ")</f>
        <v>OC 49000000... XOC Y CC INDIVIDUAL, PAGINA WEB VENDEDOR ENVIA CORREO CON OC</v>
      </c>
      <c r="M5510" t="s">
        <v>681</v>
      </c>
      <c r="N5510" s="5" t="s">
        <v>841</v>
      </c>
      <c r="O5510" s="5">
        <v>30857598</v>
      </c>
      <c r="P5510" s="5">
        <v>98208</v>
      </c>
      <c r="Q5510" s="5">
        <v>18660</v>
      </c>
      <c r="R5510" s="5">
        <v>116868</v>
      </c>
    </row>
    <row r="5511" spans="1:18" x14ac:dyDescent="0.25">
      <c r="A5511" t="s">
        <v>520</v>
      </c>
      <c r="B5511" t="s">
        <v>494</v>
      </c>
      <c r="C5511">
        <v>96938840</v>
      </c>
      <c r="D5511">
        <v>1182</v>
      </c>
      <c r="E5511">
        <v>30858129</v>
      </c>
      <c r="F5511" t="s">
        <v>1869</v>
      </c>
      <c r="G5511" s="1">
        <v>45237</v>
      </c>
      <c r="H5511">
        <v>5413959</v>
      </c>
      <c r="I5511">
        <v>394</v>
      </c>
      <c r="J5511" t="s">
        <v>224</v>
      </c>
      <c r="K5511" s="8" t="str">
        <f>IFERROR(IF(AND(VLOOKUP($C5511,Hes!$A:$B, 1, FALSE), $M5511&lt;&gt;" "), "Ingresada", "Falta Ingresar"), " ")</f>
        <v>Falta Ingresar</v>
      </c>
      <c r="L5511" s="4" t="str">
        <f>IFERROR(VLOOKUP($C5511,Observaciones!$A:$B,2,FALSE)," ")</f>
        <v>OC 49000000... XOC Y CC INDIVIDUAL, PAGINA WEB VENDEDOR ENVIA CORREO CON OC</v>
      </c>
      <c r="M5511" t="s">
        <v>681</v>
      </c>
      <c r="N5511" s="5" t="s">
        <v>841</v>
      </c>
      <c r="O5511" s="5">
        <v>30858129</v>
      </c>
      <c r="P5511" s="5">
        <v>140521</v>
      </c>
      <c r="Q5511" s="5">
        <v>26699</v>
      </c>
      <c r="R5511" s="5">
        <v>167220</v>
      </c>
    </row>
    <row r="5512" spans="1:18" x14ac:dyDescent="0.25">
      <c r="A5512" t="s">
        <v>520</v>
      </c>
      <c r="B5512" t="s">
        <v>494</v>
      </c>
      <c r="C5512">
        <v>96938840</v>
      </c>
      <c r="D5512">
        <v>80</v>
      </c>
      <c r="E5512">
        <v>30859380</v>
      </c>
      <c r="F5512" t="s">
        <v>1869</v>
      </c>
      <c r="G5512" s="1">
        <v>45237</v>
      </c>
      <c r="H5512">
        <v>5414068</v>
      </c>
      <c r="I5512">
        <v>394</v>
      </c>
      <c r="J5512" t="s">
        <v>224</v>
      </c>
      <c r="K5512" s="8" t="str">
        <f>IFERROR(IF(AND(VLOOKUP($C5512,Hes!$A:$B, 1, FALSE), $M5512&lt;&gt;" "), "Ingresada", "Falta Ingresar"), " ")</f>
        <v>Falta Ingresar</v>
      </c>
      <c r="L5512" s="4" t="str">
        <f>IFERROR(VLOOKUP($C5512,Observaciones!$A:$B,2,FALSE)," ")</f>
        <v>OC 49000000... XOC Y CC INDIVIDUAL, PAGINA WEB VENDEDOR ENVIA CORREO CON OC</v>
      </c>
      <c r="M5512" t="s">
        <v>681</v>
      </c>
      <c r="N5512" s="5" t="s">
        <v>841</v>
      </c>
      <c r="O5512" s="5">
        <v>30859380</v>
      </c>
      <c r="P5512" s="5">
        <v>206362</v>
      </c>
      <c r="Q5512" s="5">
        <v>39209</v>
      </c>
      <c r="R5512" s="5">
        <v>245571</v>
      </c>
    </row>
    <row r="5513" spans="1:18" x14ac:dyDescent="0.25">
      <c r="A5513" t="s">
        <v>520</v>
      </c>
      <c r="B5513" t="s">
        <v>494</v>
      </c>
      <c r="C5513">
        <v>96938840</v>
      </c>
      <c r="D5513">
        <v>0</v>
      </c>
      <c r="E5513">
        <v>30860670</v>
      </c>
      <c r="F5513" t="s">
        <v>1869</v>
      </c>
      <c r="G5513" s="1">
        <v>45237</v>
      </c>
      <c r="H5513">
        <v>5414362</v>
      </c>
      <c r="I5513">
        <v>394</v>
      </c>
      <c r="J5513" t="s">
        <v>224</v>
      </c>
      <c r="K5513" s="8" t="str">
        <f>IFERROR(IF(AND(VLOOKUP($C5513,Hes!$A:$B, 1, FALSE), $M5513&lt;&gt;" "), "Ingresada", "Falta Ingresar"), " ")</f>
        <v>Falta Ingresar</v>
      </c>
      <c r="L5513" s="4" t="str">
        <f>IFERROR(VLOOKUP($C5513,Observaciones!$A:$B,2,FALSE)," ")</f>
        <v>OC 49000000... XOC Y CC INDIVIDUAL, PAGINA WEB VENDEDOR ENVIA CORREO CON OC</v>
      </c>
      <c r="M5513" t="s">
        <v>681</v>
      </c>
      <c r="N5513" s="5" t="s">
        <v>841</v>
      </c>
      <c r="O5513" s="5">
        <v>30860670</v>
      </c>
      <c r="P5513" s="5">
        <v>134098</v>
      </c>
      <c r="Q5513" s="5">
        <v>25479</v>
      </c>
      <c r="R5513" s="5">
        <v>159577</v>
      </c>
    </row>
    <row r="5514" spans="1:18" x14ac:dyDescent="0.25">
      <c r="A5514" t="s">
        <v>520</v>
      </c>
      <c r="B5514" t="s">
        <v>494</v>
      </c>
      <c r="C5514">
        <v>96938840</v>
      </c>
      <c r="D5514">
        <v>30</v>
      </c>
      <c r="E5514">
        <v>30861862</v>
      </c>
      <c r="F5514" t="s">
        <v>1869</v>
      </c>
      <c r="G5514" s="1">
        <v>45237</v>
      </c>
      <c r="H5514">
        <v>5414511</v>
      </c>
      <c r="I5514">
        <v>394</v>
      </c>
      <c r="J5514" t="s">
        <v>224</v>
      </c>
      <c r="K5514" s="8" t="str">
        <f>IFERROR(IF(AND(VLOOKUP($C5514,Hes!$A:$B, 1, FALSE), $M5514&lt;&gt;" "), "Ingresada", "Falta Ingresar"), " ")</f>
        <v>Falta Ingresar</v>
      </c>
      <c r="L5514" s="4" t="str">
        <f>IFERROR(VLOOKUP($C5514,Observaciones!$A:$B,2,FALSE)," ")</f>
        <v>OC 49000000... XOC Y CC INDIVIDUAL, PAGINA WEB VENDEDOR ENVIA CORREO CON OC</v>
      </c>
      <c r="M5514" t="s">
        <v>681</v>
      </c>
      <c r="N5514" s="5" t="s">
        <v>841</v>
      </c>
      <c r="O5514" s="5">
        <v>30861862</v>
      </c>
      <c r="P5514" s="5">
        <v>89899</v>
      </c>
      <c r="Q5514" s="5">
        <v>17081</v>
      </c>
      <c r="R5514" s="5">
        <v>106980</v>
      </c>
    </row>
    <row r="5515" spans="1:18" x14ac:dyDescent="0.25">
      <c r="A5515" t="s">
        <v>520</v>
      </c>
      <c r="B5515" t="s">
        <v>494</v>
      </c>
      <c r="C5515">
        <v>96938840</v>
      </c>
      <c r="D5515">
        <v>10</v>
      </c>
      <c r="E5515">
        <v>30857371</v>
      </c>
      <c r="F5515" t="s">
        <v>1869</v>
      </c>
      <c r="G5515" s="1">
        <v>45238</v>
      </c>
      <c r="H5515">
        <v>5414591</v>
      </c>
      <c r="I5515">
        <v>394</v>
      </c>
      <c r="J5515" t="s">
        <v>224</v>
      </c>
      <c r="K5515" s="8" t="str">
        <f>IFERROR(IF(AND(VLOOKUP($C5515,Hes!$A:$B, 1, FALSE), $M5515&lt;&gt;" "), "Ingresada", "Falta Ingresar"), " ")</f>
        <v>Falta Ingresar</v>
      </c>
      <c r="L5515" s="4" t="str">
        <f>IFERROR(VLOOKUP($C5515,Observaciones!$A:$B,2,FALSE)," ")</f>
        <v>OC 49000000... XOC Y CC INDIVIDUAL, PAGINA WEB VENDEDOR ENVIA CORREO CON OC</v>
      </c>
      <c r="M5515" t="s">
        <v>681</v>
      </c>
      <c r="N5515" s="5" t="s">
        <v>841</v>
      </c>
      <c r="O5515" s="5">
        <v>30857371</v>
      </c>
      <c r="P5515" s="5">
        <v>199601</v>
      </c>
      <c r="Q5515" s="5">
        <v>37924</v>
      </c>
      <c r="R5515" s="5">
        <v>237525</v>
      </c>
    </row>
    <row r="5516" spans="1:18" x14ac:dyDescent="0.25">
      <c r="A5516" t="s">
        <v>520</v>
      </c>
      <c r="B5516" t="s">
        <v>494</v>
      </c>
      <c r="C5516">
        <v>96938840</v>
      </c>
      <c r="D5516">
        <v>25</v>
      </c>
      <c r="E5516">
        <v>30863048</v>
      </c>
      <c r="F5516" t="s">
        <v>1869</v>
      </c>
      <c r="G5516" s="1">
        <v>45238</v>
      </c>
      <c r="H5516">
        <v>5415074</v>
      </c>
      <c r="I5516">
        <v>394</v>
      </c>
      <c r="J5516" t="s">
        <v>224</v>
      </c>
      <c r="K5516" s="8" t="str">
        <f>IFERROR(IF(AND(VLOOKUP($C5516,Hes!$A:$B, 1, FALSE), $M5516&lt;&gt;" "), "Ingresada", "Falta Ingresar"), " ")</f>
        <v>Falta Ingresar</v>
      </c>
      <c r="L5516" s="4" t="str">
        <f>IFERROR(VLOOKUP($C5516,Observaciones!$A:$B,2,FALSE)," ")</f>
        <v>OC 49000000... XOC Y CC INDIVIDUAL, PAGINA WEB VENDEDOR ENVIA CORREO CON OC</v>
      </c>
      <c r="M5516" t="s">
        <v>681</v>
      </c>
      <c r="N5516" s="5" t="s">
        <v>841</v>
      </c>
      <c r="O5516" s="5">
        <v>30863048</v>
      </c>
      <c r="P5516" s="5">
        <v>158109</v>
      </c>
      <c r="Q5516" s="5">
        <v>30041</v>
      </c>
      <c r="R5516" s="5">
        <v>188150</v>
      </c>
    </row>
    <row r="5517" spans="1:18" x14ac:dyDescent="0.25">
      <c r="A5517" t="s">
        <v>520</v>
      </c>
      <c r="B5517" t="s">
        <v>494</v>
      </c>
      <c r="C5517">
        <v>96938840</v>
      </c>
      <c r="D5517">
        <v>3</v>
      </c>
      <c r="E5517">
        <v>30862892</v>
      </c>
      <c r="F5517" t="s">
        <v>1869</v>
      </c>
      <c r="G5517" s="1">
        <v>45238</v>
      </c>
      <c r="H5517">
        <v>5415088</v>
      </c>
      <c r="I5517">
        <v>394</v>
      </c>
      <c r="J5517" t="s">
        <v>224</v>
      </c>
      <c r="K5517" s="8" t="str">
        <f>IFERROR(IF(AND(VLOOKUP($C5517,Hes!$A:$B, 1, FALSE), $M5517&lt;&gt;" "), "Ingresada", "Falta Ingresar"), " ")</f>
        <v>Falta Ingresar</v>
      </c>
      <c r="L5517" s="4" t="str">
        <f>IFERROR(VLOOKUP($C5517,Observaciones!$A:$B,2,FALSE)," ")</f>
        <v>OC 49000000... XOC Y CC INDIVIDUAL, PAGINA WEB VENDEDOR ENVIA CORREO CON OC</v>
      </c>
      <c r="M5517" t="s">
        <v>681</v>
      </c>
      <c r="N5517" s="5" t="s">
        <v>841</v>
      </c>
      <c r="O5517" s="5">
        <v>30862892</v>
      </c>
      <c r="P5517" s="5">
        <v>84530</v>
      </c>
      <c r="Q5517" s="5">
        <v>16061</v>
      </c>
      <c r="R5517" s="5">
        <v>100591</v>
      </c>
    </row>
    <row r="5518" spans="1:18" x14ac:dyDescent="0.25">
      <c r="A5518" t="s">
        <v>520</v>
      </c>
      <c r="B5518" t="s">
        <v>494</v>
      </c>
      <c r="C5518">
        <v>96938840</v>
      </c>
      <c r="D5518">
        <v>61</v>
      </c>
      <c r="E5518">
        <v>30861617</v>
      </c>
      <c r="F5518" t="s">
        <v>1869</v>
      </c>
      <c r="G5518" s="1">
        <v>45238</v>
      </c>
      <c r="H5518">
        <v>5415120</v>
      </c>
      <c r="I5518">
        <v>394</v>
      </c>
      <c r="J5518" t="s">
        <v>224</v>
      </c>
      <c r="K5518" s="8" t="str">
        <f>IFERROR(IF(AND(VLOOKUP($C5518,Hes!$A:$B, 1, FALSE), $M5518&lt;&gt;" "), "Ingresada", "Falta Ingresar"), " ")</f>
        <v>Falta Ingresar</v>
      </c>
      <c r="L5518" s="4" t="str">
        <f>IFERROR(VLOOKUP($C5518,Observaciones!$A:$B,2,FALSE)," ")</f>
        <v>OC 49000000... XOC Y CC INDIVIDUAL, PAGINA WEB VENDEDOR ENVIA CORREO CON OC</v>
      </c>
      <c r="M5518" t="s">
        <v>681</v>
      </c>
      <c r="N5518" s="5" t="s">
        <v>841</v>
      </c>
      <c r="O5518" s="5">
        <v>30861617</v>
      </c>
      <c r="P5518" s="5">
        <v>146538</v>
      </c>
      <c r="Q5518" s="5">
        <v>27842</v>
      </c>
      <c r="R5518" s="5">
        <v>174380</v>
      </c>
    </row>
    <row r="5519" spans="1:18" x14ac:dyDescent="0.25">
      <c r="A5519" t="s">
        <v>520</v>
      </c>
      <c r="B5519" t="s">
        <v>494</v>
      </c>
      <c r="C5519">
        <v>96938840</v>
      </c>
      <c r="D5519">
        <v>28</v>
      </c>
      <c r="E5519">
        <v>30863052</v>
      </c>
      <c r="F5519" t="s">
        <v>1869</v>
      </c>
      <c r="G5519" s="1">
        <v>45238</v>
      </c>
      <c r="H5519">
        <v>5415235</v>
      </c>
      <c r="I5519">
        <v>394</v>
      </c>
      <c r="J5519" t="s">
        <v>224</v>
      </c>
      <c r="K5519" s="8" t="str">
        <f>IFERROR(IF(AND(VLOOKUP($C5519,Hes!$A:$B, 1, FALSE), $M5519&lt;&gt;" "), "Ingresada", "Falta Ingresar"), " ")</f>
        <v>Falta Ingresar</v>
      </c>
      <c r="L5519" s="4" t="str">
        <f>IFERROR(VLOOKUP($C5519,Observaciones!$A:$B,2,FALSE)," ")</f>
        <v>OC 49000000... XOC Y CC INDIVIDUAL, PAGINA WEB VENDEDOR ENVIA CORREO CON OC</v>
      </c>
      <c r="M5519" t="s">
        <v>681</v>
      </c>
      <c r="N5519" s="5" t="s">
        <v>841</v>
      </c>
      <c r="O5519" s="5">
        <v>30863052</v>
      </c>
      <c r="P5519" s="5">
        <v>76961</v>
      </c>
      <c r="Q5519" s="5">
        <v>14623</v>
      </c>
      <c r="R5519" s="5">
        <v>91584</v>
      </c>
    </row>
    <row r="5520" spans="1:18" x14ac:dyDescent="0.25">
      <c r="A5520" t="s">
        <v>520</v>
      </c>
      <c r="B5520" t="s">
        <v>494</v>
      </c>
      <c r="C5520">
        <v>96938840</v>
      </c>
      <c r="D5520">
        <v>6</v>
      </c>
      <c r="E5520">
        <v>30865293</v>
      </c>
      <c r="F5520" t="s">
        <v>1869</v>
      </c>
      <c r="G5520" s="1">
        <v>45238</v>
      </c>
      <c r="H5520">
        <v>5415551</v>
      </c>
      <c r="I5520">
        <v>394</v>
      </c>
      <c r="J5520" t="s">
        <v>224</v>
      </c>
      <c r="K5520" s="8" t="str">
        <f>IFERROR(IF(AND(VLOOKUP($C5520,Hes!$A:$B, 1, FALSE), $M5520&lt;&gt;" "), "Ingresada", "Falta Ingresar"), " ")</f>
        <v>Falta Ingresar</v>
      </c>
      <c r="L5520" s="4" t="str">
        <f>IFERROR(VLOOKUP($C5520,Observaciones!$A:$B,2,FALSE)," ")</f>
        <v>OC 49000000... XOC Y CC INDIVIDUAL, PAGINA WEB VENDEDOR ENVIA CORREO CON OC</v>
      </c>
      <c r="M5520" t="s">
        <v>681</v>
      </c>
      <c r="N5520" s="5" t="s">
        <v>841</v>
      </c>
      <c r="O5520" s="5">
        <v>30865293</v>
      </c>
      <c r="P5520" s="5">
        <v>103951</v>
      </c>
      <c r="Q5520" s="5">
        <v>19751</v>
      </c>
      <c r="R5520" s="5">
        <v>123702</v>
      </c>
    </row>
    <row r="5521" spans="1:18" x14ac:dyDescent="0.25">
      <c r="A5521" t="s">
        <v>520</v>
      </c>
      <c r="B5521" t="s">
        <v>494</v>
      </c>
      <c r="C5521">
        <v>96938840</v>
      </c>
      <c r="D5521">
        <v>150</v>
      </c>
      <c r="E5521">
        <v>30863620</v>
      </c>
      <c r="F5521" t="s">
        <v>1869</v>
      </c>
      <c r="G5521" s="1">
        <v>45238</v>
      </c>
      <c r="H5521">
        <v>5415666</v>
      </c>
      <c r="I5521">
        <v>394</v>
      </c>
      <c r="J5521" t="s">
        <v>224</v>
      </c>
      <c r="K5521" s="8" t="str">
        <f>IFERROR(IF(AND(VLOOKUP($C5521,Hes!$A:$B, 1, FALSE), $M5521&lt;&gt;" "), "Ingresada", "Falta Ingresar"), " ")</f>
        <v>Falta Ingresar</v>
      </c>
      <c r="L5521" s="4" t="str">
        <f>IFERROR(VLOOKUP($C5521,Observaciones!$A:$B,2,FALSE)," ")</f>
        <v>OC 49000000... XOC Y CC INDIVIDUAL, PAGINA WEB VENDEDOR ENVIA CORREO CON OC</v>
      </c>
      <c r="M5521" t="s">
        <v>681</v>
      </c>
      <c r="N5521" s="5" t="s">
        <v>841</v>
      </c>
      <c r="O5521" s="5">
        <v>30863620</v>
      </c>
      <c r="P5521" s="5">
        <v>80851</v>
      </c>
      <c r="Q5521" s="5">
        <v>15362</v>
      </c>
      <c r="R5521" s="5">
        <v>96213</v>
      </c>
    </row>
    <row r="5522" spans="1:18" x14ac:dyDescent="0.25">
      <c r="A5522" t="s">
        <v>520</v>
      </c>
      <c r="B5522" t="s">
        <v>494</v>
      </c>
      <c r="C5522">
        <v>96938840</v>
      </c>
      <c r="D5522">
        <v>0</v>
      </c>
      <c r="E5522">
        <v>30864030</v>
      </c>
      <c r="F5522" t="s">
        <v>1869</v>
      </c>
      <c r="G5522" s="1">
        <v>45238</v>
      </c>
      <c r="H5522">
        <v>5415754</v>
      </c>
      <c r="I5522">
        <v>394</v>
      </c>
      <c r="J5522" t="s">
        <v>224</v>
      </c>
      <c r="K5522" s="8" t="str">
        <f>IFERROR(IF(AND(VLOOKUP($C5522,Hes!$A:$B, 1, FALSE), $M5522&lt;&gt;" "), "Ingresada", "Falta Ingresar"), " ")</f>
        <v>Falta Ingresar</v>
      </c>
      <c r="L5522" s="4" t="str">
        <f>IFERROR(VLOOKUP($C5522,Observaciones!$A:$B,2,FALSE)," ")</f>
        <v>OC 49000000... XOC Y CC INDIVIDUAL, PAGINA WEB VENDEDOR ENVIA CORREO CON OC</v>
      </c>
      <c r="M5522" t="s">
        <v>681</v>
      </c>
      <c r="N5522" s="5" t="s">
        <v>841</v>
      </c>
      <c r="O5522" s="5">
        <v>30864030</v>
      </c>
      <c r="P5522" s="5">
        <v>206236</v>
      </c>
      <c r="Q5522" s="5">
        <v>39185</v>
      </c>
      <c r="R5522" s="5">
        <v>245421</v>
      </c>
    </row>
    <row r="5523" spans="1:18" x14ac:dyDescent="0.25">
      <c r="F5523" t="s">
        <v>862</v>
      </c>
      <c r="K5523" t="str">
        <f>IFERROR(IF(AND(VLOOKUP($C5523,Hes!$A:$B, 1, FALSE), $M5523&lt;&gt;" "), "Ingresada", "Falta Ingresar"), " ")</f>
        <v xml:space="preserve"> </v>
      </c>
      <c r="L5523" s="4" t="str">
        <f>IFERROR(VLOOKUP($C5523,Observaciones!$A:$B,2,FALSE)," ")</f>
        <v xml:space="preserve"> </v>
      </c>
      <c r="M5523" t="s">
        <v>681</v>
      </c>
      <c r="P5523" s="5">
        <v>2983553</v>
      </c>
      <c r="Q5523" s="5">
        <v>566878</v>
      </c>
      <c r="R5523" s="5">
        <v>3550431</v>
      </c>
    </row>
    <row r="5524" spans="1:18" x14ac:dyDescent="0.25">
      <c r="A5524" t="s">
        <v>513</v>
      </c>
      <c r="B5524" t="s">
        <v>494</v>
      </c>
      <c r="C5524">
        <v>96951450</v>
      </c>
      <c r="D5524">
        <v>0</v>
      </c>
      <c r="E5524">
        <v>30866484</v>
      </c>
      <c r="F5524" t="s">
        <v>1870</v>
      </c>
      <c r="G5524" s="1">
        <v>45238</v>
      </c>
      <c r="H5524">
        <v>5415787</v>
      </c>
      <c r="I5524">
        <v>2</v>
      </c>
      <c r="J5524" t="s">
        <v>242</v>
      </c>
      <c r="K5524" t="str">
        <f>IFERROR(IF(AND(VLOOKUP($C5524,Hes!$A:$B, 1, FALSE), $M5524&lt;&gt;" "), "Ingresada", "Falta Ingresar"), " ")</f>
        <v xml:space="preserve"> </v>
      </c>
      <c r="L5524" s="4" t="str">
        <f>IFERROR(VLOOKUP($C5524,Observaciones!$A:$B,2,FALSE)," ")</f>
        <v xml:space="preserve"> </v>
      </c>
      <c r="M5524" t="s">
        <v>681</v>
      </c>
      <c r="O5524" s="5">
        <v>30866484</v>
      </c>
      <c r="P5524" s="5">
        <v>42820</v>
      </c>
      <c r="Q5524" s="5">
        <v>8136</v>
      </c>
      <c r="R5524" s="5">
        <v>50956</v>
      </c>
    </row>
    <row r="5525" spans="1:18" x14ac:dyDescent="0.25">
      <c r="F5525" t="s">
        <v>495</v>
      </c>
      <c r="K5525" t="str">
        <f>IFERROR(IF(AND(VLOOKUP($C5525,Hes!$A:$B, 1, FALSE), $M5525&lt;&gt;" "), "Ingresada", "Falta Ingresar"), " ")</f>
        <v xml:space="preserve"> </v>
      </c>
      <c r="L5525" s="4" t="str">
        <f>IFERROR(VLOOKUP($C5525,Observaciones!$A:$B,2,FALSE)," ")</f>
        <v xml:space="preserve"> </v>
      </c>
      <c r="M5525" t="s">
        <v>681</v>
      </c>
      <c r="P5525" s="5">
        <v>42820</v>
      </c>
      <c r="Q5525" s="5">
        <v>8136</v>
      </c>
      <c r="R5525" s="5">
        <v>50956</v>
      </c>
    </row>
    <row r="5526" spans="1:18" x14ac:dyDescent="0.25">
      <c r="A5526" t="s">
        <v>501</v>
      </c>
      <c r="B5526" t="s">
        <v>494</v>
      </c>
      <c r="C5526">
        <v>96955500</v>
      </c>
      <c r="D5526">
        <v>2</v>
      </c>
      <c r="E5526" t="s">
        <v>1871</v>
      </c>
      <c r="F5526" t="s">
        <v>1872</v>
      </c>
      <c r="G5526" s="1">
        <v>45237</v>
      </c>
      <c r="H5526">
        <v>5414294</v>
      </c>
      <c r="I5526">
        <v>176</v>
      </c>
      <c r="J5526" t="s">
        <v>158</v>
      </c>
      <c r="K5526" t="str">
        <f>IFERROR(IF(AND(VLOOKUP($C5526,Hes!$A:$B, 1, FALSE), $M5526&lt;&gt;" "), "Ingresada", "Falta Ingresar"), " ")</f>
        <v xml:space="preserve"> </v>
      </c>
      <c r="L5526" s="4" t="str">
        <f>IFERROR(VLOOKUP($C5526,Observaciones!$A:$B,2,FALSE)," ")</f>
        <v xml:space="preserve"> </v>
      </c>
      <c r="M5526" t="s">
        <v>681</v>
      </c>
      <c r="O5526" s="5">
        <v>30859803</v>
      </c>
      <c r="P5526" s="5">
        <v>177810</v>
      </c>
      <c r="Q5526" s="5">
        <v>33784</v>
      </c>
      <c r="R5526" s="5">
        <v>211594</v>
      </c>
    </row>
    <row r="5527" spans="1:18" x14ac:dyDescent="0.25">
      <c r="F5527" t="s">
        <v>495</v>
      </c>
      <c r="K5527" t="str">
        <f>IFERROR(IF(AND(VLOOKUP($C5527,Hes!$A:$B, 1, FALSE), $M5527&lt;&gt;" "), "Ingresada", "Falta Ingresar"), " ")</f>
        <v xml:space="preserve"> </v>
      </c>
      <c r="L5527" s="4" t="str">
        <f>IFERROR(VLOOKUP($C5527,Observaciones!$A:$B,2,FALSE)," ")</f>
        <v xml:space="preserve"> </v>
      </c>
      <c r="M5527" t="s">
        <v>681</v>
      </c>
      <c r="P5527" s="5">
        <v>177810</v>
      </c>
      <c r="Q5527" s="5">
        <v>33784</v>
      </c>
      <c r="R5527" s="5">
        <v>211594</v>
      </c>
    </row>
    <row r="5528" spans="1:18" x14ac:dyDescent="0.25">
      <c r="A5528" t="s">
        <v>513</v>
      </c>
      <c r="B5528" t="s">
        <v>494</v>
      </c>
      <c r="C5528">
        <v>96974100</v>
      </c>
      <c r="D5528">
        <v>8</v>
      </c>
      <c r="E5528">
        <v>63853</v>
      </c>
      <c r="F5528" t="s">
        <v>1873</v>
      </c>
      <c r="G5528" s="1">
        <v>45233</v>
      </c>
      <c r="H5528">
        <v>5411609</v>
      </c>
      <c r="I5528">
        <v>321</v>
      </c>
      <c r="J5528" t="s">
        <v>202</v>
      </c>
      <c r="K5528" t="str">
        <f>IFERROR(IF(AND(VLOOKUP($C5528,Hes!$A:$B, 1, FALSE), $M5528&lt;&gt;" "), "Ingresada", "Falta Ingresar"), " ")</f>
        <v xml:space="preserve"> </v>
      </c>
      <c r="L5528" s="4" t="s">
        <v>681</v>
      </c>
      <c r="M5528" t="s">
        <v>681</v>
      </c>
      <c r="O5528" s="5">
        <v>30851883</v>
      </c>
      <c r="P5528" s="5">
        <v>26598</v>
      </c>
      <c r="Q5528" s="5">
        <v>5054</v>
      </c>
      <c r="R5528" s="5">
        <v>31652</v>
      </c>
    </row>
    <row r="5529" spans="1:18" x14ac:dyDescent="0.25">
      <c r="A5529" t="s">
        <v>513</v>
      </c>
      <c r="B5529" t="s">
        <v>494</v>
      </c>
      <c r="C5529">
        <v>96974100</v>
      </c>
      <c r="D5529">
        <v>8</v>
      </c>
      <c r="E5529">
        <v>63861</v>
      </c>
      <c r="F5529" t="s">
        <v>1873</v>
      </c>
      <c r="G5529" s="1">
        <v>45236</v>
      </c>
      <c r="H5529">
        <v>5413258</v>
      </c>
      <c r="I5529">
        <v>321</v>
      </c>
      <c r="J5529" t="s">
        <v>202</v>
      </c>
      <c r="K5529" t="str">
        <f>IFERROR(IF(AND(VLOOKUP($C5529,Hes!$A:$B, 1, FALSE), $M5529&lt;&gt;" "), "Ingresada", "Falta Ingresar"), " ")</f>
        <v xml:space="preserve"> </v>
      </c>
      <c r="L5529" s="4" t="s">
        <v>681</v>
      </c>
      <c r="M5529" t="s">
        <v>681</v>
      </c>
      <c r="O5529" s="5">
        <v>30856974</v>
      </c>
      <c r="P5529" s="5">
        <v>56300</v>
      </c>
      <c r="Q5529" s="5">
        <v>10697</v>
      </c>
      <c r="R5529" s="5">
        <v>66997</v>
      </c>
    </row>
    <row r="5530" spans="1:18" x14ac:dyDescent="0.25">
      <c r="A5530" t="s">
        <v>513</v>
      </c>
      <c r="B5530" t="s">
        <v>494</v>
      </c>
      <c r="C5530">
        <v>96974100</v>
      </c>
      <c r="D5530">
        <v>9</v>
      </c>
      <c r="E5530">
        <v>63862</v>
      </c>
      <c r="F5530" t="s">
        <v>1873</v>
      </c>
      <c r="G5530" s="1">
        <v>45237</v>
      </c>
      <c r="H5530">
        <v>5413997</v>
      </c>
      <c r="I5530">
        <v>321</v>
      </c>
      <c r="J5530" t="s">
        <v>202</v>
      </c>
      <c r="K5530" t="str">
        <f>IFERROR(IF(AND(VLOOKUP($C5530,Hes!$A:$B, 1, FALSE), $M5530&lt;&gt;" "), "Ingresada", "Falta Ingresar"), " ")</f>
        <v xml:space="preserve"> </v>
      </c>
      <c r="L5530" s="4" t="s">
        <v>681</v>
      </c>
      <c r="M5530" t="s">
        <v>681</v>
      </c>
      <c r="O5530" s="5">
        <v>30858473</v>
      </c>
      <c r="P5530" s="5">
        <v>111610</v>
      </c>
      <c r="Q5530" s="5">
        <v>21206</v>
      </c>
      <c r="R5530" s="5">
        <v>132816</v>
      </c>
    </row>
    <row r="5531" spans="1:18" x14ac:dyDescent="0.25">
      <c r="F5531" t="s">
        <v>500</v>
      </c>
      <c r="K5531" t="str">
        <f>IFERROR(IF(AND(VLOOKUP($C5531,Hes!$A:$B, 1, FALSE), $M5531&lt;&gt;" "), "Ingresada", "Falta Ingresar"), " ")</f>
        <v xml:space="preserve"> </v>
      </c>
      <c r="L5531" s="4" t="str">
        <f>IFERROR(VLOOKUP($C5531,Observaciones!$A:$B,2,FALSE)," ")</f>
        <v xml:space="preserve"> </v>
      </c>
      <c r="M5531" t="s">
        <v>681</v>
      </c>
      <c r="P5531" s="5">
        <v>194508</v>
      </c>
      <c r="Q5531" s="5">
        <v>36957</v>
      </c>
      <c r="R5531" s="5">
        <v>231465</v>
      </c>
    </row>
    <row r="5532" spans="1:18" x14ac:dyDescent="0.25">
      <c r="A5532" t="s">
        <v>501</v>
      </c>
      <c r="B5532" t="s">
        <v>502</v>
      </c>
      <c r="C5532">
        <v>96979680</v>
      </c>
      <c r="D5532">
        <v>0</v>
      </c>
      <c r="E5532" t="s">
        <v>1874</v>
      </c>
      <c r="F5532" t="s">
        <v>1875</v>
      </c>
      <c r="G5532" s="1">
        <v>45237</v>
      </c>
      <c r="H5532">
        <v>5414455</v>
      </c>
      <c r="I5532">
        <v>396</v>
      </c>
      <c r="J5532" t="s">
        <v>184</v>
      </c>
      <c r="K5532" t="str">
        <f>IFERROR(IF(AND(VLOOKUP($C5532,Hes!$A:$B, 1, FALSE), $M5532&lt;&gt;" "), "Ingresada", "Falta Ingresar"), " ")</f>
        <v xml:space="preserve"> </v>
      </c>
      <c r="L5532" s="4" t="str">
        <f>IFERROR(VLOOKUP($C5532,Observaciones!$A:$B,2,FALSE)," ")</f>
        <v xml:space="preserve"> </v>
      </c>
      <c r="M5532" t="s">
        <v>681</v>
      </c>
      <c r="O5532" s="5">
        <v>30860678</v>
      </c>
      <c r="P5532" s="5">
        <v>84730</v>
      </c>
      <c r="Q5532" s="5">
        <v>16099</v>
      </c>
      <c r="R5532" s="5">
        <v>100829</v>
      </c>
    </row>
    <row r="5533" spans="1:18" x14ac:dyDescent="0.25">
      <c r="F5533" t="s">
        <v>495</v>
      </c>
      <c r="K5533" t="str">
        <f>IFERROR(IF(AND(VLOOKUP($C5533,Hes!$A:$B, 1, FALSE), $M5533&lt;&gt;" "), "Ingresada", "Falta Ingresar"), " ")</f>
        <v xml:space="preserve"> </v>
      </c>
      <c r="L5533" s="4" t="str">
        <f>IFERROR(VLOOKUP($C5533,Observaciones!$A:$B,2,FALSE)," ")</f>
        <v xml:space="preserve"> </v>
      </c>
      <c r="M5533" t="s">
        <v>681</v>
      </c>
      <c r="P5533" s="5">
        <v>84730</v>
      </c>
      <c r="Q5533" s="5">
        <v>16099</v>
      </c>
      <c r="R5533" s="5">
        <v>100829</v>
      </c>
    </row>
    <row r="5534" spans="1:18" x14ac:dyDescent="0.25">
      <c r="A5534" t="s">
        <v>503</v>
      </c>
      <c r="B5534" t="s">
        <v>494</v>
      </c>
      <c r="C5534">
        <v>96989120</v>
      </c>
      <c r="D5534">
        <v>162</v>
      </c>
      <c r="E5534">
        <v>4502177248</v>
      </c>
      <c r="F5534" t="s">
        <v>1876</v>
      </c>
      <c r="G5534" s="1">
        <v>45233</v>
      </c>
      <c r="H5534">
        <v>5411651</v>
      </c>
      <c r="I5534">
        <v>100</v>
      </c>
      <c r="J5534" t="s">
        <v>384</v>
      </c>
      <c r="K5534" s="8" t="str">
        <f>IFERROR(IF(AND(VLOOKUP($C5534,Hes!$A:$B, 1, FALSE), $M5534&lt;&gt;" "), "Ingresada", "Falta Ingresar"), " ")</f>
        <v>Falta Ingresar</v>
      </c>
      <c r="L5534" s="4" t="s">
        <v>681</v>
      </c>
      <c r="M5534" t="s">
        <v>681</v>
      </c>
      <c r="N5534" s="5" t="s">
        <v>841</v>
      </c>
      <c r="O5534" s="5">
        <v>30851580</v>
      </c>
      <c r="P5534" s="5">
        <v>151853</v>
      </c>
      <c r="Q5534" s="5">
        <v>28852</v>
      </c>
      <c r="R5534" s="5">
        <v>180705</v>
      </c>
    </row>
    <row r="5535" spans="1:18" x14ac:dyDescent="0.25">
      <c r="A5535" t="s">
        <v>503</v>
      </c>
      <c r="B5535" t="s">
        <v>494</v>
      </c>
      <c r="C5535">
        <v>96989120</v>
      </c>
      <c r="D5535">
        <v>3</v>
      </c>
      <c r="E5535">
        <v>4502194525</v>
      </c>
      <c r="F5535" t="s">
        <v>1876</v>
      </c>
      <c r="G5535" s="1">
        <v>45236</v>
      </c>
      <c r="H5535">
        <v>5412873</v>
      </c>
      <c r="I5535">
        <v>100</v>
      </c>
      <c r="J5535" t="s">
        <v>384</v>
      </c>
      <c r="K5535" s="8" t="str">
        <f>IFERROR(IF(AND(VLOOKUP($C5535,Hes!$A:$B, 1, FALSE), $M5535&lt;&gt;" "), "Ingresada", "Falta Ingresar"), " ")</f>
        <v>Falta Ingresar</v>
      </c>
      <c r="L5535" s="4" t="s">
        <v>681</v>
      </c>
      <c r="M5535" t="s">
        <v>681</v>
      </c>
      <c r="N5535" s="5" t="s">
        <v>841</v>
      </c>
      <c r="O5535" s="5">
        <v>30855778</v>
      </c>
      <c r="P5535" s="5">
        <v>272566</v>
      </c>
      <c r="Q5535" s="5">
        <v>51788</v>
      </c>
      <c r="R5535" s="5">
        <v>324354</v>
      </c>
    </row>
    <row r="5536" spans="1:18" x14ac:dyDescent="0.25">
      <c r="A5536" t="s">
        <v>503</v>
      </c>
      <c r="B5536" t="s">
        <v>494</v>
      </c>
      <c r="C5536">
        <v>96989120</v>
      </c>
      <c r="D5536">
        <v>3</v>
      </c>
      <c r="E5536">
        <v>4502194527</v>
      </c>
      <c r="F5536" t="s">
        <v>1876</v>
      </c>
      <c r="G5536" s="1">
        <v>45236</v>
      </c>
      <c r="H5536">
        <v>5412923</v>
      </c>
      <c r="I5536">
        <v>100</v>
      </c>
      <c r="J5536" t="s">
        <v>384</v>
      </c>
      <c r="K5536" s="8" t="str">
        <f>IFERROR(IF(AND(VLOOKUP($C5536,Hes!$A:$B, 1, FALSE), $M5536&lt;&gt;" "), "Ingresada", "Falta Ingresar"), " ")</f>
        <v>Falta Ingresar</v>
      </c>
      <c r="L5536" s="4" t="s">
        <v>681</v>
      </c>
      <c r="M5536" t="s">
        <v>681</v>
      </c>
      <c r="N5536" s="5" t="s">
        <v>841</v>
      </c>
      <c r="O5536" s="5">
        <v>30855947</v>
      </c>
      <c r="P5536" s="5">
        <v>279634</v>
      </c>
      <c r="Q5536" s="5">
        <v>53130</v>
      </c>
      <c r="R5536" s="5">
        <v>332764</v>
      </c>
    </row>
    <row r="5537" spans="1:18" x14ac:dyDescent="0.25">
      <c r="A5537" t="s">
        <v>503</v>
      </c>
      <c r="B5537" t="s">
        <v>494</v>
      </c>
      <c r="C5537">
        <v>96989120</v>
      </c>
      <c r="D5537">
        <v>3</v>
      </c>
      <c r="E5537">
        <v>4502194526</v>
      </c>
      <c r="F5537" t="s">
        <v>1876</v>
      </c>
      <c r="G5537" s="1">
        <v>45236</v>
      </c>
      <c r="H5537">
        <v>5412971</v>
      </c>
      <c r="I5537">
        <v>100</v>
      </c>
      <c r="J5537" t="s">
        <v>384</v>
      </c>
      <c r="K5537" s="8" t="str">
        <f>IFERROR(IF(AND(VLOOKUP($C5537,Hes!$A:$B, 1, FALSE), $M5537&lt;&gt;" "), "Ingresada", "Falta Ingresar"), " ")</f>
        <v>Falta Ingresar</v>
      </c>
      <c r="L5537" s="4" t="s">
        <v>681</v>
      </c>
      <c r="M5537" t="s">
        <v>681</v>
      </c>
      <c r="N5537" s="5" t="s">
        <v>841</v>
      </c>
      <c r="O5537" s="5">
        <v>30855852</v>
      </c>
      <c r="P5537" s="5">
        <v>384463</v>
      </c>
      <c r="Q5537" s="5">
        <v>73048</v>
      </c>
      <c r="R5537" s="5">
        <v>457511</v>
      </c>
    </row>
    <row r="5538" spans="1:18" x14ac:dyDescent="0.25">
      <c r="A5538" t="s">
        <v>503</v>
      </c>
      <c r="B5538" t="s">
        <v>494</v>
      </c>
      <c r="C5538">
        <v>96989120</v>
      </c>
      <c r="D5538">
        <v>3</v>
      </c>
      <c r="E5538">
        <v>4502194528</v>
      </c>
      <c r="F5538" t="s">
        <v>1876</v>
      </c>
      <c r="G5538" s="1">
        <v>45236</v>
      </c>
      <c r="H5538">
        <v>5413080</v>
      </c>
      <c r="I5538">
        <v>100</v>
      </c>
      <c r="J5538" t="s">
        <v>384</v>
      </c>
      <c r="K5538" s="8" t="str">
        <f>IFERROR(IF(AND(VLOOKUP($C5538,Hes!$A:$B, 1, FALSE), $M5538&lt;&gt;" "), "Ingresada", "Falta Ingresar"), " ")</f>
        <v>Falta Ingresar</v>
      </c>
      <c r="L5538" s="4" t="s">
        <v>681</v>
      </c>
      <c r="M5538" t="s">
        <v>681</v>
      </c>
      <c r="N5538" s="5" t="s">
        <v>841</v>
      </c>
      <c r="O5538" s="5">
        <v>30856001</v>
      </c>
      <c r="P5538" s="5">
        <v>233953</v>
      </c>
      <c r="Q5538" s="5">
        <v>44451</v>
      </c>
      <c r="R5538" s="5">
        <v>278404</v>
      </c>
    </row>
    <row r="5539" spans="1:18" x14ac:dyDescent="0.25">
      <c r="A5539" t="s">
        <v>503</v>
      </c>
      <c r="B5539" t="s">
        <v>494</v>
      </c>
      <c r="C5539">
        <v>96989120</v>
      </c>
      <c r="D5539">
        <v>3</v>
      </c>
      <c r="E5539">
        <v>4502194531</v>
      </c>
      <c r="F5539" t="s">
        <v>1876</v>
      </c>
      <c r="G5539" s="1">
        <v>45236</v>
      </c>
      <c r="H5539">
        <v>5413082</v>
      </c>
      <c r="I5539">
        <v>100</v>
      </c>
      <c r="J5539" t="s">
        <v>384</v>
      </c>
      <c r="K5539" s="8" t="str">
        <f>IFERROR(IF(AND(VLOOKUP($C5539,Hes!$A:$B, 1, FALSE), $M5539&lt;&gt;" "), "Ingresada", "Falta Ingresar"), " ")</f>
        <v>Falta Ingresar</v>
      </c>
      <c r="L5539" s="4" t="s">
        <v>681</v>
      </c>
      <c r="M5539" t="s">
        <v>681</v>
      </c>
      <c r="N5539" s="5" t="s">
        <v>841</v>
      </c>
      <c r="O5539" s="5">
        <v>30856192</v>
      </c>
      <c r="P5539" s="5">
        <v>215554</v>
      </c>
      <c r="Q5539" s="5">
        <v>40955</v>
      </c>
      <c r="R5539" s="5">
        <v>256509</v>
      </c>
    </row>
    <row r="5540" spans="1:18" x14ac:dyDescent="0.25">
      <c r="A5540" t="s">
        <v>503</v>
      </c>
      <c r="B5540" t="s">
        <v>494</v>
      </c>
      <c r="C5540">
        <v>96989120</v>
      </c>
      <c r="D5540">
        <v>3</v>
      </c>
      <c r="E5540">
        <v>4502194529</v>
      </c>
      <c r="F5540" t="s">
        <v>1876</v>
      </c>
      <c r="G5540" s="1">
        <v>45236</v>
      </c>
      <c r="H5540">
        <v>5413084</v>
      </c>
      <c r="I5540">
        <v>100</v>
      </c>
      <c r="J5540" t="s">
        <v>384</v>
      </c>
      <c r="K5540" s="8" t="str">
        <f>IFERROR(IF(AND(VLOOKUP($C5540,Hes!$A:$B, 1, FALSE), $M5540&lt;&gt;" "), "Ingresada", "Falta Ingresar"), " ")</f>
        <v>Falta Ingresar</v>
      </c>
      <c r="L5540" s="4" t="s">
        <v>681</v>
      </c>
      <c r="M5540" t="s">
        <v>681</v>
      </c>
      <c r="N5540" s="5" t="s">
        <v>841</v>
      </c>
      <c r="O5540" s="5">
        <v>30856155</v>
      </c>
      <c r="P5540" s="5">
        <v>311351</v>
      </c>
      <c r="Q5540" s="5">
        <v>59157</v>
      </c>
      <c r="R5540" s="5">
        <v>370508</v>
      </c>
    </row>
    <row r="5541" spans="1:18" x14ac:dyDescent="0.25">
      <c r="A5541" t="s">
        <v>503</v>
      </c>
      <c r="B5541" t="s">
        <v>494</v>
      </c>
      <c r="C5541">
        <v>96989120</v>
      </c>
      <c r="D5541">
        <v>3</v>
      </c>
      <c r="E5541">
        <v>4502194530</v>
      </c>
      <c r="F5541" t="s">
        <v>1876</v>
      </c>
      <c r="G5541" s="1">
        <v>45236</v>
      </c>
      <c r="H5541">
        <v>5413085</v>
      </c>
      <c r="I5541">
        <v>100</v>
      </c>
      <c r="J5541" t="s">
        <v>384</v>
      </c>
      <c r="K5541" s="8" t="str">
        <f>IFERROR(IF(AND(VLOOKUP($C5541,Hes!$A:$B, 1, FALSE), $M5541&lt;&gt;" "), "Ingresada", "Falta Ingresar"), " ")</f>
        <v>Falta Ingresar</v>
      </c>
      <c r="L5541" s="4" t="s">
        <v>681</v>
      </c>
      <c r="M5541" t="s">
        <v>681</v>
      </c>
      <c r="N5541" s="5" t="s">
        <v>841</v>
      </c>
      <c r="O5541" s="5">
        <v>30856235</v>
      </c>
      <c r="P5541" s="5">
        <v>288391</v>
      </c>
      <c r="Q5541" s="5">
        <v>54794</v>
      </c>
      <c r="R5541" s="5">
        <v>343185</v>
      </c>
    </row>
    <row r="5542" spans="1:18" x14ac:dyDescent="0.25">
      <c r="A5542" t="s">
        <v>503</v>
      </c>
      <c r="B5542" t="s">
        <v>494</v>
      </c>
      <c r="C5542">
        <v>96989120</v>
      </c>
      <c r="D5542">
        <v>3</v>
      </c>
      <c r="E5542">
        <v>4502194532</v>
      </c>
      <c r="F5542" t="s">
        <v>1876</v>
      </c>
      <c r="G5542" s="1">
        <v>45236</v>
      </c>
      <c r="H5542">
        <v>5413100</v>
      </c>
      <c r="I5542">
        <v>100</v>
      </c>
      <c r="J5542" t="s">
        <v>384</v>
      </c>
      <c r="K5542" s="8" t="str">
        <f>IFERROR(IF(AND(VLOOKUP($C5542,Hes!$A:$B, 1, FALSE), $M5542&lt;&gt;" "), "Ingresada", "Falta Ingresar"), " ")</f>
        <v>Falta Ingresar</v>
      </c>
      <c r="L5542" s="4" t="s">
        <v>681</v>
      </c>
      <c r="M5542" t="s">
        <v>681</v>
      </c>
      <c r="N5542" s="5" t="s">
        <v>841</v>
      </c>
      <c r="O5542" s="5">
        <v>30856058</v>
      </c>
      <c r="P5542" s="5">
        <v>357230</v>
      </c>
      <c r="Q5542" s="5">
        <v>67874</v>
      </c>
      <c r="R5542" s="5">
        <v>425104</v>
      </c>
    </row>
    <row r="5543" spans="1:18" x14ac:dyDescent="0.25">
      <c r="F5543" t="s">
        <v>514</v>
      </c>
      <c r="K5543" t="str">
        <f>IFERROR(IF(AND(VLOOKUP($C5543,Hes!$A:$B, 1, FALSE), $M5543&lt;&gt;" "), "Ingresada", "Falta Ingresar"), " ")</f>
        <v xml:space="preserve"> </v>
      </c>
      <c r="L5543" s="4" t="str">
        <f>IFERROR(VLOOKUP($C5543,Observaciones!$A:$B,2,FALSE)," ")</f>
        <v xml:space="preserve"> </v>
      </c>
      <c r="M5543" t="s">
        <v>681</v>
      </c>
      <c r="P5543" s="5">
        <v>2494995</v>
      </c>
      <c r="Q5543" s="5">
        <v>474049</v>
      </c>
      <c r="R5543" s="5">
        <v>2969044</v>
      </c>
    </row>
    <row r="5544" spans="1:18" x14ac:dyDescent="0.25">
      <c r="A5544" t="s">
        <v>503</v>
      </c>
      <c r="B5544" t="s">
        <v>494</v>
      </c>
      <c r="C5544">
        <v>96997370</v>
      </c>
      <c r="D5544">
        <v>4</v>
      </c>
      <c r="E5544">
        <v>18938</v>
      </c>
      <c r="F5544" t="s">
        <v>1877</v>
      </c>
      <c r="G5544" s="1">
        <v>45233</v>
      </c>
      <c r="H5544">
        <v>5411234</v>
      </c>
      <c r="I5544">
        <v>178</v>
      </c>
      <c r="J5544" t="s">
        <v>303</v>
      </c>
      <c r="K5544" t="str">
        <f>IFERROR(IF(AND(VLOOKUP($C5544,Hes!$A:$B, 1, FALSE), $M5544&lt;&gt;" "), "Ingresada", "Falta Ingresar"), " ")</f>
        <v xml:space="preserve"> </v>
      </c>
      <c r="L5544" s="4" t="s">
        <v>681</v>
      </c>
      <c r="M5544" t="s">
        <v>681</v>
      </c>
      <c r="O5544" s="5">
        <v>30840673</v>
      </c>
      <c r="P5544" s="5">
        <v>89528</v>
      </c>
      <c r="Q5544" s="5">
        <v>17010</v>
      </c>
      <c r="R5544" s="5">
        <v>106538</v>
      </c>
    </row>
    <row r="5545" spans="1:18" x14ac:dyDescent="0.25">
      <c r="F5545" t="s">
        <v>495</v>
      </c>
      <c r="K5545" t="str">
        <f>IFERROR(IF(AND(VLOOKUP($C5545,Hes!$A:$B, 1, FALSE), $M5545&lt;&gt;" "), "Ingresada", "Falta Ingresar"), " ")</f>
        <v xml:space="preserve"> </v>
      </c>
      <c r="L5545" s="4" t="str">
        <f>IFERROR(VLOOKUP($C5545,Observaciones!$A:$B,2,FALSE)," ")</f>
        <v xml:space="preserve"> </v>
      </c>
      <c r="M5545" t="s">
        <v>681</v>
      </c>
      <c r="P5545" s="5">
        <v>89528</v>
      </c>
      <c r="Q5545" s="5">
        <v>17010</v>
      </c>
      <c r="R5545" s="5">
        <v>106538</v>
      </c>
    </row>
    <row r="5546" spans="1:18" x14ac:dyDescent="0.25">
      <c r="A5546" t="s">
        <v>512</v>
      </c>
      <c r="B5546" t="s">
        <v>494</v>
      </c>
      <c r="C5546">
        <v>97004000</v>
      </c>
      <c r="D5546">
        <v>9144</v>
      </c>
      <c r="E5546" t="s">
        <v>1878</v>
      </c>
      <c r="F5546" t="s">
        <v>1879</v>
      </c>
      <c r="G5546" s="1">
        <v>45232</v>
      </c>
      <c r="H5546">
        <v>5410739</v>
      </c>
      <c r="I5546">
        <v>203</v>
      </c>
      <c r="K5546" t="str">
        <f>IFERROR(IF(AND(VLOOKUP($C5546,Hes!$A:$B, 1, FALSE), $M5546&lt;&gt;" "), "Ingresada", "Falta Ingresar"), " ")</f>
        <v xml:space="preserve"> </v>
      </c>
      <c r="L5546" s="4" t="str">
        <f>IFERROR(VLOOKUP($C5546,Observaciones!$A:$B,2,FALSE)," ")</f>
        <v>ENVIAR REPORTE A VENDEDOR</v>
      </c>
      <c r="M5546" t="s">
        <v>681</v>
      </c>
      <c r="O5546" s="5">
        <v>434221</v>
      </c>
      <c r="P5546" s="5">
        <v>107366</v>
      </c>
      <c r="Q5546" s="5">
        <v>20400</v>
      </c>
      <c r="R5546" s="5">
        <v>127766</v>
      </c>
    </row>
    <row r="5547" spans="1:18" x14ac:dyDescent="0.25">
      <c r="A5547" t="s">
        <v>512</v>
      </c>
      <c r="B5547" t="s">
        <v>494</v>
      </c>
      <c r="C5547">
        <v>97004000</v>
      </c>
      <c r="D5547">
        <v>136</v>
      </c>
      <c r="E5547" t="s">
        <v>1880</v>
      </c>
      <c r="F5547" t="s">
        <v>1879</v>
      </c>
      <c r="G5547" s="1">
        <v>45232</v>
      </c>
      <c r="H5547">
        <v>5410745</v>
      </c>
      <c r="I5547">
        <v>203</v>
      </c>
      <c r="K5547" t="str">
        <f>IFERROR(IF(AND(VLOOKUP($C5547,Hes!$A:$B, 1, FALSE), $M5547&lt;&gt;" "), "Ingresada", "Falta Ingresar"), " ")</f>
        <v xml:space="preserve"> </v>
      </c>
      <c r="L5547" s="4" t="str">
        <f>IFERROR(VLOOKUP($C5547,Observaciones!$A:$B,2,FALSE)," ")</f>
        <v>ENVIAR REPORTE A VENDEDOR</v>
      </c>
      <c r="M5547" t="s">
        <v>681</v>
      </c>
      <c r="O5547" s="5">
        <v>434220</v>
      </c>
      <c r="P5547" s="5">
        <v>63355</v>
      </c>
      <c r="Q5547" s="5">
        <v>12037</v>
      </c>
      <c r="R5547" s="5">
        <v>75392</v>
      </c>
    </row>
    <row r="5548" spans="1:18" x14ac:dyDescent="0.25">
      <c r="A5548" t="s">
        <v>512</v>
      </c>
      <c r="B5548" t="s">
        <v>494</v>
      </c>
      <c r="C5548">
        <v>97004000</v>
      </c>
      <c r="D5548">
        <v>9148</v>
      </c>
      <c r="E5548" t="s">
        <v>1881</v>
      </c>
      <c r="F5548" t="s">
        <v>1879</v>
      </c>
      <c r="G5548" s="1">
        <v>45232</v>
      </c>
      <c r="H5548">
        <v>5410934</v>
      </c>
      <c r="I5548">
        <v>203</v>
      </c>
      <c r="K5548" t="str">
        <f>IFERROR(IF(AND(VLOOKUP($C5548,Hes!$A:$B, 1, FALSE), $M5548&lt;&gt;" "), "Ingresada", "Falta Ingresar"), " ")</f>
        <v xml:space="preserve"> </v>
      </c>
      <c r="L5548" s="4" t="str">
        <f>IFERROR(VLOOKUP($C5548,Observaciones!$A:$B,2,FALSE)," ")</f>
        <v>ENVIAR REPORTE A VENDEDOR</v>
      </c>
      <c r="M5548" t="s">
        <v>681</v>
      </c>
      <c r="O5548" s="5">
        <v>434207</v>
      </c>
      <c r="P5548" s="5">
        <v>16682</v>
      </c>
      <c r="Q5548" s="5">
        <v>3170</v>
      </c>
      <c r="R5548" s="5">
        <v>19852</v>
      </c>
    </row>
    <row r="5549" spans="1:18" x14ac:dyDescent="0.25">
      <c r="A5549" t="s">
        <v>512</v>
      </c>
      <c r="B5549" t="s">
        <v>494</v>
      </c>
      <c r="C5549">
        <v>97004000</v>
      </c>
      <c r="D5549">
        <v>9208</v>
      </c>
      <c r="E5549" t="s">
        <v>1882</v>
      </c>
      <c r="F5549" t="s">
        <v>1879</v>
      </c>
      <c r="G5549" s="1">
        <v>45232</v>
      </c>
      <c r="H5549">
        <v>5410996</v>
      </c>
      <c r="I5549">
        <v>203</v>
      </c>
      <c r="K5549" t="str">
        <f>IFERROR(IF(AND(VLOOKUP($C5549,Hes!$A:$B, 1, FALSE), $M5549&lt;&gt;" "), "Ingresada", "Falta Ingresar"), " ")</f>
        <v xml:space="preserve"> </v>
      </c>
      <c r="L5549" s="4" t="str">
        <f>IFERROR(VLOOKUP($C5549,Observaciones!$A:$B,2,FALSE)," ")</f>
        <v>ENVIAR REPORTE A VENDEDOR</v>
      </c>
      <c r="M5549" t="s">
        <v>681</v>
      </c>
      <c r="O5549" s="5">
        <v>434247</v>
      </c>
      <c r="P5549" s="5">
        <v>90740</v>
      </c>
      <c r="Q5549" s="5">
        <v>17241</v>
      </c>
      <c r="R5549" s="5">
        <v>107981</v>
      </c>
    </row>
    <row r="5550" spans="1:18" x14ac:dyDescent="0.25">
      <c r="A5550" t="s">
        <v>512</v>
      </c>
      <c r="B5550" t="s">
        <v>494</v>
      </c>
      <c r="C5550">
        <v>97004000</v>
      </c>
      <c r="D5550">
        <v>4124</v>
      </c>
      <c r="E5550" t="s">
        <v>1883</v>
      </c>
      <c r="F5550" t="s">
        <v>1879</v>
      </c>
      <c r="G5550" s="1">
        <v>45232</v>
      </c>
      <c r="H5550">
        <v>5411057</v>
      </c>
      <c r="I5550">
        <v>203</v>
      </c>
      <c r="K5550" t="str">
        <f>IFERROR(IF(AND(VLOOKUP($C5550,Hes!$A:$B, 1, FALSE), $M5550&lt;&gt;" "), "Ingresada", "Falta Ingresar"), " ")</f>
        <v xml:space="preserve"> </v>
      </c>
      <c r="L5550" s="4" t="str">
        <f>IFERROR(VLOOKUP($C5550,Observaciones!$A:$B,2,FALSE)," ")</f>
        <v>ENVIAR REPORTE A VENDEDOR</v>
      </c>
      <c r="M5550" t="s">
        <v>681</v>
      </c>
      <c r="O5550" s="5">
        <v>434235</v>
      </c>
      <c r="P5550" s="5">
        <v>125544</v>
      </c>
      <c r="Q5550" s="5">
        <v>23853</v>
      </c>
      <c r="R5550" s="5">
        <v>149397</v>
      </c>
    </row>
    <row r="5551" spans="1:18" x14ac:dyDescent="0.25">
      <c r="A5551" t="s">
        <v>512</v>
      </c>
      <c r="B5551" t="s">
        <v>494</v>
      </c>
      <c r="C5551">
        <v>97004000</v>
      </c>
      <c r="D5551">
        <v>9137</v>
      </c>
      <c r="E5551" t="s">
        <v>1884</v>
      </c>
      <c r="F5551" t="s">
        <v>1879</v>
      </c>
      <c r="G5551" s="1">
        <v>45232</v>
      </c>
      <c r="H5551">
        <v>5411062</v>
      </c>
      <c r="I5551">
        <v>203</v>
      </c>
      <c r="K5551" t="str">
        <f>IFERROR(IF(AND(VLOOKUP($C5551,Hes!$A:$B, 1, FALSE), $M5551&lt;&gt;" "), "Ingresada", "Falta Ingresar"), " ")</f>
        <v xml:space="preserve"> </v>
      </c>
      <c r="L5551" s="4" t="str">
        <f>IFERROR(VLOOKUP($C5551,Observaciones!$A:$B,2,FALSE)," ")</f>
        <v>ENVIAR REPORTE A VENDEDOR</v>
      </c>
      <c r="M5551" t="s">
        <v>681</v>
      </c>
      <c r="O5551" s="5">
        <v>434262</v>
      </c>
      <c r="P5551" s="5">
        <v>25342</v>
      </c>
      <c r="Q5551" s="5">
        <v>4815</v>
      </c>
      <c r="R5551" s="5">
        <v>30157</v>
      </c>
    </row>
    <row r="5552" spans="1:18" x14ac:dyDescent="0.25">
      <c r="A5552" t="s">
        <v>512</v>
      </c>
      <c r="B5552" t="s">
        <v>494</v>
      </c>
      <c r="C5552">
        <v>97004000</v>
      </c>
      <c r="D5552">
        <v>143</v>
      </c>
      <c r="E5552" t="s">
        <v>1885</v>
      </c>
      <c r="F5552" t="s">
        <v>1879</v>
      </c>
      <c r="G5552" s="1">
        <v>45232</v>
      </c>
      <c r="H5552">
        <v>5411089</v>
      </c>
      <c r="I5552">
        <v>203</v>
      </c>
      <c r="K5552" t="str">
        <f>IFERROR(IF(AND(VLOOKUP($C5552,Hes!$A:$B, 1, FALSE), $M5552&lt;&gt;" "), "Ingresada", "Falta Ingresar"), " ")</f>
        <v xml:space="preserve"> </v>
      </c>
      <c r="L5552" s="4" t="str">
        <f>IFERROR(VLOOKUP($C5552,Observaciones!$A:$B,2,FALSE)," ")</f>
        <v>ENVIAR REPORTE A VENDEDOR</v>
      </c>
      <c r="M5552" t="s">
        <v>681</v>
      </c>
      <c r="O5552" s="5">
        <v>434243</v>
      </c>
      <c r="P5552" s="5">
        <v>45900</v>
      </c>
      <c r="Q5552" s="5">
        <v>8721</v>
      </c>
      <c r="R5552" s="5">
        <v>54621</v>
      </c>
    </row>
    <row r="5553" spans="1:18" x14ac:dyDescent="0.25">
      <c r="A5553" t="s">
        <v>512</v>
      </c>
      <c r="B5553" t="s">
        <v>494</v>
      </c>
      <c r="C5553">
        <v>97004000</v>
      </c>
      <c r="D5553">
        <v>6897</v>
      </c>
      <c r="E5553" t="s">
        <v>1886</v>
      </c>
      <c r="F5553" t="s">
        <v>1879</v>
      </c>
      <c r="G5553" s="1">
        <v>45232</v>
      </c>
      <c r="H5553">
        <v>5411097</v>
      </c>
      <c r="I5553">
        <v>203</v>
      </c>
      <c r="K5553" t="str">
        <f>IFERROR(IF(AND(VLOOKUP($C5553,Hes!$A:$B, 1, FALSE), $M5553&lt;&gt;" "), "Ingresada", "Falta Ingresar"), " ")</f>
        <v xml:space="preserve"> </v>
      </c>
      <c r="L5553" s="4" t="str">
        <f>IFERROR(VLOOKUP($C5553,Observaciones!$A:$B,2,FALSE)," ")</f>
        <v>ENVIAR REPORTE A VENDEDOR</v>
      </c>
      <c r="M5553" t="s">
        <v>681</v>
      </c>
      <c r="O5553" s="5">
        <v>434201</v>
      </c>
      <c r="P5553" s="5">
        <v>61751</v>
      </c>
      <c r="Q5553" s="5">
        <v>11733</v>
      </c>
      <c r="R5553" s="5">
        <v>73484</v>
      </c>
    </row>
    <row r="5554" spans="1:18" x14ac:dyDescent="0.25">
      <c r="A5554" t="s">
        <v>512</v>
      </c>
      <c r="B5554" t="s">
        <v>494</v>
      </c>
      <c r="C5554">
        <v>97004000</v>
      </c>
      <c r="D5554">
        <v>49</v>
      </c>
      <c r="E5554" t="s">
        <v>1887</v>
      </c>
      <c r="F5554" t="s">
        <v>1879</v>
      </c>
      <c r="G5554" s="1">
        <v>45232</v>
      </c>
      <c r="H5554">
        <v>5411134</v>
      </c>
      <c r="I5554">
        <v>203</v>
      </c>
      <c r="K5554" t="str">
        <f>IFERROR(IF(AND(VLOOKUP($C5554,Hes!$A:$B, 1, FALSE), $M5554&lt;&gt;" "), "Ingresada", "Falta Ingresar"), " ")</f>
        <v xml:space="preserve"> </v>
      </c>
      <c r="L5554" s="4" t="str">
        <f>IFERROR(VLOOKUP($C5554,Observaciones!$A:$B,2,FALSE)," ")</f>
        <v>ENVIAR REPORTE A VENDEDOR</v>
      </c>
      <c r="M5554" t="s">
        <v>681</v>
      </c>
      <c r="O5554" s="5">
        <v>30846461</v>
      </c>
      <c r="P5554" s="5">
        <v>11880</v>
      </c>
      <c r="Q5554" s="5">
        <v>2257</v>
      </c>
      <c r="R5554" s="5">
        <v>14137</v>
      </c>
    </row>
    <row r="5555" spans="1:18" x14ac:dyDescent="0.25">
      <c r="A5555" t="s">
        <v>512</v>
      </c>
      <c r="B5555" t="s">
        <v>494</v>
      </c>
      <c r="C5555">
        <v>97004000</v>
      </c>
      <c r="D5555">
        <v>9281</v>
      </c>
      <c r="E5555" t="s">
        <v>1888</v>
      </c>
      <c r="F5555" t="s">
        <v>1879</v>
      </c>
      <c r="G5555" s="1">
        <v>45232</v>
      </c>
      <c r="H5555">
        <v>5411138</v>
      </c>
      <c r="I5555">
        <v>203</v>
      </c>
      <c r="K5555" t="str">
        <f>IFERROR(IF(AND(VLOOKUP($C5555,Hes!$A:$B, 1, FALSE), $M5555&lt;&gt;" "), "Ingresada", "Falta Ingresar"), " ")</f>
        <v xml:space="preserve"> </v>
      </c>
      <c r="L5555" s="4" t="str">
        <f>IFERROR(VLOOKUP($C5555,Observaciones!$A:$B,2,FALSE)," ")</f>
        <v>ENVIAR REPORTE A VENDEDOR</v>
      </c>
      <c r="M5555" t="s">
        <v>681</v>
      </c>
      <c r="O5555" s="5">
        <v>434240</v>
      </c>
      <c r="P5555" s="5">
        <v>57932</v>
      </c>
      <c r="Q5555" s="5">
        <v>11007</v>
      </c>
      <c r="R5555" s="5">
        <v>68939</v>
      </c>
    </row>
    <row r="5556" spans="1:18" x14ac:dyDescent="0.25">
      <c r="A5556" t="s">
        <v>512</v>
      </c>
      <c r="B5556" t="s">
        <v>494</v>
      </c>
      <c r="C5556">
        <v>97004000</v>
      </c>
      <c r="D5556">
        <v>8149</v>
      </c>
      <c r="E5556" t="s">
        <v>1889</v>
      </c>
      <c r="F5556" t="s">
        <v>1879</v>
      </c>
      <c r="G5556" s="1">
        <v>45232</v>
      </c>
      <c r="H5556">
        <v>5411145</v>
      </c>
      <c r="I5556">
        <v>203</v>
      </c>
      <c r="K5556" t="str">
        <f>IFERROR(IF(AND(VLOOKUP($C5556,Hes!$A:$B, 1, FALSE), $M5556&lt;&gt;" "), "Ingresada", "Falta Ingresar"), " ")</f>
        <v xml:space="preserve"> </v>
      </c>
      <c r="L5556" s="4" t="str">
        <f>IFERROR(VLOOKUP($C5556,Observaciones!$A:$B,2,FALSE)," ")</f>
        <v>ENVIAR REPORTE A VENDEDOR</v>
      </c>
      <c r="M5556" t="s">
        <v>681</v>
      </c>
      <c r="O5556" s="5">
        <v>434249</v>
      </c>
      <c r="P5556" s="5">
        <v>108714</v>
      </c>
      <c r="Q5556" s="5">
        <v>20656</v>
      </c>
      <c r="R5556" s="5">
        <v>129370</v>
      </c>
    </row>
    <row r="5557" spans="1:18" x14ac:dyDescent="0.25">
      <c r="A5557" t="s">
        <v>512</v>
      </c>
      <c r="B5557" t="s">
        <v>494</v>
      </c>
      <c r="C5557">
        <v>97004000</v>
      </c>
      <c r="D5557">
        <v>9180</v>
      </c>
      <c r="E5557" t="s">
        <v>1890</v>
      </c>
      <c r="F5557" t="s">
        <v>1879</v>
      </c>
      <c r="G5557" s="1">
        <v>45232</v>
      </c>
      <c r="H5557">
        <v>5411146</v>
      </c>
      <c r="I5557">
        <v>203</v>
      </c>
      <c r="K5557" t="str">
        <f>IFERROR(IF(AND(VLOOKUP($C5557,Hes!$A:$B, 1, FALSE), $M5557&lt;&gt;" "), "Ingresada", "Falta Ingresar"), " ")</f>
        <v xml:space="preserve"> </v>
      </c>
      <c r="L5557" s="4" t="str">
        <f>IFERROR(VLOOKUP($C5557,Observaciones!$A:$B,2,FALSE)," ")</f>
        <v>ENVIAR REPORTE A VENDEDOR</v>
      </c>
      <c r="M5557" t="s">
        <v>681</v>
      </c>
      <c r="O5557" s="5">
        <v>434268</v>
      </c>
      <c r="P5557" s="5">
        <v>202057</v>
      </c>
      <c r="Q5557" s="5">
        <v>38391</v>
      </c>
      <c r="R5557" s="5">
        <v>240448</v>
      </c>
    </row>
    <row r="5558" spans="1:18" x14ac:dyDescent="0.25">
      <c r="A5558" t="s">
        <v>512</v>
      </c>
      <c r="B5558" t="s">
        <v>494</v>
      </c>
      <c r="C5558">
        <v>97004000</v>
      </c>
      <c r="D5558">
        <v>6998</v>
      </c>
      <c r="E5558" t="s">
        <v>1891</v>
      </c>
      <c r="F5558" t="s">
        <v>1879</v>
      </c>
      <c r="G5558" s="1">
        <v>45232</v>
      </c>
      <c r="H5558">
        <v>5411148</v>
      </c>
      <c r="I5558">
        <v>203</v>
      </c>
      <c r="K5558" t="str">
        <f>IFERROR(IF(AND(VLOOKUP($C5558,Hes!$A:$B, 1, FALSE), $M5558&lt;&gt;" "), "Ingresada", "Falta Ingresar"), " ")</f>
        <v xml:space="preserve"> </v>
      </c>
      <c r="L5558" s="4" t="str">
        <f>IFERROR(VLOOKUP($C5558,Observaciones!$A:$B,2,FALSE)," ")</f>
        <v>ENVIAR REPORTE A VENDEDOR</v>
      </c>
      <c r="M5558" t="s">
        <v>681</v>
      </c>
      <c r="O5558" s="5">
        <v>434238</v>
      </c>
      <c r="P5558" s="5">
        <v>922127</v>
      </c>
      <c r="Q5558" s="5">
        <v>175204</v>
      </c>
      <c r="R5558" s="5">
        <v>1097331</v>
      </c>
    </row>
    <row r="5559" spans="1:18" x14ac:dyDescent="0.25">
      <c r="A5559" t="s">
        <v>512</v>
      </c>
      <c r="B5559" t="s">
        <v>494</v>
      </c>
      <c r="C5559">
        <v>97004000</v>
      </c>
      <c r="D5559">
        <v>9222</v>
      </c>
      <c r="E5559" t="s">
        <v>1892</v>
      </c>
      <c r="F5559" t="s">
        <v>1879</v>
      </c>
      <c r="G5559" s="1">
        <v>45232</v>
      </c>
      <c r="H5559">
        <v>5411149</v>
      </c>
      <c r="I5559">
        <v>203</v>
      </c>
      <c r="K5559" t="str">
        <f>IFERROR(IF(AND(VLOOKUP($C5559,Hes!$A:$B, 1, FALSE), $M5559&lt;&gt;" "), "Ingresada", "Falta Ingresar"), " ")</f>
        <v xml:space="preserve"> </v>
      </c>
      <c r="L5559" s="4" t="str">
        <f>IFERROR(VLOOKUP($C5559,Observaciones!$A:$B,2,FALSE)," ")</f>
        <v>ENVIAR REPORTE A VENDEDOR</v>
      </c>
      <c r="M5559" t="s">
        <v>681</v>
      </c>
      <c r="O5559" s="5">
        <v>434264</v>
      </c>
      <c r="P5559" s="5">
        <v>75250</v>
      </c>
      <c r="Q5559" s="5">
        <v>14298</v>
      </c>
      <c r="R5559" s="5">
        <v>89548</v>
      </c>
    </row>
    <row r="5560" spans="1:18" x14ac:dyDescent="0.25">
      <c r="A5560" t="s">
        <v>512</v>
      </c>
      <c r="B5560" t="s">
        <v>494</v>
      </c>
      <c r="C5560">
        <v>97004000</v>
      </c>
      <c r="D5560">
        <v>9311</v>
      </c>
      <c r="E5560" t="s">
        <v>1893</v>
      </c>
      <c r="F5560" t="s">
        <v>1879</v>
      </c>
      <c r="G5560" s="1">
        <v>45232</v>
      </c>
      <c r="H5560">
        <v>5411150</v>
      </c>
      <c r="I5560">
        <v>203</v>
      </c>
      <c r="K5560" t="str">
        <f>IFERROR(IF(AND(VLOOKUP($C5560,Hes!$A:$B, 1, FALSE), $M5560&lt;&gt;" "), "Ingresada", "Falta Ingresar"), " ")</f>
        <v xml:space="preserve"> </v>
      </c>
      <c r="L5560" s="4" t="str">
        <f>IFERROR(VLOOKUP($C5560,Observaciones!$A:$B,2,FALSE)," ")</f>
        <v>ENVIAR REPORTE A VENDEDOR</v>
      </c>
      <c r="M5560" t="s">
        <v>681</v>
      </c>
      <c r="O5560" s="5">
        <v>433818</v>
      </c>
      <c r="P5560" s="5">
        <v>215381</v>
      </c>
      <c r="Q5560" s="5">
        <v>40922</v>
      </c>
      <c r="R5560" s="5">
        <v>256303</v>
      </c>
    </row>
    <row r="5561" spans="1:18" x14ac:dyDescent="0.25">
      <c r="A5561" t="s">
        <v>512</v>
      </c>
      <c r="B5561" t="s">
        <v>494</v>
      </c>
      <c r="C5561">
        <v>97004000</v>
      </c>
      <c r="D5561">
        <v>9321</v>
      </c>
      <c r="E5561" t="s">
        <v>1894</v>
      </c>
      <c r="F5561" t="s">
        <v>1879</v>
      </c>
      <c r="G5561" s="1">
        <v>45233</v>
      </c>
      <c r="H5561">
        <v>5411384</v>
      </c>
      <c r="I5561">
        <v>203</v>
      </c>
      <c r="K5561" t="str">
        <f>IFERROR(IF(AND(VLOOKUP($C5561,Hes!$A:$B, 1, FALSE), $M5561&lt;&gt;" "), "Ingresada", "Falta Ingresar"), " ")</f>
        <v xml:space="preserve"> </v>
      </c>
      <c r="L5561" s="4" t="str">
        <f>IFERROR(VLOOKUP($C5561,Observaciones!$A:$B,2,FALSE)," ")</f>
        <v>ENVIAR REPORTE A VENDEDOR</v>
      </c>
      <c r="M5561" t="s">
        <v>681</v>
      </c>
      <c r="O5561" s="5">
        <v>434266</v>
      </c>
      <c r="P5561" s="5">
        <v>156205</v>
      </c>
      <c r="Q5561" s="5">
        <v>29679</v>
      </c>
      <c r="R5561" s="5">
        <v>185884</v>
      </c>
    </row>
    <row r="5562" spans="1:18" x14ac:dyDescent="0.25">
      <c r="A5562" t="s">
        <v>512</v>
      </c>
      <c r="B5562" t="s">
        <v>494</v>
      </c>
      <c r="C5562">
        <v>97004000</v>
      </c>
      <c r="D5562">
        <v>1484</v>
      </c>
      <c r="E5562" t="s">
        <v>1895</v>
      </c>
      <c r="F5562" t="s">
        <v>1879</v>
      </c>
      <c r="G5562" s="1">
        <v>45233</v>
      </c>
      <c r="H5562">
        <v>5411704</v>
      </c>
      <c r="I5562">
        <v>203</v>
      </c>
      <c r="K5562" t="str">
        <f>IFERROR(IF(AND(VLOOKUP($C5562,Hes!$A:$B, 1, FALSE), $M5562&lt;&gt;" "), "Ingresada", "Falta Ingresar"), " ")</f>
        <v xml:space="preserve"> </v>
      </c>
      <c r="L5562" s="4" t="str">
        <f>IFERROR(VLOOKUP($C5562,Observaciones!$A:$B,2,FALSE)," ")</f>
        <v>ENVIAR REPORTE A VENDEDOR</v>
      </c>
      <c r="M5562" t="s">
        <v>681</v>
      </c>
      <c r="O5562" s="5">
        <v>434306</v>
      </c>
      <c r="P5562" s="5">
        <v>179190</v>
      </c>
      <c r="Q5562" s="5">
        <v>34046</v>
      </c>
      <c r="R5562" s="5">
        <v>213236</v>
      </c>
    </row>
    <row r="5563" spans="1:18" x14ac:dyDescent="0.25">
      <c r="A5563" t="s">
        <v>512</v>
      </c>
      <c r="B5563" t="s">
        <v>494</v>
      </c>
      <c r="C5563">
        <v>97004000</v>
      </c>
      <c r="D5563">
        <v>4420</v>
      </c>
      <c r="E5563" t="s">
        <v>1896</v>
      </c>
      <c r="F5563" t="s">
        <v>1879</v>
      </c>
      <c r="G5563" s="1">
        <v>45233</v>
      </c>
      <c r="H5563">
        <v>5411705</v>
      </c>
      <c r="I5563">
        <v>203</v>
      </c>
      <c r="K5563" t="str">
        <f>IFERROR(IF(AND(VLOOKUP($C5563,Hes!$A:$B, 1, FALSE), $M5563&lt;&gt;" "), "Ingresada", "Falta Ingresar"), " ")</f>
        <v xml:space="preserve"> </v>
      </c>
      <c r="L5563" s="4" t="str">
        <f>IFERROR(VLOOKUP($C5563,Observaciones!$A:$B,2,FALSE)," ")</f>
        <v>ENVIAR REPORTE A VENDEDOR</v>
      </c>
      <c r="M5563" t="s">
        <v>681</v>
      </c>
      <c r="O5563" s="5">
        <v>434288</v>
      </c>
      <c r="P5563" s="5">
        <v>752600</v>
      </c>
      <c r="Q5563" s="5">
        <v>142994</v>
      </c>
      <c r="R5563" s="5">
        <v>895594</v>
      </c>
    </row>
    <row r="5564" spans="1:18" x14ac:dyDescent="0.25">
      <c r="A5564" t="s">
        <v>512</v>
      </c>
      <c r="B5564" t="s">
        <v>494</v>
      </c>
      <c r="C5564">
        <v>97004000</v>
      </c>
      <c r="D5564">
        <v>837</v>
      </c>
      <c r="E5564" t="s">
        <v>1897</v>
      </c>
      <c r="F5564" t="s">
        <v>1879</v>
      </c>
      <c r="G5564" s="1">
        <v>45233</v>
      </c>
      <c r="H5564">
        <v>5411730</v>
      </c>
      <c r="I5564">
        <v>203</v>
      </c>
      <c r="K5564" t="str">
        <f>IFERROR(IF(AND(VLOOKUP($C5564,Hes!$A:$B, 1, FALSE), $M5564&lt;&gt;" "), "Ingresada", "Falta Ingresar"), " ")</f>
        <v xml:space="preserve"> </v>
      </c>
      <c r="L5564" s="4" t="str">
        <f>IFERROR(VLOOKUP($C5564,Observaciones!$A:$B,2,FALSE)," ")</f>
        <v>ENVIAR REPORTE A VENDEDOR</v>
      </c>
      <c r="M5564" t="s">
        <v>681</v>
      </c>
      <c r="O5564" s="5">
        <v>434307</v>
      </c>
      <c r="P5564" s="5">
        <v>190904</v>
      </c>
      <c r="Q5564" s="5">
        <v>36272</v>
      </c>
      <c r="R5564" s="5">
        <v>227176</v>
      </c>
    </row>
    <row r="5565" spans="1:18" x14ac:dyDescent="0.25">
      <c r="A5565" t="s">
        <v>512</v>
      </c>
      <c r="B5565" t="s">
        <v>494</v>
      </c>
      <c r="C5565">
        <v>97004000</v>
      </c>
      <c r="D5565">
        <v>9231</v>
      </c>
      <c r="E5565" t="s">
        <v>1898</v>
      </c>
      <c r="F5565" t="s">
        <v>1879</v>
      </c>
      <c r="G5565" s="1">
        <v>45233</v>
      </c>
      <c r="H5565">
        <v>5411739</v>
      </c>
      <c r="I5565">
        <v>203</v>
      </c>
      <c r="K5565" t="str">
        <f>IFERROR(IF(AND(VLOOKUP($C5565,Hes!$A:$B, 1, FALSE), $M5565&lt;&gt;" "), "Ingresada", "Falta Ingresar"), " ")</f>
        <v xml:space="preserve"> </v>
      </c>
      <c r="L5565" s="4" t="str">
        <f>IFERROR(VLOOKUP($C5565,Observaciones!$A:$B,2,FALSE)," ")</f>
        <v>ENVIAR REPORTE A VENDEDOR</v>
      </c>
      <c r="M5565" t="s">
        <v>681</v>
      </c>
      <c r="O5565" s="5">
        <v>434300</v>
      </c>
      <c r="P5565" s="5">
        <v>175997</v>
      </c>
      <c r="Q5565" s="5">
        <v>33439</v>
      </c>
      <c r="R5565" s="5">
        <v>209436</v>
      </c>
    </row>
    <row r="5566" spans="1:18" x14ac:dyDescent="0.25">
      <c r="A5566" t="s">
        <v>512</v>
      </c>
      <c r="B5566" t="s">
        <v>494</v>
      </c>
      <c r="C5566">
        <v>97004000</v>
      </c>
      <c r="D5566">
        <v>9145</v>
      </c>
      <c r="E5566" t="s">
        <v>1899</v>
      </c>
      <c r="F5566" t="s">
        <v>1879</v>
      </c>
      <c r="G5566" s="1">
        <v>45233</v>
      </c>
      <c r="H5566">
        <v>5411746</v>
      </c>
      <c r="I5566">
        <v>203</v>
      </c>
      <c r="K5566" t="str">
        <f>IFERROR(IF(AND(VLOOKUP($C5566,Hes!$A:$B, 1, FALSE), $M5566&lt;&gt;" "), "Ingresada", "Falta Ingresar"), " ")</f>
        <v xml:space="preserve"> </v>
      </c>
      <c r="L5566" s="4" t="str">
        <f>IFERROR(VLOOKUP($C5566,Observaciones!$A:$B,2,FALSE)," ")</f>
        <v>ENVIAR REPORTE A VENDEDOR</v>
      </c>
      <c r="M5566" t="s">
        <v>681</v>
      </c>
      <c r="O5566" s="5">
        <v>434310</v>
      </c>
      <c r="P5566" s="5">
        <v>672529</v>
      </c>
      <c r="Q5566" s="5">
        <v>127781</v>
      </c>
      <c r="R5566" s="5">
        <v>800310</v>
      </c>
    </row>
    <row r="5567" spans="1:18" x14ac:dyDescent="0.25">
      <c r="A5567" t="s">
        <v>512</v>
      </c>
      <c r="B5567" t="s">
        <v>494</v>
      </c>
      <c r="C5567">
        <v>97004000</v>
      </c>
      <c r="D5567">
        <v>9334</v>
      </c>
      <c r="E5567" t="s">
        <v>1900</v>
      </c>
      <c r="F5567" t="s">
        <v>1879</v>
      </c>
      <c r="G5567" s="1">
        <v>45236</v>
      </c>
      <c r="H5567">
        <v>5412328</v>
      </c>
      <c r="I5567">
        <v>203</v>
      </c>
      <c r="K5567" t="str">
        <f>IFERROR(IF(AND(VLOOKUP($C5567,Hes!$A:$B, 1, FALSE), $M5567&lt;&gt;" "), "Ingresada", "Falta Ingresar"), " ")</f>
        <v xml:space="preserve"> </v>
      </c>
      <c r="L5567" s="4" t="str">
        <f>IFERROR(VLOOKUP($C5567,Observaciones!$A:$B,2,FALSE)," ")</f>
        <v>ENVIAR REPORTE A VENDEDOR</v>
      </c>
      <c r="M5567" t="s">
        <v>681</v>
      </c>
      <c r="O5567" s="5">
        <v>433845</v>
      </c>
      <c r="P5567" s="5">
        <v>243877</v>
      </c>
      <c r="Q5567" s="5">
        <v>46337</v>
      </c>
      <c r="R5567" s="5">
        <v>290214</v>
      </c>
    </row>
    <row r="5568" spans="1:18" x14ac:dyDescent="0.25">
      <c r="A5568" t="s">
        <v>512</v>
      </c>
      <c r="B5568" t="s">
        <v>494</v>
      </c>
      <c r="C5568">
        <v>97004000</v>
      </c>
      <c r="D5568">
        <v>6109</v>
      </c>
      <c r="E5568" t="s">
        <v>1901</v>
      </c>
      <c r="F5568" t="s">
        <v>1879</v>
      </c>
      <c r="G5568" s="1">
        <v>45236</v>
      </c>
      <c r="H5568">
        <v>5412333</v>
      </c>
      <c r="I5568">
        <v>203</v>
      </c>
      <c r="K5568" t="str">
        <f>IFERROR(IF(AND(VLOOKUP($C5568,Hes!$A:$B, 1, FALSE), $M5568&lt;&gt;" "), "Ingresada", "Falta Ingresar"), " ")</f>
        <v xml:space="preserve"> </v>
      </c>
      <c r="L5568" s="4" t="str">
        <f>IFERROR(VLOOKUP($C5568,Observaciones!$A:$B,2,FALSE)," ")</f>
        <v>ENVIAR REPORTE A VENDEDOR</v>
      </c>
      <c r="M5568" t="s">
        <v>681</v>
      </c>
      <c r="O5568" s="5">
        <v>434321</v>
      </c>
      <c r="P5568" s="5">
        <v>394763</v>
      </c>
      <c r="Q5568" s="5">
        <v>75005</v>
      </c>
      <c r="R5568" s="5">
        <v>469768</v>
      </c>
    </row>
    <row r="5569" spans="1:18" x14ac:dyDescent="0.25">
      <c r="A5569" t="s">
        <v>512</v>
      </c>
      <c r="B5569" t="s">
        <v>494</v>
      </c>
      <c r="C5569">
        <v>97004000</v>
      </c>
      <c r="D5569">
        <v>2217</v>
      </c>
      <c r="E5569" t="s">
        <v>1902</v>
      </c>
      <c r="F5569" t="s">
        <v>1879</v>
      </c>
      <c r="G5569" s="1">
        <v>45236</v>
      </c>
      <c r="H5569">
        <v>5412337</v>
      </c>
      <c r="I5569">
        <v>203</v>
      </c>
      <c r="K5569" t="str">
        <f>IFERROR(IF(AND(VLOOKUP($C5569,Hes!$A:$B, 1, FALSE), $M5569&lt;&gt;" "), "Ingresada", "Falta Ingresar"), " ")</f>
        <v xml:space="preserve"> </v>
      </c>
      <c r="L5569" s="4" t="str">
        <f>IFERROR(VLOOKUP($C5569,Observaciones!$A:$B,2,FALSE)," ")</f>
        <v>ENVIAR REPORTE A VENDEDOR</v>
      </c>
      <c r="M5569" t="s">
        <v>681</v>
      </c>
      <c r="O5569" s="5">
        <v>434326</v>
      </c>
      <c r="P5569" s="5">
        <v>109635</v>
      </c>
      <c r="Q5569" s="5">
        <v>20831</v>
      </c>
      <c r="R5569" s="5">
        <v>130466</v>
      </c>
    </row>
    <row r="5570" spans="1:18" x14ac:dyDescent="0.25">
      <c r="A5570" t="s">
        <v>512</v>
      </c>
      <c r="B5570" t="s">
        <v>494</v>
      </c>
      <c r="C5570">
        <v>97004000</v>
      </c>
      <c r="D5570">
        <v>1421</v>
      </c>
      <c r="E5570" t="s">
        <v>1903</v>
      </c>
      <c r="F5570" t="s">
        <v>1879</v>
      </c>
      <c r="G5570" s="1">
        <v>45236</v>
      </c>
      <c r="H5570">
        <v>5412345</v>
      </c>
      <c r="I5570">
        <v>203</v>
      </c>
      <c r="K5570" t="str">
        <f>IFERROR(IF(AND(VLOOKUP($C5570,Hes!$A:$B, 1, FALSE), $M5570&lt;&gt;" "), "Ingresada", "Falta Ingresar"), " ")</f>
        <v xml:space="preserve"> </v>
      </c>
      <c r="L5570" s="4" t="str">
        <f>IFERROR(VLOOKUP($C5570,Observaciones!$A:$B,2,FALSE)," ")</f>
        <v>ENVIAR REPORTE A VENDEDOR</v>
      </c>
      <c r="M5570" t="s">
        <v>681</v>
      </c>
      <c r="O5570" s="5">
        <v>434309</v>
      </c>
      <c r="P5570" s="5">
        <v>369038</v>
      </c>
      <c r="Q5570" s="5">
        <v>70117</v>
      </c>
      <c r="R5570" s="5">
        <v>439155</v>
      </c>
    </row>
    <row r="5571" spans="1:18" x14ac:dyDescent="0.25">
      <c r="A5571" t="s">
        <v>512</v>
      </c>
      <c r="B5571" t="s">
        <v>494</v>
      </c>
      <c r="C5571">
        <v>97004000</v>
      </c>
      <c r="D5571">
        <v>62</v>
      </c>
      <c r="E5571" t="s">
        <v>1904</v>
      </c>
      <c r="F5571" t="s">
        <v>1879</v>
      </c>
      <c r="G5571" s="1">
        <v>45236</v>
      </c>
      <c r="H5571">
        <v>5412347</v>
      </c>
      <c r="I5571">
        <v>203</v>
      </c>
      <c r="K5571" t="str">
        <f>IFERROR(IF(AND(VLOOKUP($C5571,Hes!$A:$B, 1, FALSE), $M5571&lt;&gt;" "), "Ingresada", "Falta Ingresar"), " ")</f>
        <v xml:space="preserve"> </v>
      </c>
      <c r="L5571" s="4" t="str">
        <f>IFERROR(VLOOKUP($C5571,Observaciones!$A:$B,2,FALSE)," ")</f>
        <v>ENVIAR REPORTE A VENDEDOR</v>
      </c>
      <c r="M5571" t="s">
        <v>681</v>
      </c>
      <c r="O5571" s="5">
        <v>434144</v>
      </c>
      <c r="P5571" s="5">
        <v>74254</v>
      </c>
      <c r="Q5571" s="5">
        <v>14108</v>
      </c>
      <c r="R5571" s="5">
        <v>88362</v>
      </c>
    </row>
    <row r="5572" spans="1:18" x14ac:dyDescent="0.25">
      <c r="A5572" t="s">
        <v>512</v>
      </c>
      <c r="B5572" t="s">
        <v>494</v>
      </c>
      <c r="C5572">
        <v>97004000</v>
      </c>
      <c r="D5572">
        <v>319</v>
      </c>
      <c r="E5572" t="s">
        <v>1905</v>
      </c>
      <c r="F5572" t="s">
        <v>1879</v>
      </c>
      <c r="G5572" s="1">
        <v>45236</v>
      </c>
      <c r="H5572">
        <v>5412355</v>
      </c>
      <c r="I5572">
        <v>203</v>
      </c>
      <c r="K5572" t="str">
        <f>IFERROR(IF(AND(VLOOKUP($C5572,Hes!$A:$B, 1, FALSE), $M5572&lt;&gt;" "), "Ingresada", "Falta Ingresar"), " ")</f>
        <v xml:space="preserve"> </v>
      </c>
      <c r="L5572" s="4" t="str">
        <f>IFERROR(VLOOKUP($C5572,Observaciones!$A:$B,2,FALSE)," ")</f>
        <v>ENVIAR REPORTE A VENDEDOR</v>
      </c>
      <c r="M5572" t="s">
        <v>681</v>
      </c>
      <c r="O5572" s="5">
        <v>434290</v>
      </c>
      <c r="P5572" s="5">
        <v>192327</v>
      </c>
      <c r="Q5572" s="5">
        <v>36542</v>
      </c>
      <c r="R5572" s="5">
        <v>228869</v>
      </c>
    </row>
    <row r="5573" spans="1:18" x14ac:dyDescent="0.25">
      <c r="A5573" t="s">
        <v>512</v>
      </c>
      <c r="B5573" t="s">
        <v>494</v>
      </c>
      <c r="C5573">
        <v>97004000</v>
      </c>
      <c r="D5573">
        <v>9158</v>
      </c>
      <c r="E5573" t="s">
        <v>1906</v>
      </c>
      <c r="F5573" t="s">
        <v>1879</v>
      </c>
      <c r="G5573" s="1">
        <v>45236</v>
      </c>
      <c r="H5573">
        <v>5412374</v>
      </c>
      <c r="I5573">
        <v>203</v>
      </c>
      <c r="K5573" t="str">
        <f>IFERROR(IF(AND(VLOOKUP($C5573,Hes!$A:$B, 1, FALSE), $M5573&lt;&gt;" "), "Ingresada", "Falta Ingresar"), " ")</f>
        <v xml:space="preserve"> </v>
      </c>
      <c r="L5573" s="4" t="str">
        <f>IFERROR(VLOOKUP($C5573,Observaciones!$A:$B,2,FALSE)," ")</f>
        <v>ENVIAR REPORTE A VENDEDOR</v>
      </c>
      <c r="M5573" t="s">
        <v>681</v>
      </c>
      <c r="O5573" s="5">
        <v>434334</v>
      </c>
      <c r="P5573" s="5">
        <v>185673</v>
      </c>
      <c r="Q5573" s="5">
        <v>35278</v>
      </c>
      <c r="R5573" s="5">
        <v>220951</v>
      </c>
    </row>
    <row r="5574" spans="1:18" x14ac:dyDescent="0.25">
      <c r="A5574" t="s">
        <v>512</v>
      </c>
      <c r="B5574" t="s">
        <v>494</v>
      </c>
      <c r="C5574">
        <v>97004000</v>
      </c>
      <c r="D5574">
        <v>187</v>
      </c>
      <c r="E5574" t="s">
        <v>1907</v>
      </c>
      <c r="F5574" t="s">
        <v>1879</v>
      </c>
      <c r="G5574" s="1">
        <v>45236</v>
      </c>
      <c r="H5574">
        <v>5412437</v>
      </c>
      <c r="I5574">
        <v>203</v>
      </c>
      <c r="K5574" t="str">
        <f>IFERROR(IF(AND(VLOOKUP($C5574,Hes!$A:$B, 1, FALSE), $M5574&lt;&gt;" "), "Ingresada", "Falta Ingresar"), " ")</f>
        <v xml:space="preserve"> </v>
      </c>
      <c r="L5574" s="4" t="str">
        <f>IFERROR(VLOOKUP($C5574,Observaciones!$A:$B,2,FALSE)," ")</f>
        <v>ENVIAR REPORTE A VENDEDOR</v>
      </c>
      <c r="M5574" t="s">
        <v>681</v>
      </c>
      <c r="O5574" s="5">
        <v>434145</v>
      </c>
      <c r="P5574" s="5">
        <v>206896</v>
      </c>
      <c r="Q5574" s="5">
        <v>39310</v>
      </c>
      <c r="R5574" s="5">
        <v>246206</v>
      </c>
    </row>
    <row r="5575" spans="1:18" x14ac:dyDescent="0.25">
      <c r="A5575" t="s">
        <v>512</v>
      </c>
      <c r="B5575" t="s">
        <v>494</v>
      </c>
      <c r="C5575">
        <v>97004000</v>
      </c>
      <c r="D5575">
        <v>77</v>
      </c>
      <c r="E5575" t="s">
        <v>1908</v>
      </c>
      <c r="F5575" t="s">
        <v>1879</v>
      </c>
      <c r="G5575" s="1">
        <v>45236</v>
      </c>
      <c r="H5575">
        <v>5412639</v>
      </c>
      <c r="I5575">
        <v>203</v>
      </c>
      <c r="K5575" t="str">
        <f>IFERROR(IF(AND(VLOOKUP($C5575,Hes!$A:$B, 1, FALSE), $M5575&lt;&gt;" "), "Ingresada", "Falta Ingresar"), " ")</f>
        <v xml:space="preserve"> </v>
      </c>
      <c r="L5575" s="4" t="str">
        <f>IFERROR(VLOOKUP($C5575,Observaciones!$A:$B,2,FALSE)," ")</f>
        <v>ENVIAR REPORTE A VENDEDOR</v>
      </c>
      <c r="M5575" t="s">
        <v>681</v>
      </c>
      <c r="O5575" s="5">
        <v>434304</v>
      </c>
      <c r="P5575" s="5">
        <v>80664</v>
      </c>
      <c r="Q5575" s="5">
        <v>15326</v>
      </c>
      <c r="R5575" s="5">
        <v>95990</v>
      </c>
    </row>
    <row r="5576" spans="1:18" x14ac:dyDescent="0.25">
      <c r="A5576" t="s">
        <v>512</v>
      </c>
      <c r="B5576" t="s">
        <v>494</v>
      </c>
      <c r="C5576">
        <v>97004000</v>
      </c>
      <c r="D5576">
        <v>77</v>
      </c>
      <c r="E5576" t="s">
        <v>1909</v>
      </c>
      <c r="F5576" t="s">
        <v>1879</v>
      </c>
      <c r="G5576" s="1">
        <v>45236</v>
      </c>
      <c r="H5576">
        <v>5412640</v>
      </c>
      <c r="I5576">
        <v>203</v>
      </c>
      <c r="K5576" t="str">
        <f>IFERROR(IF(AND(VLOOKUP($C5576,Hes!$A:$B, 1, FALSE), $M5576&lt;&gt;" "), "Ingresada", "Falta Ingresar"), " ")</f>
        <v xml:space="preserve"> </v>
      </c>
      <c r="L5576" s="4" t="str">
        <f>IFERROR(VLOOKUP($C5576,Observaciones!$A:$B,2,FALSE)," ")</f>
        <v>ENVIAR REPORTE A VENDEDOR</v>
      </c>
      <c r="M5576" t="s">
        <v>681</v>
      </c>
      <c r="O5576" s="5">
        <v>434315</v>
      </c>
      <c r="P5576" s="5">
        <v>48981</v>
      </c>
      <c r="Q5576" s="5">
        <v>9306</v>
      </c>
      <c r="R5576" s="5">
        <v>58287</v>
      </c>
    </row>
    <row r="5577" spans="1:18" x14ac:dyDescent="0.25">
      <c r="A5577" t="s">
        <v>512</v>
      </c>
      <c r="B5577" t="s">
        <v>494</v>
      </c>
      <c r="C5577">
        <v>97004000</v>
      </c>
      <c r="D5577">
        <v>6741</v>
      </c>
      <c r="E5577" t="s">
        <v>1910</v>
      </c>
      <c r="F5577" t="s">
        <v>1879</v>
      </c>
      <c r="G5577" s="1">
        <v>45236</v>
      </c>
      <c r="H5577">
        <v>5412677</v>
      </c>
      <c r="I5577">
        <v>203</v>
      </c>
      <c r="K5577" t="str">
        <f>IFERROR(IF(AND(VLOOKUP($C5577,Hes!$A:$B, 1, FALSE), $M5577&lt;&gt;" "), "Ingresada", "Falta Ingresar"), " ")</f>
        <v xml:space="preserve"> </v>
      </c>
      <c r="L5577" s="4" t="str">
        <f>IFERROR(VLOOKUP($C5577,Observaciones!$A:$B,2,FALSE)," ")</f>
        <v>ENVIAR REPORTE A VENDEDOR</v>
      </c>
      <c r="M5577" t="s">
        <v>681</v>
      </c>
      <c r="O5577" s="5">
        <v>434258</v>
      </c>
      <c r="P5577" s="5">
        <v>104713</v>
      </c>
      <c r="Q5577" s="5">
        <v>19895</v>
      </c>
      <c r="R5577" s="5">
        <v>124608</v>
      </c>
    </row>
    <row r="5578" spans="1:18" x14ac:dyDescent="0.25">
      <c r="A5578" t="s">
        <v>512</v>
      </c>
      <c r="B5578" t="s">
        <v>494</v>
      </c>
      <c r="C5578">
        <v>97004000</v>
      </c>
      <c r="D5578">
        <v>9165</v>
      </c>
      <c r="E5578" t="s">
        <v>1911</v>
      </c>
      <c r="F5578" t="s">
        <v>1879</v>
      </c>
      <c r="G5578" s="1">
        <v>45236</v>
      </c>
      <c r="H5578">
        <v>5412783</v>
      </c>
      <c r="I5578">
        <v>203</v>
      </c>
      <c r="K5578" t="str">
        <f>IFERROR(IF(AND(VLOOKUP($C5578,Hes!$A:$B, 1, FALSE), $M5578&lt;&gt;" "), "Ingresada", "Falta Ingresar"), " ")</f>
        <v xml:space="preserve"> </v>
      </c>
      <c r="L5578" s="4" t="str">
        <f>IFERROR(VLOOKUP($C5578,Observaciones!$A:$B,2,FALSE)," ")</f>
        <v>ENVIAR REPORTE A VENDEDOR</v>
      </c>
      <c r="M5578" t="s">
        <v>681</v>
      </c>
      <c r="O5578" s="5">
        <v>434291</v>
      </c>
      <c r="P5578" s="5">
        <v>162122</v>
      </c>
      <c r="Q5578" s="5">
        <v>30803</v>
      </c>
      <c r="R5578" s="5">
        <v>192925</v>
      </c>
    </row>
    <row r="5579" spans="1:18" x14ac:dyDescent="0.25">
      <c r="A5579" t="s">
        <v>512</v>
      </c>
      <c r="B5579" t="s">
        <v>494</v>
      </c>
      <c r="C5579">
        <v>97004000</v>
      </c>
      <c r="D5579">
        <v>21</v>
      </c>
      <c r="E5579" t="s">
        <v>1912</v>
      </c>
      <c r="F5579" t="s">
        <v>1879</v>
      </c>
      <c r="G5579" s="1">
        <v>45236</v>
      </c>
      <c r="H5579">
        <v>5412792</v>
      </c>
      <c r="I5579">
        <v>203</v>
      </c>
      <c r="K5579" t="str">
        <f>IFERROR(IF(AND(VLOOKUP($C5579,Hes!$A:$B, 1, FALSE), $M5579&lt;&gt;" "), "Ingresada", "Falta Ingresar"), " ")</f>
        <v xml:space="preserve"> </v>
      </c>
      <c r="L5579" s="4" t="str">
        <f>IFERROR(VLOOKUP($C5579,Observaciones!$A:$B,2,FALSE)," ")</f>
        <v>ENVIAR REPORTE A VENDEDOR</v>
      </c>
      <c r="M5579" t="s">
        <v>681</v>
      </c>
      <c r="O5579" s="5">
        <v>434283</v>
      </c>
      <c r="P5579" s="5">
        <v>119047</v>
      </c>
      <c r="Q5579" s="5">
        <v>22619</v>
      </c>
      <c r="R5579" s="5">
        <v>141666</v>
      </c>
    </row>
    <row r="5580" spans="1:18" x14ac:dyDescent="0.25">
      <c r="A5580" t="s">
        <v>512</v>
      </c>
      <c r="B5580" t="s">
        <v>494</v>
      </c>
      <c r="C5580">
        <v>97004000</v>
      </c>
      <c r="D5580">
        <v>6678</v>
      </c>
      <c r="E5580" t="s">
        <v>1913</v>
      </c>
      <c r="F5580" t="s">
        <v>1879</v>
      </c>
      <c r="G5580" s="1">
        <v>45236</v>
      </c>
      <c r="H5580">
        <v>5413127</v>
      </c>
      <c r="I5580">
        <v>203</v>
      </c>
      <c r="K5580" t="str">
        <f>IFERROR(IF(AND(VLOOKUP($C5580,Hes!$A:$B, 1, FALSE), $M5580&lt;&gt;" "), "Ingresada", "Falta Ingresar"), " ")</f>
        <v xml:space="preserve"> </v>
      </c>
      <c r="L5580" s="4" t="str">
        <f>IFERROR(VLOOKUP($C5580,Observaciones!$A:$B,2,FALSE)," ")</f>
        <v>ENVIAR REPORTE A VENDEDOR</v>
      </c>
      <c r="M5580" t="s">
        <v>681</v>
      </c>
      <c r="O5580" s="5">
        <v>434364</v>
      </c>
      <c r="P5580" s="5">
        <v>130810</v>
      </c>
      <c r="Q5580" s="5">
        <v>24854</v>
      </c>
      <c r="R5580" s="5">
        <v>155664</v>
      </c>
    </row>
    <row r="5581" spans="1:18" x14ac:dyDescent="0.25">
      <c r="A5581" t="s">
        <v>512</v>
      </c>
      <c r="B5581" t="s">
        <v>494</v>
      </c>
      <c r="C5581">
        <v>97004000</v>
      </c>
      <c r="D5581">
        <v>9259</v>
      </c>
      <c r="E5581" t="s">
        <v>1914</v>
      </c>
      <c r="F5581" t="s">
        <v>1879</v>
      </c>
      <c r="G5581" s="1">
        <v>45236</v>
      </c>
      <c r="H5581">
        <v>5413205</v>
      </c>
      <c r="I5581">
        <v>203</v>
      </c>
      <c r="K5581" t="str">
        <f>IFERROR(IF(AND(VLOOKUP($C5581,Hes!$A:$B, 1, FALSE), $M5581&lt;&gt;" "), "Ingresada", "Falta Ingresar"), " ")</f>
        <v xml:space="preserve"> </v>
      </c>
      <c r="L5581" s="4" t="str">
        <f>IFERROR(VLOOKUP($C5581,Observaciones!$A:$B,2,FALSE)," ")</f>
        <v>ENVIAR REPORTE A VENDEDOR</v>
      </c>
      <c r="M5581" t="s">
        <v>681</v>
      </c>
      <c r="O5581" s="5">
        <v>434371</v>
      </c>
      <c r="P5581" s="5">
        <v>143412</v>
      </c>
      <c r="Q5581" s="5">
        <v>27248</v>
      </c>
      <c r="R5581" s="5">
        <v>170660</v>
      </c>
    </row>
    <row r="5582" spans="1:18" x14ac:dyDescent="0.25">
      <c r="A5582" t="s">
        <v>512</v>
      </c>
      <c r="B5582" t="s">
        <v>494</v>
      </c>
      <c r="C5582">
        <v>97004000</v>
      </c>
      <c r="D5582">
        <v>203</v>
      </c>
      <c r="E5582" t="s">
        <v>1915</v>
      </c>
      <c r="F5582" t="s">
        <v>1879</v>
      </c>
      <c r="G5582" s="1">
        <v>45236</v>
      </c>
      <c r="H5582">
        <v>5413208</v>
      </c>
      <c r="I5582">
        <v>203</v>
      </c>
      <c r="K5582" t="str">
        <f>IFERROR(IF(AND(VLOOKUP($C5582,Hes!$A:$B, 1, FALSE), $M5582&lt;&gt;" "), "Ingresada", "Falta Ingresar"), " ")</f>
        <v xml:space="preserve"> </v>
      </c>
      <c r="L5582" s="4" t="str">
        <f>IFERROR(VLOOKUP($C5582,Observaciones!$A:$B,2,FALSE)," ")</f>
        <v>ENVIAR REPORTE A VENDEDOR</v>
      </c>
      <c r="M5582" t="s">
        <v>681</v>
      </c>
      <c r="O5582" s="5">
        <v>434336</v>
      </c>
      <c r="P5582" s="5">
        <v>50625</v>
      </c>
      <c r="Q5582" s="5">
        <v>9619</v>
      </c>
      <c r="R5582" s="5">
        <v>60244</v>
      </c>
    </row>
    <row r="5583" spans="1:18" x14ac:dyDescent="0.25">
      <c r="A5583" t="s">
        <v>512</v>
      </c>
      <c r="B5583" t="s">
        <v>494</v>
      </c>
      <c r="C5583">
        <v>97004000</v>
      </c>
      <c r="D5583">
        <v>78</v>
      </c>
      <c r="E5583" t="s">
        <v>1916</v>
      </c>
      <c r="F5583" t="s">
        <v>1879</v>
      </c>
      <c r="G5583" s="1">
        <v>45236</v>
      </c>
      <c r="H5583">
        <v>5413261</v>
      </c>
      <c r="I5583">
        <v>203</v>
      </c>
      <c r="K5583" t="str">
        <f>IFERROR(IF(AND(VLOOKUP($C5583,Hes!$A:$B, 1, FALSE), $M5583&lt;&gt;" "), "Ingresada", "Falta Ingresar"), " ")</f>
        <v xml:space="preserve"> </v>
      </c>
      <c r="L5583" s="4" t="str">
        <f>IFERROR(VLOOKUP($C5583,Observaciones!$A:$B,2,FALSE)," ")</f>
        <v>ENVIAR REPORTE A VENDEDOR</v>
      </c>
      <c r="M5583" t="s">
        <v>681</v>
      </c>
      <c r="O5583" s="5">
        <v>434382</v>
      </c>
      <c r="P5583" s="5">
        <v>53272</v>
      </c>
      <c r="Q5583" s="5">
        <v>10122</v>
      </c>
      <c r="R5583" s="5">
        <v>63394</v>
      </c>
    </row>
    <row r="5584" spans="1:18" x14ac:dyDescent="0.25">
      <c r="A5584" t="s">
        <v>512</v>
      </c>
      <c r="B5584" t="s">
        <v>494</v>
      </c>
      <c r="C5584">
        <v>97004000</v>
      </c>
      <c r="D5584">
        <v>9299</v>
      </c>
      <c r="E5584" t="s">
        <v>1917</v>
      </c>
      <c r="F5584" t="s">
        <v>1879</v>
      </c>
      <c r="G5584" s="1">
        <v>45236</v>
      </c>
      <c r="H5584">
        <v>5413278</v>
      </c>
      <c r="I5584">
        <v>203</v>
      </c>
      <c r="K5584" t="str">
        <f>IFERROR(IF(AND(VLOOKUP($C5584,Hes!$A:$B, 1, FALSE), $M5584&lt;&gt;" "), "Ingresada", "Falta Ingresar"), " ")</f>
        <v xml:space="preserve"> </v>
      </c>
      <c r="L5584" s="4" t="str">
        <f>IFERROR(VLOOKUP($C5584,Observaciones!$A:$B,2,FALSE)," ")</f>
        <v>ENVIAR REPORTE A VENDEDOR</v>
      </c>
      <c r="M5584" t="s">
        <v>681</v>
      </c>
      <c r="O5584" s="5">
        <v>434396</v>
      </c>
      <c r="P5584" s="5">
        <v>103221</v>
      </c>
      <c r="Q5584" s="5">
        <v>19612</v>
      </c>
      <c r="R5584" s="5">
        <v>122833</v>
      </c>
    </row>
    <row r="5585" spans="1:18" x14ac:dyDescent="0.25">
      <c r="A5585" t="s">
        <v>512</v>
      </c>
      <c r="B5585" t="s">
        <v>494</v>
      </c>
      <c r="C5585">
        <v>97004000</v>
      </c>
      <c r="D5585">
        <v>1037</v>
      </c>
      <c r="E5585" t="s">
        <v>1918</v>
      </c>
      <c r="F5585" t="s">
        <v>1879</v>
      </c>
      <c r="G5585" s="1">
        <v>45236</v>
      </c>
      <c r="H5585">
        <v>5413283</v>
      </c>
      <c r="I5585">
        <v>203</v>
      </c>
      <c r="K5585" t="str">
        <f>IFERROR(IF(AND(VLOOKUP($C5585,Hes!$A:$B, 1, FALSE), $M5585&lt;&gt;" "), "Ingresada", "Falta Ingresar"), " ")</f>
        <v xml:space="preserve"> </v>
      </c>
      <c r="L5585" s="4" t="str">
        <f>IFERROR(VLOOKUP($C5585,Observaciones!$A:$B,2,FALSE)," ")</f>
        <v>ENVIAR REPORTE A VENDEDOR</v>
      </c>
      <c r="M5585" t="s">
        <v>681</v>
      </c>
      <c r="O5585" s="5">
        <v>434384</v>
      </c>
      <c r="P5585" s="5">
        <v>155149</v>
      </c>
      <c r="Q5585" s="5">
        <v>29478</v>
      </c>
      <c r="R5585" s="5">
        <v>184627</v>
      </c>
    </row>
    <row r="5586" spans="1:18" x14ac:dyDescent="0.25">
      <c r="A5586" t="s">
        <v>512</v>
      </c>
      <c r="B5586" t="s">
        <v>494</v>
      </c>
      <c r="C5586">
        <v>97004000</v>
      </c>
      <c r="D5586">
        <v>1453</v>
      </c>
      <c r="E5586" t="s">
        <v>1919</v>
      </c>
      <c r="F5586" t="s">
        <v>1879</v>
      </c>
      <c r="G5586" s="1">
        <v>45236</v>
      </c>
      <c r="H5586">
        <v>5413385</v>
      </c>
      <c r="I5586">
        <v>203</v>
      </c>
      <c r="K5586" t="str">
        <f>IFERROR(IF(AND(VLOOKUP($C5586,Hes!$A:$B, 1, FALSE), $M5586&lt;&gt;" "), "Ingresada", "Falta Ingresar"), " ")</f>
        <v xml:space="preserve"> </v>
      </c>
      <c r="L5586" s="4" t="str">
        <f>IFERROR(VLOOKUP($C5586,Observaciones!$A:$B,2,FALSE)," ")</f>
        <v>ENVIAR REPORTE A VENDEDOR</v>
      </c>
      <c r="M5586" t="s">
        <v>681</v>
      </c>
      <c r="O5586" s="5">
        <v>434196</v>
      </c>
      <c r="P5586" s="5">
        <v>165876</v>
      </c>
      <c r="Q5586" s="5">
        <v>31516</v>
      </c>
      <c r="R5586" s="5">
        <v>197392</v>
      </c>
    </row>
    <row r="5587" spans="1:18" x14ac:dyDescent="0.25">
      <c r="A5587" t="s">
        <v>512</v>
      </c>
      <c r="B5587" t="s">
        <v>494</v>
      </c>
      <c r="C5587">
        <v>97004000</v>
      </c>
      <c r="D5587">
        <v>9203</v>
      </c>
      <c r="E5587" t="s">
        <v>1920</v>
      </c>
      <c r="F5587" t="s">
        <v>1879</v>
      </c>
      <c r="G5587" s="1">
        <v>45236</v>
      </c>
      <c r="H5587">
        <v>5413405</v>
      </c>
      <c r="I5587">
        <v>203</v>
      </c>
      <c r="K5587" t="str">
        <f>IFERROR(IF(AND(VLOOKUP($C5587,Hes!$A:$B, 1, FALSE), $M5587&lt;&gt;" "), "Ingresada", "Falta Ingresar"), " ")</f>
        <v xml:space="preserve"> </v>
      </c>
      <c r="L5587" s="4" t="str">
        <f>IFERROR(VLOOKUP($C5587,Observaciones!$A:$B,2,FALSE)," ")</f>
        <v>ENVIAR REPORTE A VENDEDOR</v>
      </c>
      <c r="M5587" t="s">
        <v>681</v>
      </c>
      <c r="O5587" s="5">
        <v>434351</v>
      </c>
      <c r="P5587" s="5">
        <v>175012</v>
      </c>
      <c r="Q5587" s="5">
        <v>33252</v>
      </c>
      <c r="R5587" s="5">
        <v>208264</v>
      </c>
    </row>
    <row r="5588" spans="1:18" x14ac:dyDescent="0.25">
      <c r="A5588" t="s">
        <v>512</v>
      </c>
      <c r="B5588" t="s">
        <v>494</v>
      </c>
      <c r="C5588">
        <v>97004000</v>
      </c>
      <c r="D5588">
        <v>9322</v>
      </c>
      <c r="E5588" t="s">
        <v>1921</v>
      </c>
      <c r="F5588" t="s">
        <v>1879</v>
      </c>
      <c r="G5588" s="1">
        <v>45236</v>
      </c>
      <c r="H5588">
        <v>5413428</v>
      </c>
      <c r="I5588">
        <v>203</v>
      </c>
      <c r="K5588" t="str">
        <f>IFERROR(IF(AND(VLOOKUP($C5588,Hes!$A:$B, 1, FALSE), $M5588&lt;&gt;" "), "Ingresada", "Falta Ingresar"), " ")</f>
        <v xml:space="preserve"> </v>
      </c>
      <c r="L5588" s="4" t="str">
        <f>IFERROR(VLOOKUP($C5588,Observaciones!$A:$B,2,FALSE)," ")</f>
        <v>ENVIAR REPORTE A VENDEDOR</v>
      </c>
      <c r="M5588" t="s">
        <v>681</v>
      </c>
      <c r="O5588" s="5">
        <v>434383</v>
      </c>
      <c r="P5588" s="5">
        <v>502436</v>
      </c>
      <c r="Q5588" s="5">
        <v>95463</v>
      </c>
      <c r="R5588" s="5">
        <v>597899</v>
      </c>
    </row>
    <row r="5589" spans="1:18" x14ac:dyDescent="0.25">
      <c r="A5589" t="s">
        <v>512</v>
      </c>
      <c r="B5589" t="s">
        <v>494</v>
      </c>
      <c r="C5589">
        <v>97004000</v>
      </c>
      <c r="D5589">
        <v>136</v>
      </c>
      <c r="E5589" t="s">
        <v>1922</v>
      </c>
      <c r="F5589" t="s">
        <v>1879</v>
      </c>
      <c r="G5589" s="1">
        <v>45236</v>
      </c>
      <c r="H5589">
        <v>5413459</v>
      </c>
      <c r="I5589">
        <v>203</v>
      </c>
      <c r="K5589" t="str">
        <f>IFERROR(IF(AND(VLOOKUP($C5589,Hes!$A:$B, 1, FALSE), $M5589&lt;&gt;" "), "Ingresada", "Falta Ingresar"), " ")</f>
        <v xml:space="preserve"> </v>
      </c>
      <c r="L5589" s="4" t="str">
        <f>IFERROR(VLOOKUP($C5589,Observaciones!$A:$B,2,FALSE)," ")</f>
        <v>ENVIAR REPORTE A VENDEDOR</v>
      </c>
      <c r="M5589" t="s">
        <v>681</v>
      </c>
      <c r="O5589" s="5">
        <v>434377</v>
      </c>
      <c r="P5589" s="5">
        <v>37897</v>
      </c>
      <c r="Q5589" s="5">
        <v>7200</v>
      </c>
      <c r="R5589" s="5">
        <v>45097</v>
      </c>
    </row>
    <row r="5590" spans="1:18" x14ac:dyDescent="0.25">
      <c r="A5590" t="s">
        <v>512</v>
      </c>
      <c r="B5590" t="s">
        <v>494</v>
      </c>
      <c r="C5590">
        <v>97004000</v>
      </c>
      <c r="D5590">
        <v>9346</v>
      </c>
      <c r="E5590" t="s">
        <v>1923</v>
      </c>
      <c r="F5590" t="s">
        <v>1879</v>
      </c>
      <c r="G5590" s="1">
        <v>45236</v>
      </c>
      <c r="H5590">
        <v>5413497</v>
      </c>
      <c r="I5590">
        <v>203</v>
      </c>
      <c r="K5590" t="str">
        <f>IFERROR(IF(AND(VLOOKUP($C5590,Hes!$A:$B, 1, FALSE), $M5590&lt;&gt;" "), "Ingresada", "Falta Ingresar"), " ")</f>
        <v xml:space="preserve"> </v>
      </c>
      <c r="L5590" s="4" t="str">
        <f>IFERROR(VLOOKUP($C5590,Observaciones!$A:$B,2,FALSE)," ")</f>
        <v>ENVIAR REPORTE A VENDEDOR</v>
      </c>
      <c r="M5590" t="s">
        <v>681</v>
      </c>
      <c r="O5590" s="5">
        <v>434387</v>
      </c>
      <c r="P5590" s="5">
        <v>115937</v>
      </c>
      <c r="Q5590" s="5">
        <v>22028</v>
      </c>
      <c r="R5590" s="5">
        <v>137965</v>
      </c>
    </row>
    <row r="5591" spans="1:18" x14ac:dyDescent="0.25">
      <c r="A5591" t="s">
        <v>512</v>
      </c>
      <c r="B5591" t="s">
        <v>494</v>
      </c>
      <c r="C5591">
        <v>97004000</v>
      </c>
      <c r="D5591">
        <v>4136</v>
      </c>
      <c r="E5591" t="s">
        <v>1924</v>
      </c>
      <c r="F5591" t="s">
        <v>1879</v>
      </c>
      <c r="G5591" s="1">
        <v>45236</v>
      </c>
      <c r="H5591">
        <v>5413834</v>
      </c>
      <c r="I5591">
        <v>203</v>
      </c>
      <c r="K5591" t="str">
        <f>IFERROR(IF(AND(VLOOKUP($C5591,Hes!$A:$B, 1, FALSE), $M5591&lt;&gt;" "), "Ingresada", "Falta Ingresar"), " ")</f>
        <v xml:space="preserve"> </v>
      </c>
      <c r="L5591" s="4" t="str">
        <f>IFERROR(VLOOKUP($C5591,Observaciones!$A:$B,2,FALSE)," ")</f>
        <v>ENVIAR REPORTE A VENDEDOR</v>
      </c>
      <c r="M5591" t="s">
        <v>681</v>
      </c>
      <c r="O5591" s="5">
        <v>433513</v>
      </c>
      <c r="P5591" s="5">
        <v>276530</v>
      </c>
      <c r="Q5591" s="5">
        <v>52541</v>
      </c>
      <c r="R5591" s="5">
        <v>329071</v>
      </c>
    </row>
    <row r="5592" spans="1:18" x14ac:dyDescent="0.25">
      <c r="A5592" t="s">
        <v>512</v>
      </c>
      <c r="B5592" t="s">
        <v>494</v>
      </c>
      <c r="C5592">
        <v>97004000</v>
      </c>
      <c r="D5592">
        <v>9209</v>
      </c>
      <c r="E5592" t="s">
        <v>1925</v>
      </c>
      <c r="F5592" t="s">
        <v>1879</v>
      </c>
      <c r="G5592" s="1">
        <v>45236</v>
      </c>
      <c r="H5592">
        <v>5413839</v>
      </c>
      <c r="I5592">
        <v>203</v>
      </c>
      <c r="K5592" t="str">
        <f>IFERROR(IF(AND(VLOOKUP($C5592,Hes!$A:$B, 1, FALSE), $M5592&lt;&gt;" "), "Ingresada", "Falta Ingresar"), " ")</f>
        <v xml:space="preserve"> </v>
      </c>
      <c r="L5592" s="4" t="str">
        <f>IFERROR(VLOOKUP($C5592,Observaciones!$A:$B,2,FALSE)," ")</f>
        <v>ENVIAR REPORTE A VENDEDOR</v>
      </c>
      <c r="M5592" t="s">
        <v>681</v>
      </c>
      <c r="O5592" s="5">
        <v>434358</v>
      </c>
      <c r="P5592" s="5">
        <v>326987</v>
      </c>
      <c r="Q5592" s="5">
        <v>62128</v>
      </c>
      <c r="R5592" s="5">
        <v>389115</v>
      </c>
    </row>
    <row r="5593" spans="1:18" x14ac:dyDescent="0.25">
      <c r="A5593" t="s">
        <v>512</v>
      </c>
      <c r="B5593" t="s">
        <v>494</v>
      </c>
      <c r="C5593">
        <v>97004000</v>
      </c>
      <c r="D5593">
        <v>9312</v>
      </c>
      <c r="E5593" t="s">
        <v>1926</v>
      </c>
      <c r="F5593" t="s">
        <v>1879</v>
      </c>
      <c r="G5593" s="1">
        <v>45236</v>
      </c>
      <c r="H5593">
        <v>5413840</v>
      </c>
      <c r="I5593">
        <v>203</v>
      </c>
      <c r="K5593" t="str">
        <f>IFERROR(IF(AND(VLOOKUP($C5593,Hes!$A:$B, 1, FALSE), $M5593&lt;&gt;" "), "Ingresada", "Falta Ingresar"), " ")</f>
        <v xml:space="preserve"> </v>
      </c>
      <c r="L5593" s="4" t="str">
        <f>IFERROR(VLOOKUP($C5593,Observaciones!$A:$B,2,FALSE)," ")</f>
        <v>ENVIAR REPORTE A VENDEDOR</v>
      </c>
      <c r="M5593" t="s">
        <v>681</v>
      </c>
      <c r="O5593" s="5">
        <v>434390</v>
      </c>
      <c r="P5593" s="5">
        <v>176209</v>
      </c>
      <c r="Q5593" s="5">
        <v>33480</v>
      </c>
      <c r="R5593" s="5">
        <v>209689</v>
      </c>
    </row>
    <row r="5594" spans="1:18" x14ac:dyDescent="0.25">
      <c r="A5594" t="s">
        <v>512</v>
      </c>
      <c r="B5594" t="s">
        <v>494</v>
      </c>
      <c r="C5594">
        <v>97004000</v>
      </c>
      <c r="D5594">
        <v>1951</v>
      </c>
      <c r="E5594" t="s">
        <v>1927</v>
      </c>
      <c r="F5594" t="s">
        <v>1879</v>
      </c>
      <c r="G5594" s="1">
        <v>45237</v>
      </c>
      <c r="H5594">
        <v>5414383</v>
      </c>
      <c r="I5594">
        <v>203</v>
      </c>
      <c r="K5594" t="str">
        <f>IFERROR(IF(AND(VLOOKUP($C5594,Hes!$A:$B, 1, FALSE), $M5594&lt;&gt;" "), "Ingresada", "Falta Ingresar"), " ")</f>
        <v xml:space="preserve"> </v>
      </c>
      <c r="L5594" s="4" t="str">
        <f>IFERROR(VLOOKUP($C5594,Observaciones!$A:$B,2,FALSE)," ")</f>
        <v>ENVIAR REPORTE A VENDEDOR</v>
      </c>
      <c r="M5594" t="s">
        <v>681</v>
      </c>
      <c r="O5594" s="5">
        <v>30862456</v>
      </c>
      <c r="P5594" s="5">
        <v>510650</v>
      </c>
      <c r="Q5594" s="5">
        <v>97024</v>
      </c>
      <c r="R5594" s="5">
        <v>607674</v>
      </c>
    </row>
    <row r="5595" spans="1:18" x14ac:dyDescent="0.25">
      <c r="A5595" t="s">
        <v>512</v>
      </c>
      <c r="B5595" t="s">
        <v>494</v>
      </c>
      <c r="C5595">
        <v>97004000</v>
      </c>
      <c r="D5595">
        <v>1951</v>
      </c>
      <c r="E5595" t="s">
        <v>1928</v>
      </c>
      <c r="F5595" t="s">
        <v>1879</v>
      </c>
      <c r="G5595" s="1">
        <v>45238</v>
      </c>
      <c r="H5595">
        <v>5414926</v>
      </c>
      <c r="I5595">
        <v>203</v>
      </c>
      <c r="K5595" t="str">
        <f>IFERROR(IF(AND(VLOOKUP($C5595,Hes!$A:$B, 1, FALSE), $M5595&lt;&gt;" "), "Ingresada", "Falta Ingresar"), " ")</f>
        <v xml:space="preserve"> </v>
      </c>
      <c r="L5595" s="4" t="str">
        <f>IFERROR(VLOOKUP($C5595,Observaciones!$A:$B,2,FALSE)," ")</f>
        <v>ENVIAR REPORTE A VENDEDOR</v>
      </c>
      <c r="M5595" t="s">
        <v>681</v>
      </c>
      <c r="O5595" s="5">
        <v>30862429</v>
      </c>
      <c r="P5595" s="5">
        <v>1051140</v>
      </c>
      <c r="Q5595" s="5">
        <v>199717</v>
      </c>
      <c r="R5595" s="5">
        <v>1250857</v>
      </c>
    </row>
    <row r="5596" spans="1:18" x14ac:dyDescent="0.25">
      <c r="A5596" t="s">
        <v>512</v>
      </c>
      <c r="B5596" t="s">
        <v>494</v>
      </c>
      <c r="C5596">
        <v>97004000</v>
      </c>
      <c r="D5596">
        <v>848</v>
      </c>
      <c r="E5596" t="s">
        <v>1929</v>
      </c>
      <c r="F5596" t="s">
        <v>1879</v>
      </c>
      <c r="G5596" s="1">
        <v>45238</v>
      </c>
      <c r="H5596">
        <v>5414947</v>
      </c>
      <c r="I5596">
        <v>203</v>
      </c>
      <c r="K5596" t="str">
        <f>IFERROR(IF(AND(VLOOKUP($C5596,Hes!$A:$B, 1, FALSE), $M5596&lt;&gt;" "), "Ingresada", "Falta Ingresar"), " ")</f>
        <v xml:space="preserve"> </v>
      </c>
      <c r="L5596" s="4" t="str">
        <f>IFERROR(VLOOKUP($C5596,Observaciones!$A:$B,2,FALSE)," ")</f>
        <v>ENVIAR REPORTE A VENDEDOR</v>
      </c>
      <c r="M5596" t="s">
        <v>681</v>
      </c>
      <c r="O5596" s="5">
        <v>434402</v>
      </c>
      <c r="P5596" s="5">
        <v>137700</v>
      </c>
      <c r="Q5596" s="5">
        <v>26163</v>
      </c>
      <c r="R5596" s="5">
        <v>163863</v>
      </c>
    </row>
    <row r="5597" spans="1:18" x14ac:dyDescent="0.25">
      <c r="A5597" t="s">
        <v>512</v>
      </c>
      <c r="B5597" t="s">
        <v>494</v>
      </c>
      <c r="C5597">
        <v>97004000</v>
      </c>
      <c r="D5597">
        <v>253</v>
      </c>
      <c r="E5597" t="s">
        <v>1930</v>
      </c>
      <c r="F5597" t="s">
        <v>1879</v>
      </c>
      <c r="G5597" s="1">
        <v>45238</v>
      </c>
      <c r="H5597">
        <v>5414963</v>
      </c>
      <c r="I5597">
        <v>203</v>
      </c>
      <c r="K5597" t="str">
        <f>IFERROR(IF(AND(VLOOKUP($C5597,Hes!$A:$B, 1, FALSE), $M5597&lt;&gt;" "), "Ingresada", "Falta Ingresar"), " ")</f>
        <v xml:space="preserve"> </v>
      </c>
      <c r="L5597" s="4" t="str">
        <f>IFERROR(VLOOKUP($C5597,Observaciones!$A:$B,2,FALSE)," ")</f>
        <v>ENVIAR REPORTE A VENDEDOR</v>
      </c>
      <c r="M5597" t="s">
        <v>681</v>
      </c>
      <c r="O5597" s="5">
        <v>434452</v>
      </c>
      <c r="P5597" s="5">
        <v>203982</v>
      </c>
      <c r="Q5597" s="5">
        <v>38757</v>
      </c>
      <c r="R5597" s="5">
        <v>242739</v>
      </c>
    </row>
    <row r="5598" spans="1:18" x14ac:dyDescent="0.25">
      <c r="A5598" t="s">
        <v>512</v>
      </c>
      <c r="B5598" t="s">
        <v>494</v>
      </c>
      <c r="C5598">
        <v>97004000</v>
      </c>
      <c r="D5598">
        <v>846</v>
      </c>
      <c r="E5598" t="s">
        <v>1931</v>
      </c>
      <c r="F5598" t="s">
        <v>1879</v>
      </c>
      <c r="G5598" s="1">
        <v>45238</v>
      </c>
      <c r="H5598">
        <v>5414968</v>
      </c>
      <c r="I5598">
        <v>203</v>
      </c>
      <c r="K5598" t="str">
        <f>IFERROR(IF(AND(VLOOKUP($C5598,Hes!$A:$B, 1, FALSE), $M5598&lt;&gt;" "), "Ingresada", "Falta Ingresar"), " ")</f>
        <v xml:space="preserve"> </v>
      </c>
      <c r="L5598" s="4" t="str">
        <f>IFERROR(VLOOKUP($C5598,Observaciones!$A:$B,2,FALSE)," ")</f>
        <v>ENVIAR REPORTE A VENDEDOR</v>
      </c>
      <c r="M5598" t="s">
        <v>681</v>
      </c>
      <c r="O5598" s="5">
        <v>434456</v>
      </c>
      <c r="P5598" s="5">
        <v>180366</v>
      </c>
      <c r="Q5598" s="5">
        <v>34270</v>
      </c>
      <c r="R5598" s="5">
        <v>214636</v>
      </c>
    </row>
    <row r="5599" spans="1:18" x14ac:dyDescent="0.25">
      <c r="A5599" t="s">
        <v>512</v>
      </c>
      <c r="B5599" t="s">
        <v>494</v>
      </c>
      <c r="C5599">
        <v>97004000</v>
      </c>
      <c r="D5599">
        <v>9140</v>
      </c>
      <c r="E5599" t="s">
        <v>1932</v>
      </c>
      <c r="F5599" t="s">
        <v>1879</v>
      </c>
      <c r="G5599" s="1">
        <v>45238</v>
      </c>
      <c r="H5599">
        <v>5414971</v>
      </c>
      <c r="I5599">
        <v>203</v>
      </c>
      <c r="K5599" t="str">
        <f>IFERROR(IF(AND(VLOOKUP($C5599,Hes!$A:$B, 1, FALSE), $M5599&lt;&gt;" "), "Ingresada", "Falta Ingresar"), " ")</f>
        <v xml:space="preserve"> </v>
      </c>
      <c r="L5599" s="4" t="str">
        <f>IFERROR(VLOOKUP($C5599,Observaciones!$A:$B,2,FALSE)," ")</f>
        <v>ENVIAR REPORTE A VENDEDOR</v>
      </c>
      <c r="M5599" t="s">
        <v>681</v>
      </c>
      <c r="O5599" s="5">
        <v>434442</v>
      </c>
      <c r="P5599" s="5">
        <v>269966</v>
      </c>
      <c r="Q5599" s="5">
        <v>51294</v>
      </c>
      <c r="R5599" s="5">
        <v>321260</v>
      </c>
    </row>
    <row r="5600" spans="1:18" x14ac:dyDescent="0.25">
      <c r="A5600" t="s">
        <v>512</v>
      </c>
      <c r="B5600" t="s">
        <v>494</v>
      </c>
      <c r="C5600">
        <v>97004000</v>
      </c>
      <c r="D5600">
        <v>183</v>
      </c>
      <c r="E5600" t="s">
        <v>1933</v>
      </c>
      <c r="F5600" t="s">
        <v>1879</v>
      </c>
      <c r="G5600" s="1">
        <v>45238</v>
      </c>
      <c r="H5600">
        <v>5414973</v>
      </c>
      <c r="I5600">
        <v>203</v>
      </c>
      <c r="K5600" t="str">
        <f>IFERROR(IF(AND(VLOOKUP($C5600,Hes!$A:$B, 1, FALSE), $M5600&lt;&gt;" "), "Ingresada", "Falta Ingresar"), " ")</f>
        <v xml:space="preserve"> </v>
      </c>
      <c r="L5600" s="4" t="str">
        <f>IFERROR(VLOOKUP($C5600,Observaciones!$A:$B,2,FALSE)," ")</f>
        <v>ENVIAR REPORTE A VENDEDOR</v>
      </c>
      <c r="M5600" t="s">
        <v>681</v>
      </c>
      <c r="O5600" s="5">
        <v>434409</v>
      </c>
      <c r="P5600" s="5">
        <v>32558</v>
      </c>
      <c r="Q5600" s="5">
        <v>6186</v>
      </c>
      <c r="R5600" s="5">
        <v>38744</v>
      </c>
    </row>
    <row r="5601" spans="1:18" x14ac:dyDescent="0.25">
      <c r="A5601" t="s">
        <v>512</v>
      </c>
      <c r="B5601" t="s">
        <v>494</v>
      </c>
      <c r="C5601">
        <v>97004000</v>
      </c>
      <c r="D5601">
        <v>9212</v>
      </c>
      <c r="E5601" t="s">
        <v>1934</v>
      </c>
      <c r="F5601" t="s">
        <v>1879</v>
      </c>
      <c r="G5601" s="1">
        <v>45238</v>
      </c>
      <c r="H5601">
        <v>5414980</v>
      </c>
      <c r="I5601">
        <v>203</v>
      </c>
      <c r="K5601" t="str">
        <f>IFERROR(IF(AND(VLOOKUP($C5601,Hes!$A:$B, 1, FALSE), $M5601&lt;&gt;" "), "Ingresada", "Falta Ingresar"), " ")</f>
        <v xml:space="preserve"> </v>
      </c>
      <c r="L5601" s="4" t="str">
        <f>IFERROR(VLOOKUP($C5601,Observaciones!$A:$B,2,FALSE)," ")</f>
        <v>ENVIAR REPORTE A VENDEDOR</v>
      </c>
      <c r="M5601" t="s">
        <v>681</v>
      </c>
      <c r="O5601" s="5">
        <v>434462</v>
      </c>
      <c r="P5601" s="5">
        <v>323202</v>
      </c>
      <c r="Q5601" s="5">
        <v>61408</v>
      </c>
      <c r="R5601" s="5">
        <v>384610</v>
      </c>
    </row>
    <row r="5602" spans="1:18" x14ac:dyDescent="0.25">
      <c r="A5602" t="s">
        <v>512</v>
      </c>
      <c r="B5602" t="s">
        <v>494</v>
      </c>
      <c r="C5602">
        <v>97004000</v>
      </c>
      <c r="D5602">
        <v>9137</v>
      </c>
      <c r="E5602" t="s">
        <v>1935</v>
      </c>
      <c r="F5602" t="s">
        <v>1879</v>
      </c>
      <c r="G5602" s="1">
        <v>45238</v>
      </c>
      <c r="H5602">
        <v>5414982</v>
      </c>
      <c r="I5602">
        <v>203</v>
      </c>
      <c r="K5602" t="str">
        <f>IFERROR(IF(AND(VLOOKUP($C5602,Hes!$A:$B, 1, FALSE), $M5602&lt;&gt;" "), "Ingresada", "Falta Ingresar"), " ")</f>
        <v xml:space="preserve"> </v>
      </c>
      <c r="L5602" s="4" t="str">
        <f>IFERROR(VLOOKUP($C5602,Observaciones!$A:$B,2,FALSE)," ")</f>
        <v>ENVIAR REPORTE A VENDEDOR</v>
      </c>
      <c r="M5602" t="s">
        <v>681</v>
      </c>
      <c r="O5602" s="5">
        <v>434437</v>
      </c>
      <c r="P5602" s="5">
        <v>57860</v>
      </c>
      <c r="Q5602" s="5">
        <v>10993</v>
      </c>
      <c r="R5602" s="5">
        <v>68853</v>
      </c>
    </row>
    <row r="5603" spans="1:18" x14ac:dyDescent="0.25">
      <c r="A5603" t="s">
        <v>512</v>
      </c>
      <c r="B5603" t="s">
        <v>494</v>
      </c>
      <c r="C5603">
        <v>97004000</v>
      </c>
      <c r="D5603">
        <v>1676</v>
      </c>
      <c r="E5603" t="s">
        <v>1936</v>
      </c>
      <c r="F5603" t="s">
        <v>1879</v>
      </c>
      <c r="G5603" s="1">
        <v>45238</v>
      </c>
      <c r="H5603">
        <v>5415093</v>
      </c>
      <c r="I5603">
        <v>203</v>
      </c>
      <c r="K5603" t="str">
        <f>IFERROR(IF(AND(VLOOKUP($C5603,Hes!$A:$B, 1, FALSE), $M5603&lt;&gt;" "), "Ingresada", "Falta Ingresar"), " ")</f>
        <v xml:space="preserve"> </v>
      </c>
      <c r="L5603" s="4" t="str">
        <f>IFERROR(VLOOKUP($C5603,Observaciones!$A:$B,2,FALSE)," ")</f>
        <v>ENVIAR REPORTE A VENDEDOR</v>
      </c>
      <c r="M5603" t="s">
        <v>681</v>
      </c>
      <c r="O5603" s="5">
        <v>434466</v>
      </c>
      <c r="P5603" s="5">
        <v>209233</v>
      </c>
      <c r="Q5603" s="5">
        <v>39754</v>
      </c>
      <c r="R5603" s="5">
        <v>248987</v>
      </c>
    </row>
    <row r="5604" spans="1:18" x14ac:dyDescent="0.25">
      <c r="A5604" t="s">
        <v>512</v>
      </c>
      <c r="B5604" t="s">
        <v>494</v>
      </c>
      <c r="C5604">
        <v>97004000</v>
      </c>
      <c r="D5604">
        <v>9171</v>
      </c>
      <c r="E5604" t="s">
        <v>1937</v>
      </c>
      <c r="F5604" t="s">
        <v>1879</v>
      </c>
      <c r="G5604" s="1">
        <v>45238</v>
      </c>
      <c r="H5604">
        <v>5415096</v>
      </c>
      <c r="I5604">
        <v>203</v>
      </c>
      <c r="K5604" t="str">
        <f>IFERROR(IF(AND(VLOOKUP($C5604,Hes!$A:$B, 1, FALSE), $M5604&lt;&gt;" "), "Ingresada", "Falta Ingresar"), " ")</f>
        <v xml:space="preserve"> </v>
      </c>
      <c r="L5604" s="4" t="str">
        <f>IFERROR(VLOOKUP($C5604,Observaciones!$A:$B,2,FALSE)," ")</f>
        <v>ENVIAR REPORTE A VENDEDOR</v>
      </c>
      <c r="M5604" t="s">
        <v>681</v>
      </c>
      <c r="O5604" s="5">
        <v>434423</v>
      </c>
      <c r="P5604" s="5">
        <v>84058</v>
      </c>
      <c r="Q5604" s="5">
        <v>15971</v>
      </c>
      <c r="R5604" s="5">
        <v>100029</v>
      </c>
    </row>
    <row r="5605" spans="1:18" x14ac:dyDescent="0.25">
      <c r="A5605" t="s">
        <v>512</v>
      </c>
      <c r="B5605" t="s">
        <v>494</v>
      </c>
      <c r="C5605">
        <v>97004000</v>
      </c>
      <c r="D5605">
        <v>741</v>
      </c>
      <c r="E5605" t="s">
        <v>1938</v>
      </c>
      <c r="F5605" t="s">
        <v>1879</v>
      </c>
      <c r="G5605" s="1">
        <v>45238</v>
      </c>
      <c r="H5605">
        <v>5415102</v>
      </c>
      <c r="I5605">
        <v>203</v>
      </c>
      <c r="K5605" t="str">
        <f>IFERROR(IF(AND(VLOOKUP($C5605,Hes!$A:$B, 1, FALSE), $M5605&lt;&gt;" "), "Ingresada", "Falta Ingresar"), " ")</f>
        <v xml:space="preserve"> </v>
      </c>
      <c r="L5605" s="4" t="str">
        <f>IFERROR(VLOOKUP($C5605,Observaciones!$A:$B,2,FALSE)," ")</f>
        <v>ENVIAR REPORTE A VENDEDOR</v>
      </c>
      <c r="M5605" t="s">
        <v>681</v>
      </c>
      <c r="O5605" s="5">
        <v>434412</v>
      </c>
      <c r="P5605" s="5">
        <v>104656</v>
      </c>
      <c r="Q5605" s="5">
        <v>19885</v>
      </c>
      <c r="R5605" s="5">
        <v>124541</v>
      </c>
    </row>
    <row r="5606" spans="1:18" x14ac:dyDescent="0.25">
      <c r="A5606" t="s">
        <v>512</v>
      </c>
      <c r="B5606" t="s">
        <v>494</v>
      </c>
      <c r="C5606">
        <v>97004000</v>
      </c>
      <c r="D5606">
        <v>9179</v>
      </c>
      <c r="E5606" t="s">
        <v>1939</v>
      </c>
      <c r="F5606" t="s">
        <v>1879</v>
      </c>
      <c r="G5606" s="1">
        <v>45238</v>
      </c>
      <c r="H5606">
        <v>5415105</v>
      </c>
      <c r="I5606">
        <v>203</v>
      </c>
      <c r="K5606" t="str">
        <f>IFERROR(IF(AND(VLOOKUP($C5606,Hes!$A:$B, 1, FALSE), $M5606&lt;&gt;" "), "Ingresada", "Falta Ingresar"), " ")</f>
        <v xml:space="preserve"> </v>
      </c>
      <c r="L5606" s="4" t="str">
        <f>IFERROR(VLOOKUP($C5606,Observaciones!$A:$B,2,FALSE)," ")</f>
        <v>ENVIAR REPORTE A VENDEDOR</v>
      </c>
      <c r="M5606" t="s">
        <v>681</v>
      </c>
      <c r="O5606" s="5">
        <v>434425</v>
      </c>
      <c r="P5606" s="5">
        <v>251270</v>
      </c>
      <c r="Q5606" s="5">
        <v>47741</v>
      </c>
      <c r="R5606" s="5">
        <v>299011</v>
      </c>
    </row>
    <row r="5607" spans="1:18" x14ac:dyDescent="0.25">
      <c r="A5607" t="s">
        <v>512</v>
      </c>
      <c r="B5607" t="s">
        <v>494</v>
      </c>
      <c r="C5607">
        <v>97004000</v>
      </c>
      <c r="D5607">
        <v>9327</v>
      </c>
      <c r="E5607" t="s">
        <v>1940</v>
      </c>
      <c r="F5607" t="s">
        <v>1879</v>
      </c>
      <c r="G5607" s="1">
        <v>45238</v>
      </c>
      <c r="H5607">
        <v>5415122</v>
      </c>
      <c r="I5607">
        <v>203</v>
      </c>
      <c r="K5607" t="str">
        <f>IFERROR(IF(AND(VLOOKUP($C5607,Hes!$A:$B, 1, FALSE), $M5607&lt;&gt;" "), "Ingresada", "Falta Ingresar"), " ")</f>
        <v xml:space="preserve"> </v>
      </c>
      <c r="L5607" s="4" t="str">
        <f>IFERROR(VLOOKUP($C5607,Observaciones!$A:$B,2,FALSE)," ")</f>
        <v>ENVIAR REPORTE A VENDEDOR</v>
      </c>
      <c r="M5607" t="s">
        <v>681</v>
      </c>
      <c r="O5607" s="5">
        <v>434435</v>
      </c>
      <c r="P5607" s="5">
        <v>176754</v>
      </c>
      <c r="Q5607" s="5">
        <v>33583</v>
      </c>
      <c r="R5607" s="5">
        <v>210337</v>
      </c>
    </row>
    <row r="5608" spans="1:18" x14ac:dyDescent="0.25">
      <c r="A5608" t="s">
        <v>512</v>
      </c>
      <c r="B5608" t="s">
        <v>494</v>
      </c>
      <c r="C5608">
        <v>97004000</v>
      </c>
      <c r="D5608">
        <v>9304</v>
      </c>
      <c r="E5608" t="s">
        <v>1941</v>
      </c>
      <c r="F5608" t="s">
        <v>1879</v>
      </c>
      <c r="G5608" s="1">
        <v>45238</v>
      </c>
      <c r="H5608">
        <v>5415180</v>
      </c>
      <c r="I5608">
        <v>203</v>
      </c>
      <c r="K5608" t="str">
        <f>IFERROR(IF(AND(VLOOKUP($C5608,Hes!$A:$B, 1, FALSE), $M5608&lt;&gt;" "), "Ingresada", "Falta Ingresar"), " ")</f>
        <v xml:space="preserve"> </v>
      </c>
      <c r="L5608" s="4" t="str">
        <f>IFERROR(VLOOKUP($C5608,Observaciones!$A:$B,2,FALSE)," ")</f>
        <v>ENVIAR REPORTE A VENDEDOR</v>
      </c>
      <c r="M5608" t="s">
        <v>681</v>
      </c>
      <c r="O5608" s="5">
        <v>434401</v>
      </c>
      <c r="P5608" s="5">
        <v>238212</v>
      </c>
      <c r="Q5608" s="5">
        <v>45260</v>
      </c>
      <c r="R5608" s="5">
        <v>283472</v>
      </c>
    </row>
    <row r="5609" spans="1:18" x14ac:dyDescent="0.25">
      <c r="A5609" t="s">
        <v>512</v>
      </c>
      <c r="B5609" t="s">
        <v>494</v>
      </c>
      <c r="C5609">
        <v>97004000</v>
      </c>
      <c r="D5609">
        <v>1665</v>
      </c>
      <c r="E5609" t="s">
        <v>1942</v>
      </c>
      <c r="F5609" t="s">
        <v>1879</v>
      </c>
      <c r="G5609" s="1">
        <v>45238</v>
      </c>
      <c r="H5609">
        <v>5415189</v>
      </c>
      <c r="I5609">
        <v>203</v>
      </c>
      <c r="K5609" t="str">
        <f>IFERROR(IF(AND(VLOOKUP($C5609,Hes!$A:$B, 1, FALSE), $M5609&lt;&gt;" "), "Ingresada", "Falta Ingresar"), " ")</f>
        <v xml:space="preserve"> </v>
      </c>
      <c r="L5609" s="4" t="str">
        <f>IFERROR(VLOOKUP($C5609,Observaciones!$A:$B,2,FALSE)," ")</f>
        <v>ENVIAR REPORTE A VENDEDOR</v>
      </c>
      <c r="M5609" t="s">
        <v>681</v>
      </c>
      <c r="O5609" s="5">
        <v>434454</v>
      </c>
      <c r="P5609" s="5">
        <v>218263</v>
      </c>
      <c r="Q5609" s="5">
        <v>41470</v>
      </c>
      <c r="R5609" s="5">
        <v>259733</v>
      </c>
    </row>
    <row r="5610" spans="1:18" x14ac:dyDescent="0.25">
      <c r="A5610" t="s">
        <v>512</v>
      </c>
      <c r="B5610" t="s">
        <v>494</v>
      </c>
      <c r="C5610">
        <v>97004000</v>
      </c>
      <c r="D5610">
        <v>1673</v>
      </c>
      <c r="E5610" t="s">
        <v>1943</v>
      </c>
      <c r="F5610" t="s">
        <v>1879</v>
      </c>
      <c r="G5610" s="1">
        <v>45238</v>
      </c>
      <c r="H5610">
        <v>5415190</v>
      </c>
      <c r="I5610">
        <v>203</v>
      </c>
      <c r="K5610" t="str">
        <f>IFERROR(IF(AND(VLOOKUP($C5610,Hes!$A:$B, 1, FALSE), $M5610&lt;&gt;" "), "Ingresada", "Falta Ingresar"), " ")</f>
        <v xml:space="preserve"> </v>
      </c>
      <c r="L5610" s="4" t="str">
        <f>IFERROR(VLOOKUP($C5610,Observaciones!$A:$B,2,FALSE)," ")</f>
        <v>ENVIAR REPORTE A VENDEDOR</v>
      </c>
      <c r="M5610" t="s">
        <v>681</v>
      </c>
      <c r="O5610" s="5">
        <v>434464</v>
      </c>
      <c r="P5610" s="5">
        <v>267611</v>
      </c>
      <c r="Q5610" s="5">
        <v>50846</v>
      </c>
      <c r="R5610" s="5">
        <v>318457</v>
      </c>
    </row>
    <row r="5611" spans="1:18" x14ac:dyDescent="0.25">
      <c r="A5611" t="s">
        <v>512</v>
      </c>
      <c r="B5611" t="s">
        <v>494</v>
      </c>
      <c r="C5611">
        <v>97004000</v>
      </c>
      <c r="D5611">
        <v>1674</v>
      </c>
      <c r="E5611" t="s">
        <v>1944</v>
      </c>
      <c r="F5611" t="s">
        <v>1879</v>
      </c>
      <c r="G5611" s="1">
        <v>45238</v>
      </c>
      <c r="H5611">
        <v>5415191</v>
      </c>
      <c r="I5611">
        <v>203</v>
      </c>
      <c r="K5611" t="str">
        <f>IFERROR(IF(AND(VLOOKUP($C5611,Hes!$A:$B, 1, FALSE), $M5611&lt;&gt;" "), "Ingresada", "Falta Ingresar"), " ")</f>
        <v xml:space="preserve"> </v>
      </c>
      <c r="L5611" s="4" t="str">
        <f>IFERROR(VLOOKUP($C5611,Observaciones!$A:$B,2,FALSE)," ")</f>
        <v>ENVIAR REPORTE A VENDEDOR</v>
      </c>
      <c r="M5611" t="s">
        <v>681</v>
      </c>
      <c r="O5611" s="5">
        <v>434459</v>
      </c>
      <c r="P5611" s="5">
        <v>209720</v>
      </c>
      <c r="Q5611" s="5">
        <v>39847</v>
      </c>
      <c r="R5611" s="5">
        <v>249567</v>
      </c>
    </row>
    <row r="5612" spans="1:18" x14ac:dyDescent="0.25">
      <c r="A5612" t="s">
        <v>512</v>
      </c>
      <c r="B5612" t="s">
        <v>494</v>
      </c>
      <c r="C5612">
        <v>97004000</v>
      </c>
      <c r="D5612">
        <v>1127</v>
      </c>
      <c r="E5612" t="s">
        <v>1945</v>
      </c>
      <c r="F5612" t="s">
        <v>1879</v>
      </c>
      <c r="G5612" s="1">
        <v>45238</v>
      </c>
      <c r="H5612">
        <v>5415429</v>
      </c>
      <c r="I5612">
        <v>203</v>
      </c>
      <c r="K5612" t="str">
        <f>IFERROR(IF(AND(VLOOKUP($C5612,Hes!$A:$B, 1, FALSE), $M5612&lt;&gt;" "), "Ingresada", "Falta Ingresar"), " ")</f>
        <v xml:space="preserve"> </v>
      </c>
      <c r="L5612" s="4" t="str">
        <f>IFERROR(VLOOKUP($C5612,Observaciones!$A:$B,2,FALSE)," ")</f>
        <v>ENVIAR REPORTE A VENDEDOR</v>
      </c>
      <c r="M5612" t="s">
        <v>681</v>
      </c>
      <c r="O5612" s="5">
        <v>434457</v>
      </c>
      <c r="P5612" s="5">
        <v>193630</v>
      </c>
      <c r="Q5612" s="5">
        <v>36790</v>
      </c>
      <c r="R5612" s="5">
        <v>230420</v>
      </c>
    </row>
    <row r="5613" spans="1:18" x14ac:dyDescent="0.25">
      <c r="A5613" t="s">
        <v>512</v>
      </c>
      <c r="B5613" t="s">
        <v>494</v>
      </c>
      <c r="C5613">
        <v>97004000</v>
      </c>
      <c r="D5613">
        <v>9191</v>
      </c>
      <c r="E5613" t="s">
        <v>1946</v>
      </c>
      <c r="F5613" t="s">
        <v>1879</v>
      </c>
      <c r="G5613" s="1">
        <v>45238</v>
      </c>
      <c r="H5613">
        <v>5415535</v>
      </c>
      <c r="I5613">
        <v>203</v>
      </c>
      <c r="K5613" t="str">
        <f>IFERROR(IF(AND(VLOOKUP($C5613,Hes!$A:$B, 1, FALSE), $M5613&lt;&gt;" "), "Ingresada", "Falta Ingresar"), " ")</f>
        <v xml:space="preserve"> </v>
      </c>
      <c r="L5613" s="4" t="str">
        <f>IFERROR(VLOOKUP($C5613,Observaciones!$A:$B,2,FALSE)," ")</f>
        <v>ENVIAR REPORTE A VENDEDOR</v>
      </c>
      <c r="M5613" t="s">
        <v>681</v>
      </c>
      <c r="O5613" s="5">
        <v>434428</v>
      </c>
      <c r="P5613" s="5">
        <v>86660</v>
      </c>
      <c r="Q5613" s="5">
        <v>16465</v>
      </c>
      <c r="R5613" s="5">
        <v>103125</v>
      </c>
    </row>
    <row r="5614" spans="1:18" x14ac:dyDescent="0.25">
      <c r="A5614" t="s">
        <v>512</v>
      </c>
      <c r="B5614" t="s">
        <v>494</v>
      </c>
      <c r="C5614">
        <v>97004000</v>
      </c>
      <c r="D5614">
        <v>6934</v>
      </c>
      <c r="E5614" t="s">
        <v>1947</v>
      </c>
      <c r="F5614" t="s">
        <v>1879</v>
      </c>
      <c r="G5614" s="1">
        <v>45238</v>
      </c>
      <c r="H5614">
        <v>5415541</v>
      </c>
      <c r="I5614">
        <v>203</v>
      </c>
      <c r="K5614" t="str">
        <f>IFERROR(IF(AND(VLOOKUP($C5614,Hes!$A:$B, 1, FALSE), $M5614&lt;&gt;" "), "Ingresada", "Falta Ingresar"), " ")</f>
        <v xml:space="preserve"> </v>
      </c>
      <c r="L5614" s="4" t="str">
        <f>IFERROR(VLOOKUP($C5614,Observaciones!$A:$B,2,FALSE)," ")</f>
        <v>ENVIAR REPORTE A VENDEDOR</v>
      </c>
      <c r="M5614" t="s">
        <v>681</v>
      </c>
      <c r="O5614" s="5">
        <v>434485</v>
      </c>
      <c r="P5614" s="5">
        <v>44820</v>
      </c>
      <c r="Q5614" s="5">
        <v>8516</v>
      </c>
      <c r="R5614" s="5">
        <v>53336</v>
      </c>
    </row>
    <row r="5615" spans="1:18" x14ac:dyDescent="0.25">
      <c r="A5615" t="s">
        <v>512</v>
      </c>
      <c r="B5615" t="s">
        <v>494</v>
      </c>
      <c r="C5615">
        <v>97004000</v>
      </c>
      <c r="D5615">
        <v>1951</v>
      </c>
      <c r="E5615" t="s">
        <v>1948</v>
      </c>
      <c r="F5615" t="s">
        <v>1879</v>
      </c>
      <c r="G5615" s="1">
        <v>45238</v>
      </c>
      <c r="H5615">
        <v>5415609</v>
      </c>
      <c r="I5615">
        <v>203</v>
      </c>
      <c r="K5615" t="str">
        <f>IFERROR(IF(AND(VLOOKUP($C5615,Hes!$A:$B, 1, FALSE), $M5615&lt;&gt;" "), "Ingresada", "Falta Ingresar"), " ")</f>
        <v xml:space="preserve"> </v>
      </c>
      <c r="L5615" s="4" t="str">
        <f>IFERROR(VLOOKUP($C5615,Observaciones!$A:$B,2,FALSE)," ")</f>
        <v>ENVIAR REPORTE A VENDEDOR</v>
      </c>
      <c r="M5615" t="s">
        <v>681</v>
      </c>
      <c r="O5615" s="5">
        <v>30862399</v>
      </c>
      <c r="P5615" s="5">
        <v>4132276</v>
      </c>
      <c r="Q5615" s="5">
        <v>785132</v>
      </c>
      <c r="R5615" s="5">
        <v>4917408</v>
      </c>
    </row>
    <row r="5616" spans="1:18" x14ac:dyDescent="0.25">
      <c r="A5616" t="s">
        <v>512</v>
      </c>
      <c r="B5616" t="s">
        <v>494</v>
      </c>
      <c r="C5616">
        <v>97004000</v>
      </c>
      <c r="D5616">
        <v>9196</v>
      </c>
      <c r="E5616" t="s">
        <v>1949</v>
      </c>
      <c r="F5616" t="s">
        <v>1879</v>
      </c>
      <c r="G5616" s="1">
        <v>45238</v>
      </c>
      <c r="H5616">
        <v>5415634</v>
      </c>
      <c r="I5616">
        <v>203</v>
      </c>
      <c r="K5616" t="str">
        <f>IFERROR(IF(AND(VLOOKUP($C5616,Hes!$A:$B, 1, FALSE), $M5616&lt;&gt;" "), "Ingresada", "Falta Ingresar"), " ")</f>
        <v xml:space="preserve"> </v>
      </c>
      <c r="L5616" s="4" t="str">
        <f>IFERROR(VLOOKUP($C5616,Observaciones!$A:$B,2,FALSE)," ")</f>
        <v>ENVIAR REPORTE A VENDEDOR</v>
      </c>
      <c r="M5616" t="s">
        <v>681</v>
      </c>
      <c r="O5616" s="5">
        <v>434403</v>
      </c>
      <c r="P5616" s="5">
        <v>257521</v>
      </c>
      <c r="Q5616" s="5">
        <v>48929</v>
      </c>
      <c r="R5616" s="5">
        <v>306450</v>
      </c>
    </row>
    <row r="5617" spans="1:18" x14ac:dyDescent="0.25">
      <c r="A5617" t="s">
        <v>512</v>
      </c>
      <c r="B5617" t="s">
        <v>494</v>
      </c>
      <c r="C5617">
        <v>97004000</v>
      </c>
      <c r="D5617">
        <v>1421</v>
      </c>
      <c r="E5617" t="s">
        <v>1950</v>
      </c>
      <c r="F5617" t="s">
        <v>1879</v>
      </c>
      <c r="G5617" s="1">
        <v>45238</v>
      </c>
      <c r="H5617">
        <v>5415755</v>
      </c>
      <c r="I5617">
        <v>203</v>
      </c>
      <c r="K5617" t="str">
        <f>IFERROR(IF(AND(VLOOKUP($C5617,Hes!$A:$B, 1, FALSE), $M5617&lt;&gt;" "), "Ingresada", "Falta Ingresar"), " ")</f>
        <v xml:space="preserve"> </v>
      </c>
      <c r="L5617" s="4" t="str">
        <f>IFERROR(VLOOKUP($C5617,Observaciones!$A:$B,2,FALSE)," ")</f>
        <v>ENVIAR REPORTE A VENDEDOR</v>
      </c>
      <c r="M5617" t="s">
        <v>681</v>
      </c>
      <c r="O5617" s="5">
        <v>434484</v>
      </c>
      <c r="P5617" s="5">
        <v>281100</v>
      </c>
      <c r="Q5617" s="5">
        <v>53409</v>
      </c>
      <c r="R5617" s="5">
        <v>334509</v>
      </c>
    </row>
    <row r="5618" spans="1:18" x14ac:dyDescent="0.25">
      <c r="A5618" t="s">
        <v>512</v>
      </c>
      <c r="B5618" t="s">
        <v>494</v>
      </c>
      <c r="C5618">
        <v>97004000</v>
      </c>
      <c r="D5618">
        <v>1846</v>
      </c>
      <c r="E5618" t="s">
        <v>1951</v>
      </c>
      <c r="F5618" t="s">
        <v>1879</v>
      </c>
      <c r="G5618" s="1">
        <v>45238</v>
      </c>
      <c r="H5618">
        <v>5415775</v>
      </c>
      <c r="I5618">
        <v>203</v>
      </c>
      <c r="K5618" t="str">
        <f>IFERROR(IF(AND(VLOOKUP($C5618,Hes!$A:$B, 1, FALSE), $M5618&lt;&gt;" "), "Ingresada", "Falta Ingresar"), " ")</f>
        <v xml:space="preserve"> </v>
      </c>
      <c r="L5618" s="4" t="str">
        <f>IFERROR(VLOOKUP($C5618,Observaciones!$A:$B,2,FALSE)," ")</f>
        <v>ENVIAR REPORTE A VENDEDOR</v>
      </c>
      <c r="M5618" t="s">
        <v>681</v>
      </c>
      <c r="O5618" s="5">
        <v>434490</v>
      </c>
      <c r="P5618" s="5">
        <v>180604</v>
      </c>
      <c r="Q5618" s="5">
        <v>34315</v>
      </c>
      <c r="R5618" s="5">
        <v>214919</v>
      </c>
    </row>
    <row r="5619" spans="1:18" x14ac:dyDescent="0.25">
      <c r="A5619" t="s">
        <v>512</v>
      </c>
      <c r="B5619" t="s">
        <v>494</v>
      </c>
      <c r="C5619">
        <v>97004000</v>
      </c>
      <c r="D5619">
        <v>277</v>
      </c>
      <c r="E5619" t="s">
        <v>1952</v>
      </c>
      <c r="F5619" t="s">
        <v>1879</v>
      </c>
      <c r="G5619" s="1">
        <v>45238</v>
      </c>
      <c r="H5619">
        <v>5415802</v>
      </c>
      <c r="I5619">
        <v>203</v>
      </c>
      <c r="K5619" t="str">
        <f>IFERROR(IF(AND(VLOOKUP($C5619,Hes!$A:$B, 1, FALSE), $M5619&lt;&gt;" "), "Ingresada", "Falta Ingresar"), " ")</f>
        <v xml:space="preserve"> </v>
      </c>
      <c r="L5619" s="4" t="str">
        <f>IFERROR(VLOOKUP($C5619,Observaciones!$A:$B,2,FALSE)," ")</f>
        <v>ENVIAR REPORTE A VENDEDOR</v>
      </c>
      <c r="M5619" t="s">
        <v>681</v>
      </c>
      <c r="O5619" s="5">
        <v>434449</v>
      </c>
      <c r="P5619" s="5">
        <v>176874</v>
      </c>
      <c r="Q5619" s="5">
        <v>33606</v>
      </c>
      <c r="R5619" s="5">
        <v>210480</v>
      </c>
    </row>
    <row r="5620" spans="1:18" x14ac:dyDescent="0.25">
      <c r="A5620" t="s">
        <v>512</v>
      </c>
      <c r="B5620" t="s">
        <v>494</v>
      </c>
      <c r="C5620">
        <v>97004000</v>
      </c>
      <c r="D5620">
        <v>2279</v>
      </c>
      <c r="E5620" t="s">
        <v>1953</v>
      </c>
      <c r="F5620" t="s">
        <v>1879</v>
      </c>
      <c r="G5620" s="1">
        <v>45238</v>
      </c>
      <c r="H5620">
        <v>5415806</v>
      </c>
      <c r="I5620">
        <v>203</v>
      </c>
      <c r="K5620" t="str">
        <f>IFERROR(IF(AND(VLOOKUP($C5620,Hes!$A:$B, 1, FALSE), $M5620&lt;&gt;" "), "Ingresada", "Falta Ingresar"), " ")</f>
        <v xml:space="preserve"> </v>
      </c>
      <c r="L5620" s="4" t="str">
        <f>IFERROR(VLOOKUP($C5620,Observaciones!$A:$B,2,FALSE)," ")</f>
        <v>ENVIAR REPORTE A VENDEDOR</v>
      </c>
      <c r="M5620" t="s">
        <v>681</v>
      </c>
      <c r="O5620" s="5">
        <v>434496</v>
      </c>
      <c r="P5620" s="5">
        <v>337610</v>
      </c>
      <c r="Q5620" s="5">
        <v>64146</v>
      </c>
      <c r="R5620" s="5">
        <v>401756</v>
      </c>
    </row>
    <row r="5621" spans="1:18" x14ac:dyDescent="0.25">
      <c r="A5621" t="s">
        <v>512</v>
      </c>
      <c r="B5621" t="s">
        <v>494</v>
      </c>
      <c r="C5621">
        <v>97004000</v>
      </c>
      <c r="D5621">
        <v>35</v>
      </c>
      <c r="E5621" t="s">
        <v>1954</v>
      </c>
      <c r="F5621" t="s">
        <v>1879</v>
      </c>
      <c r="G5621" s="1">
        <v>45238</v>
      </c>
      <c r="H5621">
        <v>5415810</v>
      </c>
      <c r="I5621">
        <v>203</v>
      </c>
      <c r="K5621" t="str">
        <f>IFERROR(IF(AND(VLOOKUP($C5621,Hes!$A:$B, 1, FALSE), $M5621&lt;&gt;" "), "Ingresada", "Falta Ingresar"), " ")</f>
        <v xml:space="preserve"> </v>
      </c>
      <c r="L5621" s="4" t="str">
        <f>IFERROR(VLOOKUP($C5621,Observaciones!$A:$B,2,FALSE)," ")</f>
        <v>ENVIAR REPORTE A VENDEDOR</v>
      </c>
      <c r="M5621" t="s">
        <v>681</v>
      </c>
      <c r="O5621" s="5">
        <v>434337</v>
      </c>
      <c r="P5621" s="5">
        <v>108313</v>
      </c>
      <c r="Q5621" s="5">
        <v>20579</v>
      </c>
      <c r="R5621" s="5">
        <v>128892</v>
      </c>
    </row>
    <row r="5622" spans="1:18" x14ac:dyDescent="0.25">
      <c r="A5622" t="s">
        <v>512</v>
      </c>
      <c r="B5622" t="s">
        <v>494</v>
      </c>
      <c r="C5622">
        <v>97004000</v>
      </c>
      <c r="D5622">
        <v>389</v>
      </c>
      <c r="E5622" t="s">
        <v>1955</v>
      </c>
      <c r="F5622" t="s">
        <v>1879</v>
      </c>
      <c r="G5622" s="1">
        <v>45238</v>
      </c>
      <c r="H5622">
        <v>5415811</v>
      </c>
      <c r="I5622">
        <v>203</v>
      </c>
      <c r="K5622" t="str">
        <f>IFERROR(IF(AND(VLOOKUP($C5622,Hes!$A:$B, 1, FALSE), $M5622&lt;&gt;" "), "Ingresada", "Falta Ingresar"), " ")</f>
        <v xml:space="preserve"> </v>
      </c>
      <c r="L5622" s="4" t="str">
        <f>IFERROR(VLOOKUP($C5622,Observaciones!$A:$B,2,FALSE)," ")</f>
        <v>ENVIAR REPORTE A VENDEDOR</v>
      </c>
      <c r="M5622" t="s">
        <v>681</v>
      </c>
      <c r="O5622" s="5">
        <v>434475</v>
      </c>
      <c r="P5622" s="5">
        <v>247865</v>
      </c>
      <c r="Q5622" s="5">
        <v>47094</v>
      </c>
      <c r="R5622" s="5">
        <v>294959</v>
      </c>
    </row>
    <row r="5623" spans="1:18" x14ac:dyDescent="0.25">
      <c r="F5623" t="s">
        <v>1956</v>
      </c>
      <c r="K5623" t="str">
        <f>IFERROR(IF(AND(VLOOKUP($C5623,Hes!$A:$B, 1, FALSE), $M5623&lt;&gt;" "), "Ingresada", "Falta Ingresar"), " ")</f>
        <v xml:space="preserve"> </v>
      </c>
      <c r="L5623" s="4" t="str">
        <f>IFERROR(VLOOKUP($C5623,Observaciones!$A:$B,2,FALSE)," ")</f>
        <v xml:space="preserve"> </v>
      </c>
      <c r="M5623" t="s">
        <v>681</v>
      </c>
      <c r="P5623" s="5">
        <v>19537283</v>
      </c>
      <c r="Q5623" s="5">
        <v>3712084</v>
      </c>
      <c r="R5623" s="5">
        <v>23249367</v>
      </c>
    </row>
    <row r="5624" spans="1:18" x14ac:dyDescent="0.25">
      <c r="A5624" t="s">
        <v>501</v>
      </c>
      <c r="B5624" t="s">
        <v>494</v>
      </c>
      <c r="C5624">
        <v>97029000</v>
      </c>
      <c r="D5624">
        <v>49</v>
      </c>
      <c r="E5624">
        <v>30853413</v>
      </c>
      <c r="F5624" t="s">
        <v>1957</v>
      </c>
      <c r="G5624" s="1">
        <v>45236</v>
      </c>
      <c r="H5624">
        <v>5412331</v>
      </c>
      <c r="I5624">
        <v>96</v>
      </c>
      <c r="J5624" t="s">
        <v>140</v>
      </c>
      <c r="K5624" t="str">
        <f>IFERROR(IF(AND(VLOOKUP($C5624,Hes!$A:$B, 1, FALSE), $M5624&lt;&gt;" "), "Ingresada", "Falta Ingresar"), " ")</f>
        <v xml:space="preserve"> </v>
      </c>
      <c r="L5624" s="4" t="str">
        <f>IFERROR(VLOOKUP($C5624,Observaciones!$A:$B,2,FALSE)," ")</f>
        <v xml:space="preserve"> </v>
      </c>
      <c r="M5624" t="s">
        <v>681</v>
      </c>
      <c r="O5624" s="5">
        <v>30853413</v>
      </c>
      <c r="P5624" s="5">
        <v>124315</v>
      </c>
      <c r="Q5624" s="5">
        <v>23620</v>
      </c>
      <c r="R5624" s="5">
        <v>147935</v>
      </c>
    </row>
    <row r="5625" spans="1:18" x14ac:dyDescent="0.25">
      <c r="A5625" t="s">
        <v>501</v>
      </c>
      <c r="B5625" t="s">
        <v>494</v>
      </c>
      <c r="C5625">
        <v>97029000</v>
      </c>
      <c r="D5625">
        <v>1</v>
      </c>
      <c r="E5625">
        <v>30853415</v>
      </c>
      <c r="F5625" t="s">
        <v>1957</v>
      </c>
      <c r="G5625" s="1">
        <v>45236</v>
      </c>
      <c r="H5625">
        <v>5412356</v>
      </c>
      <c r="I5625">
        <v>96</v>
      </c>
      <c r="J5625" t="s">
        <v>140</v>
      </c>
      <c r="K5625" t="str">
        <f>IFERROR(IF(AND(VLOOKUP($C5625,Hes!$A:$B, 1, FALSE), $M5625&lt;&gt;" "), "Ingresada", "Falta Ingresar"), " ")</f>
        <v xml:space="preserve"> </v>
      </c>
      <c r="L5625" s="4" t="str">
        <f>IFERROR(VLOOKUP($C5625,Observaciones!$A:$B,2,FALSE)," ")</f>
        <v xml:space="preserve"> </v>
      </c>
      <c r="M5625" t="s">
        <v>681</v>
      </c>
      <c r="O5625" s="5">
        <v>30853415</v>
      </c>
      <c r="P5625" s="5">
        <v>16560</v>
      </c>
      <c r="Q5625" s="5">
        <v>3146</v>
      </c>
      <c r="R5625" s="5">
        <v>19706</v>
      </c>
    </row>
    <row r="5626" spans="1:18" x14ac:dyDescent="0.25">
      <c r="A5626" t="s">
        <v>501</v>
      </c>
      <c r="B5626" t="s">
        <v>494</v>
      </c>
      <c r="C5626">
        <v>97029000</v>
      </c>
      <c r="D5626">
        <v>48</v>
      </c>
      <c r="E5626">
        <v>1</v>
      </c>
      <c r="F5626" t="s">
        <v>1957</v>
      </c>
      <c r="G5626" s="1">
        <v>45236</v>
      </c>
      <c r="H5626">
        <v>5412381</v>
      </c>
      <c r="I5626">
        <v>96</v>
      </c>
      <c r="J5626" t="s">
        <v>140</v>
      </c>
      <c r="K5626" t="str">
        <f>IFERROR(IF(AND(VLOOKUP($C5626,Hes!$A:$B, 1, FALSE), $M5626&lt;&gt;" "), "Ingresada", "Falta Ingresar"), " ")</f>
        <v xml:space="preserve"> </v>
      </c>
      <c r="L5626" s="4" t="str">
        <f>IFERROR(VLOOKUP($C5626,Observaciones!$A:$B,2,FALSE)," ")</f>
        <v xml:space="preserve"> </v>
      </c>
      <c r="M5626" t="s">
        <v>681</v>
      </c>
      <c r="O5626" s="5">
        <v>30853414</v>
      </c>
      <c r="P5626" s="5">
        <v>280496</v>
      </c>
      <c r="Q5626" s="5">
        <v>53294</v>
      </c>
      <c r="R5626" s="5">
        <v>333790</v>
      </c>
    </row>
    <row r="5627" spans="1:18" x14ac:dyDescent="0.25">
      <c r="F5627" t="s">
        <v>500</v>
      </c>
      <c r="K5627" t="str">
        <f>IFERROR(IF(AND(VLOOKUP($C5627,Hes!$A:$B, 1, FALSE), $M5627&lt;&gt;" "), "Ingresada", "Falta Ingresar"), " ")</f>
        <v xml:space="preserve"> </v>
      </c>
      <c r="L5627" s="4" t="str">
        <f>IFERROR(VLOOKUP($C5627,Observaciones!$A:$B,2,FALSE)," ")</f>
        <v xml:space="preserve"> </v>
      </c>
      <c r="M5627" t="s">
        <v>681</v>
      </c>
      <c r="P5627" s="5">
        <v>421371</v>
      </c>
      <c r="Q5627" s="5">
        <v>80060</v>
      </c>
      <c r="R5627" s="5">
        <v>501431</v>
      </c>
    </row>
    <row r="5628" spans="1:18" x14ac:dyDescent="0.25">
      <c r="A5628" t="s">
        <v>512</v>
      </c>
      <c r="B5628" t="s">
        <v>494</v>
      </c>
      <c r="C5628">
        <v>97947000</v>
      </c>
      <c r="D5628">
        <v>40</v>
      </c>
      <c r="E5628" t="s">
        <v>1474</v>
      </c>
      <c r="F5628" t="s">
        <v>1958</v>
      </c>
      <c r="G5628" s="1">
        <v>45232</v>
      </c>
      <c r="H5628">
        <v>5410770</v>
      </c>
      <c r="I5628">
        <v>272</v>
      </c>
      <c r="J5628" t="s">
        <v>398</v>
      </c>
      <c r="K5628" s="8" t="str">
        <f>IFERROR(IF(AND(VLOOKUP($C5628,Hes!$A:$B, 1, FALSE), $M5628&lt;&gt;" "), "Ingresada", "Falta Ingresar"), " ")</f>
        <v>Falta Ingresar</v>
      </c>
      <c r="L5628" s="4" t="str">
        <f>IFERROR(VLOOKUP($C5628,Observaciones!$A:$B,2,FALSE)," ")</f>
        <v xml:space="preserve"> </v>
      </c>
      <c r="M5628" t="s">
        <v>681</v>
      </c>
      <c r="O5628" s="5">
        <v>30846046</v>
      </c>
      <c r="P5628" s="5">
        <v>108635</v>
      </c>
      <c r="Q5628" s="5">
        <v>20641</v>
      </c>
      <c r="R5628" s="5">
        <v>129276</v>
      </c>
    </row>
    <row r="5629" spans="1:18" x14ac:dyDescent="0.25">
      <c r="A5629" t="s">
        <v>512</v>
      </c>
      <c r="B5629" t="s">
        <v>494</v>
      </c>
      <c r="C5629">
        <v>97947000</v>
      </c>
      <c r="D5629">
        <v>52</v>
      </c>
      <c r="E5629">
        <v>30845786</v>
      </c>
      <c r="F5629" t="s">
        <v>1958</v>
      </c>
      <c r="G5629" s="1">
        <v>45232</v>
      </c>
      <c r="H5629">
        <v>5410976</v>
      </c>
      <c r="I5629">
        <v>272</v>
      </c>
      <c r="J5629" t="s">
        <v>398</v>
      </c>
      <c r="K5629" s="8" t="str">
        <f>IFERROR(IF(AND(VLOOKUP($C5629,Hes!$A:$B, 1, FALSE), $M5629&lt;&gt;" "), "Ingresada", "Falta Ingresar"), " ")</f>
        <v>Falta Ingresar</v>
      </c>
      <c r="L5629" s="4" t="str">
        <f>IFERROR(VLOOKUP($C5629,Observaciones!$A:$B,2,FALSE)," ")</f>
        <v xml:space="preserve"> </v>
      </c>
      <c r="M5629" t="s">
        <v>681</v>
      </c>
      <c r="O5629" s="5">
        <v>30845786</v>
      </c>
      <c r="P5629" s="5">
        <v>496958</v>
      </c>
      <c r="Q5629" s="5">
        <v>94422</v>
      </c>
      <c r="R5629" s="5">
        <v>591380</v>
      </c>
    </row>
    <row r="5630" spans="1:18" x14ac:dyDescent="0.25">
      <c r="A5630" t="s">
        <v>512</v>
      </c>
      <c r="B5630" t="s">
        <v>494</v>
      </c>
      <c r="C5630">
        <v>97947000</v>
      </c>
      <c r="D5630">
        <v>21</v>
      </c>
      <c r="E5630">
        <v>30849353</v>
      </c>
      <c r="F5630" t="s">
        <v>1958</v>
      </c>
      <c r="G5630" s="1">
        <v>45236</v>
      </c>
      <c r="H5630">
        <v>5412005</v>
      </c>
      <c r="I5630">
        <v>272</v>
      </c>
      <c r="J5630" t="s">
        <v>398</v>
      </c>
      <c r="K5630" s="8" t="str">
        <f>IFERROR(IF(AND(VLOOKUP($C5630,Hes!$A:$B, 1, FALSE), $M5630&lt;&gt;" "), "Ingresada", "Falta Ingresar"), " ")</f>
        <v>Falta Ingresar</v>
      </c>
      <c r="L5630" s="4" t="str">
        <f>IFERROR(VLOOKUP($C5630,Observaciones!$A:$B,2,FALSE)," ")</f>
        <v xml:space="preserve"> </v>
      </c>
      <c r="M5630" t="s">
        <v>681</v>
      </c>
      <c r="O5630" s="5">
        <v>30849353</v>
      </c>
      <c r="P5630" s="5">
        <v>67405</v>
      </c>
      <c r="Q5630" s="5">
        <v>12807</v>
      </c>
      <c r="R5630" s="5">
        <v>80212</v>
      </c>
    </row>
    <row r="5631" spans="1:18" x14ac:dyDescent="0.25">
      <c r="A5631" t="s">
        <v>512</v>
      </c>
      <c r="B5631" t="s">
        <v>494</v>
      </c>
      <c r="C5631">
        <v>97947000</v>
      </c>
      <c r="D5631">
        <v>39</v>
      </c>
      <c r="E5631">
        <v>30852368</v>
      </c>
      <c r="F5631" t="s">
        <v>1958</v>
      </c>
      <c r="G5631" s="1">
        <v>45236</v>
      </c>
      <c r="H5631">
        <v>5412382</v>
      </c>
      <c r="I5631">
        <v>272</v>
      </c>
      <c r="J5631" t="s">
        <v>398</v>
      </c>
      <c r="K5631" s="8" t="str">
        <f>IFERROR(IF(AND(VLOOKUP($C5631,Hes!$A:$B, 1, FALSE), $M5631&lt;&gt;" "), "Ingresada", "Falta Ingresar"), " ")</f>
        <v>Falta Ingresar</v>
      </c>
      <c r="L5631" s="4" t="str">
        <f>IFERROR(VLOOKUP($C5631,Observaciones!$A:$B,2,FALSE)," ")</f>
        <v xml:space="preserve"> </v>
      </c>
      <c r="M5631" t="s">
        <v>681</v>
      </c>
      <c r="O5631" s="5">
        <v>30852368</v>
      </c>
      <c r="P5631" s="5">
        <v>56920</v>
      </c>
      <c r="Q5631" s="5">
        <v>10815</v>
      </c>
      <c r="R5631" s="5">
        <v>67735</v>
      </c>
    </row>
    <row r="5632" spans="1:18" x14ac:dyDescent="0.25">
      <c r="A5632" t="s">
        <v>512</v>
      </c>
      <c r="B5632" t="s">
        <v>494</v>
      </c>
      <c r="C5632">
        <v>97947000</v>
      </c>
      <c r="D5632">
        <v>20</v>
      </c>
      <c r="E5632">
        <v>30849331</v>
      </c>
      <c r="F5632" t="s">
        <v>1958</v>
      </c>
      <c r="G5632" s="1">
        <v>45236</v>
      </c>
      <c r="H5632">
        <v>5412552</v>
      </c>
      <c r="I5632">
        <v>272</v>
      </c>
      <c r="J5632" t="s">
        <v>398</v>
      </c>
      <c r="K5632" s="8" t="str">
        <f>IFERROR(IF(AND(VLOOKUP($C5632,Hes!$A:$B, 1, FALSE), $M5632&lt;&gt;" "), "Ingresada", "Falta Ingresar"), " ")</f>
        <v>Falta Ingresar</v>
      </c>
      <c r="L5632" s="4" t="str">
        <f>IFERROR(VLOOKUP($C5632,Observaciones!$A:$B,2,FALSE)," ")</f>
        <v xml:space="preserve"> </v>
      </c>
      <c r="M5632" t="s">
        <v>681</v>
      </c>
      <c r="O5632" s="5">
        <v>30849331</v>
      </c>
      <c r="P5632" s="5">
        <v>59607</v>
      </c>
      <c r="Q5632" s="5">
        <v>11325</v>
      </c>
      <c r="R5632" s="5">
        <v>70932</v>
      </c>
    </row>
    <row r="5633" spans="1:18" x14ac:dyDescent="0.25">
      <c r="A5633" t="s">
        <v>512</v>
      </c>
      <c r="B5633" t="s">
        <v>494</v>
      </c>
      <c r="C5633">
        <v>97947000</v>
      </c>
      <c r="D5633">
        <v>98</v>
      </c>
      <c r="E5633">
        <v>30852449</v>
      </c>
      <c r="F5633" t="s">
        <v>1958</v>
      </c>
      <c r="G5633" s="1">
        <v>45236</v>
      </c>
      <c r="H5633">
        <v>5413117</v>
      </c>
      <c r="I5633">
        <v>272</v>
      </c>
      <c r="J5633" t="s">
        <v>398</v>
      </c>
      <c r="K5633" s="8" t="str">
        <f>IFERROR(IF(AND(VLOOKUP($C5633,Hes!$A:$B, 1, FALSE), $M5633&lt;&gt;" "), "Ingresada", "Falta Ingresar"), " ")</f>
        <v>Falta Ingresar</v>
      </c>
      <c r="L5633" s="4" t="str">
        <f>IFERROR(VLOOKUP($C5633,Observaciones!$A:$B,2,FALSE)," ")</f>
        <v xml:space="preserve"> </v>
      </c>
      <c r="M5633" t="s">
        <v>681</v>
      </c>
      <c r="O5633" s="5">
        <v>30852449</v>
      </c>
      <c r="P5633" s="5">
        <v>149976</v>
      </c>
      <c r="Q5633" s="5">
        <v>28495</v>
      </c>
      <c r="R5633" s="5">
        <v>178471</v>
      </c>
    </row>
    <row r="5634" spans="1:18" x14ac:dyDescent="0.25">
      <c r="A5634" t="s">
        <v>512</v>
      </c>
      <c r="B5634" t="s">
        <v>494</v>
      </c>
      <c r="C5634">
        <v>97947000</v>
      </c>
      <c r="D5634">
        <v>67</v>
      </c>
      <c r="E5634">
        <v>30859217</v>
      </c>
      <c r="F5634" t="s">
        <v>1958</v>
      </c>
      <c r="G5634" s="1">
        <v>45237</v>
      </c>
      <c r="H5634">
        <v>5414239</v>
      </c>
      <c r="I5634">
        <v>272</v>
      </c>
      <c r="J5634" t="s">
        <v>398</v>
      </c>
      <c r="K5634" s="8" t="str">
        <f>IFERROR(IF(AND(VLOOKUP($C5634,Hes!$A:$B, 1, FALSE), $M5634&lt;&gt;" "), "Ingresada", "Falta Ingresar"), " ")</f>
        <v>Falta Ingresar</v>
      </c>
      <c r="L5634" s="4" t="str">
        <f>IFERROR(VLOOKUP($C5634,Observaciones!$A:$B,2,FALSE)," ")</f>
        <v xml:space="preserve"> </v>
      </c>
      <c r="M5634" t="s">
        <v>681</v>
      </c>
      <c r="O5634" s="5">
        <v>30859217</v>
      </c>
      <c r="P5634" s="5">
        <v>27412</v>
      </c>
      <c r="Q5634" s="5">
        <v>5208</v>
      </c>
      <c r="R5634" s="5">
        <v>32620</v>
      </c>
    </row>
    <row r="5635" spans="1:18" x14ac:dyDescent="0.25">
      <c r="A5635" t="s">
        <v>512</v>
      </c>
      <c r="B5635" t="s">
        <v>494</v>
      </c>
      <c r="C5635">
        <v>97947000</v>
      </c>
      <c r="D5635">
        <v>9</v>
      </c>
      <c r="E5635">
        <v>30859251</v>
      </c>
      <c r="F5635" t="s">
        <v>1958</v>
      </c>
      <c r="G5635" s="1">
        <v>45237</v>
      </c>
      <c r="H5635">
        <v>5414409</v>
      </c>
      <c r="I5635">
        <v>272</v>
      </c>
      <c r="J5635" t="s">
        <v>398</v>
      </c>
      <c r="K5635" s="8" t="str">
        <f>IFERROR(IF(AND(VLOOKUP($C5635,Hes!$A:$B, 1, FALSE), $M5635&lt;&gt;" "), "Ingresada", "Falta Ingresar"), " ")</f>
        <v>Falta Ingresar</v>
      </c>
      <c r="L5635" s="4" t="str">
        <f>IFERROR(VLOOKUP($C5635,Observaciones!$A:$B,2,FALSE)," ")</f>
        <v xml:space="preserve"> </v>
      </c>
      <c r="M5635" t="s">
        <v>681</v>
      </c>
      <c r="O5635" s="5">
        <v>30859251</v>
      </c>
      <c r="P5635" s="5">
        <v>59372</v>
      </c>
      <c r="Q5635" s="5">
        <v>11281</v>
      </c>
      <c r="R5635" s="5">
        <v>70653</v>
      </c>
    </row>
    <row r="5636" spans="1:18" x14ac:dyDescent="0.25">
      <c r="A5636" t="s">
        <v>512</v>
      </c>
      <c r="B5636" t="s">
        <v>494</v>
      </c>
      <c r="C5636">
        <v>97947000</v>
      </c>
      <c r="D5636">
        <v>1</v>
      </c>
      <c r="E5636">
        <v>30861315</v>
      </c>
      <c r="F5636" t="s">
        <v>1958</v>
      </c>
      <c r="G5636" s="1">
        <v>45237</v>
      </c>
      <c r="H5636">
        <v>5415268</v>
      </c>
      <c r="I5636">
        <v>272</v>
      </c>
      <c r="J5636" t="s">
        <v>398</v>
      </c>
      <c r="K5636" s="8" t="str">
        <f>IFERROR(IF(AND(VLOOKUP($C5636,Hes!$A:$B, 1, FALSE), $M5636&lt;&gt;" "), "Ingresada", "Falta Ingresar"), " ")</f>
        <v>Falta Ingresar</v>
      </c>
      <c r="L5636" s="4" t="str">
        <f>IFERROR(VLOOKUP($C5636,Observaciones!$A:$B,2,FALSE)," ")</f>
        <v xml:space="preserve"> </v>
      </c>
      <c r="M5636" t="s">
        <v>681</v>
      </c>
      <c r="O5636" s="5">
        <v>30861315</v>
      </c>
      <c r="P5636" s="5">
        <v>176612</v>
      </c>
      <c r="Q5636" s="5">
        <v>33556</v>
      </c>
      <c r="R5636" s="5">
        <v>211210</v>
      </c>
    </row>
    <row r="5637" spans="1:18" x14ac:dyDescent="0.25">
      <c r="F5637" t="s">
        <v>514</v>
      </c>
      <c r="K5637" t="str">
        <f>IFERROR(IF(AND(VLOOKUP($C5637,Hes!$A:$B, 1, FALSE), $M5637&lt;&gt;" "), "Ingresada", "Falta Ingresar"), " ")</f>
        <v xml:space="preserve"> </v>
      </c>
      <c r="L5637" s="4" t="str">
        <f>IFERROR(VLOOKUP($C5637,Observaciones!$A:$B,2,FALSE)," ")</f>
        <v xml:space="preserve"> </v>
      </c>
      <c r="M5637" t="s">
        <v>681</v>
      </c>
      <c r="P5637" s="5">
        <v>1202897</v>
      </c>
      <c r="Q5637" s="5">
        <v>228550</v>
      </c>
      <c r="R5637" s="5">
        <v>1432489</v>
      </c>
    </row>
    <row r="5638" spans="1:18" x14ac:dyDescent="0.25">
      <c r="A5638" t="s">
        <v>3</v>
      </c>
      <c r="B5638" t="s">
        <v>494</v>
      </c>
      <c r="C5638">
        <v>98001200</v>
      </c>
      <c r="D5638">
        <v>17</v>
      </c>
      <c r="E5638">
        <v>30849618</v>
      </c>
      <c r="F5638" t="s">
        <v>1959</v>
      </c>
      <c r="G5638" s="1">
        <v>45233</v>
      </c>
      <c r="H5638">
        <v>5411485</v>
      </c>
      <c r="I5638">
        <v>28</v>
      </c>
      <c r="J5638" t="s">
        <v>164</v>
      </c>
      <c r="K5638" s="8" t="str">
        <f>IFERROR(IF(AND(VLOOKUP($C5638,Hes!$A:$B, 1, FALSE), $M5638&lt;&gt;" "), "Ingresada", "Falta Ingresar"), " ")</f>
        <v>Falta Ingresar</v>
      </c>
      <c r="L5638" s="4" t="str">
        <f>IFERROR(VLOOKUP($C5638,Observaciones!$A:$B,2,FALSE)," ")</f>
        <v xml:space="preserve"> </v>
      </c>
      <c r="M5638" t="s">
        <v>681</v>
      </c>
      <c r="N5638" s="5" t="s">
        <v>841</v>
      </c>
      <c r="O5638" s="5">
        <v>30849618</v>
      </c>
      <c r="P5638" s="5">
        <v>229432</v>
      </c>
      <c r="Q5638" s="5">
        <v>43592</v>
      </c>
      <c r="R5638" s="5">
        <v>273024</v>
      </c>
    </row>
    <row r="5639" spans="1:18" x14ac:dyDescent="0.25">
      <c r="A5639" t="s">
        <v>3</v>
      </c>
      <c r="B5639" t="s">
        <v>494</v>
      </c>
      <c r="C5639">
        <v>98001200</v>
      </c>
      <c r="D5639">
        <v>51</v>
      </c>
      <c r="E5639">
        <v>30851040</v>
      </c>
      <c r="F5639" t="s">
        <v>1959</v>
      </c>
      <c r="G5639" s="1">
        <v>45234</v>
      </c>
      <c r="H5639">
        <v>5412171</v>
      </c>
      <c r="I5639">
        <v>28</v>
      </c>
      <c r="J5639" t="s">
        <v>164</v>
      </c>
      <c r="K5639" s="8" t="str">
        <f>IFERROR(IF(AND(VLOOKUP($C5639,Hes!$A:$B, 1, FALSE), $M5639&lt;&gt;" "), "Ingresada", "Falta Ingresar"), " ")</f>
        <v>Falta Ingresar</v>
      </c>
      <c r="L5639" s="4" t="str">
        <f>IFERROR(VLOOKUP($C5639,Observaciones!$A:$B,2,FALSE)," ")</f>
        <v xml:space="preserve"> </v>
      </c>
      <c r="M5639" t="s">
        <v>681</v>
      </c>
      <c r="N5639" s="5" t="s">
        <v>841</v>
      </c>
      <c r="O5639" s="5">
        <v>30851040</v>
      </c>
      <c r="P5639" s="5">
        <v>94998</v>
      </c>
      <c r="Q5639" s="5">
        <v>18050</v>
      </c>
      <c r="R5639" s="5">
        <v>113048</v>
      </c>
    </row>
    <row r="5640" spans="1:18" x14ac:dyDescent="0.25">
      <c r="A5640" t="s">
        <v>3</v>
      </c>
      <c r="B5640" t="s">
        <v>494</v>
      </c>
      <c r="C5640">
        <v>98001200</v>
      </c>
      <c r="D5640">
        <v>54</v>
      </c>
      <c r="E5640">
        <v>30849774</v>
      </c>
      <c r="F5640" t="s">
        <v>1959</v>
      </c>
      <c r="G5640" s="1">
        <v>45234</v>
      </c>
      <c r="H5640">
        <v>5412174</v>
      </c>
      <c r="I5640">
        <v>28</v>
      </c>
      <c r="J5640" t="s">
        <v>164</v>
      </c>
      <c r="K5640" s="8" t="str">
        <f>IFERROR(IF(AND(VLOOKUP($C5640,Hes!$A:$B, 1, FALSE), $M5640&lt;&gt;" "), "Ingresada", "Falta Ingresar"), " ")</f>
        <v>Falta Ingresar</v>
      </c>
      <c r="L5640" s="4" t="str">
        <f>IFERROR(VLOOKUP($C5640,Observaciones!$A:$B,2,FALSE)," ")</f>
        <v xml:space="preserve"> </v>
      </c>
      <c r="M5640" t="s">
        <v>681</v>
      </c>
      <c r="N5640" s="5" t="s">
        <v>841</v>
      </c>
      <c r="O5640" s="5">
        <v>30849774</v>
      </c>
      <c r="P5640" s="5">
        <v>69898</v>
      </c>
      <c r="Q5640" s="5">
        <v>13281</v>
      </c>
      <c r="R5640" s="5">
        <v>83179</v>
      </c>
    </row>
    <row r="5641" spans="1:18" x14ac:dyDescent="0.25">
      <c r="A5641" t="s">
        <v>3</v>
      </c>
      <c r="B5641" t="s">
        <v>494</v>
      </c>
      <c r="C5641">
        <v>98001200</v>
      </c>
      <c r="D5641">
        <v>31</v>
      </c>
      <c r="E5641">
        <v>30849704</v>
      </c>
      <c r="F5641" t="s">
        <v>1959</v>
      </c>
      <c r="G5641" s="1">
        <v>45236</v>
      </c>
      <c r="H5641">
        <v>5412193</v>
      </c>
      <c r="I5641">
        <v>28</v>
      </c>
      <c r="J5641" t="s">
        <v>164</v>
      </c>
      <c r="K5641" s="8" t="str">
        <f>IFERROR(IF(AND(VLOOKUP($C5641,Hes!$A:$B, 1, FALSE), $M5641&lt;&gt;" "), "Ingresada", "Falta Ingresar"), " ")</f>
        <v>Falta Ingresar</v>
      </c>
      <c r="L5641" s="4" t="str">
        <f>IFERROR(VLOOKUP($C5641,Observaciones!$A:$B,2,FALSE)," ")</f>
        <v xml:space="preserve"> </v>
      </c>
      <c r="M5641" t="s">
        <v>681</v>
      </c>
      <c r="N5641" s="5" t="s">
        <v>841</v>
      </c>
      <c r="O5641" s="5">
        <v>30849704</v>
      </c>
      <c r="P5641" s="5">
        <v>94457</v>
      </c>
      <c r="Q5641" s="5">
        <v>17947</v>
      </c>
      <c r="R5641" s="5">
        <v>112404</v>
      </c>
    </row>
    <row r="5642" spans="1:18" x14ac:dyDescent="0.25">
      <c r="A5642" t="s">
        <v>3</v>
      </c>
      <c r="B5642" t="s">
        <v>494</v>
      </c>
      <c r="C5642">
        <v>98001200</v>
      </c>
      <c r="D5642">
        <v>16</v>
      </c>
      <c r="E5642">
        <v>30849096</v>
      </c>
      <c r="F5642" t="s">
        <v>1959</v>
      </c>
      <c r="G5642" s="1">
        <v>45236</v>
      </c>
      <c r="H5642">
        <v>5412276</v>
      </c>
      <c r="I5642">
        <v>28</v>
      </c>
      <c r="J5642" t="s">
        <v>164</v>
      </c>
      <c r="K5642" s="8" t="str">
        <f>IFERROR(IF(AND(VLOOKUP($C5642,Hes!$A:$B, 1, FALSE), $M5642&lt;&gt;" "), "Ingresada", "Falta Ingresar"), " ")</f>
        <v>Falta Ingresar</v>
      </c>
      <c r="L5642" s="4" t="str">
        <f>IFERROR(VLOOKUP($C5642,Observaciones!$A:$B,2,FALSE)," ")</f>
        <v xml:space="preserve"> </v>
      </c>
      <c r="M5642" t="s">
        <v>681</v>
      </c>
      <c r="N5642" s="5" t="s">
        <v>841</v>
      </c>
      <c r="O5642" s="5">
        <v>30849096</v>
      </c>
      <c r="P5642" s="5">
        <v>90237</v>
      </c>
      <c r="Q5642" s="5">
        <v>17145</v>
      </c>
      <c r="R5642" s="5">
        <v>107382</v>
      </c>
    </row>
    <row r="5643" spans="1:18" x14ac:dyDescent="0.25">
      <c r="A5643" t="s">
        <v>3</v>
      </c>
      <c r="B5643" t="s">
        <v>494</v>
      </c>
      <c r="C5643">
        <v>98001200</v>
      </c>
      <c r="D5643">
        <v>35</v>
      </c>
      <c r="E5643">
        <v>30853698</v>
      </c>
      <c r="F5643" t="s">
        <v>1959</v>
      </c>
      <c r="G5643" s="1">
        <v>45234</v>
      </c>
      <c r="H5643">
        <v>5412539</v>
      </c>
      <c r="I5643">
        <v>28</v>
      </c>
      <c r="J5643" t="s">
        <v>164</v>
      </c>
      <c r="K5643" s="8" t="str">
        <f>IFERROR(IF(AND(VLOOKUP($C5643,Hes!$A:$B, 1, FALSE), $M5643&lt;&gt;" "), "Ingresada", "Falta Ingresar"), " ")</f>
        <v>Falta Ingresar</v>
      </c>
      <c r="L5643" s="4" t="str">
        <f>IFERROR(VLOOKUP($C5643,Observaciones!$A:$B,2,FALSE)," ")</f>
        <v xml:space="preserve"> </v>
      </c>
      <c r="M5643" t="s">
        <v>681</v>
      </c>
      <c r="N5643" s="5" t="s">
        <v>841</v>
      </c>
      <c r="O5643" s="5">
        <v>30853698</v>
      </c>
      <c r="P5643" s="5">
        <v>79629</v>
      </c>
      <c r="Q5643" s="5">
        <v>15130</v>
      </c>
      <c r="R5643" s="5">
        <v>94759</v>
      </c>
    </row>
    <row r="5644" spans="1:18" x14ac:dyDescent="0.25">
      <c r="A5644" t="s">
        <v>3</v>
      </c>
      <c r="B5644" t="s">
        <v>494</v>
      </c>
      <c r="C5644">
        <v>98001200</v>
      </c>
      <c r="D5644">
        <v>109</v>
      </c>
      <c r="E5644">
        <v>30850851</v>
      </c>
      <c r="F5644" t="s">
        <v>1959</v>
      </c>
      <c r="G5644" s="1">
        <v>45236</v>
      </c>
      <c r="H5644">
        <v>5412553</v>
      </c>
      <c r="I5644">
        <v>28</v>
      </c>
      <c r="J5644" t="s">
        <v>164</v>
      </c>
      <c r="K5644" s="8" t="str">
        <f>IFERROR(IF(AND(VLOOKUP($C5644,Hes!$A:$B, 1, FALSE), $M5644&lt;&gt;" "), "Ingresada", "Falta Ingresar"), " ")</f>
        <v>Falta Ingresar</v>
      </c>
      <c r="L5644" s="4" t="str">
        <f>IFERROR(VLOOKUP($C5644,Observaciones!$A:$B,2,FALSE)," ")</f>
        <v xml:space="preserve"> </v>
      </c>
      <c r="M5644" t="s">
        <v>681</v>
      </c>
      <c r="N5644" s="5" t="s">
        <v>841</v>
      </c>
      <c r="O5644" s="5">
        <v>30850851</v>
      </c>
      <c r="P5644" s="5">
        <v>161378</v>
      </c>
      <c r="Q5644" s="5">
        <v>30662</v>
      </c>
      <c r="R5644" s="5">
        <v>192040</v>
      </c>
    </row>
    <row r="5645" spans="1:18" x14ac:dyDescent="0.25">
      <c r="A5645" t="s">
        <v>3</v>
      </c>
      <c r="B5645" t="s">
        <v>494</v>
      </c>
      <c r="C5645">
        <v>98001200</v>
      </c>
      <c r="D5645">
        <v>18</v>
      </c>
      <c r="E5645">
        <v>30853830</v>
      </c>
      <c r="F5645" t="s">
        <v>1959</v>
      </c>
      <c r="G5645" s="1">
        <v>45236</v>
      </c>
      <c r="H5645">
        <v>5412562</v>
      </c>
      <c r="I5645">
        <v>28</v>
      </c>
      <c r="J5645" t="s">
        <v>164</v>
      </c>
      <c r="K5645" s="8" t="str">
        <f>IFERROR(IF(AND(VLOOKUP($C5645,Hes!$A:$B, 1, FALSE), $M5645&lt;&gt;" "), "Ingresada", "Falta Ingresar"), " ")</f>
        <v>Falta Ingresar</v>
      </c>
      <c r="L5645" s="4" t="str">
        <f>IFERROR(VLOOKUP($C5645,Observaciones!$A:$B,2,FALSE)," ")</f>
        <v xml:space="preserve"> </v>
      </c>
      <c r="M5645" t="s">
        <v>681</v>
      </c>
      <c r="N5645" s="5" t="s">
        <v>841</v>
      </c>
      <c r="O5645" s="5">
        <v>30853830</v>
      </c>
      <c r="P5645" s="5">
        <v>24922</v>
      </c>
      <c r="Q5645" s="5">
        <v>4735</v>
      </c>
      <c r="R5645" s="5">
        <v>29657</v>
      </c>
    </row>
    <row r="5646" spans="1:18" x14ac:dyDescent="0.25">
      <c r="A5646" t="s">
        <v>3</v>
      </c>
      <c r="B5646" t="s">
        <v>494</v>
      </c>
      <c r="C5646">
        <v>98001200</v>
      </c>
      <c r="D5646">
        <v>42</v>
      </c>
      <c r="E5646">
        <v>30854818</v>
      </c>
      <c r="F5646" t="s">
        <v>1959</v>
      </c>
      <c r="G5646" s="1">
        <v>45236</v>
      </c>
      <c r="H5646">
        <v>5412727</v>
      </c>
      <c r="I5646">
        <v>28</v>
      </c>
      <c r="J5646" t="s">
        <v>164</v>
      </c>
      <c r="K5646" s="8" t="str">
        <f>IFERROR(IF(AND(VLOOKUP($C5646,Hes!$A:$B, 1, FALSE), $M5646&lt;&gt;" "), "Ingresada", "Falta Ingresar"), " ")</f>
        <v>Falta Ingresar</v>
      </c>
      <c r="L5646" s="4" t="str">
        <f>IFERROR(VLOOKUP($C5646,Observaciones!$A:$B,2,FALSE)," ")</f>
        <v xml:space="preserve"> </v>
      </c>
      <c r="M5646" t="s">
        <v>681</v>
      </c>
      <c r="N5646" s="5" t="s">
        <v>841</v>
      </c>
      <c r="O5646" s="5">
        <v>30854818</v>
      </c>
      <c r="P5646" s="5">
        <v>97160</v>
      </c>
      <c r="Q5646" s="5">
        <v>18460</v>
      </c>
      <c r="R5646" s="5">
        <v>115620</v>
      </c>
    </row>
    <row r="5647" spans="1:18" x14ac:dyDescent="0.25">
      <c r="A5647" t="s">
        <v>3</v>
      </c>
      <c r="B5647" t="s">
        <v>494</v>
      </c>
      <c r="C5647">
        <v>98001200</v>
      </c>
      <c r="D5647">
        <v>10</v>
      </c>
      <c r="E5647">
        <v>30849357</v>
      </c>
      <c r="F5647" t="s">
        <v>1959</v>
      </c>
      <c r="G5647" s="1">
        <v>45236</v>
      </c>
      <c r="H5647">
        <v>5412810</v>
      </c>
      <c r="I5647">
        <v>28</v>
      </c>
      <c r="J5647" t="s">
        <v>164</v>
      </c>
      <c r="K5647" s="8" t="str">
        <f>IFERROR(IF(AND(VLOOKUP($C5647,Hes!$A:$B, 1, FALSE), $M5647&lt;&gt;" "), "Ingresada", "Falta Ingresar"), " ")</f>
        <v>Falta Ingresar</v>
      </c>
      <c r="L5647" s="4" t="str">
        <f>IFERROR(VLOOKUP($C5647,Observaciones!$A:$B,2,FALSE)," ")</f>
        <v xml:space="preserve"> </v>
      </c>
      <c r="M5647" t="s">
        <v>681</v>
      </c>
      <c r="N5647" s="5" t="s">
        <v>841</v>
      </c>
      <c r="O5647" s="5">
        <v>30849357</v>
      </c>
      <c r="P5647" s="5">
        <v>95023</v>
      </c>
      <c r="Q5647" s="5">
        <v>18054</v>
      </c>
      <c r="R5647" s="5">
        <v>113077</v>
      </c>
    </row>
    <row r="5648" spans="1:18" x14ac:dyDescent="0.25">
      <c r="A5648" t="s">
        <v>3</v>
      </c>
      <c r="B5648" t="s">
        <v>494</v>
      </c>
      <c r="C5648">
        <v>98001200</v>
      </c>
      <c r="D5648">
        <v>14</v>
      </c>
      <c r="E5648">
        <v>30855763</v>
      </c>
      <c r="F5648" t="s">
        <v>1959</v>
      </c>
      <c r="G5648" s="1">
        <v>45234</v>
      </c>
      <c r="H5648">
        <v>5412988</v>
      </c>
      <c r="I5648">
        <v>28</v>
      </c>
      <c r="J5648" t="s">
        <v>164</v>
      </c>
      <c r="K5648" s="8" t="str">
        <f>IFERROR(IF(AND(VLOOKUP($C5648,Hes!$A:$B, 1, FALSE), $M5648&lt;&gt;" "), "Ingresada", "Falta Ingresar"), " ")</f>
        <v>Falta Ingresar</v>
      </c>
      <c r="L5648" s="4" t="str">
        <f>IFERROR(VLOOKUP($C5648,Observaciones!$A:$B,2,FALSE)," ")</f>
        <v xml:space="preserve"> </v>
      </c>
      <c r="M5648" t="s">
        <v>681</v>
      </c>
      <c r="N5648" s="5" t="s">
        <v>841</v>
      </c>
      <c r="O5648" s="5">
        <v>30855763</v>
      </c>
      <c r="P5648" s="5">
        <v>128218</v>
      </c>
      <c r="Q5648" s="5">
        <v>24361</v>
      </c>
      <c r="R5648" s="5">
        <v>152579</v>
      </c>
    </row>
    <row r="5649" spans="1:18" x14ac:dyDescent="0.25">
      <c r="A5649" t="s">
        <v>3</v>
      </c>
      <c r="B5649" t="s">
        <v>494</v>
      </c>
      <c r="C5649">
        <v>98001200</v>
      </c>
      <c r="D5649">
        <v>19</v>
      </c>
      <c r="E5649">
        <v>30854086</v>
      </c>
      <c r="F5649" t="s">
        <v>1959</v>
      </c>
      <c r="G5649" s="1">
        <v>45236</v>
      </c>
      <c r="H5649">
        <v>5413078</v>
      </c>
      <c r="I5649">
        <v>28</v>
      </c>
      <c r="J5649" t="s">
        <v>164</v>
      </c>
      <c r="K5649" s="8" t="str">
        <f>IFERROR(IF(AND(VLOOKUP($C5649,Hes!$A:$B, 1, FALSE), $M5649&lt;&gt;" "), "Ingresada", "Falta Ingresar"), " ")</f>
        <v>Falta Ingresar</v>
      </c>
      <c r="L5649" s="4" t="str">
        <f>IFERROR(VLOOKUP($C5649,Observaciones!$A:$B,2,FALSE)," ")</f>
        <v xml:space="preserve"> </v>
      </c>
      <c r="M5649" t="s">
        <v>681</v>
      </c>
      <c r="N5649" s="5" t="s">
        <v>841</v>
      </c>
      <c r="O5649" s="5">
        <v>30854086</v>
      </c>
      <c r="P5649" s="5">
        <v>109705</v>
      </c>
      <c r="Q5649" s="5">
        <v>20844</v>
      </c>
      <c r="R5649" s="5">
        <v>130549</v>
      </c>
    </row>
    <row r="5650" spans="1:18" x14ac:dyDescent="0.25">
      <c r="A5650" t="s">
        <v>3</v>
      </c>
      <c r="B5650" t="s">
        <v>494</v>
      </c>
      <c r="C5650">
        <v>98001200</v>
      </c>
      <c r="D5650">
        <v>23</v>
      </c>
      <c r="E5650">
        <v>30849931</v>
      </c>
      <c r="F5650" t="s">
        <v>1959</v>
      </c>
      <c r="G5650" s="1">
        <v>45236</v>
      </c>
      <c r="H5650">
        <v>5413212</v>
      </c>
      <c r="I5650">
        <v>28</v>
      </c>
      <c r="J5650" t="s">
        <v>164</v>
      </c>
      <c r="K5650" s="8" t="str">
        <f>IFERROR(IF(AND(VLOOKUP($C5650,Hes!$A:$B, 1, FALSE), $M5650&lt;&gt;" "), "Ingresada", "Falta Ingresar"), " ")</f>
        <v>Falta Ingresar</v>
      </c>
      <c r="L5650" s="4" t="str">
        <f>IFERROR(VLOOKUP($C5650,Observaciones!$A:$B,2,FALSE)," ")</f>
        <v xml:space="preserve"> </v>
      </c>
      <c r="M5650" t="s">
        <v>681</v>
      </c>
      <c r="N5650" s="5" t="s">
        <v>841</v>
      </c>
      <c r="O5650" s="5">
        <v>30849931</v>
      </c>
      <c r="P5650" s="5">
        <v>79077</v>
      </c>
      <c r="Q5650" s="5">
        <v>15025</v>
      </c>
      <c r="R5650" s="5">
        <v>94102</v>
      </c>
    </row>
    <row r="5651" spans="1:18" x14ac:dyDescent="0.25">
      <c r="A5651" t="s">
        <v>3</v>
      </c>
      <c r="B5651" t="s">
        <v>494</v>
      </c>
      <c r="C5651">
        <v>98001200</v>
      </c>
      <c r="D5651">
        <v>55</v>
      </c>
      <c r="E5651">
        <v>30854177</v>
      </c>
      <c r="F5651" t="s">
        <v>1959</v>
      </c>
      <c r="G5651" s="1">
        <v>45236</v>
      </c>
      <c r="H5651">
        <v>5413216</v>
      </c>
      <c r="I5651">
        <v>28</v>
      </c>
      <c r="J5651" t="s">
        <v>164</v>
      </c>
      <c r="K5651" s="8" t="str">
        <f>IFERROR(IF(AND(VLOOKUP($C5651,Hes!$A:$B, 1, FALSE), $M5651&lt;&gt;" "), "Ingresada", "Falta Ingresar"), " ")</f>
        <v>Falta Ingresar</v>
      </c>
      <c r="L5651" s="4" t="str">
        <f>IFERROR(VLOOKUP($C5651,Observaciones!$A:$B,2,FALSE)," ")</f>
        <v xml:space="preserve"> </v>
      </c>
      <c r="M5651" t="s">
        <v>681</v>
      </c>
      <c r="N5651" s="5" t="s">
        <v>841</v>
      </c>
      <c r="O5651" s="5">
        <v>30854177</v>
      </c>
      <c r="P5651" s="5">
        <v>92558</v>
      </c>
      <c r="Q5651" s="5">
        <v>17586</v>
      </c>
      <c r="R5651" s="5">
        <v>110144</v>
      </c>
    </row>
    <row r="5652" spans="1:18" x14ac:dyDescent="0.25">
      <c r="A5652" t="s">
        <v>3</v>
      </c>
      <c r="B5652" t="s">
        <v>494</v>
      </c>
      <c r="C5652">
        <v>98001200</v>
      </c>
      <c r="D5652">
        <v>53</v>
      </c>
      <c r="E5652">
        <v>30852643</v>
      </c>
      <c r="F5652" t="s">
        <v>1959</v>
      </c>
      <c r="G5652" s="1">
        <v>45236</v>
      </c>
      <c r="H5652">
        <v>5413332</v>
      </c>
      <c r="I5652">
        <v>28</v>
      </c>
      <c r="J5652" t="s">
        <v>164</v>
      </c>
      <c r="K5652" s="8" t="str">
        <f>IFERROR(IF(AND(VLOOKUP($C5652,Hes!$A:$B, 1, FALSE), $M5652&lt;&gt;" "), "Ingresada", "Falta Ingresar"), " ")</f>
        <v>Falta Ingresar</v>
      </c>
      <c r="L5652" s="4" t="str">
        <f>IFERROR(VLOOKUP($C5652,Observaciones!$A:$B,2,FALSE)," ")</f>
        <v xml:space="preserve"> </v>
      </c>
      <c r="M5652" t="s">
        <v>681</v>
      </c>
      <c r="N5652" s="5" t="s">
        <v>841</v>
      </c>
      <c r="O5652" s="5">
        <v>30852643</v>
      </c>
      <c r="P5652" s="5">
        <v>89582</v>
      </c>
      <c r="Q5652" s="5">
        <v>17021</v>
      </c>
      <c r="R5652" s="5">
        <v>106603</v>
      </c>
    </row>
    <row r="5653" spans="1:18" x14ac:dyDescent="0.25">
      <c r="A5653" t="s">
        <v>3</v>
      </c>
      <c r="B5653" t="s">
        <v>494</v>
      </c>
      <c r="C5653">
        <v>98001200</v>
      </c>
      <c r="D5653">
        <v>33</v>
      </c>
      <c r="E5653">
        <v>30851797</v>
      </c>
      <c r="F5653" t="s">
        <v>1959</v>
      </c>
      <c r="G5653" s="1">
        <v>45236</v>
      </c>
      <c r="H5653">
        <v>5413345</v>
      </c>
      <c r="I5653">
        <v>28</v>
      </c>
      <c r="J5653" t="s">
        <v>164</v>
      </c>
      <c r="K5653" s="8" t="str">
        <f>IFERROR(IF(AND(VLOOKUP($C5653,Hes!$A:$B, 1, FALSE), $M5653&lt;&gt;" "), "Ingresada", "Falta Ingresar"), " ")</f>
        <v>Falta Ingresar</v>
      </c>
      <c r="L5653" s="4" t="str">
        <f>IFERROR(VLOOKUP($C5653,Observaciones!$A:$B,2,FALSE)," ")</f>
        <v xml:space="preserve"> </v>
      </c>
      <c r="M5653" t="s">
        <v>681</v>
      </c>
      <c r="N5653" s="5" t="s">
        <v>841</v>
      </c>
      <c r="O5653" s="5">
        <v>30851797</v>
      </c>
      <c r="P5653" s="5">
        <v>94953</v>
      </c>
      <c r="Q5653" s="5">
        <v>18041</v>
      </c>
      <c r="R5653" s="5">
        <v>112994</v>
      </c>
    </row>
    <row r="5654" spans="1:18" x14ac:dyDescent="0.25">
      <c r="A5654" t="s">
        <v>3</v>
      </c>
      <c r="B5654" t="s">
        <v>494</v>
      </c>
      <c r="C5654">
        <v>98001200</v>
      </c>
      <c r="D5654">
        <v>26</v>
      </c>
      <c r="E5654">
        <v>30852119</v>
      </c>
      <c r="F5654" t="s">
        <v>1959</v>
      </c>
      <c r="G5654" s="1">
        <v>45236</v>
      </c>
      <c r="H5654">
        <v>5413409</v>
      </c>
      <c r="I5654">
        <v>28</v>
      </c>
      <c r="J5654" t="s">
        <v>164</v>
      </c>
      <c r="K5654" s="8" t="str">
        <f>IFERROR(IF(AND(VLOOKUP($C5654,Hes!$A:$B, 1, FALSE), $M5654&lt;&gt;" "), "Ingresada", "Falta Ingresar"), " ")</f>
        <v>Falta Ingresar</v>
      </c>
      <c r="L5654" s="4" t="str">
        <f>IFERROR(VLOOKUP($C5654,Observaciones!$A:$B,2,FALSE)," ")</f>
        <v xml:space="preserve"> </v>
      </c>
      <c r="M5654" t="s">
        <v>681</v>
      </c>
      <c r="N5654" s="5" t="s">
        <v>841</v>
      </c>
      <c r="O5654" s="5">
        <v>30852119</v>
      </c>
      <c r="P5654" s="5">
        <v>103363</v>
      </c>
      <c r="Q5654" s="5">
        <v>19639</v>
      </c>
      <c r="R5654" s="5">
        <v>123002</v>
      </c>
    </row>
    <row r="5655" spans="1:18" x14ac:dyDescent="0.25">
      <c r="A5655" t="s">
        <v>3</v>
      </c>
      <c r="B5655" t="s">
        <v>494</v>
      </c>
      <c r="C5655">
        <v>98001200</v>
      </c>
      <c r="D5655">
        <v>52</v>
      </c>
      <c r="E5655">
        <v>30855540</v>
      </c>
      <c r="F5655" t="s">
        <v>1959</v>
      </c>
      <c r="G5655" s="1">
        <v>45236</v>
      </c>
      <c r="H5655">
        <v>5413681</v>
      </c>
      <c r="I5655">
        <v>28</v>
      </c>
      <c r="J5655" t="s">
        <v>164</v>
      </c>
      <c r="K5655" s="8" t="str">
        <f>IFERROR(IF(AND(VLOOKUP($C5655,Hes!$A:$B, 1, FALSE), $M5655&lt;&gt;" "), "Ingresada", "Falta Ingresar"), " ")</f>
        <v>Falta Ingresar</v>
      </c>
      <c r="L5655" s="4" t="str">
        <f>IFERROR(VLOOKUP($C5655,Observaciones!$A:$B,2,FALSE)," ")</f>
        <v xml:space="preserve"> </v>
      </c>
      <c r="M5655" t="s">
        <v>681</v>
      </c>
      <c r="N5655" s="5" t="s">
        <v>841</v>
      </c>
      <c r="O5655" s="5">
        <v>30855540</v>
      </c>
      <c r="P5655" s="5">
        <v>87759</v>
      </c>
      <c r="Q5655" s="5">
        <v>16674</v>
      </c>
      <c r="R5655" s="5">
        <v>104433</v>
      </c>
    </row>
    <row r="5656" spans="1:18" x14ac:dyDescent="0.25">
      <c r="A5656" t="s">
        <v>3</v>
      </c>
      <c r="B5656" t="s">
        <v>494</v>
      </c>
      <c r="C5656">
        <v>98001200</v>
      </c>
      <c r="D5656">
        <v>50</v>
      </c>
      <c r="E5656">
        <v>30854987</v>
      </c>
      <c r="F5656" t="s">
        <v>1959</v>
      </c>
      <c r="G5656" s="1">
        <v>45236</v>
      </c>
      <c r="H5656">
        <v>5413766</v>
      </c>
      <c r="I5656">
        <v>28</v>
      </c>
      <c r="J5656" t="s">
        <v>164</v>
      </c>
      <c r="K5656" s="8" t="str">
        <f>IFERROR(IF(AND(VLOOKUP($C5656,Hes!$A:$B, 1, FALSE), $M5656&lt;&gt;" "), "Ingresada", "Falta Ingresar"), " ")</f>
        <v>Falta Ingresar</v>
      </c>
      <c r="L5656" s="4" t="str">
        <f>IFERROR(VLOOKUP($C5656,Observaciones!$A:$B,2,FALSE)," ")</f>
        <v xml:space="preserve"> </v>
      </c>
      <c r="M5656" t="s">
        <v>681</v>
      </c>
      <c r="N5656" s="5" t="s">
        <v>841</v>
      </c>
      <c r="O5656" s="5">
        <v>30854987</v>
      </c>
      <c r="P5656" s="5">
        <v>144048</v>
      </c>
      <c r="Q5656" s="5">
        <v>27369</v>
      </c>
      <c r="R5656" s="5">
        <v>171417</v>
      </c>
    </row>
    <row r="5657" spans="1:18" x14ac:dyDescent="0.25">
      <c r="A5657" t="s">
        <v>3</v>
      </c>
      <c r="B5657" t="s">
        <v>494</v>
      </c>
      <c r="C5657">
        <v>98001200</v>
      </c>
      <c r="D5657">
        <v>108</v>
      </c>
      <c r="E5657">
        <v>30855097</v>
      </c>
      <c r="F5657" t="s">
        <v>1959</v>
      </c>
      <c r="G5657" s="1">
        <v>45236</v>
      </c>
      <c r="H5657">
        <v>5413781</v>
      </c>
      <c r="I5657">
        <v>28</v>
      </c>
      <c r="J5657" t="s">
        <v>164</v>
      </c>
      <c r="K5657" s="8" t="str">
        <f>IFERROR(IF(AND(VLOOKUP($C5657,Hes!$A:$B, 1, FALSE), $M5657&lt;&gt;" "), "Ingresada", "Falta Ingresar"), " ")</f>
        <v>Falta Ingresar</v>
      </c>
      <c r="L5657" s="4" t="str">
        <f>IFERROR(VLOOKUP($C5657,Observaciones!$A:$B,2,FALSE)," ")</f>
        <v xml:space="preserve"> </v>
      </c>
      <c r="M5657" t="s">
        <v>681</v>
      </c>
      <c r="N5657" s="5" t="s">
        <v>841</v>
      </c>
      <c r="O5657" s="5">
        <v>30855097</v>
      </c>
      <c r="P5657" s="5">
        <v>92266</v>
      </c>
      <c r="Q5657" s="5">
        <v>17531</v>
      </c>
      <c r="R5657" s="5">
        <v>109797</v>
      </c>
    </row>
    <row r="5658" spans="1:18" x14ac:dyDescent="0.25">
      <c r="A5658" t="s">
        <v>3</v>
      </c>
      <c r="B5658" t="s">
        <v>494</v>
      </c>
      <c r="C5658">
        <v>98001200</v>
      </c>
      <c r="D5658">
        <v>9</v>
      </c>
      <c r="E5658">
        <v>30859269</v>
      </c>
      <c r="F5658" t="s">
        <v>1959</v>
      </c>
      <c r="G5658" s="1">
        <v>45237</v>
      </c>
      <c r="H5658">
        <v>5414274</v>
      </c>
      <c r="I5658">
        <v>28</v>
      </c>
      <c r="J5658" t="s">
        <v>164</v>
      </c>
      <c r="K5658" s="8" t="str">
        <f>IFERROR(IF(AND(VLOOKUP($C5658,Hes!$A:$B, 1, FALSE), $M5658&lt;&gt;" "), "Ingresada", "Falta Ingresar"), " ")</f>
        <v>Falta Ingresar</v>
      </c>
      <c r="L5658" s="4" t="str">
        <f>IFERROR(VLOOKUP($C5658,Observaciones!$A:$B,2,FALSE)," ")</f>
        <v xml:space="preserve"> </v>
      </c>
      <c r="M5658" t="s">
        <v>681</v>
      </c>
      <c r="N5658" s="5" t="s">
        <v>841</v>
      </c>
      <c r="O5658" s="5">
        <v>30859269</v>
      </c>
      <c r="P5658" s="5">
        <v>127824</v>
      </c>
      <c r="Q5658" s="5">
        <v>24287</v>
      </c>
      <c r="R5658" s="5">
        <v>152111</v>
      </c>
    </row>
    <row r="5659" spans="1:18" x14ac:dyDescent="0.25">
      <c r="A5659" t="s">
        <v>3</v>
      </c>
      <c r="B5659" t="s">
        <v>494</v>
      </c>
      <c r="C5659">
        <v>98001200</v>
      </c>
      <c r="D5659">
        <v>20</v>
      </c>
      <c r="E5659">
        <v>30861574</v>
      </c>
      <c r="F5659" t="s">
        <v>1959</v>
      </c>
      <c r="G5659" s="1">
        <v>45238</v>
      </c>
      <c r="H5659">
        <v>5414816</v>
      </c>
      <c r="I5659">
        <v>28</v>
      </c>
      <c r="J5659" t="s">
        <v>164</v>
      </c>
      <c r="K5659" s="8" t="str">
        <f>IFERROR(IF(AND(VLOOKUP($C5659,Hes!$A:$B, 1, FALSE), $M5659&lt;&gt;" "), "Ingresada", "Falta Ingresar"), " ")</f>
        <v>Falta Ingresar</v>
      </c>
      <c r="L5659" s="4" t="str">
        <f>IFERROR(VLOOKUP($C5659,Observaciones!$A:$B,2,FALSE)," ")</f>
        <v xml:space="preserve"> </v>
      </c>
      <c r="M5659" t="s">
        <v>681</v>
      </c>
      <c r="N5659" s="5" t="s">
        <v>841</v>
      </c>
      <c r="O5659" s="5">
        <v>30861574</v>
      </c>
      <c r="P5659" s="5">
        <v>109871</v>
      </c>
      <c r="Q5659" s="5">
        <v>20875</v>
      </c>
      <c r="R5659" s="5">
        <v>130746</v>
      </c>
    </row>
    <row r="5660" spans="1:18" x14ac:dyDescent="0.25">
      <c r="A5660" t="s">
        <v>3</v>
      </c>
      <c r="B5660" t="s">
        <v>494</v>
      </c>
      <c r="C5660">
        <v>98001200</v>
      </c>
      <c r="D5660">
        <v>3</v>
      </c>
      <c r="E5660">
        <v>30861848</v>
      </c>
      <c r="F5660" t="s">
        <v>1959</v>
      </c>
      <c r="G5660" s="1">
        <v>45238</v>
      </c>
      <c r="H5660">
        <v>5414931</v>
      </c>
      <c r="I5660">
        <v>28</v>
      </c>
      <c r="J5660" t="s">
        <v>164</v>
      </c>
      <c r="K5660" s="8" t="str">
        <f>IFERROR(IF(AND(VLOOKUP($C5660,Hes!$A:$B, 1, FALSE), $M5660&lt;&gt;" "), "Ingresada", "Falta Ingresar"), " ")</f>
        <v>Falta Ingresar</v>
      </c>
      <c r="L5660" s="4" t="str">
        <f>IFERROR(VLOOKUP($C5660,Observaciones!$A:$B,2,FALSE)," ")</f>
        <v xml:space="preserve"> </v>
      </c>
      <c r="M5660" t="s">
        <v>681</v>
      </c>
      <c r="N5660" s="5" t="s">
        <v>841</v>
      </c>
      <c r="O5660" s="5">
        <v>30861848</v>
      </c>
      <c r="P5660" s="5">
        <v>76429</v>
      </c>
      <c r="Q5660" s="5">
        <v>14522</v>
      </c>
      <c r="R5660" s="5">
        <v>90951</v>
      </c>
    </row>
    <row r="5661" spans="1:18" x14ac:dyDescent="0.25">
      <c r="A5661" t="s">
        <v>3</v>
      </c>
      <c r="B5661" t="s">
        <v>494</v>
      </c>
      <c r="C5661">
        <v>98001200</v>
      </c>
      <c r="D5661">
        <v>36</v>
      </c>
      <c r="E5661">
        <v>30862297</v>
      </c>
      <c r="F5661" t="s">
        <v>1959</v>
      </c>
      <c r="G5661" s="1">
        <v>45238</v>
      </c>
      <c r="H5661">
        <v>5415039</v>
      </c>
      <c r="I5661">
        <v>28</v>
      </c>
      <c r="J5661" t="s">
        <v>164</v>
      </c>
      <c r="K5661" s="8" t="str">
        <f>IFERROR(IF(AND(VLOOKUP($C5661,Hes!$A:$B, 1, FALSE), $M5661&lt;&gt;" "), "Ingresada", "Falta Ingresar"), " ")</f>
        <v>Falta Ingresar</v>
      </c>
      <c r="L5661" s="4" t="str">
        <f>IFERROR(VLOOKUP($C5661,Observaciones!$A:$B,2,FALSE)," ")</f>
        <v xml:space="preserve"> </v>
      </c>
      <c r="M5661" t="s">
        <v>681</v>
      </c>
      <c r="N5661" s="5" t="s">
        <v>841</v>
      </c>
      <c r="O5661" s="5">
        <v>30862297</v>
      </c>
      <c r="P5661" s="5">
        <v>135529</v>
      </c>
      <c r="Q5661" s="5">
        <v>25751</v>
      </c>
      <c r="R5661" s="5">
        <v>161280</v>
      </c>
    </row>
    <row r="5662" spans="1:18" x14ac:dyDescent="0.25">
      <c r="A5662" t="s">
        <v>3</v>
      </c>
      <c r="B5662" t="s">
        <v>494</v>
      </c>
      <c r="C5662">
        <v>98001200</v>
      </c>
      <c r="D5662">
        <v>34</v>
      </c>
      <c r="E5662">
        <v>30862544</v>
      </c>
      <c r="F5662" t="s">
        <v>1959</v>
      </c>
      <c r="G5662" s="1">
        <v>45238</v>
      </c>
      <c r="H5662">
        <v>5415057</v>
      </c>
      <c r="I5662">
        <v>28</v>
      </c>
      <c r="J5662" t="s">
        <v>164</v>
      </c>
      <c r="K5662" s="8" t="str">
        <f>IFERROR(IF(AND(VLOOKUP($C5662,Hes!$A:$B, 1, FALSE), $M5662&lt;&gt;" "), "Ingresada", "Falta Ingresar"), " ")</f>
        <v>Falta Ingresar</v>
      </c>
      <c r="L5662" s="4" t="str">
        <f>IFERROR(VLOOKUP($C5662,Observaciones!$A:$B,2,FALSE)," ")</f>
        <v xml:space="preserve"> </v>
      </c>
      <c r="M5662" t="s">
        <v>681</v>
      </c>
      <c r="N5662" s="5" t="s">
        <v>841</v>
      </c>
      <c r="O5662" s="5">
        <v>30862544</v>
      </c>
      <c r="P5662" s="5">
        <v>105988</v>
      </c>
      <c r="Q5662" s="5">
        <v>20138</v>
      </c>
      <c r="R5662" s="5">
        <v>126126</v>
      </c>
    </row>
    <row r="5663" spans="1:18" x14ac:dyDescent="0.25">
      <c r="A5663" t="s">
        <v>3</v>
      </c>
      <c r="B5663" t="s">
        <v>494</v>
      </c>
      <c r="C5663">
        <v>98001200</v>
      </c>
      <c r="D5663">
        <v>30</v>
      </c>
      <c r="E5663">
        <v>30861662</v>
      </c>
      <c r="F5663" t="s">
        <v>1959</v>
      </c>
      <c r="G5663" s="1">
        <v>45238</v>
      </c>
      <c r="H5663">
        <v>5415106</v>
      </c>
      <c r="I5663">
        <v>28</v>
      </c>
      <c r="J5663" t="s">
        <v>164</v>
      </c>
      <c r="K5663" s="8" t="str">
        <f>IFERROR(IF(AND(VLOOKUP($C5663,Hes!$A:$B, 1, FALSE), $M5663&lt;&gt;" "), "Ingresada", "Falta Ingresar"), " ")</f>
        <v>Falta Ingresar</v>
      </c>
      <c r="L5663" s="4" t="str">
        <f>IFERROR(VLOOKUP($C5663,Observaciones!$A:$B,2,FALSE)," ")</f>
        <v xml:space="preserve"> </v>
      </c>
      <c r="M5663" t="s">
        <v>681</v>
      </c>
      <c r="N5663" s="5" t="s">
        <v>841</v>
      </c>
      <c r="O5663" s="5">
        <v>30861662</v>
      </c>
      <c r="P5663" s="5">
        <v>60896</v>
      </c>
      <c r="Q5663" s="5">
        <v>11570</v>
      </c>
      <c r="R5663" s="5">
        <v>72466</v>
      </c>
    </row>
    <row r="5664" spans="1:18" x14ac:dyDescent="0.25">
      <c r="A5664" t="s">
        <v>3</v>
      </c>
      <c r="B5664" t="s">
        <v>494</v>
      </c>
      <c r="C5664">
        <v>98001200</v>
      </c>
      <c r="D5664">
        <v>38</v>
      </c>
      <c r="E5664">
        <v>30865579</v>
      </c>
      <c r="F5664" t="s">
        <v>1959</v>
      </c>
      <c r="G5664" s="1">
        <v>45238</v>
      </c>
      <c r="H5664">
        <v>5415586</v>
      </c>
      <c r="I5664">
        <v>28</v>
      </c>
      <c r="J5664" t="s">
        <v>164</v>
      </c>
      <c r="K5664" s="8" t="str">
        <f>IFERROR(IF(AND(VLOOKUP($C5664,Hes!$A:$B, 1, FALSE), $M5664&lt;&gt;" "), "Ingresada", "Falta Ingresar"), " ")</f>
        <v>Falta Ingresar</v>
      </c>
      <c r="L5664" s="4" t="str">
        <f>IFERROR(VLOOKUP($C5664,Observaciones!$A:$B,2,FALSE)," ")</f>
        <v xml:space="preserve"> </v>
      </c>
      <c r="M5664" t="s">
        <v>681</v>
      </c>
      <c r="N5664" s="5" t="s">
        <v>841</v>
      </c>
      <c r="O5664" s="5">
        <v>30865579</v>
      </c>
      <c r="P5664" s="5">
        <v>53021</v>
      </c>
      <c r="Q5664" s="5">
        <v>10074</v>
      </c>
      <c r="R5664" s="5">
        <v>63095</v>
      </c>
    </row>
    <row r="5665" spans="1:18" x14ac:dyDescent="0.25">
      <c r="A5665" t="s">
        <v>3</v>
      </c>
      <c r="B5665" t="s">
        <v>494</v>
      </c>
      <c r="C5665">
        <v>98001200</v>
      </c>
      <c r="D5665">
        <v>110</v>
      </c>
      <c r="E5665">
        <v>30863261</v>
      </c>
      <c r="F5665" t="s">
        <v>1959</v>
      </c>
      <c r="G5665" s="1">
        <v>45238</v>
      </c>
      <c r="H5665">
        <v>5415753</v>
      </c>
      <c r="I5665">
        <v>28</v>
      </c>
      <c r="J5665" t="s">
        <v>164</v>
      </c>
      <c r="K5665" s="8" t="str">
        <f>IFERROR(IF(AND(VLOOKUP($C5665,Hes!$A:$B, 1, FALSE), $M5665&lt;&gt;" "), "Ingresada", "Falta Ingresar"), " ")</f>
        <v>Falta Ingresar</v>
      </c>
      <c r="L5665" s="4" t="str">
        <f>IFERROR(VLOOKUP($C5665,Observaciones!$A:$B,2,FALSE)," ")</f>
        <v xml:space="preserve"> </v>
      </c>
      <c r="M5665" t="s">
        <v>681</v>
      </c>
      <c r="N5665" s="5" t="s">
        <v>841</v>
      </c>
      <c r="O5665" s="5">
        <v>30863261</v>
      </c>
      <c r="P5665" s="5">
        <v>391448</v>
      </c>
      <c r="Q5665" s="5">
        <v>74375</v>
      </c>
      <c r="R5665" s="5">
        <v>465823</v>
      </c>
    </row>
    <row r="5666" spans="1:18" x14ac:dyDescent="0.25">
      <c r="F5666" t="s">
        <v>1258</v>
      </c>
      <c r="K5666" t="str">
        <f>IFERROR(IF(AND(VLOOKUP($C5666,Hes!$A:$B, 1, FALSE), $M5666&lt;&gt;" "), "Ingresada", "Falta Ingresar"), " ")</f>
        <v xml:space="preserve"> </v>
      </c>
      <c r="L5666" s="4" t="str">
        <f>IFERROR(VLOOKUP($C5666,Observaciones!$A:$B,2,FALSE)," ")</f>
        <v xml:space="preserve"> </v>
      </c>
      <c r="M5666" t="s">
        <v>681</v>
      </c>
      <c r="P5666" s="5">
        <v>3119669</v>
      </c>
      <c r="Q5666" s="5">
        <v>592739</v>
      </c>
      <c r="R5666" s="5">
        <v>3712408</v>
      </c>
    </row>
    <row r="5667" spans="1:18" x14ac:dyDescent="0.25">
      <c r="A5667" t="s">
        <v>1216</v>
      </c>
      <c r="B5667" t="s">
        <v>494</v>
      </c>
      <c r="C5667">
        <v>99012000</v>
      </c>
      <c r="D5667">
        <v>1002</v>
      </c>
      <c r="E5667">
        <v>30845154</v>
      </c>
      <c r="F5667" t="s">
        <v>1960</v>
      </c>
      <c r="G5667" s="1">
        <v>45232</v>
      </c>
      <c r="H5667">
        <v>5410755</v>
      </c>
      <c r="I5667">
        <v>58</v>
      </c>
      <c r="J5667" t="s">
        <v>230</v>
      </c>
      <c r="K5667" t="str">
        <f>IFERROR(IF(AND(VLOOKUP($C5667,Hes!$A:$B, 1, FALSE), $M5667&lt;&gt;" "), "Ingresada", "Falta Ingresar"), " ")</f>
        <v xml:space="preserve"> </v>
      </c>
      <c r="L5667" s="4" t="str">
        <f>IFERROR(VLOOKUP($C5667,Observaciones!$A:$B,2,FALSE)," ")</f>
        <v>XRUT AL CC COSTO</v>
      </c>
      <c r="M5667" t="s">
        <v>681</v>
      </c>
      <c r="O5667" s="5">
        <v>30845154</v>
      </c>
      <c r="P5667" s="5">
        <v>23418</v>
      </c>
      <c r="Q5667" s="5">
        <v>4449</v>
      </c>
      <c r="R5667" s="5">
        <v>27867</v>
      </c>
    </row>
    <row r="5668" spans="1:18" x14ac:dyDescent="0.25">
      <c r="A5668" t="s">
        <v>1216</v>
      </c>
      <c r="B5668" t="s">
        <v>494</v>
      </c>
      <c r="C5668">
        <v>99012000</v>
      </c>
      <c r="D5668">
        <v>1002</v>
      </c>
      <c r="E5668">
        <v>30847466</v>
      </c>
      <c r="F5668" t="s">
        <v>1960</v>
      </c>
      <c r="G5668" s="1">
        <v>45233</v>
      </c>
      <c r="H5668">
        <v>5411618</v>
      </c>
      <c r="I5668">
        <v>58</v>
      </c>
      <c r="J5668" t="s">
        <v>230</v>
      </c>
      <c r="K5668" t="str">
        <f>IFERROR(IF(AND(VLOOKUP($C5668,Hes!$A:$B, 1, FALSE), $M5668&lt;&gt;" "), "Ingresada", "Falta Ingresar"), " ")</f>
        <v xml:space="preserve"> </v>
      </c>
      <c r="L5668" s="4" t="str">
        <f>IFERROR(VLOOKUP($C5668,Observaciones!$A:$B,2,FALSE)," ")</f>
        <v>XRUT AL CC COSTO</v>
      </c>
      <c r="M5668" t="s">
        <v>681</v>
      </c>
      <c r="O5668" s="5">
        <v>30847466</v>
      </c>
      <c r="P5668" s="5">
        <v>236746</v>
      </c>
      <c r="Q5668" s="5">
        <v>44982</v>
      </c>
      <c r="R5668" s="5">
        <v>296182</v>
      </c>
    </row>
    <row r="5669" spans="1:18" x14ac:dyDescent="0.25">
      <c r="A5669" t="s">
        <v>1216</v>
      </c>
      <c r="B5669" t="s">
        <v>494</v>
      </c>
      <c r="C5669">
        <v>99012000</v>
      </c>
      <c r="D5669">
        <v>1102</v>
      </c>
      <c r="E5669">
        <v>30850926</v>
      </c>
      <c r="F5669" t="s">
        <v>1960</v>
      </c>
      <c r="G5669" s="1">
        <v>45236</v>
      </c>
      <c r="H5669">
        <v>5412688</v>
      </c>
      <c r="I5669">
        <v>58</v>
      </c>
      <c r="J5669" t="s">
        <v>230</v>
      </c>
      <c r="K5669" t="str">
        <f>IFERROR(IF(AND(VLOOKUP($C5669,Hes!$A:$B, 1, FALSE), $M5669&lt;&gt;" "), "Ingresada", "Falta Ingresar"), " ")</f>
        <v xml:space="preserve"> </v>
      </c>
      <c r="L5669" s="4" t="str">
        <f>IFERROR(VLOOKUP($C5669,Observaciones!$A:$B,2,FALSE)," ")</f>
        <v>XRUT AL CC COSTO</v>
      </c>
      <c r="M5669" t="s">
        <v>681</v>
      </c>
      <c r="O5669" s="5">
        <v>30850926</v>
      </c>
      <c r="P5669" s="5">
        <v>208759</v>
      </c>
      <c r="Q5669" s="5">
        <v>39664</v>
      </c>
      <c r="R5669" s="5">
        <v>260871</v>
      </c>
    </row>
    <row r="5670" spans="1:18" x14ac:dyDescent="0.25">
      <c r="A5670" t="s">
        <v>1216</v>
      </c>
      <c r="B5670" t="s">
        <v>494</v>
      </c>
      <c r="C5670">
        <v>99012000</v>
      </c>
      <c r="D5670">
        <v>5204</v>
      </c>
      <c r="E5670">
        <v>30855028</v>
      </c>
      <c r="F5670" t="s">
        <v>1960</v>
      </c>
      <c r="G5670" s="1">
        <v>45236</v>
      </c>
      <c r="H5670">
        <v>5413243</v>
      </c>
      <c r="I5670">
        <v>58</v>
      </c>
      <c r="J5670" t="s">
        <v>230</v>
      </c>
      <c r="K5670" t="str">
        <f>IFERROR(IF(AND(VLOOKUP($C5670,Hes!$A:$B, 1, FALSE), $M5670&lt;&gt;" "), "Ingresada", "Falta Ingresar"), " ")</f>
        <v xml:space="preserve"> </v>
      </c>
      <c r="L5670" s="4" t="str">
        <f>IFERROR(VLOOKUP($C5670,Observaciones!$A:$B,2,FALSE)," ")</f>
        <v>XRUT AL CC COSTO</v>
      </c>
      <c r="M5670" t="s">
        <v>681</v>
      </c>
      <c r="O5670" s="5">
        <v>30855028</v>
      </c>
      <c r="P5670" s="5">
        <v>62778</v>
      </c>
      <c r="Q5670" s="5">
        <v>11928</v>
      </c>
      <c r="R5670" s="5">
        <v>74706</v>
      </c>
    </row>
    <row r="5671" spans="1:18" x14ac:dyDescent="0.25">
      <c r="A5671" t="s">
        <v>1216</v>
      </c>
      <c r="B5671" t="s">
        <v>494</v>
      </c>
      <c r="C5671">
        <v>99012000</v>
      </c>
      <c r="D5671">
        <v>5204</v>
      </c>
      <c r="E5671">
        <v>30856305</v>
      </c>
      <c r="F5671" t="s">
        <v>1960</v>
      </c>
      <c r="G5671" s="1">
        <v>45236</v>
      </c>
      <c r="H5671">
        <v>5413550</v>
      </c>
      <c r="I5671">
        <v>58</v>
      </c>
      <c r="J5671" t="s">
        <v>230</v>
      </c>
      <c r="K5671" t="str">
        <f>IFERROR(IF(AND(VLOOKUP($C5671,Hes!$A:$B, 1, FALSE), $M5671&lt;&gt;" "), "Ingresada", "Falta Ingresar"), " ")</f>
        <v xml:space="preserve"> </v>
      </c>
      <c r="L5671" s="4" t="str">
        <f>IFERROR(VLOOKUP($C5671,Observaciones!$A:$B,2,FALSE)," ")</f>
        <v>XRUT AL CC COSTO</v>
      </c>
      <c r="M5671" t="s">
        <v>681</v>
      </c>
      <c r="O5671" s="5">
        <v>30856305</v>
      </c>
      <c r="P5671" s="5">
        <v>50868</v>
      </c>
      <c r="Q5671" s="5">
        <v>9665</v>
      </c>
      <c r="R5671" s="5">
        <v>60533</v>
      </c>
    </row>
    <row r="5672" spans="1:18" x14ac:dyDescent="0.25">
      <c r="F5672" t="s">
        <v>499</v>
      </c>
      <c r="K5672" t="str">
        <f>IFERROR(IF(AND(VLOOKUP($C5672,Hes!$A:$B, 1, FALSE), $M5672&lt;&gt;" "), "Ingresada", "Falta Ingresar"), " ")</f>
        <v xml:space="preserve"> </v>
      </c>
      <c r="L5672" s="4" t="str">
        <f>IFERROR(VLOOKUP($C5672,Observaciones!$A:$B,2,FALSE)," ")</f>
        <v xml:space="preserve"> </v>
      </c>
      <c r="M5672" t="s">
        <v>681</v>
      </c>
      <c r="P5672" s="5">
        <v>582569</v>
      </c>
      <c r="Q5672" s="5">
        <v>110688</v>
      </c>
      <c r="R5672" s="5">
        <v>720159</v>
      </c>
    </row>
    <row r="5673" spans="1:18" x14ac:dyDescent="0.25">
      <c r="A5673" t="s">
        <v>501</v>
      </c>
      <c r="B5673" t="s">
        <v>494</v>
      </c>
      <c r="C5673">
        <v>99017000</v>
      </c>
      <c r="D5673">
        <v>42</v>
      </c>
      <c r="E5673">
        <v>30845144</v>
      </c>
      <c r="F5673" t="s">
        <v>1961</v>
      </c>
      <c r="G5673" s="1">
        <v>45232</v>
      </c>
      <c r="H5673">
        <v>5410732</v>
      </c>
      <c r="I5673">
        <v>41</v>
      </c>
      <c r="J5673" t="s">
        <v>307</v>
      </c>
      <c r="K5673" t="str">
        <f>IFERROR(IF(AND(VLOOKUP($C5673,Hes!$A:$B, 1, FALSE), $M5673&lt;&gt;" "), "Ingresada", "Falta Ingresar"), " ")</f>
        <v xml:space="preserve"> </v>
      </c>
      <c r="L5673" s="4" t="str">
        <f>IFERROR(VLOOKUP($C5673,Observaciones!$A:$B,2,FALSE)," ")</f>
        <v xml:space="preserve"> </v>
      </c>
      <c r="M5673" t="s">
        <v>681</v>
      </c>
      <c r="O5673" s="5">
        <v>30845144</v>
      </c>
      <c r="P5673" s="5">
        <v>82910</v>
      </c>
      <c r="Q5673" s="5">
        <v>15753</v>
      </c>
      <c r="R5673" s="5">
        <v>98663</v>
      </c>
    </row>
    <row r="5674" spans="1:18" x14ac:dyDescent="0.25">
      <c r="A5674" t="s">
        <v>501</v>
      </c>
      <c r="B5674" t="s">
        <v>494</v>
      </c>
      <c r="C5674">
        <v>99017000</v>
      </c>
      <c r="D5674">
        <v>54</v>
      </c>
      <c r="E5674">
        <v>30853218</v>
      </c>
      <c r="F5674" t="s">
        <v>1961</v>
      </c>
      <c r="G5674" s="1">
        <v>45236</v>
      </c>
      <c r="H5674">
        <v>5412111</v>
      </c>
      <c r="I5674">
        <v>41</v>
      </c>
      <c r="J5674" t="s">
        <v>307</v>
      </c>
      <c r="K5674" t="str">
        <f>IFERROR(IF(AND(VLOOKUP($C5674,Hes!$A:$B, 1, FALSE), $M5674&lt;&gt;" "), "Ingresada", "Falta Ingresar"), " ")</f>
        <v xml:space="preserve"> </v>
      </c>
      <c r="L5674" s="4" t="str">
        <f>IFERROR(VLOOKUP($C5674,Observaciones!$A:$B,2,FALSE)," ")</f>
        <v xml:space="preserve"> </v>
      </c>
      <c r="M5674" t="s">
        <v>681</v>
      </c>
      <c r="O5674" s="5">
        <v>30853218</v>
      </c>
      <c r="P5674" s="5">
        <v>152928</v>
      </c>
      <c r="Q5674" s="5">
        <v>29056</v>
      </c>
      <c r="R5674" s="5">
        <v>181984</v>
      </c>
    </row>
    <row r="5675" spans="1:18" x14ac:dyDescent="0.25">
      <c r="A5675" t="s">
        <v>501</v>
      </c>
      <c r="B5675" t="s">
        <v>494</v>
      </c>
      <c r="C5675">
        <v>99017000</v>
      </c>
      <c r="D5675">
        <v>0</v>
      </c>
      <c r="E5675" t="s">
        <v>1962</v>
      </c>
      <c r="F5675" t="s">
        <v>1961</v>
      </c>
      <c r="G5675" s="1">
        <v>45236</v>
      </c>
      <c r="H5675">
        <v>5412327</v>
      </c>
      <c r="I5675">
        <v>41</v>
      </c>
      <c r="J5675" t="s">
        <v>307</v>
      </c>
      <c r="K5675" t="str">
        <f>IFERROR(IF(AND(VLOOKUP($C5675,Hes!$A:$B, 1, FALSE), $M5675&lt;&gt;" "), "Ingresada", "Falta Ingresar"), " ")</f>
        <v xml:space="preserve"> </v>
      </c>
      <c r="L5675" s="4" t="str">
        <f>IFERROR(VLOOKUP($C5675,Observaciones!$A:$B,2,FALSE)," ")</f>
        <v xml:space="preserve"> </v>
      </c>
      <c r="M5675" t="s">
        <v>681</v>
      </c>
      <c r="O5675" s="5">
        <v>30851925</v>
      </c>
      <c r="P5675" s="5">
        <v>97085</v>
      </c>
      <c r="Q5675" s="5">
        <v>18446</v>
      </c>
      <c r="R5675" s="5">
        <v>115531</v>
      </c>
    </row>
    <row r="5676" spans="1:18" x14ac:dyDescent="0.25">
      <c r="A5676" t="s">
        <v>501</v>
      </c>
      <c r="B5676" t="s">
        <v>494</v>
      </c>
      <c r="C5676">
        <v>99017000</v>
      </c>
      <c r="D5676">
        <v>1</v>
      </c>
      <c r="E5676" t="s">
        <v>1963</v>
      </c>
      <c r="F5676" t="s">
        <v>1961</v>
      </c>
      <c r="G5676" s="1">
        <v>45236</v>
      </c>
      <c r="H5676">
        <v>5412329</v>
      </c>
      <c r="I5676">
        <v>41</v>
      </c>
      <c r="J5676" t="s">
        <v>307</v>
      </c>
      <c r="K5676" t="str">
        <f>IFERROR(IF(AND(VLOOKUP($C5676,Hes!$A:$B, 1, FALSE), $M5676&lt;&gt;" "), "Ingresada", "Falta Ingresar"), " ")</f>
        <v xml:space="preserve"> </v>
      </c>
      <c r="L5676" s="4" t="str">
        <f>IFERROR(VLOOKUP($C5676,Observaciones!$A:$B,2,FALSE)," ")</f>
        <v xml:space="preserve"> </v>
      </c>
      <c r="M5676" t="s">
        <v>681</v>
      </c>
      <c r="O5676" s="5">
        <v>30852052</v>
      </c>
      <c r="P5676" s="5">
        <v>299500</v>
      </c>
      <c r="Q5676" s="5">
        <v>56905</v>
      </c>
      <c r="R5676" s="5">
        <v>356405</v>
      </c>
    </row>
    <row r="5677" spans="1:18" x14ac:dyDescent="0.25">
      <c r="A5677" t="s">
        <v>501</v>
      </c>
      <c r="B5677" t="s">
        <v>494</v>
      </c>
      <c r="C5677">
        <v>99017000</v>
      </c>
      <c r="D5677">
        <v>1</v>
      </c>
      <c r="E5677" t="s">
        <v>1964</v>
      </c>
      <c r="F5677" t="s">
        <v>1961</v>
      </c>
      <c r="G5677" s="1">
        <v>45236</v>
      </c>
      <c r="H5677">
        <v>5413024</v>
      </c>
      <c r="I5677">
        <v>41</v>
      </c>
      <c r="J5677" t="s">
        <v>307</v>
      </c>
      <c r="K5677" t="str">
        <f>IFERROR(IF(AND(VLOOKUP($C5677,Hes!$A:$B, 1, FALSE), $M5677&lt;&gt;" "), "Ingresada", "Falta Ingresar"), " ")</f>
        <v xml:space="preserve"> </v>
      </c>
      <c r="L5677" s="4" t="str">
        <f>IFERROR(VLOOKUP($C5677,Observaciones!$A:$B,2,FALSE)," ")</f>
        <v xml:space="preserve"> </v>
      </c>
      <c r="M5677" t="s">
        <v>681</v>
      </c>
      <c r="O5677" s="5">
        <v>30852714</v>
      </c>
      <c r="P5677" s="5">
        <v>69804</v>
      </c>
      <c r="Q5677" s="5">
        <v>13263</v>
      </c>
      <c r="R5677" s="5">
        <v>83067</v>
      </c>
    </row>
    <row r="5678" spans="1:18" x14ac:dyDescent="0.25">
      <c r="F5678" t="s">
        <v>499</v>
      </c>
      <c r="K5678" t="str">
        <f>IFERROR(IF(AND(VLOOKUP($C5678,Hes!$A:$B, 1, FALSE), $M5678&lt;&gt;" "), "Ingresada", "Falta Ingresar"), " ")</f>
        <v xml:space="preserve"> </v>
      </c>
      <c r="L5678" s="4" t="str">
        <f>IFERROR(VLOOKUP($C5678,Observaciones!$A:$B,2,FALSE)," ")</f>
        <v xml:space="preserve"> </v>
      </c>
      <c r="M5678" t="s">
        <v>681</v>
      </c>
      <c r="P5678" s="5">
        <v>702227</v>
      </c>
      <c r="Q5678" s="5">
        <v>133423</v>
      </c>
      <c r="R5678" s="5">
        <v>835650</v>
      </c>
    </row>
    <row r="5679" spans="1:18" x14ac:dyDescent="0.25">
      <c r="A5679" t="s">
        <v>512</v>
      </c>
      <c r="B5679" t="s">
        <v>494</v>
      </c>
      <c r="C5679">
        <v>99147000</v>
      </c>
      <c r="D5679">
        <v>48</v>
      </c>
      <c r="E5679" t="s">
        <v>1965</v>
      </c>
      <c r="F5679" t="s">
        <v>1966</v>
      </c>
      <c r="G5679" s="1">
        <v>45231</v>
      </c>
      <c r="H5679">
        <v>5410617</v>
      </c>
      <c r="I5679">
        <v>431</v>
      </c>
      <c r="J5679" t="s">
        <v>354</v>
      </c>
      <c r="K5679" t="str">
        <f>IFERROR(IF(AND(VLOOKUP($C5679,Hes!$A:$B, 1, FALSE), $M5679&lt;&gt;" "), "Ingresada", "Falta Ingresar"), " ")</f>
        <v xml:space="preserve"> </v>
      </c>
      <c r="L5679" s="4" t="str">
        <f>IFERROR(VLOOKUP($C5679,Observaciones!$A:$B,2,FALSE)," ")</f>
        <v xml:space="preserve"> </v>
      </c>
      <c r="M5679" t="s">
        <v>681</v>
      </c>
      <c r="O5679" s="5">
        <v>30841073</v>
      </c>
      <c r="P5679" s="5">
        <v>10542</v>
      </c>
      <c r="Q5679" s="5">
        <v>2003</v>
      </c>
      <c r="R5679" s="5">
        <v>12545</v>
      </c>
    </row>
    <row r="5680" spans="1:18" x14ac:dyDescent="0.25">
      <c r="A5680" t="s">
        <v>512</v>
      </c>
      <c r="B5680" t="s">
        <v>494</v>
      </c>
      <c r="C5680">
        <v>99147000</v>
      </c>
      <c r="D5680">
        <v>48</v>
      </c>
      <c r="E5680" t="s">
        <v>1967</v>
      </c>
      <c r="F5680" t="s">
        <v>1966</v>
      </c>
      <c r="G5680" s="1">
        <v>45231</v>
      </c>
      <c r="H5680">
        <v>5410618</v>
      </c>
      <c r="I5680">
        <v>431</v>
      </c>
      <c r="J5680" t="s">
        <v>354</v>
      </c>
      <c r="K5680" t="str">
        <f>IFERROR(IF(AND(VLOOKUP($C5680,Hes!$A:$B, 1, FALSE), $M5680&lt;&gt;" "), "Ingresada", "Falta Ingresar"), " ")</f>
        <v xml:space="preserve"> </v>
      </c>
      <c r="L5680" s="4" t="str">
        <f>IFERROR(VLOOKUP($C5680,Observaciones!$A:$B,2,FALSE)," ")</f>
        <v xml:space="preserve"> </v>
      </c>
      <c r="M5680" t="s">
        <v>681</v>
      </c>
      <c r="O5680" s="5">
        <v>30841215</v>
      </c>
      <c r="P5680" s="5">
        <v>25039</v>
      </c>
      <c r="Q5680" s="5">
        <v>4757</v>
      </c>
      <c r="R5680" s="5">
        <v>29796</v>
      </c>
    </row>
    <row r="5681" spans="1:18" x14ac:dyDescent="0.25">
      <c r="A5681" t="s">
        <v>512</v>
      </c>
      <c r="B5681" t="s">
        <v>494</v>
      </c>
      <c r="C5681">
        <v>99147000</v>
      </c>
      <c r="D5681">
        <v>47</v>
      </c>
      <c r="E5681" t="s">
        <v>1968</v>
      </c>
      <c r="F5681" t="s">
        <v>1966</v>
      </c>
      <c r="G5681" s="1">
        <v>45231</v>
      </c>
      <c r="H5681">
        <v>5410661</v>
      </c>
      <c r="I5681">
        <v>431</v>
      </c>
      <c r="J5681" t="s">
        <v>354</v>
      </c>
      <c r="K5681" t="str">
        <f>IFERROR(IF(AND(VLOOKUP($C5681,Hes!$A:$B, 1, FALSE), $M5681&lt;&gt;" "), "Ingresada", "Falta Ingresar"), " ")</f>
        <v xml:space="preserve"> </v>
      </c>
      <c r="L5681" s="4" t="str">
        <f>IFERROR(VLOOKUP($C5681,Observaciones!$A:$B,2,FALSE)," ")</f>
        <v xml:space="preserve"> </v>
      </c>
      <c r="M5681" t="s">
        <v>681</v>
      </c>
      <c r="O5681" s="5">
        <v>30840984</v>
      </c>
      <c r="P5681" s="5">
        <v>89549</v>
      </c>
      <c r="Q5681" s="5">
        <v>17014</v>
      </c>
      <c r="R5681" s="5">
        <v>106563</v>
      </c>
    </row>
    <row r="5682" spans="1:18" x14ac:dyDescent="0.25">
      <c r="A5682" t="s">
        <v>512</v>
      </c>
      <c r="B5682" t="s">
        <v>494</v>
      </c>
      <c r="C5682">
        <v>99147000</v>
      </c>
      <c r="D5682">
        <v>47</v>
      </c>
      <c r="E5682" t="s">
        <v>1969</v>
      </c>
      <c r="F5682" t="s">
        <v>1966</v>
      </c>
      <c r="G5682" s="1">
        <v>45231</v>
      </c>
      <c r="H5682">
        <v>5410662</v>
      </c>
      <c r="I5682">
        <v>431</v>
      </c>
      <c r="J5682" t="s">
        <v>354</v>
      </c>
      <c r="K5682" t="str">
        <f>IFERROR(IF(AND(VLOOKUP($C5682,Hes!$A:$B, 1, FALSE), $M5682&lt;&gt;" "), "Ingresada", "Falta Ingresar"), " ")</f>
        <v xml:space="preserve"> </v>
      </c>
      <c r="L5682" s="4" t="str">
        <f>IFERROR(VLOOKUP($C5682,Observaciones!$A:$B,2,FALSE)," ")</f>
        <v xml:space="preserve"> </v>
      </c>
      <c r="M5682" t="s">
        <v>681</v>
      </c>
      <c r="O5682" s="5">
        <v>30840986</v>
      </c>
      <c r="P5682" s="5">
        <v>122995</v>
      </c>
      <c r="Q5682" s="5">
        <v>23369</v>
      </c>
      <c r="R5682" s="5">
        <v>146364</v>
      </c>
    </row>
    <row r="5683" spans="1:18" x14ac:dyDescent="0.25">
      <c r="A5683" t="s">
        <v>512</v>
      </c>
      <c r="B5683" t="s">
        <v>494</v>
      </c>
      <c r="C5683">
        <v>99147000</v>
      </c>
      <c r="D5683">
        <v>47</v>
      </c>
      <c r="E5683" t="s">
        <v>1970</v>
      </c>
      <c r="F5683" t="s">
        <v>1966</v>
      </c>
      <c r="G5683" s="1">
        <v>45236</v>
      </c>
      <c r="H5683">
        <v>5412220</v>
      </c>
      <c r="I5683">
        <v>431</v>
      </c>
      <c r="J5683" t="s">
        <v>354</v>
      </c>
      <c r="K5683" t="str">
        <f>IFERROR(IF(AND(VLOOKUP($C5683,Hes!$A:$B, 1, FALSE), $M5683&lt;&gt;" "), "Ingresada", "Falta Ingresar"), " ")</f>
        <v xml:space="preserve"> </v>
      </c>
      <c r="L5683" s="4" t="str">
        <f>IFERROR(VLOOKUP($C5683,Observaciones!$A:$B,2,FALSE)," ")</f>
        <v xml:space="preserve"> </v>
      </c>
      <c r="M5683" t="s">
        <v>681</v>
      </c>
      <c r="O5683" s="5">
        <v>30852218</v>
      </c>
      <c r="P5683" s="5">
        <v>49610</v>
      </c>
      <c r="Q5683" s="5">
        <v>9426</v>
      </c>
      <c r="R5683" s="5">
        <v>59036</v>
      </c>
    </row>
    <row r="5684" spans="1:18" x14ac:dyDescent="0.25">
      <c r="A5684" t="s">
        <v>512</v>
      </c>
      <c r="B5684" t="s">
        <v>494</v>
      </c>
      <c r="C5684">
        <v>99147000</v>
      </c>
      <c r="D5684">
        <v>56</v>
      </c>
      <c r="E5684" t="s">
        <v>1971</v>
      </c>
      <c r="F5684" t="s">
        <v>1966</v>
      </c>
      <c r="G5684" s="1">
        <v>45236</v>
      </c>
      <c r="H5684">
        <v>5412289</v>
      </c>
      <c r="I5684">
        <v>431</v>
      </c>
      <c r="J5684" t="s">
        <v>354</v>
      </c>
      <c r="K5684" t="str">
        <f>IFERROR(IF(AND(VLOOKUP($C5684,Hes!$A:$B, 1, FALSE), $M5684&lt;&gt;" "), "Ingresada", "Falta Ingresar"), " ")</f>
        <v xml:space="preserve"> </v>
      </c>
      <c r="L5684" s="4" t="str">
        <f>IFERROR(VLOOKUP($C5684,Observaciones!$A:$B,2,FALSE)," ")</f>
        <v xml:space="preserve"> </v>
      </c>
      <c r="M5684" t="s">
        <v>681</v>
      </c>
      <c r="O5684" s="5">
        <v>30852037</v>
      </c>
      <c r="P5684" s="5">
        <v>18405</v>
      </c>
      <c r="Q5684" s="5">
        <v>3497</v>
      </c>
      <c r="R5684" s="5">
        <v>21902</v>
      </c>
    </row>
    <row r="5685" spans="1:18" x14ac:dyDescent="0.25">
      <c r="A5685" t="s">
        <v>512</v>
      </c>
      <c r="B5685" t="s">
        <v>494</v>
      </c>
      <c r="C5685">
        <v>99147000</v>
      </c>
      <c r="D5685">
        <v>28</v>
      </c>
      <c r="E5685">
        <v>30861214</v>
      </c>
      <c r="F5685" t="s">
        <v>1966</v>
      </c>
      <c r="G5685" s="1">
        <v>45238</v>
      </c>
      <c r="H5685">
        <v>5414955</v>
      </c>
      <c r="I5685">
        <v>431</v>
      </c>
      <c r="J5685" t="s">
        <v>354</v>
      </c>
      <c r="K5685" t="str">
        <f>IFERROR(IF(AND(VLOOKUP($C5685,Hes!$A:$B, 1, FALSE), $M5685&lt;&gt;" "), "Ingresada", "Falta Ingresar"), " ")</f>
        <v xml:space="preserve"> </v>
      </c>
      <c r="L5685" s="4" t="str">
        <f>IFERROR(VLOOKUP($C5685,Observaciones!$A:$B,2,FALSE)," ")</f>
        <v xml:space="preserve"> </v>
      </c>
      <c r="M5685" t="s">
        <v>681</v>
      </c>
      <c r="O5685" s="5">
        <v>30861214</v>
      </c>
      <c r="P5685" s="5">
        <v>29253</v>
      </c>
      <c r="Q5685" s="5">
        <v>5558</v>
      </c>
      <c r="R5685" s="5">
        <v>34811</v>
      </c>
    </row>
    <row r="5686" spans="1:18" x14ac:dyDescent="0.25">
      <c r="A5686" t="s">
        <v>512</v>
      </c>
      <c r="B5686" t="s">
        <v>494</v>
      </c>
      <c r="C5686">
        <v>99147000</v>
      </c>
      <c r="D5686">
        <v>53</v>
      </c>
      <c r="E5686" t="s">
        <v>1972</v>
      </c>
      <c r="F5686" t="s">
        <v>1966</v>
      </c>
      <c r="G5686" s="1">
        <v>45238</v>
      </c>
      <c r="H5686">
        <v>5415490</v>
      </c>
      <c r="I5686">
        <v>431</v>
      </c>
      <c r="J5686" t="s">
        <v>354</v>
      </c>
      <c r="K5686" t="str">
        <f>IFERROR(IF(AND(VLOOKUP($C5686,Hes!$A:$B, 1, FALSE), $M5686&lt;&gt;" "), "Ingresada", "Falta Ingresar"), " ")</f>
        <v xml:space="preserve"> </v>
      </c>
      <c r="L5686" s="4" t="str">
        <f>IFERROR(VLOOKUP($C5686,Observaciones!$A:$B,2,FALSE)," ")</f>
        <v xml:space="preserve"> </v>
      </c>
      <c r="M5686" t="s">
        <v>681</v>
      </c>
      <c r="O5686" s="5">
        <v>30865924</v>
      </c>
      <c r="P5686" s="5">
        <v>11662</v>
      </c>
      <c r="Q5686" s="5">
        <v>2216</v>
      </c>
      <c r="R5686" s="5">
        <v>13878</v>
      </c>
    </row>
    <row r="5687" spans="1:18" x14ac:dyDescent="0.25">
      <c r="A5687" t="s">
        <v>512</v>
      </c>
      <c r="B5687" t="s">
        <v>494</v>
      </c>
      <c r="C5687">
        <v>99147000</v>
      </c>
      <c r="D5687">
        <v>53</v>
      </c>
      <c r="E5687" t="s">
        <v>1973</v>
      </c>
      <c r="F5687" t="s">
        <v>1966</v>
      </c>
      <c r="G5687" s="1">
        <v>45238</v>
      </c>
      <c r="H5687">
        <v>5415678</v>
      </c>
      <c r="I5687">
        <v>431</v>
      </c>
      <c r="J5687" t="s">
        <v>354</v>
      </c>
      <c r="K5687" t="str">
        <f>IFERROR(IF(AND(VLOOKUP($C5687,Hes!$A:$B, 1, FALSE), $M5687&lt;&gt;" "), "Ingresada", "Falta Ingresar"), " ")</f>
        <v xml:space="preserve"> </v>
      </c>
      <c r="L5687" s="4" t="str">
        <f>IFERROR(VLOOKUP($C5687,Observaciones!$A:$B,2,FALSE)," ")</f>
        <v xml:space="preserve"> </v>
      </c>
      <c r="M5687" t="s">
        <v>681</v>
      </c>
      <c r="O5687" s="5">
        <v>30865893</v>
      </c>
      <c r="P5687" s="5">
        <v>28144</v>
      </c>
      <c r="Q5687" s="5">
        <v>5347</v>
      </c>
      <c r="R5687" s="5">
        <v>33491</v>
      </c>
    </row>
    <row r="5688" spans="1:18" x14ac:dyDescent="0.25">
      <c r="F5688" t="s">
        <v>514</v>
      </c>
      <c r="K5688" t="str">
        <f>IFERROR(IF(AND(VLOOKUP($C5688,Hes!$A:$B, 1, FALSE), $M5688&lt;&gt;" "), "Ingresada", "Falta Ingresar"), " ")</f>
        <v xml:space="preserve"> </v>
      </c>
      <c r="L5688" s="4" t="str">
        <f>IFERROR(VLOOKUP($C5688,Observaciones!$A:$B,2,FALSE)," ")</f>
        <v xml:space="preserve"> </v>
      </c>
      <c r="M5688" t="s">
        <v>681</v>
      </c>
      <c r="P5688" s="5">
        <v>385199</v>
      </c>
      <c r="Q5688" s="5">
        <v>73187</v>
      </c>
      <c r="R5688" s="5">
        <v>458386</v>
      </c>
    </row>
    <row r="5689" spans="1:18" x14ac:dyDescent="0.25">
      <c r="A5689" t="s">
        <v>1216</v>
      </c>
      <c r="B5689" t="s">
        <v>494</v>
      </c>
      <c r="C5689">
        <v>99231000</v>
      </c>
      <c r="D5689">
        <v>106</v>
      </c>
      <c r="E5689">
        <v>30841331</v>
      </c>
      <c r="F5689" t="s">
        <v>1974</v>
      </c>
      <c r="G5689" s="1">
        <v>45231</v>
      </c>
      <c r="H5689">
        <v>5410615</v>
      </c>
      <c r="I5689">
        <v>100</v>
      </c>
      <c r="J5689" t="s">
        <v>384</v>
      </c>
      <c r="K5689" t="str">
        <f>IFERROR(IF(AND(VLOOKUP($C5689,Hes!$A:$B, 1, FALSE), $M5689&lt;&gt;" "), "Ingresada", "Falta Ingresar"), " ")</f>
        <v xml:space="preserve"> </v>
      </c>
      <c r="L5689" s="4" t="str">
        <f>IFERROR(VLOOKUP($C5689,Observaciones!$A:$B,2,FALSE)," ")</f>
        <v>XRUT AL CC COSTO</v>
      </c>
      <c r="M5689" t="s">
        <v>681</v>
      </c>
      <c r="O5689" s="5">
        <v>30841331</v>
      </c>
      <c r="P5689" s="5">
        <v>52704</v>
      </c>
      <c r="Q5689" s="5">
        <v>10014</v>
      </c>
      <c r="R5689" s="5">
        <v>62718</v>
      </c>
    </row>
    <row r="5690" spans="1:18" x14ac:dyDescent="0.25">
      <c r="A5690" t="s">
        <v>1216</v>
      </c>
      <c r="B5690" t="s">
        <v>494</v>
      </c>
      <c r="C5690">
        <v>99231000</v>
      </c>
      <c r="D5690">
        <v>107</v>
      </c>
      <c r="E5690">
        <v>30844876</v>
      </c>
      <c r="F5690" t="s">
        <v>1974</v>
      </c>
      <c r="G5690" s="1">
        <v>45231</v>
      </c>
      <c r="H5690">
        <v>5410660</v>
      </c>
      <c r="I5690">
        <v>100</v>
      </c>
      <c r="J5690" t="s">
        <v>384</v>
      </c>
      <c r="K5690" t="str">
        <f>IFERROR(IF(AND(VLOOKUP($C5690,Hes!$A:$B, 1, FALSE), $M5690&lt;&gt;" "), "Ingresada", "Falta Ingresar"), " ")</f>
        <v xml:space="preserve"> </v>
      </c>
      <c r="L5690" s="4" t="str">
        <f>IFERROR(VLOOKUP($C5690,Observaciones!$A:$B,2,FALSE)," ")</f>
        <v>XRUT AL CC COSTO</v>
      </c>
      <c r="M5690" t="s">
        <v>681</v>
      </c>
      <c r="O5690" s="5">
        <v>30844876</v>
      </c>
      <c r="P5690" s="5">
        <v>29945</v>
      </c>
      <c r="Q5690" s="5">
        <v>5690</v>
      </c>
      <c r="R5690" s="5">
        <v>35635</v>
      </c>
    </row>
    <row r="5691" spans="1:18" x14ac:dyDescent="0.25">
      <c r="A5691" t="s">
        <v>1216</v>
      </c>
      <c r="B5691" t="s">
        <v>494</v>
      </c>
      <c r="C5691">
        <v>99231000</v>
      </c>
      <c r="D5691">
        <v>105</v>
      </c>
      <c r="E5691">
        <v>30847870</v>
      </c>
      <c r="F5691" t="s">
        <v>1974</v>
      </c>
      <c r="G5691" s="1">
        <v>45232</v>
      </c>
      <c r="H5691">
        <v>5411160</v>
      </c>
      <c r="I5691">
        <v>100</v>
      </c>
      <c r="J5691" t="s">
        <v>384</v>
      </c>
      <c r="K5691" t="str">
        <f>IFERROR(IF(AND(VLOOKUP($C5691,Hes!$A:$B, 1, FALSE), $M5691&lt;&gt;" "), "Ingresada", "Falta Ingresar"), " ")</f>
        <v xml:space="preserve"> </v>
      </c>
      <c r="L5691" s="4" t="str">
        <f>IFERROR(VLOOKUP($C5691,Observaciones!$A:$B,2,FALSE)," ")</f>
        <v>XRUT AL CC COSTO</v>
      </c>
      <c r="M5691" t="s">
        <v>681</v>
      </c>
      <c r="O5691" s="5">
        <v>30847870</v>
      </c>
      <c r="P5691" s="5">
        <v>137199</v>
      </c>
      <c r="Q5691" s="5">
        <v>26068</v>
      </c>
      <c r="R5691" s="5">
        <v>163267</v>
      </c>
    </row>
    <row r="5692" spans="1:18" x14ac:dyDescent="0.25">
      <c r="A5692" t="s">
        <v>1216</v>
      </c>
      <c r="B5692" t="s">
        <v>494</v>
      </c>
      <c r="C5692">
        <v>99231000</v>
      </c>
      <c r="D5692">
        <v>104</v>
      </c>
      <c r="E5692">
        <v>30847745</v>
      </c>
      <c r="F5692" t="s">
        <v>1974</v>
      </c>
      <c r="G5692" s="1">
        <v>45232</v>
      </c>
      <c r="H5692">
        <v>5411196</v>
      </c>
      <c r="I5692">
        <v>100</v>
      </c>
      <c r="J5692" t="s">
        <v>384</v>
      </c>
      <c r="K5692" t="str">
        <f>IFERROR(IF(AND(VLOOKUP($C5692,Hes!$A:$B, 1, FALSE), $M5692&lt;&gt;" "), "Ingresada", "Falta Ingresar"), " ")</f>
        <v xml:space="preserve"> </v>
      </c>
      <c r="L5692" s="4" t="str">
        <f>IFERROR(VLOOKUP($C5692,Observaciones!$A:$B,2,FALSE)," ")</f>
        <v>XRUT AL CC COSTO</v>
      </c>
      <c r="M5692" t="s">
        <v>681</v>
      </c>
      <c r="O5692" s="5">
        <v>30847745</v>
      </c>
      <c r="P5692" s="5">
        <v>41178</v>
      </c>
      <c r="Q5692" s="5">
        <v>7824</v>
      </c>
      <c r="R5692" s="5">
        <v>49002</v>
      </c>
    </row>
    <row r="5693" spans="1:18" x14ac:dyDescent="0.25">
      <c r="A5693" t="s">
        <v>1216</v>
      </c>
      <c r="B5693" t="s">
        <v>494</v>
      </c>
      <c r="C5693">
        <v>99231000</v>
      </c>
      <c r="D5693">
        <v>120</v>
      </c>
      <c r="E5693">
        <v>30852197</v>
      </c>
      <c r="F5693" t="s">
        <v>1974</v>
      </c>
      <c r="G5693" s="1">
        <v>45236</v>
      </c>
      <c r="H5693">
        <v>5413268</v>
      </c>
      <c r="I5693">
        <v>100</v>
      </c>
      <c r="J5693" t="s">
        <v>384</v>
      </c>
      <c r="K5693" t="str">
        <f>IFERROR(IF(AND(VLOOKUP($C5693,Hes!$A:$B, 1, FALSE), $M5693&lt;&gt;" "), "Ingresada", "Falta Ingresar"), " ")</f>
        <v xml:space="preserve"> </v>
      </c>
      <c r="L5693" s="4" t="str">
        <f>IFERROR(VLOOKUP($C5693,Observaciones!$A:$B,2,FALSE)," ")</f>
        <v>XRUT AL CC COSTO</v>
      </c>
      <c r="M5693" t="s">
        <v>681</v>
      </c>
      <c r="O5693" s="5">
        <v>30852197</v>
      </c>
      <c r="P5693" s="5">
        <v>25037</v>
      </c>
      <c r="Q5693" s="5">
        <v>4757</v>
      </c>
      <c r="R5693" s="5">
        <v>29794</v>
      </c>
    </row>
    <row r="5694" spans="1:18" x14ac:dyDescent="0.25">
      <c r="A5694" t="s">
        <v>1216</v>
      </c>
      <c r="B5694" t="s">
        <v>494</v>
      </c>
      <c r="C5694">
        <v>99231000</v>
      </c>
      <c r="D5694">
        <v>104</v>
      </c>
      <c r="E5694">
        <v>30863043</v>
      </c>
      <c r="F5694" t="s">
        <v>1974</v>
      </c>
      <c r="G5694" s="1">
        <v>45238</v>
      </c>
      <c r="H5694">
        <v>5414921</v>
      </c>
      <c r="I5694">
        <v>100</v>
      </c>
      <c r="J5694" t="s">
        <v>384</v>
      </c>
      <c r="K5694" t="str">
        <f>IFERROR(IF(AND(VLOOKUP($C5694,Hes!$A:$B, 1, FALSE), $M5694&lt;&gt;" "), "Ingresada", "Falta Ingresar"), " ")</f>
        <v xml:space="preserve"> </v>
      </c>
      <c r="L5694" s="4" t="str">
        <f>IFERROR(VLOOKUP($C5694,Observaciones!$A:$B,2,FALSE)," ")</f>
        <v>XRUT AL CC COSTO</v>
      </c>
      <c r="M5694" t="s">
        <v>681</v>
      </c>
      <c r="O5694" s="5">
        <v>30863043</v>
      </c>
      <c r="P5694" s="5">
        <v>39876</v>
      </c>
      <c r="Q5694" s="5">
        <v>7576</v>
      </c>
      <c r="R5694" s="5">
        <v>47452</v>
      </c>
    </row>
    <row r="5695" spans="1:18" x14ac:dyDescent="0.25">
      <c r="A5695" t="s">
        <v>1216</v>
      </c>
      <c r="B5695" t="s">
        <v>494</v>
      </c>
      <c r="C5695">
        <v>99231000</v>
      </c>
      <c r="D5695">
        <v>103</v>
      </c>
      <c r="E5695">
        <v>30862021</v>
      </c>
      <c r="F5695" t="s">
        <v>1974</v>
      </c>
      <c r="G5695" s="1">
        <v>45238</v>
      </c>
      <c r="H5695">
        <v>5415640</v>
      </c>
      <c r="I5695">
        <v>100</v>
      </c>
      <c r="J5695" t="s">
        <v>384</v>
      </c>
      <c r="K5695" t="str">
        <f>IFERROR(IF(AND(VLOOKUP($C5695,Hes!$A:$B, 1, FALSE), $M5695&lt;&gt;" "), "Ingresada", "Falta Ingresar"), " ")</f>
        <v xml:space="preserve"> </v>
      </c>
      <c r="L5695" s="4" t="str">
        <f>IFERROR(VLOOKUP($C5695,Observaciones!$A:$B,2,FALSE)," ")</f>
        <v>XRUT AL CC COSTO</v>
      </c>
      <c r="M5695" t="s">
        <v>681</v>
      </c>
      <c r="O5695" s="5">
        <v>30862021</v>
      </c>
      <c r="P5695" s="5">
        <v>22116</v>
      </c>
      <c r="Q5695" s="5">
        <v>4202</v>
      </c>
      <c r="R5695" s="5">
        <v>26318</v>
      </c>
    </row>
    <row r="5696" spans="1:18" x14ac:dyDescent="0.25">
      <c r="A5696" t="s">
        <v>1216</v>
      </c>
      <c r="B5696" t="s">
        <v>494</v>
      </c>
      <c r="C5696">
        <v>99231000</v>
      </c>
      <c r="D5696">
        <v>123</v>
      </c>
      <c r="E5696">
        <v>30867132</v>
      </c>
      <c r="F5696" t="s">
        <v>1974</v>
      </c>
      <c r="G5696" s="1">
        <v>45238</v>
      </c>
      <c r="H5696">
        <v>5415644</v>
      </c>
      <c r="I5696">
        <v>100</v>
      </c>
      <c r="J5696" t="s">
        <v>384</v>
      </c>
      <c r="K5696" t="str">
        <f>IFERROR(IF(AND(VLOOKUP($C5696,Hes!$A:$B, 1, FALSE), $M5696&lt;&gt;" "), "Ingresada", "Falta Ingresar"), " ")</f>
        <v xml:space="preserve"> </v>
      </c>
      <c r="L5696" s="4" t="str">
        <f>IFERROR(VLOOKUP($C5696,Observaciones!$A:$B,2,FALSE)," ")</f>
        <v>XRUT AL CC COSTO</v>
      </c>
      <c r="M5696" t="s">
        <v>681</v>
      </c>
      <c r="O5696" s="5">
        <v>30867132</v>
      </c>
      <c r="P5696" s="5">
        <v>171900</v>
      </c>
      <c r="Q5696" s="5">
        <v>32661</v>
      </c>
      <c r="R5696" s="5">
        <v>204561</v>
      </c>
    </row>
    <row r="5697" spans="1:18" x14ac:dyDescent="0.25">
      <c r="F5697" t="s">
        <v>511</v>
      </c>
      <c r="K5697" t="str">
        <f>IFERROR(IF(AND(VLOOKUP($C5697,Hes!$A:$B, 1, FALSE), $M5697&lt;&gt;" "), "Ingresada", "Falta Ingresar"), " ")</f>
        <v xml:space="preserve"> </v>
      </c>
      <c r="L5697" s="4" t="str">
        <f>IFERROR(VLOOKUP($C5697,Observaciones!$A:$B,2,FALSE)," ")</f>
        <v xml:space="preserve"> </v>
      </c>
      <c r="M5697" t="s">
        <v>681</v>
      </c>
      <c r="P5697" s="5">
        <v>519955</v>
      </c>
      <c r="Q5697" s="5">
        <v>98792</v>
      </c>
      <c r="R5697" s="5">
        <v>618747</v>
      </c>
    </row>
    <row r="5698" spans="1:18" x14ac:dyDescent="0.25">
      <c r="A5698" t="s">
        <v>501</v>
      </c>
      <c r="B5698" t="s">
        <v>494</v>
      </c>
      <c r="C5698">
        <v>99279000</v>
      </c>
      <c r="D5698">
        <v>106</v>
      </c>
      <c r="E5698" t="s">
        <v>1975</v>
      </c>
      <c r="F5698" t="s">
        <v>1976</v>
      </c>
      <c r="G5698" s="1">
        <v>45236</v>
      </c>
      <c r="H5698">
        <v>5412358</v>
      </c>
      <c r="I5698">
        <v>341</v>
      </c>
      <c r="J5698" t="s">
        <v>362</v>
      </c>
      <c r="K5698" t="str">
        <f>IFERROR(IF(AND(VLOOKUP($C5698,Hes!$A:$B, 1, FALSE), $M5698&lt;&gt;" "), "Ingresada", "Falta Ingresar"), " ")</f>
        <v xml:space="preserve"> </v>
      </c>
      <c r="L5698" s="4" t="str">
        <f>IFERROR(VLOOKUP($C5698,Observaciones!$A:$B,2,FALSE)," ")</f>
        <v xml:space="preserve"> </v>
      </c>
      <c r="M5698" t="s">
        <v>681</v>
      </c>
      <c r="O5698" s="5">
        <v>30850734</v>
      </c>
      <c r="P5698" s="5">
        <v>1071017</v>
      </c>
      <c r="Q5698" s="5">
        <v>203493</v>
      </c>
      <c r="R5698" s="5">
        <v>1330740</v>
      </c>
    </row>
    <row r="5699" spans="1:18" x14ac:dyDescent="0.25">
      <c r="F5699" t="s">
        <v>495</v>
      </c>
      <c r="K5699" t="str">
        <f>IFERROR(IF(AND(VLOOKUP($C5699,Hes!$A:$B, 1, FALSE), $M5699&lt;&gt;" "), "Ingresada", "Falta Ingresar"), " ")</f>
        <v xml:space="preserve"> </v>
      </c>
      <c r="L5699" s="4" t="str">
        <f>IFERROR(VLOOKUP($C5699,Observaciones!$A:$B,2,FALSE)," ")</f>
        <v xml:space="preserve"> </v>
      </c>
      <c r="M5699" t="s">
        <v>681</v>
      </c>
      <c r="P5699" s="5">
        <v>1071017</v>
      </c>
      <c r="Q5699" s="5">
        <v>203493</v>
      </c>
      <c r="R5699" s="5">
        <v>1330740</v>
      </c>
    </row>
    <row r="5700" spans="1:18" x14ac:dyDescent="0.25">
      <c r="A5700" t="s">
        <v>496</v>
      </c>
      <c r="B5700" t="s">
        <v>494</v>
      </c>
      <c r="C5700">
        <v>99289000</v>
      </c>
      <c r="D5700">
        <v>16</v>
      </c>
      <c r="E5700" t="s">
        <v>1977</v>
      </c>
      <c r="F5700" t="s">
        <v>672</v>
      </c>
      <c r="G5700" s="1">
        <v>45237</v>
      </c>
      <c r="H5700">
        <v>5414270</v>
      </c>
      <c r="I5700">
        <v>81</v>
      </c>
      <c r="J5700" t="s">
        <v>144</v>
      </c>
      <c r="K5700" s="8" t="str">
        <f>IFERROR(IF(AND(VLOOKUP($C5700,Hes!$A:$B, 1, FALSE), $M5700&lt;&gt;" "), "Ingresada", "Falta Ingresar"), " ")</f>
        <v>Falta Ingresar</v>
      </c>
      <c r="L5700" s="4" t="s">
        <v>681</v>
      </c>
      <c r="M5700" t="s">
        <v>681</v>
      </c>
      <c r="N5700" s="5" t="s">
        <v>841</v>
      </c>
      <c r="O5700" s="5">
        <v>30859471</v>
      </c>
      <c r="P5700" s="5">
        <v>146185</v>
      </c>
      <c r="Q5700" s="5">
        <v>27775</v>
      </c>
      <c r="R5700" s="5">
        <v>173960</v>
      </c>
    </row>
    <row r="5701" spans="1:18" x14ac:dyDescent="0.25">
      <c r="A5701" t="s">
        <v>496</v>
      </c>
      <c r="B5701" t="s">
        <v>494</v>
      </c>
      <c r="C5701">
        <v>99289000</v>
      </c>
      <c r="D5701">
        <v>0</v>
      </c>
      <c r="E5701" t="s">
        <v>1978</v>
      </c>
      <c r="F5701" t="s">
        <v>672</v>
      </c>
      <c r="G5701" s="1">
        <v>45237</v>
      </c>
      <c r="H5701">
        <v>5414280</v>
      </c>
      <c r="I5701">
        <v>81</v>
      </c>
      <c r="J5701" t="s">
        <v>144</v>
      </c>
      <c r="K5701" s="8" t="str">
        <f>IFERROR(IF(AND(VLOOKUP($C5701,Hes!$A:$B, 1, FALSE), $M5701&lt;&gt;" "), "Ingresada", "Falta Ingresar"), " ")</f>
        <v>Falta Ingresar</v>
      </c>
      <c r="L5701" s="4" t="s">
        <v>681</v>
      </c>
      <c r="M5701" t="s">
        <v>681</v>
      </c>
      <c r="N5701" s="5" t="s">
        <v>841</v>
      </c>
      <c r="O5701" s="5">
        <v>30859596</v>
      </c>
      <c r="P5701" s="5">
        <v>101678</v>
      </c>
      <c r="Q5701" s="5">
        <v>19319</v>
      </c>
      <c r="R5701" s="5">
        <v>120997</v>
      </c>
    </row>
    <row r="5702" spans="1:18" x14ac:dyDescent="0.25">
      <c r="A5702" t="s">
        <v>496</v>
      </c>
      <c r="B5702" t="s">
        <v>494</v>
      </c>
      <c r="C5702">
        <v>99289000</v>
      </c>
      <c r="D5702">
        <v>28</v>
      </c>
      <c r="E5702" t="s">
        <v>1979</v>
      </c>
      <c r="F5702" t="s">
        <v>672</v>
      </c>
      <c r="G5702" s="1">
        <v>45238</v>
      </c>
      <c r="H5702">
        <v>5415004</v>
      </c>
      <c r="I5702">
        <v>81</v>
      </c>
      <c r="J5702" t="s">
        <v>144</v>
      </c>
      <c r="K5702" s="8" t="str">
        <f>IFERROR(IF(AND(VLOOKUP($C5702,Hes!$A:$B, 1, FALSE), $M5702&lt;&gt;" "), "Ingresada", "Falta Ingresar"), " ")</f>
        <v>Falta Ingresar</v>
      </c>
      <c r="L5702" s="4" t="s">
        <v>681</v>
      </c>
      <c r="M5702" t="s">
        <v>681</v>
      </c>
      <c r="N5702" s="5" t="s">
        <v>841</v>
      </c>
      <c r="O5702" s="5">
        <v>30859412</v>
      </c>
      <c r="P5702" s="5">
        <v>188696</v>
      </c>
      <c r="Q5702" s="5">
        <v>35852</v>
      </c>
      <c r="R5702" s="5">
        <v>224548</v>
      </c>
    </row>
    <row r="5703" spans="1:18" x14ac:dyDescent="0.25">
      <c r="A5703" t="s">
        <v>496</v>
      </c>
      <c r="B5703" t="s">
        <v>494</v>
      </c>
      <c r="C5703">
        <v>99289000</v>
      </c>
      <c r="D5703">
        <v>5</v>
      </c>
      <c r="E5703" t="s">
        <v>1980</v>
      </c>
      <c r="F5703" t="s">
        <v>672</v>
      </c>
      <c r="G5703" s="1">
        <v>45238</v>
      </c>
      <c r="H5703">
        <v>5415380</v>
      </c>
      <c r="I5703">
        <v>81</v>
      </c>
      <c r="J5703" t="s">
        <v>144</v>
      </c>
      <c r="K5703" s="8" t="str">
        <f>IFERROR(IF(AND(VLOOKUP($C5703,Hes!$A:$B, 1, FALSE), $M5703&lt;&gt;" "), "Ingresada", "Falta Ingresar"), " ")</f>
        <v>Falta Ingresar</v>
      </c>
      <c r="L5703" s="4" t="s">
        <v>681</v>
      </c>
      <c r="M5703" t="s">
        <v>681</v>
      </c>
      <c r="N5703" s="5" t="s">
        <v>841</v>
      </c>
      <c r="O5703" s="5">
        <v>30864128</v>
      </c>
      <c r="P5703" s="5">
        <v>121664</v>
      </c>
      <c r="Q5703" s="5">
        <v>23116</v>
      </c>
      <c r="R5703" s="5">
        <v>144780</v>
      </c>
    </row>
    <row r="5704" spans="1:18" x14ac:dyDescent="0.25">
      <c r="F5704" t="s">
        <v>498</v>
      </c>
      <c r="K5704" t="str">
        <f>IFERROR(IF(AND(VLOOKUP($C5704,Hes!$A:$B, 1, FALSE), $M5704&lt;&gt;" "), "Ingresada", "Falta Ingresar"), " ")</f>
        <v xml:space="preserve"> </v>
      </c>
      <c r="L5704" s="4" t="str">
        <f>IFERROR(VLOOKUP($C5704,Observaciones!$A:$B,2,FALSE)," ")</f>
        <v xml:space="preserve"> </v>
      </c>
      <c r="M5704" t="s">
        <v>681</v>
      </c>
      <c r="P5704" s="5">
        <v>558223</v>
      </c>
      <c r="Q5704" s="5">
        <v>106062</v>
      </c>
      <c r="R5704" s="5">
        <v>664285</v>
      </c>
    </row>
    <row r="5705" spans="1:18" x14ac:dyDescent="0.25">
      <c r="A5705" t="s">
        <v>496</v>
      </c>
      <c r="B5705" t="s">
        <v>494</v>
      </c>
      <c r="C5705">
        <v>99500410</v>
      </c>
      <c r="D5705">
        <v>31</v>
      </c>
      <c r="E5705">
        <v>30845194</v>
      </c>
      <c r="F5705" t="s">
        <v>1981</v>
      </c>
      <c r="G5705" s="1">
        <v>45232</v>
      </c>
      <c r="H5705">
        <v>5410743</v>
      </c>
      <c r="I5705">
        <v>81</v>
      </c>
      <c r="J5705" t="s">
        <v>144</v>
      </c>
      <c r="K5705" t="str">
        <f>IFERROR(IF(AND(VLOOKUP($C5705,Hes!$A:$B, 1, FALSE), $M5705&lt;&gt;" "), "Ingresada", "Falta Ingresar"), " ")</f>
        <v xml:space="preserve"> </v>
      </c>
      <c r="L5705" s="4" t="s">
        <v>681</v>
      </c>
      <c r="M5705" t="s">
        <v>681</v>
      </c>
      <c r="O5705" s="5">
        <v>30845194</v>
      </c>
      <c r="P5705" s="5">
        <v>16256</v>
      </c>
      <c r="Q5705" s="5">
        <v>3089</v>
      </c>
      <c r="R5705" s="5">
        <v>19345</v>
      </c>
    </row>
    <row r="5706" spans="1:18" x14ac:dyDescent="0.25">
      <c r="A5706" t="s">
        <v>496</v>
      </c>
      <c r="B5706" t="s">
        <v>494</v>
      </c>
      <c r="C5706">
        <v>99500410</v>
      </c>
      <c r="D5706">
        <v>18</v>
      </c>
      <c r="E5706">
        <v>30845491</v>
      </c>
      <c r="F5706" t="s">
        <v>1981</v>
      </c>
      <c r="G5706" s="1">
        <v>45232</v>
      </c>
      <c r="H5706">
        <v>5410790</v>
      </c>
      <c r="I5706">
        <v>81</v>
      </c>
      <c r="J5706" t="s">
        <v>144</v>
      </c>
      <c r="K5706" t="str">
        <f>IFERROR(IF(AND(VLOOKUP($C5706,Hes!$A:$B, 1, FALSE), $M5706&lt;&gt;" "), "Ingresada", "Falta Ingresar"), " ")</f>
        <v xml:space="preserve"> </v>
      </c>
      <c r="L5706" s="4" t="s">
        <v>681</v>
      </c>
      <c r="M5706" t="s">
        <v>681</v>
      </c>
      <c r="O5706" s="5">
        <v>30845491</v>
      </c>
      <c r="P5706" s="5">
        <v>34283</v>
      </c>
      <c r="Q5706" s="5">
        <v>6514</v>
      </c>
      <c r="R5706" s="5">
        <v>40797</v>
      </c>
    </row>
    <row r="5707" spans="1:18" x14ac:dyDescent="0.25">
      <c r="A5707" t="s">
        <v>496</v>
      </c>
      <c r="B5707" t="s">
        <v>494</v>
      </c>
      <c r="C5707">
        <v>99500410</v>
      </c>
      <c r="D5707">
        <v>77</v>
      </c>
      <c r="E5707">
        <v>30852126</v>
      </c>
      <c r="F5707" t="s">
        <v>1981</v>
      </c>
      <c r="G5707" s="1">
        <v>45236</v>
      </c>
      <c r="H5707">
        <v>5412941</v>
      </c>
      <c r="I5707">
        <v>81</v>
      </c>
      <c r="J5707" t="s">
        <v>144</v>
      </c>
      <c r="K5707" t="str">
        <f>IFERROR(IF(AND(VLOOKUP($C5707,Hes!$A:$B, 1, FALSE), $M5707&lt;&gt;" "), "Ingresada", "Falta Ingresar"), " ")</f>
        <v xml:space="preserve"> </v>
      </c>
      <c r="L5707" s="4" t="s">
        <v>681</v>
      </c>
      <c r="M5707" t="s">
        <v>681</v>
      </c>
      <c r="O5707" s="5">
        <v>30852126</v>
      </c>
      <c r="P5707" s="5">
        <v>349984</v>
      </c>
      <c r="Q5707" s="5">
        <v>66497</v>
      </c>
      <c r="R5707" s="5">
        <v>418175</v>
      </c>
    </row>
    <row r="5708" spans="1:18" x14ac:dyDescent="0.25">
      <c r="A5708" t="s">
        <v>496</v>
      </c>
      <c r="B5708" t="s">
        <v>494</v>
      </c>
      <c r="C5708">
        <v>99500410</v>
      </c>
      <c r="D5708">
        <v>16</v>
      </c>
      <c r="E5708">
        <v>30853169</v>
      </c>
      <c r="F5708" t="s">
        <v>1981</v>
      </c>
      <c r="G5708" s="1">
        <v>45236</v>
      </c>
      <c r="H5708">
        <v>5412947</v>
      </c>
      <c r="I5708">
        <v>81</v>
      </c>
      <c r="J5708" t="s">
        <v>144</v>
      </c>
      <c r="K5708" t="str">
        <f>IFERROR(IF(AND(VLOOKUP($C5708,Hes!$A:$B, 1, FALSE), $M5708&lt;&gt;" "), "Ingresada", "Falta Ingresar"), " ")</f>
        <v xml:space="preserve"> </v>
      </c>
      <c r="L5708" s="4" t="s">
        <v>681</v>
      </c>
      <c r="M5708" t="s">
        <v>681</v>
      </c>
      <c r="O5708" s="5">
        <v>30853169</v>
      </c>
      <c r="P5708" s="5">
        <v>39490</v>
      </c>
      <c r="Q5708" s="5">
        <v>7503</v>
      </c>
      <c r="R5708" s="5">
        <v>47804</v>
      </c>
    </row>
    <row r="5709" spans="1:18" x14ac:dyDescent="0.25">
      <c r="A5709" t="s">
        <v>496</v>
      </c>
      <c r="B5709" t="s">
        <v>494</v>
      </c>
      <c r="C5709">
        <v>99500410</v>
      </c>
      <c r="D5709">
        <v>2</v>
      </c>
      <c r="E5709">
        <v>30850891</v>
      </c>
      <c r="F5709" t="s">
        <v>1981</v>
      </c>
      <c r="G5709" s="1">
        <v>45236</v>
      </c>
      <c r="H5709">
        <v>5412954</v>
      </c>
      <c r="I5709">
        <v>81</v>
      </c>
      <c r="J5709" t="s">
        <v>144</v>
      </c>
      <c r="K5709" t="str">
        <f>IFERROR(IF(AND(VLOOKUP($C5709,Hes!$A:$B, 1, FALSE), $M5709&lt;&gt;" "), "Ingresada", "Falta Ingresar"), " ")</f>
        <v xml:space="preserve"> </v>
      </c>
      <c r="L5709" s="4" t="s">
        <v>681</v>
      </c>
      <c r="M5709" t="s">
        <v>681</v>
      </c>
      <c r="O5709" s="5">
        <v>30850891</v>
      </c>
      <c r="P5709" s="5">
        <v>33940</v>
      </c>
      <c r="Q5709" s="5">
        <v>6449</v>
      </c>
      <c r="R5709" s="5">
        <v>41741</v>
      </c>
    </row>
    <row r="5710" spans="1:18" x14ac:dyDescent="0.25">
      <c r="A5710" t="s">
        <v>496</v>
      </c>
      <c r="B5710" t="s">
        <v>494</v>
      </c>
      <c r="C5710">
        <v>99500410</v>
      </c>
      <c r="D5710">
        <v>7</v>
      </c>
      <c r="E5710">
        <v>30850826</v>
      </c>
      <c r="F5710" t="s">
        <v>1981</v>
      </c>
      <c r="G5710" s="1">
        <v>45236</v>
      </c>
      <c r="H5710">
        <v>5412957</v>
      </c>
      <c r="I5710">
        <v>81</v>
      </c>
      <c r="J5710" t="s">
        <v>144</v>
      </c>
      <c r="K5710" t="str">
        <f>IFERROR(IF(AND(VLOOKUP($C5710,Hes!$A:$B, 1, FALSE), $M5710&lt;&gt;" "), "Ingresada", "Falta Ingresar"), " ")</f>
        <v xml:space="preserve"> </v>
      </c>
      <c r="L5710" s="4" t="s">
        <v>681</v>
      </c>
      <c r="M5710" t="s">
        <v>681</v>
      </c>
      <c r="O5710" s="5">
        <v>30850826</v>
      </c>
      <c r="P5710" s="5">
        <v>68990</v>
      </c>
      <c r="Q5710" s="5">
        <v>13108</v>
      </c>
      <c r="R5710" s="5">
        <v>83450</v>
      </c>
    </row>
    <row r="5711" spans="1:18" x14ac:dyDescent="0.25">
      <c r="A5711" t="s">
        <v>496</v>
      </c>
      <c r="B5711" t="s">
        <v>494</v>
      </c>
      <c r="C5711">
        <v>99500410</v>
      </c>
      <c r="D5711">
        <v>16</v>
      </c>
      <c r="E5711">
        <v>30853111</v>
      </c>
      <c r="F5711" t="s">
        <v>1981</v>
      </c>
      <c r="G5711" s="1">
        <v>45236</v>
      </c>
      <c r="H5711">
        <v>5413270</v>
      </c>
      <c r="I5711">
        <v>81</v>
      </c>
      <c r="J5711" t="s">
        <v>144</v>
      </c>
      <c r="K5711" t="str">
        <f>IFERROR(IF(AND(VLOOKUP($C5711,Hes!$A:$B, 1, FALSE), $M5711&lt;&gt;" "), "Ingresada", "Falta Ingresar"), " ")</f>
        <v xml:space="preserve"> </v>
      </c>
      <c r="L5711" s="4" t="s">
        <v>681</v>
      </c>
      <c r="M5711" t="s">
        <v>681</v>
      </c>
      <c r="O5711" s="5">
        <v>30853111</v>
      </c>
      <c r="P5711" s="5">
        <v>160542</v>
      </c>
      <c r="Q5711" s="5">
        <v>30503</v>
      </c>
      <c r="R5711" s="5">
        <v>194998</v>
      </c>
    </row>
    <row r="5712" spans="1:18" x14ac:dyDescent="0.25">
      <c r="A5712" t="s">
        <v>496</v>
      </c>
      <c r="B5712" t="s">
        <v>494</v>
      </c>
      <c r="C5712">
        <v>99500410</v>
      </c>
      <c r="D5712">
        <v>52</v>
      </c>
      <c r="E5712">
        <v>30853078</v>
      </c>
      <c r="F5712" t="s">
        <v>1981</v>
      </c>
      <c r="G5712" s="1">
        <v>45236</v>
      </c>
      <c r="H5712">
        <v>5413333</v>
      </c>
      <c r="I5712">
        <v>81</v>
      </c>
      <c r="J5712" t="s">
        <v>144</v>
      </c>
      <c r="K5712" t="str">
        <f>IFERROR(IF(AND(VLOOKUP($C5712,Hes!$A:$B, 1, FALSE), $M5712&lt;&gt;" "), "Ingresada", "Falta Ingresar"), " ")</f>
        <v xml:space="preserve"> </v>
      </c>
      <c r="L5712" s="4" t="s">
        <v>681</v>
      </c>
      <c r="M5712" t="s">
        <v>681</v>
      </c>
      <c r="O5712" s="5">
        <v>30853078</v>
      </c>
      <c r="P5712" s="5">
        <v>229919</v>
      </c>
      <c r="Q5712" s="5">
        <v>43685</v>
      </c>
      <c r="R5712" s="5">
        <v>289583</v>
      </c>
    </row>
    <row r="5713" spans="1:18" x14ac:dyDescent="0.25">
      <c r="A5713" t="s">
        <v>496</v>
      </c>
      <c r="B5713" t="s">
        <v>494</v>
      </c>
      <c r="C5713">
        <v>99500410</v>
      </c>
      <c r="D5713">
        <v>51</v>
      </c>
      <c r="E5713">
        <v>30858516</v>
      </c>
      <c r="F5713" t="s">
        <v>1981</v>
      </c>
      <c r="G5713" s="1">
        <v>45237</v>
      </c>
      <c r="H5713">
        <v>5414057</v>
      </c>
      <c r="I5713">
        <v>81</v>
      </c>
      <c r="J5713" t="s">
        <v>144</v>
      </c>
      <c r="K5713" t="str">
        <f>IFERROR(IF(AND(VLOOKUP($C5713,Hes!$A:$B, 1, FALSE), $M5713&lt;&gt;" "), "Ingresada", "Falta Ingresar"), " ")</f>
        <v xml:space="preserve"> </v>
      </c>
      <c r="L5713" s="4" t="s">
        <v>681</v>
      </c>
      <c r="M5713" t="s">
        <v>681</v>
      </c>
      <c r="O5713" s="5">
        <v>30858516</v>
      </c>
      <c r="P5713" s="5">
        <v>11788</v>
      </c>
      <c r="Q5713" s="5">
        <v>2240</v>
      </c>
      <c r="R5713" s="5">
        <v>14028</v>
      </c>
    </row>
    <row r="5714" spans="1:18" x14ac:dyDescent="0.25">
      <c r="A5714" t="s">
        <v>496</v>
      </c>
      <c r="B5714" t="s">
        <v>494</v>
      </c>
      <c r="C5714">
        <v>99500410</v>
      </c>
      <c r="D5714">
        <v>80</v>
      </c>
      <c r="E5714">
        <v>13580</v>
      </c>
      <c r="F5714" t="s">
        <v>1981</v>
      </c>
      <c r="G5714" s="1">
        <v>45238</v>
      </c>
      <c r="H5714">
        <v>5415007</v>
      </c>
      <c r="I5714">
        <v>81</v>
      </c>
      <c r="J5714" t="s">
        <v>144</v>
      </c>
      <c r="K5714" t="str">
        <f>IFERROR(IF(AND(VLOOKUP($C5714,Hes!$A:$B, 1, FALSE), $M5714&lt;&gt;" "), "Ingresada", "Falta Ingresar"), " ")</f>
        <v xml:space="preserve"> </v>
      </c>
      <c r="L5714" s="4" t="s">
        <v>681</v>
      </c>
      <c r="M5714" t="s">
        <v>681</v>
      </c>
      <c r="O5714" s="5">
        <v>30862384</v>
      </c>
      <c r="P5714" s="5">
        <v>250250</v>
      </c>
      <c r="Q5714" s="5">
        <v>47548</v>
      </c>
      <c r="R5714" s="5">
        <v>297798</v>
      </c>
    </row>
    <row r="5715" spans="1:18" x14ac:dyDescent="0.25">
      <c r="A5715" t="s">
        <v>496</v>
      </c>
      <c r="B5715" t="s">
        <v>494</v>
      </c>
      <c r="C5715">
        <v>99500410</v>
      </c>
      <c r="D5715">
        <v>56</v>
      </c>
      <c r="E5715">
        <v>30862667</v>
      </c>
      <c r="F5715" t="s">
        <v>1981</v>
      </c>
      <c r="G5715" s="1">
        <v>45238</v>
      </c>
      <c r="H5715">
        <v>5415175</v>
      </c>
      <c r="I5715">
        <v>81</v>
      </c>
      <c r="J5715" t="s">
        <v>144</v>
      </c>
      <c r="K5715" t="str">
        <f>IFERROR(IF(AND(VLOOKUP($C5715,Hes!$A:$B, 1, FALSE), $M5715&lt;&gt;" "), "Ingresada", "Falta Ingresar"), " ")</f>
        <v xml:space="preserve"> </v>
      </c>
      <c r="L5715" s="4" t="s">
        <v>681</v>
      </c>
      <c r="M5715" t="s">
        <v>681</v>
      </c>
      <c r="O5715" s="5">
        <v>30862667</v>
      </c>
      <c r="P5715" s="5">
        <v>19967</v>
      </c>
      <c r="Q5715" s="5">
        <v>3794</v>
      </c>
      <c r="R5715" s="5">
        <v>23761</v>
      </c>
    </row>
    <row r="5716" spans="1:18" x14ac:dyDescent="0.25">
      <c r="F5716" t="s">
        <v>510</v>
      </c>
      <c r="K5716" t="str">
        <f>IFERROR(IF(AND(VLOOKUP($C5716,Hes!$A:$B, 1, FALSE), $M5716&lt;&gt;" "), "Ingresada", "Falta Ingresar"), " ")</f>
        <v xml:space="preserve"> </v>
      </c>
      <c r="L5716" s="4" t="str">
        <f>IFERROR(VLOOKUP($C5716,Observaciones!$A:$B,2,FALSE)," ")</f>
        <v xml:space="preserve"> </v>
      </c>
      <c r="M5716" t="s">
        <v>681</v>
      </c>
      <c r="P5716" s="5">
        <v>1215409</v>
      </c>
      <c r="Q5716" s="5">
        <v>230930</v>
      </c>
      <c r="R5716" s="5">
        <v>1471480</v>
      </c>
    </row>
    <row r="5717" spans="1:18" x14ac:dyDescent="0.25">
      <c r="A5717" t="s">
        <v>503</v>
      </c>
      <c r="B5717" t="s">
        <v>494</v>
      </c>
      <c r="C5717">
        <v>99501760</v>
      </c>
      <c r="D5717">
        <v>2</v>
      </c>
      <c r="E5717">
        <v>4502181420</v>
      </c>
      <c r="F5717" t="s">
        <v>1982</v>
      </c>
      <c r="G5717" s="1">
        <v>45232</v>
      </c>
      <c r="H5717">
        <v>5411175</v>
      </c>
      <c r="I5717">
        <v>100</v>
      </c>
      <c r="J5717" t="s">
        <v>384</v>
      </c>
      <c r="K5717" s="7" t="str">
        <f>IFERROR(IF(AND(VLOOKUP($C5717,Hes!$A:$B, 1, FALSE), $M5717&lt;&gt;" "), "Ingresada", "Falta Ingresar"), " ")</f>
        <v>Ingresada</v>
      </c>
      <c r="L5717" s="4" t="s">
        <v>681</v>
      </c>
      <c r="M5717">
        <v>5010253675</v>
      </c>
      <c r="N5717" s="5" t="s">
        <v>841</v>
      </c>
      <c r="O5717" s="5">
        <v>30848503</v>
      </c>
      <c r="P5717" s="5">
        <v>25769</v>
      </c>
      <c r="Q5717" s="5">
        <v>4896</v>
      </c>
      <c r="R5717" s="5">
        <v>30665</v>
      </c>
    </row>
    <row r="5718" spans="1:18" x14ac:dyDescent="0.25">
      <c r="A5718" t="s">
        <v>503</v>
      </c>
      <c r="B5718" t="s">
        <v>494</v>
      </c>
      <c r="C5718">
        <v>99501760</v>
      </c>
      <c r="D5718">
        <v>24</v>
      </c>
      <c r="E5718">
        <v>4502175266</v>
      </c>
      <c r="F5718" t="s">
        <v>1983</v>
      </c>
      <c r="G5718" s="1">
        <v>45234</v>
      </c>
      <c r="H5718">
        <v>5411828</v>
      </c>
      <c r="I5718">
        <v>100</v>
      </c>
      <c r="J5718" t="s">
        <v>384</v>
      </c>
      <c r="K5718" s="8" t="str">
        <f>IFERROR(IF(AND(VLOOKUP($C5718,Hes!$A:$B, 1, FALSE), $M5718&lt;&gt;" "), "Ingresada", "Falta Ingresar"), " ")</f>
        <v>Falta Ingresar</v>
      </c>
      <c r="L5718" s="4" t="s">
        <v>681</v>
      </c>
      <c r="M5718" t="s">
        <v>681</v>
      </c>
      <c r="N5718" s="5" t="s">
        <v>841</v>
      </c>
      <c r="O5718" s="5">
        <v>30848715</v>
      </c>
      <c r="P5718" s="5">
        <v>235648</v>
      </c>
      <c r="Q5718" s="5">
        <v>44773</v>
      </c>
      <c r="R5718" s="5">
        <v>280421</v>
      </c>
    </row>
    <row r="5719" spans="1:18" x14ac:dyDescent="0.25">
      <c r="A5719" t="s">
        <v>503</v>
      </c>
      <c r="B5719" t="s">
        <v>494</v>
      </c>
      <c r="C5719">
        <v>99501760</v>
      </c>
      <c r="D5719">
        <v>10</v>
      </c>
      <c r="E5719">
        <v>4502192393</v>
      </c>
      <c r="F5719" t="s">
        <v>1983</v>
      </c>
      <c r="G5719" s="1">
        <v>45236</v>
      </c>
      <c r="H5719">
        <v>5412687</v>
      </c>
      <c r="I5719">
        <v>100</v>
      </c>
      <c r="J5719" t="s">
        <v>384</v>
      </c>
      <c r="K5719" s="8" t="str">
        <f>IFERROR(IF(AND(VLOOKUP($C5719,Hes!$A:$B, 1, FALSE), $M5719&lt;&gt;" "), "Ingresada", "Falta Ingresar"), " ")</f>
        <v>Falta Ingresar</v>
      </c>
      <c r="L5719" s="4" t="s">
        <v>681</v>
      </c>
      <c r="M5719" t="s">
        <v>681</v>
      </c>
      <c r="N5719" s="5" t="s">
        <v>841</v>
      </c>
      <c r="O5719" s="5">
        <v>30854357</v>
      </c>
      <c r="P5719" s="5">
        <v>42752</v>
      </c>
      <c r="Q5719" s="5">
        <v>8123</v>
      </c>
      <c r="R5719" s="5">
        <v>50875</v>
      </c>
    </row>
    <row r="5720" spans="1:18" x14ac:dyDescent="0.25">
      <c r="A5720" t="s">
        <v>503</v>
      </c>
      <c r="B5720" t="s">
        <v>494</v>
      </c>
      <c r="C5720">
        <v>99501760</v>
      </c>
      <c r="D5720">
        <v>10</v>
      </c>
      <c r="E5720">
        <v>4502192392</v>
      </c>
      <c r="F5720" t="s">
        <v>1983</v>
      </c>
      <c r="G5720" s="1">
        <v>45236</v>
      </c>
      <c r="H5720">
        <v>5413670</v>
      </c>
      <c r="I5720">
        <v>100</v>
      </c>
      <c r="J5720" t="s">
        <v>384</v>
      </c>
      <c r="K5720" s="8" t="str">
        <f>IFERROR(IF(AND(VLOOKUP($C5720,Hes!$A:$B, 1, FALSE), $M5720&lt;&gt;" "), "Ingresada", "Falta Ingresar"), " ")</f>
        <v>Falta Ingresar</v>
      </c>
      <c r="L5720" s="4" t="s">
        <v>681</v>
      </c>
      <c r="M5720" t="s">
        <v>681</v>
      </c>
      <c r="N5720" s="5" t="s">
        <v>841</v>
      </c>
      <c r="O5720" s="5">
        <v>30854380</v>
      </c>
      <c r="P5720" s="5">
        <v>130349</v>
      </c>
      <c r="Q5720" s="5">
        <v>24766</v>
      </c>
      <c r="R5720" s="5">
        <v>155115</v>
      </c>
    </row>
    <row r="5721" spans="1:18" x14ac:dyDescent="0.25">
      <c r="F5721" t="s">
        <v>498</v>
      </c>
      <c r="K5721" t="str">
        <f>IFERROR(IF(AND(VLOOKUP($C5721,Hes!$A:$B, 1, FALSE), $M5721&lt;&gt;" "), "Ingresada", "Falta Ingresar"), " ")</f>
        <v xml:space="preserve"> </v>
      </c>
      <c r="L5721" s="4" t="str">
        <f>IFERROR(VLOOKUP($C5721,Observaciones!$A:$B,2,FALSE)," ")</f>
        <v xml:space="preserve"> </v>
      </c>
      <c r="M5721" t="s">
        <v>681</v>
      </c>
      <c r="P5721" s="5">
        <v>434518</v>
      </c>
      <c r="Q5721" s="5">
        <v>82558</v>
      </c>
      <c r="R5721" s="5">
        <v>517076</v>
      </c>
    </row>
    <row r="5722" spans="1:18" x14ac:dyDescent="0.25">
      <c r="A5722" t="s">
        <v>501</v>
      </c>
      <c r="B5722" t="s">
        <v>494</v>
      </c>
      <c r="C5722">
        <v>99504610</v>
      </c>
      <c r="D5722">
        <v>13</v>
      </c>
      <c r="E5722">
        <v>30845585</v>
      </c>
      <c r="F5722" t="s">
        <v>1984</v>
      </c>
      <c r="G5722" s="1">
        <v>45232</v>
      </c>
      <c r="H5722">
        <v>5410754</v>
      </c>
      <c r="I5722">
        <v>44</v>
      </c>
      <c r="J5722" t="s">
        <v>148</v>
      </c>
      <c r="K5722" t="str">
        <f>IFERROR(IF(AND(VLOOKUP($C5722,Hes!$A:$B, 1, FALSE), $M5722&lt;&gt;" "), "Ingresada", "Falta Ingresar"), " ")</f>
        <v xml:space="preserve"> </v>
      </c>
      <c r="L5722" s="4" t="str">
        <f>IFERROR(VLOOKUP($C5722,Observaciones!$A:$B,2,FALSE)," ")</f>
        <v xml:space="preserve"> </v>
      </c>
      <c r="M5722" t="s">
        <v>681</v>
      </c>
      <c r="O5722" s="5">
        <v>30845585</v>
      </c>
      <c r="P5722" s="5">
        <v>184620</v>
      </c>
      <c r="Q5722" s="5">
        <v>35078</v>
      </c>
      <c r="R5722" s="5">
        <v>219698</v>
      </c>
    </row>
    <row r="5723" spans="1:18" x14ac:dyDescent="0.25">
      <c r="A5723" t="s">
        <v>501</v>
      </c>
      <c r="B5723" t="s">
        <v>494</v>
      </c>
      <c r="C5723">
        <v>99504610</v>
      </c>
      <c r="D5723">
        <v>13</v>
      </c>
      <c r="E5723">
        <v>30850007</v>
      </c>
      <c r="F5723" t="s">
        <v>1984</v>
      </c>
      <c r="G5723" s="1">
        <v>45233</v>
      </c>
      <c r="H5723">
        <v>5411664</v>
      </c>
      <c r="I5723">
        <v>44</v>
      </c>
      <c r="J5723" t="s">
        <v>148</v>
      </c>
      <c r="K5723" t="str">
        <f>IFERROR(IF(AND(VLOOKUP($C5723,Hes!$A:$B, 1, FALSE), $M5723&lt;&gt;" "), "Ingresada", "Falta Ingresar"), " ")</f>
        <v xml:space="preserve"> </v>
      </c>
      <c r="L5723" s="4" t="str">
        <f>IFERROR(VLOOKUP($C5723,Observaciones!$A:$B,2,FALSE)," ")</f>
        <v xml:space="preserve"> </v>
      </c>
      <c r="M5723" t="s">
        <v>681</v>
      </c>
      <c r="O5723" s="5">
        <v>30850007</v>
      </c>
      <c r="P5723" s="5">
        <v>23829</v>
      </c>
      <c r="Q5723" s="5">
        <v>4528</v>
      </c>
      <c r="R5723" s="5">
        <v>28357</v>
      </c>
    </row>
    <row r="5724" spans="1:18" x14ac:dyDescent="0.25">
      <c r="F5724" t="s">
        <v>497</v>
      </c>
      <c r="K5724" t="str">
        <f>IFERROR(IF(AND(VLOOKUP($C5724,Hes!$A:$B, 1, FALSE), $M5724&lt;&gt;" "), "Ingresada", "Falta Ingresar"), " ")</f>
        <v xml:space="preserve"> </v>
      </c>
      <c r="L5724" s="4" t="str">
        <f>IFERROR(VLOOKUP($C5724,Observaciones!$A:$B,2,FALSE)," ")</f>
        <v xml:space="preserve"> </v>
      </c>
      <c r="M5724" t="s">
        <v>681</v>
      </c>
      <c r="P5724" s="5">
        <v>208449</v>
      </c>
      <c r="Q5724" s="5">
        <v>39606</v>
      </c>
      <c r="R5724" s="5">
        <v>248055</v>
      </c>
    </row>
    <row r="5725" spans="1:18" x14ac:dyDescent="0.25">
      <c r="A5725" t="s">
        <v>496</v>
      </c>
      <c r="B5725" t="s">
        <v>502</v>
      </c>
      <c r="C5725">
        <v>99505240</v>
      </c>
      <c r="D5725">
        <v>27</v>
      </c>
      <c r="E5725">
        <v>301029</v>
      </c>
      <c r="F5725" t="s">
        <v>1985</v>
      </c>
      <c r="G5725" s="1">
        <v>45237</v>
      </c>
      <c r="H5725">
        <v>5413988</v>
      </c>
      <c r="I5725">
        <v>16</v>
      </c>
      <c r="J5725" t="s">
        <v>330</v>
      </c>
      <c r="K5725" t="str">
        <f>IFERROR(IF(AND(VLOOKUP($C5725,Hes!$A:$B, 1, FALSE), $M5725&lt;&gt;" "), "Ingresada", "Falta Ingresar"), " ")</f>
        <v xml:space="preserve"> </v>
      </c>
      <c r="L5725" s="4" t="s">
        <v>681</v>
      </c>
      <c r="M5725" t="s">
        <v>681</v>
      </c>
      <c r="O5725" s="5">
        <v>30842011</v>
      </c>
      <c r="P5725" s="5">
        <v>688162</v>
      </c>
      <c r="Q5725" s="5">
        <v>130751</v>
      </c>
      <c r="R5725" s="5">
        <v>818913</v>
      </c>
    </row>
    <row r="5726" spans="1:18" x14ac:dyDescent="0.25">
      <c r="F5726" t="s">
        <v>495</v>
      </c>
      <c r="K5726" t="str">
        <f>IFERROR(IF(AND(VLOOKUP($C5726,Hes!$A:$B, 1, FALSE), $M5726&lt;&gt;" "), "Ingresada", "Falta Ingresar"), " ")</f>
        <v xml:space="preserve"> </v>
      </c>
      <c r="L5726" s="4" t="str">
        <f>IFERROR(VLOOKUP($C5726,Observaciones!$A:$B,2,FALSE)," ")</f>
        <v xml:space="preserve"> </v>
      </c>
      <c r="M5726" t="s">
        <v>681</v>
      </c>
      <c r="P5726" s="5">
        <v>688162</v>
      </c>
      <c r="Q5726" s="5">
        <v>130751</v>
      </c>
      <c r="R5726" s="5">
        <v>818913</v>
      </c>
    </row>
    <row r="5727" spans="1:18" x14ac:dyDescent="0.25">
      <c r="A5727" t="s">
        <v>501</v>
      </c>
      <c r="B5727" t="s">
        <v>494</v>
      </c>
      <c r="C5727">
        <v>99520000</v>
      </c>
      <c r="D5727">
        <v>34</v>
      </c>
      <c r="E5727">
        <v>30841496</v>
      </c>
      <c r="F5727" t="s">
        <v>1986</v>
      </c>
      <c r="G5727" s="1">
        <v>45231</v>
      </c>
      <c r="H5727">
        <v>5410579</v>
      </c>
      <c r="I5727">
        <v>5</v>
      </c>
      <c r="J5727" t="s">
        <v>374</v>
      </c>
      <c r="K5727" t="str">
        <f>IFERROR(IF(AND(VLOOKUP($C5727,Hes!$A:$B, 1, FALSE), $M5727&lt;&gt;" "), "Ingresada", "Falta Ingresar"), " ")</f>
        <v xml:space="preserve"> </v>
      </c>
      <c r="L5727" s="4" t="str">
        <f>IFERROR(VLOOKUP($C5727,Observaciones!$A:$B,2,FALSE)," ")</f>
        <v>ULTIMO DIA, CON ORDEN DE COMPRA 9500035326, ENVIAR INFORME ANTES DE FACTURAR</v>
      </c>
      <c r="M5727" t="s">
        <v>681</v>
      </c>
      <c r="O5727" s="5">
        <v>30841496</v>
      </c>
      <c r="P5727" s="5">
        <v>313231</v>
      </c>
      <c r="Q5727" s="5">
        <v>59514</v>
      </c>
      <c r="R5727" s="5">
        <v>384332</v>
      </c>
    </row>
    <row r="5728" spans="1:18" x14ac:dyDescent="0.25">
      <c r="A5728" t="s">
        <v>501</v>
      </c>
      <c r="B5728" t="s">
        <v>494</v>
      </c>
      <c r="C5728">
        <v>99520000</v>
      </c>
      <c r="D5728">
        <v>30</v>
      </c>
      <c r="E5728">
        <v>30845161</v>
      </c>
      <c r="F5728" t="s">
        <v>1986</v>
      </c>
      <c r="G5728" s="1">
        <v>45231</v>
      </c>
      <c r="H5728">
        <v>5410630</v>
      </c>
      <c r="I5728">
        <v>5</v>
      </c>
      <c r="J5728" t="s">
        <v>374</v>
      </c>
      <c r="K5728" t="str">
        <f>IFERROR(IF(AND(VLOOKUP($C5728,Hes!$A:$B, 1, FALSE), $M5728&lt;&gt;" "), "Ingresada", "Falta Ingresar"), " ")</f>
        <v xml:space="preserve"> </v>
      </c>
      <c r="L5728" s="4" t="str">
        <f>IFERROR(VLOOKUP($C5728,Observaciones!$A:$B,2,FALSE)," ")</f>
        <v>ULTIMO DIA, CON ORDEN DE COMPRA 9500035326, ENVIAR INFORME ANTES DE FACTURAR</v>
      </c>
      <c r="M5728" t="s">
        <v>681</v>
      </c>
      <c r="O5728" s="5">
        <v>30845161</v>
      </c>
      <c r="P5728" s="5">
        <v>432647</v>
      </c>
      <c r="Q5728" s="5">
        <v>82203</v>
      </c>
      <c r="R5728" s="5">
        <v>529386</v>
      </c>
    </row>
    <row r="5729" spans="1:18" x14ac:dyDescent="0.25">
      <c r="A5729" t="s">
        <v>501</v>
      </c>
      <c r="B5729" t="s">
        <v>494</v>
      </c>
      <c r="C5729">
        <v>99520000</v>
      </c>
      <c r="D5729">
        <v>62</v>
      </c>
      <c r="E5729">
        <v>30841506</v>
      </c>
      <c r="F5729" t="s">
        <v>1986</v>
      </c>
      <c r="G5729" s="1">
        <v>45231</v>
      </c>
      <c r="H5729">
        <v>5410665</v>
      </c>
      <c r="I5729">
        <v>5</v>
      </c>
      <c r="J5729" t="s">
        <v>374</v>
      </c>
      <c r="K5729" t="str">
        <f>IFERROR(IF(AND(VLOOKUP($C5729,Hes!$A:$B, 1, FALSE), $M5729&lt;&gt;" "), "Ingresada", "Falta Ingresar"), " ")</f>
        <v xml:space="preserve"> </v>
      </c>
      <c r="L5729" s="4" t="str">
        <f>IFERROR(VLOOKUP($C5729,Observaciones!$A:$B,2,FALSE)," ")</f>
        <v>ULTIMO DIA, CON ORDEN DE COMPRA 9500035326, ENVIAR INFORME ANTES DE FACTURAR</v>
      </c>
      <c r="M5729" t="s">
        <v>681</v>
      </c>
      <c r="O5729" s="5">
        <v>30841506</v>
      </c>
      <c r="P5729" s="5">
        <v>284714</v>
      </c>
      <c r="Q5729" s="5">
        <v>54096</v>
      </c>
      <c r="R5729" s="5">
        <v>339907</v>
      </c>
    </row>
    <row r="5730" spans="1:18" x14ac:dyDescent="0.25">
      <c r="A5730" t="s">
        <v>501</v>
      </c>
      <c r="B5730" t="s">
        <v>494</v>
      </c>
      <c r="C5730">
        <v>99520000</v>
      </c>
      <c r="D5730">
        <v>62</v>
      </c>
      <c r="E5730">
        <v>30841506</v>
      </c>
      <c r="F5730" t="s">
        <v>1986</v>
      </c>
      <c r="G5730" s="1">
        <v>45231</v>
      </c>
      <c r="H5730">
        <v>5410666</v>
      </c>
      <c r="I5730">
        <v>5</v>
      </c>
      <c r="J5730" t="s">
        <v>374</v>
      </c>
      <c r="K5730" t="str">
        <f>IFERROR(IF(AND(VLOOKUP($C5730,Hes!$A:$B, 1, FALSE), $M5730&lt;&gt;" "), "Ingresada", "Falta Ingresar"), " ")</f>
        <v xml:space="preserve"> </v>
      </c>
      <c r="L5730" s="4" t="str">
        <f>IFERROR(VLOOKUP($C5730,Observaciones!$A:$B,2,FALSE)," ")</f>
        <v>ULTIMO DIA, CON ORDEN DE COMPRA 9500035326, ENVIAR INFORME ANTES DE FACTURAR</v>
      </c>
      <c r="M5730" t="s">
        <v>681</v>
      </c>
      <c r="O5730" s="5">
        <v>30841506</v>
      </c>
      <c r="P5730" s="5">
        <v>18401</v>
      </c>
      <c r="Q5730" s="5">
        <v>3496</v>
      </c>
      <c r="R5730" s="5">
        <v>21897</v>
      </c>
    </row>
    <row r="5731" spans="1:18" x14ac:dyDescent="0.25">
      <c r="A5731" t="s">
        <v>501</v>
      </c>
      <c r="B5731" t="s">
        <v>494</v>
      </c>
      <c r="C5731">
        <v>99520000</v>
      </c>
      <c r="D5731">
        <v>65</v>
      </c>
      <c r="E5731">
        <v>30845204</v>
      </c>
      <c r="F5731" t="s">
        <v>1986</v>
      </c>
      <c r="G5731" s="1">
        <v>45232</v>
      </c>
      <c r="H5731">
        <v>5410731</v>
      </c>
      <c r="I5731">
        <v>5</v>
      </c>
      <c r="J5731" t="s">
        <v>374</v>
      </c>
      <c r="K5731" t="str">
        <f>IFERROR(IF(AND(VLOOKUP($C5731,Hes!$A:$B, 1, FALSE), $M5731&lt;&gt;" "), "Ingresada", "Falta Ingresar"), " ")</f>
        <v xml:space="preserve"> </v>
      </c>
      <c r="L5731" s="4" t="str">
        <f>IFERROR(VLOOKUP($C5731,Observaciones!$A:$B,2,FALSE)," ")</f>
        <v>ULTIMO DIA, CON ORDEN DE COMPRA 9500035326, ENVIAR INFORME ANTES DE FACTURAR</v>
      </c>
      <c r="M5731" t="s">
        <v>681</v>
      </c>
      <c r="O5731" s="5">
        <v>30845204</v>
      </c>
      <c r="P5731" s="5">
        <v>110250</v>
      </c>
      <c r="Q5731" s="5">
        <v>20948</v>
      </c>
      <c r="R5731" s="5">
        <v>131198</v>
      </c>
    </row>
    <row r="5732" spans="1:18" x14ac:dyDescent="0.25">
      <c r="A5732" t="s">
        <v>501</v>
      </c>
      <c r="B5732" t="s">
        <v>494</v>
      </c>
      <c r="C5732">
        <v>99520000</v>
      </c>
      <c r="D5732">
        <v>47</v>
      </c>
      <c r="E5732">
        <v>30845081</v>
      </c>
      <c r="F5732" t="s">
        <v>1986</v>
      </c>
      <c r="G5732" s="1">
        <v>45233</v>
      </c>
      <c r="H5732">
        <v>5411232</v>
      </c>
      <c r="I5732">
        <v>5</v>
      </c>
      <c r="J5732" t="s">
        <v>374</v>
      </c>
      <c r="K5732" t="str">
        <f>IFERROR(IF(AND(VLOOKUP($C5732,Hes!$A:$B, 1, FALSE), $M5732&lt;&gt;" "), "Ingresada", "Falta Ingresar"), " ")</f>
        <v xml:space="preserve"> </v>
      </c>
      <c r="L5732" s="4" t="str">
        <f>IFERROR(VLOOKUP($C5732,Observaciones!$A:$B,2,FALSE)," ")</f>
        <v>ULTIMO DIA, CON ORDEN DE COMPRA 9500035326, ENVIAR INFORME ANTES DE FACTURAR</v>
      </c>
      <c r="M5732" t="s">
        <v>681</v>
      </c>
      <c r="O5732" s="5">
        <v>30845081</v>
      </c>
      <c r="P5732" s="5">
        <v>1045092</v>
      </c>
      <c r="Q5732" s="5">
        <v>198567</v>
      </c>
      <c r="R5732" s="5">
        <v>1243659</v>
      </c>
    </row>
    <row r="5733" spans="1:18" x14ac:dyDescent="0.25">
      <c r="A5733" t="s">
        <v>501</v>
      </c>
      <c r="B5733" t="s">
        <v>494</v>
      </c>
      <c r="C5733">
        <v>99520000</v>
      </c>
      <c r="D5733">
        <v>64</v>
      </c>
      <c r="E5733">
        <v>30850632</v>
      </c>
      <c r="F5733" t="s">
        <v>1986</v>
      </c>
      <c r="G5733" s="1">
        <v>45233</v>
      </c>
      <c r="H5733">
        <v>5411545</v>
      </c>
      <c r="I5733">
        <v>5</v>
      </c>
      <c r="J5733" t="s">
        <v>374</v>
      </c>
      <c r="K5733" t="str">
        <f>IFERROR(IF(AND(VLOOKUP($C5733,Hes!$A:$B, 1, FALSE), $M5733&lt;&gt;" "), "Ingresada", "Falta Ingresar"), " ")</f>
        <v xml:space="preserve"> </v>
      </c>
      <c r="L5733" s="4" t="str">
        <f>IFERROR(VLOOKUP($C5733,Observaciones!$A:$B,2,FALSE)," ")</f>
        <v>ULTIMO DIA, CON ORDEN DE COMPRA 9500035326, ENVIAR INFORME ANTES DE FACTURAR</v>
      </c>
      <c r="M5733" t="s">
        <v>681</v>
      </c>
      <c r="O5733" s="5">
        <v>30850632</v>
      </c>
      <c r="P5733" s="5">
        <v>119160</v>
      </c>
      <c r="Q5733" s="5">
        <v>22640</v>
      </c>
      <c r="R5733" s="5">
        <v>141800</v>
      </c>
    </row>
    <row r="5734" spans="1:18" x14ac:dyDescent="0.25">
      <c r="A5734" t="s">
        <v>501</v>
      </c>
      <c r="B5734" t="s">
        <v>494</v>
      </c>
      <c r="C5734">
        <v>99520000</v>
      </c>
      <c r="D5734">
        <v>5</v>
      </c>
      <c r="E5734">
        <v>30848850</v>
      </c>
      <c r="F5734" t="s">
        <v>1986</v>
      </c>
      <c r="G5734" s="1">
        <v>45233</v>
      </c>
      <c r="H5734">
        <v>5411672</v>
      </c>
      <c r="I5734">
        <v>5</v>
      </c>
      <c r="J5734" t="s">
        <v>374</v>
      </c>
      <c r="K5734" t="str">
        <f>IFERROR(IF(AND(VLOOKUP($C5734,Hes!$A:$B, 1, FALSE), $M5734&lt;&gt;" "), "Ingresada", "Falta Ingresar"), " ")</f>
        <v xml:space="preserve"> </v>
      </c>
      <c r="L5734" s="4" t="str">
        <f>IFERROR(VLOOKUP($C5734,Observaciones!$A:$B,2,FALSE)," ")</f>
        <v>ULTIMO DIA, CON ORDEN DE COMPRA 9500035326, ENVIAR INFORME ANTES DE FACTURAR</v>
      </c>
      <c r="M5734" t="s">
        <v>681</v>
      </c>
      <c r="O5734" s="5">
        <v>30848850</v>
      </c>
      <c r="P5734" s="5">
        <v>226288</v>
      </c>
      <c r="Q5734" s="5">
        <v>42995</v>
      </c>
      <c r="R5734" s="5">
        <v>269993</v>
      </c>
    </row>
    <row r="5735" spans="1:18" x14ac:dyDescent="0.25">
      <c r="A5735" t="s">
        <v>501</v>
      </c>
      <c r="B5735" t="s">
        <v>494</v>
      </c>
      <c r="C5735">
        <v>99520000</v>
      </c>
      <c r="D5735">
        <v>5</v>
      </c>
      <c r="E5735">
        <v>30848850</v>
      </c>
      <c r="F5735" t="s">
        <v>1986</v>
      </c>
      <c r="G5735" s="1">
        <v>45233</v>
      </c>
      <c r="H5735">
        <v>5411673</v>
      </c>
      <c r="I5735">
        <v>5</v>
      </c>
      <c r="J5735" t="s">
        <v>374</v>
      </c>
      <c r="K5735" t="str">
        <f>IFERROR(IF(AND(VLOOKUP($C5735,Hes!$A:$B, 1, FALSE), $M5735&lt;&gt;" "), "Ingresada", "Falta Ingresar"), " ")</f>
        <v xml:space="preserve"> </v>
      </c>
      <c r="L5735" s="4" t="str">
        <f>IFERROR(VLOOKUP($C5735,Observaciones!$A:$B,2,FALSE)," ")</f>
        <v>ULTIMO DIA, CON ORDEN DE COMPRA 9500035326, ENVIAR INFORME ANTES DE FACTURAR</v>
      </c>
      <c r="M5735" t="s">
        <v>681</v>
      </c>
      <c r="O5735" s="5">
        <v>30848850</v>
      </c>
      <c r="P5735" s="5">
        <v>19498</v>
      </c>
      <c r="Q5735" s="5">
        <v>3705</v>
      </c>
      <c r="R5735" s="5">
        <v>23203</v>
      </c>
    </row>
    <row r="5736" spans="1:18" x14ac:dyDescent="0.25">
      <c r="A5736" t="s">
        <v>501</v>
      </c>
      <c r="B5736" t="s">
        <v>494</v>
      </c>
      <c r="C5736">
        <v>99520000</v>
      </c>
      <c r="D5736">
        <v>24</v>
      </c>
      <c r="E5736">
        <v>30843348</v>
      </c>
      <c r="F5736" t="s">
        <v>1986</v>
      </c>
      <c r="G5736" s="1">
        <v>45236</v>
      </c>
      <c r="H5736">
        <v>5411976</v>
      </c>
      <c r="I5736">
        <v>5</v>
      </c>
      <c r="J5736" t="s">
        <v>374</v>
      </c>
      <c r="K5736" t="str">
        <f>IFERROR(IF(AND(VLOOKUP($C5736,Hes!$A:$B, 1, FALSE), $M5736&lt;&gt;" "), "Ingresada", "Falta Ingresar"), " ")</f>
        <v xml:space="preserve"> </v>
      </c>
      <c r="L5736" s="4" t="str">
        <f>IFERROR(VLOOKUP($C5736,Observaciones!$A:$B,2,FALSE)," ")</f>
        <v>ULTIMO DIA, CON ORDEN DE COMPRA 9500035326, ENVIAR INFORME ANTES DE FACTURAR</v>
      </c>
      <c r="M5736" t="s">
        <v>681</v>
      </c>
      <c r="O5736" s="5">
        <v>30843348</v>
      </c>
      <c r="P5736" s="5">
        <v>41552</v>
      </c>
      <c r="Q5736" s="5">
        <v>7895</v>
      </c>
      <c r="R5736" s="5">
        <v>49447</v>
      </c>
    </row>
    <row r="5737" spans="1:18" x14ac:dyDescent="0.25">
      <c r="A5737" t="s">
        <v>501</v>
      </c>
      <c r="B5737" t="s">
        <v>494</v>
      </c>
      <c r="C5737">
        <v>99520000</v>
      </c>
      <c r="D5737">
        <v>44</v>
      </c>
      <c r="E5737">
        <v>30842501</v>
      </c>
      <c r="F5737" t="s">
        <v>1986</v>
      </c>
      <c r="G5737" s="1">
        <v>45236</v>
      </c>
      <c r="H5737">
        <v>5412020</v>
      </c>
      <c r="I5737">
        <v>5</v>
      </c>
      <c r="J5737" t="s">
        <v>374</v>
      </c>
      <c r="K5737" t="str">
        <f>IFERROR(IF(AND(VLOOKUP($C5737,Hes!$A:$B, 1, FALSE), $M5737&lt;&gt;" "), "Ingresada", "Falta Ingresar"), " ")</f>
        <v xml:space="preserve"> </v>
      </c>
      <c r="L5737" s="4" t="str">
        <f>IFERROR(VLOOKUP($C5737,Observaciones!$A:$B,2,FALSE)," ")</f>
        <v>ULTIMO DIA, CON ORDEN DE COMPRA 9500035326, ENVIAR INFORME ANTES DE FACTURAR</v>
      </c>
      <c r="M5737" t="s">
        <v>681</v>
      </c>
      <c r="O5737" s="5">
        <v>30842501</v>
      </c>
      <c r="P5737" s="5">
        <v>553739</v>
      </c>
      <c r="Q5737" s="5">
        <v>105210</v>
      </c>
      <c r="R5737" s="5">
        <v>664880</v>
      </c>
    </row>
    <row r="5738" spans="1:18" x14ac:dyDescent="0.25">
      <c r="A5738" t="s">
        <v>501</v>
      </c>
      <c r="B5738" t="s">
        <v>494</v>
      </c>
      <c r="C5738">
        <v>99520000</v>
      </c>
      <c r="D5738">
        <v>72</v>
      </c>
      <c r="E5738">
        <v>30842349</v>
      </c>
      <c r="F5738" t="s">
        <v>1986</v>
      </c>
      <c r="G5738" s="1">
        <v>45236</v>
      </c>
      <c r="H5738">
        <v>5412035</v>
      </c>
      <c r="I5738">
        <v>5</v>
      </c>
      <c r="J5738" t="s">
        <v>374</v>
      </c>
      <c r="K5738" t="str">
        <f>IFERROR(IF(AND(VLOOKUP($C5738,Hes!$A:$B, 1, FALSE), $M5738&lt;&gt;" "), "Ingresada", "Falta Ingresar"), " ")</f>
        <v xml:space="preserve"> </v>
      </c>
      <c r="L5738" s="4" t="str">
        <f>IFERROR(VLOOKUP($C5738,Observaciones!$A:$B,2,FALSE)," ")</f>
        <v>ULTIMO DIA, CON ORDEN DE COMPRA 9500035326, ENVIAR INFORME ANTES DE FACTURAR</v>
      </c>
      <c r="M5738" t="s">
        <v>681</v>
      </c>
      <c r="O5738" s="5">
        <v>30842349</v>
      </c>
      <c r="P5738" s="5">
        <v>210020</v>
      </c>
      <c r="Q5738" s="5">
        <v>39904</v>
      </c>
      <c r="R5738" s="5">
        <v>252666</v>
      </c>
    </row>
    <row r="5739" spans="1:18" x14ac:dyDescent="0.25">
      <c r="A5739" t="s">
        <v>501</v>
      </c>
      <c r="B5739" t="s">
        <v>494</v>
      </c>
      <c r="C5739">
        <v>99520000</v>
      </c>
      <c r="D5739">
        <v>72</v>
      </c>
      <c r="E5739">
        <v>30851068</v>
      </c>
      <c r="F5739" t="s">
        <v>1986</v>
      </c>
      <c r="G5739" s="1">
        <v>45236</v>
      </c>
      <c r="H5739">
        <v>5412098</v>
      </c>
      <c r="I5739">
        <v>5</v>
      </c>
      <c r="J5739" t="s">
        <v>374</v>
      </c>
      <c r="K5739" t="str">
        <f>IFERROR(IF(AND(VLOOKUP($C5739,Hes!$A:$B, 1, FALSE), $M5739&lt;&gt;" "), "Ingresada", "Falta Ingresar"), " ")</f>
        <v xml:space="preserve"> </v>
      </c>
      <c r="L5739" s="4" t="str">
        <f>IFERROR(VLOOKUP($C5739,Observaciones!$A:$B,2,FALSE)," ")</f>
        <v>ULTIMO DIA, CON ORDEN DE COMPRA 9500035326, ENVIAR INFORME ANTES DE FACTURAR</v>
      </c>
      <c r="M5739" t="s">
        <v>681</v>
      </c>
      <c r="O5739" s="5">
        <v>30851068</v>
      </c>
      <c r="P5739" s="5">
        <v>166178</v>
      </c>
      <c r="Q5739" s="5">
        <v>31574</v>
      </c>
      <c r="R5739" s="5">
        <v>204382</v>
      </c>
    </row>
    <row r="5740" spans="1:18" x14ac:dyDescent="0.25">
      <c r="A5740" t="s">
        <v>501</v>
      </c>
      <c r="B5740" t="s">
        <v>494</v>
      </c>
      <c r="C5740">
        <v>99520000</v>
      </c>
      <c r="D5740">
        <v>9</v>
      </c>
      <c r="E5740">
        <v>30854113</v>
      </c>
      <c r="F5740" t="s">
        <v>1986</v>
      </c>
      <c r="G5740" s="1">
        <v>45234</v>
      </c>
      <c r="H5740">
        <v>5412598</v>
      </c>
      <c r="I5740">
        <v>5</v>
      </c>
      <c r="J5740" t="s">
        <v>374</v>
      </c>
      <c r="K5740" t="str">
        <f>IFERROR(IF(AND(VLOOKUP($C5740,Hes!$A:$B, 1, FALSE), $M5740&lt;&gt;" "), "Ingresada", "Falta Ingresar"), " ")</f>
        <v xml:space="preserve"> </v>
      </c>
      <c r="L5740" s="4" t="str">
        <f>IFERROR(VLOOKUP($C5740,Observaciones!$A:$B,2,FALSE)," ")</f>
        <v>ULTIMO DIA, CON ORDEN DE COMPRA 9500035326, ENVIAR INFORME ANTES DE FACTURAR</v>
      </c>
      <c r="M5740" t="s">
        <v>681</v>
      </c>
      <c r="O5740" s="5">
        <v>30854113</v>
      </c>
      <c r="P5740" s="5">
        <v>2307255</v>
      </c>
      <c r="Q5740" s="5">
        <v>438378</v>
      </c>
      <c r="R5740" s="5">
        <v>2770449</v>
      </c>
    </row>
    <row r="5741" spans="1:18" x14ac:dyDescent="0.25">
      <c r="A5741" t="s">
        <v>501</v>
      </c>
      <c r="B5741" t="s">
        <v>494</v>
      </c>
      <c r="C5741">
        <v>99520000</v>
      </c>
      <c r="D5741">
        <v>18</v>
      </c>
      <c r="E5741">
        <v>30851288</v>
      </c>
      <c r="F5741" t="s">
        <v>1986</v>
      </c>
      <c r="G5741" s="1">
        <v>45236</v>
      </c>
      <c r="H5741">
        <v>5412679</v>
      </c>
      <c r="I5741">
        <v>5</v>
      </c>
      <c r="J5741" t="s">
        <v>374</v>
      </c>
      <c r="K5741" t="str">
        <f>IFERROR(IF(AND(VLOOKUP($C5741,Hes!$A:$B, 1, FALSE), $M5741&lt;&gt;" "), "Ingresada", "Falta Ingresar"), " ")</f>
        <v xml:space="preserve"> </v>
      </c>
      <c r="L5741" s="4" t="str">
        <f>IFERROR(VLOOKUP($C5741,Observaciones!$A:$B,2,FALSE)," ")</f>
        <v>ULTIMO DIA, CON ORDEN DE COMPRA 9500035326, ENVIAR INFORME ANTES DE FACTURAR</v>
      </c>
      <c r="M5741" t="s">
        <v>681</v>
      </c>
      <c r="O5741" s="5">
        <v>30851288</v>
      </c>
      <c r="P5741" s="5">
        <v>154800</v>
      </c>
      <c r="Q5741" s="5">
        <v>29412</v>
      </c>
      <c r="R5741" s="5">
        <v>184212</v>
      </c>
    </row>
    <row r="5742" spans="1:18" x14ac:dyDescent="0.25">
      <c r="A5742" t="s">
        <v>501</v>
      </c>
      <c r="B5742" t="s">
        <v>494</v>
      </c>
      <c r="C5742">
        <v>99520000</v>
      </c>
      <c r="D5742">
        <v>32</v>
      </c>
      <c r="E5742">
        <v>30852191</v>
      </c>
      <c r="F5742" t="s">
        <v>1986</v>
      </c>
      <c r="G5742" s="1">
        <v>45236</v>
      </c>
      <c r="H5742">
        <v>5412795</v>
      </c>
      <c r="I5742">
        <v>5</v>
      </c>
      <c r="J5742" t="s">
        <v>374</v>
      </c>
      <c r="K5742" t="str">
        <f>IFERROR(IF(AND(VLOOKUP($C5742,Hes!$A:$B, 1, FALSE), $M5742&lt;&gt;" "), "Ingresada", "Falta Ingresar"), " ")</f>
        <v xml:space="preserve"> </v>
      </c>
      <c r="L5742" s="4" t="str">
        <f>IFERROR(VLOOKUP($C5742,Observaciones!$A:$B,2,FALSE)," ")</f>
        <v>ULTIMO DIA, CON ORDEN DE COMPRA 9500035326, ENVIAR INFORME ANTES DE FACTURAR</v>
      </c>
      <c r="M5742" t="s">
        <v>681</v>
      </c>
      <c r="O5742" s="5">
        <v>30852191</v>
      </c>
      <c r="P5742" s="5">
        <v>51428</v>
      </c>
      <c r="Q5742" s="5">
        <v>9771</v>
      </c>
      <c r="R5742" s="5">
        <v>61199</v>
      </c>
    </row>
    <row r="5743" spans="1:18" x14ac:dyDescent="0.25">
      <c r="A5743" t="s">
        <v>501</v>
      </c>
      <c r="B5743" t="s">
        <v>494</v>
      </c>
      <c r="C5743">
        <v>99520000</v>
      </c>
      <c r="D5743">
        <v>15</v>
      </c>
      <c r="E5743">
        <v>30852156</v>
      </c>
      <c r="F5743" t="s">
        <v>1986</v>
      </c>
      <c r="G5743" s="1">
        <v>45236</v>
      </c>
      <c r="H5743">
        <v>5412945</v>
      </c>
      <c r="I5743">
        <v>5</v>
      </c>
      <c r="J5743" t="s">
        <v>374</v>
      </c>
      <c r="K5743" t="str">
        <f>IFERROR(IF(AND(VLOOKUP($C5743,Hes!$A:$B, 1, FALSE), $M5743&lt;&gt;" "), "Ingresada", "Falta Ingresar"), " ")</f>
        <v xml:space="preserve"> </v>
      </c>
      <c r="L5743" s="4" t="str">
        <f>IFERROR(VLOOKUP($C5743,Observaciones!$A:$B,2,FALSE)," ")</f>
        <v>ULTIMO DIA, CON ORDEN DE COMPRA 9500035326, ENVIAR INFORME ANTES DE FACTURAR</v>
      </c>
      <c r="M5743" t="s">
        <v>681</v>
      </c>
      <c r="O5743" s="5">
        <v>30852156</v>
      </c>
      <c r="P5743" s="5">
        <v>35387</v>
      </c>
      <c r="Q5743" s="5">
        <v>6724</v>
      </c>
      <c r="R5743" s="5">
        <v>42947</v>
      </c>
    </row>
    <row r="5744" spans="1:18" x14ac:dyDescent="0.25">
      <c r="A5744" t="s">
        <v>501</v>
      </c>
      <c r="B5744" t="s">
        <v>494</v>
      </c>
      <c r="C5744">
        <v>99520000</v>
      </c>
      <c r="D5744">
        <v>277</v>
      </c>
      <c r="E5744">
        <v>30852248</v>
      </c>
      <c r="F5744" t="s">
        <v>1986</v>
      </c>
      <c r="G5744" s="1">
        <v>45236</v>
      </c>
      <c r="H5744">
        <v>5412956</v>
      </c>
      <c r="I5744">
        <v>5</v>
      </c>
      <c r="J5744" t="s">
        <v>374</v>
      </c>
      <c r="K5744" t="str">
        <f>IFERROR(IF(AND(VLOOKUP($C5744,Hes!$A:$B, 1, FALSE), $M5744&lt;&gt;" "), "Ingresada", "Falta Ingresar"), " ")</f>
        <v xml:space="preserve"> </v>
      </c>
      <c r="L5744" s="4" t="str">
        <f>IFERROR(VLOOKUP($C5744,Observaciones!$A:$B,2,FALSE)," ")</f>
        <v>ULTIMO DIA, CON ORDEN DE COMPRA 9500035326, ENVIAR INFORME ANTES DE FACTURAR</v>
      </c>
      <c r="M5744" t="s">
        <v>681</v>
      </c>
      <c r="O5744" s="5">
        <v>30852248</v>
      </c>
      <c r="P5744" s="5">
        <v>81482</v>
      </c>
      <c r="Q5744" s="5">
        <v>15482</v>
      </c>
      <c r="R5744" s="5">
        <v>97821</v>
      </c>
    </row>
    <row r="5745" spans="1:18" x14ac:dyDescent="0.25">
      <c r="A5745" t="s">
        <v>501</v>
      </c>
      <c r="B5745" t="s">
        <v>494</v>
      </c>
      <c r="C5745">
        <v>99520000</v>
      </c>
      <c r="D5745">
        <v>64</v>
      </c>
      <c r="E5745">
        <v>30856059</v>
      </c>
      <c r="F5745" t="s">
        <v>1986</v>
      </c>
      <c r="G5745" s="1">
        <v>45236</v>
      </c>
      <c r="H5745">
        <v>5413047</v>
      </c>
      <c r="I5745">
        <v>5</v>
      </c>
      <c r="J5745" t="s">
        <v>374</v>
      </c>
      <c r="K5745" t="str">
        <f>IFERROR(IF(AND(VLOOKUP($C5745,Hes!$A:$B, 1, FALSE), $M5745&lt;&gt;" "), "Ingresada", "Falta Ingresar"), " ")</f>
        <v xml:space="preserve"> </v>
      </c>
      <c r="L5745" s="4" t="str">
        <f>IFERROR(VLOOKUP($C5745,Observaciones!$A:$B,2,FALSE)," ")</f>
        <v>ULTIMO DIA, CON ORDEN DE COMPRA 9500035326, ENVIAR INFORME ANTES DE FACTURAR</v>
      </c>
      <c r="M5745" t="s">
        <v>681</v>
      </c>
      <c r="O5745" s="5">
        <v>30856059</v>
      </c>
      <c r="P5745" s="5">
        <v>48105</v>
      </c>
      <c r="Q5745" s="5">
        <v>9140</v>
      </c>
      <c r="R5745" s="5">
        <v>57245</v>
      </c>
    </row>
    <row r="5746" spans="1:18" x14ac:dyDescent="0.25">
      <c r="A5746" t="s">
        <v>501</v>
      </c>
      <c r="B5746" t="s">
        <v>494</v>
      </c>
      <c r="C5746">
        <v>99520000</v>
      </c>
      <c r="D5746">
        <v>45</v>
      </c>
      <c r="E5746">
        <v>30857103</v>
      </c>
      <c r="F5746" t="s">
        <v>1986</v>
      </c>
      <c r="G5746" s="1">
        <v>45236</v>
      </c>
      <c r="H5746">
        <v>5413160</v>
      </c>
      <c r="I5746">
        <v>5</v>
      </c>
      <c r="J5746" t="s">
        <v>374</v>
      </c>
      <c r="K5746" t="str">
        <f>IFERROR(IF(AND(VLOOKUP($C5746,Hes!$A:$B, 1, FALSE), $M5746&lt;&gt;" "), "Ingresada", "Falta Ingresar"), " ")</f>
        <v xml:space="preserve"> </v>
      </c>
      <c r="L5746" s="4" t="str">
        <f>IFERROR(VLOOKUP($C5746,Observaciones!$A:$B,2,FALSE)," ")</f>
        <v>ULTIMO DIA, CON ORDEN DE COMPRA 9500035326, ENVIAR INFORME ANTES DE FACTURAR</v>
      </c>
      <c r="M5746" t="s">
        <v>681</v>
      </c>
      <c r="O5746" s="5">
        <v>30857103</v>
      </c>
      <c r="P5746" s="5">
        <v>559416</v>
      </c>
      <c r="Q5746" s="5">
        <v>106289</v>
      </c>
      <c r="R5746" s="5">
        <v>665705</v>
      </c>
    </row>
    <row r="5747" spans="1:18" x14ac:dyDescent="0.25">
      <c r="A5747" t="s">
        <v>501</v>
      </c>
      <c r="B5747" t="s">
        <v>494</v>
      </c>
      <c r="C5747">
        <v>99520000</v>
      </c>
      <c r="D5747">
        <v>273</v>
      </c>
      <c r="E5747">
        <v>30852077</v>
      </c>
      <c r="F5747" t="s">
        <v>1986</v>
      </c>
      <c r="G5747" s="1">
        <v>45236</v>
      </c>
      <c r="H5747">
        <v>5413280</v>
      </c>
      <c r="I5747">
        <v>5</v>
      </c>
      <c r="J5747" t="s">
        <v>374</v>
      </c>
      <c r="K5747" t="str">
        <f>IFERROR(IF(AND(VLOOKUP($C5747,Hes!$A:$B, 1, FALSE), $M5747&lt;&gt;" "), "Ingresada", "Falta Ingresar"), " ")</f>
        <v xml:space="preserve"> </v>
      </c>
      <c r="L5747" s="4" t="str">
        <f>IFERROR(VLOOKUP($C5747,Observaciones!$A:$B,2,FALSE)," ")</f>
        <v>ULTIMO DIA, CON ORDEN DE COMPRA 9500035326, ENVIAR INFORME ANTES DE FACTURAR</v>
      </c>
      <c r="M5747" t="s">
        <v>681</v>
      </c>
      <c r="O5747" s="5">
        <v>30852077</v>
      </c>
      <c r="P5747" s="5">
        <v>79890</v>
      </c>
      <c r="Q5747" s="5">
        <v>15179</v>
      </c>
      <c r="R5747" s="5">
        <v>95069</v>
      </c>
    </row>
    <row r="5748" spans="1:18" x14ac:dyDescent="0.25">
      <c r="A5748" t="s">
        <v>501</v>
      </c>
      <c r="B5748" t="s">
        <v>494</v>
      </c>
      <c r="C5748">
        <v>99520000</v>
      </c>
      <c r="D5748">
        <v>65</v>
      </c>
      <c r="E5748">
        <v>30857876</v>
      </c>
      <c r="F5748" t="s">
        <v>1986</v>
      </c>
      <c r="G5748" s="1">
        <v>45236</v>
      </c>
      <c r="H5748">
        <v>5413380</v>
      </c>
      <c r="I5748">
        <v>5</v>
      </c>
      <c r="J5748" t="s">
        <v>374</v>
      </c>
      <c r="K5748" t="str">
        <f>IFERROR(IF(AND(VLOOKUP($C5748,Hes!$A:$B, 1, FALSE), $M5748&lt;&gt;" "), "Ingresada", "Falta Ingresar"), " ")</f>
        <v xml:space="preserve"> </v>
      </c>
      <c r="L5748" s="4" t="str">
        <f>IFERROR(VLOOKUP($C5748,Observaciones!$A:$B,2,FALSE)," ")</f>
        <v>ULTIMO DIA, CON ORDEN DE COMPRA 9500035326, ENVIAR INFORME ANTES DE FACTURAR</v>
      </c>
      <c r="M5748" t="s">
        <v>681</v>
      </c>
      <c r="O5748" s="5">
        <v>30857876</v>
      </c>
      <c r="P5748" s="5">
        <v>105000</v>
      </c>
      <c r="Q5748" s="5">
        <v>19950</v>
      </c>
      <c r="R5748" s="5">
        <v>124950</v>
      </c>
    </row>
    <row r="5749" spans="1:18" x14ac:dyDescent="0.25">
      <c r="A5749" t="s">
        <v>501</v>
      </c>
      <c r="B5749" t="s">
        <v>494</v>
      </c>
      <c r="C5749">
        <v>99520000</v>
      </c>
      <c r="D5749">
        <v>103</v>
      </c>
      <c r="E5749">
        <v>30856625</v>
      </c>
      <c r="F5749" t="s">
        <v>1986</v>
      </c>
      <c r="G5749" s="1">
        <v>45236</v>
      </c>
      <c r="H5749">
        <v>5413541</v>
      </c>
      <c r="I5749">
        <v>5</v>
      </c>
      <c r="J5749" t="s">
        <v>374</v>
      </c>
      <c r="K5749" t="str">
        <f>IFERROR(IF(AND(VLOOKUP($C5749,Hes!$A:$B, 1, FALSE), $M5749&lt;&gt;" "), "Ingresada", "Falta Ingresar"), " ")</f>
        <v xml:space="preserve"> </v>
      </c>
      <c r="L5749" s="4" t="str">
        <f>IFERROR(VLOOKUP($C5749,Observaciones!$A:$B,2,FALSE)," ")</f>
        <v>ULTIMO DIA, CON ORDEN DE COMPRA 9500035326, ENVIAR INFORME ANTES DE FACTURAR</v>
      </c>
      <c r="M5749" t="s">
        <v>681</v>
      </c>
      <c r="O5749" s="5">
        <v>30856625</v>
      </c>
      <c r="P5749" s="5">
        <v>156728</v>
      </c>
      <c r="Q5749" s="5">
        <v>29778</v>
      </c>
      <c r="R5749" s="5">
        <v>186506</v>
      </c>
    </row>
    <row r="5750" spans="1:18" x14ac:dyDescent="0.25">
      <c r="A5750" t="s">
        <v>501</v>
      </c>
      <c r="B5750" t="s">
        <v>494</v>
      </c>
      <c r="C5750">
        <v>99520000</v>
      </c>
      <c r="D5750">
        <v>90</v>
      </c>
      <c r="E5750">
        <v>30854045</v>
      </c>
      <c r="F5750" t="s">
        <v>1986</v>
      </c>
      <c r="G5750" s="1">
        <v>45236</v>
      </c>
      <c r="H5750">
        <v>5413546</v>
      </c>
      <c r="I5750">
        <v>5</v>
      </c>
      <c r="J5750" t="s">
        <v>374</v>
      </c>
      <c r="K5750" t="str">
        <f>IFERROR(IF(AND(VLOOKUP($C5750,Hes!$A:$B, 1, FALSE), $M5750&lt;&gt;" "), "Ingresada", "Falta Ingresar"), " ")</f>
        <v xml:space="preserve"> </v>
      </c>
      <c r="L5750" s="4" t="str">
        <f>IFERROR(VLOOKUP($C5750,Observaciones!$A:$B,2,FALSE)," ")</f>
        <v>ULTIMO DIA, CON ORDEN DE COMPRA 9500035326, ENVIAR INFORME ANTES DE FACTURAR</v>
      </c>
      <c r="M5750" t="s">
        <v>681</v>
      </c>
      <c r="O5750" s="5">
        <v>30854045</v>
      </c>
      <c r="P5750" s="5">
        <v>173640</v>
      </c>
      <c r="Q5750" s="5">
        <v>32992</v>
      </c>
      <c r="R5750" s="5">
        <v>206632</v>
      </c>
    </row>
    <row r="5751" spans="1:18" x14ac:dyDescent="0.25">
      <c r="A5751" t="s">
        <v>501</v>
      </c>
      <c r="B5751" t="s">
        <v>494</v>
      </c>
      <c r="C5751">
        <v>99520000</v>
      </c>
      <c r="D5751">
        <v>96</v>
      </c>
      <c r="E5751">
        <v>30854398</v>
      </c>
      <c r="F5751" t="s">
        <v>1986</v>
      </c>
      <c r="G5751" s="1">
        <v>45236</v>
      </c>
      <c r="H5751">
        <v>5413777</v>
      </c>
      <c r="I5751">
        <v>5</v>
      </c>
      <c r="J5751" t="s">
        <v>374</v>
      </c>
      <c r="K5751" t="str">
        <f>IFERROR(IF(AND(VLOOKUP($C5751,Hes!$A:$B, 1, FALSE), $M5751&lt;&gt;" "), "Ingresada", "Falta Ingresar"), " ")</f>
        <v xml:space="preserve"> </v>
      </c>
      <c r="L5751" s="4" t="str">
        <f>IFERROR(VLOOKUP($C5751,Observaciones!$A:$B,2,FALSE)," ")</f>
        <v>ULTIMO DIA, CON ORDEN DE COMPRA 9500035326, ENVIAR INFORME ANTES DE FACTURAR</v>
      </c>
      <c r="M5751" t="s">
        <v>681</v>
      </c>
      <c r="O5751" s="5">
        <v>30854398</v>
      </c>
      <c r="P5751" s="5">
        <v>387805</v>
      </c>
      <c r="Q5751" s="5">
        <v>73683</v>
      </c>
      <c r="R5751" s="5">
        <v>461488</v>
      </c>
    </row>
    <row r="5752" spans="1:18" x14ac:dyDescent="0.25">
      <c r="A5752" t="s">
        <v>501</v>
      </c>
      <c r="B5752" t="s">
        <v>494</v>
      </c>
      <c r="C5752">
        <v>99520000</v>
      </c>
      <c r="D5752">
        <v>94</v>
      </c>
      <c r="E5752">
        <v>30862193</v>
      </c>
      <c r="F5752" t="s">
        <v>1986</v>
      </c>
      <c r="G5752" s="1">
        <v>45237</v>
      </c>
      <c r="H5752">
        <v>5414361</v>
      </c>
      <c r="I5752">
        <v>5</v>
      </c>
      <c r="J5752" t="s">
        <v>374</v>
      </c>
      <c r="K5752" t="str">
        <f>IFERROR(IF(AND(VLOOKUP($C5752,Hes!$A:$B, 1, FALSE), $M5752&lt;&gt;" "), "Ingresada", "Falta Ingresar"), " ")</f>
        <v xml:space="preserve"> </v>
      </c>
      <c r="L5752" s="4" t="str">
        <f>IFERROR(VLOOKUP($C5752,Observaciones!$A:$B,2,FALSE)," ")</f>
        <v>ULTIMO DIA, CON ORDEN DE COMPRA 9500035326, ENVIAR INFORME ANTES DE FACTURAR</v>
      </c>
      <c r="M5752" t="s">
        <v>681</v>
      </c>
      <c r="O5752" s="5">
        <v>30862193</v>
      </c>
      <c r="P5752" s="5">
        <v>1346072</v>
      </c>
      <c r="Q5752" s="5">
        <v>255754</v>
      </c>
      <c r="R5752" s="5">
        <v>1601826</v>
      </c>
    </row>
    <row r="5753" spans="1:18" x14ac:dyDescent="0.25">
      <c r="A5753" t="s">
        <v>501</v>
      </c>
      <c r="B5753" t="s">
        <v>494</v>
      </c>
      <c r="C5753">
        <v>99520000</v>
      </c>
      <c r="D5753">
        <v>96</v>
      </c>
      <c r="E5753">
        <v>30861340</v>
      </c>
      <c r="F5753" t="s">
        <v>1986</v>
      </c>
      <c r="G5753" s="1">
        <v>45237</v>
      </c>
      <c r="H5753">
        <v>5414483</v>
      </c>
      <c r="I5753">
        <v>5</v>
      </c>
      <c r="J5753" t="s">
        <v>374</v>
      </c>
      <c r="K5753" t="str">
        <f>IFERROR(IF(AND(VLOOKUP($C5753,Hes!$A:$B, 1, FALSE), $M5753&lt;&gt;" "), "Ingresada", "Falta Ingresar"), " ")</f>
        <v xml:space="preserve"> </v>
      </c>
      <c r="L5753" s="4" t="str">
        <f>IFERROR(VLOOKUP($C5753,Observaciones!$A:$B,2,FALSE)," ")</f>
        <v>ULTIMO DIA, CON ORDEN DE COMPRA 9500035326, ENVIAR INFORME ANTES DE FACTURAR</v>
      </c>
      <c r="M5753" t="s">
        <v>681</v>
      </c>
      <c r="O5753" s="5">
        <v>30861340</v>
      </c>
      <c r="P5753" s="5">
        <v>57692</v>
      </c>
      <c r="Q5753" s="5">
        <v>10961</v>
      </c>
      <c r="R5753" s="5">
        <v>68653</v>
      </c>
    </row>
    <row r="5754" spans="1:18" x14ac:dyDescent="0.25">
      <c r="A5754" t="s">
        <v>501</v>
      </c>
      <c r="B5754" t="s">
        <v>494</v>
      </c>
      <c r="C5754">
        <v>99520000</v>
      </c>
      <c r="D5754">
        <v>62</v>
      </c>
      <c r="E5754">
        <v>30858111</v>
      </c>
      <c r="F5754" t="s">
        <v>1986</v>
      </c>
      <c r="G5754" s="1">
        <v>45238</v>
      </c>
      <c r="H5754">
        <v>5414702</v>
      </c>
      <c r="I5754">
        <v>5</v>
      </c>
      <c r="J5754" t="s">
        <v>374</v>
      </c>
      <c r="K5754" t="str">
        <f>IFERROR(IF(AND(VLOOKUP($C5754,Hes!$A:$B, 1, FALSE), $M5754&lt;&gt;" "), "Ingresada", "Falta Ingresar"), " ")</f>
        <v xml:space="preserve"> </v>
      </c>
      <c r="L5754" s="4" t="str">
        <f>IFERROR(VLOOKUP($C5754,Observaciones!$A:$B,2,FALSE)," ")</f>
        <v>ULTIMO DIA, CON ORDEN DE COMPRA 9500035326, ENVIAR INFORME ANTES DE FACTURAR</v>
      </c>
      <c r="M5754" t="s">
        <v>681</v>
      </c>
      <c r="O5754" s="5">
        <v>30858111</v>
      </c>
      <c r="P5754" s="5">
        <v>538790</v>
      </c>
      <c r="Q5754" s="5">
        <v>102370</v>
      </c>
      <c r="R5754" s="5">
        <v>641160</v>
      </c>
    </row>
    <row r="5755" spans="1:18" x14ac:dyDescent="0.25">
      <c r="A5755" t="s">
        <v>501</v>
      </c>
      <c r="B5755" t="s">
        <v>494</v>
      </c>
      <c r="C5755">
        <v>99520000</v>
      </c>
      <c r="D5755">
        <v>71</v>
      </c>
      <c r="E5755">
        <v>30856732</v>
      </c>
      <c r="F5755" t="s">
        <v>1986</v>
      </c>
      <c r="G5755" s="1">
        <v>45238</v>
      </c>
      <c r="H5755">
        <v>5414709</v>
      </c>
      <c r="I5755">
        <v>5</v>
      </c>
      <c r="J5755" t="s">
        <v>374</v>
      </c>
      <c r="K5755" t="str">
        <f>IFERROR(IF(AND(VLOOKUP($C5755,Hes!$A:$B, 1, FALSE), $M5755&lt;&gt;" "), "Ingresada", "Falta Ingresar"), " ")</f>
        <v xml:space="preserve"> </v>
      </c>
      <c r="L5755" s="4" t="str">
        <f>IFERROR(VLOOKUP($C5755,Observaciones!$A:$B,2,FALSE)," ")</f>
        <v>ULTIMO DIA, CON ORDEN DE COMPRA 9500035326, ENVIAR INFORME ANTES DE FACTURAR</v>
      </c>
      <c r="M5755" t="s">
        <v>681</v>
      </c>
      <c r="O5755" s="5">
        <v>30856732</v>
      </c>
      <c r="P5755" s="5">
        <v>125330</v>
      </c>
      <c r="Q5755" s="5">
        <v>23813</v>
      </c>
      <c r="R5755" s="5">
        <v>149143</v>
      </c>
    </row>
    <row r="5756" spans="1:18" x14ac:dyDescent="0.25">
      <c r="A5756" t="s">
        <v>501</v>
      </c>
      <c r="B5756" t="s">
        <v>494</v>
      </c>
      <c r="C5756">
        <v>99520000</v>
      </c>
      <c r="D5756">
        <v>46</v>
      </c>
      <c r="E5756">
        <v>30861717</v>
      </c>
      <c r="F5756" t="s">
        <v>1986</v>
      </c>
      <c r="G5756" s="1">
        <v>45238</v>
      </c>
      <c r="H5756">
        <v>5414770</v>
      </c>
      <c r="I5756">
        <v>5</v>
      </c>
      <c r="J5756" t="s">
        <v>374</v>
      </c>
      <c r="K5756" t="str">
        <f>IFERROR(IF(AND(VLOOKUP($C5756,Hes!$A:$B, 1, FALSE), $M5756&lt;&gt;" "), "Ingresada", "Falta Ingresar"), " ")</f>
        <v xml:space="preserve"> </v>
      </c>
      <c r="L5756" s="4" t="str">
        <f>IFERROR(VLOOKUP($C5756,Observaciones!$A:$B,2,FALSE)," ")</f>
        <v>ULTIMO DIA, CON ORDEN DE COMPRA 9500035326, ENVIAR INFORME ANTES DE FACTURAR</v>
      </c>
      <c r="M5756" t="s">
        <v>681</v>
      </c>
      <c r="O5756" s="5">
        <v>30861717</v>
      </c>
      <c r="P5756" s="5">
        <v>147939</v>
      </c>
      <c r="Q5756" s="5">
        <v>28108</v>
      </c>
      <c r="R5756" s="5">
        <v>176047</v>
      </c>
    </row>
    <row r="5757" spans="1:18" x14ac:dyDescent="0.25">
      <c r="F5757" t="s">
        <v>582</v>
      </c>
      <c r="K5757" t="str">
        <f>IFERROR(IF(AND(VLOOKUP($C5757,Hes!$A:$B, 1, FALSE), $M5757&lt;&gt;" "), "Ingresada", "Falta Ingresar"), " ")</f>
        <v xml:space="preserve"> </v>
      </c>
      <c r="L5757" s="4" t="str">
        <f>IFERROR(VLOOKUP($C5757,Observaciones!$A:$B,2,FALSE)," ")</f>
        <v xml:space="preserve"> </v>
      </c>
      <c r="M5757" t="s">
        <v>681</v>
      </c>
      <c r="P5757" s="5">
        <v>9897529</v>
      </c>
      <c r="Q5757" s="5">
        <v>1880531</v>
      </c>
      <c r="R5757" s="5">
        <v>11847802</v>
      </c>
    </row>
    <row r="5758" spans="1:18" x14ac:dyDescent="0.25">
      <c r="A5758" t="s">
        <v>513</v>
      </c>
      <c r="B5758" t="s">
        <v>494</v>
      </c>
      <c r="C5758">
        <v>99524450</v>
      </c>
      <c r="D5758">
        <v>17</v>
      </c>
      <c r="E5758">
        <v>30842467</v>
      </c>
      <c r="F5758" t="s">
        <v>1987</v>
      </c>
      <c r="G5758" s="1">
        <v>45235</v>
      </c>
      <c r="H5758">
        <v>5411914</v>
      </c>
      <c r="I5758">
        <v>20</v>
      </c>
      <c r="J5758" t="s">
        <v>295</v>
      </c>
      <c r="K5758" t="str">
        <f>IFERROR(IF(AND(VLOOKUP($C5758,Hes!$A:$B, 1, FALSE), $M5758&lt;&gt;" "), "Ingresada", "Falta Ingresar"), " ")</f>
        <v xml:space="preserve"> </v>
      </c>
      <c r="L5758" s="4" t="str">
        <f>IFERROR(VLOOKUP($C5758,Observaciones!$A:$B,2,FALSE)," ")</f>
        <v>XOC Y CC</v>
      </c>
      <c r="M5758" t="s">
        <v>681</v>
      </c>
      <c r="O5758" s="5">
        <v>30842467</v>
      </c>
      <c r="P5758" s="5">
        <v>423462</v>
      </c>
      <c r="Q5758" s="5">
        <v>80458</v>
      </c>
      <c r="R5758" s="5">
        <v>503920</v>
      </c>
    </row>
    <row r="5759" spans="1:18" x14ac:dyDescent="0.25">
      <c r="F5759" t="s">
        <v>495</v>
      </c>
      <c r="K5759" t="str">
        <f>IFERROR(IF(AND(VLOOKUP($C5759,Hes!$A:$B, 1, FALSE), $M5759&lt;&gt;" "), "Ingresada", "Falta Ingresar"), " ")</f>
        <v xml:space="preserve"> </v>
      </c>
      <c r="L5759" s="4" t="str">
        <f>IFERROR(VLOOKUP($C5759,Observaciones!$A:$B,2,FALSE)," ")</f>
        <v xml:space="preserve"> </v>
      </c>
      <c r="M5759" t="s">
        <v>681</v>
      </c>
      <c r="P5759" s="5">
        <v>423462</v>
      </c>
      <c r="Q5759" s="5">
        <v>80458</v>
      </c>
      <c r="R5759" s="5">
        <v>503920</v>
      </c>
    </row>
    <row r="5760" spans="1:18" x14ac:dyDescent="0.25">
      <c r="A5760" t="s">
        <v>513</v>
      </c>
      <c r="B5760" t="s">
        <v>494</v>
      </c>
      <c r="C5760">
        <v>99531960</v>
      </c>
      <c r="D5760">
        <v>10</v>
      </c>
      <c r="E5760">
        <v>30851045</v>
      </c>
      <c r="F5760" t="s">
        <v>1988</v>
      </c>
      <c r="G5760" s="1">
        <v>45233</v>
      </c>
      <c r="H5760">
        <v>5411630</v>
      </c>
      <c r="I5760">
        <v>50</v>
      </c>
      <c r="J5760" t="s">
        <v>376</v>
      </c>
      <c r="K5760" t="str">
        <f>IFERROR(IF(AND(VLOOKUP($C5760,Hes!$A:$B, 1, FALSE), $M5760&lt;&gt;" "), "Ingresada", "Falta Ingresar"), " ")</f>
        <v xml:space="preserve"> </v>
      </c>
      <c r="L5760" s="4" t="s">
        <v>681</v>
      </c>
      <c r="M5760" t="s">
        <v>681</v>
      </c>
      <c r="O5760" s="5">
        <v>30851045</v>
      </c>
      <c r="P5760" s="5">
        <v>54900</v>
      </c>
      <c r="Q5760" s="5">
        <v>10431</v>
      </c>
      <c r="R5760" s="5">
        <v>65331</v>
      </c>
    </row>
    <row r="5761" spans="1:18" x14ac:dyDescent="0.25">
      <c r="A5761" t="s">
        <v>513</v>
      </c>
      <c r="B5761" t="s">
        <v>494</v>
      </c>
      <c r="C5761">
        <v>99531960</v>
      </c>
      <c r="D5761">
        <v>10</v>
      </c>
      <c r="E5761">
        <v>30851039</v>
      </c>
      <c r="F5761" t="s">
        <v>1988</v>
      </c>
      <c r="G5761" s="1">
        <v>45236</v>
      </c>
      <c r="H5761">
        <v>5412782</v>
      </c>
      <c r="I5761">
        <v>50</v>
      </c>
      <c r="J5761" t="s">
        <v>376</v>
      </c>
      <c r="K5761" t="str">
        <f>IFERROR(IF(AND(VLOOKUP($C5761,Hes!$A:$B, 1, FALSE), $M5761&lt;&gt;" "), "Ingresada", "Falta Ingresar"), " ")</f>
        <v xml:space="preserve"> </v>
      </c>
      <c r="L5761" s="4" t="s">
        <v>681</v>
      </c>
      <c r="M5761" t="s">
        <v>681</v>
      </c>
      <c r="O5761" s="5">
        <v>30851039</v>
      </c>
      <c r="P5761" s="5">
        <v>446846</v>
      </c>
      <c r="Q5761" s="5">
        <v>84901</v>
      </c>
      <c r="R5761" s="5">
        <v>531747</v>
      </c>
    </row>
    <row r="5762" spans="1:18" x14ac:dyDescent="0.25">
      <c r="A5762" t="s">
        <v>513</v>
      </c>
      <c r="B5762" t="s">
        <v>494</v>
      </c>
      <c r="C5762">
        <v>99531960</v>
      </c>
      <c r="D5762">
        <v>42</v>
      </c>
      <c r="E5762">
        <v>30842298</v>
      </c>
      <c r="F5762" t="s">
        <v>1988</v>
      </c>
      <c r="G5762" s="1">
        <v>45236</v>
      </c>
      <c r="H5762">
        <v>5413907</v>
      </c>
      <c r="I5762">
        <v>50</v>
      </c>
      <c r="J5762" t="s">
        <v>376</v>
      </c>
      <c r="K5762" t="str">
        <f>IFERROR(IF(AND(VLOOKUP($C5762,Hes!$A:$B, 1, FALSE), $M5762&lt;&gt;" "), "Ingresada", "Falta Ingresar"), " ")</f>
        <v xml:space="preserve"> </v>
      </c>
      <c r="L5762" s="4" t="s">
        <v>681</v>
      </c>
      <c r="M5762" t="s">
        <v>681</v>
      </c>
      <c r="O5762" s="5">
        <v>30842298</v>
      </c>
      <c r="P5762" s="5">
        <v>134664</v>
      </c>
      <c r="Q5762" s="5">
        <v>25586</v>
      </c>
      <c r="R5762" s="5">
        <v>160250</v>
      </c>
    </row>
    <row r="5763" spans="1:18" x14ac:dyDescent="0.25">
      <c r="F5763" t="s">
        <v>500</v>
      </c>
      <c r="K5763" t="str">
        <f>IFERROR(IF(AND(VLOOKUP($C5763,Hes!$A:$B, 1, FALSE), $M5763&lt;&gt;" "), "Ingresada", "Falta Ingresar"), " ")</f>
        <v xml:space="preserve"> </v>
      </c>
      <c r="L5763" s="4" t="str">
        <f>IFERROR(VLOOKUP($C5763,Observaciones!$A:$B,2,FALSE)," ")</f>
        <v xml:space="preserve"> </v>
      </c>
      <c r="M5763" t="s">
        <v>681</v>
      </c>
      <c r="P5763" s="5">
        <v>636410</v>
      </c>
      <c r="Q5763" s="5">
        <v>120918</v>
      </c>
      <c r="R5763" s="5">
        <v>757328</v>
      </c>
    </row>
    <row r="5764" spans="1:18" x14ac:dyDescent="0.25">
      <c r="A5764" t="s">
        <v>501</v>
      </c>
      <c r="B5764" t="s">
        <v>494</v>
      </c>
      <c r="C5764">
        <v>99532410</v>
      </c>
      <c r="D5764">
        <v>13</v>
      </c>
      <c r="E5764">
        <v>30845201</v>
      </c>
      <c r="F5764" t="s">
        <v>1989</v>
      </c>
      <c r="G5764" s="1">
        <v>45232</v>
      </c>
      <c r="H5764">
        <v>5410683</v>
      </c>
      <c r="I5764">
        <v>17</v>
      </c>
      <c r="J5764" t="s">
        <v>305</v>
      </c>
      <c r="K5764" t="str">
        <f>IFERROR(IF(AND(VLOOKUP($C5764,Hes!$A:$B, 1, FALSE), $M5764&lt;&gt;" "), "Ingresada", "Falta Ingresar"), " ")</f>
        <v xml:space="preserve"> </v>
      </c>
      <c r="L5764" s="4" t="str">
        <f>IFERROR(VLOOKUP($C5764,Observaciones!$A:$B,2,FALSE)," ")</f>
        <v xml:space="preserve"> </v>
      </c>
      <c r="M5764" t="s">
        <v>681</v>
      </c>
      <c r="O5764" s="5">
        <v>30845201</v>
      </c>
      <c r="P5764" s="5">
        <v>74677</v>
      </c>
      <c r="Q5764" s="5">
        <v>14189</v>
      </c>
      <c r="R5764" s="5">
        <v>88866</v>
      </c>
    </row>
    <row r="5765" spans="1:18" x14ac:dyDescent="0.25">
      <c r="A5765" t="s">
        <v>501</v>
      </c>
      <c r="B5765" t="s">
        <v>494</v>
      </c>
      <c r="C5765">
        <v>99532410</v>
      </c>
      <c r="D5765">
        <v>58</v>
      </c>
      <c r="E5765">
        <v>30852114</v>
      </c>
      <c r="F5765" t="s">
        <v>1989</v>
      </c>
      <c r="G5765" s="1">
        <v>45236</v>
      </c>
      <c r="H5765">
        <v>5412158</v>
      </c>
      <c r="I5765">
        <v>17</v>
      </c>
      <c r="J5765" t="s">
        <v>305</v>
      </c>
      <c r="K5765" t="str">
        <f>IFERROR(IF(AND(VLOOKUP($C5765,Hes!$A:$B, 1, FALSE), $M5765&lt;&gt;" "), "Ingresada", "Falta Ingresar"), " ")</f>
        <v xml:space="preserve"> </v>
      </c>
      <c r="L5765" s="4" t="str">
        <f>IFERROR(VLOOKUP($C5765,Observaciones!$A:$B,2,FALSE)," ")</f>
        <v xml:space="preserve"> </v>
      </c>
      <c r="M5765" t="s">
        <v>681</v>
      </c>
      <c r="O5765" s="5">
        <v>30852114</v>
      </c>
      <c r="P5765" s="5">
        <v>23509</v>
      </c>
      <c r="Q5765" s="5">
        <v>4467</v>
      </c>
      <c r="R5765" s="5">
        <v>27976</v>
      </c>
    </row>
    <row r="5766" spans="1:18" x14ac:dyDescent="0.25">
      <c r="A5766" t="s">
        <v>501</v>
      </c>
      <c r="B5766" t="s">
        <v>494</v>
      </c>
      <c r="C5766">
        <v>99532410</v>
      </c>
      <c r="D5766">
        <v>6</v>
      </c>
      <c r="E5766">
        <v>30852118</v>
      </c>
      <c r="F5766" t="s">
        <v>1989</v>
      </c>
      <c r="G5766" s="1">
        <v>45236</v>
      </c>
      <c r="H5766">
        <v>5412827</v>
      </c>
      <c r="I5766">
        <v>17</v>
      </c>
      <c r="J5766" t="s">
        <v>305</v>
      </c>
      <c r="K5766" t="str">
        <f>IFERROR(IF(AND(VLOOKUP($C5766,Hes!$A:$B, 1, FALSE), $M5766&lt;&gt;" "), "Ingresada", "Falta Ingresar"), " ")</f>
        <v xml:space="preserve"> </v>
      </c>
      <c r="L5766" s="4" t="str">
        <f>IFERROR(VLOOKUP($C5766,Observaciones!$A:$B,2,FALSE)," ")</f>
        <v xml:space="preserve"> </v>
      </c>
      <c r="M5766" t="s">
        <v>681</v>
      </c>
      <c r="O5766" s="5">
        <v>30852118</v>
      </c>
      <c r="P5766" s="5">
        <v>89150</v>
      </c>
      <c r="Q5766" s="5">
        <v>16939</v>
      </c>
      <c r="R5766" s="5">
        <v>106089</v>
      </c>
    </row>
    <row r="5767" spans="1:18" x14ac:dyDescent="0.25">
      <c r="A5767" t="s">
        <v>501</v>
      </c>
      <c r="B5767" t="s">
        <v>494</v>
      </c>
      <c r="C5767">
        <v>99532410</v>
      </c>
      <c r="D5767">
        <v>45</v>
      </c>
      <c r="E5767">
        <v>30858720</v>
      </c>
      <c r="F5767" t="s">
        <v>1989</v>
      </c>
      <c r="G5767" s="1">
        <v>45237</v>
      </c>
      <c r="H5767">
        <v>5413942</v>
      </c>
      <c r="I5767">
        <v>17</v>
      </c>
      <c r="J5767" t="s">
        <v>305</v>
      </c>
      <c r="K5767" t="str">
        <f>IFERROR(IF(AND(VLOOKUP($C5767,Hes!$A:$B, 1, FALSE), $M5767&lt;&gt;" "), "Ingresada", "Falta Ingresar"), " ")</f>
        <v xml:space="preserve"> </v>
      </c>
      <c r="L5767" s="4" t="str">
        <f>IFERROR(VLOOKUP($C5767,Observaciones!$A:$B,2,FALSE)," ")</f>
        <v xml:space="preserve"> </v>
      </c>
      <c r="M5767" t="s">
        <v>681</v>
      </c>
      <c r="O5767" s="5">
        <v>30858720</v>
      </c>
      <c r="P5767" s="5">
        <v>87847</v>
      </c>
      <c r="Q5767" s="5">
        <v>16691</v>
      </c>
      <c r="R5767" s="5">
        <v>104538</v>
      </c>
    </row>
    <row r="5768" spans="1:18" x14ac:dyDescent="0.25">
      <c r="A5768" t="s">
        <v>501</v>
      </c>
      <c r="B5768" t="s">
        <v>494</v>
      </c>
      <c r="C5768">
        <v>99532410</v>
      </c>
      <c r="D5768">
        <v>28</v>
      </c>
      <c r="E5768">
        <v>30858716</v>
      </c>
      <c r="F5768" t="s">
        <v>1989</v>
      </c>
      <c r="G5768" s="1">
        <v>45237</v>
      </c>
      <c r="H5768">
        <v>5414032</v>
      </c>
      <c r="I5768">
        <v>17</v>
      </c>
      <c r="J5768" t="s">
        <v>305</v>
      </c>
      <c r="K5768" t="str">
        <f>IFERROR(IF(AND(VLOOKUP($C5768,Hes!$A:$B, 1, FALSE), $M5768&lt;&gt;" "), "Ingresada", "Falta Ingresar"), " ")</f>
        <v xml:space="preserve"> </v>
      </c>
      <c r="L5768" s="4" t="str">
        <f>IFERROR(VLOOKUP($C5768,Observaciones!$A:$B,2,FALSE)," ")</f>
        <v xml:space="preserve"> </v>
      </c>
      <c r="M5768" t="s">
        <v>681</v>
      </c>
      <c r="O5768" s="5">
        <v>30858716</v>
      </c>
      <c r="P5768" s="5">
        <v>52530</v>
      </c>
      <c r="Q5768" s="5">
        <v>9981</v>
      </c>
      <c r="R5768" s="5">
        <v>62511</v>
      </c>
    </row>
    <row r="5769" spans="1:18" x14ac:dyDescent="0.25">
      <c r="A5769" t="s">
        <v>501</v>
      </c>
      <c r="B5769" t="s">
        <v>494</v>
      </c>
      <c r="C5769">
        <v>99532410</v>
      </c>
      <c r="D5769">
        <v>53</v>
      </c>
      <c r="E5769">
        <v>30863993</v>
      </c>
      <c r="F5769" t="s">
        <v>1989</v>
      </c>
      <c r="G5769" s="1">
        <v>45238</v>
      </c>
      <c r="H5769">
        <v>5415174</v>
      </c>
      <c r="I5769">
        <v>17</v>
      </c>
      <c r="J5769" t="s">
        <v>305</v>
      </c>
      <c r="K5769" t="str">
        <f>IFERROR(IF(AND(VLOOKUP($C5769,Hes!$A:$B, 1, FALSE), $M5769&lt;&gt;" "), "Ingresada", "Falta Ingresar"), " ")</f>
        <v xml:space="preserve"> </v>
      </c>
      <c r="L5769" s="4" t="str">
        <f>IFERROR(VLOOKUP($C5769,Observaciones!$A:$B,2,FALSE)," ")</f>
        <v xml:space="preserve"> </v>
      </c>
      <c r="M5769" t="s">
        <v>681</v>
      </c>
      <c r="O5769" s="5">
        <v>30863993</v>
      </c>
      <c r="P5769" s="5">
        <v>61988</v>
      </c>
      <c r="Q5769" s="5">
        <v>11778</v>
      </c>
      <c r="R5769" s="5">
        <v>73766</v>
      </c>
    </row>
    <row r="5770" spans="1:18" x14ac:dyDescent="0.25">
      <c r="A5770" t="s">
        <v>501</v>
      </c>
      <c r="B5770" t="s">
        <v>494</v>
      </c>
      <c r="C5770">
        <v>99532410</v>
      </c>
      <c r="D5770">
        <v>58</v>
      </c>
      <c r="E5770">
        <v>30864028</v>
      </c>
      <c r="F5770" t="s">
        <v>1989</v>
      </c>
      <c r="G5770" s="1">
        <v>45238</v>
      </c>
      <c r="H5770">
        <v>5415307</v>
      </c>
      <c r="I5770">
        <v>17</v>
      </c>
      <c r="J5770" t="s">
        <v>305</v>
      </c>
      <c r="K5770" t="str">
        <f>IFERROR(IF(AND(VLOOKUP($C5770,Hes!$A:$B, 1, FALSE), $M5770&lt;&gt;" "), "Ingresada", "Falta Ingresar"), " ")</f>
        <v xml:space="preserve"> </v>
      </c>
      <c r="L5770" s="4" t="str">
        <f>IFERROR(VLOOKUP($C5770,Observaciones!$A:$B,2,FALSE)," ")</f>
        <v xml:space="preserve"> </v>
      </c>
      <c r="M5770" t="s">
        <v>681</v>
      </c>
      <c r="O5770" s="5">
        <v>30864028</v>
      </c>
      <c r="P5770" s="5">
        <v>24878</v>
      </c>
      <c r="Q5770" s="5">
        <v>4727</v>
      </c>
      <c r="R5770" s="5">
        <v>29605</v>
      </c>
    </row>
    <row r="5771" spans="1:18" x14ac:dyDescent="0.25">
      <c r="A5771" t="s">
        <v>501</v>
      </c>
      <c r="B5771" t="s">
        <v>494</v>
      </c>
      <c r="C5771">
        <v>99532410</v>
      </c>
      <c r="D5771">
        <v>39</v>
      </c>
      <c r="E5771">
        <v>30861697</v>
      </c>
      <c r="F5771" t="s">
        <v>1989</v>
      </c>
      <c r="G5771" s="1">
        <v>45238</v>
      </c>
      <c r="H5771">
        <v>5415559</v>
      </c>
      <c r="I5771">
        <v>17</v>
      </c>
      <c r="J5771" t="s">
        <v>305</v>
      </c>
      <c r="K5771" t="str">
        <f>IFERROR(IF(AND(VLOOKUP($C5771,Hes!$A:$B, 1, FALSE), $M5771&lt;&gt;" "), "Ingresada", "Falta Ingresar"), " ")</f>
        <v xml:space="preserve"> </v>
      </c>
      <c r="L5771" s="4" t="str">
        <f>IFERROR(VLOOKUP($C5771,Observaciones!$A:$B,2,FALSE)," ")</f>
        <v xml:space="preserve"> </v>
      </c>
      <c r="M5771" t="s">
        <v>681</v>
      </c>
      <c r="O5771" s="5">
        <v>30861697</v>
      </c>
      <c r="P5771" s="5">
        <v>115549</v>
      </c>
      <c r="Q5771" s="5">
        <v>21954</v>
      </c>
      <c r="R5771" s="5">
        <v>137503</v>
      </c>
    </row>
    <row r="5772" spans="1:18" x14ac:dyDescent="0.25">
      <c r="A5772" t="s">
        <v>501</v>
      </c>
      <c r="B5772" t="s">
        <v>494</v>
      </c>
      <c r="C5772">
        <v>99532410</v>
      </c>
      <c r="D5772">
        <v>52</v>
      </c>
      <c r="E5772">
        <v>30864001</v>
      </c>
      <c r="F5772" t="s">
        <v>1989</v>
      </c>
      <c r="G5772" s="1">
        <v>45238</v>
      </c>
      <c r="H5772">
        <v>5415702</v>
      </c>
      <c r="I5772">
        <v>17</v>
      </c>
      <c r="J5772" t="s">
        <v>305</v>
      </c>
      <c r="K5772" t="str">
        <f>IFERROR(IF(AND(VLOOKUP($C5772,Hes!$A:$B, 1, FALSE), $M5772&lt;&gt;" "), "Ingresada", "Falta Ingresar"), " ")</f>
        <v xml:space="preserve"> </v>
      </c>
      <c r="L5772" s="4" t="str">
        <f>IFERROR(VLOOKUP($C5772,Observaciones!$A:$B,2,FALSE)," ")</f>
        <v xml:space="preserve"> </v>
      </c>
      <c r="M5772" t="s">
        <v>681</v>
      </c>
      <c r="O5772" s="5">
        <v>30864001</v>
      </c>
      <c r="P5772" s="5">
        <v>64617</v>
      </c>
      <c r="Q5772" s="5">
        <v>12277</v>
      </c>
      <c r="R5772" s="5">
        <v>76894</v>
      </c>
    </row>
    <row r="5773" spans="1:18" x14ac:dyDescent="0.25">
      <c r="A5773" t="s">
        <v>501</v>
      </c>
      <c r="B5773" t="s">
        <v>494</v>
      </c>
      <c r="C5773">
        <v>99532410</v>
      </c>
      <c r="D5773">
        <v>26</v>
      </c>
      <c r="E5773">
        <v>30864046</v>
      </c>
      <c r="F5773" t="s">
        <v>1989</v>
      </c>
      <c r="G5773" s="1">
        <v>45238</v>
      </c>
      <c r="H5773">
        <v>5415703</v>
      </c>
      <c r="I5773">
        <v>17</v>
      </c>
      <c r="J5773" t="s">
        <v>305</v>
      </c>
      <c r="K5773" t="str">
        <f>IFERROR(IF(AND(VLOOKUP($C5773,Hes!$A:$B, 1, FALSE), $M5773&lt;&gt;" "), "Ingresada", "Falta Ingresar"), " ")</f>
        <v xml:space="preserve"> </v>
      </c>
      <c r="L5773" s="4" t="str">
        <f>IFERROR(VLOOKUP($C5773,Observaciones!$A:$B,2,FALSE)," ")</f>
        <v xml:space="preserve"> </v>
      </c>
      <c r="M5773" t="s">
        <v>681</v>
      </c>
      <c r="O5773" s="5">
        <v>30864046</v>
      </c>
      <c r="P5773" s="5">
        <v>89210</v>
      </c>
      <c r="Q5773" s="5">
        <v>16950</v>
      </c>
      <c r="R5773" s="5">
        <v>106160</v>
      </c>
    </row>
    <row r="5774" spans="1:18" x14ac:dyDescent="0.25">
      <c r="A5774" t="s">
        <v>501</v>
      </c>
      <c r="B5774" t="s">
        <v>494</v>
      </c>
      <c r="C5774">
        <v>99532410</v>
      </c>
      <c r="D5774">
        <v>1</v>
      </c>
      <c r="E5774">
        <v>30864015</v>
      </c>
      <c r="F5774" t="s">
        <v>1989</v>
      </c>
      <c r="G5774" s="1">
        <v>45238</v>
      </c>
      <c r="H5774">
        <v>5415709</v>
      </c>
      <c r="I5774">
        <v>17</v>
      </c>
      <c r="J5774" t="s">
        <v>305</v>
      </c>
      <c r="K5774" t="str">
        <f>IFERROR(IF(AND(VLOOKUP($C5774,Hes!$A:$B, 1, FALSE), $M5774&lt;&gt;" "), "Ingresada", "Falta Ingresar"), " ")</f>
        <v xml:space="preserve"> </v>
      </c>
      <c r="L5774" s="4" t="str">
        <f>IFERROR(VLOOKUP($C5774,Observaciones!$A:$B,2,FALSE)," ")</f>
        <v xml:space="preserve"> </v>
      </c>
      <c r="M5774" t="s">
        <v>681</v>
      </c>
      <c r="O5774" s="5">
        <v>30864015</v>
      </c>
      <c r="P5774" s="5">
        <v>41439</v>
      </c>
      <c r="Q5774" s="5">
        <v>7873</v>
      </c>
      <c r="R5774" s="5">
        <v>49312</v>
      </c>
    </row>
    <row r="5775" spans="1:18" x14ac:dyDescent="0.25">
      <c r="F5775" t="s">
        <v>510</v>
      </c>
      <c r="K5775" t="str">
        <f>IFERROR(IF(AND(VLOOKUP($C5775,Hes!$A:$B, 1, FALSE), $M5775&lt;&gt;" "), "Ingresada", "Falta Ingresar"), " ")</f>
        <v xml:space="preserve"> </v>
      </c>
      <c r="L5775" s="4" t="str">
        <f>IFERROR(VLOOKUP($C5775,Observaciones!$A:$B,2,FALSE)," ")</f>
        <v xml:space="preserve"> </v>
      </c>
      <c r="M5775" t="s">
        <v>681</v>
      </c>
      <c r="P5775" s="5">
        <v>725394</v>
      </c>
      <c r="Q5775" s="5">
        <v>137826</v>
      </c>
      <c r="R5775" s="5">
        <v>863220</v>
      </c>
    </row>
    <row r="5776" spans="1:18" x14ac:dyDescent="0.25">
      <c r="A5776" t="s">
        <v>496</v>
      </c>
      <c r="B5776" t="s">
        <v>494</v>
      </c>
      <c r="C5776">
        <v>99534220</v>
      </c>
      <c r="D5776">
        <v>0</v>
      </c>
      <c r="E5776">
        <v>53439182</v>
      </c>
      <c r="F5776" t="s">
        <v>1990</v>
      </c>
      <c r="G5776" s="1">
        <v>45237</v>
      </c>
      <c r="H5776">
        <v>5414255</v>
      </c>
      <c r="I5776">
        <v>5</v>
      </c>
      <c r="J5776" t="s">
        <v>374</v>
      </c>
      <c r="K5776" t="str">
        <f>IFERROR(IF(AND(VLOOKUP($C5776,Hes!$A:$B, 1, FALSE), $M5776&lt;&gt;" "), "Ingresada", "Falta Ingresar"), " ")</f>
        <v xml:space="preserve"> </v>
      </c>
      <c r="L5776" s="4" t="str">
        <f>IFERROR(VLOOKUP($C5776,Observaciones!$A:$B,2,FALSE)," ")</f>
        <v xml:space="preserve"> </v>
      </c>
      <c r="M5776" t="s">
        <v>681</v>
      </c>
      <c r="O5776" s="5">
        <v>30859252</v>
      </c>
      <c r="P5776" s="5">
        <v>280800</v>
      </c>
      <c r="Q5776" s="5">
        <v>53352</v>
      </c>
      <c r="R5776" s="5">
        <v>334152</v>
      </c>
    </row>
    <row r="5777" spans="1:18" x14ac:dyDescent="0.25">
      <c r="F5777" t="s">
        <v>495</v>
      </c>
      <c r="K5777" t="str">
        <f>IFERROR(IF(AND(VLOOKUP($C5777,Hes!$A:$B, 1, FALSE), $M5777&lt;&gt;" "), "Ingresada", "Falta Ingresar"), " ")</f>
        <v xml:space="preserve"> </v>
      </c>
      <c r="L5777" s="4" t="str">
        <f>IFERROR(VLOOKUP($C5777,Observaciones!$A:$B,2,FALSE)," ")</f>
        <v xml:space="preserve"> </v>
      </c>
      <c r="M5777" t="s">
        <v>681</v>
      </c>
      <c r="P5777" s="5">
        <v>280800</v>
      </c>
      <c r="Q5777" s="5">
        <v>53352</v>
      </c>
      <c r="R5777" s="5">
        <v>334152</v>
      </c>
    </row>
    <row r="5778" spans="1:18" x14ac:dyDescent="0.25">
      <c r="A5778" t="s">
        <v>1991</v>
      </c>
      <c r="B5778" t="s">
        <v>494</v>
      </c>
      <c r="C5778">
        <v>99541380</v>
      </c>
      <c r="D5778">
        <v>50</v>
      </c>
      <c r="E5778">
        <v>30854047</v>
      </c>
      <c r="F5778" t="s">
        <v>1992</v>
      </c>
      <c r="G5778" s="1">
        <v>45236</v>
      </c>
      <c r="H5778">
        <v>5412657</v>
      </c>
      <c r="I5778">
        <v>81</v>
      </c>
      <c r="J5778" t="s">
        <v>144</v>
      </c>
      <c r="K5778" s="8" t="str">
        <f>IFERROR(IF(AND(VLOOKUP($C5778,Hes!$A:$B, 1, FALSE), $M5778&lt;&gt;" "), "Ingresada", "Falta Ingresar"), " ")</f>
        <v>Falta Ingresar</v>
      </c>
      <c r="L5778" s="4" t="str">
        <f>IFERROR(VLOOKUP($C5778,Observaciones!$A:$B,2,FALSE)," ")</f>
        <v xml:space="preserve"> </v>
      </c>
      <c r="M5778" t="s">
        <v>681</v>
      </c>
      <c r="N5778" s="5" t="s">
        <v>841</v>
      </c>
      <c r="O5778" s="5">
        <v>30854047</v>
      </c>
      <c r="P5778" s="5">
        <v>98581</v>
      </c>
      <c r="Q5778" s="5">
        <v>18730</v>
      </c>
      <c r="R5778" s="5">
        <v>117311</v>
      </c>
    </row>
    <row r="5779" spans="1:18" x14ac:dyDescent="0.25">
      <c r="A5779" t="s">
        <v>1991</v>
      </c>
      <c r="B5779" t="s">
        <v>494</v>
      </c>
      <c r="C5779">
        <v>99541380</v>
      </c>
      <c r="D5779">
        <v>47</v>
      </c>
      <c r="E5779">
        <v>30852155</v>
      </c>
      <c r="F5779" t="s">
        <v>1992</v>
      </c>
      <c r="G5779" s="1">
        <v>45236</v>
      </c>
      <c r="H5779">
        <v>5412761</v>
      </c>
      <c r="I5779">
        <v>81</v>
      </c>
      <c r="J5779" t="s">
        <v>144</v>
      </c>
      <c r="K5779" s="8" t="str">
        <f>IFERROR(IF(AND(VLOOKUP($C5779,Hes!$A:$B, 1, FALSE), $M5779&lt;&gt;" "), "Ingresada", "Falta Ingresar"), " ")</f>
        <v>Falta Ingresar</v>
      </c>
      <c r="L5779" s="4" t="str">
        <f>IFERROR(VLOOKUP($C5779,Observaciones!$A:$B,2,FALSE)," ")</f>
        <v xml:space="preserve"> </v>
      </c>
      <c r="M5779" t="s">
        <v>681</v>
      </c>
      <c r="N5779" s="5" t="s">
        <v>841</v>
      </c>
      <c r="O5779" s="5">
        <v>30852155</v>
      </c>
      <c r="P5779" s="5">
        <v>94239</v>
      </c>
      <c r="Q5779" s="5">
        <v>17905</v>
      </c>
      <c r="R5779" s="5">
        <v>112144</v>
      </c>
    </row>
    <row r="5780" spans="1:18" x14ac:dyDescent="0.25">
      <c r="A5780" t="s">
        <v>1991</v>
      </c>
      <c r="B5780" t="s">
        <v>494</v>
      </c>
      <c r="C5780">
        <v>99541380</v>
      </c>
      <c r="D5780">
        <v>19</v>
      </c>
      <c r="E5780">
        <v>30860827</v>
      </c>
      <c r="F5780" t="s">
        <v>1992</v>
      </c>
      <c r="G5780" s="1">
        <v>45238</v>
      </c>
      <c r="H5780">
        <v>5414761</v>
      </c>
      <c r="I5780">
        <v>81</v>
      </c>
      <c r="J5780" t="s">
        <v>144</v>
      </c>
      <c r="K5780" s="8" t="str">
        <f>IFERROR(IF(AND(VLOOKUP($C5780,Hes!$A:$B, 1, FALSE), $M5780&lt;&gt;" "), "Ingresada", "Falta Ingresar"), " ")</f>
        <v>Falta Ingresar</v>
      </c>
      <c r="L5780" s="4" t="str">
        <f>IFERROR(VLOOKUP($C5780,Observaciones!$A:$B,2,FALSE)," ")</f>
        <v xml:space="preserve"> </v>
      </c>
      <c r="M5780" t="s">
        <v>681</v>
      </c>
      <c r="N5780" s="5" t="s">
        <v>841</v>
      </c>
      <c r="O5780" s="5">
        <v>30860827</v>
      </c>
      <c r="P5780" s="5">
        <v>39789</v>
      </c>
      <c r="Q5780" s="5">
        <v>7560</v>
      </c>
      <c r="R5780" s="5">
        <v>47349</v>
      </c>
    </row>
    <row r="5781" spans="1:18" x14ac:dyDescent="0.25">
      <c r="A5781" t="s">
        <v>1991</v>
      </c>
      <c r="B5781" t="s">
        <v>494</v>
      </c>
      <c r="C5781">
        <v>99541380</v>
      </c>
      <c r="D5781">
        <v>32</v>
      </c>
      <c r="E5781">
        <v>30859562</v>
      </c>
      <c r="F5781" t="s">
        <v>1992</v>
      </c>
      <c r="G5781" s="1">
        <v>45238</v>
      </c>
      <c r="H5781">
        <v>5415018</v>
      </c>
      <c r="I5781">
        <v>81</v>
      </c>
      <c r="J5781" t="s">
        <v>144</v>
      </c>
      <c r="K5781" s="8" t="str">
        <f>IFERROR(IF(AND(VLOOKUP($C5781,Hes!$A:$B, 1, FALSE), $M5781&lt;&gt;" "), "Ingresada", "Falta Ingresar"), " ")</f>
        <v>Falta Ingresar</v>
      </c>
      <c r="L5781" s="4" t="str">
        <f>IFERROR(VLOOKUP($C5781,Observaciones!$A:$B,2,FALSE)," ")</f>
        <v xml:space="preserve"> </v>
      </c>
      <c r="M5781" t="s">
        <v>681</v>
      </c>
      <c r="N5781" s="5" t="s">
        <v>841</v>
      </c>
      <c r="O5781" s="5">
        <v>30859562</v>
      </c>
      <c r="P5781" s="5">
        <v>99843</v>
      </c>
      <c r="Q5781" s="5">
        <v>18970</v>
      </c>
      <c r="R5781" s="5">
        <v>118813</v>
      </c>
    </row>
    <row r="5782" spans="1:18" x14ac:dyDescent="0.25">
      <c r="A5782" t="s">
        <v>1991</v>
      </c>
      <c r="B5782" t="s">
        <v>494</v>
      </c>
      <c r="C5782">
        <v>99541380</v>
      </c>
      <c r="D5782">
        <v>18</v>
      </c>
      <c r="E5782">
        <v>30860888</v>
      </c>
      <c r="F5782" t="s">
        <v>1992</v>
      </c>
      <c r="G5782" s="1">
        <v>45238</v>
      </c>
      <c r="H5782">
        <v>5415155</v>
      </c>
      <c r="I5782">
        <v>81</v>
      </c>
      <c r="J5782" t="s">
        <v>144</v>
      </c>
      <c r="K5782" s="8" t="str">
        <f>IFERROR(IF(AND(VLOOKUP($C5782,Hes!$A:$B, 1, FALSE), $M5782&lt;&gt;" "), "Ingresada", "Falta Ingresar"), " ")</f>
        <v>Falta Ingresar</v>
      </c>
      <c r="L5782" s="4" t="str">
        <f>IFERROR(VLOOKUP($C5782,Observaciones!$A:$B,2,FALSE)," ")</f>
        <v xml:space="preserve"> </v>
      </c>
      <c r="M5782" t="s">
        <v>681</v>
      </c>
      <c r="N5782" s="5" t="s">
        <v>841</v>
      </c>
      <c r="O5782" s="5">
        <v>30860888</v>
      </c>
      <c r="P5782" s="5">
        <v>99449</v>
      </c>
      <c r="Q5782" s="5">
        <v>18895</v>
      </c>
      <c r="R5782" s="5">
        <v>118344</v>
      </c>
    </row>
    <row r="5783" spans="1:18" x14ac:dyDescent="0.25">
      <c r="A5783" t="s">
        <v>1991</v>
      </c>
      <c r="B5783" t="s">
        <v>494</v>
      </c>
      <c r="C5783">
        <v>99541380</v>
      </c>
      <c r="D5783">
        <v>52</v>
      </c>
      <c r="E5783">
        <v>30863010</v>
      </c>
      <c r="F5783" t="s">
        <v>1992</v>
      </c>
      <c r="G5783" s="1">
        <v>45238</v>
      </c>
      <c r="H5783">
        <v>5415224</v>
      </c>
      <c r="I5783">
        <v>81</v>
      </c>
      <c r="J5783" t="s">
        <v>144</v>
      </c>
      <c r="K5783" s="8" t="str">
        <f>IFERROR(IF(AND(VLOOKUP($C5783,Hes!$A:$B, 1, FALSE), $M5783&lt;&gt;" "), "Ingresada", "Falta Ingresar"), " ")</f>
        <v>Falta Ingresar</v>
      </c>
      <c r="L5783" s="4" t="str">
        <f>IFERROR(VLOOKUP($C5783,Observaciones!$A:$B,2,FALSE)," ")</f>
        <v xml:space="preserve"> </v>
      </c>
      <c r="M5783" t="s">
        <v>681</v>
      </c>
      <c r="N5783" s="5" t="s">
        <v>841</v>
      </c>
      <c r="O5783" s="5">
        <v>30863010</v>
      </c>
      <c r="P5783" s="5">
        <v>24840</v>
      </c>
      <c r="Q5783" s="5">
        <v>4720</v>
      </c>
      <c r="R5783" s="5">
        <v>29560</v>
      </c>
    </row>
    <row r="5784" spans="1:18" x14ac:dyDescent="0.25">
      <c r="A5784" t="s">
        <v>1991</v>
      </c>
      <c r="B5784" t="s">
        <v>494</v>
      </c>
      <c r="C5784">
        <v>99541380</v>
      </c>
      <c r="D5784">
        <v>15</v>
      </c>
      <c r="E5784">
        <v>30860047</v>
      </c>
      <c r="F5784" t="s">
        <v>1992</v>
      </c>
      <c r="G5784" s="1">
        <v>45238</v>
      </c>
      <c r="H5784">
        <v>5415321</v>
      </c>
      <c r="I5784">
        <v>81</v>
      </c>
      <c r="J5784" t="s">
        <v>144</v>
      </c>
      <c r="K5784" s="8" t="str">
        <f>IFERROR(IF(AND(VLOOKUP($C5784,Hes!$A:$B, 1, FALSE), $M5784&lt;&gt;" "), "Ingresada", "Falta Ingresar"), " ")</f>
        <v>Falta Ingresar</v>
      </c>
      <c r="L5784" s="4" t="str">
        <f>IFERROR(VLOOKUP($C5784,Observaciones!$A:$B,2,FALSE)," ")</f>
        <v xml:space="preserve"> </v>
      </c>
      <c r="M5784" t="s">
        <v>681</v>
      </c>
      <c r="N5784" s="5" t="s">
        <v>841</v>
      </c>
      <c r="O5784" s="5">
        <v>30860047</v>
      </c>
      <c r="P5784" s="5">
        <v>99835</v>
      </c>
      <c r="Q5784" s="5">
        <v>18969</v>
      </c>
      <c r="R5784" s="5">
        <v>118804</v>
      </c>
    </row>
    <row r="5785" spans="1:18" x14ac:dyDescent="0.25">
      <c r="A5785" t="s">
        <v>1991</v>
      </c>
      <c r="B5785" t="s">
        <v>494</v>
      </c>
      <c r="C5785">
        <v>99541380</v>
      </c>
      <c r="D5785">
        <v>6</v>
      </c>
      <c r="E5785">
        <v>30863119</v>
      </c>
      <c r="F5785" t="s">
        <v>1992</v>
      </c>
      <c r="G5785" s="1">
        <v>45238</v>
      </c>
      <c r="H5785">
        <v>5415323</v>
      </c>
      <c r="I5785">
        <v>81</v>
      </c>
      <c r="J5785" t="s">
        <v>144</v>
      </c>
      <c r="K5785" s="8" t="str">
        <f>IFERROR(IF(AND(VLOOKUP($C5785,Hes!$A:$B, 1, FALSE), $M5785&lt;&gt;" "), "Ingresada", "Falta Ingresar"), " ")</f>
        <v>Falta Ingresar</v>
      </c>
      <c r="L5785" s="4" t="str">
        <f>IFERROR(VLOOKUP($C5785,Observaciones!$A:$B,2,FALSE)," ")</f>
        <v xml:space="preserve"> </v>
      </c>
      <c r="M5785" t="s">
        <v>681</v>
      </c>
      <c r="N5785" s="5" t="s">
        <v>841</v>
      </c>
      <c r="O5785" s="5">
        <v>30863119</v>
      </c>
      <c r="P5785" s="5">
        <v>55650</v>
      </c>
      <c r="Q5785" s="5">
        <v>10574</v>
      </c>
      <c r="R5785" s="5">
        <v>66224</v>
      </c>
    </row>
    <row r="5786" spans="1:18" x14ac:dyDescent="0.25">
      <c r="A5786" t="s">
        <v>1991</v>
      </c>
      <c r="B5786" t="s">
        <v>494</v>
      </c>
      <c r="C5786">
        <v>99541380</v>
      </c>
      <c r="D5786">
        <v>37</v>
      </c>
      <c r="E5786">
        <v>30858279</v>
      </c>
      <c r="F5786" t="s">
        <v>1992</v>
      </c>
      <c r="G5786" s="1">
        <v>45238</v>
      </c>
      <c r="H5786">
        <v>5415332</v>
      </c>
      <c r="I5786">
        <v>81</v>
      </c>
      <c r="J5786" t="s">
        <v>144</v>
      </c>
      <c r="K5786" s="8" t="str">
        <f>IFERROR(IF(AND(VLOOKUP($C5786,Hes!$A:$B, 1, FALSE), $M5786&lt;&gt;" "), "Ingresada", "Falta Ingresar"), " ")</f>
        <v>Falta Ingresar</v>
      </c>
      <c r="L5786" s="4" t="str">
        <f>IFERROR(VLOOKUP($C5786,Observaciones!$A:$B,2,FALSE)," ")</f>
        <v xml:space="preserve"> </v>
      </c>
      <c r="M5786" t="s">
        <v>681</v>
      </c>
      <c r="N5786" s="5" t="s">
        <v>841</v>
      </c>
      <c r="O5786" s="5">
        <v>30858279</v>
      </c>
      <c r="P5786" s="5">
        <v>99945</v>
      </c>
      <c r="Q5786" s="5">
        <v>18990</v>
      </c>
      <c r="R5786" s="5">
        <v>118935</v>
      </c>
    </row>
    <row r="5787" spans="1:18" x14ac:dyDescent="0.25">
      <c r="A5787" t="s">
        <v>1991</v>
      </c>
      <c r="B5787" t="s">
        <v>494</v>
      </c>
      <c r="C5787">
        <v>99541380</v>
      </c>
      <c r="D5787">
        <v>35</v>
      </c>
      <c r="E5787">
        <v>30860861</v>
      </c>
      <c r="F5787" t="s">
        <v>1992</v>
      </c>
      <c r="G5787" s="1">
        <v>45238</v>
      </c>
      <c r="H5787">
        <v>5415583</v>
      </c>
      <c r="I5787">
        <v>81</v>
      </c>
      <c r="J5787" t="s">
        <v>144</v>
      </c>
      <c r="K5787" s="8" t="str">
        <f>IFERROR(IF(AND(VLOOKUP($C5787,Hes!$A:$B, 1, FALSE), $M5787&lt;&gt;" "), "Ingresada", "Falta Ingresar"), " ")</f>
        <v>Falta Ingresar</v>
      </c>
      <c r="L5787" s="4" t="str">
        <f>IFERROR(VLOOKUP($C5787,Observaciones!$A:$B,2,FALSE)," ")</f>
        <v xml:space="preserve"> </v>
      </c>
      <c r="M5787" t="s">
        <v>681</v>
      </c>
      <c r="N5787" s="5" t="s">
        <v>841</v>
      </c>
      <c r="O5787" s="5">
        <v>30860861</v>
      </c>
      <c r="P5787" s="5">
        <v>132013</v>
      </c>
      <c r="Q5787" s="5">
        <v>25082</v>
      </c>
      <c r="R5787" s="5">
        <v>157095</v>
      </c>
    </row>
    <row r="5788" spans="1:18" x14ac:dyDescent="0.25">
      <c r="F5788" t="s">
        <v>533</v>
      </c>
      <c r="K5788" t="str">
        <f>IFERROR(IF(AND(VLOOKUP($C5788,Hes!$A:$B, 1, FALSE), $M5788&lt;&gt;" "), "Ingresada", "Falta Ingresar"), " ")</f>
        <v xml:space="preserve"> </v>
      </c>
      <c r="L5788" s="4" t="str">
        <f>IFERROR(VLOOKUP($C5788,Observaciones!$A:$B,2,FALSE)," ")</f>
        <v xml:space="preserve"> </v>
      </c>
      <c r="M5788" t="s">
        <v>681</v>
      </c>
      <c r="P5788" s="5">
        <v>844184</v>
      </c>
      <c r="Q5788" s="5">
        <v>160395</v>
      </c>
      <c r="R5788" s="5">
        <v>1004579</v>
      </c>
    </row>
    <row r="5789" spans="1:18" x14ac:dyDescent="0.25">
      <c r="A5789" t="s">
        <v>513</v>
      </c>
      <c r="B5789" t="s">
        <v>494</v>
      </c>
      <c r="C5789">
        <v>99551260</v>
      </c>
      <c r="D5789">
        <v>6</v>
      </c>
      <c r="E5789">
        <v>25048</v>
      </c>
      <c r="F5789" t="s">
        <v>1993</v>
      </c>
      <c r="G5789" s="1">
        <v>45237</v>
      </c>
      <c r="H5789">
        <v>5414210</v>
      </c>
      <c r="I5789">
        <v>161</v>
      </c>
      <c r="J5789" t="s">
        <v>412</v>
      </c>
      <c r="K5789" t="str">
        <f>IFERROR(IF(AND(VLOOKUP($C5789,Hes!$A:$B, 1, FALSE), $M5789&lt;&gt;" "), "Ingresada", "Falta Ingresar"), " ")</f>
        <v xml:space="preserve"> </v>
      </c>
      <c r="L5789" s="4" t="s">
        <v>681</v>
      </c>
      <c r="M5789" t="s">
        <v>681</v>
      </c>
      <c r="O5789" s="5">
        <v>30848736</v>
      </c>
      <c r="P5789" s="5">
        <v>241525</v>
      </c>
      <c r="Q5789" s="5">
        <v>45890</v>
      </c>
      <c r="R5789" s="5">
        <v>287415</v>
      </c>
    </row>
    <row r="5790" spans="1:18" x14ac:dyDescent="0.25">
      <c r="A5790" t="s">
        <v>513</v>
      </c>
      <c r="B5790" t="s">
        <v>494</v>
      </c>
      <c r="C5790">
        <v>99551260</v>
      </c>
      <c r="D5790">
        <v>6</v>
      </c>
      <c r="E5790">
        <v>25049</v>
      </c>
      <c r="F5790" t="s">
        <v>1993</v>
      </c>
      <c r="G5790" s="1">
        <v>45237</v>
      </c>
      <c r="H5790">
        <v>5414449</v>
      </c>
      <c r="I5790">
        <v>161</v>
      </c>
      <c r="J5790" t="s">
        <v>412</v>
      </c>
      <c r="K5790" t="str">
        <f>IFERROR(IF(AND(VLOOKUP($C5790,Hes!$A:$B, 1, FALSE), $M5790&lt;&gt;" "), "Ingresada", "Falta Ingresar"), " ")</f>
        <v xml:space="preserve"> </v>
      </c>
      <c r="L5790" s="4" t="s">
        <v>681</v>
      </c>
      <c r="M5790" t="s">
        <v>681</v>
      </c>
      <c r="O5790" s="5">
        <v>30848728</v>
      </c>
      <c r="P5790" s="5">
        <v>384632</v>
      </c>
      <c r="Q5790" s="5">
        <v>73080</v>
      </c>
      <c r="R5790" s="5">
        <v>457712</v>
      </c>
    </row>
    <row r="5791" spans="1:18" x14ac:dyDescent="0.25">
      <c r="F5791" t="s">
        <v>497</v>
      </c>
      <c r="K5791" t="str">
        <f>IFERROR(IF(AND(VLOOKUP($C5791,Hes!$A:$B, 1, FALSE), $M5791&lt;&gt;" "), "Ingresada", "Falta Ingresar"), " ")</f>
        <v xml:space="preserve"> </v>
      </c>
      <c r="L5791" s="4" t="str">
        <f>IFERROR(VLOOKUP($C5791,Observaciones!$A:$B,2,FALSE)," ")</f>
        <v xml:space="preserve"> </v>
      </c>
      <c r="M5791" t="s">
        <v>681</v>
      </c>
      <c r="P5791" s="5">
        <v>626157</v>
      </c>
      <c r="Q5791" s="5">
        <v>118970</v>
      </c>
      <c r="R5791" s="5">
        <v>745127</v>
      </c>
    </row>
    <row r="5792" spans="1:18" x14ac:dyDescent="0.25">
      <c r="A5792" t="s">
        <v>501</v>
      </c>
      <c r="B5792" t="s">
        <v>494</v>
      </c>
      <c r="C5792">
        <v>99551750</v>
      </c>
      <c r="D5792">
        <v>3</v>
      </c>
      <c r="E5792">
        <v>6341</v>
      </c>
      <c r="F5792" t="s">
        <v>1994</v>
      </c>
      <c r="G5792" s="1">
        <v>45232</v>
      </c>
      <c r="H5792">
        <v>5411081</v>
      </c>
      <c r="I5792">
        <v>411</v>
      </c>
      <c r="J5792" t="s">
        <v>204</v>
      </c>
      <c r="K5792" t="str">
        <f>IFERROR(IF(AND(VLOOKUP($C5792,Hes!$A:$B, 1, FALSE), $M5792&lt;&gt;" "), "Ingresada", "Falta Ingresar"), " ")</f>
        <v xml:space="preserve"> </v>
      </c>
      <c r="L5792" s="4" t="str">
        <f>IFERROR(VLOOKUP($C5792,Observaciones!$A:$B,2,FALSE)," ")</f>
        <v xml:space="preserve"> </v>
      </c>
      <c r="M5792" t="s">
        <v>681</v>
      </c>
      <c r="O5792" s="5">
        <v>30846133</v>
      </c>
      <c r="P5792" s="5">
        <v>133135</v>
      </c>
      <c r="Q5792" s="5">
        <v>25296</v>
      </c>
      <c r="R5792" s="5">
        <v>158431</v>
      </c>
    </row>
    <row r="5793" spans="1:18" x14ac:dyDescent="0.25">
      <c r="F5793" t="s">
        <v>495</v>
      </c>
      <c r="K5793" t="str">
        <f>IFERROR(IF(AND(VLOOKUP($C5793,Hes!$A:$B, 1, FALSE), $M5793&lt;&gt;" "), "Ingresada", "Falta Ingresar"), " ")</f>
        <v xml:space="preserve"> </v>
      </c>
      <c r="L5793" s="4" t="str">
        <f>IFERROR(VLOOKUP($C5793,Observaciones!$A:$B,2,FALSE)," ")</f>
        <v xml:space="preserve"> </v>
      </c>
      <c r="M5793" t="s">
        <v>681</v>
      </c>
      <c r="P5793" s="5">
        <v>133135</v>
      </c>
      <c r="Q5793" s="5">
        <v>25296</v>
      </c>
      <c r="R5793" s="5">
        <v>158431</v>
      </c>
    </row>
    <row r="5794" spans="1:18" x14ac:dyDescent="0.25">
      <c r="A5794" t="s">
        <v>513</v>
      </c>
      <c r="B5794" t="s">
        <v>494</v>
      </c>
      <c r="C5794">
        <v>99552050</v>
      </c>
      <c r="D5794">
        <v>0</v>
      </c>
      <c r="E5794">
        <v>30850877</v>
      </c>
      <c r="F5794" t="s">
        <v>1995</v>
      </c>
      <c r="G5794" s="1">
        <v>45233</v>
      </c>
      <c r="H5794">
        <v>5411683</v>
      </c>
      <c r="I5794">
        <v>161</v>
      </c>
      <c r="J5794" t="s">
        <v>412</v>
      </c>
      <c r="K5794" t="str">
        <f>IFERROR(IF(AND(VLOOKUP($C5794,Hes!$A:$B, 1, FALSE), $M5794&lt;&gt;" "), "Ingresada", "Falta Ingresar"), " ")</f>
        <v xml:space="preserve"> </v>
      </c>
      <c r="L5794" s="4" t="s">
        <v>681</v>
      </c>
      <c r="M5794" t="s">
        <v>681</v>
      </c>
      <c r="O5794" s="5">
        <v>30850877</v>
      </c>
      <c r="P5794" s="5">
        <v>56369</v>
      </c>
      <c r="Q5794" s="5">
        <v>10710</v>
      </c>
      <c r="R5794" s="5">
        <v>67079</v>
      </c>
    </row>
    <row r="5795" spans="1:18" x14ac:dyDescent="0.25">
      <c r="F5795" t="s">
        <v>495</v>
      </c>
      <c r="K5795" t="str">
        <f>IFERROR(IF(AND(VLOOKUP($C5795,Hes!$A:$B, 1, FALSE), $M5795&lt;&gt;" "), "Ingresada", "Falta Ingresar"), " ")</f>
        <v xml:space="preserve"> </v>
      </c>
      <c r="L5795" s="4" t="str">
        <f>IFERROR(VLOOKUP($C5795,Observaciones!$A:$B,2,FALSE)," ")</f>
        <v xml:space="preserve"> </v>
      </c>
      <c r="M5795" t="s">
        <v>681</v>
      </c>
      <c r="P5795" s="5">
        <v>56369</v>
      </c>
      <c r="Q5795" s="5">
        <v>10710</v>
      </c>
      <c r="R5795" s="5">
        <v>67079</v>
      </c>
    </row>
    <row r="5796" spans="1:18" x14ac:dyDescent="0.25">
      <c r="A5796" t="s">
        <v>512</v>
      </c>
      <c r="B5796" t="s">
        <v>494</v>
      </c>
      <c r="C5796">
        <v>99554390</v>
      </c>
      <c r="D5796">
        <v>30</v>
      </c>
      <c r="E5796">
        <v>30850117</v>
      </c>
      <c r="F5796" t="s">
        <v>1996</v>
      </c>
      <c r="G5796" s="1">
        <v>45236</v>
      </c>
      <c r="H5796">
        <v>5412658</v>
      </c>
      <c r="I5796">
        <v>360</v>
      </c>
      <c r="J5796" t="s">
        <v>188</v>
      </c>
      <c r="K5796" t="str">
        <f>IFERROR(IF(AND(VLOOKUP($C5796,Hes!$A:$B, 1, FALSE), $M5796&lt;&gt;" "), "Ingresada", "Falta Ingresar"), " ")</f>
        <v xml:space="preserve"> </v>
      </c>
      <c r="L5796" s="4" t="str">
        <f>IFERROR(VLOOKUP($C5796,Observaciones!$A:$B,2,FALSE)," ")</f>
        <v xml:space="preserve"> </v>
      </c>
      <c r="M5796" t="s">
        <v>681</v>
      </c>
      <c r="O5796" s="5">
        <v>30850117</v>
      </c>
      <c r="P5796" s="5">
        <v>245033</v>
      </c>
      <c r="Q5796" s="5">
        <v>46556</v>
      </c>
      <c r="R5796" s="5">
        <v>291589</v>
      </c>
    </row>
    <row r="5797" spans="1:18" x14ac:dyDescent="0.25">
      <c r="A5797" t="s">
        <v>512</v>
      </c>
      <c r="B5797" t="s">
        <v>494</v>
      </c>
      <c r="C5797">
        <v>99554390</v>
      </c>
      <c r="D5797">
        <v>32</v>
      </c>
      <c r="E5797">
        <v>30856225</v>
      </c>
      <c r="F5797" t="s">
        <v>1996</v>
      </c>
      <c r="G5797" s="1">
        <v>45236</v>
      </c>
      <c r="H5797">
        <v>5413570</v>
      </c>
      <c r="I5797">
        <v>360</v>
      </c>
      <c r="J5797" t="s">
        <v>188</v>
      </c>
      <c r="K5797" t="str">
        <f>IFERROR(IF(AND(VLOOKUP($C5797,Hes!$A:$B, 1, FALSE), $M5797&lt;&gt;" "), "Ingresada", "Falta Ingresar"), " ")</f>
        <v xml:space="preserve"> </v>
      </c>
      <c r="L5797" s="4" t="str">
        <f>IFERROR(VLOOKUP($C5797,Observaciones!$A:$B,2,FALSE)," ")</f>
        <v xml:space="preserve"> </v>
      </c>
      <c r="M5797" t="s">
        <v>681</v>
      </c>
      <c r="O5797" s="5">
        <v>30856225</v>
      </c>
      <c r="P5797" s="5">
        <v>146708</v>
      </c>
      <c r="Q5797" s="5">
        <v>27875</v>
      </c>
      <c r="R5797" s="5">
        <v>174583</v>
      </c>
    </row>
    <row r="5798" spans="1:18" x14ac:dyDescent="0.25">
      <c r="A5798" t="s">
        <v>512</v>
      </c>
      <c r="B5798" t="s">
        <v>494</v>
      </c>
      <c r="C5798">
        <v>99554390</v>
      </c>
      <c r="D5798">
        <v>32</v>
      </c>
      <c r="E5798">
        <v>30856225</v>
      </c>
      <c r="F5798" t="s">
        <v>1996</v>
      </c>
      <c r="G5798" s="1">
        <v>45236</v>
      </c>
      <c r="H5798">
        <v>5413571</v>
      </c>
      <c r="I5798">
        <v>360</v>
      </c>
      <c r="J5798" t="s">
        <v>188</v>
      </c>
      <c r="K5798" t="str">
        <f>IFERROR(IF(AND(VLOOKUP($C5798,Hes!$A:$B, 1, FALSE), $M5798&lt;&gt;" "), "Ingresada", "Falta Ingresar"), " ")</f>
        <v xml:space="preserve"> </v>
      </c>
      <c r="L5798" s="4" t="str">
        <f>IFERROR(VLOOKUP($C5798,Observaciones!$A:$B,2,FALSE)," ")</f>
        <v xml:space="preserve"> </v>
      </c>
      <c r="M5798" t="s">
        <v>681</v>
      </c>
      <c r="O5798" s="5">
        <v>30856225</v>
      </c>
      <c r="P5798" s="5">
        <v>142762</v>
      </c>
      <c r="Q5798" s="5">
        <v>27125</v>
      </c>
      <c r="R5798" s="5">
        <v>169887</v>
      </c>
    </row>
    <row r="5799" spans="1:18" x14ac:dyDescent="0.25">
      <c r="A5799" t="s">
        <v>512</v>
      </c>
      <c r="B5799" t="s">
        <v>494</v>
      </c>
      <c r="C5799">
        <v>99554390</v>
      </c>
      <c r="D5799">
        <v>11</v>
      </c>
      <c r="E5799">
        <v>30861523</v>
      </c>
      <c r="F5799" t="s">
        <v>1996</v>
      </c>
      <c r="G5799" s="1">
        <v>45238</v>
      </c>
      <c r="H5799">
        <v>5414939</v>
      </c>
      <c r="I5799">
        <v>360</v>
      </c>
      <c r="J5799" t="s">
        <v>188</v>
      </c>
      <c r="K5799" t="str">
        <f>IFERROR(IF(AND(VLOOKUP($C5799,Hes!$A:$B, 1, FALSE), $M5799&lt;&gt;" "), "Ingresada", "Falta Ingresar"), " ")</f>
        <v xml:space="preserve"> </v>
      </c>
      <c r="L5799" s="4" t="str">
        <f>IFERROR(VLOOKUP($C5799,Observaciones!$A:$B,2,FALSE)," ")</f>
        <v xml:space="preserve"> </v>
      </c>
      <c r="M5799" t="s">
        <v>681</v>
      </c>
      <c r="O5799" s="5">
        <v>30861523</v>
      </c>
      <c r="P5799" s="5">
        <v>498852</v>
      </c>
      <c r="Q5799" s="5">
        <v>94782</v>
      </c>
      <c r="R5799" s="5">
        <v>593634</v>
      </c>
    </row>
    <row r="5800" spans="1:18" x14ac:dyDescent="0.25">
      <c r="F5800" t="s">
        <v>498</v>
      </c>
      <c r="K5800" t="str">
        <f>IFERROR(IF(AND(VLOOKUP($C5800,Hes!$A:$B, 1, FALSE), $M5800&lt;&gt;" "), "Ingresada", "Falta Ingresar"), " ")</f>
        <v xml:space="preserve"> </v>
      </c>
      <c r="L5800" s="4" t="str">
        <f>IFERROR(VLOOKUP($C5800,Observaciones!$A:$B,2,FALSE)," ")</f>
        <v xml:space="preserve"> </v>
      </c>
      <c r="M5800" t="s">
        <v>681</v>
      </c>
      <c r="P5800" s="5">
        <v>1033355</v>
      </c>
      <c r="Q5800" s="5">
        <v>196338</v>
      </c>
      <c r="R5800" s="5">
        <v>1229693</v>
      </c>
    </row>
    <row r="5801" spans="1:18" x14ac:dyDescent="0.25">
      <c r="A5801" t="s">
        <v>503</v>
      </c>
      <c r="B5801" t="s">
        <v>494</v>
      </c>
      <c r="C5801">
        <v>99554560</v>
      </c>
      <c r="D5801">
        <v>76</v>
      </c>
      <c r="E5801">
        <v>4502182435</v>
      </c>
      <c r="F5801" t="s">
        <v>1997</v>
      </c>
      <c r="G5801" s="1">
        <v>45234</v>
      </c>
      <c r="H5801">
        <v>5411798</v>
      </c>
      <c r="I5801">
        <v>100</v>
      </c>
      <c r="J5801" t="s">
        <v>384</v>
      </c>
      <c r="K5801" s="8" t="str">
        <f>IFERROR(IF(AND(VLOOKUP($C5801,Hes!$A:$B, 1, FALSE), $M5801&lt;&gt;" "), "Ingresada", "Falta Ingresar"), " ")</f>
        <v>Falta Ingresar</v>
      </c>
      <c r="L5801" s="4" t="s">
        <v>681</v>
      </c>
      <c r="M5801" t="s">
        <v>681</v>
      </c>
      <c r="N5801" s="5" t="s">
        <v>841</v>
      </c>
      <c r="O5801" s="5">
        <v>30848747</v>
      </c>
      <c r="P5801" s="5">
        <v>29900</v>
      </c>
      <c r="Q5801" s="5">
        <v>5681</v>
      </c>
      <c r="R5801" s="5">
        <v>35581</v>
      </c>
    </row>
    <row r="5802" spans="1:18" x14ac:dyDescent="0.25">
      <c r="A5802" t="s">
        <v>503</v>
      </c>
      <c r="B5802" t="s">
        <v>494</v>
      </c>
      <c r="C5802">
        <v>99554560</v>
      </c>
      <c r="D5802">
        <v>10</v>
      </c>
      <c r="E5802">
        <v>4502186676</v>
      </c>
      <c r="F5802" t="s">
        <v>1997</v>
      </c>
      <c r="G5802" s="1">
        <v>45236</v>
      </c>
      <c r="H5802">
        <v>5411920</v>
      </c>
      <c r="I5802">
        <v>100</v>
      </c>
      <c r="J5802" t="s">
        <v>384</v>
      </c>
      <c r="K5802" s="8" t="str">
        <f>IFERROR(IF(AND(VLOOKUP($C5802,Hes!$A:$B, 1, FALSE), $M5802&lt;&gt;" "), "Ingresada", "Falta Ingresar"), " ")</f>
        <v>Falta Ingresar</v>
      </c>
      <c r="L5802" s="4" t="s">
        <v>681</v>
      </c>
      <c r="M5802" t="s">
        <v>681</v>
      </c>
      <c r="N5802" s="5" t="s">
        <v>841</v>
      </c>
      <c r="O5802" s="5">
        <v>30848773</v>
      </c>
      <c r="P5802" s="5">
        <v>29900</v>
      </c>
      <c r="Q5802" s="5">
        <v>5681</v>
      </c>
      <c r="R5802" s="5">
        <v>35581</v>
      </c>
    </row>
    <row r="5803" spans="1:18" x14ac:dyDescent="0.25">
      <c r="F5803" t="s">
        <v>497</v>
      </c>
      <c r="K5803" t="str">
        <f>IFERROR(IF(AND(VLOOKUP($C5803,Hes!$A:$B, 1, FALSE), $M5803&lt;&gt;" "), "Ingresada", "Falta Ingresar"), " ")</f>
        <v xml:space="preserve"> </v>
      </c>
      <c r="L5803" s="4" t="str">
        <f>IFERROR(VLOOKUP($C5803,Observaciones!$A:$B,2,FALSE)," ")</f>
        <v xml:space="preserve"> </v>
      </c>
      <c r="M5803" t="s">
        <v>681</v>
      </c>
      <c r="P5803" s="5">
        <v>59800</v>
      </c>
      <c r="Q5803" s="5">
        <v>11362</v>
      </c>
      <c r="R5803" s="5">
        <v>71162</v>
      </c>
    </row>
    <row r="5804" spans="1:18" x14ac:dyDescent="0.25">
      <c r="C5804">
        <v>99560300</v>
      </c>
      <c r="D5804">
        <v>2</v>
      </c>
      <c r="E5804">
        <v>22455</v>
      </c>
      <c r="F5804" t="s">
        <v>1998</v>
      </c>
      <c r="G5804" s="1">
        <v>45238</v>
      </c>
      <c r="H5804">
        <v>5415792</v>
      </c>
      <c r="I5804">
        <v>424</v>
      </c>
      <c r="J5804" t="s">
        <v>146</v>
      </c>
      <c r="K5804" t="str">
        <f>IFERROR(IF(AND(VLOOKUP($C5804,Hes!$A:$B, 1, FALSE), $M5804&lt;&gt;" "), "Ingresada", "Falta Ingresar"), " ")</f>
        <v xml:space="preserve"> </v>
      </c>
      <c r="L5804" s="4" t="str">
        <f>IFERROR(VLOOKUP($C5804,Observaciones!$A:$B,2,FALSE)," ")</f>
        <v xml:space="preserve"> </v>
      </c>
      <c r="M5804" t="s">
        <v>681</v>
      </c>
      <c r="O5804" s="5">
        <v>30862181</v>
      </c>
      <c r="P5804" s="5">
        <v>110064</v>
      </c>
      <c r="Q5804" s="5">
        <v>20912</v>
      </c>
      <c r="R5804" s="5">
        <v>130976</v>
      </c>
    </row>
    <row r="5805" spans="1:18" x14ac:dyDescent="0.25">
      <c r="F5805" t="s">
        <v>495</v>
      </c>
      <c r="K5805" t="str">
        <f>IFERROR(IF(AND(VLOOKUP($C5805,Hes!$A:$B, 1, FALSE), $M5805&lt;&gt;" "), "Ingresada", "Falta Ingresar"), " ")</f>
        <v xml:space="preserve"> </v>
      </c>
      <c r="L5805" s="4" t="str">
        <f>IFERROR(VLOOKUP($C5805,Observaciones!$A:$B,2,FALSE)," ")</f>
        <v xml:space="preserve"> </v>
      </c>
      <c r="M5805" t="s">
        <v>681</v>
      </c>
      <c r="P5805" s="5">
        <v>110064</v>
      </c>
      <c r="Q5805" s="5">
        <v>20912</v>
      </c>
      <c r="R5805" s="5">
        <v>130976</v>
      </c>
    </row>
    <row r="5806" spans="1:18" x14ac:dyDescent="0.25">
      <c r="A5806" t="s">
        <v>496</v>
      </c>
      <c r="B5806" t="s">
        <v>508</v>
      </c>
      <c r="C5806">
        <v>99579260</v>
      </c>
      <c r="D5806">
        <v>30</v>
      </c>
      <c r="E5806">
        <v>4500195946</v>
      </c>
      <c r="F5806" t="s">
        <v>1999</v>
      </c>
      <c r="G5806" s="1">
        <v>45236</v>
      </c>
      <c r="H5806">
        <v>5412322</v>
      </c>
      <c r="I5806">
        <v>409</v>
      </c>
      <c r="J5806" t="s">
        <v>186</v>
      </c>
      <c r="K5806" s="8" t="str">
        <f>IFERROR(IF(AND(VLOOKUP($C5806,Hes!$A:$B, 1, FALSE), $M5806&lt;&gt;" "), "Ingresada", "Falta Ingresar"), " ")</f>
        <v>Falta Ingresar</v>
      </c>
      <c r="L5806" s="4" t="s">
        <v>681</v>
      </c>
      <c r="M5806" t="s">
        <v>681</v>
      </c>
      <c r="N5806" s="5" t="s">
        <v>841</v>
      </c>
      <c r="O5806" s="5">
        <v>30852474</v>
      </c>
      <c r="P5806" s="5">
        <v>64500</v>
      </c>
      <c r="Q5806" s="5">
        <v>12255</v>
      </c>
      <c r="R5806" s="5">
        <v>76755</v>
      </c>
    </row>
    <row r="5807" spans="1:18" x14ac:dyDescent="0.25">
      <c r="A5807" t="s">
        <v>496</v>
      </c>
      <c r="B5807" t="s">
        <v>508</v>
      </c>
      <c r="C5807">
        <v>99579260</v>
      </c>
      <c r="D5807">
        <v>30</v>
      </c>
      <c r="E5807">
        <v>4500195942</v>
      </c>
      <c r="F5807" t="s">
        <v>1999</v>
      </c>
      <c r="G5807" s="1">
        <v>45238</v>
      </c>
      <c r="H5807">
        <v>5415410</v>
      </c>
      <c r="I5807">
        <v>409</v>
      </c>
      <c r="J5807" t="s">
        <v>186</v>
      </c>
      <c r="K5807" s="8" t="str">
        <f>IFERROR(IF(AND(VLOOKUP($C5807,Hes!$A:$B, 1, FALSE), $M5807&lt;&gt;" "), "Ingresada", "Falta Ingresar"), " ")</f>
        <v>Falta Ingresar</v>
      </c>
      <c r="L5807" s="4" t="s">
        <v>681</v>
      </c>
      <c r="M5807" t="s">
        <v>681</v>
      </c>
      <c r="N5807" s="5" t="s">
        <v>841</v>
      </c>
      <c r="O5807" s="5">
        <v>30864365</v>
      </c>
      <c r="P5807" s="5">
        <v>13730</v>
      </c>
      <c r="Q5807" s="5">
        <v>2609</v>
      </c>
      <c r="R5807" s="5">
        <v>16339</v>
      </c>
    </row>
    <row r="5808" spans="1:18" x14ac:dyDescent="0.25">
      <c r="F5808" t="s">
        <v>497</v>
      </c>
      <c r="K5808" t="str">
        <f>IFERROR(IF(AND(VLOOKUP($C5808,Hes!$A:$B, 1, FALSE), $M5808&lt;&gt;" "), "Ingresada", "Falta Ingresar"), " ")</f>
        <v xml:space="preserve"> </v>
      </c>
      <c r="L5808" s="4" t="str">
        <f>IFERROR(VLOOKUP($C5808,Observaciones!$A:$B,2,FALSE)," ")</f>
        <v xml:space="preserve"> </v>
      </c>
      <c r="M5808" t="s">
        <v>681</v>
      </c>
      <c r="P5808" s="5">
        <v>78230</v>
      </c>
      <c r="Q5808" s="5">
        <v>14864</v>
      </c>
      <c r="R5808" s="5">
        <v>93094</v>
      </c>
    </row>
    <row r="5809" spans="1:18" x14ac:dyDescent="0.25">
      <c r="A5809" t="s">
        <v>496</v>
      </c>
      <c r="B5809" t="s">
        <v>494</v>
      </c>
      <c r="C5809">
        <v>99582170</v>
      </c>
      <c r="D5809">
        <v>6</v>
      </c>
      <c r="E5809" t="s">
        <v>2000</v>
      </c>
      <c r="F5809" t="s">
        <v>2001</v>
      </c>
      <c r="G5809" s="1">
        <v>45232</v>
      </c>
      <c r="H5809">
        <v>5410749</v>
      </c>
      <c r="I5809">
        <v>321</v>
      </c>
      <c r="J5809" t="s">
        <v>202</v>
      </c>
      <c r="K5809" t="str">
        <f>IFERROR(IF(AND(VLOOKUP($C5809,Hes!$A:$B, 1, FALSE), $M5809&lt;&gt;" "), "Ingresada", "Falta Ingresar"), " ")</f>
        <v xml:space="preserve"> </v>
      </c>
      <c r="L5809" s="4" t="str">
        <f>IFERROR(VLOOKUP($C5809,Observaciones!$A:$B,2,FALSE)," ")</f>
        <v>XOC Y CC</v>
      </c>
      <c r="M5809" t="s">
        <v>681</v>
      </c>
      <c r="O5809" s="5">
        <v>30837084</v>
      </c>
      <c r="P5809" s="5">
        <v>29505</v>
      </c>
      <c r="Q5809" s="5">
        <v>5606</v>
      </c>
      <c r="R5809" s="5">
        <v>35111</v>
      </c>
    </row>
    <row r="5810" spans="1:18" x14ac:dyDescent="0.25">
      <c r="A5810" t="s">
        <v>496</v>
      </c>
      <c r="B5810" t="s">
        <v>494</v>
      </c>
      <c r="C5810">
        <v>99582170</v>
      </c>
      <c r="D5810">
        <v>5</v>
      </c>
      <c r="E5810" t="s">
        <v>2002</v>
      </c>
      <c r="F5810" t="s">
        <v>2001</v>
      </c>
      <c r="G5810" s="1">
        <v>45232</v>
      </c>
      <c r="H5810">
        <v>5411204</v>
      </c>
      <c r="I5810">
        <v>321</v>
      </c>
      <c r="J5810" t="s">
        <v>202</v>
      </c>
      <c r="K5810" t="str">
        <f>IFERROR(IF(AND(VLOOKUP($C5810,Hes!$A:$B, 1, FALSE), $M5810&lt;&gt;" "), "Ingresada", "Falta Ingresar"), " ")</f>
        <v xml:space="preserve"> </v>
      </c>
      <c r="L5810" s="4" t="str">
        <f>IFERROR(VLOOKUP($C5810,Observaciones!$A:$B,2,FALSE)," ")</f>
        <v>XOC Y CC</v>
      </c>
      <c r="M5810" t="s">
        <v>681</v>
      </c>
      <c r="O5810" s="5">
        <v>30844721</v>
      </c>
      <c r="P5810" s="5">
        <v>194446</v>
      </c>
      <c r="Q5810" s="5">
        <v>36945</v>
      </c>
      <c r="R5810" s="5">
        <v>231391</v>
      </c>
    </row>
    <row r="5811" spans="1:18" x14ac:dyDescent="0.25">
      <c r="A5811" t="s">
        <v>496</v>
      </c>
      <c r="B5811" t="s">
        <v>494</v>
      </c>
      <c r="C5811">
        <v>99582170</v>
      </c>
      <c r="D5811">
        <v>5</v>
      </c>
      <c r="E5811" t="s">
        <v>2003</v>
      </c>
      <c r="F5811" t="s">
        <v>2001</v>
      </c>
      <c r="G5811" s="1">
        <v>45233</v>
      </c>
      <c r="H5811">
        <v>5411280</v>
      </c>
      <c r="I5811">
        <v>321</v>
      </c>
      <c r="J5811" t="s">
        <v>202</v>
      </c>
      <c r="K5811" t="str">
        <f>IFERROR(IF(AND(VLOOKUP($C5811,Hes!$A:$B, 1, FALSE), $M5811&lt;&gt;" "), "Ingresada", "Falta Ingresar"), " ")</f>
        <v xml:space="preserve"> </v>
      </c>
      <c r="L5811" s="4" t="str">
        <f>IFERROR(VLOOKUP($C5811,Observaciones!$A:$B,2,FALSE)," ")</f>
        <v>XOC Y CC</v>
      </c>
      <c r="M5811" t="s">
        <v>681</v>
      </c>
      <c r="O5811" s="5">
        <v>30844614</v>
      </c>
      <c r="P5811" s="5">
        <v>77549</v>
      </c>
      <c r="Q5811" s="5">
        <v>14734</v>
      </c>
      <c r="R5811" s="5">
        <v>92283</v>
      </c>
    </row>
    <row r="5812" spans="1:18" x14ac:dyDescent="0.25">
      <c r="F5812" t="s">
        <v>500</v>
      </c>
      <c r="K5812" t="str">
        <f>IFERROR(IF(AND(VLOOKUP($C5812,Hes!$A:$B, 1, FALSE), $M5812&lt;&gt;" "), "Ingresada", "Falta Ingresar"), " ")</f>
        <v xml:space="preserve"> </v>
      </c>
      <c r="M5812" t="s">
        <v>681</v>
      </c>
      <c r="P5812" s="5">
        <v>301500</v>
      </c>
      <c r="Q5812" s="5">
        <v>57285</v>
      </c>
      <c r="R5812" s="5">
        <v>358785</v>
      </c>
    </row>
    <row r="5813" spans="1:18" x14ac:dyDescent="0.25">
      <c r="A5813" t="s">
        <v>501</v>
      </c>
      <c r="B5813" t="s">
        <v>494</v>
      </c>
      <c r="C5813">
        <v>99586230</v>
      </c>
      <c r="D5813">
        <v>43</v>
      </c>
      <c r="E5813" t="s">
        <v>2004</v>
      </c>
      <c r="F5813" t="s">
        <v>2005</v>
      </c>
      <c r="G5813" s="1">
        <v>45236</v>
      </c>
      <c r="H5813">
        <v>5412463</v>
      </c>
      <c r="I5813">
        <v>464</v>
      </c>
      <c r="J5813" t="s">
        <v>127</v>
      </c>
      <c r="K5813" t="str">
        <f>IFERROR(IF(AND(VLOOKUP($C5813,Hes!$A:$B, 1, FALSE), $M5813&lt;&gt;" "), "Ingresada", "Falta Ingresar"), " ")</f>
        <v xml:space="preserve"> </v>
      </c>
      <c r="M5813" t="s">
        <v>681</v>
      </c>
      <c r="O5813" s="5">
        <v>30849345</v>
      </c>
      <c r="P5813" s="5">
        <v>79446</v>
      </c>
      <c r="Q5813" s="5">
        <v>15095</v>
      </c>
      <c r="R5813" s="5">
        <v>94541</v>
      </c>
    </row>
    <row r="5814" spans="1:18" x14ac:dyDescent="0.25">
      <c r="A5814" t="s">
        <v>501</v>
      </c>
      <c r="B5814" t="s">
        <v>494</v>
      </c>
      <c r="C5814">
        <v>99586230</v>
      </c>
      <c r="D5814">
        <v>43</v>
      </c>
      <c r="E5814" t="s">
        <v>2006</v>
      </c>
      <c r="F5814" t="s">
        <v>2005</v>
      </c>
      <c r="G5814" s="1">
        <v>45236</v>
      </c>
      <c r="H5814">
        <v>5413369</v>
      </c>
      <c r="I5814">
        <v>464</v>
      </c>
      <c r="J5814" t="s">
        <v>127</v>
      </c>
      <c r="K5814" t="str">
        <f>IFERROR(IF(AND(VLOOKUP($C5814,Hes!$A:$B, 1, FALSE), $M5814&lt;&gt;" "), "Ingresada", "Falta Ingresar"), " ")</f>
        <v xml:space="preserve"> </v>
      </c>
      <c r="M5814" t="s">
        <v>681</v>
      </c>
      <c r="O5814" s="5">
        <v>30853654</v>
      </c>
      <c r="P5814" s="5">
        <v>21880</v>
      </c>
      <c r="Q5814" s="5">
        <v>4157</v>
      </c>
      <c r="R5814" s="5">
        <v>26037</v>
      </c>
    </row>
    <row r="5815" spans="1:18" x14ac:dyDescent="0.25">
      <c r="A5815" t="s">
        <v>501</v>
      </c>
      <c r="B5815" t="s">
        <v>494</v>
      </c>
      <c r="C5815">
        <v>99586230</v>
      </c>
      <c r="D5815">
        <v>43</v>
      </c>
      <c r="E5815" t="s">
        <v>2007</v>
      </c>
      <c r="F5815" t="s">
        <v>2005</v>
      </c>
      <c r="G5815" s="1">
        <v>45236</v>
      </c>
      <c r="H5815">
        <v>5413565</v>
      </c>
      <c r="I5815">
        <v>464</v>
      </c>
      <c r="J5815" t="s">
        <v>127</v>
      </c>
      <c r="K5815" t="str">
        <f>IFERROR(IF(AND(VLOOKUP($C5815,Hes!$A:$B, 1, FALSE), $M5815&lt;&gt;" "), "Ingresada", "Falta Ingresar"), " ")</f>
        <v xml:space="preserve"> </v>
      </c>
      <c r="M5815" t="s">
        <v>681</v>
      </c>
      <c r="O5815" s="5">
        <v>30857794</v>
      </c>
      <c r="P5815" s="5">
        <v>25792</v>
      </c>
      <c r="Q5815" s="5">
        <v>4900</v>
      </c>
      <c r="R5815" s="5">
        <v>30692</v>
      </c>
    </row>
    <row r="5816" spans="1:18" x14ac:dyDescent="0.25">
      <c r="A5816" t="s">
        <v>501</v>
      </c>
      <c r="B5816" t="s">
        <v>494</v>
      </c>
      <c r="C5816">
        <v>99586230</v>
      </c>
      <c r="D5816">
        <v>43</v>
      </c>
      <c r="E5816" t="s">
        <v>2008</v>
      </c>
      <c r="F5816" t="s">
        <v>2005</v>
      </c>
      <c r="G5816" s="1">
        <v>45237</v>
      </c>
      <c r="H5816">
        <v>5413943</v>
      </c>
      <c r="I5816">
        <v>464</v>
      </c>
      <c r="J5816" t="s">
        <v>127</v>
      </c>
      <c r="K5816" t="str">
        <f>IFERROR(IF(AND(VLOOKUP($C5816,Hes!$A:$B, 1, FALSE), $M5816&lt;&gt;" "), "Ingresada", "Falta Ingresar"), " ")</f>
        <v xml:space="preserve"> </v>
      </c>
      <c r="M5816" t="s">
        <v>681</v>
      </c>
      <c r="O5816" s="5">
        <v>30858529</v>
      </c>
      <c r="P5816" s="5">
        <v>39736</v>
      </c>
      <c r="Q5816" s="5">
        <v>7550</v>
      </c>
      <c r="R5816" s="5">
        <v>47286</v>
      </c>
    </row>
    <row r="5817" spans="1:18" x14ac:dyDescent="0.25">
      <c r="A5817" t="s">
        <v>501</v>
      </c>
      <c r="B5817" t="s">
        <v>494</v>
      </c>
      <c r="C5817">
        <v>99586230</v>
      </c>
      <c r="D5817">
        <v>43</v>
      </c>
      <c r="E5817" t="s">
        <v>2009</v>
      </c>
      <c r="F5817" t="s">
        <v>2005</v>
      </c>
      <c r="G5817" s="1">
        <v>45237</v>
      </c>
      <c r="H5817">
        <v>5414341</v>
      </c>
      <c r="I5817">
        <v>464</v>
      </c>
      <c r="J5817" t="s">
        <v>127</v>
      </c>
      <c r="K5817" t="str">
        <f>IFERROR(IF(AND(VLOOKUP($C5817,Hes!$A:$B, 1, FALSE), $M5817&lt;&gt;" "), "Ingresada", "Falta Ingresar"), " ")</f>
        <v xml:space="preserve"> </v>
      </c>
      <c r="M5817" t="s">
        <v>681</v>
      </c>
      <c r="O5817" s="5">
        <v>30861016</v>
      </c>
      <c r="P5817" s="5">
        <v>49120</v>
      </c>
      <c r="Q5817" s="5">
        <v>9333</v>
      </c>
      <c r="R5817" s="5">
        <v>58453</v>
      </c>
    </row>
    <row r="5818" spans="1:18" x14ac:dyDescent="0.25">
      <c r="A5818" t="s">
        <v>501</v>
      </c>
      <c r="B5818" t="s">
        <v>494</v>
      </c>
      <c r="C5818">
        <v>99586230</v>
      </c>
      <c r="D5818">
        <v>43</v>
      </c>
      <c r="E5818" t="s">
        <v>2010</v>
      </c>
      <c r="F5818" t="s">
        <v>2005</v>
      </c>
      <c r="G5818" s="1">
        <v>45237</v>
      </c>
      <c r="H5818">
        <v>5414379</v>
      </c>
      <c r="I5818">
        <v>464</v>
      </c>
      <c r="J5818" t="s">
        <v>127</v>
      </c>
      <c r="K5818" t="str">
        <f>IFERROR(IF(AND(VLOOKUP($C5818,Hes!$A:$B, 1, FALSE), $M5818&lt;&gt;" "), "Ingresada", "Falta Ingresar"), " ")</f>
        <v xml:space="preserve"> </v>
      </c>
      <c r="M5818" t="s">
        <v>681</v>
      </c>
      <c r="O5818" s="5">
        <v>30860793</v>
      </c>
      <c r="P5818" s="5">
        <v>22467</v>
      </c>
      <c r="Q5818" s="5">
        <v>4269</v>
      </c>
      <c r="R5818" s="5">
        <v>26736</v>
      </c>
    </row>
    <row r="5819" spans="1:18" x14ac:dyDescent="0.25">
      <c r="A5819" t="s">
        <v>501</v>
      </c>
      <c r="B5819" t="s">
        <v>494</v>
      </c>
      <c r="C5819">
        <v>99586230</v>
      </c>
      <c r="D5819">
        <v>43</v>
      </c>
      <c r="E5819" t="s">
        <v>2011</v>
      </c>
      <c r="F5819" t="s">
        <v>2005</v>
      </c>
      <c r="G5819" s="1">
        <v>45238</v>
      </c>
      <c r="H5819">
        <v>5414918</v>
      </c>
      <c r="I5819">
        <v>464</v>
      </c>
      <c r="J5819" t="s">
        <v>127</v>
      </c>
      <c r="K5819" t="str">
        <f>IFERROR(IF(AND(VLOOKUP($C5819,Hes!$A:$B, 1, FALSE), $M5819&lt;&gt;" "), "Ingresada", "Falta Ingresar"), " ")</f>
        <v xml:space="preserve"> </v>
      </c>
      <c r="M5819" t="s">
        <v>681</v>
      </c>
      <c r="O5819" s="5">
        <v>30860881</v>
      </c>
      <c r="P5819" s="5">
        <v>114163</v>
      </c>
      <c r="Q5819" s="5">
        <v>21691</v>
      </c>
      <c r="R5819" s="5">
        <v>135854</v>
      </c>
    </row>
    <row r="5820" spans="1:18" x14ac:dyDescent="0.25">
      <c r="A5820" t="s">
        <v>501</v>
      </c>
      <c r="B5820" t="s">
        <v>494</v>
      </c>
      <c r="C5820">
        <v>99586230</v>
      </c>
      <c r="D5820">
        <v>43</v>
      </c>
      <c r="E5820" t="s">
        <v>2012</v>
      </c>
      <c r="F5820" t="s">
        <v>2005</v>
      </c>
      <c r="G5820" s="1">
        <v>45238</v>
      </c>
      <c r="H5820">
        <v>5415773</v>
      </c>
      <c r="I5820">
        <v>464</v>
      </c>
      <c r="J5820" t="s">
        <v>127</v>
      </c>
      <c r="K5820" t="str">
        <f>IFERROR(IF(AND(VLOOKUP($C5820,Hes!$A:$B, 1, FALSE), $M5820&lt;&gt;" "), "Ingresada", "Falta Ingresar"), " ")</f>
        <v xml:space="preserve"> </v>
      </c>
      <c r="M5820" t="s">
        <v>681</v>
      </c>
      <c r="O5820" s="5">
        <v>30866529</v>
      </c>
      <c r="P5820" s="5">
        <v>24966</v>
      </c>
      <c r="Q5820" s="5">
        <v>4744</v>
      </c>
      <c r="R5820" s="5">
        <v>29710</v>
      </c>
    </row>
    <row r="5821" spans="1:18" x14ac:dyDescent="0.25">
      <c r="A5821" t="s">
        <v>501</v>
      </c>
      <c r="B5821" t="s">
        <v>494</v>
      </c>
      <c r="C5821">
        <v>99586230</v>
      </c>
      <c r="D5821">
        <v>43</v>
      </c>
      <c r="E5821" t="s">
        <v>2013</v>
      </c>
      <c r="F5821" t="s">
        <v>2005</v>
      </c>
      <c r="G5821" s="1">
        <v>45238</v>
      </c>
      <c r="H5821">
        <v>5415812</v>
      </c>
      <c r="I5821">
        <v>464</v>
      </c>
      <c r="J5821" t="s">
        <v>127</v>
      </c>
      <c r="K5821" t="str">
        <f>IFERROR(IF(AND(VLOOKUP($C5821,Hes!$A:$B, 1, FALSE), $M5821&lt;&gt;" "), "Ingresada", "Falta Ingresar"), " ")</f>
        <v xml:space="preserve"> </v>
      </c>
      <c r="M5821" t="s">
        <v>681</v>
      </c>
      <c r="O5821" s="5">
        <v>30860971</v>
      </c>
      <c r="P5821" s="5">
        <v>19068</v>
      </c>
      <c r="Q5821" s="5">
        <v>3623</v>
      </c>
      <c r="R5821" s="5">
        <v>22691</v>
      </c>
    </row>
    <row r="5822" spans="1:18" x14ac:dyDescent="0.25">
      <c r="F5822" t="s">
        <v>514</v>
      </c>
      <c r="K5822" t="str">
        <f>IFERROR(IF(AND(VLOOKUP($C5822,Hes!$A:$B, 1, FALSE), $M5822&lt;&gt;" "), "Ingresada", "Falta Ingresar"), " ")</f>
        <v xml:space="preserve"> </v>
      </c>
      <c r="M5822" t="s">
        <v>681</v>
      </c>
      <c r="P5822" s="5">
        <v>396638</v>
      </c>
      <c r="Q5822" s="5">
        <v>75362</v>
      </c>
      <c r="R5822" s="5">
        <v>472000</v>
      </c>
    </row>
    <row r="5823" spans="1:18" x14ac:dyDescent="0.25">
      <c r="A5823" t="s">
        <v>503</v>
      </c>
      <c r="B5823" t="s">
        <v>494</v>
      </c>
      <c r="C5823">
        <v>99586280</v>
      </c>
      <c r="D5823">
        <v>16</v>
      </c>
      <c r="E5823">
        <v>4502165731</v>
      </c>
      <c r="F5823" t="s">
        <v>2014</v>
      </c>
      <c r="G5823" s="1">
        <v>45236</v>
      </c>
      <c r="H5823">
        <v>5411955</v>
      </c>
      <c r="I5823">
        <v>100</v>
      </c>
      <c r="J5823" t="s">
        <v>384</v>
      </c>
      <c r="K5823" s="8" t="str">
        <f>IFERROR(IF(AND(VLOOKUP($C5823,Hes!$A:$B, 1, FALSE), $M5823&lt;&gt;" "), "Ingresada", "Falta Ingresar"), " ")</f>
        <v>Falta Ingresar</v>
      </c>
      <c r="M5823" t="s">
        <v>681</v>
      </c>
      <c r="N5823" s="5" t="s">
        <v>841</v>
      </c>
      <c r="O5823" s="5">
        <v>30848677</v>
      </c>
      <c r="P5823" s="5">
        <v>146572</v>
      </c>
      <c r="Q5823" s="5">
        <v>27849</v>
      </c>
      <c r="R5823" s="5">
        <v>174421</v>
      </c>
    </row>
    <row r="5824" spans="1:18" x14ac:dyDescent="0.25">
      <c r="F5824" t="s">
        <v>495</v>
      </c>
      <c r="K5824" t="str">
        <f>IFERROR(IF(AND(VLOOKUP($C5824,Hes!$A:$B, 1, FALSE), $M5824&lt;&gt;" "), "Ingresada", "Falta Ingresar"), " ")</f>
        <v xml:space="preserve"> </v>
      </c>
      <c r="M5824" t="s">
        <v>681</v>
      </c>
      <c r="P5824" s="5">
        <v>146572</v>
      </c>
      <c r="Q5824" s="5">
        <v>27849</v>
      </c>
      <c r="R5824" s="5">
        <v>174421</v>
      </c>
    </row>
    <row r="5825" spans="1:18" x14ac:dyDescent="0.25">
      <c r="A5825" t="s">
        <v>678</v>
      </c>
      <c r="B5825" t="s">
        <v>494</v>
      </c>
      <c r="C5825">
        <v>99591760</v>
      </c>
      <c r="D5825">
        <v>14</v>
      </c>
      <c r="E5825">
        <v>30851599</v>
      </c>
      <c r="F5825" t="s">
        <v>2015</v>
      </c>
      <c r="G5825" s="1">
        <v>45234</v>
      </c>
      <c r="H5825">
        <v>5412649</v>
      </c>
      <c r="I5825">
        <v>96</v>
      </c>
      <c r="J5825" t="s">
        <v>140</v>
      </c>
      <c r="K5825" t="str">
        <f>IFERROR(IF(AND(VLOOKUP($C5825,Hes!$A:$B, 1, FALSE), $M5825&lt;&gt;" "), "Ingresada", "Falta Ingresar"), " ")</f>
        <v xml:space="preserve"> </v>
      </c>
      <c r="M5825" t="s">
        <v>681</v>
      </c>
      <c r="N5825" s="5" t="s">
        <v>841</v>
      </c>
      <c r="O5825" s="5">
        <v>30851599</v>
      </c>
      <c r="P5825" s="5">
        <v>59075</v>
      </c>
      <c r="Q5825" s="5">
        <v>11224</v>
      </c>
      <c r="R5825" s="5">
        <v>70299</v>
      </c>
    </row>
    <row r="5826" spans="1:18" x14ac:dyDescent="0.25">
      <c r="A5826" t="s">
        <v>678</v>
      </c>
      <c r="B5826" t="s">
        <v>494</v>
      </c>
      <c r="C5826">
        <v>99591760</v>
      </c>
      <c r="D5826">
        <v>23</v>
      </c>
      <c r="E5826">
        <v>30854598</v>
      </c>
      <c r="F5826" t="s">
        <v>2015</v>
      </c>
      <c r="G5826" s="1">
        <v>45234</v>
      </c>
      <c r="H5826">
        <v>5412714</v>
      </c>
      <c r="I5826">
        <v>96</v>
      </c>
      <c r="J5826" t="s">
        <v>140</v>
      </c>
      <c r="K5826" t="str">
        <f>IFERROR(IF(AND(VLOOKUP($C5826,Hes!$A:$B, 1, FALSE), $M5826&lt;&gt;" "), "Ingresada", "Falta Ingresar"), " ")</f>
        <v xml:space="preserve"> </v>
      </c>
      <c r="M5826" t="s">
        <v>681</v>
      </c>
      <c r="N5826" s="5" t="s">
        <v>841</v>
      </c>
      <c r="O5826" s="5">
        <v>30854598</v>
      </c>
      <c r="P5826" s="5">
        <v>49984</v>
      </c>
      <c r="Q5826" s="5">
        <v>9497</v>
      </c>
      <c r="R5826" s="5">
        <v>59481</v>
      </c>
    </row>
    <row r="5827" spans="1:18" x14ac:dyDescent="0.25">
      <c r="A5827" t="s">
        <v>678</v>
      </c>
      <c r="B5827" t="s">
        <v>494</v>
      </c>
      <c r="C5827">
        <v>99591760</v>
      </c>
      <c r="D5827">
        <v>10</v>
      </c>
      <c r="E5827">
        <v>30854604</v>
      </c>
      <c r="F5827" t="s">
        <v>2015</v>
      </c>
      <c r="G5827" s="1">
        <v>45234</v>
      </c>
      <c r="H5827">
        <v>5412741</v>
      </c>
      <c r="I5827">
        <v>96</v>
      </c>
      <c r="J5827" t="s">
        <v>140</v>
      </c>
      <c r="K5827" t="str">
        <f>IFERROR(IF(AND(VLOOKUP($C5827,Hes!$A:$B, 1, FALSE), $M5827&lt;&gt;" "), "Ingresada", "Falta Ingresar"), " ")</f>
        <v xml:space="preserve"> </v>
      </c>
      <c r="M5827" t="s">
        <v>681</v>
      </c>
      <c r="N5827" s="5" t="s">
        <v>841</v>
      </c>
      <c r="O5827" s="5">
        <v>30854604</v>
      </c>
      <c r="P5827" s="5">
        <v>29947</v>
      </c>
      <c r="Q5827" s="5">
        <v>5690</v>
      </c>
      <c r="R5827" s="5">
        <v>35637</v>
      </c>
    </row>
    <row r="5828" spans="1:18" x14ac:dyDescent="0.25">
      <c r="A5828" t="s">
        <v>678</v>
      </c>
      <c r="B5828" t="s">
        <v>494</v>
      </c>
      <c r="C5828">
        <v>99591760</v>
      </c>
      <c r="D5828">
        <v>16</v>
      </c>
      <c r="E5828">
        <v>30854732</v>
      </c>
      <c r="F5828" t="s">
        <v>2015</v>
      </c>
      <c r="G5828" s="1">
        <v>45234</v>
      </c>
      <c r="H5828">
        <v>5412746</v>
      </c>
      <c r="I5828">
        <v>96</v>
      </c>
      <c r="J5828" t="s">
        <v>140</v>
      </c>
      <c r="K5828" t="str">
        <f>IFERROR(IF(AND(VLOOKUP($C5828,Hes!$A:$B, 1, FALSE), $M5828&lt;&gt;" "), "Ingresada", "Falta Ingresar"), " ")</f>
        <v xml:space="preserve"> </v>
      </c>
      <c r="M5828" t="s">
        <v>681</v>
      </c>
      <c r="N5828" s="5" t="s">
        <v>841</v>
      </c>
      <c r="O5828" s="5">
        <v>30854732</v>
      </c>
      <c r="P5828" s="5">
        <v>99889</v>
      </c>
      <c r="Q5828" s="5">
        <v>18979</v>
      </c>
      <c r="R5828" s="5">
        <v>118868</v>
      </c>
    </row>
    <row r="5829" spans="1:18" x14ac:dyDescent="0.25">
      <c r="A5829" t="s">
        <v>678</v>
      </c>
      <c r="B5829" t="s">
        <v>494</v>
      </c>
      <c r="C5829">
        <v>99591760</v>
      </c>
      <c r="D5829">
        <v>30</v>
      </c>
      <c r="E5829">
        <v>30855680</v>
      </c>
      <c r="F5829" t="s">
        <v>2015</v>
      </c>
      <c r="G5829" s="1">
        <v>45234</v>
      </c>
      <c r="H5829">
        <v>5412925</v>
      </c>
      <c r="I5829">
        <v>96</v>
      </c>
      <c r="J5829" t="s">
        <v>140</v>
      </c>
      <c r="K5829" t="str">
        <f>IFERROR(IF(AND(VLOOKUP($C5829,Hes!$A:$B, 1, FALSE), $M5829&lt;&gt;" "), "Ingresada", "Falta Ingresar"), " ")</f>
        <v xml:space="preserve"> </v>
      </c>
      <c r="M5829" t="s">
        <v>681</v>
      </c>
      <c r="N5829" s="5" t="s">
        <v>841</v>
      </c>
      <c r="O5829" s="5">
        <v>30855680</v>
      </c>
      <c r="P5829" s="5">
        <v>25927</v>
      </c>
      <c r="Q5829" s="5">
        <v>4926</v>
      </c>
      <c r="R5829" s="5">
        <v>30853</v>
      </c>
    </row>
    <row r="5830" spans="1:18" x14ac:dyDescent="0.25">
      <c r="A5830" t="s">
        <v>678</v>
      </c>
      <c r="B5830" t="s">
        <v>494</v>
      </c>
      <c r="C5830">
        <v>99591760</v>
      </c>
      <c r="D5830">
        <v>24</v>
      </c>
      <c r="E5830">
        <v>30858396</v>
      </c>
      <c r="F5830" t="s">
        <v>2015</v>
      </c>
      <c r="G5830" s="1">
        <v>45237</v>
      </c>
      <c r="H5830">
        <v>5414849</v>
      </c>
      <c r="I5830">
        <v>96</v>
      </c>
      <c r="J5830" t="s">
        <v>140</v>
      </c>
      <c r="K5830" t="str">
        <f>IFERROR(IF(AND(VLOOKUP($C5830,Hes!$A:$B, 1, FALSE), $M5830&lt;&gt;" "), "Ingresada", "Falta Ingresar"), " ")</f>
        <v xml:space="preserve"> </v>
      </c>
      <c r="M5830" t="s">
        <v>681</v>
      </c>
      <c r="N5830" s="5" t="s">
        <v>841</v>
      </c>
      <c r="O5830" s="5">
        <v>30858396</v>
      </c>
      <c r="P5830" s="5">
        <v>73540</v>
      </c>
      <c r="Q5830" s="5">
        <v>13973</v>
      </c>
      <c r="R5830" s="5">
        <v>87513</v>
      </c>
    </row>
    <row r="5831" spans="1:18" x14ac:dyDescent="0.25">
      <c r="F5831" t="s">
        <v>523</v>
      </c>
      <c r="K5831" t="str">
        <f>IFERROR(IF(AND(VLOOKUP($C5831,Hes!$A:$B, 1, FALSE), $M5831&lt;&gt;" "), "Ingresada", "Falta Ingresar"), " ")</f>
        <v xml:space="preserve"> </v>
      </c>
      <c r="M5831" t="s">
        <v>681</v>
      </c>
      <c r="P5831" s="5">
        <v>338362</v>
      </c>
      <c r="Q5831" s="5">
        <v>64289</v>
      </c>
      <c r="R5831" s="5">
        <v>402651</v>
      </c>
    </row>
    <row r="5832" spans="1:18" x14ac:dyDescent="0.25">
      <c r="A5832" t="s">
        <v>501</v>
      </c>
      <c r="B5832" t="s">
        <v>494</v>
      </c>
      <c r="C5832">
        <v>99594910</v>
      </c>
      <c r="D5832">
        <v>5</v>
      </c>
      <c r="E5832" t="s">
        <v>2016</v>
      </c>
      <c r="F5832" t="s">
        <v>2017</v>
      </c>
      <c r="G5832" s="1">
        <v>45236</v>
      </c>
      <c r="H5832">
        <v>5412248</v>
      </c>
      <c r="I5832">
        <v>187</v>
      </c>
      <c r="J5832" t="s">
        <v>386</v>
      </c>
      <c r="K5832" t="str">
        <f>IFERROR(IF(AND(VLOOKUP($C5832,Hes!$A:$B, 1, FALSE), $M5832&lt;&gt;" "), "Ingresada", "Falta Ingresar"), " ")</f>
        <v xml:space="preserve"> </v>
      </c>
      <c r="M5832" t="s">
        <v>681</v>
      </c>
      <c r="O5832" s="5">
        <v>30850223</v>
      </c>
      <c r="P5832" s="5">
        <v>31950</v>
      </c>
      <c r="Q5832" s="5">
        <v>6071</v>
      </c>
      <c r="R5832" s="5">
        <v>38021</v>
      </c>
    </row>
    <row r="5833" spans="1:18" x14ac:dyDescent="0.25">
      <c r="A5833" t="s">
        <v>501</v>
      </c>
      <c r="B5833" t="s">
        <v>494</v>
      </c>
      <c r="C5833">
        <v>99594910</v>
      </c>
      <c r="D5833">
        <v>5</v>
      </c>
      <c r="E5833">
        <v>30863347</v>
      </c>
      <c r="F5833" t="s">
        <v>2017</v>
      </c>
      <c r="G5833" s="1">
        <v>45238</v>
      </c>
      <c r="H5833">
        <v>5415076</v>
      </c>
      <c r="I5833">
        <v>187</v>
      </c>
      <c r="J5833" t="s">
        <v>386</v>
      </c>
      <c r="K5833" t="str">
        <f>IFERROR(IF(AND(VLOOKUP($C5833,Hes!$A:$B, 1, FALSE), $M5833&lt;&gt;" "), "Ingresada", "Falta Ingresar"), " ")</f>
        <v xml:space="preserve"> </v>
      </c>
      <c r="M5833" t="s">
        <v>681</v>
      </c>
      <c r="O5833" s="5">
        <v>30863347</v>
      </c>
      <c r="P5833" s="5">
        <v>61124</v>
      </c>
      <c r="Q5833" s="5">
        <v>11614</v>
      </c>
      <c r="R5833" s="5">
        <v>72738</v>
      </c>
    </row>
    <row r="5834" spans="1:18" x14ac:dyDescent="0.25">
      <c r="F5834" t="s">
        <v>497</v>
      </c>
      <c r="K5834" t="str">
        <f>IFERROR(IF(AND(VLOOKUP($C5834,Hes!$A:$B, 1, FALSE), $M5834&lt;&gt;" "), "Ingresada", "Falta Ingresar"), " ")</f>
        <v xml:space="preserve"> </v>
      </c>
      <c r="M5834" t="s">
        <v>681</v>
      </c>
      <c r="P5834" s="5">
        <v>93074</v>
      </c>
      <c r="Q5834" s="5">
        <v>17685</v>
      </c>
      <c r="R5834" s="5">
        <v>110759</v>
      </c>
    </row>
    <row r="5835" spans="1:18" x14ac:dyDescent="0.25">
      <c r="A5835" t="s">
        <v>501</v>
      </c>
      <c r="B5835" t="s">
        <v>494</v>
      </c>
      <c r="C5835">
        <v>99597250</v>
      </c>
      <c r="D5835">
        <v>5</v>
      </c>
      <c r="E5835">
        <v>30859526</v>
      </c>
      <c r="F5835" t="s">
        <v>2018</v>
      </c>
      <c r="G5835" s="1">
        <v>45237</v>
      </c>
      <c r="H5835">
        <v>5414137</v>
      </c>
      <c r="I5835">
        <v>196</v>
      </c>
      <c r="J5835" t="s">
        <v>382</v>
      </c>
      <c r="K5835" s="8" t="str">
        <f>IFERROR(IF(AND(VLOOKUP($C5835,Hes!$A:$B, 1, FALSE), $M5835&lt;&gt;" "), "Ingresada", "Falta Ingresar"), " ")</f>
        <v>Falta Ingresar</v>
      </c>
      <c r="M5835" t="s">
        <v>681</v>
      </c>
      <c r="N5835" s="5" t="s">
        <v>841</v>
      </c>
      <c r="O5835" s="5">
        <v>30859526</v>
      </c>
      <c r="P5835" s="5">
        <v>97591</v>
      </c>
      <c r="Q5835" s="5">
        <v>18542</v>
      </c>
      <c r="R5835" s="5">
        <v>116133</v>
      </c>
    </row>
    <row r="5836" spans="1:18" x14ac:dyDescent="0.25">
      <c r="F5836" t="s">
        <v>495</v>
      </c>
      <c r="K5836" t="str">
        <f>IFERROR(IF(AND(VLOOKUP($C5836,Hes!$A:$B, 1, FALSE), $M5836&lt;&gt;" "), "Ingresada", "Falta Ingresar"), " ")</f>
        <v xml:space="preserve"> </v>
      </c>
      <c r="M5836" t="s">
        <v>681</v>
      </c>
      <c r="P5836" s="5">
        <v>97591</v>
      </c>
      <c r="Q5836" s="5">
        <v>18542</v>
      </c>
      <c r="R5836" s="5">
        <v>116133</v>
      </c>
    </row>
    <row r="5837" spans="1:18" x14ac:dyDescent="0.25">
      <c r="A5837" t="s">
        <v>496</v>
      </c>
      <c r="B5837" t="s">
        <v>494</v>
      </c>
      <c r="C5837">
        <v>99597800</v>
      </c>
      <c r="D5837">
        <v>0</v>
      </c>
      <c r="E5837">
        <v>4500222250</v>
      </c>
      <c r="F5837" t="s">
        <v>2019</v>
      </c>
      <c r="G5837" s="1">
        <v>45234</v>
      </c>
      <c r="H5837">
        <v>5412747</v>
      </c>
      <c r="I5837">
        <v>441</v>
      </c>
      <c r="J5837" t="s">
        <v>119</v>
      </c>
      <c r="K5837" s="7" t="str">
        <f>IFERROR(IF(AND(VLOOKUP($C5837,Hes!$A:$B, 1, FALSE), $M5837&lt;&gt;" "), "Ingresada", "Falta Ingresar"), " ")</f>
        <v>Ingresada</v>
      </c>
      <c r="M5837">
        <v>5000262574</v>
      </c>
      <c r="N5837" s="5" t="s">
        <v>841</v>
      </c>
      <c r="O5837" s="5">
        <v>30855074</v>
      </c>
      <c r="P5837" s="5">
        <v>115356</v>
      </c>
      <c r="Q5837" s="5">
        <v>21918</v>
      </c>
      <c r="R5837" s="5">
        <v>137274</v>
      </c>
    </row>
    <row r="5838" spans="1:18" x14ac:dyDescent="0.25">
      <c r="A5838" t="s">
        <v>496</v>
      </c>
      <c r="B5838" t="s">
        <v>494</v>
      </c>
      <c r="C5838">
        <v>99597800</v>
      </c>
      <c r="D5838">
        <v>0</v>
      </c>
      <c r="E5838">
        <v>4500222255</v>
      </c>
      <c r="F5838" t="s">
        <v>2019</v>
      </c>
      <c r="G5838" s="1">
        <v>45234</v>
      </c>
      <c r="H5838">
        <v>5412848</v>
      </c>
      <c r="I5838">
        <v>441</v>
      </c>
      <c r="J5838" t="s">
        <v>119</v>
      </c>
      <c r="K5838" s="7" t="str">
        <f>IFERROR(IF(AND(VLOOKUP($C5838,Hes!$A:$B, 1, FALSE), $M5838&lt;&gt;" "), "Ingresada", "Falta Ingresar"), " ")</f>
        <v>Ingresada</v>
      </c>
      <c r="M5838">
        <v>5000262573</v>
      </c>
      <c r="N5838" s="5" t="s">
        <v>841</v>
      </c>
      <c r="O5838" s="5">
        <v>30855039</v>
      </c>
      <c r="P5838" s="5">
        <v>278690</v>
      </c>
      <c r="Q5838" s="5">
        <v>52951</v>
      </c>
      <c r="R5838" s="5">
        <v>331641</v>
      </c>
    </row>
    <row r="5839" spans="1:18" x14ac:dyDescent="0.25">
      <c r="A5839" t="s">
        <v>496</v>
      </c>
      <c r="B5839" t="s">
        <v>494</v>
      </c>
      <c r="C5839">
        <v>99597800</v>
      </c>
      <c r="D5839">
        <v>0</v>
      </c>
      <c r="E5839">
        <v>4500222259</v>
      </c>
      <c r="F5839" t="s">
        <v>2019</v>
      </c>
      <c r="G5839" s="1">
        <v>45234</v>
      </c>
      <c r="H5839">
        <v>5412890</v>
      </c>
      <c r="I5839">
        <v>441</v>
      </c>
      <c r="J5839" t="s">
        <v>119</v>
      </c>
      <c r="K5839" s="7" t="str">
        <f>IFERROR(IF(AND(VLOOKUP($C5839,Hes!$A:$B, 1, FALSE), $M5839&lt;&gt;" "), "Ingresada", "Falta Ingresar"), " ")</f>
        <v>Ingresada</v>
      </c>
      <c r="M5839">
        <v>5000262577</v>
      </c>
      <c r="N5839" s="5" t="s">
        <v>841</v>
      </c>
      <c r="O5839" s="5">
        <v>30852873</v>
      </c>
      <c r="P5839" s="5">
        <v>373926</v>
      </c>
      <c r="Q5839" s="5">
        <v>71046</v>
      </c>
      <c r="R5839" s="5">
        <v>444972</v>
      </c>
    </row>
    <row r="5840" spans="1:18" x14ac:dyDescent="0.25">
      <c r="F5840" t="s">
        <v>500</v>
      </c>
      <c r="K5840" t="str">
        <f>IFERROR(IF(AND(VLOOKUP($C5840,Hes!$A:$B, 1, FALSE), $M5840&lt;&gt;" "), "Ingresada", "Falta Ingresar"), " ")</f>
        <v xml:space="preserve"> </v>
      </c>
      <c r="M5840" t="s">
        <v>681</v>
      </c>
      <c r="P5840" s="5">
        <v>767972</v>
      </c>
      <c r="Q5840" s="5">
        <v>145915</v>
      </c>
      <c r="R5840" s="5">
        <v>913887</v>
      </c>
    </row>
    <row r="5841" spans="1:18" x14ac:dyDescent="0.25">
      <c r="A5841" t="s">
        <v>496</v>
      </c>
      <c r="B5841" t="s">
        <v>494</v>
      </c>
      <c r="C5841">
        <v>99599340</v>
      </c>
      <c r="D5841">
        <v>46</v>
      </c>
      <c r="E5841">
        <v>30864801</v>
      </c>
      <c r="F5841" t="s">
        <v>2020</v>
      </c>
      <c r="G5841" s="1">
        <v>45238</v>
      </c>
      <c r="H5841">
        <v>5415293</v>
      </c>
      <c r="I5841">
        <v>448</v>
      </c>
      <c r="J5841" t="s">
        <v>192</v>
      </c>
      <c r="K5841" s="8" t="str">
        <f>IFERROR(IF(AND(VLOOKUP($C5841,Hes!$A:$B, 1, FALSE), $M5841&lt;&gt;" "), "Ingresada", "Falta Ingresar"), " ")</f>
        <v>Falta Ingresar</v>
      </c>
      <c r="M5841" t="s">
        <v>681</v>
      </c>
      <c r="N5841" s="5" t="s">
        <v>841</v>
      </c>
      <c r="O5841" s="5">
        <v>30864801</v>
      </c>
      <c r="P5841" s="5">
        <v>99621</v>
      </c>
      <c r="Q5841" s="5">
        <v>18928</v>
      </c>
      <c r="R5841" s="5">
        <v>118549</v>
      </c>
    </row>
    <row r="5842" spans="1:18" x14ac:dyDescent="0.25">
      <c r="A5842" t="s">
        <v>496</v>
      </c>
      <c r="B5842" t="s">
        <v>494</v>
      </c>
      <c r="C5842">
        <v>99599340</v>
      </c>
      <c r="D5842">
        <v>1</v>
      </c>
      <c r="E5842">
        <v>30864652</v>
      </c>
      <c r="F5842" t="s">
        <v>2020</v>
      </c>
      <c r="G5842" s="1">
        <v>45238</v>
      </c>
      <c r="H5842">
        <v>5415299</v>
      </c>
      <c r="I5842">
        <v>448</v>
      </c>
      <c r="J5842" t="s">
        <v>192</v>
      </c>
      <c r="K5842" s="8" t="str">
        <f>IFERROR(IF(AND(VLOOKUP($C5842,Hes!$A:$B, 1, FALSE), $M5842&lt;&gt;" "), "Ingresada", "Falta Ingresar"), " ")</f>
        <v>Falta Ingresar</v>
      </c>
      <c r="M5842" t="s">
        <v>681</v>
      </c>
      <c r="N5842" s="5" t="s">
        <v>841</v>
      </c>
      <c r="O5842" s="5">
        <v>30864652</v>
      </c>
      <c r="P5842" s="5">
        <v>99840</v>
      </c>
      <c r="Q5842" s="5">
        <v>18970</v>
      </c>
      <c r="R5842" s="5">
        <v>118810</v>
      </c>
    </row>
    <row r="5843" spans="1:18" x14ac:dyDescent="0.25">
      <c r="F5843" t="s">
        <v>497</v>
      </c>
      <c r="P5843" s="5">
        <v>199461</v>
      </c>
      <c r="Q5843" s="5">
        <v>37898</v>
      </c>
      <c r="R5843" s="5">
        <v>237359</v>
      </c>
    </row>
    <row r="5844" spans="1:18" x14ac:dyDescent="0.25">
      <c r="F5844" t="s">
        <v>2021</v>
      </c>
      <c r="P5844" s="5">
        <v>1029731477</v>
      </c>
      <c r="Q5844" s="5">
        <v>195649039</v>
      </c>
      <c r="R5844" s="5">
        <v>1226566414</v>
      </c>
    </row>
  </sheetData>
  <autoFilter ref="A1:R5844" xr:uid="{372F2E1D-696E-4D16-8497-835B12697CD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8E6A6-B6E9-4E10-BB29-658301D0E8E7}">
  <sheetPr codeName="Hoja6"/>
  <dimension ref="A1:AL1574"/>
  <sheetViews>
    <sheetView workbookViewId="0">
      <selection activeCell="D13" sqref="D13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38" x14ac:dyDescent="0.25">
      <c r="A1" s="6" t="s">
        <v>744</v>
      </c>
      <c r="B1" s="6" t="s">
        <v>745</v>
      </c>
      <c r="C1" s="6" t="s">
        <v>746</v>
      </c>
      <c r="D1" s="6" t="s">
        <v>747</v>
      </c>
      <c r="E1" s="6" t="s">
        <v>486</v>
      </c>
      <c r="F1" s="6" t="s">
        <v>1</v>
      </c>
      <c r="G1" s="6" t="s">
        <v>487</v>
      </c>
      <c r="H1" s="6" t="s">
        <v>488</v>
      </c>
      <c r="I1" s="6" t="s">
        <v>2</v>
      </c>
      <c r="J1" s="6" t="s">
        <v>684</v>
      </c>
      <c r="K1" s="6" t="s">
        <v>683</v>
      </c>
      <c r="L1" s="6" t="s">
        <v>680</v>
      </c>
      <c r="M1" s="6" t="s">
        <v>493</v>
      </c>
      <c r="N1" s="9" t="s">
        <v>489</v>
      </c>
      <c r="O1" s="9" t="s">
        <v>490</v>
      </c>
      <c r="P1" s="9" t="s">
        <v>491</v>
      </c>
      <c r="Q1" s="9" t="s">
        <v>492</v>
      </c>
    </row>
    <row r="3" spans="1:38" ht="16.5" customHeight="1" x14ac:dyDescent="0.25">
      <c r="AL3">
        <v>60503000</v>
      </c>
    </row>
    <row r="4" spans="1:38" x14ac:dyDescent="0.25">
      <c r="A4" s="6" t="s">
        <v>744</v>
      </c>
      <c r="B4" s="6" t="s">
        <v>745</v>
      </c>
      <c r="C4" s="6" t="s">
        <v>746</v>
      </c>
      <c r="D4" s="6" t="s">
        <v>747</v>
      </c>
      <c r="E4" s="6" t="s">
        <v>486</v>
      </c>
      <c r="F4" s="6" t="s">
        <v>1</v>
      </c>
      <c r="G4" s="6" t="s">
        <v>487</v>
      </c>
      <c r="H4" s="6" t="s">
        <v>488</v>
      </c>
      <c r="I4" s="6" t="s">
        <v>2</v>
      </c>
      <c r="J4" s="6" t="s">
        <v>684</v>
      </c>
      <c r="K4" s="6" t="s">
        <v>683</v>
      </c>
      <c r="L4" s="6" t="s">
        <v>680</v>
      </c>
      <c r="M4" s="6" t="s">
        <v>493</v>
      </c>
      <c r="N4" s="9" t="s">
        <v>489</v>
      </c>
      <c r="O4" s="9" t="s">
        <v>490</v>
      </c>
      <c r="P4" s="9" t="s">
        <v>491</v>
      </c>
      <c r="Q4" s="9" t="s">
        <v>492</v>
      </c>
    </row>
    <row r="5" spans="1:38" x14ac:dyDescent="0.25">
      <c r="A5" t="s">
        <v>503</v>
      </c>
      <c r="B5" t="s">
        <v>494</v>
      </c>
      <c r="C5">
        <v>60503000</v>
      </c>
      <c r="D5">
        <v>2831</v>
      </c>
      <c r="E5" t="s">
        <v>748</v>
      </c>
      <c r="F5" t="s">
        <v>504</v>
      </c>
      <c r="G5" s="1">
        <v>45224</v>
      </c>
      <c r="H5">
        <v>5408898</v>
      </c>
      <c r="I5">
        <v>50</v>
      </c>
      <c r="J5" t="s">
        <v>376</v>
      </c>
      <c r="K5" s="7" t="s">
        <v>743</v>
      </c>
      <c r="L5" s="4" t="s">
        <v>8</v>
      </c>
      <c r="M5">
        <v>5000508084</v>
      </c>
      <c r="N5" s="5">
        <v>30832913</v>
      </c>
      <c r="O5" s="5">
        <v>164860</v>
      </c>
      <c r="P5" s="5">
        <v>31323</v>
      </c>
      <c r="Q5" s="5">
        <v>196183</v>
      </c>
      <c r="AL5">
        <v>61216000</v>
      </c>
    </row>
    <row r="6" spans="1:38" x14ac:dyDescent="0.25">
      <c r="A6" t="s">
        <v>503</v>
      </c>
      <c r="B6" t="s">
        <v>494</v>
      </c>
      <c r="C6">
        <v>60503000</v>
      </c>
      <c r="D6">
        <v>3370</v>
      </c>
      <c r="E6" t="s">
        <v>749</v>
      </c>
      <c r="F6" t="s">
        <v>504</v>
      </c>
      <c r="G6" s="1">
        <v>45224</v>
      </c>
      <c r="H6">
        <v>5408903</v>
      </c>
      <c r="I6">
        <v>50</v>
      </c>
      <c r="J6" t="s">
        <v>376</v>
      </c>
      <c r="K6" s="8" t="s">
        <v>742</v>
      </c>
      <c r="L6" s="4" t="s">
        <v>8</v>
      </c>
      <c r="M6" t="s">
        <v>681</v>
      </c>
      <c r="N6" s="5">
        <v>30832905</v>
      </c>
      <c r="O6" s="5">
        <v>111095</v>
      </c>
      <c r="P6" s="5">
        <v>21108</v>
      </c>
      <c r="Q6" s="5">
        <v>132203</v>
      </c>
      <c r="AL6">
        <v>61808000</v>
      </c>
    </row>
    <row r="7" spans="1:38" ht="24.75" customHeight="1" x14ac:dyDescent="0.25">
      <c r="A7" t="s">
        <v>503</v>
      </c>
      <c r="B7" t="s">
        <v>494</v>
      </c>
      <c r="C7">
        <v>60503000</v>
      </c>
      <c r="D7">
        <v>6227</v>
      </c>
      <c r="E7">
        <v>4500327897</v>
      </c>
      <c r="F7" t="s">
        <v>504</v>
      </c>
      <c r="G7" s="1">
        <v>45225</v>
      </c>
      <c r="H7">
        <v>5409080</v>
      </c>
      <c r="I7">
        <v>50</v>
      </c>
      <c r="J7" t="s">
        <v>376</v>
      </c>
      <c r="K7" s="8" t="s">
        <v>742</v>
      </c>
      <c r="L7" s="4" t="s">
        <v>8</v>
      </c>
      <c r="M7" t="s">
        <v>681</v>
      </c>
      <c r="N7" s="5">
        <v>30834351</v>
      </c>
      <c r="O7" s="5">
        <v>159769</v>
      </c>
      <c r="P7" s="5">
        <v>30356</v>
      </c>
      <c r="Q7" s="5">
        <v>190125</v>
      </c>
      <c r="AL7">
        <v>69070300</v>
      </c>
    </row>
    <row r="8" spans="1:38" x14ac:dyDescent="0.25">
      <c r="A8" t="s">
        <v>503</v>
      </c>
      <c r="B8" t="s">
        <v>494</v>
      </c>
      <c r="C8">
        <v>60503000</v>
      </c>
      <c r="D8">
        <v>5251</v>
      </c>
      <c r="E8" t="s">
        <v>750</v>
      </c>
      <c r="F8" t="s">
        <v>504</v>
      </c>
      <c r="G8" s="1">
        <v>45227</v>
      </c>
      <c r="H8">
        <v>5409467</v>
      </c>
      <c r="I8">
        <v>50</v>
      </c>
      <c r="J8" t="s">
        <v>376</v>
      </c>
      <c r="K8" s="8" t="s">
        <v>742</v>
      </c>
      <c r="L8" s="4" t="s">
        <v>8</v>
      </c>
      <c r="M8" t="s">
        <v>681</v>
      </c>
      <c r="N8" s="5">
        <v>30835136</v>
      </c>
      <c r="O8" s="5">
        <v>114210</v>
      </c>
      <c r="P8" s="5">
        <v>21700</v>
      </c>
      <c r="Q8" s="5">
        <v>135910</v>
      </c>
      <c r="AL8">
        <v>70285100</v>
      </c>
    </row>
    <row r="9" spans="1:38" x14ac:dyDescent="0.25">
      <c r="A9" t="s">
        <v>503</v>
      </c>
      <c r="B9" t="s">
        <v>494</v>
      </c>
      <c r="C9">
        <v>60503000</v>
      </c>
      <c r="D9">
        <v>3272</v>
      </c>
      <c r="E9" t="s">
        <v>751</v>
      </c>
      <c r="F9" t="s">
        <v>504</v>
      </c>
      <c r="G9" s="1">
        <v>45227</v>
      </c>
      <c r="H9">
        <v>5409470</v>
      </c>
      <c r="I9">
        <v>50</v>
      </c>
      <c r="J9" t="s">
        <v>376</v>
      </c>
      <c r="K9" s="8" t="s">
        <v>742</v>
      </c>
      <c r="L9" s="4" t="s">
        <v>8</v>
      </c>
      <c r="M9" t="s">
        <v>681</v>
      </c>
      <c r="N9" s="5">
        <v>30836433</v>
      </c>
      <c r="O9" s="5">
        <v>53218</v>
      </c>
      <c r="P9" s="5">
        <v>10111</v>
      </c>
      <c r="Q9" s="5">
        <v>63329</v>
      </c>
    </row>
    <row r="10" spans="1:38" x14ac:dyDescent="0.25">
      <c r="A10" t="s">
        <v>503</v>
      </c>
      <c r="B10" t="s">
        <v>494</v>
      </c>
      <c r="C10">
        <v>60503000</v>
      </c>
      <c r="D10">
        <v>5311</v>
      </c>
      <c r="E10" t="s">
        <v>752</v>
      </c>
      <c r="F10" t="s">
        <v>504</v>
      </c>
      <c r="G10" s="1">
        <v>45227</v>
      </c>
      <c r="H10">
        <v>5409471</v>
      </c>
      <c r="I10">
        <v>50</v>
      </c>
      <c r="J10" t="s">
        <v>376</v>
      </c>
      <c r="K10" s="8" t="s">
        <v>742</v>
      </c>
      <c r="L10" s="4" t="s">
        <v>8</v>
      </c>
      <c r="M10" t="s">
        <v>681</v>
      </c>
      <c r="N10" s="5">
        <v>30836501</v>
      </c>
      <c r="O10" s="5">
        <v>166220</v>
      </c>
      <c r="P10" s="5">
        <v>31582</v>
      </c>
      <c r="Q10" s="5">
        <v>197802</v>
      </c>
    </row>
    <row r="11" spans="1:38" x14ac:dyDescent="0.25">
      <c r="A11" t="s">
        <v>503</v>
      </c>
      <c r="B11" t="s">
        <v>494</v>
      </c>
      <c r="C11">
        <v>60503000</v>
      </c>
      <c r="D11">
        <v>5375</v>
      </c>
      <c r="E11" t="s">
        <v>753</v>
      </c>
      <c r="F11" t="s">
        <v>504</v>
      </c>
      <c r="G11" s="1">
        <v>45227</v>
      </c>
      <c r="H11">
        <v>5409472</v>
      </c>
      <c r="I11">
        <v>50</v>
      </c>
      <c r="J11" t="s">
        <v>376</v>
      </c>
      <c r="K11" s="8" t="s">
        <v>742</v>
      </c>
      <c r="L11" s="4" t="s">
        <v>8</v>
      </c>
      <c r="M11" t="s">
        <v>681</v>
      </c>
      <c r="N11" s="5">
        <v>30835164</v>
      </c>
      <c r="O11" s="5">
        <v>41754</v>
      </c>
      <c r="P11" s="5">
        <v>7933</v>
      </c>
      <c r="Q11" s="5">
        <v>49687</v>
      </c>
    </row>
    <row r="12" spans="1:38" x14ac:dyDescent="0.25">
      <c r="A12" t="s">
        <v>503</v>
      </c>
      <c r="B12" t="s">
        <v>494</v>
      </c>
      <c r="C12">
        <v>60503000</v>
      </c>
      <c r="D12">
        <v>5375</v>
      </c>
      <c r="E12" t="s">
        <v>754</v>
      </c>
      <c r="F12" t="s">
        <v>504</v>
      </c>
      <c r="G12" s="1">
        <v>45227</v>
      </c>
      <c r="H12">
        <v>5409473</v>
      </c>
      <c r="I12">
        <v>50</v>
      </c>
      <c r="J12" t="s">
        <v>376</v>
      </c>
      <c r="K12" s="8" t="s">
        <v>742</v>
      </c>
      <c r="L12" s="4" t="s">
        <v>8</v>
      </c>
      <c r="M12" t="s">
        <v>681</v>
      </c>
      <c r="N12" s="5">
        <v>30835152</v>
      </c>
      <c r="O12" s="5">
        <v>116683</v>
      </c>
      <c r="P12" s="5">
        <v>22170</v>
      </c>
      <c r="Q12" s="5">
        <v>138853</v>
      </c>
    </row>
    <row r="13" spans="1:38" x14ac:dyDescent="0.25">
      <c r="A13" t="s">
        <v>503</v>
      </c>
      <c r="B13" t="s">
        <v>494</v>
      </c>
      <c r="C13">
        <v>60503000</v>
      </c>
      <c r="D13">
        <v>5373</v>
      </c>
      <c r="E13" t="s">
        <v>755</v>
      </c>
      <c r="F13" t="s">
        <v>504</v>
      </c>
      <c r="G13" s="1">
        <v>45227</v>
      </c>
      <c r="H13">
        <v>5409475</v>
      </c>
      <c r="I13">
        <v>50</v>
      </c>
      <c r="J13" t="s">
        <v>376</v>
      </c>
      <c r="K13" s="8" t="s">
        <v>742</v>
      </c>
      <c r="L13" s="4" t="s">
        <v>8</v>
      </c>
      <c r="M13" t="s">
        <v>681</v>
      </c>
      <c r="N13" s="5">
        <v>30836483</v>
      </c>
      <c r="O13" s="5">
        <v>30318</v>
      </c>
      <c r="P13" s="5">
        <v>5760</v>
      </c>
      <c r="Q13" s="5">
        <v>36078</v>
      </c>
    </row>
    <row r="14" spans="1:38" x14ac:dyDescent="0.25">
      <c r="A14" t="s">
        <v>503</v>
      </c>
      <c r="B14" t="s">
        <v>494</v>
      </c>
      <c r="C14">
        <v>60503000</v>
      </c>
      <c r="D14">
        <v>5373</v>
      </c>
      <c r="E14" t="s">
        <v>756</v>
      </c>
      <c r="F14" t="s">
        <v>504</v>
      </c>
      <c r="G14" s="1">
        <v>45227</v>
      </c>
      <c r="H14">
        <v>5409476</v>
      </c>
      <c r="I14">
        <v>50</v>
      </c>
      <c r="J14" t="s">
        <v>376</v>
      </c>
      <c r="K14" s="8" t="s">
        <v>742</v>
      </c>
      <c r="L14" s="4" t="s">
        <v>8</v>
      </c>
      <c r="M14" t="s">
        <v>681</v>
      </c>
      <c r="N14" s="5">
        <v>30836493</v>
      </c>
      <c r="O14" s="5">
        <v>80540</v>
      </c>
      <c r="P14" s="5">
        <v>15303</v>
      </c>
      <c r="Q14" s="5">
        <v>95843</v>
      </c>
    </row>
    <row r="15" spans="1:38" x14ac:dyDescent="0.25">
      <c r="A15" t="s">
        <v>503</v>
      </c>
      <c r="B15" t="s">
        <v>494</v>
      </c>
      <c r="C15">
        <v>60503000</v>
      </c>
      <c r="D15">
        <v>4511</v>
      </c>
      <c r="E15" t="s">
        <v>757</v>
      </c>
      <c r="F15" t="s">
        <v>504</v>
      </c>
      <c r="G15" s="1">
        <v>45228</v>
      </c>
      <c r="H15">
        <v>5409504</v>
      </c>
      <c r="I15">
        <v>50</v>
      </c>
      <c r="J15" t="s">
        <v>376</v>
      </c>
      <c r="K15" s="8" t="s">
        <v>742</v>
      </c>
      <c r="L15" s="4" t="s">
        <v>8</v>
      </c>
      <c r="M15" t="s">
        <v>681</v>
      </c>
      <c r="N15" s="5">
        <v>30836454</v>
      </c>
      <c r="O15" s="5">
        <v>46908</v>
      </c>
      <c r="P15" s="5">
        <v>8913</v>
      </c>
      <c r="Q15" s="5">
        <v>55821</v>
      </c>
    </row>
    <row r="16" spans="1:38" x14ac:dyDescent="0.25">
      <c r="A16" t="s">
        <v>503</v>
      </c>
      <c r="B16" t="s">
        <v>494</v>
      </c>
      <c r="C16">
        <v>60503000</v>
      </c>
      <c r="D16">
        <v>4511</v>
      </c>
      <c r="E16" t="s">
        <v>758</v>
      </c>
      <c r="F16" t="s">
        <v>504</v>
      </c>
      <c r="G16" s="1">
        <v>45228</v>
      </c>
      <c r="H16">
        <v>5409507</v>
      </c>
      <c r="I16">
        <v>50</v>
      </c>
      <c r="J16" t="s">
        <v>376</v>
      </c>
      <c r="K16" s="8" t="s">
        <v>742</v>
      </c>
      <c r="L16" s="4" t="s">
        <v>8</v>
      </c>
      <c r="M16" t="s">
        <v>681</v>
      </c>
      <c r="N16" s="5">
        <v>30836702</v>
      </c>
      <c r="O16" s="5">
        <v>47848</v>
      </c>
      <c r="P16" s="5">
        <v>9091</v>
      </c>
      <c r="Q16" s="5">
        <v>56939</v>
      </c>
    </row>
    <row r="17" spans="1:17" x14ac:dyDescent="0.25">
      <c r="A17" t="s">
        <v>503</v>
      </c>
      <c r="B17" t="s">
        <v>494</v>
      </c>
      <c r="C17">
        <v>60503000</v>
      </c>
      <c r="D17">
        <v>2655</v>
      </c>
      <c r="E17" t="s">
        <v>759</v>
      </c>
      <c r="F17" t="s">
        <v>504</v>
      </c>
      <c r="G17" s="1">
        <v>45229</v>
      </c>
      <c r="H17">
        <v>5409550</v>
      </c>
      <c r="I17">
        <v>50</v>
      </c>
      <c r="J17" t="s">
        <v>376</v>
      </c>
      <c r="K17" s="8" t="s">
        <v>742</v>
      </c>
      <c r="L17" s="4" t="s">
        <v>8</v>
      </c>
      <c r="M17" t="s">
        <v>681</v>
      </c>
      <c r="N17" s="5">
        <v>30836519</v>
      </c>
      <c r="O17" s="5">
        <v>20490</v>
      </c>
      <c r="P17" s="5">
        <v>3893</v>
      </c>
      <c r="Q17" s="5">
        <v>24383</v>
      </c>
    </row>
    <row r="18" spans="1:17" x14ac:dyDescent="0.25">
      <c r="A18" t="s">
        <v>503</v>
      </c>
      <c r="B18" t="s">
        <v>494</v>
      </c>
      <c r="C18">
        <v>60503000</v>
      </c>
      <c r="D18">
        <v>3228</v>
      </c>
      <c r="E18" t="s">
        <v>760</v>
      </c>
      <c r="F18" t="s">
        <v>504</v>
      </c>
      <c r="G18" s="1">
        <v>45229</v>
      </c>
      <c r="H18">
        <v>5409551</v>
      </c>
      <c r="I18">
        <v>50</v>
      </c>
      <c r="J18" t="s">
        <v>376</v>
      </c>
      <c r="K18" s="8" t="s">
        <v>742</v>
      </c>
      <c r="L18" s="4" t="s">
        <v>8</v>
      </c>
      <c r="M18" t="s">
        <v>681</v>
      </c>
      <c r="N18" s="5">
        <v>30836473</v>
      </c>
      <c r="O18" s="5">
        <v>40270</v>
      </c>
      <c r="P18" s="5">
        <v>7651</v>
      </c>
      <c r="Q18" s="5">
        <v>47921</v>
      </c>
    </row>
    <row r="19" spans="1:17" x14ac:dyDescent="0.25">
      <c r="A19" t="s">
        <v>503</v>
      </c>
      <c r="B19" t="s">
        <v>494</v>
      </c>
      <c r="C19">
        <v>60503000</v>
      </c>
      <c r="D19">
        <v>126</v>
      </c>
      <c r="E19" t="s">
        <v>761</v>
      </c>
      <c r="F19" t="s">
        <v>504</v>
      </c>
      <c r="G19" s="1">
        <v>45229</v>
      </c>
      <c r="H19">
        <v>5409905</v>
      </c>
      <c r="I19">
        <v>50</v>
      </c>
      <c r="J19" t="s">
        <v>376</v>
      </c>
      <c r="K19" s="8" t="s">
        <v>742</v>
      </c>
      <c r="L19" s="4" t="s">
        <v>8</v>
      </c>
      <c r="M19" t="s">
        <v>681</v>
      </c>
      <c r="N19" s="5">
        <v>30839057</v>
      </c>
      <c r="O19" s="5">
        <v>20775</v>
      </c>
      <c r="P19" s="5">
        <v>3947</v>
      </c>
      <c r="Q19" s="5">
        <v>24722</v>
      </c>
    </row>
    <row r="20" spans="1:17" x14ac:dyDescent="0.25">
      <c r="F20" t="s">
        <v>518</v>
      </c>
      <c r="K20" t="s">
        <v>681</v>
      </c>
      <c r="L20" s="4"/>
      <c r="M20" t="s">
        <v>681</v>
      </c>
      <c r="N20" s="5"/>
      <c r="O20" s="5">
        <v>1214958</v>
      </c>
      <c r="P20" s="5">
        <v>230841</v>
      </c>
      <c r="Q20" s="5">
        <v>1445799</v>
      </c>
    </row>
    <row r="21" spans="1:17" x14ac:dyDescent="0.25">
      <c r="A21" t="s">
        <v>505</v>
      </c>
      <c r="B21" t="s">
        <v>494</v>
      </c>
      <c r="C21">
        <v>61216000</v>
      </c>
      <c r="D21">
        <v>78</v>
      </c>
      <c r="E21">
        <v>30770722</v>
      </c>
      <c r="F21" t="s">
        <v>506</v>
      </c>
      <c r="G21" s="1">
        <v>45202</v>
      </c>
      <c r="H21">
        <v>5395787</v>
      </c>
      <c r="I21">
        <v>178</v>
      </c>
      <c r="J21" t="s">
        <v>303</v>
      </c>
      <c r="K21" s="8" t="s">
        <v>742</v>
      </c>
      <c r="L21" s="4" t="s">
        <v>14</v>
      </c>
      <c r="M21" t="s">
        <v>681</v>
      </c>
      <c r="N21" s="5">
        <v>30770722</v>
      </c>
      <c r="O21" s="5">
        <v>244086</v>
      </c>
      <c r="P21" s="5">
        <v>46376</v>
      </c>
      <c r="Q21" s="5">
        <v>290462</v>
      </c>
    </row>
    <row r="22" spans="1:17" x14ac:dyDescent="0.25">
      <c r="A22" t="s">
        <v>505</v>
      </c>
      <c r="B22" t="s">
        <v>494</v>
      </c>
      <c r="C22">
        <v>61216000</v>
      </c>
      <c r="D22">
        <v>50</v>
      </c>
      <c r="E22">
        <v>30770738</v>
      </c>
      <c r="F22" t="s">
        <v>506</v>
      </c>
      <c r="G22" s="1">
        <v>45202</v>
      </c>
      <c r="H22">
        <v>5395789</v>
      </c>
      <c r="I22">
        <v>178</v>
      </c>
      <c r="J22" t="s">
        <v>303</v>
      </c>
      <c r="K22" s="8" t="s">
        <v>742</v>
      </c>
      <c r="L22" s="4" t="s">
        <v>14</v>
      </c>
      <c r="M22" t="s">
        <v>681</v>
      </c>
      <c r="N22" s="5">
        <v>30770738</v>
      </c>
      <c r="O22" s="5">
        <v>27360</v>
      </c>
      <c r="P22" s="5">
        <v>5198</v>
      </c>
      <c r="Q22" s="5">
        <v>32558</v>
      </c>
    </row>
    <row r="23" spans="1:17" x14ac:dyDescent="0.25">
      <c r="A23" t="s">
        <v>505</v>
      </c>
      <c r="B23" t="s">
        <v>494</v>
      </c>
      <c r="C23">
        <v>61216000</v>
      </c>
      <c r="D23">
        <v>9</v>
      </c>
      <c r="E23">
        <v>30775620</v>
      </c>
      <c r="F23" t="s">
        <v>506</v>
      </c>
      <c r="G23" s="1">
        <v>45203</v>
      </c>
      <c r="H23">
        <v>5397000</v>
      </c>
      <c r="I23">
        <v>178</v>
      </c>
      <c r="J23" t="s">
        <v>303</v>
      </c>
      <c r="K23" s="8" t="s">
        <v>742</v>
      </c>
      <c r="L23" s="4" t="s">
        <v>14</v>
      </c>
      <c r="M23" t="s">
        <v>681</v>
      </c>
      <c r="N23" s="5">
        <v>30775620</v>
      </c>
      <c r="O23" s="5">
        <v>102530</v>
      </c>
      <c r="P23" s="5">
        <v>19481</v>
      </c>
      <c r="Q23" s="5">
        <v>122011</v>
      </c>
    </row>
    <row r="24" spans="1:17" x14ac:dyDescent="0.25">
      <c r="A24" t="s">
        <v>505</v>
      </c>
      <c r="B24" t="s">
        <v>494</v>
      </c>
      <c r="C24">
        <v>61216000</v>
      </c>
      <c r="D24">
        <v>9</v>
      </c>
      <c r="E24">
        <v>30775646</v>
      </c>
      <c r="F24" t="s">
        <v>506</v>
      </c>
      <c r="G24" s="1">
        <v>45203</v>
      </c>
      <c r="H24">
        <v>5397353</v>
      </c>
      <c r="I24">
        <v>178</v>
      </c>
      <c r="J24" t="s">
        <v>303</v>
      </c>
      <c r="K24" s="8" t="s">
        <v>742</v>
      </c>
      <c r="L24" s="4" t="s">
        <v>14</v>
      </c>
      <c r="M24" t="s">
        <v>681</v>
      </c>
      <c r="N24" s="5">
        <v>30775646</v>
      </c>
      <c r="O24" s="5">
        <v>20544</v>
      </c>
      <c r="P24" s="5">
        <v>3903</v>
      </c>
      <c r="Q24" s="5">
        <v>24447</v>
      </c>
    </row>
    <row r="25" spans="1:17" x14ac:dyDescent="0.25">
      <c r="A25" t="s">
        <v>505</v>
      </c>
      <c r="B25" t="s">
        <v>494</v>
      </c>
      <c r="C25">
        <v>61216000</v>
      </c>
      <c r="D25">
        <v>9</v>
      </c>
      <c r="E25">
        <v>30775625</v>
      </c>
      <c r="F25" t="s">
        <v>506</v>
      </c>
      <c r="G25" s="1">
        <v>45203</v>
      </c>
      <c r="H25">
        <v>5397494</v>
      </c>
      <c r="I25">
        <v>178</v>
      </c>
      <c r="J25" t="s">
        <v>303</v>
      </c>
      <c r="K25" s="8" t="s">
        <v>742</v>
      </c>
      <c r="L25" s="4" t="s">
        <v>14</v>
      </c>
      <c r="M25" t="s">
        <v>681</v>
      </c>
      <c r="N25" s="5">
        <v>30775625</v>
      </c>
      <c r="O25" s="5">
        <v>90724</v>
      </c>
      <c r="P25" s="5">
        <v>17238</v>
      </c>
      <c r="Q25" s="5">
        <v>107962</v>
      </c>
    </row>
    <row r="26" spans="1:17" x14ac:dyDescent="0.25">
      <c r="A26" t="s">
        <v>505</v>
      </c>
      <c r="B26" t="s">
        <v>494</v>
      </c>
      <c r="C26">
        <v>61216000</v>
      </c>
      <c r="D26">
        <v>27</v>
      </c>
      <c r="E26">
        <v>30782450</v>
      </c>
      <c r="F26" t="s">
        <v>506</v>
      </c>
      <c r="G26" s="1">
        <v>45204</v>
      </c>
      <c r="H26">
        <v>5398155</v>
      </c>
      <c r="I26">
        <v>178</v>
      </c>
      <c r="J26" t="s">
        <v>303</v>
      </c>
      <c r="K26" s="8" t="s">
        <v>742</v>
      </c>
      <c r="L26" s="4" t="s">
        <v>14</v>
      </c>
      <c r="M26" t="s">
        <v>681</v>
      </c>
      <c r="N26" s="5">
        <v>30782450</v>
      </c>
      <c r="O26" s="5">
        <v>52713</v>
      </c>
      <c r="P26" s="5">
        <v>10015</v>
      </c>
      <c r="Q26" s="5">
        <v>62728</v>
      </c>
    </row>
    <row r="27" spans="1:17" x14ac:dyDescent="0.25">
      <c r="A27" t="s">
        <v>505</v>
      </c>
      <c r="B27" t="s">
        <v>494</v>
      </c>
      <c r="C27">
        <v>61216000</v>
      </c>
      <c r="D27">
        <v>34</v>
      </c>
      <c r="E27">
        <v>30784843</v>
      </c>
      <c r="F27" t="s">
        <v>506</v>
      </c>
      <c r="G27" s="1">
        <v>45205</v>
      </c>
      <c r="H27">
        <v>5398526</v>
      </c>
      <c r="I27">
        <v>178</v>
      </c>
      <c r="J27" t="s">
        <v>303</v>
      </c>
      <c r="K27" s="8" t="s">
        <v>742</v>
      </c>
      <c r="L27" s="4" t="s">
        <v>14</v>
      </c>
      <c r="M27" t="s">
        <v>681</v>
      </c>
      <c r="N27" s="5">
        <v>30784843</v>
      </c>
      <c r="O27" s="5">
        <v>25549</v>
      </c>
      <c r="P27" s="5">
        <v>4854</v>
      </c>
      <c r="Q27" s="5">
        <v>30403</v>
      </c>
    </row>
    <row r="28" spans="1:17" x14ac:dyDescent="0.25">
      <c r="A28" t="s">
        <v>505</v>
      </c>
      <c r="B28" t="s">
        <v>494</v>
      </c>
      <c r="C28">
        <v>61216000</v>
      </c>
      <c r="D28">
        <v>65</v>
      </c>
      <c r="E28">
        <v>30784865</v>
      </c>
      <c r="F28" t="s">
        <v>506</v>
      </c>
      <c r="G28" s="1">
        <v>45205</v>
      </c>
      <c r="H28">
        <v>5398542</v>
      </c>
      <c r="I28">
        <v>178</v>
      </c>
      <c r="J28" t="s">
        <v>303</v>
      </c>
      <c r="K28" s="8" t="s">
        <v>742</v>
      </c>
      <c r="L28" s="4" t="s">
        <v>14</v>
      </c>
      <c r="M28" t="s">
        <v>681</v>
      </c>
      <c r="N28" s="5">
        <v>30784865</v>
      </c>
      <c r="O28" s="5">
        <v>84340</v>
      </c>
      <c r="P28" s="5">
        <v>16025</v>
      </c>
      <c r="Q28" s="5">
        <v>100365</v>
      </c>
    </row>
    <row r="29" spans="1:17" x14ac:dyDescent="0.25">
      <c r="A29" t="s">
        <v>505</v>
      </c>
      <c r="B29" t="s">
        <v>494</v>
      </c>
      <c r="C29">
        <v>61216000</v>
      </c>
      <c r="D29">
        <v>65</v>
      </c>
      <c r="E29">
        <v>30784831</v>
      </c>
      <c r="F29" t="s">
        <v>506</v>
      </c>
      <c r="G29" s="1">
        <v>45205</v>
      </c>
      <c r="H29">
        <v>5398878</v>
      </c>
      <c r="I29">
        <v>178</v>
      </c>
      <c r="J29" t="s">
        <v>303</v>
      </c>
      <c r="K29" s="8" t="s">
        <v>742</v>
      </c>
      <c r="L29" s="4" t="s">
        <v>14</v>
      </c>
      <c r="M29" t="s">
        <v>681</v>
      </c>
      <c r="N29" s="5">
        <v>30784831</v>
      </c>
      <c r="O29" s="5">
        <v>17790</v>
      </c>
      <c r="P29" s="5">
        <v>3380</v>
      </c>
      <c r="Q29" s="5">
        <v>21170</v>
      </c>
    </row>
    <row r="30" spans="1:17" x14ac:dyDescent="0.25">
      <c r="A30" t="s">
        <v>505</v>
      </c>
      <c r="B30" t="s">
        <v>494</v>
      </c>
      <c r="C30">
        <v>61216000</v>
      </c>
      <c r="D30">
        <v>34</v>
      </c>
      <c r="E30">
        <v>30784851</v>
      </c>
      <c r="F30" t="s">
        <v>506</v>
      </c>
      <c r="G30" s="1">
        <v>45206</v>
      </c>
      <c r="H30">
        <v>5399677</v>
      </c>
      <c r="I30">
        <v>178</v>
      </c>
      <c r="J30" t="s">
        <v>303</v>
      </c>
      <c r="K30" s="8" t="s">
        <v>742</v>
      </c>
      <c r="L30" s="4" t="s">
        <v>14</v>
      </c>
      <c r="M30" t="s">
        <v>681</v>
      </c>
      <c r="N30" s="5">
        <v>30784851</v>
      </c>
      <c r="O30" s="5">
        <v>26400</v>
      </c>
      <c r="P30" s="5">
        <v>5016</v>
      </c>
      <c r="Q30" s="5">
        <v>31416</v>
      </c>
    </row>
    <row r="31" spans="1:17" x14ac:dyDescent="0.25">
      <c r="A31" t="s">
        <v>505</v>
      </c>
      <c r="B31" t="s">
        <v>494</v>
      </c>
      <c r="C31">
        <v>61216000</v>
      </c>
      <c r="D31">
        <v>34</v>
      </c>
      <c r="E31">
        <v>30784854</v>
      </c>
      <c r="F31" t="s">
        <v>506</v>
      </c>
      <c r="G31" s="1">
        <v>45206</v>
      </c>
      <c r="H31">
        <v>5399679</v>
      </c>
      <c r="I31">
        <v>178</v>
      </c>
      <c r="J31" t="s">
        <v>303</v>
      </c>
      <c r="K31" s="8" t="s">
        <v>742</v>
      </c>
      <c r="L31" s="4" t="s">
        <v>14</v>
      </c>
      <c r="M31" t="s">
        <v>681</v>
      </c>
      <c r="N31" s="5">
        <v>30784854</v>
      </c>
      <c r="O31" s="5">
        <v>36631</v>
      </c>
      <c r="P31" s="5">
        <v>6960</v>
      </c>
      <c r="Q31" s="5">
        <v>43591</v>
      </c>
    </row>
    <row r="32" spans="1:17" x14ac:dyDescent="0.25">
      <c r="A32" t="s">
        <v>505</v>
      </c>
      <c r="B32" t="s">
        <v>494</v>
      </c>
      <c r="C32">
        <v>61216000</v>
      </c>
      <c r="D32">
        <v>91</v>
      </c>
      <c r="E32">
        <v>30786061</v>
      </c>
      <c r="F32" t="s">
        <v>506</v>
      </c>
      <c r="G32" s="1">
        <v>45209</v>
      </c>
      <c r="H32">
        <v>5399721</v>
      </c>
      <c r="I32">
        <v>178</v>
      </c>
      <c r="J32" t="s">
        <v>303</v>
      </c>
      <c r="K32" s="8" t="s">
        <v>742</v>
      </c>
      <c r="L32" s="4" t="s">
        <v>14</v>
      </c>
      <c r="M32" t="s">
        <v>681</v>
      </c>
      <c r="N32" s="5">
        <v>30786061</v>
      </c>
      <c r="O32" s="5">
        <v>29065</v>
      </c>
      <c r="P32" s="5">
        <v>5522</v>
      </c>
      <c r="Q32" s="5">
        <v>34587</v>
      </c>
    </row>
    <row r="33" spans="1:17" x14ac:dyDescent="0.25">
      <c r="A33" t="s">
        <v>505</v>
      </c>
      <c r="B33" t="s">
        <v>494</v>
      </c>
      <c r="C33">
        <v>61216000</v>
      </c>
      <c r="D33">
        <v>74</v>
      </c>
      <c r="E33">
        <v>30789106</v>
      </c>
      <c r="F33" t="s">
        <v>506</v>
      </c>
      <c r="G33" s="1">
        <v>45209</v>
      </c>
      <c r="H33">
        <v>5400235</v>
      </c>
      <c r="I33">
        <v>178</v>
      </c>
      <c r="J33" t="s">
        <v>303</v>
      </c>
      <c r="K33" s="8" t="s">
        <v>742</v>
      </c>
      <c r="L33" s="4" t="s">
        <v>14</v>
      </c>
      <c r="M33" t="s">
        <v>681</v>
      </c>
      <c r="N33" s="5">
        <v>30789106</v>
      </c>
      <c r="O33" s="5">
        <v>40354</v>
      </c>
      <c r="P33" s="5">
        <v>7667</v>
      </c>
      <c r="Q33" s="5">
        <v>48021</v>
      </c>
    </row>
    <row r="34" spans="1:17" x14ac:dyDescent="0.25">
      <c r="A34" t="s">
        <v>505</v>
      </c>
      <c r="B34" t="s">
        <v>494</v>
      </c>
      <c r="C34">
        <v>61216000</v>
      </c>
      <c r="D34">
        <v>15</v>
      </c>
      <c r="E34">
        <v>30789453</v>
      </c>
      <c r="F34" t="s">
        <v>506</v>
      </c>
      <c r="G34" s="1">
        <v>45209</v>
      </c>
      <c r="H34">
        <v>5400239</v>
      </c>
      <c r="I34">
        <v>178</v>
      </c>
      <c r="J34" t="s">
        <v>303</v>
      </c>
      <c r="K34" s="8" t="s">
        <v>742</v>
      </c>
      <c r="L34" s="4" t="s">
        <v>14</v>
      </c>
      <c r="M34" t="s">
        <v>681</v>
      </c>
      <c r="N34" s="5">
        <v>30789453</v>
      </c>
      <c r="O34" s="5">
        <v>27897</v>
      </c>
      <c r="P34" s="5">
        <v>5300</v>
      </c>
      <c r="Q34" s="5">
        <v>33197</v>
      </c>
    </row>
    <row r="35" spans="1:17" x14ac:dyDescent="0.25">
      <c r="A35" t="s">
        <v>505</v>
      </c>
      <c r="B35" t="s">
        <v>494</v>
      </c>
      <c r="C35">
        <v>61216000</v>
      </c>
      <c r="D35">
        <v>68</v>
      </c>
      <c r="E35">
        <v>30789356</v>
      </c>
      <c r="F35" t="s">
        <v>506</v>
      </c>
      <c r="G35" s="1">
        <v>45209</v>
      </c>
      <c r="H35">
        <v>5400778</v>
      </c>
      <c r="I35">
        <v>178</v>
      </c>
      <c r="J35" t="s">
        <v>303</v>
      </c>
      <c r="K35" s="8" t="s">
        <v>742</v>
      </c>
      <c r="L35" s="4" t="s">
        <v>14</v>
      </c>
      <c r="M35" t="s">
        <v>681</v>
      </c>
      <c r="N35" s="5">
        <v>30789356</v>
      </c>
      <c r="O35" s="5">
        <v>68499</v>
      </c>
      <c r="P35" s="5">
        <v>13015</v>
      </c>
      <c r="Q35" s="5">
        <v>81514</v>
      </c>
    </row>
    <row r="36" spans="1:17" x14ac:dyDescent="0.25">
      <c r="A36" t="s">
        <v>505</v>
      </c>
      <c r="B36" t="s">
        <v>494</v>
      </c>
      <c r="C36">
        <v>61216000</v>
      </c>
      <c r="D36">
        <v>68</v>
      </c>
      <c r="E36">
        <v>30788979</v>
      </c>
      <c r="F36" t="s">
        <v>506</v>
      </c>
      <c r="G36" s="1">
        <v>45209</v>
      </c>
      <c r="H36">
        <v>5400787</v>
      </c>
      <c r="I36">
        <v>178</v>
      </c>
      <c r="J36" t="s">
        <v>303</v>
      </c>
      <c r="K36" s="8" t="s">
        <v>742</v>
      </c>
      <c r="L36" s="4" t="s">
        <v>14</v>
      </c>
      <c r="M36" t="s">
        <v>681</v>
      </c>
      <c r="N36" s="5">
        <v>30788979</v>
      </c>
      <c r="O36" s="5">
        <v>15857</v>
      </c>
      <c r="P36" s="5">
        <v>3013</v>
      </c>
      <c r="Q36" s="5">
        <v>18870</v>
      </c>
    </row>
    <row r="37" spans="1:17" x14ac:dyDescent="0.25">
      <c r="A37" t="s">
        <v>505</v>
      </c>
      <c r="B37" t="s">
        <v>494</v>
      </c>
      <c r="C37">
        <v>61216000</v>
      </c>
      <c r="D37">
        <v>74</v>
      </c>
      <c r="E37">
        <v>30789335</v>
      </c>
      <c r="F37" t="s">
        <v>506</v>
      </c>
      <c r="G37" s="1">
        <v>45209</v>
      </c>
      <c r="H37">
        <v>5400813</v>
      </c>
      <c r="I37">
        <v>178</v>
      </c>
      <c r="J37" t="s">
        <v>303</v>
      </c>
      <c r="K37" s="8" t="s">
        <v>742</v>
      </c>
      <c r="L37" s="4" t="s">
        <v>14</v>
      </c>
      <c r="M37" t="s">
        <v>681</v>
      </c>
      <c r="N37" s="5">
        <v>30789335</v>
      </c>
      <c r="O37" s="5">
        <v>84117</v>
      </c>
      <c r="P37" s="5">
        <v>15982</v>
      </c>
      <c r="Q37" s="5">
        <v>100099</v>
      </c>
    </row>
    <row r="38" spans="1:17" x14ac:dyDescent="0.25">
      <c r="A38" t="s">
        <v>505</v>
      </c>
      <c r="B38" t="s">
        <v>494</v>
      </c>
      <c r="C38">
        <v>61216000</v>
      </c>
      <c r="D38">
        <v>74</v>
      </c>
      <c r="E38">
        <v>30789159</v>
      </c>
      <c r="F38" t="s">
        <v>506</v>
      </c>
      <c r="G38" s="1">
        <v>45209</v>
      </c>
      <c r="H38">
        <v>5401223</v>
      </c>
      <c r="I38">
        <v>178</v>
      </c>
      <c r="J38" t="s">
        <v>303</v>
      </c>
      <c r="K38" s="8" t="s">
        <v>742</v>
      </c>
      <c r="L38" s="4" t="s">
        <v>14</v>
      </c>
      <c r="M38" t="s">
        <v>681</v>
      </c>
      <c r="N38" s="5">
        <v>30789159</v>
      </c>
      <c r="O38" s="5">
        <v>24136</v>
      </c>
      <c r="P38" s="5">
        <v>4586</v>
      </c>
      <c r="Q38" s="5">
        <v>28991</v>
      </c>
    </row>
    <row r="39" spans="1:17" x14ac:dyDescent="0.25">
      <c r="A39" t="s">
        <v>505</v>
      </c>
      <c r="B39" t="s">
        <v>494</v>
      </c>
      <c r="C39">
        <v>61216000</v>
      </c>
      <c r="D39">
        <v>15</v>
      </c>
      <c r="E39">
        <v>30788259</v>
      </c>
      <c r="F39" t="s">
        <v>506</v>
      </c>
      <c r="G39" s="1">
        <v>45209</v>
      </c>
      <c r="H39">
        <v>5401245</v>
      </c>
      <c r="I39">
        <v>178</v>
      </c>
      <c r="J39" t="s">
        <v>303</v>
      </c>
      <c r="K39" s="8" t="s">
        <v>742</v>
      </c>
      <c r="L39" s="4" t="s">
        <v>14</v>
      </c>
      <c r="M39" t="s">
        <v>681</v>
      </c>
      <c r="N39" s="5">
        <v>30788259</v>
      </c>
      <c r="O39" s="5">
        <v>86873</v>
      </c>
      <c r="P39" s="5">
        <v>16506</v>
      </c>
      <c r="Q39" s="5">
        <v>106980</v>
      </c>
    </row>
    <row r="40" spans="1:17" x14ac:dyDescent="0.25">
      <c r="A40" t="s">
        <v>505</v>
      </c>
      <c r="B40" t="s">
        <v>494</v>
      </c>
      <c r="C40">
        <v>61216000</v>
      </c>
      <c r="D40">
        <v>54</v>
      </c>
      <c r="E40">
        <v>30795555</v>
      </c>
      <c r="F40" t="s">
        <v>506</v>
      </c>
      <c r="G40" s="1">
        <v>45210</v>
      </c>
      <c r="H40">
        <v>5401591</v>
      </c>
      <c r="I40">
        <v>178</v>
      </c>
      <c r="J40" t="s">
        <v>303</v>
      </c>
      <c r="K40" s="8" t="s">
        <v>742</v>
      </c>
      <c r="L40" s="4" t="s">
        <v>14</v>
      </c>
      <c r="M40" t="s">
        <v>681</v>
      </c>
      <c r="N40" s="5">
        <v>30795555</v>
      </c>
      <c r="O40" s="5">
        <v>5176</v>
      </c>
      <c r="P40" s="5">
        <v>983</v>
      </c>
      <c r="Q40" s="5">
        <v>6159</v>
      </c>
    </row>
    <row r="41" spans="1:17" x14ac:dyDescent="0.25">
      <c r="A41" t="s">
        <v>505</v>
      </c>
      <c r="B41" t="s">
        <v>494</v>
      </c>
      <c r="C41">
        <v>61216000</v>
      </c>
      <c r="D41">
        <v>54</v>
      </c>
      <c r="E41">
        <v>30795552</v>
      </c>
      <c r="F41" t="s">
        <v>506</v>
      </c>
      <c r="G41" s="1">
        <v>45210</v>
      </c>
      <c r="H41">
        <v>5401653</v>
      </c>
      <c r="I41">
        <v>178</v>
      </c>
      <c r="J41" t="s">
        <v>303</v>
      </c>
      <c r="K41" s="8" t="s">
        <v>742</v>
      </c>
      <c r="L41" s="4" t="s">
        <v>14</v>
      </c>
      <c r="M41" t="s">
        <v>681</v>
      </c>
      <c r="N41" s="5">
        <v>30795552</v>
      </c>
      <c r="O41" s="5">
        <v>16284</v>
      </c>
      <c r="P41" s="5">
        <v>3094</v>
      </c>
      <c r="Q41" s="5">
        <v>19378</v>
      </c>
    </row>
    <row r="42" spans="1:17" x14ac:dyDescent="0.25">
      <c r="A42" t="s">
        <v>505</v>
      </c>
      <c r="B42" t="s">
        <v>494</v>
      </c>
      <c r="C42">
        <v>61216000</v>
      </c>
      <c r="D42">
        <v>54</v>
      </c>
      <c r="E42">
        <v>30795557</v>
      </c>
      <c r="F42" t="s">
        <v>506</v>
      </c>
      <c r="G42" s="1">
        <v>45210</v>
      </c>
      <c r="H42">
        <v>5401654</v>
      </c>
      <c r="I42">
        <v>178</v>
      </c>
      <c r="J42" t="s">
        <v>303</v>
      </c>
      <c r="K42" s="8" t="s">
        <v>742</v>
      </c>
      <c r="L42" s="4" t="s">
        <v>14</v>
      </c>
      <c r="M42" t="s">
        <v>681</v>
      </c>
      <c r="N42" s="5">
        <v>30795557</v>
      </c>
      <c r="O42" s="5">
        <v>5111</v>
      </c>
      <c r="P42" s="5">
        <v>971</v>
      </c>
      <c r="Q42" s="5">
        <v>6082</v>
      </c>
    </row>
    <row r="43" spans="1:17" x14ac:dyDescent="0.25">
      <c r="A43" t="s">
        <v>505</v>
      </c>
      <c r="B43" t="s">
        <v>494</v>
      </c>
      <c r="C43">
        <v>61216000</v>
      </c>
      <c r="D43">
        <v>17</v>
      </c>
      <c r="E43">
        <v>30796082</v>
      </c>
      <c r="F43" t="s">
        <v>506</v>
      </c>
      <c r="G43" s="1">
        <v>45210</v>
      </c>
      <c r="H43">
        <v>5401698</v>
      </c>
      <c r="I43">
        <v>178</v>
      </c>
      <c r="J43" t="s">
        <v>303</v>
      </c>
      <c r="K43" s="8" t="s">
        <v>742</v>
      </c>
      <c r="L43" s="4" t="s">
        <v>14</v>
      </c>
      <c r="M43" t="s">
        <v>681</v>
      </c>
      <c r="N43" s="5">
        <v>30796082</v>
      </c>
      <c r="O43" s="5">
        <v>116501</v>
      </c>
      <c r="P43" s="5">
        <v>22135</v>
      </c>
      <c r="Q43" s="5">
        <v>138905</v>
      </c>
    </row>
    <row r="44" spans="1:17" x14ac:dyDescent="0.25">
      <c r="A44" t="s">
        <v>505</v>
      </c>
      <c r="B44" t="s">
        <v>494</v>
      </c>
      <c r="C44">
        <v>61216000</v>
      </c>
      <c r="D44">
        <v>54</v>
      </c>
      <c r="E44">
        <v>30795563</v>
      </c>
      <c r="F44" t="s">
        <v>506</v>
      </c>
      <c r="G44" s="1">
        <v>45210</v>
      </c>
      <c r="H44">
        <v>5401732</v>
      </c>
      <c r="I44">
        <v>178</v>
      </c>
      <c r="J44" t="s">
        <v>303</v>
      </c>
      <c r="K44" s="8" t="s">
        <v>742</v>
      </c>
      <c r="L44" s="4" t="s">
        <v>14</v>
      </c>
      <c r="M44" t="s">
        <v>681</v>
      </c>
      <c r="N44" s="5">
        <v>30795563</v>
      </c>
      <c r="O44" s="5">
        <v>14818</v>
      </c>
      <c r="P44" s="5">
        <v>2815</v>
      </c>
      <c r="Q44" s="5">
        <v>17633</v>
      </c>
    </row>
    <row r="45" spans="1:17" x14ac:dyDescent="0.25">
      <c r="A45" t="s">
        <v>505</v>
      </c>
      <c r="B45" t="s">
        <v>494</v>
      </c>
      <c r="C45">
        <v>61216000</v>
      </c>
      <c r="D45">
        <v>54</v>
      </c>
      <c r="E45">
        <v>30795565</v>
      </c>
      <c r="F45" t="s">
        <v>506</v>
      </c>
      <c r="G45" s="1">
        <v>45210</v>
      </c>
      <c r="H45">
        <v>5401759</v>
      </c>
      <c r="I45">
        <v>178</v>
      </c>
      <c r="J45" t="s">
        <v>303</v>
      </c>
      <c r="K45" s="8" t="s">
        <v>742</v>
      </c>
      <c r="L45" s="4" t="s">
        <v>14</v>
      </c>
      <c r="M45" t="s">
        <v>681</v>
      </c>
      <c r="N45" s="5">
        <v>30795565</v>
      </c>
      <c r="O45" s="5">
        <v>100761</v>
      </c>
      <c r="P45" s="5">
        <v>19145</v>
      </c>
      <c r="Q45" s="5">
        <v>119906</v>
      </c>
    </row>
    <row r="46" spans="1:17" x14ac:dyDescent="0.25">
      <c r="A46" t="s">
        <v>505</v>
      </c>
      <c r="B46" t="s">
        <v>494</v>
      </c>
      <c r="C46">
        <v>61216000</v>
      </c>
      <c r="D46">
        <v>50</v>
      </c>
      <c r="E46">
        <v>30799056</v>
      </c>
      <c r="F46" t="s">
        <v>506</v>
      </c>
      <c r="G46" s="1">
        <v>45211</v>
      </c>
      <c r="H46">
        <v>5402423</v>
      </c>
      <c r="I46">
        <v>178</v>
      </c>
      <c r="J46" t="s">
        <v>303</v>
      </c>
      <c r="K46" s="8" t="s">
        <v>742</v>
      </c>
      <c r="L46" s="4" t="s">
        <v>14</v>
      </c>
      <c r="M46" t="s">
        <v>681</v>
      </c>
      <c r="N46" s="5">
        <v>30799056</v>
      </c>
      <c r="O46" s="5">
        <v>36215</v>
      </c>
      <c r="P46" s="5">
        <v>6881</v>
      </c>
      <c r="Q46" s="5">
        <v>43096</v>
      </c>
    </row>
    <row r="47" spans="1:17" x14ac:dyDescent="0.25">
      <c r="A47" t="s">
        <v>505</v>
      </c>
      <c r="B47" t="s">
        <v>494</v>
      </c>
      <c r="C47">
        <v>61216000</v>
      </c>
      <c r="D47">
        <v>90</v>
      </c>
      <c r="E47">
        <v>30799007</v>
      </c>
      <c r="F47" t="s">
        <v>506</v>
      </c>
      <c r="G47" s="1">
        <v>45211</v>
      </c>
      <c r="H47">
        <v>5402449</v>
      </c>
      <c r="I47">
        <v>178</v>
      </c>
      <c r="J47" t="s">
        <v>303</v>
      </c>
      <c r="K47" s="8" t="s">
        <v>742</v>
      </c>
      <c r="L47" s="4" t="s">
        <v>14</v>
      </c>
      <c r="M47" t="s">
        <v>681</v>
      </c>
      <c r="N47" s="5">
        <v>30799007</v>
      </c>
      <c r="O47" s="5">
        <v>70144</v>
      </c>
      <c r="P47" s="5">
        <v>13327</v>
      </c>
      <c r="Q47" s="5">
        <v>83471</v>
      </c>
    </row>
    <row r="48" spans="1:17" x14ac:dyDescent="0.25">
      <c r="A48" t="s">
        <v>505</v>
      </c>
      <c r="B48" t="s">
        <v>494</v>
      </c>
      <c r="C48">
        <v>61216000</v>
      </c>
      <c r="D48">
        <v>90</v>
      </c>
      <c r="E48">
        <v>30799017</v>
      </c>
      <c r="F48" t="s">
        <v>506</v>
      </c>
      <c r="G48" s="1">
        <v>45211</v>
      </c>
      <c r="H48">
        <v>5402736</v>
      </c>
      <c r="I48">
        <v>178</v>
      </c>
      <c r="J48" t="s">
        <v>303</v>
      </c>
      <c r="K48" s="8" t="s">
        <v>742</v>
      </c>
      <c r="L48" s="4" t="s">
        <v>14</v>
      </c>
      <c r="M48" t="s">
        <v>681</v>
      </c>
      <c r="N48" s="5">
        <v>30799017</v>
      </c>
      <c r="O48" s="5">
        <v>57651</v>
      </c>
      <c r="P48" s="5">
        <v>10954</v>
      </c>
      <c r="Q48" s="5">
        <v>68605</v>
      </c>
    </row>
    <row r="49" spans="1:17" x14ac:dyDescent="0.25">
      <c r="A49" t="s">
        <v>505</v>
      </c>
      <c r="B49" t="s">
        <v>494</v>
      </c>
      <c r="C49">
        <v>61216000</v>
      </c>
      <c r="D49">
        <v>86</v>
      </c>
      <c r="E49">
        <v>30800926</v>
      </c>
      <c r="F49" t="s">
        <v>506</v>
      </c>
      <c r="G49" s="1">
        <v>45211</v>
      </c>
      <c r="H49">
        <v>5402918</v>
      </c>
      <c r="I49">
        <v>178</v>
      </c>
      <c r="J49" t="s">
        <v>303</v>
      </c>
      <c r="K49" s="8" t="s">
        <v>742</v>
      </c>
      <c r="L49" s="4" t="s">
        <v>14</v>
      </c>
      <c r="M49" t="s">
        <v>681</v>
      </c>
      <c r="N49" s="5">
        <v>30800926</v>
      </c>
      <c r="O49" s="5">
        <v>35550</v>
      </c>
      <c r="P49" s="5">
        <v>6755</v>
      </c>
      <c r="Q49" s="5">
        <v>42305</v>
      </c>
    </row>
    <row r="50" spans="1:17" x14ac:dyDescent="0.25">
      <c r="A50" t="s">
        <v>505</v>
      </c>
      <c r="B50" t="s">
        <v>494</v>
      </c>
      <c r="C50">
        <v>61216000</v>
      </c>
      <c r="D50">
        <v>86</v>
      </c>
      <c r="E50">
        <v>30800933</v>
      </c>
      <c r="F50" t="s">
        <v>506</v>
      </c>
      <c r="G50" s="1">
        <v>45211</v>
      </c>
      <c r="H50">
        <v>5402994</v>
      </c>
      <c r="I50">
        <v>178</v>
      </c>
      <c r="J50" t="s">
        <v>303</v>
      </c>
      <c r="K50" s="8" t="s">
        <v>742</v>
      </c>
      <c r="L50" s="4" t="s">
        <v>14</v>
      </c>
      <c r="M50" t="s">
        <v>681</v>
      </c>
      <c r="N50" s="5">
        <v>30800933</v>
      </c>
      <c r="O50" s="5">
        <v>56690</v>
      </c>
      <c r="P50" s="5">
        <v>10771</v>
      </c>
      <c r="Q50" s="5">
        <v>67461</v>
      </c>
    </row>
    <row r="51" spans="1:17" x14ac:dyDescent="0.25">
      <c r="A51" t="s">
        <v>505</v>
      </c>
      <c r="B51" t="s">
        <v>494</v>
      </c>
      <c r="C51">
        <v>61216000</v>
      </c>
      <c r="D51">
        <v>44</v>
      </c>
      <c r="E51">
        <v>30800909</v>
      </c>
      <c r="F51" t="s">
        <v>506</v>
      </c>
      <c r="G51" s="1">
        <v>45211</v>
      </c>
      <c r="H51">
        <v>5403003</v>
      </c>
      <c r="I51">
        <v>178</v>
      </c>
      <c r="J51" t="s">
        <v>303</v>
      </c>
      <c r="K51" s="8" t="s">
        <v>742</v>
      </c>
      <c r="L51" s="4" t="s">
        <v>14</v>
      </c>
      <c r="M51" t="s">
        <v>681</v>
      </c>
      <c r="N51" s="5">
        <v>30800909</v>
      </c>
      <c r="O51" s="5">
        <v>45517</v>
      </c>
      <c r="P51" s="5">
        <v>8648</v>
      </c>
      <c r="Q51" s="5">
        <v>54165</v>
      </c>
    </row>
    <row r="52" spans="1:17" x14ac:dyDescent="0.25">
      <c r="A52" t="s">
        <v>505</v>
      </c>
      <c r="B52" t="s">
        <v>494</v>
      </c>
      <c r="C52">
        <v>61216000</v>
      </c>
      <c r="D52">
        <v>86</v>
      </c>
      <c r="E52">
        <v>30800888</v>
      </c>
      <c r="F52" t="s">
        <v>506</v>
      </c>
      <c r="G52" s="1">
        <v>45211</v>
      </c>
      <c r="H52">
        <v>5403012</v>
      </c>
      <c r="I52">
        <v>178</v>
      </c>
      <c r="J52" t="s">
        <v>303</v>
      </c>
      <c r="K52" s="8" t="s">
        <v>742</v>
      </c>
      <c r="L52" s="4" t="s">
        <v>14</v>
      </c>
      <c r="M52" t="s">
        <v>681</v>
      </c>
      <c r="N52" s="5">
        <v>30800888</v>
      </c>
      <c r="O52" s="5">
        <v>29125</v>
      </c>
      <c r="P52" s="5">
        <v>5534</v>
      </c>
      <c r="Q52" s="5">
        <v>34659</v>
      </c>
    </row>
    <row r="53" spans="1:17" x14ac:dyDescent="0.25">
      <c r="A53" t="s">
        <v>505</v>
      </c>
      <c r="B53" t="s">
        <v>494</v>
      </c>
      <c r="C53">
        <v>61216000</v>
      </c>
      <c r="D53">
        <v>44</v>
      </c>
      <c r="E53">
        <v>30800880</v>
      </c>
      <c r="F53" t="s">
        <v>506</v>
      </c>
      <c r="G53" s="1">
        <v>45211</v>
      </c>
      <c r="H53">
        <v>5403111</v>
      </c>
      <c r="I53">
        <v>178</v>
      </c>
      <c r="J53" t="s">
        <v>303</v>
      </c>
      <c r="K53" s="8" t="s">
        <v>742</v>
      </c>
      <c r="L53" s="4" t="s">
        <v>14</v>
      </c>
      <c r="M53" t="s">
        <v>681</v>
      </c>
      <c r="N53" s="5">
        <v>30800880</v>
      </c>
      <c r="O53" s="5">
        <v>37666</v>
      </c>
      <c r="P53" s="5">
        <v>7157</v>
      </c>
      <c r="Q53" s="5">
        <v>44823</v>
      </c>
    </row>
    <row r="54" spans="1:17" x14ac:dyDescent="0.25">
      <c r="A54" t="s">
        <v>505</v>
      </c>
      <c r="B54" t="s">
        <v>494</v>
      </c>
      <c r="C54">
        <v>61216000</v>
      </c>
      <c r="D54">
        <v>59</v>
      </c>
      <c r="E54">
        <v>30804211</v>
      </c>
      <c r="F54" t="s">
        <v>506</v>
      </c>
      <c r="G54" s="1">
        <v>45212</v>
      </c>
      <c r="H54">
        <v>5403438</v>
      </c>
      <c r="I54">
        <v>178</v>
      </c>
      <c r="J54" t="s">
        <v>303</v>
      </c>
      <c r="K54" s="8" t="s">
        <v>742</v>
      </c>
      <c r="L54" s="4" t="s">
        <v>14</v>
      </c>
      <c r="M54" t="s">
        <v>681</v>
      </c>
      <c r="N54" s="5">
        <v>30804211</v>
      </c>
      <c r="O54" s="5">
        <v>45892</v>
      </c>
      <c r="P54" s="5">
        <v>8719</v>
      </c>
      <c r="Q54" s="5">
        <v>55284</v>
      </c>
    </row>
    <row r="55" spans="1:17" x14ac:dyDescent="0.25">
      <c r="A55" t="s">
        <v>505</v>
      </c>
      <c r="B55" t="s">
        <v>494</v>
      </c>
      <c r="C55">
        <v>61216000</v>
      </c>
      <c r="D55">
        <v>87</v>
      </c>
      <c r="E55">
        <v>30804209</v>
      </c>
      <c r="F55" t="s">
        <v>506</v>
      </c>
      <c r="G55" s="1">
        <v>45212</v>
      </c>
      <c r="H55">
        <v>5403451</v>
      </c>
      <c r="I55">
        <v>178</v>
      </c>
      <c r="J55" t="s">
        <v>303</v>
      </c>
      <c r="K55" s="8" t="s">
        <v>742</v>
      </c>
      <c r="L55" s="4" t="s">
        <v>14</v>
      </c>
      <c r="M55" t="s">
        <v>681</v>
      </c>
      <c r="N55" s="5">
        <v>30804209</v>
      </c>
      <c r="O55" s="5">
        <v>76945</v>
      </c>
      <c r="P55" s="5">
        <v>14620</v>
      </c>
      <c r="Q55" s="5">
        <v>92238</v>
      </c>
    </row>
    <row r="56" spans="1:17" x14ac:dyDescent="0.25">
      <c r="A56" t="s">
        <v>505</v>
      </c>
      <c r="B56" t="s">
        <v>494</v>
      </c>
      <c r="C56">
        <v>61216000</v>
      </c>
      <c r="D56">
        <v>87</v>
      </c>
      <c r="E56">
        <v>30804213</v>
      </c>
      <c r="F56" t="s">
        <v>506</v>
      </c>
      <c r="G56" s="1">
        <v>45212</v>
      </c>
      <c r="H56">
        <v>5403489</v>
      </c>
      <c r="I56">
        <v>178</v>
      </c>
      <c r="J56" t="s">
        <v>303</v>
      </c>
      <c r="K56" s="8" t="s">
        <v>742</v>
      </c>
      <c r="L56" s="4" t="s">
        <v>14</v>
      </c>
      <c r="M56" t="s">
        <v>681</v>
      </c>
      <c r="N56" s="5">
        <v>30804213</v>
      </c>
      <c r="O56" s="5">
        <v>136487</v>
      </c>
      <c r="P56" s="5">
        <v>25933</v>
      </c>
      <c r="Q56" s="5">
        <v>162420</v>
      </c>
    </row>
    <row r="57" spans="1:17" x14ac:dyDescent="0.25">
      <c r="A57" t="s">
        <v>505</v>
      </c>
      <c r="B57" t="s">
        <v>494</v>
      </c>
      <c r="C57">
        <v>61216000</v>
      </c>
      <c r="D57">
        <v>95</v>
      </c>
      <c r="E57">
        <v>30804207</v>
      </c>
      <c r="F57" t="s">
        <v>506</v>
      </c>
      <c r="G57" s="1">
        <v>45212</v>
      </c>
      <c r="H57">
        <v>5403512</v>
      </c>
      <c r="I57">
        <v>178</v>
      </c>
      <c r="J57" t="s">
        <v>303</v>
      </c>
      <c r="K57" s="8" t="s">
        <v>742</v>
      </c>
      <c r="L57" s="4" t="s">
        <v>14</v>
      </c>
      <c r="M57" t="s">
        <v>681</v>
      </c>
      <c r="N57" s="5">
        <v>30804207</v>
      </c>
      <c r="O57" s="5">
        <v>25960</v>
      </c>
      <c r="P57" s="5">
        <v>4932</v>
      </c>
      <c r="Q57" s="5">
        <v>31621</v>
      </c>
    </row>
    <row r="58" spans="1:17" x14ac:dyDescent="0.25">
      <c r="A58" t="s">
        <v>505</v>
      </c>
      <c r="B58" t="s">
        <v>494</v>
      </c>
      <c r="C58">
        <v>61216000</v>
      </c>
      <c r="D58">
        <v>59</v>
      </c>
      <c r="E58">
        <v>30805477</v>
      </c>
      <c r="F58" t="s">
        <v>506</v>
      </c>
      <c r="G58" s="1">
        <v>45212</v>
      </c>
      <c r="H58">
        <v>5403656</v>
      </c>
      <c r="I58">
        <v>178</v>
      </c>
      <c r="J58" t="s">
        <v>303</v>
      </c>
      <c r="K58" s="8" t="s">
        <v>742</v>
      </c>
      <c r="L58" s="4" t="s">
        <v>14</v>
      </c>
      <c r="M58" t="s">
        <v>681</v>
      </c>
      <c r="N58" s="5">
        <v>30805477</v>
      </c>
      <c r="O58" s="5">
        <v>21334</v>
      </c>
      <c r="P58" s="5">
        <v>4053</v>
      </c>
      <c r="Q58" s="5">
        <v>25387</v>
      </c>
    </row>
    <row r="59" spans="1:17" x14ac:dyDescent="0.25">
      <c r="A59" t="s">
        <v>505</v>
      </c>
      <c r="B59" t="s">
        <v>494</v>
      </c>
      <c r="C59">
        <v>61216000</v>
      </c>
      <c r="D59">
        <v>94</v>
      </c>
      <c r="E59">
        <v>30805492</v>
      </c>
      <c r="F59" t="s">
        <v>506</v>
      </c>
      <c r="G59" s="1">
        <v>45212</v>
      </c>
      <c r="H59">
        <v>5403666</v>
      </c>
      <c r="I59">
        <v>178</v>
      </c>
      <c r="J59" t="s">
        <v>303</v>
      </c>
      <c r="K59" s="8" t="s">
        <v>742</v>
      </c>
      <c r="L59" s="4" t="s">
        <v>14</v>
      </c>
      <c r="M59" t="s">
        <v>681</v>
      </c>
      <c r="N59" s="5">
        <v>30805492</v>
      </c>
      <c r="O59" s="5">
        <v>49703</v>
      </c>
      <c r="P59" s="5">
        <v>9444</v>
      </c>
      <c r="Q59" s="5">
        <v>59147</v>
      </c>
    </row>
    <row r="60" spans="1:17" x14ac:dyDescent="0.25">
      <c r="A60" t="s">
        <v>505</v>
      </c>
      <c r="B60" t="s">
        <v>494</v>
      </c>
      <c r="C60">
        <v>61216000</v>
      </c>
      <c r="D60">
        <v>9</v>
      </c>
      <c r="E60">
        <v>30805472</v>
      </c>
      <c r="F60" t="s">
        <v>506</v>
      </c>
      <c r="G60" s="1">
        <v>45212</v>
      </c>
      <c r="H60">
        <v>5403677</v>
      </c>
      <c r="I60">
        <v>178</v>
      </c>
      <c r="J60" t="s">
        <v>303</v>
      </c>
      <c r="K60" s="8" t="s">
        <v>742</v>
      </c>
      <c r="L60" s="4" t="s">
        <v>14</v>
      </c>
      <c r="M60" t="s">
        <v>681</v>
      </c>
      <c r="N60" s="5">
        <v>30805472</v>
      </c>
      <c r="O60" s="5">
        <v>39265</v>
      </c>
      <c r="P60" s="5">
        <v>7460</v>
      </c>
      <c r="Q60" s="5">
        <v>46725</v>
      </c>
    </row>
    <row r="61" spans="1:17" x14ac:dyDescent="0.25">
      <c r="A61" t="s">
        <v>505</v>
      </c>
      <c r="B61" t="s">
        <v>494</v>
      </c>
      <c r="C61">
        <v>61216000</v>
      </c>
      <c r="D61">
        <v>83</v>
      </c>
      <c r="E61">
        <v>30798962</v>
      </c>
      <c r="F61" t="s">
        <v>506</v>
      </c>
      <c r="G61" s="1">
        <v>45215</v>
      </c>
      <c r="H61">
        <v>5404291</v>
      </c>
      <c r="I61">
        <v>178</v>
      </c>
      <c r="J61" t="s">
        <v>303</v>
      </c>
      <c r="K61" s="8" t="s">
        <v>742</v>
      </c>
      <c r="L61" s="4" t="s">
        <v>14</v>
      </c>
      <c r="M61" t="s">
        <v>681</v>
      </c>
      <c r="N61" s="5">
        <v>30798962</v>
      </c>
      <c r="O61" s="5">
        <v>37624</v>
      </c>
      <c r="P61" s="5">
        <v>7149</v>
      </c>
      <c r="Q61" s="5">
        <v>49145</v>
      </c>
    </row>
    <row r="62" spans="1:17" x14ac:dyDescent="0.25">
      <c r="A62" t="s">
        <v>505</v>
      </c>
      <c r="B62" t="s">
        <v>494</v>
      </c>
      <c r="C62">
        <v>61216000</v>
      </c>
      <c r="D62">
        <v>83</v>
      </c>
      <c r="E62">
        <v>30798946</v>
      </c>
      <c r="F62" t="s">
        <v>506</v>
      </c>
      <c r="G62" s="1">
        <v>45215</v>
      </c>
      <c r="H62">
        <v>5404293</v>
      </c>
      <c r="I62">
        <v>178</v>
      </c>
      <c r="J62" t="s">
        <v>303</v>
      </c>
      <c r="K62" s="8" t="s">
        <v>742</v>
      </c>
      <c r="L62" s="4" t="s">
        <v>14</v>
      </c>
      <c r="M62" t="s">
        <v>681</v>
      </c>
      <c r="N62" s="5">
        <v>30798946</v>
      </c>
      <c r="O62" s="5">
        <v>26389</v>
      </c>
      <c r="P62" s="5">
        <v>5014</v>
      </c>
      <c r="Q62" s="5">
        <v>31403</v>
      </c>
    </row>
    <row r="63" spans="1:17" x14ac:dyDescent="0.25">
      <c r="A63" t="s">
        <v>505</v>
      </c>
      <c r="B63" t="s">
        <v>494</v>
      </c>
      <c r="C63">
        <v>61216000</v>
      </c>
      <c r="D63">
        <v>83</v>
      </c>
      <c r="E63">
        <v>30798974</v>
      </c>
      <c r="F63" t="s">
        <v>506</v>
      </c>
      <c r="G63" s="1">
        <v>45215</v>
      </c>
      <c r="H63">
        <v>5404295</v>
      </c>
      <c r="I63">
        <v>178</v>
      </c>
      <c r="J63" t="s">
        <v>303</v>
      </c>
      <c r="K63" s="8" t="s">
        <v>742</v>
      </c>
      <c r="L63" s="4" t="s">
        <v>14</v>
      </c>
      <c r="M63" t="s">
        <v>681</v>
      </c>
      <c r="N63" s="5">
        <v>30798974</v>
      </c>
      <c r="O63" s="5">
        <v>104857</v>
      </c>
      <c r="P63" s="5">
        <v>19923</v>
      </c>
      <c r="Q63" s="5">
        <v>124780</v>
      </c>
    </row>
    <row r="64" spans="1:17" x14ac:dyDescent="0.25">
      <c r="A64" t="s">
        <v>505</v>
      </c>
      <c r="B64" t="s">
        <v>494</v>
      </c>
      <c r="C64">
        <v>61216000</v>
      </c>
      <c r="D64">
        <v>83</v>
      </c>
      <c r="E64">
        <v>30798983</v>
      </c>
      <c r="F64" t="s">
        <v>506</v>
      </c>
      <c r="G64" s="1">
        <v>45215</v>
      </c>
      <c r="H64">
        <v>5404297</v>
      </c>
      <c r="I64">
        <v>178</v>
      </c>
      <c r="J64" t="s">
        <v>303</v>
      </c>
      <c r="K64" s="8" t="s">
        <v>742</v>
      </c>
      <c r="L64" s="4" t="s">
        <v>14</v>
      </c>
      <c r="M64" t="s">
        <v>681</v>
      </c>
      <c r="N64" s="5">
        <v>30798983</v>
      </c>
      <c r="O64" s="5">
        <v>32580</v>
      </c>
      <c r="P64" s="5">
        <v>6190</v>
      </c>
      <c r="Q64" s="5">
        <v>38770</v>
      </c>
    </row>
    <row r="65" spans="1:17" x14ac:dyDescent="0.25">
      <c r="A65" t="s">
        <v>505</v>
      </c>
      <c r="B65" t="s">
        <v>494</v>
      </c>
      <c r="C65">
        <v>61216000</v>
      </c>
      <c r="D65">
        <v>83</v>
      </c>
      <c r="E65">
        <v>30798995</v>
      </c>
      <c r="F65" t="s">
        <v>506</v>
      </c>
      <c r="G65" s="1">
        <v>45215</v>
      </c>
      <c r="H65">
        <v>5404298</v>
      </c>
      <c r="I65">
        <v>178</v>
      </c>
      <c r="J65" t="s">
        <v>303</v>
      </c>
      <c r="K65" s="8" t="s">
        <v>742</v>
      </c>
      <c r="L65" s="4" t="s">
        <v>14</v>
      </c>
      <c r="M65" t="s">
        <v>681</v>
      </c>
      <c r="N65" s="5">
        <v>30798995</v>
      </c>
      <c r="O65" s="5">
        <v>35520</v>
      </c>
      <c r="P65" s="5">
        <v>6749</v>
      </c>
      <c r="Q65" s="5">
        <v>42269</v>
      </c>
    </row>
    <row r="66" spans="1:17" x14ac:dyDescent="0.25">
      <c r="A66" t="s">
        <v>505</v>
      </c>
      <c r="B66" t="s">
        <v>494</v>
      </c>
      <c r="C66">
        <v>61216000</v>
      </c>
      <c r="D66">
        <v>17</v>
      </c>
      <c r="E66">
        <v>30807105</v>
      </c>
      <c r="F66" t="s">
        <v>506</v>
      </c>
      <c r="G66" s="1">
        <v>45215</v>
      </c>
      <c r="H66">
        <v>5404777</v>
      </c>
      <c r="I66">
        <v>178</v>
      </c>
      <c r="J66" t="s">
        <v>303</v>
      </c>
      <c r="K66" s="8" t="s">
        <v>742</v>
      </c>
      <c r="L66" s="4" t="s">
        <v>14</v>
      </c>
      <c r="M66" t="s">
        <v>681</v>
      </c>
      <c r="N66" s="5">
        <v>30807105</v>
      </c>
      <c r="O66" s="5">
        <v>46291</v>
      </c>
      <c r="P66" s="5">
        <v>8795</v>
      </c>
      <c r="Q66" s="5">
        <v>55086</v>
      </c>
    </row>
    <row r="67" spans="1:17" x14ac:dyDescent="0.25">
      <c r="A67" t="s">
        <v>505</v>
      </c>
      <c r="B67" t="s">
        <v>494</v>
      </c>
      <c r="C67">
        <v>61216000</v>
      </c>
      <c r="D67">
        <v>94</v>
      </c>
      <c r="E67">
        <v>30809563</v>
      </c>
      <c r="F67" t="s">
        <v>506</v>
      </c>
      <c r="G67" s="1">
        <v>45215</v>
      </c>
      <c r="H67">
        <v>5405128</v>
      </c>
      <c r="I67">
        <v>178</v>
      </c>
      <c r="J67" t="s">
        <v>303</v>
      </c>
      <c r="K67" s="8" t="s">
        <v>742</v>
      </c>
      <c r="L67" s="4" t="s">
        <v>14</v>
      </c>
      <c r="M67" t="s">
        <v>681</v>
      </c>
      <c r="N67" s="5">
        <v>30809563</v>
      </c>
      <c r="O67" s="5">
        <v>32968</v>
      </c>
      <c r="P67" s="5">
        <v>6264</v>
      </c>
      <c r="Q67" s="5">
        <v>39232</v>
      </c>
    </row>
    <row r="68" spans="1:17" x14ac:dyDescent="0.25">
      <c r="A68" t="s">
        <v>505</v>
      </c>
      <c r="B68" t="s">
        <v>494</v>
      </c>
      <c r="C68">
        <v>61216000</v>
      </c>
      <c r="D68">
        <v>87</v>
      </c>
      <c r="E68">
        <v>30809585</v>
      </c>
      <c r="F68" t="s">
        <v>506</v>
      </c>
      <c r="G68" s="1">
        <v>45215</v>
      </c>
      <c r="H68">
        <v>5405158</v>
      </c>
      <c r="I68">
        <v>178</v>
      </c>
      <c r="J68" t="s">
        <v>303</v>
      </c>
      <c r="K68" s="8" t="s">
        <v>742</v>
      </c>
      <c r="L68" s="4" t="s">
        <v>14</v>
      </c>
      <c r="M68" t="s">
        <v>681</v>
      </c>
      <c r="N68" s="5">
        <v>30809585</v>
      </c>
      <c r="O68" s="5">
        <v>34155</v>
      </c>
      <c r="P68" s="5">
        <v>6489</v>
      </c>
      <c r="Q68" s="5">
        <v>40644</v>
      </c>
    </row>
    <row r="69" spans="1:17" x14ac:dyDescent="0.25">
      <c r="A69" t="s">
        <v>505</v>
      </c>
      <c r="B69" t="s">
        <v>494</v>
      </c>
      <c r="C69">
        <v>61216000</v>
      </c>
      <c r="D69">
        <v>94</v>
      </c>
      <c r="E69">
        <v>30809572</v>
      </c>
      <c r="F69" t="s">
        <v>506</v>
      </c>
      <c r="G69" s="1">
        <v>45215</v>
      </c>
      <c r="H69">
        <v>5405184</v>
      </c>
      <c r="I69">
        <v>178</v>
      </c>
      <c r="J69" t="s">
        <v>303</v>
      </c>
      <c r="K69" s="8" t="s">
        <v>742</v>
      </c>
      <c r="L69" s="4" t="s">
        <v>14</v>
      </c>
      <c r="M69" t="s">
        <v>681</v>
      </c>
      <c r="N69" s="5">
        <v>30809572</v>
      </c>
      <c r="O69" s="5">
        <v>24355</v>
      </c>
      <c r="P69" s="5">
        <v>4627</v>
      </c>
      <c r="Q69" s="5">
        <v>28982</v>
      </c>
    </row>
    <row r="70" spans="1:17" x14ac:dyDescent="0.25">
      <c r="A70" t="s">
        <v>505</v>
      </c>
      <c r="B70" t="s">
        <v>494</v>
      </c>
      <c r="C70">
        <v>61216000</v>
      </c>
      <c r="D70">
        <v>71</v>
      </c>
      <c r="E70">
        <v>30811819</v>
      </c>
      <c r="F70" t="s">
        <v>506</v>
      </c>
      <c r="G70" s="1">
        <v>45216</v>
      </c>
      <c r="H70">
        <v>5405469</v>
      </c>
      <c r="I70">
        <v>178</v>
      </c>
      <c r="J70" t="s">
        <v>303</v>
      </c>
      <c r="K70" s="8" t="s">
        <v>742</v>
      </c>
      <c r="L70" s="4" t="s">
        <v>14</v>
      </c>
      <c r="M70" t="s">
        <v>681</v>
      </c>
      <c r="N70" s="5">
        <v>30811819</v>
      </c>
      <c r="O70" s="5">
        <v>48321</v>
      </c>
      <c r="P70" s="5">
        <v>9181</v>
      </c>
      <c r="Q70" s="5">
        <v>57502</v>
      </c>
    </row>
    <row r="71" spans="1:17" x14ac:dyDescent="0.25">
      <c r="A71" t="s">
        <v>505</v>
      </c>
      <c r="B71" t="s">
        <v>494</v>
      </c>
      <c r="C71">
        <v>61216000</v>
      </c>
      <c r="D71">
        <v>65</v>
      </c>
      <c r="E71">
        <v>30816804</v>
      </c>
      <c r="F71" t="s">
        <v>506</v>
      </c>
      <c r="G71" s="1">
        <v>45217</v>
      </c>
      <c r="H71">
        <v>5406080</v>
      </c>
      <c r="I71">
        <v>178</v>
      </c>
      <c r="J71" t="s">
        <v>303</v>
      </c>
      <c r="K71" s="8" t="s">
        <v>742</v>
      </c>
      <c r="L71" s="4" t="s">
        <v>14</v>
      </c>
      <c r="M71" t="s">
        <v>681</v>
      </c>
      <c r="N71" s="5">
        <v>30816804</v>
      </c>
      <c r="O71" s="5">
        <v>11879</v>
      </c>
      <c r="P71" s="5">
        <v>2257</v>
      </c>
      <c r="Q71" s="5">
        <v>14136</v>
      </c>
    </row>
    <row r="72" spans="1:17" x14ac:dyDescent="0.25">
      <c r="A72" t="s">
        <v>505</v>
      </c>
      <c r="B72" t="s">
        <v>494</v>
      </c>
      <c r="C72">
        <v>61216000</v>
      </c>
      <c r="D72">
        <v>57</v>
      </c>
      <c r="E72">
        <v>30817188</v>
      </c>
      <c r="F72" t="s">
        <v>506</v>
      </c>
      <c r="G72" s="1">
        <v>45217</v>
      </c>
      <c r="H72">
        <v>5406263</v>
      </c>
      <c r="I72">
        <v>178</v>
      </c>
      <c r="J72" t="s">
        <v>303</v>
      </c>
      <c r="K72" s="8" t="s">
        <v>742</v>
      </c>
      <c r="L72" s="4" t="s">
        <v>14</v>
      </c>
      <c r="M72" t="s">
        <v>681</v>
      </c>
      <c r="N72" s="5">
        <v>30817188</v>
      </c>
      <c r="O72" s="5">
        <v>125799</v>
      </c>
      <c r="P72" s="5">
        <v>23902</v>
      </c>
      <c r="Q72" s="5">
        <v>149701</v>
      </c>
    </row>
    <row r="73" spans="1:17" x14ac:dyDescent="0.25">
      <c r="A73" t="s">
        <v>505</v>
      </c>
      <c r="B73" t="s">
        <v>494</v>
      </c>
      <c r="C73">
        <v>61216000</v>
      </c>
      <c r="D73">
        <v>57</v>
      </c>
      <c r="E73">
        <v>30817192</v>
      </c>
      <c r="F73" t="s">
        <v>506</v>
      </c>
      <c r="G73" s="1">
        <v>45217</v>
      </c>
      <c r="H73">
        <v>5406282</v>
      </c>
      <c r="I73">
        <v>178</v>
      </c>
      <c r="J73" t="s">
        <v>303</v>
      </c>
      <c r="K73" s="8" t="s">
        <v>742</v>
      </c>
      <c r="L73" s="4" t="s">
        <v>14</v>
      </c>
      <c r="M73" t="s">
        <v>681</v>
      </c>
      <c r="N73" s="5">
        <v>30817192</v>
      </c>
      <c r="O73" s="5">
        <v>42260</v>
      </c>
      <c r="P73" s="5">
        <v>8029</v>
      </c>
      <c r="Q73" s="5">
        <v>50289</v>
      </c>
    </row>
    <row r="74" spans="1:17" x14ac:dyDescent="0.25">
      <c r="A74" t="s">
        <v>505</v>
      </c>
      <c r="B74" t="s">
        <v>494</v>
      </c>
      <c r="C74">
        <v>61216000</v>
      </c>
      <c r="D74">
        <v>57</v>
      </c>
      <c r="E74">
        <v>30816813</v>
      </c>
      <c r="F74" t="s">
        <v>506</v>
      </c>
      <c r="G74" s="1">
        <v>45218</v>
      </c>
      <c r="H74">
        <v>5406361</v>
      </c>
      <c r="I74">
        <v>178</v>
      </c>
      <c r="J74" t="s">
        <v>303</v>
      </c>
      <c r="K74" s="8" t="s">
        <v>742</v>
      </c>
      <c r="L74" s="4" t="s">
        <v>14</v>
      </c>
      <c r="M74" t="s">
        <v>681</v>
      </c>
      <c r="N74" s="5">
        <v>30816813</v>
      </c>
      <c r="O74" s="5">
        <v>36297</v>
      </c>
      <c r="P74" s="5">
        <v>6896</v>
      </c>
      <c r="Q74" s="5">
        <v>43193</v>
      </c>
    </row>
    <row r="75" spans="1:17" x14ac:dyDescent="0.25">
      <c r="A75" t="s">
        <v>505</v>
      </c>
      <c r="B75" t="s">
        <v>494</v>
      </c>
      <c r="C75">
        <v>61216000</v>
      </c>
      <c r="D75">
        <v>78</v>
      </c>
      <c r="E75">
        <v>30819799</v>
      </c>
      <c r="F75" t="s">
        <v>506</v>
      </c>
      <c r="G75" s="1">
        <v>45218</v>
      </c>
      <c r="H75">
        <v>5406551</v>
      </c>
      <c r="I75">
        <v>178</v>
      </c>
      <c r="J75" t="s">
        <v>303</v>
      </c>
      <c r="K75" s="8" t="s">
        <v>742</v>
      </c>
      <c r="L75" s="4" t="s">
        <v>14</v>
      </c>
      <c r="M75" t="s">
        <v>681</v>
      </c>
      <c r="N75" s="5">
        <v>30819799</v>
      </c>
      <c r="O75" s="5">
        <v>15350</v>
      </c>
      <c r="P75" s="5">
        <v>2917</v>
      </c>
      <c r="Q75" s="5">
        <v>18267</v>
      </c>
    </row>
    <row r="76" spans="1:17" x14ac:dyDescent="0.25">
      <c r="A76" t="s">
        <v>505</v>
      </c>
      <c r="B76" t="s">
        <v>494</v>
      </c>
      <c r="C76">
        <v>61216000</v>
      </c>
      <c r="D76">
        <v>57</v>
      </c>
      <c r="E76">
        <v>30819806</v>
      </c>
      <c r="F76" t="s">
        <v>506</v>
      </c>
      <c r="G76" s="1">
        <v>45218</v>
      </c>
      <c r="H76">
        <v>5406597</v>
      </c>
      <c r="I76">
        <v>178</v>
      </c>
      <c r="J76" t="s">
        <v>303</v>
      </c>
      <c r="K76" s="8" t="s">
        <v>742</v>
      </c>
      <c r="L76" s="4" t="s">
        <v>14</v>
      </c>
      <c r="M76" t="s">
        <v>681</v>
      </c>
      <c r="N76" s="5">
        <v>30819806</v>
      </c>
      <c r="O76" s="5">
        <v>33711</v>
      </c>
      <c r="P76" s="5">
        <v>6405</v>
      </c>
      <c r="Q76" s="5">
        <v>40116</v>
      </c>
    </row>
    <row r="77" spans="1:17" x14ac:dyDescent="0.25">
      <c r="A77" t="s">
        <v>505</v>
      </c>
      <c r="B77" t="s">
        <v>494</v>
      </c>
      <c r="C77">
        <v>61216000</v>
      </c>
      <c r="D77">
        <v>78</v>
      </c>
      <c r="E77">
        <v>30819820</v>
      </c>
      <c r="F77" t="s">
        <v>506</v>
      </c>
      <c r="G77" s="1">
        <v>45218</v>
      </c>
      <c r="H77">
        <v>5406718</v>
      </c>
      <c r="I77">
        <v>178</v>
      </c>
      <c r="J77" t="s">
        <v>303</v>
      </c>
      <c r="K77" s="8" t="s">
        <v>742</v>
      </c>
      <c r="L77" s="4" t="s">
        <v>14</v>
      </c>
      <c r="M77" t="s">
        <v>681</v>
      </c>
      <c r="N77" s="5">
        <v>30819820</v>
      </c>
      <c r="O77" s="5">
        <v>191194</v>
      </c>
      <c r="P77" s="5">
        <v>36327</v>
      </c>
      <c r="Q77" s="5">
        <v>227521</v>
      </c>
    </row>
    <row r="78" spans="1:17" x14ac:dyDescent="0.25">
      <c r="A78" t="s">
        <v>505</v>
      </c>
      <c r="B78" t="s">
        <v>494</v>
      </c>
      <c r="C78">
        <v>61216000</v>
      </c>
      <c r="D78">
        <v>86</v>
      </c>
      <c r="E78">
        <v>30822870</v>
      </c>
      <c r="F78" t="s">
        <v>506</v>
      </c>
      <c r="G78" s="1">
        <v>45219</v>
      </c>
      <c r="H78">
        <v>5406922</v>
      </c>
      <c r="I78">
        <v>178</v>
      </c>
      <c r="J78" t="s">
        <v>303</v>
      </c>
      <c r="K78" s="8" t="s">
        <v>742</v>
      </c>
      <c r="L78" s="4" t="s">
        <v>14</v>
      </c>
      <c r="M78" t="s">
        <v>681</v>
      </c>
      <c r="N78" s="5">
        <v>30822870</v>
      </c>
      <c r="O78" s="5">
        <v>70800</v>
      </c>
      <c r="P78" s="5">
        <v>13452</v>
      </c>
      <c r="Q78" s="5">
        <v>84252</v>
      </c>
    </row>
    <row r="79" spans="1:17" x14ac:dyDescent="0.25">
      <c r="A79" t="s">
        <v>505</v>
      </c>
      <c r="B79" t="s">
        <v>494</v>
      </c>
      <c r="C79">
        <v>61216000</v>
      </c>
      <c r="D79">
        <v>69</v>
      </c>
      <c r="E79">
        <v>30823045</v>
      </c>
      <c r="F79" t="s">
        <v>506</v>
      </c>
      <c r="G79" s="1">
        <v>45219</v>
      </c>
      <c r="H79">
        <v>5406957</v>
      </c>
      <c r="I79">
        <v>178</v>
      </c>
      <c r="J79" t="s">
        <v>303</v>
      </c>
      <c r="K79" s="8" t="s">
        <v>742</v>
      </c>
      <c r="L79" s="4" t="s">
        <v>14</v>
      </c>
      <c r="M79" t="s">
        <v>681</v>
      </c>
      <c r="N79" s="5">
        <v>30823045</v>
      </c>
      <c r="O79" s="5">
        <v>27533</v>
      </c>
      <c r="P79" s="5">
        <v>5231</v>
      </c>
      <c r="Q79" s="5">
        <v>32764</v>
      </c>
    </row>
    <row r="80" spans="1:17" x14ac:dyDescent="0.25">
      <c r="A80" t="s">
        <v>505</v>
      </c>
      <c r="B80" t="s">
        <v>494</v>
      </c>
      <c r="C80">
        <v>61216000</v>
      </c>
      <c r="D80">
        <v>86</v>
      </c>
      <c r="E80">
        <v>30822865</v>
      </c>
      <c r="F80" t="s">
        <v>506</v>
      </c>
      <c r="G80" s="1">
        <v>45219</v>
      </c>
      <c r="H80">
        <v>5406972</v>
      </c>
      <c r="I80">
        <v>178</v>
      </c>
      <c r="J80" t="s">
        <v>303</v>
      </c>
      <c r="K80" s="8" t="s">
        <v>742</v>
      </c>
      <c r="L80" s="4" t="s">
        <v>14</v>
      </c>
      <c r="M80" t="s">
        <v>681</v>
      </c>
      <c r="N80" s="5">
        <v>30822865</v>
      </c>
      <c r="O80" s="5">
        <v>40010</v>
      </c>
      <c r="P80" s="5">
        <v>7602</v>
      </c>
      <c r="Q80" s="5">
        <v>47612</v>
      </c>
    </row>
    <row r="81" spans="1:17" x14ac:dyDescent="0.25">
      <c r="A81" t="s">
        <v>505</v>
      </c>
      <c r="B81" t="s">
        <v>494</v>
      </c>
      <c r="C81">
        <v>61216000</v>
      </c>
      <c r="D81">
        <v>78</v>
      </c>
      <c r="E81">
        <v>30824920</v>
      </c>
      <c r="F81" t="s">
        <v>506</v>
      </c>
      <c r="G81" s="1">
        <v>45219</v>
      </c>
      <c r="H81">
        <v>5407160</v>
      </c>
      <c r="I81">
        <v>178</v>
      </c>
      <c r="J81" t="s">
        <v>303</v>
      </c>
      <c r="K81" s="8" t="s">
        <v>742</v>
      </c>
      <c r="L81" s="4" t="s">
        <v>14</v>
      </c>
      <c r="M81" t="s">
        <v>681</v>
      </c>
      <c r="N81" s="5">
        <v>30824920</v>
      </c>
      <c r="O81" s="5">
        <v>20784</v>
      </c>
      <c r="P81" s="5">
        <v>3949</v>
      </c>
      <c r="Q81" s="5">
        <v>24733</v>
      </c>
    </row>
    <row r="82" spans="1:17" x14ac:dyDescent="0.25">
      <c r="A82" t="s">
        <v>505</v>
      </c>
      <c r="B82" t="s">
        <v>494</v>
      </c>
      <c r="C82">
        <v>61216000</v>
      </c>
      <c r="D82">
        <v>49</v>
      </c>
      <c r="E82">
        <v>30824887</v>
      </c>
      <c r="F82" t="s">
        <v>506</v>
      </c>
      <c r="G82" s="1">
        <v>45219</v>
      </c>
      <c r="H82">
        <v>5407535</v>
      </c>
      <c r="I82">
        <v>178</v>
      </c>
      <c r="J82" t="s">
        <v>303</v>
      </c>
      <c r="K82" s="8" t="s">
        <v>742</v>
      </c>
      <c r="L82" s="4" t="s">
        <v>14</v>
      </c>
      <c r="M82" t="s">
        <v>681</v>
      </c>
      <c r="N82" s="5">
        <v>30824887</v>
      </c>
      <c r="O82" s="5">
        <v>34406</v>
      </c>
      <c r="P82" s="5">
        <v>6537</v>
      </c>
      <c r="Q82" s="5">
        <v>40943</v>
      </c>
    </row>
    <row r="83" spans="1:17" x14ac:dyDescent="0.25">
      <c r="A83" t="s">
        <v>505</v>
      </c>
      <c r="B83" t="s">
        <v>494</v>
      </c>
      <c r="C83">
        <v>61216000</v>
      </c>
      <c r="D83">
        <v>69</v>
      </c>
      <c r="E83">
        <v>30824922</v>
      </c>
      <c r="F83" t="s">
        <v>506</v>
      </c>
      <c r="G83" s="1">
        <v>45222</v>
      </c>
      <c r="H83">
        <v>5407593</v>
      </c>
      <c r="I83">
        <v>178</v>
      </c>
      <c r="J83" t="s">
        <v>303</v>
      </c>
      <c r="K83" s="8" t="s">
        <v>742</v>
      </c>
      <c r="L83" s="4" t="s">
        <v>14</v>
      </c>
      <c r="M83" t="s">
        <v>681</v>
      </c>
      <c r="N83" s="5">
        <v>30824922</v>
      </c>
      <c r="O83" s="5">
        <v>19617</v>
      </c>
      <c r="P83" s="5">
        <v>3727</v>
      </c>
      <c r="Q83" s="5">
        <v>23344</v>
      </c>
    </row>
    <row r="84" spans="1:17" x14ac:dyDescent="0.25">
      <c r="A84" t="s">
        <v>505</v>
      </c>
      <c r="B84" t="s">
        <v>494</v>
      </c>
      <c r="C84">
        <v>61216000</v>
      </c>
      <c r="D84">
        <v>49</v>
      </c>
      <c r="E84">
        <v>30824909</v>
      </c>
      <c r="F84" t="s">
        <v>506</v>
      </c>
      <c r="G84" s="1">
        <v>45222</v>
      </c>
      <c r="H84">
        <v>5407597</v>
      </c>
      <c r="I84">
        <v>178</v>
      </c>
      <c r="J84" t="s">
        <v>303</v>
      </c>
      <c r="K84" s="8" t="s">
        <v>742</v>
      </c>
      <c r="L84" s="4" t="s">
        <v>14</v>
      </c>
      <c r="M84" t="s">
        <v>681</v>
      </c>
      <c r="N84" s="5">
        <v>30824909</v>
      </c>
      <c r="O84" s="5">
        <v>32320</v>
      </c>
      <c r="P84" s="5">
        <v>6141</v>
      </c>
      <c r="Q84" s="5">
        <v>38461</v>
      </c>
    </row>
    <row r="85" spans="1:17" x14ac:dyDescent="0.25">
      <c r="A85" t="s">
        <v>505</v>
      </c>
      <c r="B85" t="s">
        <v>494</v>
      </c>
      <c r="C85">
        <v>61216000</v>
      </c>
      <c r="D85">
        <v>49</v>
      </c>
      <c r="E85">
        <v>30824899</v>
      </c>
      <c r="F85" t="s">
        <v>506</v>
      </c>
      <c r="G85" s="1">
        <v>45222</v>
      </c>
      <c r="H85">
        <v>5407667</v>
      </c>
      <c r="I85">
        <v>178</v>
      </c>
      <c r="J85" t="s">
        <v>303</v>
      </c>
      <c r="K85" s="8" t="s">
        <v>742</v>
      </c>
      <c r="L85" s="4" t="s">
        <v>14</v>
      </c>
      <c r="M85" t="s">
        <v>681</v>
      </c>
      <c r="N85" s="5">
        <v>30824899</v>
      </c>
      <c r="O85" s="5">
        <v>87153</v>
      </c>
      <c r="P85" s="5">
        <v>16559</v>
      </c>
      <c r="Q85" s="5">
        <v>103712</v>
      </c>
    </row>
    <row r="86" spans="1:17" x14ac:dyDescent="0.25">
      <c r="A86" t="s">
        <v>505</v>
      </c>
      <c r="B86" t="s">
        <v>494</v>
      </c>
      <c r="C86">
        <v>61216000</v>
      </c>
      <c r="D86">
        <v>12</v>
      </c>
      <c r="E86">
        <v>30834884</v>
      </c>
      <c r="F86" t="s">
        <v>506</v>
      </c>
      <c r="G86" s="1">
        <v>45225</v>
      </c>
      <c r="H86">
        <v>5409078</v>
      </c>
      <c r="I86">
        <v>178</v>
      </c>
      <c r="J86" t="s">
        <v>303</v>
      </c>
      <c r="K86" s="8" t="s">
        <v>742</v>
      </c>
      <c r="L86" s="4" t="s">
        <v>14</v>
      </c>
      <c r="M86" t="s">
        <v>681</v>
      </c>
      <c r="N86" s="5">
        <v>30834884</v>
      </c>
      <c r="O86" s="5">
        <v>45499</v>
      </c>
      <c r="P86" s="5">
        <v>8645</v>
      </c>
      <c r="Q86" s="5">
        <v>54144</v>
      </c>
    </row>
    <row r="87" spans="1:17" x14ac:dyDescent="0.25">
      <c r="A87" t="s">
        <v>505</v>
      </c>
      <c r="B87" t="s">
        <v>494</v>
      </c>
      <c r="C87">
        <v>61216000</v>
      </c>
      <c r="D87">
        <v>12</v>
      </c>
      <c r="E87">
        <v>30834879</v>
      </c>
      <c r="F87" t="s">
        <v>506</v>
      </c>
      <c r="G87" s="1">
        <v>45225</v>
      </c>
      <c r="H87">
        <v>5409103</v>
      </c>
      <c r="I87">
        <v>178</v>
      </c>
      <c r="J87" t="s">
        <v>303</v>
      </c>
      <c r="K87" s="8" t="s">
        <v>742</v>
      </c>
      <c r="L87" s="4" t="s">
        <v>14</v>
      </c>
      <c r="M87" t="s">
        <v>681</v>
      </c>
      <c r="N87" s="5">
        <v>30834879</v>
      </c>
      <c r="O87" s="5">
        <v>21240</v>
      </c>
      <c r="P87" s="5">
        <v>4036</v>
      </c>
      <c r="Q87" s="5">
        <v>25276</v>
      </c>
    </row>
    <row r="88" spans="1:17" x14ac:dyDescent="0.25">
      <c r="A88" t="s">
        <v>505</v>
      </c>
      <c r="B88" t="s">
        <v>494</v>
      </c>
      <c r="C88">
        <v>61216000</v>
      </c>
      <c r="D88">
        <v>95</v>
      </c>
      <c r="E88">
        <v>30834887</v>
      </c>
      <c r="F88" t="s">
        <v>506</v>
      </c>
      <c r="G88" s="1">
        <v>45225</v>
      </c>
      <c r="H88">
        <v>5409125</v>
      </c>
      <c r="I88">
        <v>178</v>
      </c>
      <c r="J88" t="s">
        <v>303</v>
      </c>
      <c r="K88" s="8" t="s">
        <v>742</v>
      </c>
      <c r="L88" s="4" t="s">
        <v>14</v>
      </c>
      <c r="M88" t="s">
        <v>681</v>
      </c>
      <c r="N88" s="5">
        <v>30834887</v>
      </c>
      <c r="O88" s="5">
        <v>75048</v>
      </c>
      <c r="P88" s="5">
        <v>14259</v>
      </c>
      <c r="Q88" s="5">
        <v>89307</v>
      </c>
    </row>
    <row r="89" spans="1:17" x14ac:dyDescent="0.25">
      <c r="A89" t="s">
        <v>505</v>
      </c>
      <c r="B89" t="s">
        <v>494</v>
      </c>
      <c r="C89">
        <v>61216000</v>
      </c>
      <c r="D89">
        <v>50</v>
      </c>
      <c r="E89">
        <v>30834905</v>
      </c>
      <c r="F89" t="s">
        <v>506</v>
      </c>
      <c r="G89" s="1">
        <v>45225</v>
      </c>
      <c r="H89">
        <v>5409205</v>
      </c>
      <c r="I89">
        <v>178</v>
      </c>
      <c r="J89" t="s">
        <v>303</v>
      </c>
      <c r="K89" s="8" t="s">
        <v>742</v>
      </c>
      <c r="L89" s="4" t="s">
        <v>14</v>
      </c>
      <c r="M89" t="s">
        <v>681</v>
      </c>
      <c r="N89" s="5">
        <v>30834905</v>
      </c>
      <c r="O89" s="5">
        <v>29734</v>
      </c>
      <c r="P89" s="5">
        <v>5649</v>
      </c>
      <c r="Q89" s="5">
        <v>35383</v>
      </c>
    </row>
    <row r="90" spans="1:17" x14ac:dyDescent="0.25">
      <c r="A90" t="s">
        <v>505</v>
      </c>
      <c r="B90" t="s">
        <v>494</v>
      </c>
      <c r="C90">
        <v>61216000</v>
      </c>
      <c r="D90">
        <v>64</v>
      </c>
      <c r="E90">
        <v>30838804</v>
      </c>
      <c r="F90" t="s">
        <v>506</v>
      </c>
      <c r="G90" s="1">
        <v>45229</v>
      </c>
      <c r="H90">
        <v>5409899</v>
      </c>
      <c r="I90">
        <v>178</v>
      </c>
      <c r="J90" t="s">
        <v>303</v>
      </c>
      <c r="K90" s="8" t="s">
        <v>742</v>
      </c>
      <c r="L90" s="4" t="s">
        <v>14</v>
      </c>
      <c r="M90" t="s">
        <v>681</v>
      </c>
      <c r="N90" s="5">
        <v>30838804</v>
      </c>
      <c r="O90" s="5">
        <v>36046</v>
      </c>
      <c r="P90" s="5">
        <v>6849</v>
      </c>
      <c r="Q90" s="5">
        <v>42895</v>
      </c>
    </row>
    <row r="91" spans="1:17" x14ac:dyDescent="0.25">
      <c r="F91" t="s">
        <v>762</v>
      </c>
      <c r="K91" t="s">
        <v>681</v>
      </c>
      <c r="L91" s="4"/>
      <c r="M91" t="s">
        <v>681</v>
      </c>
      <c r="N91" s="5"/>
      <c r="O91" s="5">
        <v>3548000</v>
      </c>
      <c r="P91" s="5">
        <v>674118</v>
      </c>
      <c r="Q91" s="5">
        <v>4232704</v>
      </c>
    </row>
    <row r="92" spans="1:17" x14ac:dyDescent="0.25">
      <c r="A92" t="s">
        <v>496</v>
      </c>
      <c r="B92" t="s">
        <v>494</v>
      </c>
      <c r="C92">
        <v>61808000</v>
      </c>
      <c r="D92">
        <v>22</v>
      </c>
      <c r="E92">
        <v>4000205487</v>
      </c>
      <c r="F92" t="s">
        <v>685</v>
      </c>
      <c r="G92" s="1">
        <v>45230</v>
      </c>
      <c r="H92">
        <v>5410315</v>
      </c>
      <c r="I92">
        <v>50</v>
      </c>
      <c r="J92" t="s">
        <v>376</v>
      </c>
      <c r="K92" s="8" t="s">
        <v>742</v>
      </c>
      <c r="L92" s="4"/>
      <c r="M92" t="s">
        <v>681</v>
      </c>
      <c r="N92" s="5">
        <v>30842161</v>
      </c>
      <c r="O92" s="5">
        <v>103221</v>
      </c>
      <c r="P92" s="5">
        <v>19612</v>
      </c>
      <c r="Q92" s="5">
        <v>122833</v>
      </c>
    </row>
    <row r="93" spans="1:17" x14ac:dyDescent="0.25">
      <c r="F93" t="s">
        <v>495</v>
      </c>
      <c r="K93" t="s">
        <v>681</v>
      </c>
      <c r="L93" s="4"/>
      <c r="M93" t="s">
        <v>681</v>
      </c>
      <c r="N93" s="5"/>
      <c r="O93" s="5">
        <v>103221</v>
      </c>
      <c r="P93" s="5">
        <v>19612</v>
      </c>
      <c r="Q93" s="5">
        <v>122833</v>
      </c>
    </row>
    <row r="94" spans="1:17" x14ac:dyDescent="0.25">
      <c r="A94" t="s">
        <v>503</v>
      </c>
      <c r="B94" t="s">
        <v>494</v>
      </c>
      <c r="C94">
        <v>69070300</v>
      </c>
      <c r="D94">
        <v>10</v>
      </c>
      <c r="E94" t="s">
        <v>515</v>
      </c>
      <c r="F94" t="s">
        <v>516</v>
      </c>
      <c r="G94" s="1">
        <v>45201</v>
      </c>
      <c r="H94">
        <v>5395083</v>
      </c>
      <c r="I94">
        <v>378</v>
      </c>
      <c r="J94" t="s">
        <v>466</v>
      </c>
      <c r="K94" s="8" t="s">
        <v>742</v>
      </c>
      <c r="L94" s="4"/>
      <c r="M94" t="s">
        <v>681</v>
      </c>
      <c r="N94" s="5">
        <v>30675697</v>
      </c>
      <c r="O94" s="5">
        <v>194072</v>
      </c>
      <c r="P94" s="5">
        <v>36874</v>
      </c>
      <c r="Q94" s="5">
        <v>230946</v>
      </c>
    </row>
    <row r="95" spans="1:17" x14ac:dyDescent="0.25">
      <c r="A95" t="s">
        <v>503</v>
      </c>
      <c r="B95" t="s">
        <v>494</v>
      </c>
      <c r="C95">
        <v>69070300</v>
      </c>
      <c r="D95">
        <v>6</v>
      </c>
      <c r="E95" t="s">
        <v>686</v>
      </c>
      <c r="F95" t="s">
        <v>516</v>
      </c>
      <c r="G95" s="1">
        <v>45216</v>
      </c>
      <c r="H95">
        <v>5405425</v>
      </c>
      <c r="I95">
        <v>378</v>
      </c>
      <c r="J95" t="s">
        <v>466</v>
      </c>
      <c r="K95" s="8" t="s">
        <v>742</v>
      </c>
      <c r="L95" s="4"/>
      <c r="M95" t="s">
        <v>681</v>
      </c>
      <c r="N95" s="5">
        <v>30779462</v>
      </c>
      <c r="O95" s="5">
        <v>54910</v>
      </c>
      <c r="P95" s="5">
        <v>10433</v>
      </c>
      <c r="Q95" s="5">
        <v>65343</v>
      </c>
    </row>
    <row r="96" spans="1:17" x14ac:dyDescent="0.25">
      <c r="F96" t="s">
        <v>497</v>
      </c>
      <c r="K96" t="s">
        <v>681</v>
      </c>
      <c r="L96" s="4"/>
      <c r="M96" t="s">
        <v>681</v>
      </c>
      <c r="N96" s="5"/>
      <c r="O96" s="5">
        <v>248982</v>
      </c>
      <c r="P96" s="5">
        <v>47307</v>
      </c>
      <c r="Q96" s="5">
        <v>296289</v>
      </c>
    </row>
    <row r="97" spans="1:17" x14ac:dyDescent="0.25">
      <c r="A97" t="s">
        <v>763</v>
      </c>
      <c r="B97" t="s">
        <v>494</v>
      </c>
      <c r="C97">
        <v>70285100</v>
      </c>
      <c r="D97">
        <v>752</v>
      </c>
      <c r="E97">
        <v>4540144822</v>
      </c>
      <c r="F97" t="s">
        <v>519</v>
      </c>
      <c r="G97" s="1">
        <v>45201</v>
      </c>
      <c r="H97">
        <v>5394680</v>
      </c>
      <c r="I97">
        <v>96</v>
      </c>
      <c r="J97" t="s">
        <v>140</v>
      </c>
      <c r="K97" s="7" t="s">
        <v>743</v>
      </c>
      <c r="L97" s="4" t="s">
        <v>30</v>
      </c>
      <c r="M97">
        <v>5001959358</v>
      </c>
      <c r="N97" s="5">
        <v>30695666</v>
      </c>
      <c r="O97" s="5">
        <v>49066</v>
      </c>
      <c r="P97" s="5">
        <v>9323</v>
      </c>
      <c r="Q97" s="5">
        <v>58389</v>
      </c>
    </row>
    <row r="98" spans="1:17" x14ac:dyDescent="0.25">
      <c r="A98" t="s">
        <v>763</v>
      </c>
      <c r="B98" t="s">
        <v>494</v>
      </c>
      <c r="C98">
        <v>70285100</v>
      </c>
      <c r="D98">
        <v>299</v>
      </c>
      <c r="E98">
        <v>4540145379</v>
      </c>
      <c r="F98" t="s">
        <v>519</v>
      </c>
      <c r="G98" s="1">
        <v>45201</v>
      </c>
      <c r="H98">
        <v>5394913</v>
      </c>
      <c r="I98">
        <v>96</v>
      </c>
      <c r="J98" t="s">
        <v>140</v>
      </c>
      <c r="K98" s="7" t="s">
        <v>743</v>
      </c>
      <c r="L98" s="4" t="s">
        <v>30</v>
      </c>
      <c r="M98">
        <v>5001966777</v>
      </c>
      <c r="N98" s="5">
        <v>30762673</v>
      </c>
      <c r="O98" s="5">
        <v>76522</v>
      </c>
      <c r="P98" s="5">
        <v>14539</v>
      </c>
      <c r="Q98" s="5">
        <v>91061</v>
      </c>
    </row>
    <row r="99" spans="1:17" x14ac:dyDescent="0.25">
      <c r="A99" t="s">
        <v>763</v>
      </c>
      <c r="B99" t="s">
        <v>494</v>
      </c>
      <c r="C99">
        <v>70285100</v>
      </c>
      <c r="D99">
        <v>752</v>
      </c>
      <c r="E99">
        <v>4540145380</v>
      </c>
      <c r="F99" t="s">
        <v>519</v>
      </c>
      <c r="G99" s="1">
        <v>45201</v>
      </c>
      <c r="H99">
        <v>5394956</v>
      </c>
      <c r="I99">
        <v>96</v>
      </c>
      <c r="J99" t="s">
        <v>140</v>
      </c>
      <c r="K99" s="7" t="s">
        <v>743</v>
      </c>
      <c r="L99" s="4" t="s">
        <v>30</v>
      </c>
      <c r="M99">
        <v>5001966775</v>
      </c>
      <c r="N99" s="5">
        <v>30762681</v>
      </c>
      <c r="O99" s="5">
        <v>30496</v>
      </c>
      <c r="P99" s="5">
        <v>5794</v>
      </c>
      <c r="Q99" s="5">
        <v>36290</v>
      </c>
    </row>
    <row r="100" spans="1:17" x14ac:dyDescent="0.25">
      <c r="A100" t="s">
        <v>763</v>
      </c>
      <c r="B100" t="s">
        <v>494</v>
      </c>
      <c r="C100">
        <v>70285100</v>
      </c>
      <c r="D100">
        <v>639</v>
      </c>
      <c r="E100">
        <v>4540145249</v>
      </c>
      <c r="F100" t="s">
        <v>519</v>
      </c>
      <c r="G100" s="1">
        <v>45201</v>
      </c>
      <c r="H100">
        <v>5394988</v>
      </c>
      <c r="I100">
        <v>18</v>
      </c>
      <c r="J100" t="s">
        <v>168</v>
      </c>
      <c r="K100" s="7" t="s">
        <v>743</v>
      </c>
      <c r="L100" s="4" t="s">
        <v>30</v>
      </c>
      <c r="M100">
        <v>5001970213</v>
      </c>
      <c r="N100" s="5">
        <v>30749223</v>
      </c>
      <c r="O100" s="5">
        <v>21326</v>
      </c>
      <c r="P100" s="5">
        <v>4052</v>
      </c>
      <c r="Q100" s="5">
        <v>25378</v>
      </c>
    </row>
    <row r="101" spans="1:17" x14ac:dyDescent="0.25">
      <c r="A101" t="s">
        <v>763</v>
      </c>
      <c r="B101" t="s">
        <v>494</v>
      </c>
      <c r="C101">
        <v>70285100</v>
      </c>
      <c r="D101">
        <v>0</v>
      </c>
      <c r="E101">
        <v>4540144934</v>
      </c>
      <c r="F101" t="s">
        <v>519</v>
      </c>
      <c r="G101" s="1">
        <v>45202</v>
      </c>
      <c r="H101">
        <v>5395664</v>
      </c>
      <c r="I101">
        <v>96</v>
      </c>
      <c r="J101" t="s">
        <v>140</v>
      </c>
      <c r="K101" s="7" t="s">
        <v>743</v>
      </c>
      <c r="L101" s="4" t="s">
        <v>30</v>
      </c>
      <c r="M101">
        <v>5001967844</v>
      </c>
      <c r="N101" s="5">
        <v>30771858</v>
      </c>
      <c r="O101" s="5">
        <v>10820</v>
      </c>
      <c r="P101" s="5">
        <v>2056</v>
      </c>
      <c r="Q101" s="5">
        <v>12876</v>
      </c>
    </row>
    <row r="102" spans="1:17" x14ac:dyDescent="0.25">
      <c r="A102" t="s">
        <v>763</v>
      </c>
      <c r="B102" t="s">
        <v>494</v>
      </c>
      <c r="C102">
        <v>70285100</v>
      </c>
      <c r="D102">
        <v>425</v>
      </c>
      <c r="E102">
        <v>4520233189</v>
      </c>
      <c r="F102" t="s">
        <v>519</v>
      </c>
      <c r="G102" s="1">
        <v>45204</v>
      </c>
      <c r="H102">
        <v>5398314</v>
      </c>
      <c r="I102">
        <v>96</v>
      </c>
      <c r="J102" t="s">
        <v>140</v>
      </c>
      <c r="K102" s="7" t="s">
        <v>743</v>
      </c>
      <c r="L102" s="4" t="s">
        <v>30</v>
      </c>
      <c r="M102">
        <v>5001971446</v>
      </c>
      <c r="N102" s="5">
        <v>30772978</v>
      </c>
      <c r="O102" s="5">
        <v>83064</v>
      </c>
      <c r="P102" s="5">
        <v>15782</v>
      </c>
      <c r="Q102" s="5">
        <v>98846</v>
      </c>
    </row>
    <row r="103" spans="1:17" x14ac:dyDescent="0.25">
      <c r="A103" t="s">
        <v>763</v>
      </c>
      <c r="B103" t="s">
        <v>494</v>
      </c>
      <c r="C103">
        <v>70285100</v>
      </c>
      <c r="D103">
        <v>672</v>
      </c>
      <c r="E103">
        <v>4561380770</v>
      </c>
      <c r="F103" t="s">
        <v>519</v>
      </c>
      <c r="G103" s="1">
        <v>45206</v>
      </c>
      <c r="H103">
        <v>5399019</v>
      </c>
      <c r="I103">
        <v>96</v>
      </c>
      <c r="J103" t="s">
        <v>140</v>
      </c>
      <c r="K103" s="7" t="s">
        <v>743</v>
      </c>
      <c r="L103" s="4" t="s">
        <v>30</v>
      </c>
      <c r="M103">
        <v>5001968004</v>
      </c>
      <c r="N103" s="5">
        <v>30750472</v>
      </c>
      <c r="O103" s="5">
        <v>474177</v>
      </c>
      <c r="P103" s="5">
        <v>90094</v>
      </c>
      <c r="Q103" s="5">
        <v>564271</v>
      </c>
    </row>
    <row r="104" spans="1:17" x14ac:dyDescent="0.25">
      <c r="A104" t="s">
        <v>763</v>
      </c>
      <c r="B104" t="s">
        <v>494</v>
      </c>
      <c r="C104">
        <v>70285100</v>
      </c>
      <c r="D104">
        <v>639</v>
      </c>
      <c r="E104">
        <v>4540145340</v>
      </c>
      <c r="F104" t="s">
        <v>519</v>
      </c>
      <c r="G104" s="1">
        <v>45206</v>
      </c>
      <c r="H104">
        <v>5399113</v>
      </c>
      <c r="I104">
        <v>18</v>
      </c>
      <c r="J104" t="s">
        <v>168</v>
      </c>
      <c r="K104" s="7" t="s">
        <v>743</v>
      </c>
      <c r="L104" s="4" t="s">
        <v>30</v>
      </c>
      <c r="M104">
        <v>5001970214</v>
      </c>
      <c r="N104" s="5">
        <v>30756098</v>
      </c>
      <c r="O104" s="5">
        <v>42526</v>
      </c>
      <c r="P104" s="5">
        <v>8080</v>
      </c>
      <c r="Q104" s="5">
        <v>50606</v>
      </c>
    </row>
    <row r="105" spans="1:17" x14ac:dyDescent="0.25">
      <c r="A105" t="s">
        <v>763</v>
      </c>
      <c r="B105" t="s">
        <v>494</v>
      </c>
      <c r="C105">
        <v>70285100</v>
      </c>
      <c r="D105">
        <v>658</v>
      </c>
      <c r="E105">
        <v>4520233169</v>
      </c>
      <c r="F105" t="s">
        <v>519</v>
      </c>
      <c r="G105" s="1">
        <v>45209</v>
      </c>
      <c r="H105">
        <v>5399361</v>
      </c>
      <c r="I105">
        <v>96</v>
      </c>
      <c r="J105" t="s">
        <v>140</v>
      </c>
      <c r="K105" s="7" t="s">
        <v>743</v>
      </c>
      <c r="L105" s="4" t="s">
        <v>30</v>
      </c>
      <c r="M105">
        <v>5001967916</v>
      </c>
      <c r="N105" s="5">
        <v>30786787</v>
      </c>
      <c r="O105" s="5">
        <v>231500</v>
      </c>
      <c r="P105" s="5">
        <v>43985</v>
      </c>
      <c r="Q105" s="5">
        <v>275485</v>
      </c>
    </row>
    <row r="106" spans="1:17" x14ac:dyDescent="0.25">
      <c r="A106" t="s">
        <v>763</v>
      </c>
      <c r="B106" t="s">
        <v>494</v>
      </c>
      <c r="C106">
        <v>70285100</v>
      </c>
      <c r="D106">
        <v>512</v>
      </c>
      <c r="E106">
        <v>4561380747</v>
      </c>
      <c r="F106" t="s">
        <v>519</v>
      </c>
      <c r="G106" s="1">
        <v>45206</v>
      </c>
      <c r="H106">
        <v>5399664</v>
      </c>
      <c r="I106">
        <v>96</v>
      </c>
      <c r="J106" t="s">
        <v>140</v>
      </c>
      <c r="K106" s="7" t="s">
        <v>743</v>
      </c>
      <c r="L106" s="4" t="s">
        <v>30</v>
      </c>
      <c r="M106">
        <v>5001967088</v>
      </c>
      <c r="N106" s="5">
        <v>30786024</v>
      </c>
      <c r="O106" s="5">
        <v>17540</v>
      </c>
      <c r="P106" s="5">
        <v>3333</v>
      </c>
      <c r="Q106" s="5">
        <v>20873</v>
      </c>
    </row>
    <row r="107" spans="1:17" x14ac:dyDescent="0.25">
      <c r="A107" t="s">
        <v>763</v>
      </c>
      <c r="B107" t="s">
        <v>494</v>
      </c>
      <c r="C107">
        <v>70285100</v>
      </c>
      <c r="D107">
        <v>570</v>
      </c>
      <c r="E107">
        <v>4520232150</v>
      </c>
      <c r="F107" t="s">
        <v>519</v>
      </c>
      <c r="G107" s="1">
        <v>45209</v>
      </c>
      <c r="H107">
        <v>5400048</v>
      </c>
      <c r="I107">
        <v>96</v>
      </c>
      <c r="J107" t="s">
        <v>140</v>
      </c>
      <c r="K107" s="7" t="s">
        <v>743</v>
      </c>
      <c r="L107" s="4" t="s">
        <v>30</v>
      </c>
      <c r="M107">
        <v>5001960587</v>
      </c>
      <c r="N107" s="5">
        <v>30789607</v>
      </c>
      <c r="O107" s="5">
        <v>59750</v>
      </c>
      <c r="P107" s="5">
        <v>11353</v>
      </c>
      <c r="Q107" s="5">
        <v>71103</v>
      </c>
    </row>
    <row r="108" spans="1:17" x14ac:dyDescent="0.25">
      <c r="A108" t="s">
        <v>763</v>
      </c>
      <c r="B108" t="s">
        <v>494</v>
      </c>
      <c r="C108">
        <v>70285100</v>
      </c>
      <c r="D108">
        <v>639</v>
      </c>
      <c r="E108">
        <v>4540145455</v>
      </c>
      <c r="F108" t="s">
        <v>519</v>
      </c>
      <c r="G108" s="1">
        <v>45206</v>
      </c>
      <c r="H108">
        <v>5400131</v>
      </c>
      <c r="I108">
        <v>96</v>
      </c>
      <c r="J108" t="s">
        <v>140</v>
      </c>
      <c r="K108" s="7" t="s">
        <v>743</v>
      </c>
      <c r="L108" s="4" t="s">
        <v>30</v>
      </c>
      <c r="M108">
        <v>5001970617</v>
      </c>
      <c r="N108" s="5">
        <v>30789465</v>
      </c>
      <c r="O108" s="5">
        <v>155998</v>
      </c>
      <c r="P108" s="5">
        <v>29640</v>
      </c>
      <c r="Q108" s="5">
        <v>185638</v>
      </c>
    </row>
    <row r="109" spans="1:17" x14ac:dyDescent="0.25">
      <c r="A109" t="s">
        <v>763</v>
      </c>
      <c r="B109" t="s">
        <v>494</v>
      </c>
      <c r="C109">
        <v>70285100</v>
      </c>
      <c r="D109">
        <v>274</v>
      </c>
      <c r="E109">
        <v>4520233288</v>
      </c>
      <c r="F109" t="s">
        <v>519</v>
      </c>
      <c r="G109" s="1">
        <v>45209</v>
      </c>
      <c r="H109">
        <v>5400435</v>
      </c>
      <c r="I109">
        <v>96</v>
      </c>
      <c r="J109" t="s">
        <v>140</v>
      </c>
      <c r="K109" s="7" t="s">
        <v>743</v>
      </c>
      <c r="L109" s="4" t="s">
        <v>30</v>
      </c>
      <c r="M109">
        <v>5001971446</v>
      </c>
      <c r="N109" s="5">
        <v>30789435</v>
      </c>
      <c r="O109" s="5">
        <v>28200</v>
      </c>
      <c r="P109" s="5">
        <v>5358</v>
      </c>
      <c r="Q109" s="5">
        <v>33558</v>
      </c>
    </row>
    <row r="110" spans="1:17" x14ac:dyDescent="0.25">
      <c r="A110" t="s">
        <v>763</v>
      </c>
      <c r="B110" t="s">
        <v>494</v>
      </c>
      <c r="C110">
        <v>70285100</v>
      </c>
      <c r="D110">
        <v>772</v>
      </c>
      <c r="E110">
        <v>4561383190</v>
      </c>
      <c r="F110" t="s">
        <v>519</v>
      </c>
      <c r="G110" s="1">
        <v>45209</v>
      </c>
      <c r="H110">
        <v>5400712</v>
      </c>
      <c r="I110">
        <v>96</v>
      </c>
      <c r="J110" t="s">
        <v>140</v>
      </c>
      <c r="K110" s="7" t="s">
        <v>743</v>
      </c>
      <c r="L110" s="4" t="s">
        <v>30</v>
      </c>
      <c r="M110">
        <v>5001968551</v>
      </c>
      <c r="N110" s="5">
        <v>30783269</v>
      </c>
      <c r="O110" s="5">
        <v>105648</v>
      </c>
      <c r="P110" s="5">
        <v>20073</v>
      </c>
      <c r="Q110" s="5">
        <v>125721</v>
      </c>
    </row>
    <row r="111" spans="1:17" x14ac:dyDescent="0.25">
      <c r="A111" t="s">
        <v>763</v>
      </c>
      <c r="B111" t="s">
        <v>494</v>
      </c>
      <c r="C111">
        <v>70285100</v>
      </c>
      <c r="D111">
        <v>772</v>
      </c>
      <c r="E111">
        <v>4561383114</v>
      </c>
      <c r="F111" t="s">
        <v>519</v>
      </c>
      <c r="G111" s="1">
        <v>45210</v>
      </c>
      <c r="H111">
        <v>5401574</v>
      </c>
      <c r="I111">
        <v>96</v>
      </c>
      <c r="J111" t="s">
        <v>140</v>
      </c>
      <c r="K111" s="7" t="s">
        <v>743</v>
      </c>
      <c r="L111" s="4" t="s">
        <v>30</v>
      </c>
      <c r="M111">
        <v>5001968552</v>
      </c>
      <c r="N111" s="5">
        <v>30783260</v>
      </c>
      <c r="O111" s="5">
        <v>88344</v>
      </c>
      <c r="P111" s="5">
        <v>16785</v>
      </c>
      <c r="Q111" s="5">
        <v>105129</v>
      </c>
    </row>
    <row r="112" spans="1:17" x14ac:dyDescent="0.25">
      <c r="A112" t="s">
        <v>763</v>
      </c>
      <c r="B112" t="s">
        <v>494</v>
      </c>
      <c r="C112">
        <v>70285100</v>
      </c>
      <c r="D112">
        <v>772</v>
      </c>
      <c r="E112">
        <v>4561383188</v>
      </c>
      <c r="F112" t="s">
        <v>519</v>
      </c>
      <c r="G112" s="1">
        <v>45210</v>
      </c>
      <c r="H112">
        <v>5401577</v>
      </c>
      <c r="I112">
        <v>96</v>
      </c>
      <c r="J112" t="s">
        <v>140</v>
      </c>
      <c r="K112" s="7" t="s">
        <v>743</v>
      </c>
      <c r="L112" s="4" t="s">
        <v>30</v>
      </c>
      <c r="M112">
        <v>5001968550</v>
      </c>
      <c r="N112" s="5">
        <v>30783119</v>
      </c>
      <c r="O112" s="5">
        <v>91616</v>
      </c>
      <c r="P112" s="5">
        <v>17407</v>
      </c>
      <c r="Q112" s="5">
        <v>109023</v>
      </c>
    </row>
    <row r="113" spans="1:17" x14ac:dyDescent="0.25">
      <c r="A113" t="s">
        <v>763</v>
      </c>
      <c r="B113" t="s">
        <v>494</v>
      </c>
      <c r="C113">
        <v>70285100</v>
      </c>
      <c r="D113">
        <v>772</v>
      </c>
      <c r="E113">
        <v>4561383192</v>
      </c>
      <c r="F113" t="s">
        <v>519</v>
      </c>
      <c r="G113" s="1">
        <v>45210</v>
      </c>
      <c r="H113">
        <v>5401578</v>
      </c>
      <c r="I113">
        <v>96</v>
      </c>
      <c r="J113" t="s">
        <v>140</v>
      </c>
      <c r="K113" s="7" t="s">
        <v>743</v>
      </c>
      <c r="L113" s="4" t="s">
        <v>30</v>
      </c>
      <c r="M113">
        <v>5001968459</v>
      </c>
      <c r="N113" s="5">
        <v>30783131</v>
      </c>
      <c r="O113" s="5">
        <v>74660</v>
      </c>
      <c r="P113" s="5">
        <v>14185</v>
      </c>
      <c r="Q113" s="5">
        <v>88845</v>
      </c>
    </row>
    <row r="114" spans="1:17" x14ac:dyDescent="0.25">
      <c r="A114" t="s">
        <v>763</v>
      </c>
      <c r="B114" t="s">
        <v>494</v>
      </c>
      <c r="C114">
        <v>70285100</v>
      </c>
      <c r="D114">
        <v>263</v>
      </c>
      <c r="E114">
        <v>30685448</v>
      </c>
      <c r="F114" t="s">
        <v>519</v>
      </c>
      <c r="G114" s="1">
        <v>45224</v>
      </c>
      <c r="H114">
        <v>5402245</v>
      </c>
      <c r="I114">
        <v>96</v>
      </c>
      <c r="J114" t="s">
        <v>140</v>
      </c>
      <c r="K114" s="7" t="s">
        <v>743</v>
      </c>
      <c r="L114" s="4" t="s">
        <v>30</v>
      </c>
      <c r="M114">
        <v>30685448</v>
      </c>
      <c r="N114" s="5">
        <v>30823856</v>
      </c>
      <c r="O114" s="5">
        <v>50529</v>
      </c>
      <c r="P114" s="5">
        <v>9601</v>
      </c>
      <c r="Q114" s="5">
        <v>60130</v>
      </c>
    </row>
    <row r="115" spans="1:17" x14ac:dyDescent="0.25">
      <c r="A115" t="s">
        <v>763</v>
      </c>
      <c r="B115" t="s">
        <v>494</v>
      </c>
      <c r="C115">
        <v>70285100</v>
      </c>
      <c r="D115">
        <v>0</v>
      </c>
      <c r="E115">
        <v>4561384041</v>
      </c>
      <c r="F115" t="s">
        <v>519</v>
      </c>
      <c r="G115" s="1">
        <v>45212</v>
      </c>
      <c r="H115">
        <v>5403297</v>
      </c>
      <c r="I115">
        <v>96</v>
      </c>
      <c r="J115" t="s">
        <v>140</v>
      </c>
      <c r="K115" s="7" t="s">
        <v>743</v>
      </c>
      <c r="L115" s="4" t="s">
        <v>30</v>
      </c>
      <c r="M115">
        <v>5001973844</v>
      </c>
      <c r="N115" s="5">
        <v>30800317</v>
      </c>
      <c r="O115" s="5">
        <v>252261</v>
      </c>
      <c r="P115" s="5">
        <v>47930</v>
      </c>
      <c r="Q115" s="5">
        <v>300191</v>
      </c>
    </row>
    <row r="116" spans="1:17" x14ac:dyDescent="0.25">
      <c r="A116" t="s">
        <v>763</v>
      </c>
      <c r="B116" t="s">
        <v>494</v>
      </c>
      <c r="C116">
        <v>70285100</v>
      </c>
      <c r="D116">
        <v>446</v>
      </c>
      <c r="E116">
        <v>4520232289</v>
      </c>
      <c r="F116" t="s">
        <v>519</v>
      </c>
      <c r="G116" s="1">
        <v>45213</v>
      </c>
      <c r="H116">
        <v>5403851</v>
      </c>
      <c r="I116">
        <v>96</v>
      </c>
      <c r="J116" t="s">
        <v>140</v>
      </c>
      <c r="K116" s="7" t="s">
        <v>743</v>
      </c>
      <c r="L116" s="4" t="s">
        <v>30</v>
      </c>
      <c r="M116">
        <v>5001971446</v>
      </c>
      <c r="N116" s="5">
        <v>30803709</v>
      </c>
      <c r="O116" s="5">
        <v>450000</v>
      </c>
      <c r="P116" s="5">
        <v>85500</v>
      </c>
      <c r="Q116" s="5">
        <v>535500</v>
      </c>
    </row>
    <row r="117" spans="1:17" x14ac:dyDescent="0.25">
      <c r="A117" t="s">
        <v>763</v>
      </c>
      <c r="B117" t="s">
        <v>494</v>
      </c>
      <c r="C117">
        <v>70285100</v>
      </c>
      <c r="D117">
        <v>639</v>
      </c>
      <c r="E117">
        <v>4540145502</v>
      </c>
      <c r="F117" t="s">
        <v>519</v>
      </c>
      <c r="G117" s="1">
        <v>45213</v>
      </c>
      <c r="H117">
        <v>5403905</v>
      </c>
      <c r="I117">
        <v>96</v>
      </c>
      <c r="J117" t="s">
        <v>140</v>
      </c>
      <c r="K117" s="7" t="s">
        <v>743</v>
      </c>
      <c r="L117" s="4" t="s">
        <v>30</v>
      </c>
      <c r="M117">
        <v>5001970732</v>
      </c>
      <c r="N117" s="5">
        <v>30803656</v>
      </c>
      <c r="O117" s="5">
        <v>155998</v>
      </c>
      <c r="P117" s="5">
        <v>29640</v>
      </c>
      <c r="Q117" s="5">
        <v>185638</v>
      </c>
    </row>
    <row r="118" spans="1:17" x14ac:dyDescent="0.25">
      <c r="A118" t="s">
        <v>763</v>
      </c>
      <c r="B118" t="s">
        <v>494</v>
      </c>
      <c r="C118">
        <v>70285100</v>
      </c>
      <c r="D118">
        <v>155</v>
      </c>
      <c r="E118">
        <v>4561384255</v>
      </c>
      <c r="F118" t="s">
        <v>519</v>
      </c>
      <c r="G118" s="1">
        <v>45213</v>
      </c>
      <c r="H118">
        <v>5405045</v>
      </c>
      <c r="I118">
        <v>96</v>
      </c>
      <c r="J118" t="s">
        <v>140</v>
      </c>
      <c r="K118" s="8" t="s">
        <v>742</v>
      </c>
      <c r="L118" s="4" t="s">
        <v>30</v>
      </c>
      <c r="M118" t="s">
        <v>681</v>
      </c>
      <c r="N118" s="5">
        <v>30800305</v>
      </c>
      <c r="O118" s="5">
        <v>27540</v>
      </c>
      <c r="P118" s="5">
        <v>5233</v>
      </c>
      <c r="Q118" s="5">
        <v>32773</v>
      </c>
    </row>
    <row r="119" spans="1:17" x14ac:dyDescent="0.25">
      <c r="A119" t="s">
        <v>763</v>
      </c>
      <c r="B119" t="s">
        <v>494</v>
      </c>
      <c r="C119">
        <v>70285100</v>
      </c>
      <c r="D119">
        <v>0</v>
      </c>
      <c r="E119">
        <v>4520233489</v>
      </c>
      <c r="F119" t="s">
        <v>519</v>
      </c>
      <c r="G119" s="1">
        <v>45215</v>
      </c>
      <c r="H119">
        <v>5405237</v>
      </c>
      <c r="I119">
        <v>96</v>
      </c>
      <c r="J119" t="s">
        <v>140</v>
      </c>
      <c r="K119" s="7" t="s">
        <v>743</v>
      </c>
      <c r="L119" s="4" t="s">
        <v>30</v>
      </c>
      <c r="M119">
        <v>5001970764</v>
      </c>
      <c r="N119" s="5">
        <v>30810781</v>
      </c>
      <c r="O119" s="5">
        <v>78450</v>
      </c>
      <c r="P119" s="5">
        <v>14906</v>
      </c>
      <c r="Q119" s="5">
        <v>93356</v>
      </c>
    </row>
    <row r="120" spans="1:17" x14ac:dyDescent="0.25">
      <c r="A120" t="s">
        <v>763</v>
      </c>
      <c r="B120" t="s">
        <v>494</v>
      </c>
      <c r="C120">
        <v>70285100</v>
      </c>
      <c r="D120">
        <v>4</v>
      </c>
      <c r="E120">
        <v>4520233451</v>
      </c>
      <c r="F120" t="s">
        <v>519</v>
      </c>
      <c r="G120" s="1">
        <v>45215</v>
      </c>
      <c r="H120">
        <v>5405271</v>
      </c>
      <c r="I120">
        <v>96</v>
      </c>
      <c r="J120" t="s">
        <v>140</v>
      </c>
      <c r="K120" s="7" t="s">
        <v>743</v>
      </c>
      <c r="L120" s="4" t="s">
        <v>30</v>
      </c>
      <c r="M120">
        <v>5001970495</v>
      </c>
      <c r="N120" s="5">
        <v>30794250</v>
      </c>
      <c r="O120" s="5">
        <v>259500</v>
      </c>
      <c r="P120" s="5">
        <v>49305</v>
      </c>
      <c r="Q120" s="5">
        <v>308805</v>
      </c>
    </row>
    <row r="121" spans="1:17" x14ac:dyDescent="0.25">
      <c r="A121" t="s">
        <v>763</v>
      </c>
      <c r="B121" t="s">
        <v>494</v>
      </c>
      <c r="C121">
        <v>70285100</v>
      </c>
      <c r="D121">
        <v>216</v>
      </c>
      <c r="E121">
        <v>4520233039</v>
      </c>
      <c r="F121" t="s">
        <v>519</v>
      </c>
      <c r="G121" s="1">
        <v>45217</v>
      </c>
      <c r="H121">
        <v>5405802</v>
      </c>
      <c r="I121">
        <v>96</v>
      </c>
      <c r="J121" t="s">
        <v>140</v>
      </c>
      <c r="K121" s="7" t="s">
        <v>743</v>
      </c>
      <c r="L121" s="4" t="s">
        <v>30</v>
      </c>
      <c r="M121">
        <v>5001970630</v>
      </c>
      <c r="N121" s="5">
        <v>30810641</v>
      </c>
      <c r="O121" s="5">
        <v>425790</v>
      </c>
      <c r="P121" s="5">
        <v>80900</v>
      </c>
      <c r="Q121" s="5">
        <v>506690</v>
      </c>
    </row>
    <row r="122" spans="1:17" x14ac:dyDescent="0.25">
      <c r="A122" t="s">
        <v>763</v>
      </c>
      <c r="B122" t="s">
        <v>494</v>
      </c>
      <c r="C122">
        <v>70285100</v>
      </c>
      <c r="D122">
        <v>274</v>
      </c>
      <c r="E122">
        <v>4520233629</v>
      </c>
      <c r="F122" t="s">
        <v>519</v>
      </c>
      <c r="G122" s="1">
        <v>45218</v>
      </c>
      <c r="H122">
        <v>5406374</v>
      </c>
      <c r="I122">
        <v>96</v>
      </c>
      <c r="J122" t="s">
        <v>140</v>
      </c>
      <c r="K122" s="7" t="s">
        <v>743</v>
      </c>
      <c r="L122" s="4" t="s">
        <v>30</v>
      </c>
      <c r="M122">
        <v>5001973586</v>
      </c>
      <c r="N122" s="5">
        <v>30818215</v>
      </c>
      <c r="O122" s="5">
        <v>83928</v>
      </c>
      <c r="P122" s="5">
        <v>15946</v>
      </c>
      <c r="Q122" s="5">
        <v>99874</v>
      </c>
    </row>
    <row r="123" spans="1:17" x14ac:dyDescent="0.25">
      <c r="A123" t="s">
        <v>763</v>
      </c>
      <c r="B123" t="s">
        <v>494</v>
      </c>
      <c r="C123">
        <v>70285100</v>
      </c>
      <c r="D123">
        <v>512</v>
      </c>
      <c r="E123">
        <v>4561380743</v>
      </c>
      <c r="F123" t="s">
        <v>519</v>
      </c>
      <c r="G123" s="1">
        <v>45218</v>
      </c>
      <c r="H123">
        <v>5406444</v>
      </c>
      <c r="I123">
        <v>96</v>
      </c>
      <c r="J123" t="s">
        <v>140</v>
      </c>
      <c r="K123" s="7" t="s">
        <v>743</v>
      </c>
      <c r="L123" s="4" t="s">
        <v>30</v>
      </c>
      <c r="M123">
        <v>5001967089</v>
      </c>
      <c r="N123" s="5">
        <v>30818443</v>
      </c>
      <c r="O123" s="5">
        <v>75145</v>
      </c>
      <c r="P123" s="5">
        <v>14278</v>
      </c>
      <c r="Q123" s="5">
        <v>89423</v>
      </c>
    </row>
    <row r="124" spans="1:17" x14ac:dyDescent="0.25">
      <c r="A124" t="s">
        <v>763</v>
      </c>
      <c r="B124" t="s">
        <v>494</v>
      </c>
      <c r="C124">
        <v>70285100</v>
      </c>
      <c r="D124">
        <v>0</v>
      </c>
      <c r="E124">
        <v>4540145224</v>
      </c>
      <c r="F124" t="s">
        <v>519</v>
      </c>
      <c r="G124" s="1">
        <v>45219</v>
      </c>
      <c r="H124">
        <v>5407163</v>
      </c>
      <c r="I124">
        <v>96</v>
      </c>
      <c r="J124" t="s">
        <v>140</v>
      </c>
      <c r="K124" s="7" t="s">
        <v>743</v>
      </c>
      <c r="L124" s="4" t="s">
        <v>30</v>
      </c>
      <c r="M124">
        <v>5001972706</v>
      </c>
      <c r="N124" s="5">
        <v>30771828</v>
      </c>
      <c r="O124" s="5">
        <v>695200</v>
      </c>
      <c r="P124" s="5">
        <v>132088</v>
      </c>
      <c r="Q124" s="5">
        <v>827288</v>
      </c>
    </row>
    <row r="125" spans="1:17" x14ac:dyDescent="0.25">
      <c r="A125" t="s">
        <v>763</v>
      </c>
      <c r="B125" t="s">
        <v>494</v>
      </c>
      <c r="C125">
        <v>70285100</v>
      </c>
      <c r="D125">
        <v>216</v>
      </c>
      <c r="E125">
        <v>4561380983</v>
      </c>
      <c r="F125" t="s">
        <v>519</v>
      </c>
      <c r="G125" s="1">
        <v>45219</v>
      </c>
      <c r="H125">
        <v>5407350</v>
      </c>
      <c r="I125">
        <v>96</v>
      </c>
      <c r="J125" t="s">
        <v>140</v>
      </c>
      <c r="K125" s="7" t="s">
        <v>743</v>
      </c>
      <c r="L125" s="4" t="s">
        <v>30</v>
      </c>
      <c r="M125">
        <v>5001966201</v>
      </c>
      <c r="N125" s="5">
        <v>30821131</v>
      </c>
      <c r="O125" s="5">
        <v>69640</v>
      </c>
      <c r="P125" s="5">
        <v>13232</v>
      </c>
      <c r="Q125" s="5">
        <v>82872</v>
      </c>
    </row>
    <row r="126" spans="1:17" x14ac:dyDescent="0.25">
      <c r="A126" t="s">
        <v>763</v>
      </c>
      <c r="B126" t="s">
        <v>494</v>
      </c>
      <c r="C126">
        <v>70285100</v>
      </c>
      <c r="D126">
        <v>155</v>
      </c>
      <c r="E126">
        <v>4540145711</v>
      </c>
      <c r="F126" t="s">
        <v>519</v>
      </c>
      <c r="G126" s="1">
        <v>45220</v>
      </c>
      <c r="H126">
        <v>5407764</v>
      </c>
      <c r="I126">
        <v>96</v>
      </c>
      <c r="J126" t="s">
        <v>140</v>
      </c>
      <c r="K126" s="8" t="s">
        <v>742</v>
      </c>
      <c r="L126" s="4" t="s">
        <v>30</v>
      </c>
      <c r="M126" t="s">
        <v>681</v>
      </c>
      <c r="N126" s="5">
        <v>30825721</v>
      </c>
      <c r="O126" s="5">
        <v>23891</v>
      </c>
      <c r="P126" s="5">
        <v>4539</v>
      </c>
      <c r="Q126" s="5">
        <v>28430</v>
      </c>
    </row>
    <row r="127" spans="1:17" x14ac:dyDescent="0.25">
      <c r="A127" t="s">
        <v>763</v>
      </c>
      <c r="B127" t="s">
        <v>494</v>
      </c>
      <c r="C127">
        <v>70285100</v>
      </c>
      <c r="D127">
        <v>155</v>
      </c>
      <c r="E127">
        <v>4540145671</v>
      </c>
      <c r="F127" t="s">
        <v>519</v>
      </c>
      <c r="G127" s="1">
        <v>45222</v>
      </c>
      <c r="H127">
        <v>5407785</v>
      </c>
      <c r="I127">
        <v>96</v>
      </c>
      <c r="J127" t="s">
        <v>140</v>
      </c>
      <c r="K127" s="7" t="s">
        <v>743</v>
      </c>
      <c r="L127" s="4" t="s">
        <v>30</v>
      </c>
      <c r="M127">
        <v>5001975163</v>
      </c>
      <c r="N127" s="5">
        <v>30826102</v>
      </c>
      <c r="O127" s="5">
        <v>176929</v>
      </c>
      <c r="P127" s="5">
        <v>33617</v>
      </c>
      <c r="Q127" s="5">
        <v>210546</v>
      </c>
    </row>
    <row r="128" spans="1:17" x14ac:dyDescent="0.25">
      <c r="A128" t="s">
        <v>763</v>
      </c>
      <c r="B128" t="s">
        <v>494</v>
      </c>
      <c r="C128">
        <v>70285100</v>
      </c>
      <c r="D128">
        <v>772</v>
      </c>
      <c r="E128">
        <v>4561386053</v>
      </c>
      <c r="F128" t="s">
        <v>519</v>
      </c>
      <c r="G128" s="1">
        <v>45222</v>
      </c>
      <c r="H128">
        <v>5407940</v>
      </c>
      <c r="I128">
        <v>96</v>
      </c>
      <c r="J128" t="s">
        <v>140</v>
      </c>
      <c r="K128" s="7" t="s">
        <v>743</v>
      </c>
      <c r="L128" s="4" t="s">
        <v>30</v>
      </c>
      <c r="M128">
        <v>5001972592</v>
      </c>
      <c r="N128" s="5">
        <v>30824821</v>
      </c>
      <c r="O128" s="5">
        <v>25202</v>
      </c>
      <c r="P128" s="5">
        <v>4788</v>
      </c>
      <c r="Q128" s="5">
        <v>29990</v>
      </c>
    </row>
    <row r="129" spans="1:17" x14ac:dyDescent="0.25">
      <c r="A129" t="s">
        <v>763</v>
      </c>
      <c r="B129" t="s">
        <v>494</v>
      </c>
      <c r="C129">
        <v>70285100</v>
      </c>
      <c r="D129">
        <v>0</v>
      </c>
      <c r="E129">
        <v>4540145068</v>
      </c>
      <c r="F129" t="s">
        <v>519</v>
      </c>
      <c r="G129" s="1">
        <v>45225</v>
      </c>
      <c r="H129">
        <v>5409104</v>
      </c>
      <c r="I129">
        <v>96</v>
      </c>
      <c r="J129" t="s">
        <v>140</v>
      </c>
      <c r="K129" s="7" t="s">
        <v>743</v>
      </c>
      <c r="L129" s="4" t="s">
        <v>30</v>
      </c>
      <c r="M129">
        <v>5001974569</v>
      </c>
      <c r="N129" s="5">
        <v>30834822</v>
      </c>
      <c r="O129" s="5">
        <v>31250</v>
      </c>
      <c r="P129" s="5">
        <v>5938</v>
      </c>
      <c r="Q129" s="5">
        <v>37188</v>
      </c>
    </row>
    <row r="130" spans="1:17" x14ac:dyDescent="0.25">
      <c r="A130" t="s">
        <v>763</v>
      </c>
      <c r="B130" t="s">
        <v>494</v>
      </c>
      <c r="C130">
        <v>70285100</v>
      </c>
      <c r="D130">
        <v>4</v>
      </c>
      <c r="E130">
        <v>4520233451</v>
      </c>
      <c r="F130" t="s">
        <v>519</v>
      </c>
      <c r="G130" s="1">
        <v>45225</v>
      </c>
      <c r="H130">
        <v>5409144</v>
      </c>
      <c r="I130">
        <v>96</v>
      </c>
      <c r="J130" t="s">
        <v>140</v>
      </c>
      <c r="K130" s="7" t="s">
        <v>743</v>
      </c>
      <c r="L130" s="4" t="s">
        <v>30</v>
      </c>
      <c r="M130">
        <v>5001970556</v>
      </c>
      <c r="N130" s="5">
        <v>30834900</v>
      </c>
      <c r="O130" s="5">
        <v>55088</v>
      </c>
      <c r="P130" s="5">
        <v>10467</v>
      </c>
      <c r="Q130" s="5">
        <v>65555</v>
      </c>
    </row>
    <row r="131" spans="1:17" x14ac:dyDescent="0.25">
      <c r="A131" t="s">
        <v>763</v>
      </c>
      <c r="B131" t="s">
        <v>494</v>
      </c>
      <c r="C131">
        <v>70285100</v>
      </c>
      <c r="D131">
        <v>10</v>
      </c>
      <c r="E131">
        <v>4561386695</v>
      </c>
      <c r="F131" t="s">
        <v>519</v>
      </c>
      <c r="G131" s="1">
        <v>45229</v>
      </c>
      <c r="H131">
        <v>5409536</v>
      </c>
      <c r="I131">
        <v>96</v>
      </c>
      <c r="J131" t="s">
        <v>140</v>
      </c>
      <c r="K131" s="7" t="s">
        <v>743</v>
      </c>
      <c r="L131" s="4" t="s">
        <v>30</v>
      </c>
      <c r="M131">
        <v>5001974543</v>
      </c>
      <c r="N131" s="5">
        <v>30834811</v>
      </c>
      <c r="O131" s="5">
        <v>147484</v>
      </c>
      <c r="P131" s="5">
        <v>28022</v>
      </c>
      <c r="Q131" s="5">
        <v>175506</v>
      </c>
    </row>
    <row r="132" spans="1:17" x14ac:dyDescent="0.25">
      <c r="A132" t="s">
        <v>763</v>
      </c>
      <c r="B132" t="s">
        <v>494</v>
      </c>
      <c r="C132">
        <v>70285100</v>
      </c>
      <c r="D132">
        <v>454</v>
      </c>
      <c r="E132">
        <v>4561386916</v>
      </c>
      <c r="F132" t="s">
        <v>519</v>
      </c>
      <c r="G132" s="1">
        <v>45229</v>
      </c>
      <c r="H132">
        <v>5409694</v>
      </c>
      <c r="I132">
        <v>96</v>
      </c>
      <c r="J132" t="s">
        <v>140</v>
      </c>
      <c r="K132" s="7" t="s">
        <v>743</v>
      </c>
      <c r="L132" s="4" t="s">
        <v>30</v>
      </c>
      <c r="M132">
        <v>5001975040</v>
      </c>
      <c r="N132" s="5">
        <v>30829624</v>
      </c>
      <c r="O132" s="5">
        <v>162050</v>
      </c>
      <c r="P132" s="5">
        <v>30790</v>
      </c>
      <c r="Q132" s="5">
        <v>192840</v>
      </c>
    </row>
    <row r="133" spans="1:17" x14ac:dyDescent="0.25">
      <c r="A133" t="s">
        <v>763</v>
      </c>
      <c r="B133" t="s">
        <v>494</v>
      </c>
      <c r="C133">
        <v>70285100</v>
      </c>
      <c r="D133">
        <v>0</v>
      </c>
      <c r="E133">
        <v>30836049</v>
      </c>
      <c r="F133" t="s">
        <v>519</v>
      </c>
      <c r="G133" s="1">
        <v>45229</v>
      </c>
      <c r="H133">
        <v>5409720</v>
      </c>
      <c r="I133">
        <v>96</v>
      </c>
      <c r="J133" t="s">
        <v>140</v>
      </c>
      <c r="K133" s="8" t="s">
        <v>742</v>
      </c>
      <c r="L133" s="4" t="s">
        <v>30</v>
      </c>
      <c r="M133" t="s">
        <v>681</v>
      </c>
      <c r="N133" s="5">
        <v>30836049</v>
      </c>
      <c r="O133" s="5">
        <v>10235100</v>
      </c>
      <c r="P133" s="5">
        <v>1944669</v>
      </c>
      <c r="Q133" s="5">
        <v>12179769</v>
      </c>
    </row>
    <row r="134" spans="1:17" x14ac:dyDescent="0.25">
      <c r="A134" t="s">
        <v>763</v>
      </c>
      <c r="B134" t="s">
        <v>494</v>
      </c>
      <c r="C134">
        <v>70285100</v>
      </c>
      <c r="D134">
        <v>512</v>
      </c>
      <c r="E134">
        <v>4561386761</v>
      </c>
      <c r="F134" t="s">
        <v>519</v>
      </c>
      <c r="G134" s="1">
        <v>45229</v>
      </c>
      <c r="H134">
        <v>5410069</v>
      </c>
      <c r="I134">
        <v>96</v>
      </c>
      <c r="J134" t="s">
        <v>140</v>
      </c>
      <c r="K134" s="7" t="s">
        <v>743</v>
      </c>
      <c r="L134" s="4" t="s">
        <v>30</v>
      </c>
      <c r="M134">
        <v>5001974028</v>
      </c>
      <c r="N134" s="5">
        <v>30814905</v>
      </c>
      <c r="O134" s="5">
        <v>18690</v>
      </c>
      <c r="P134" s="5">
        <v>3551</v>
      </c>
      <c r="Q134" s="5">
        <v>22241</v>
      </c>
    </row>
    <row r="135" spans="1:17" x14ac:dyDescent="0.25">
      <c r="A135" t="s">
        <v>763</v>
      </c>
      <c r="B135" t="s">
        <v>494</v>
      </c>
      <c r="C135">
        <v>70285100</v>
      </c>
      <c r="D135">
        <v>299</v>
      </c>
      <c r="E135">
        <v>4540145828</v>
      </c>
      <c r="F135" t="s">
        <v>519</v>
      </c>
      <c r="G135" s="1">
        <v>45229</v>
      </c>
      <c r="H135">
        <v>5410206</v>
      </c>
      <c r="I135">
        <v>96</v>
      </c>
      <c r="J135" t="s">
        <v>140</v>
      </c>
      <c r="K135" s="7" t="s">
        <v>743</v>
      </c>
      <c r="L135" s="4" t="s">
        <v>30</v>
      </c>
      <c r="M135">
        <v>5001974086</v>
      </c>
      <c r="N135" s="5">
        <v>30835479</v>
      </c>
      <c r="O135" s="5">
        <v>96543</v>
      </c>
      <c r="P135" s="5">
        <v>18343</v>
      </c>
      <c r="Q135" s="5">
        <v>114886</v>
      </c>
    </row>
    <row r="136" spans="1:17" x14ac:dyDescent="0.25">
      <c r="F136" t="s">
        <v>517</v>
      </c>
      <c r="K136" t="s">
        <v>681</v>
      </c>
      <c r="L136" s="4"/>
      <c r="M136" t="s">
        <v>681</v>
      </c>
      <c r="N136" s="5"/>
      <c r="O136" s="5">
        <v>15237461</v>
      </c>
      <c r="P136" s="5">
        <v>2895122</v>
      </c>
      <c r="Q136" s="5">
        <v>18132583</v>
      </c>
    </row>
    <row r="137" spans="1:17" x14ac:dyDescent="0.25">
      <c r="A137" t="s">
        <v>3</v>
      </c>
      <c r="B137" t="s">
        <v>494</v>
      </c>
      <c r="C137">
        <v>70300000</v>
      </c>
      <c r="D137">
        <v>0</v>
      </c>
      <c r="E137">
        <v>4500033942</v>
      </c>
      <c r="F137" t="s">
        <v>764</v>
      </c>
      <c r="G137" s="1">
        <v>45229</v>
      </c>
      <c r="H137">
        <v>5410117</v>
      </c>
      <c r="I137">
        <v>17</v>
      </c>
      <c r="J137" t="s">
        <v>305</v>
      </c>
      <c r="K137" s="8" t="s">
        <v>742</v>
      </c>
      <c r="L137" s="4"/>
      <c r="M137" t="s">
        <v>681</v>
      </c>
      <c r="N137" s="5">
        <v>30838086</v>
      </c>
      <c r="O137" s="5">
        <v>299000</v>
      </c>
      <c r="P137" s="5">
        <v>56810</v>
      </c>
      <c r="Q137" s="5">
        <v>355810</v>
      </c>
    </row>
    <row r="138" spans="1:17" x14ac:dyDescent="0.25">
      <c r="F138" t="s">
        <v>495</v>
      </c>
      <c r="K138" t="s">
        <v>681</v>
      </c>
      <c r="L138" s="4"/>
      <c r="M138" t="s">
        <v>681</v>
      </c>
      <c r="N138" s="5"/>
      <c r="O138" s="5">
        <v>299000</v>
      </c>
      <c r="P138" s="5">
        <v>56810</v>
      </c>
      <c r="Q138" s="5">
        <v>355810</v>
      </c>
    </row>
    <row r="139" spans="1:17" x14ac:dyDescent="0.25">
      <c r="A139" t="s">
        <v>503</v>
      </c>
      <c r="B139" t="s">
        <v>494</v>
      </c>
      <c r="C139">
        <v>71500500</v>
      </c>
      <c r="D139">
        <v>7</v>
      </c>
      <c r="E139">
        <v>4500099744</v>
      </c>
      <c r="F139" t="s">
        <v>524</v>
      </c>
      <c r="G139" s="1">
        <v>45210</v>
      </c>
      <c r="H139">
        <v>5401953</v>
      </c>
      <c r="I139">
        <v>50</v>
      </c>
      <c r="J139" t="s">
        <v>376</v>
      </c>
      <c r="K139" s="8" t="s">
        <v>742</v>
      </c>
      <c r="L139" s="4"/>
      <c r="M139" t="s">
        <v>681</v>
      </c>
      <c r="N139" s="5">
        <v>30702894</v>
      </c>
      <c r="O139" s="5">
        <v>356531</v>
      </c>
      <c r="P139" s="5">
        <v>67741</v>
      </c>
      <c r="Q139" s="5">
        <v>424272</v>
      </c>
    </row>
    <row r="140" spans="1:17" x14ac:dyDescent="0.25">
      <c r="A140" t="s">
        <v>503</v>
      </c>
      <c r="B140" t="s">
        <v>494</v>
      </c>
      <c r="C140">
        <v>71500500</v>
      </c>
      <c r="D140">
        <v>250</v>
      </c>
      <c r="E140">
        <v>4500100120</v>
      </c>
      <c r="F140" t="s">
        <v>524</v>
      </c>
      <c r="G140" s="1">
        <v>45229</v>
      </c>
      <c r="H140">
        <v>5409562</v>
      </c>
      <c r="I140">
        <v>50</v>
      </c>
      <c r="J140" t="s">
        <v>376</v>
      </c>
      <c r="K140" s="8" t="s">
        <v>742</v>
      </c>
      <c r="L140" s="4"/>
      <c r="M140" t="s">
        <v>681</v>
      </c>
      <c r="N140" s="5">
        <v>30830439</v>
      </c>
      <c r="O140" s="5">
        <v>305515</v>
      </c>
      <c r="P140" s="5">
        <v>58048</v>
      </c>
      <c r="Q140" s="5">
        <v>363563</v>
      </c>
    </row>
    <row r="141" spans="1:17" x14ac:dyDescent="0.25">
      <c r="F141" t="s">
        <v>497</v>
      </c>
      <c r="K141" t="s">
        <v>681</v>
      </c>
      <c r="L141" s="4"/>
      <c r="M141" t="s">
        <v>681</v>
      </c>
      <c r="N141" s="5"/>
      <c r="O141" s="5">
        <v>662046</v>
      </c>
      <c r="P141" s="5">
        <v>125789</v>
      </c>
      <c r="Q141" s="5">
        <v>787835</v>
      </c>
    </row>
    <row r="142" spans="1:17" x14ac:dyDescent="0.25">
      <c r="A142" t="s">
        <v>503</v>
      </c>
      <c r="B142" t="s">
        <v>502</v>
      </c>
      <c r="C142">
        <v>71543200</v>
      </c>
      <c r="D142">
        <v>410</v>
      </c>
      <c r="E142">
        <v>97250</v>
      </c>
      <c r="F142" t="s">
        <v>687</v>
      </c>
      <c r="G142" s="1">
        <v>45216</v>
      </c>
      <c r="H142">
        <v>5405470</v>
      </c>
      <c r="I142">
        <v>349</v>
      </c>
      <c r="J142" t="s">
        <v>364</v>
      </c>
      <c r="K142" s="8" t="s">
        <v>742</v>
      </c>
      <c r="L142" s="4"/>
      <c r="M142" t="s">
        <v>681</v>
      </c>
      <c r="N142" s="5">
        <v>30796266</v>
      </c>
      <c r="O142" s="5">
        <v>29736</v>
      </c>
      <c r="P142" s="5">
        <v>5650</v>
      </c>
      <c r="Q142" s="5">
        <v>35386</v>
      </c>
    </row>
    <row r="143" spans="1:17" x14ac:dyDescent="0.25">
      <c r="A143" t="s">
        <v>503</v>
      </c>
      <c r="B143" t="s">
        <v>502</v>
      </c>
      <c r="C143">
        <v>71543200</v>
      </c>
      <c r="D143">
        <v>348</v>
      </c>
      <c r="E143">
        <v>30835802</v>
      </c>
      <c r="F143" t="s">
        <v>687</v>
      </c>
      <c r="G143" s="1">
        <v>45225</v>
      </c>
      <c r="H143">
        <v>5409221</v>
      </c>
      <c r="I143">
        <v>349</v>
      </c>
      <c r="J143" t="s">
        <v>364</v>
      </c>
      <c r="K143" s="8" t="s">
        <v>742</v>
      </c>
      <c r="L143" s="4"/>
      <c r="M143" t="s">
        <v>681</v>
      </c>
      <c r="N143" s="5">
        <v>30835802</v>
      </c>
      <c r="O143" s="5">
        <v>113087</v>
      </c>
      <c r="P143" s="5">
        <v>21487</v>
      </c>
      <c r="Q143" s="5">
        <v>134574</v>
      </c>
    </row>
    <row r="144" spans="1:17" x14ac:dyDescent="0.25">
      <c r="A144" t="s">
        <v>503</v>
      </c>
      <c r="B144" t="s">
        <v>502</v>
      </c>
      <c r="C144">
        <v>71543200</v>
      </c>
      <c r="D144">
        <v>411</v>
      </c>
      <c r="E144">
        <v>97505</v>
      </c>
      <c r="F144" t="s">
        <v>687</v>
      </c>
      <c r="G144" s="1">
        <v>45230</v>
      </c>
      <c r="H144">
        <v>5410301</v>
      </c>
      <c r="I144">
        <v>349</v>
      </c>
      <c r="J144" t="s">
        <v>364</v>
      </c>
      <c r="K144" s="8" t="s">
        <v>742</v>
      </c>
      <c r="L144" s="4"/>
      <c r="M144" t="s">
        <v>681</v>
      </c>
      <c r="N144" s="5">
        <v>30843016</v>
      </c>
      <c r="O144" s="5">
        <v>36225</v>
      </c>
      <c r="P144" s="5">
        <v>6883</v>
      </c>
      <c r="Q144" s="5">
        <v>43108</v>
      </c>
    </row>
    <row r="145" spans="1:17" x14ac:dyDescent="0.25">
      <c r="F145" t="s">
        <v>500</v>
      </c>
      <c r="K145" t="s">
        <v>681</v>
      </c>
      <c r="L145" s="4"/>
      <c r="M145" t="s">
        <v>681</v>
      </c>
      <c r="N145" s="5"/>
      <c r="O145" s="5">
        <v>179048</v>
      </c>
      <c r="P145" s="5">
        <v>34020</v>
      </c>
      <c r="Q145" s="5">
        <v>213068</v>
      </c>
    </row>
    <row r="146" spans="1:17" x14ac:dyDescent="0.25">
      <c r="A146" t="s">
        <v>503</v>
      </c>
      <c r="B146" t="s">
        <v>494</v>
      </c>
      <c r="C146">
        <v>71631900</v>
      </c>
      <c r="D146">
        <v>4</v>
      </c>
      <c r="E146">
        <v>30828581</v>
      </c>
      <c r="F146" t="s">
        <v>525</v>
      </c>
      <c r="G146" s="1">
        <v>45228</v>
      </c>
      <c r="H146">
        <v>5409501</v>
      </c>
      <c r="I146">
        <v>2</v>
      </c>
      <c r="J146" t="s">
        <v>242</v>
      </c>
      <c r="K146" s="8" t="s">
        <v>742</v>
      </c>
      <c r="L146" s="4" t="s">
        <v>3</v>
      </c>
      <c r="M146" t="s">
        <v>681</v>
      </c>
      <c r="N146" s="5">
        <v>30828581</v>
      </c>
      <c r="O146" s="5">
        <v>2623335</v>
      </c>
      <c r="P146" s="5">
        <v>498434</v>
      </c>
      <c r="Q146" s="5">
        <v>3121769</v>
      </c>
    </row>
    <row r="147" spans="1:17" x14ac:dyDescent="0.25">
      <c r="A147" t="s">
        <v>503</v>
      </c>
      <c r="B147" t="s">
        <v>494</v>
      </c>
      <c r="C147">
        <v>71631900</v>
      </c>
      <c r="D147">
        <v>70</v>
      </c>
      <c r="E147">
        <v>30835733</v>
      </c>
      <c r="F147" t="s">
        <v>525</v>
      </c>
      <c r="G147" s="1">
        <v>45229</v>
      </c>
      <c r="H147">
        <v>5409590</v>
      </c>
      <c r="I147">
        <v>2</v>
      </c>
      <c r="J147" t="s">
        <v>242</v>
      </c>
      <c r="K147" s="8" t="s">
        <v>742</v>
      </c>
      <c r="L147" s="4" t="s">
        <v>3</v>
      </c>
      <c r="M147" t="s">
        <v>681</v>
      </c>
      <c r="N147" s="5">
        <v>30835733</v>
      </c>
      <c r="O147" s="5">
        <v>304560</v>
      </c>
      <c r="P147" s="5">
        <v>57866</v>
      </c>
      <c r="Q147" s="5">
        <v>362426</v>
      </c>
    </row>
    <row r="148" spans="1:17" x14ac:dyDescent="0.25">
      <c r="A148" t="s">
        <v>503</v>
      </c>
      <c r="B148" t="s">
        <v>494</v>
      </c>
      <c r="C148">
        <v>71631900</v>
      </c>
      <c r="D148">
        <v>233</v>
      </c>
      <c r="E148">
        <v>30839241</v>
      </c>
      <c r="F148" t="s">
        <v>525</v>
      </c>
      <c r="G148" s="1">
        <v>45227</v>
      </c>
      <c r="H148">
        <v>5409780</v>
      </c>
      <c r="I148">
        <v>2</v>
      </c>
      <c r="J148" t="s">
        <v>242</v>
      </c>
      <c r="K148" s="8" t="s">
        <v>742</v>
      </c>
      <c r="L148" s="4" t="s">
        <v>3</v>
      </c>
      <c r="M148" t="s">
        <v>681</v>
      </c>
      <c r="N148" s="5">
        <v>30839241</v>
      </c>
      <c r="O148" s="5">
        <v>590000</v>
      </c>
      <c r="P148" s="5">
        <v>112100</v>
      </c>
      <c r="Q148" s="5">
        <v>702100</v>
      </c>
    </row>
    <row r="149" spans="1:17" x14ac:dyDescent="0.25">
      <c r="F149" t="s">
        <v>500</v>
      </c>
      <c r="K149" t="s">
        <v>681</v>
      </c>
      <c r="L149" s="4"/>
      <c r="M149" t="s">
        <v>681</v>
      </c>
      <c r="N149" s="5"/>
      <c r="O149" s="5">
        <v>3517895</v>
      </c>
      <c r="P149" s="5">
        <v>668400</v>
      </c>
      <c r="Q149" s="5">
        <v>4186295</v>
      </c>
    </row>
    <row r="150" spans="1:17" x14ac:dyDescent="0.25">
      <c r="A150" t="s">
        <v>513</v>
      </c>
      <c r="B150" t="s">
        <v>494</v>
      </c>
      <c r="C150">
        <v>71644300</v>
      </c>
      <c r="D150">
        <v>38</v>
      </c>
      <c r="E150">
        <v>30766794</v>
      </c>
      <c r="F150" t="s">
        <v>527</v>
      </c>
      <c r="G150" s="1">
        <v>45201</v>
      </c>
      <c r="H150">
        <v>5395515</v>
      </c>
      <c r="I150">
        <v>132</v>
      </c>
      <c r="J150" t="s">
        <v>416</v>
      </c>
      <c r="K150" s="8" t="s">
        <v>742</v>
      </c>
      <c r="L150" s="4"/>
      <c r="M150" t="s">
        <v>681</v>
      </c>
      <c r="N150" s="5">
        <v>30766794</v>
      </c>
      <c r="O150" s="5">
        <v>729612</v>
      </c>
      <c r="P150" s="5">
        <v>138626</v>
      </c>
      <c r="Q150" s="5">
        <v>868238</v>
      </c>
    </row>
    <row r="151" spans="1:17" x14ac:dyDescent="0.25">
      <c r="A151" t="s">
        <v>513</v>
      </c>
      <c r="B151" t="s">
        <v>494</v>
      </c>
      <c r="C151">
        <v>71644300</v>
      </c>
      <c r="D151">
        <v>32</v>
      </c>
      <c r="E151">
        <v>338890</v>
      </c>
      <c r="F151" t="s">
        <v>527</v>
      </c>
      <c r="G151" s="1">
        <v>45202</v>
      </c>
      <c r="H151">
        <v>5395905</v>
      </c>
      <c r="I151">
        <v>132</v>
      </c>
      <c r="J151" t="s">
        <v>416</v>
      </c>
      <c r="K151" s="8" t="s">
        <v>742</v>
      </c>
      <c r="L151" s="4"/>
      <c r="M151" t="s">
        <v>681</v>
      </c>
      <c r="N151" s="5">
        <v>30771520</v>
      </c>
      <c r="O151" s="5">
        <v>33113</v>
      </c>
      <c r="P151" s="5">
        <v>6291</v>
      </c>
      <c r="Q151" s="5">
        <v>39404</v>
      </c>
    </row>
    <row r="152" spans="1:17" x14ac:dyDescent="0.25">
      <c r="A152" t="s">
        <v>513</v>
      </c>
      <c r="B152" t="s">
        <v>494</v>
      </c>
      <c r="C152">
        <v>71644300</v>
      </c>
      <c r="D152">
        <v>5</v>
      </c>
      <c r="E152">
        <v>338794</v>
      </c>
      <c r="F152" t="s">
        <v>527</v>
      </c>
      <c r="G152" s="1">
        <v>45203</v>
      </c>
      <c r="H152">
        <v>5397143</v>
      </c>
      <c r="I152">
        <v>132</v>
      </c>
      <c r="J152" t="s">
        <v>416</v>
      </c>
      <c r="K152" s="8" t="s">
        <v>742</v>
      </c>
      <c r="L152" s="4"/>
      <c r="M152" t="s">
        <v>681</v>
      </c>
      <c r="N152" s="5">
        <v>30773714</v>
      </c>
      <c r="O152" s="5">
        <v>121106</v>
      </c>
      <c r="P152" s="5">
        <v>23010</v>
      </c>
      <c r="Q152" s="5">
        <v>144116</v>
      </c>
    </row>
    <row r="153" spans="1:17" x14ac:dyDescent="0.25">
      <c r="A153" t="s">
        <v>513</v>
      </c>
      <c r="B153" t="s">
        <v>494</v>
      </c>
      <c r="C153">
        <v>71644300</v>
      </c>
      <c r="D153">
        <v>2</v>
      </c>
      <c r="E153">
        <v>4500001563</v>
      </c>
      <c r="F153" t="s">
        <v>527</v>
      </c>
      <c r="G153" s="1">
        <v>45209</v>
      </c>
      <c r="H153">
        <v>5399927</v>
      </c>
      <c r="I153">
        <v>132</v>
      </c>
      <c r="J153" t="s">
        <v>416</v>
      </c>
      <c r="K153" s="8" t="s">
        <v>742</v>
      </c>
      <c r="L153" s="4"/>
      <c r="M153" t="s">
        <v>681</v>
      </c>
      <c r="N153" s="5">
        <v>30760620</v>
      </c>
      <c r="O153" s="5">
        <v>3212856</v>
      </c>
      <c r="P153" s="5">
        <v>610443</v>
      </c>
      <c r="Q153" s="5">
        <v>3823299</v>
      </c>
    </row>
    <row r="154" spans="1:17" x14ac:dyDescent="0.25">
      <c r="A154" t="s">
        <v>513</v>
      </c>
      <c r="B154" t="s">
        <v>494</v>
      </c>
      <c r="C154">
        <v>71644300</v>
      </c>
      <c r="D154">
        <v>1</v>
      </c>
      <c r="E154">
        <v>30799653</v>
      </c>
      <c r="F154" t="s">
        <v>527</v>
      </c>
      <c r="G154" s="1">
        <v>45211</v>
      </c>
      <c r="H154">
        <v>5402417</v>
      </c>
      <c r="I154">
        <v>132</v>
      </c>
      <c r="J154" t="s">
        <v>416</v>
      </c>
      <c r="K154" s="8" t="s">
        <v>742</v>
      </c>
      <c r="L154" s="4"/>
      <c r="M154" t="s">
        <v>681</v>
      </c>
      <c r="N154" s="5">
        <v>30799653</v>
      </c>
      <c r="O154" s="5">
        <v>490934</v>
      </c>
      <c r="P154" s="5">
        <v>93277</v>
      </c>
      <c r="Q154" s="5">
        <v>584211</v>
      </c>
    </row>
    <row r="155" spans="1:17" x14ac:dyDescent="0.25">
      <c r="A155" t="s">
        <v>513</v>
      </c>
      <c r="B155" t="s">
        <v>494</v>
      </c>
      <c r="C155">
        <v>71644300</v>
      </c>
      <c r="D155">
        <v>1</v>
      </c>
      <c r="E155">
        <v>30799650</v>
      </c>
      <c r="F155" t="s">
        <v>527</v>
      </c>
      <c r="G155" s="1">
        <v>45211</v>
      </c>
      <c r="H155">
        <v>5402784</v>
      </c>
      <c r="I155">
        <v>132</v>
      </c>
      <c r="J155" t="s">
        <v>416</v>
      </c>
      <c r="K155" s="8" t="s">
        <v>742</v>
      </c>
      <c r="L155" s="4"/>
      <c r="M155" t="s">
        <v>681</v>
      </c>
      <c r="N155" s="5">
        <v>30799650</v>
      </c>
      <c r="O155" s="5">
        <v>1843834</v>
      </c>
      <c r="P155" s="5">
        <v>350328</v>
      </c>
      <c r="Q155" s="5">
        <v>2194162</v>
      </c>
    </row>
    <row r="156" spans="1:17" x14ac:dyDescent="0.25">
      <c r="A156" t="s">
        <v>513</v>
      </c>
      <c r="B156" t="s">
        <v>494</v>
      </c>
      <c r="C156">
        <v>71644300</v>
      </c>
      <c r="D156">
        <v>2060</v>
      </c>
      <c r="E156">
        <v>30814307</v>
      </c>
      <c r="F156" t="s">
        <v>527</v>
      </c>
      <c r="G156" s="1">
        <v>45217</v>
      </c>
      <c r="H156">
        <v>5405944</v>
      </c>
      <c r="I156">
        <v>132</v>
      </c>
      <c r="J156" t="s">
        <v>416</v>
      </c>
      <c r="K156" s="8" t="s">
        <v>742</v>
      </c>
      <c r="L156" s="4"/>
      <c r="M156" t="s">
        <v>681</v>
      </c>
      <c r="N156" s="5">
        <v>30814307</v>
      </c>
      <c r="O156" s="5">
        <v>325989</v>
      </c>
      <c r="P156" s="5">
        <v>61938</v>
      </c>
      <c r="Q156" s="5">
        <v>387927</v>
      </c>
    </row>
    <row r="157" spans="1:17" x14ac:dyDescent="0.25">
      <c r="A157" t="s">
        <v>513</v>
      </c>
      <c r="B157" t="s">
        <v>494</v>
      </c>
      <c r="C157">
        <v>71644300</v>
      </c>
      <c r="D157">
        <v>97</v>
      </c>
      <c r="E157">
        <v>30818668</v>
      </c>
      <c r="F157" t="s">
        <v>527</v>
      </c>
      <c r="G157" s="1">
        <v>45218</v>
      </c>
      <c r="H157">
        <v>5406424</v>
      </c>
      <c r="I157">
        <v>132</v>
      </c>
      <c r="J157" t="s">
        <v>416</v>
      </c>
      <c r="K157" s="8" t="s">
        <v>742</v>
      </c>
      <c r="L157" s="4"/>
      <c r="M157" t="s">
        <v>681</v>
      </c>
      <c r="N157" s="5">
        <v>30818668</v>
      </c>
      <c r="O157" s="5">
        <v>286272</v>
      </c>
      <c r="P157" s="5">
        <v>54392</v>
      </c>
      <c r="Q157" s="5">
        <v>340664</v>
      </c>
    </row>
    <row r="158" spans="1:17" x14ac:dyDescent="0.25">
      <c r="A158" t="s">
        <v>513</v>
      </c>
      <c r="B158" t="s">
        <v>494</v>
      </c>
      <c r="C158">
        <v>71644300</v>
      </c>
      <c r="D158">
        <v>2060</v>
      </c>
      <c r="E158">
        <v>30828842</v>
      </c>
      <c r="F158" t="s">
        <v>527</v>
      </c>
      <c r="G158" s="1">
        <v>45223</v>
      </c>
      <c r="H158">
        <v>5408442</v>
      </c>
      <c r="I158">
        <v>132</v>
      </c>
      <c r="J158" t="s">
        <v>416</v>
      </c>
      <c r="K158" s="8" t="s">
        <v>742</v>
      </c>
      <c r="L158" s="4"/>
      <c r="M158" t="s">
        <v>681</v>
      </c>
      <c r="N158" s="5">
        <v>30828842</v>
      </c>
      <c r="O158" s="5">
        <v>431405</v>
      </c>
      <c r="P158" s="5">
        <v>81967</v>
      </c>
      <c r="Q158" s="5">
        <v>513372</v>
      </c>
    </row>
    <row r="159" spans="1:17" x14ac:dyDescent="0.25">
      <c r="A159" t="s">
        <v>513</v>
      </c>
      <c r="B159" t="s">
        <v>494</v>
      </c>
      <c r="C159">
        <v>71644300</v>
      </c>
      <c r="D159">
        <v>2060</v>
      </c>
      <c r="E159">
        <v>30828842</v>
      </c>
      <c r="F159" t="s">
        <v>527</v>
      </c>
      <c r="G159" s="1">
        <v>45223</v>
      </c>
      <c r="H159">
        <v>5408443</v>
      </c>
      <c r="I159">
        <v>132</v>
      </c>
      <c r="J159" t="s">
        <v>416</v>
      </c>
      <c r="K159" s="8" t="s">
        <v>742</v>
      </c>
      <c r="L159" s="4"/>
      <c r="M159" t="s">
        <v>681</v>
      </c>
      <c r="N159" s="5">
        <v>30828842</v>
      </c>
      <c r="O159" s="5">
        <v>27357</v>
      </c>
      <c r="P159" s="5">
        <v>5198</v>
      </c>
      <c r="Q159" s="5">
        <v>32555</v>
      </c>
    </row>
    <row r="160" spans="1:17" x14ac:dyDescent="0.25">
      <c r="A160" t="s">
        <v>513</v>
      </c>
      <c r="B160" t="s">
        <v>494</v>
      </c>
      <c r="C160">
        <v>71644300</v>
      </c>
      <c r="D160">
        <v>38</v>
      </c>
      <c r="E160">
        <v>30828845</v>
      </c>
      <c r="F160" t="s">
        <v>527</v>
      </c>
      <c r="G160" s="1">
        <v>45223</v>
      </c>
      <c r="H160">
        <v>5408444</v>
      </c>
      <c r="I160">
        <v>132</v>
      </c>
      <c r="J160" t="s">
        <v>416</v>
      </c>
      <c r="K160" s="8" t="s">
        <v>742</v>
      </c>
      <c r="L160" s="4"/>
      <c r="M160" t="s">
        <v>681</v>
      </c>
      <c r="N160" s="5">
        <v>30828845</v>
      </c>
      <c r="O160" s="5">
        <v>87429</v>
      </c>
      <c r="P160" s="5">
        <v>16612</v>
      </c>
      <c r="Q160" s="5">
        <v>104041</v>
      </c>
    </row>
    <row r="161" spans="1:17" x14ac:dyDescent="0.25">
      <c r="A161" t="s">
        <v>513</v>
      </c>
      <c r="B161" t="s">
        <v>494</v>
      </c>
      <c r="C161">
        <v>71644300</v>
      </c>
      <c r="D161">
        <v>2008</v>
      </c>
      <c r="E161">
        <v>30828843</v>
      </c>
      <c r="F161" t="s">
        <v>527</v>
      </c>
      <c r="G161" s="1">
        <v>45223</v>
      </c>
      <c r="H161">
        <v>5408445</v>
      </c>
      <c r="I161">
        <v>132</v>
      </c>
      <c r="J161" t="s">
        <v>416</v>
      </c>
      <c r="K161" s="8" t="s">
        <v>742</v>
      </c>
      <c r="L161" s="4"/>
      <c r="M161" t="s">
        <v>681</v>
      </c>
      <c r="N161" s="5">
        <v>30828843</v>
      </c>
      <c r="O161" s="5">
        <v>463803</v>
      </c>
      <c r="P161" s="5">
        <v>88123</v>
      </c>
      <c r="Q161" s="5">
        <v>551926</v>
      </c>
    </row>
    <row r="162" spans="1:17" x14ac:dyDescent="0.25">
      <c r="A162" t="s">
        <v>513</v>
      </c>
      <c r="B162" t="s">
        <v>494</v>
      </c>
      <c r="C162">
        <v>71644300</v>
      </c>
      <c r="D162">
        <v>2008</v>
      </c>
      <c r="E162">
        <v>30842570</v>
      </c>
      <c r="F162" t="s">
        <v>527</v>
      </c>
      <c r="G162" s="1">
        <v>45230</v>
      </c>
      <c r="H162">
        <v>5410302</v>
      </c>
      <c r="I162">
        <v>132</v>
      </c>
      <c r="J162" t="s">
        <v>416</v>
      </c>
      <c r="K162" s="8" t="s">
        <v>742</v>
      </c>
      <c r="L162" s="4"/>
      <c r="M162" t="s">
        <v>681</v>
      </c>
      <c r="N162" s="5">
        <v>30842570</v>
      </c>
      <c r="O162" s="5">
        <v>83153</v>
      </c>
      <c r="P162" s="5">
        <v>15799</v>
      </c>
      <c r="Q162" s="5">
        <v>98952</v>
      </c>
    </row>
    <row r="163" spans="1:17" x14ac:dyDescent="0.25">
      <c r="A163" t="s">
        <v>513</v>
      </c>
      <c r="B163" t="s">
        <v>494</v>
      </c>
      <c r="C163">
        <v>71644300</v>
      </c>
      <c r="D163">
        <v>2008</v>
      </c>
      <c r="E163">
        <v>30842567</v>
      </c>
      <c r="F163" t="s">
        <v>527</v>
      </c>
      <c r="G163" s="1">
        <v>45230</v>
      </c>
      <c r="H163">
        <v>5410329</v>
      </c>
      <c r="I163">
        <v>132</v>
      </c>
      <c r="J163" t="s">
        <v>416</v>
      </c>
      <c r="K163" s="8" t="s">
        <v>742</v>
      </c>
      <c r="L163" s="4"/>
      <c r="M163" t="s">
        <v>681</v>
      </c>
      <c r="N163" s="5">
        <v>30842567</v>
      </c>
      <c r="O163" s="5">
        <v>1466664</v>
      </c>
      <c r="P163" s="5">
        <v>278666</v>
      </c>
      <c r="Q163" s="5">
        <v>1745330</v>
      </c>
    </row>
    <row r="164" spans="1:17" x14ac:dyDescent="0.25">
      <c r="F164" t="s">
        <v>576</v>
      </c>
      <c r="K164" t="s">
        <v>681</v>
      </c>
      <c r="L164" s="4"/>
      <c r="M164" t="s">
        <v>681</v>
      </c>
      <c r="N164" s="5"/>
      <c r="O164" s="5">
        <v>9603527</v>
      </c>
      <c r="P164" s="5">
        <v>1824670</v>
      </c>
      <c r="Q164" s="5">
        <v>11428197</v>
      </c>
    </row>
    <row r="165" spans="1:17" x14ac:dyDescent="0.25">
      <c r="A165" t="s">
        <v>503</v>
      </c>
      <c r="B165" t="s">
        <v>494</v>
      </c>
      <c r="C165">
        <v>75764900</v>
      </c>
      <c r="D165">
        <v>3</v>
      </c>
      <c r="E165">
        <v>30792655</v>
      </c>
      <c r="F165" t="s">
        <v>688</v>
      </c>
      <c r="G165" s="1">
        <v>45215</v>
      </c>
      <c r="H165">
        <v>5404306</v>
      </c>
      <c r="I165">
        <v>112</v>
      </c>
      <c r="J165" t="s">
        <v>166</v>
      </c>
      <c r="K165" s="8" t="s">
        <v>742</v>
      </c>
      <c r="L165" s="4"/>
      <c r="M165" t="s">
        <v>681</v>
      </c>
      <c r="N165" s="5">
        <v>30792655</v>
      </c>
      <c r="O165" s="5">
        <v>46750</v>
      </c>
      <c r="P165" s="5">
        <v>8883</v>
      </c>
      <c r="Q165" s="5">
        <v>55633</v>
      </c>
    </row>
    <row r="166" spans="1:17" x14ac:dyDescent="0.25">
      <c r="F166" t="s">
        <v>495</v>
      </c>
      <c r="K166" t="s">
        <v>681</v>
      </c>
      <c r="L166" s="4"/>
      <c r="M166" t="s">
        <v>681</v>
      </c>
      <c r="N166" s="5"/>
      <c r="O166" s="5">
        <v>46750</v>
      </c>
      <c r="P166" s="5">
        <v>8883</v>
      </c>
      <c r="Q166" s="5">
        <v>55633</v>
      </c>
    </row>
    <row r="167" spans="1:17" x14ac:dyDescent="0.25">
      <c r="A167" t="s">
        <v>765</v>
      </c>
      <c r="B167" t="s">
        <v>494</v>
      </c>
      <c r="C167">
        <v>76000739</v>
      </c>
      <c r="D167">
        <v>10</v>
      </c>
      <c r="E167">
        <v>30821073</v>
      </c>
      <c r="F167" t="s">
        <v>528</v>
      </c>
      <c r="G167" s="1">
        <v>45219</v>
      </c>
      <c r="H167">
        <v>5406788</v>
      </c>
      <c r="I167">
        <v>81</v>
      </c>
      <c r="J167" t="s">
        <v>144</v>
      </c>
      <c r="K167" s="8" t="s">
        <v>742</v>
      </c>
      <c r="L167" s="4" t="s">
        <v>35</v>
      </c>
      <c r="M167" t="s">
        <v>681</v>
      </c>
      <c r="N167" s="5">
        <v>30821073</v>
      </c>
      <c r="O167" s="5">
        <v>52027</v>
      </c>
      <c r="P167" s="5">
        <v>9885</v>
      </c>
      <c r="Q167" s="5">
        <v>61912</v>
      </c>
    </row>
    <row r="168" spans="1:17" x14ac:dyDescent="0.25">
      <c r="F168" t="s">
        <v>495</v>
      </c>
      <c r="K168" t="s">
        <v>681</v>
      </c>
      <c r="L168" s="4"/>
      <c r="M168" t="s">
        <v>681</v>
      </c>
      <c r="N168" s="5"/>
      <c r="O168" s="5">
        <v>52027</v>
      </c>
      <c r="P168" s="5">
        <v>9885</v>
      </c>
      <c r="Q168" s="5">
        <v>61912</v>
      </c>
    </row>
    <row r="169" spans="1:17" x14ac:dyDescent="0.25">
      <c r="A169" t="s">
        <v>512</v>
      </c>
      <c r="B169" t="s">
        <v>494</v>
      </c>
      <c r="C169">
        <v>76005843</v>
      </c>
      <c r="D169">
        <v>2</v>
      </c>
      <c r="E169">
        <v>30776873</v>
      </c>
      <c r="F169" t="s">
        <v>529</v>
      </c>
      <c r="G169" s="1">
        <v>45204</v>
      </c>
      <c r="H169">
        <v>5397634</v>
      </c>
      <c r="I169">
        <v>181</v>
      </c>
      <c r="J169" t="s">
        <v>206</v>
      </c>
      <c r="K169" t="s">
        <v>681</v>
      </c>
      <c r="L169" s="4"/>
      <c r="M169" t="s">
        <v>681</v>
      </c>
      <c r="N169" s="5">
        <v>30776873</v>
      </c>
      <c r="O169" s="5">
        <v>155000</v>
      </c>
      <c r="P169" s="5">
        <v>29450</v>
      </c>
      <c r="Q169" s="5">
        <v>189033</v>
      </c>
    </row>
    <row r="170" spans="1:17" x14ac:dyDescent="0.25">
      <c r="A170" t="s">
        <v>512</v>
      </c>
      <c r="B170" t="s">
        <v>494</v>
      </c>
      <c r="C170">
        <v>76005843</v>
      </c>
      <c r="D170">
        <v>2</v>
      </c>
      <c r="E170">
        <v>30811293</v>
      </c>
      <c r="F170" t="s">
        <v>529</v>
      </c>
      <c r="G170" s="1">
        <v>45216</v>
      </c>
      <c r="H170">
        <v>5405728</v>
      </c>
      <c r="I170">
        <v>181</v>
      </c>
      <c r="J170" t="s">
        <v>206</v>
      </c>
      <c r="K170" t="s">
        <v>681</v>
      </c>
      <c r="L170" s="4"/>
      <c r="M170" t="s">
        <v>681</v>
      </c>
      <c r="N170" s="5">
        <v>30811293</v>
      </c>
      <c r="O170" s="5">
        <v>121901</v>
      </c>
      <c r="P170" s="5">
        <v>23161</v>
      </c>
      <c r="Q170" s="5">
        <v>145062</v>
      </c>
    </row>
    <row r="171" spans="1:17" x14ac:dyDescent="0.25">
      <c r="A171" t="s">
        <v>512</v>
      </c>
      <c r="B171" t="s">
        <v>494</v>
      </c>
      <c r="C171">
        <v>76005843</v>
      </c>
      <c r="D171">
        <v>2</v>
      </c>
      <c r="E171">
        <v>30839852</v>
      </c>
      <c r="F171" t="s">
        <v>529</v>
      </c>
      <c r="G171" s="1">
        <v>45229</v>
      </c>
      <c r="H171">
        <v>5410056</v>
      </c>
      <c r="I171">
        <v>181</v>
      </c>
      <c r="J171" t="s">
        <v>206</v>
      </c>
      <c r="K171" t="s">
        <v>681</v>
      </c>
      <c r="L171" s="4"/>
      <c r="M171" t="s">
        <v>681</v>
      </c>
      <c r="N171" s="5">
        <v>30839852</v>
      </c>
      <c r="O171" s="5">
        <v>205224</v>
      </c>
      <c r="P171" s="5">
        <v>38993</v>
      </c>
      <c r="Q171" s="5">
        <v>248487</v>
      </c>
    </row>
    <row r="172" spans="1:17" x14ac:dyDescent="0.25">
      <c r="F172" t="s">
        <v>500</v>
      </c>
      <c r="K172" t="s">
        <v>681</v>
      </c>
      <c r="L172" s="4"/>
      <c r="M172" t="s">
        <v>681</v>
      </c>
      <c r="N172" s="5"/>
      <c r="O172" s="5">
        <v>482125</v>
      </c>
      <c r="P172" s="5">
        <v>91604</v>
      </c>
      <c r="Q172" s="5">
        <v>582582</v>
      </c>
    </row>
    <row r="173" spans="1:17" x14ac:dyDescent="0.25">
      <c r="C173">
        <v>76019239</v>
      </c>
      <c r="D173">
        <v>0</v>
      </c>
      <c r="E173">
        <v>30766214</v>
      </c>
      <c r="F173" t="s">
        <v>530</v>
      </c>
      <c r="G173" s="1">
        <v>45201</v>
      </c>
      <c r="H173">
        <v>5394745</v>
      </c>
      <c r="I173">
        <v>44</v>
      </c>
      <c r="J173" t="s">
        <v>148</v>
      </c>
      <c r="K173" s="8" t="s">
        <v>742</v>
      </c>
      <c r="L173" s="4" t="s">
        <v>0</v>
      </c>
      <c r="M173" t="s">
        <v>681</v>
      </c>
      <c r="N173" s="5">
        <v>30766214</v>
      </c>
      <c r="O173" s="5">
        <v>533452</v>
      </c>
      <c r="P173" s="5">
        <v>101356</v>
      </c>
      <c r="Q173" s="5">
        <v>634808</v>
      </c>
    </row>
    <row r="174" spans="1:17" x14ac:dyDescent="0.25">
      <c r="C174">
        <v>76019239</v>
      </c>
      <c r="D174">
        <v>0</v>
      </c>
      <c r="E174">
        <v>30766214</v>
      </c>
      <c r="F174" t="s">
        <v>530</v>
      </c>
      <c r="G174" s="1">
        <v>45201</v>
      </c>
      <c r="H174">
        <v>5394746</v>
      </c>
      <c r="I174">
        <v>44</v>
      </c>
      <c r="J174" t="s">
        <v>148</v>
      </c>
      <c r="K174" s="8" t="s">
        <v>742</v>
      </c>
      <c r="L174" s="4" t="s">
        <v>0</v>
      </c>
      <c r="M174" t="s">
        <v>681</v>
      </c>
      <c r="N174" s="5">
        <v>30766214</v>
      </c>
      <c r="O174" s="5">
        <v>302434</v>
      </c>
      <c r="P174" s="5">
        <v>57462</v>
      </c>
      <c r="Q174" s="5">
        <v>360432</v>
      </c>
    </row>
    <row r="175" spans="1:17" x14ac:dyDescent="0.25">
      <c r="C175">
        <v>76019239</v>
      </c>
      <c r="D175">
        <v>0</v>
      </c>
      <c r="E175">
        <v>30766214</v>
      </c>
      <c r="F175" t="s">
        <v>530</v>
      </c>
      <c r="G175" s="1">
        <v>45215</v>
      </c>
      <c r="H175">
        <v>5404238</v>
      </c>
      <c r="I175">
        <v>44</v>
      </c>
      <c r="J175" t="s">
        <v>148</v>
      </c>
      <c r="K175" s="8" t="s">
        <v>742</v>
      </c>
      <c r="L175" s="4" t="s">
        <v>0</v>
      </c>
      <c r="M175" t="s">
        <v>681</v>
      </c>
      <c r="N175" s="5">
        <v>30766215</v>
      </c>
      <c r="O175" s="5">
        <v>12498</v>
      </c>
      <c r="P175" s="5">
        <v>2375</v>
      </c>
      <c r="Q175" s="5">
        <v>14873</v>
      </c>
    </row>
    <row r="176" spans="1:17" x14ac:dyDescent="0.25">
      <c r="F176" t="s">
        <v>500</v>
      </c>
      <c r="K176" t="s">
        <v>681</v>
      </c>
      <c r="L176" s="4"/>
      <c r="M176" t="s">
        <v>681</v>
      </c>
      <c r="N176" s="5"/>
      <c r="O176" s="5">
        <v>848384</v>
      </c>
      <c r="P176" s="5">
        <v>161193</v>
      </c>
      <c r="Q176" s="5">
        <v>1010113</v>
      </c>
    </row>
    <row r="177" spans="1:17" x14ac:dyDescent="0.25">
      <c r="A177" t="s">
        <v>512</v>
      </c>
      <c r="B177" t="s">
        <v>494</v>
      </c>
      <c r="C177">
        <v>76040171</v>
      </c>
      <c r="D177">
        <v>2</v>
      </c>
      <c r="E177">
        <v>30788875</v>
      </c>
      <c r="F177" t="s">
        <v>531</v>
      </c>
      <c r="G177" s="1">
        <v>45209</v>
      </c>
      <c r="H177">
        <v>5401096</v>
      </c>
      <c r="I177">
        <v>181</v>
      </c>
      <c r="J177" t="s">
        <v>206</v>
      </c>
      <c r="K177" t="s">
        <v>681</v>
      </c>
      <c r="L177" s="4"/>
      <c r="M177" t="s">
        <v>681</v>
      </c>
      <c r="N177" s="5">
        <v>30788875</v>
      </c>
      <c r="O177" s="5">
        <v>356201</v>
      </c>
      <c r="P177" s="5">
        <v>67678</v>
      </c>
      <c r="Q177" s="5">
        <v>423879</v>
      </c>
    </row>
    <row r="178" spans="1:17" x14ac:dyDescent="0.25">
      <c r="A178" t="s">
        <v>512</v>
      </c>
      <c r="B178" t="s">
        <v>494</v>
      </c>
      <c r="C178">
        <v>76040171</v>
      </c>
      <c r="D178">
        <v>2</v>
      </c>
      <c r="E178">
        <v>30788875</v>
      </c>
      <c r="F178" t="s">
        <v>531</v>
      </c>
      <c r="G178" s="1">
        <v>45209</v>
      </c>
      <c r="H178">
        <v>5401097</v>
      </c>
      <c r="I178">
        <v>181</v>
      </c>
      <c r="J178" t="s">
        <v>206</v>
      </c>
      <c r="K178" t="s">
        <v>681</v>
      </c>
      <c r="L178" s="4"/>
      <c r="M178" t="s">
        <v>681</v>
      </c>
      <c r="N178" s="5">
        <v>30788875</v>
      </c>
      <c r="O178" s="5">
        <v>329238</v>
      </c>
      <c r="P178" s="5">
        <v>62555</v>
      </c>
      <c r="Q178" s="5">
        <v>391793</v>
      </c>
    </row>
    <row r="179" spans="1:17" x14ac:dyDescent="0.25">
      <c r="A179" t="s">
        <v>512</v>
      </c>
      <c r="B179" t="s">
        <v>494</v>
      </c>
      <c r="C179">
        <v>76040171</v>
      </c>
      <c r="D179">
        <v>3</v>
      </c>
      <c r="E179">
        <v>30804577</v>
      </c>
      <c r="F179" t="s">
        <v>531</v>
      </c>
      <c r="G179" s="1">
        <v>45212</v>
      </c>
      <c r="H179">
        <v>5403538</v>
      </c>
      <c r="I179">
        <v>181</v>
      </c>
      <c r="J179" t="s">
        <v>206</v>
      </c>
      <c r="K179" t="s">
        <v>681</v>
      </c>
      <c r="L179" s="4"/>
      <c r="M179" t="s">
        <v>681</v>
      </c>
      <c r="N179" s="5">
        <v>30804577</v>
      </c>
      <c r="O179" s="5">
        <v>195854</v>
      </c>
      <c r="P179" s="5">
        <v>37212</v>
      </c>
      <c r="Q179" s="5">
        <v>233066</v>
      </c>
    </row>
    <row r="180" spans="1:17" x14ac:dyDescent="0.25">
      <c r="A180" t="s">
        <v>512</v>
      </c>
      <c r="B180" t="s">
        <v>494</v>
      </c>
      <c r="C180">
        <v>76040171</v>
      </c>
      <c r="D180">
        <v>2</v>
      </c>
      <c r="E180">
        <v>30835059</v>
      </c>
      <c r="F180" t="s">
        <v>531</v>
      </c>
      <c r="G180" s="1">
        <v>45225</v>
      </c>
      <c r="H180">
        <v>5409139</v>
      </c>
      <c r="I180">
        <v>181</v>
      </c>
      <c r="J180" t="s">
        <v>206</v>
      </c>
      <c r="K180" t="s">
        <v>681</v>
      </c>
      <c r="L180" s="4"/>
      <c r="M180" t="s">
        <v>681</v>
      </c>
      <c r="N180" s="5">
        <v>30835059</v>
      </c>
      <c r="O180" s="5">
        <v>256345</v>
      </c>
      <c r="P180" s="5">
        <v>48706</v>
      </c>
      <c r="Q180" s="5">
        <v>305051</v>
      </c>
    </row>
    <row r="181" spans="1:17" x14ac:dyDescent="0.25">
      <c r="A181" t="s">
        <v>512</v>
      </c>
      <c r="B181" t="s">
        <v>494</v>
      </c>
      <c r="C181">
        <v>76040171</v>
      </c>
      <c r="D181">
        <v>2</v>
      </c>
      <c r="E181">
        <v>30835059</v>
      </c>
      <c r="F181" t="s">
        <v>531</v>
      </c>
      <c r="G181" s="1">
        <v>45225</v>
      </c>
      <c r="H181">
        <v>5409140</v>
      </c>
      <c r="I181">
        <v>181</v>
      </c>
      <c r="J181" t="s">
        <v>206</v>
      </c>
      <c r="K181" t="s">
        <v>681</v>
      </c>
      <c r="L181" s="4"/>
      <c r="M181" t="s">
        <v>681</v>
      </c>
      <c r="N181" s="5">
        <v>30835059</v>
      </c>
      <c r="O181" s="5">
        <v>113177</v>
      </c>
      <c r="P181" s="5">
        <v>21504</v>
      </c>
      <c r="Q181" s="5">
        <v>134681</v>
      </c>
    </row>
    <row r="182" spans="1:17" x14ac:dyDescent="0.25">
      <c r="F182" t="s">
        <v>499</v>
      </c>
      <c r="K182" t="s">
        <v>681</v>
      </c>
      <c r="L182" s="4"/>
      <c r="M182" t="s">
        <v>681</v>
      </c>
      <c r="N182" s="5"/>
      <c r="O182" s="5">
        <v>1250815</v>
      </c>
      <c r="P182" s="5">
        <v>237655</v>
      </c>
      <c r="Q182" s="5">
        <v>1488470</v>
      </c>
    </row>
    <row r="183" spans="1:17" x14ac:dyDescent="0.25">
      <c r="A183" t="s">
        <v>496</v>
      </c>
      <c r="B183" t="s">
        <v>502</v>
      </c>
      <c r="C183">
        <v>76080246</v>
      </c>
      <c r="D183">
        <v>3</v>
      </c>
      <c r="E183">
        <v>4500457727</v>
      </c>
      <c r="F183" t="s">
        <v>535</v>
      </c>
      <c r="G183" s="1">
        <v>45202</v>
      </c>
      <c r="H183">
        <v>5395560</v>
      </c>
      <c r="I183">
        <v>71</v>
      </c>
      <c r="J183" t="s">
        <v>250</v>
      </c>
      <c r="K183" s="8" t="s">
        <v>742</v>
      </c>
      <c r="L183" s="4" t="s">
        <v>6</v>
      </c>
      <c r="M183" t="s">
        <v>681</v>
      </c>
      <c r="N183" s="5">
        <v>30763618</v>
      </c>
      <c r="O183" s="5">
        <v>205175</v>
      </c>
      <c r="P183" s="5">
        <v>38983</v>
      </c>
      <c r="Q183" s="5">
        <v>244158</v>
      </c>
    </row>
    <row r="184" spans="1:17" x14ac:dyDescent="0.25">
      <c r="F184" t="s">
        <v>495</v>
      </c>
      <c r="K184" t="s">
        <v>681</v>
      </c>
      <c r="L184" s="4"/>
      <c r="M184" t="s">
        <v>681</v>
      </c>
      <c r="N184" s="5"/>
      <c r="O184" s="5">
        <v>205175</v>
      </c>
      <c r="P184" s="5">
        <v>38983</v>
      </c>
      <c r="Q184" s="5">
        <v>244158</v>
      </c>
    </row>
    <row r="185" spans="1:17" x14ac:dyDescent="0.25">
      <c r="A185" t="s">
        <v>496</v>
      </c>
      <c r="B185" t="s">
        <v>494</v>
      </c>
      <c r="C185">
        <v>76102677</v>
      </c>
      <c r="D185">
        <v>0</v>
      </c>
      <c r="E185">
        <v>4723</v>
      </c>
      <c r="F185" t="s">
        <v>766</v>
      </c>
      <c r="G185" s="1">
        <v>45230</v>
      </c>
      <c r="H185">
        <v>5410439</v>
      </c>
      <c r="I185">
        <v>475</v>
      </c>
      <c r="K185" s="8" t="s">
        <v>742</v>
      </c>
      <c r="L185" s="4" t="s">
        <v>41</v>
      </c>
      <c r="M185" t="s">
        <v>681</v>
      </c>
      <c r="N185" s="5">
        <v>30835176</v>
      </c>
      <c r="O185" s="5">
        <v>317155</v>
      </c>
      <c r="P185" s="5">
        <v>60259</v>
      </c>
      <c r="Q185" s="5">
        <v>377414</v>
      </c>
    </row>
    <row r="186" spans="1:17" x14ac:dyDescent="0.25">
      <c r="F186" t="s">
        <v>495</v>
      </c>
      <c r="K186" t="s">
        <v>681</v>
      </c>
      <c r="L186" s="4"/>
      <c r="M186" t="s">
        <v>681</v>
      </c>
      <c r="N186" s="5"/>
      <c r="O186" s="5">
        <v>317155</v>
      </c>
      <c r="P186" s="5">
        <v>60259</v>
      </c>
      <c r="Q186" s="5">
        <v>377414</v>
      </c>
    </row>
    <row r="187" spans="1:17" x14ac:dyDescent="0.25">
      <c r="A187" t="s">
        <v>496</v>
      </c>
      <c r="B187" t="s">
        <v>494</v>
      </c>
      <c r="C187">
        <v>76107905</v>
      </c>
      <c r="D187">
        <v>63</v>
      </c>
      <c r="E187">
        <v>30770763</v>
      </c>
      <c r="F187" t="s">
        <v>536</v>
      </c>
      <c r="G187" s="1">
        <v>45202</v>
      </c>
      <c r="H187">
        <v>5395770</v>
      </c>
      <c r="I187">
        <v>96</v>
      </c>
      <c r="J187" t="s">
        <v>140</v>
      </c>
      <c r="K187" s="8" t="s">
        <v>742</v>
      </c>
      <c r="L187" s="4" t="s">
        <v>827</v>
      </c>
      <c r="M187" t="s">
        <v>681</v>
      </c>
      <c r="N187" s="5">
        <v>30770763</v>
      </c>
      <c r="O187" s="5">
        <v>102409</v>
      </c>
      <c r="P187" s="5">
        <v>19458</v>
      </c>
      <c r="Q187" s="5">
        <v>121867</v>
      </c>
    </row>
    <row r="188" spans="1:17" x14ac:dyDescent="0.25">
      <c r="A188" t="s">
        <v>496</v>
      </c>
      <c r="B188" t="s">
        <v>494</v>
      </c>
      <c r="C188">
        <v>76107905</v>
      </c>
      <c r="D188">
        <v>0</v>
      </c>
      <c r="E188">
        <v>30772548</v>
      </c>
      <c r="F188" t="s">
        <v>536</v>
      </c>
      <c r="G188" s="1">
        <v>45202</v>
      </c>
      <c r="H188">
        <v>5396053</v>
      </c>
      <c r="I188">
        <v>96</v>
      </c>
      <c r="J188" t="s">
        <v>140</v>
      </c>
      <c r="K188" s="8" t="s">
        <v>742</v>
      </c>
      <c r="L188" s="4" t="s">
        <v>827</v>
      </c>
      <c r="M188" t="s">
        <v>681</v>
      </c>
      <c r="N188" s="5">
        <v>30772548</v>
      </c>
      <c r="O188" s="5">
        <v>56136</v>
      </c>
      <c r="P188" s="5">
        <v>10666</v>
      </c>
      <c r="Q188" s="5">
        <v>66802</v>
      </c>
    </row>
    <row r="189" spans="1:17" x14ac:dyDescent="0.25">
      <c r="A189" t="s">
        <v>496</v>
      </c>
      <c r="B189" t="s">
        <v>494</v>
      </c>
      <c r="C189">
        <v>76107905</v>
      </c>
      <c r="D189">
        <v>1</v>
      </c>
      <c r="E189">
        <v>30773136</v>
      </c>
      <c r="F189" t="s">
        <v>536</v>
      </c>
      <c r="G189" s="1">
        <v>45202</v>
      </c>
      <c r="H189">
        <v>5396103</v>
      </c>
      <c r="I189">
        <v>96</v>
      </c>
      <c r="J189" t="s">
        <v>140</v>
      </c>
      <c r="K189" s="8" t="s">
        <v>742</v>
      </c>
      <c r="L189" s="4" t="s">
        <v>827</v>
      </c>
      <c r="M189" t="s">
        <v>681</v>
      </c>
      <c r="N189" s="5">
        <v>30773136</v>
      </c>
      <c r="O189" s="5">
        <v>67570</v>
      </c>
      <c r="P189" s="5">
        <v>12838</v>
      </c>
      <c r="Q189" s="5">
        <v>80408</v>
      </c>
    </row>
    <row r="190" spans="1:17" x14ac:dyDescent="0.25">
      <c r="A190" t="s">
        <v>496</v>
      </c>
      <c r="B190" t="s">
        <v>494</v>
      </c>
      <c r="C190">
        <v>76107905</v>
      </c>
      <c r="D190">
        <v>52</v>
      </c>
      <c r="E190">
        <v>30773363</v>
      </c>
      <c r="F190" t="s">
        <v>536</v>
      </c>
      <c r="G190" s="1">
        <v>45202</v>
      </c>
      <c r="H190">
        <v>5396126</v>
      </c>
      <c r="I190">
        <v>96</v>
      </c>
      <c r="J190" t="s">
        <v>140</v>
      </c>
      <c r="K190" s="8" t="s">
        <v>742</v>
      </c>
      <c r="L190" s="4" t="s">
        <v>827</v>
      </c>
      <c r="M190" t="s">
        <v>681</v>
      </c>
      <c r="N190" s="5">
        <v>30773363</v>
      </c>
      <c r="O190" s="5">
        <v>22157</v>
      </c>
      <c r="P190" s="5">
        <v>4210</v>
      </c>
      <c r="Q190" s="5">
        <v>26367</v>
      </c>
    </row>
    <row r="191" spans="1:17" x14ac:dyDescent="0.25">
      <c r="A191" t="s">
        <v>496</v>
      </c>
      <c r="B191" t="s">
        <v>494</v>
      </c>
      <c r="C191">
        <v>76107905</v>
      </c>
      <c r="D191">
        <v>52</v>
      </c>
      <c r="E191">
        <v>30773336</v>
      </c>
      <c r="F191" t="s">
        <v>536</v>
      </c>
      <c r="G191" s="1">
        <v>45202</v>
      </c>
      <c r="H191">
        <v>5396197</v>
      </c>
      <c r="I191">
        <v>96</v>
      </c>
      <c r="J191" t="s">
        <v>140</v>
      </c>
      <c r="K191" s="8" t="s">
        <v>742</v>
      </c>
      <c r="L191" s="4" t="s">
        <v>827</v>
      </c>
      <c r="M191" t="s">
        <v>681</v>
      </c>
      <c r="N191" s="5">
        <v>30773336</v>
      </c>
      <c r="O191" s="5">
        <v>131159</v>
      </c>
      <c r="P191" s="5">
        <v>24920</v>
      </c>
      <c r="Q191" s="5">
        <v>156079</v>
      </c>
    </row>
    <row r="192" spans="1:17" x14ac:dyDescent="0.25">
      <c r="A192" t="s">
        <v>496</v>
      </c>
      <c r="B192" t="s">
        <v>494</v>
      </c>
      <c r="C192">
        <v>76107905</v>
      </c>
      <c r="D192">
        <v>52</v>
      </c>
      <c r="E192">
        <v>30773336</v>
      </c>
      <c r="F192" t="s">
        <v>536</v>
      </c>
      <c r="G192" s="1">
        <v>45202</v>
      </c>
      <c r="H192">
        <v>5396198</v>
      </c>
      <c r="I192">
        <v>96</v>
      </c>
      <c r="J192" t="s">
        <v>140</v>
      </c>
      <c r="K192" s="8" t="s">
        <v>742</v>
      </c>
      <c r="L192" s="4" t="s">
        <v>827</v>
      </c>
      <c r="M192" t="s">
        <v>681</v>
      </c>
      <c r="N192" s="5">
        <v>30773336</v>
      </c>
      <c r="O192" s="5">
        <v>47004</v>
      </c>
      <c r="P192" s="5">
        <v>8931</v>
      </c>
      <c r="Q192" s="5">
        <v>55935</v>
      </c>
    </row>
    <row r="193" spans="1:17" x14ac:dyDescent="0.25">
      <c r="A193" t="s">
        <v>496</v>
      </c>
      <c r="B193" t="s">
        <v>494</v>
      </c>
      <c r="C193">
        <v>76107905</v>
      </c>
      <c r="D193">
        <v>80</v>
      </c>
      <c r="E193">
        <v>30774405</v>
      </c>
      <c r="F193" t="s">
        <v>536</v>
      </c>
      <c r="G193" s="1">
        <v>45203</v>
      </c>
      <c r="H193">
        <v>5397424</v>
      </c>
      <c r="I193">
        <v>96</v>
      </c>
      <c r="J193" t="s">
        <v>140</v>
      </c>
      <c r="K193" s="8" t="s">
        <v>742</v>
      </c>
      <c r="L193" s="4" t="s">
        <v>827</v>
      </c>
      <c r="M193" t="s">
        <v>681</v>
      </c>
      <c r="N193" s="5">
        <v>30774405</v>
      </c>
      <c r="O193" s="5">
        <v>39412</v>
      </c>
      <c r="P193" s="5">
        <v>7488</v>
      </c>
      <c r="Q193" s="5">
        <v>46900</v>
      </c>
    </row>
    <row r="194" spans="1:17" x14ac:dyDescent="0.25">
      <c r="A194" t="s">
        <v>496</v>
      </c>
      <c r="B194" t="s">
        <v>494</v>
      </c>
      <c r="C194">
        <v>76107905</v>
      </c>
      <c r="D194">
        <v>46</v>
      </c>
      <c r="E194">
        <v>30776186</v>
      </c>
      <c r="F194" t="s">
        <v>536</v>
      </c>
      <c r="G194" s="1">
        <v>45204</v>
      </c>
      <c r="H194">
        <v>5397810</v>
      </c>
      <c r="I194">
        <v>96</v>
      </c>
      <c r="J194" t="s">
        <v>140</v>
      </c>
      <c r="K194" s="8" t="s">
        <v>742</v>
      </c>
      <c r="L194" s="4" t="s">
        <v>827</v>
      </c>
      <c r="M194" t="s">
        <v>681</v>
      </c>
      <c r="N194" s="5">
        <v>30776186</v>
      </c>
      <c r="O194" s="5">
        <v>53839</v>
      </c>
      <c r="P194" s="5">
        <v>10229</v>
      </c>
      <c r="Q194" s="5">
        <v>64068</v>
      </c>
    </row>
    <row r="195" spans="1:17" x14ac:dyDescent="0.25">
      <c r="A195" t="s">
        <v>496</v>
      </c>
      <c r="B195" t="s">
        <v>494</v>
      </c>
      <c r="C195">
        <v>76107905</v>
      </c>
      <c r="D195">
        <v>12</v>
      </c>
      <c r="E195">
        <v>30776239</v>
      </c>
      <c r="F195" t="s">
        <v>536</v>
      </c>
      <c r="G195" s="1">
        <v>45204</v>
      </c>
      <c r="H195">
        <v>5397815</v>
      </c>
      <c r="I195">
        <v>96</v>
      </c>
      <c r="J195" t="s">
        <v>140</v>
      </c>
      <c r="K195" s="8" t="s">
        <v>742</v>
      </c>
      <c r="L195" s="4" t="s">
        <v>827</v>
      </c>
      <c r="M195" t="s">
        <v>681</v>
      </c>
      <c r="N195" s="5">
        <v>30776239</v>
      </c>
      <c r="O195" s="5">
        <v>143569</v>
      </c>
      <c r="P195" s="5">
        <v>27278</v>
      </c>
      <c r="Q195" s="5">
        <v>170847</v>
      </c>
    </row>
    <row r="196" spans="1:17" x14ac:dyDescent="0.25">
      <c r="A196" t="s">
        <v>496</v>
      </c>
      <c r="B196" t="s">
        <v>494</v>
      </c>
      <c r="C196">
        <v>76107905</v>
      </c>
      <c r="D196">
        <v>63</v>
      </c>
      <c r="E196">
        <v>30775910</v>
      </c>
      <c r="F196" t="s">
        <v>536</v>
      </c>
      <c r="G196" s="1">
        <v>45204</v>
      </c>
      <c r="H196">
        <v>5398044</v>
      </c>
      <c r="I196">
        <v>96</v>
      </c>
      <c r="J196" t="s">
        <v>140</v>
      </c>
      <c r="K196" s="8" t="s">
        <v>742</v>
      </c>
      <c r="L196" s="4" t="s">
        <v>827</v>
      </c>
      <c r="M196" t="s">
        <v>681</v>
      </c>
      <c r="N196" s="5">
        <v>30775910</v>
      </c>
      <c r="O196" s="5">
        <v>102113</v>
      </c>
      <c r="P196" s="5">
        <v>19401</v>
      </c>
      <c r="Q196" s="5">
        <v>121514</v>
      </c>
    </row>
    <row r="197" spans="1:17" x14ac:dyDescent="0.25">
      <c r="A197" t="s">
        <v>496</v>
      </c>
      <c r="B197" t="s">
        <v>494</v>
      </c>
      <c r="C197">
        <v>76107905</v>
      </c>
      <c r="D197">
        <v>36</v>
      </c>
      <c r="E197">
        <v>30777966</v>
      </c>
      <c r="F197" t="s">
        <v>536</v>
      </c>
      <c r="G197" s="1">
        <v>45204</v>
      </c>
      <c r="H197">
        <v>5398180</v>
      </c>
      <c r="I197">
        <v>96</v>
      </c>
      <c r="J197" t="s">
        <v>140</v>
      </c>
      <c r="K197" s="8" t="s">
        <v>742</v>
      </c>
      <c r="L197" s="4" t="s">
        <v>827</v>
      </c>
      <c r="M197" t="s">
        <v>681</v>
      </c>
      <c r="N197" s="5">
        <v>30777966</v>
      </c>
      <c r="O197" s="5">
        <v>23890</v>
      </c>
      <c r="P197" s="5">
        <v>4539</v>
      </c>
      <c r="Q197" s="5">
        <v>28429</v>
      </c>
    </row>
    <row r="198" spans="1:17" x14ac:dyDescent="0.25">
      <c r="A198" t="s">
        <v>496</v>
      </c>
      <c r="B198" t="s">
        <v>494</v>
      </c>
      <c r="C198">
        <v>76107905</v>
      </c>
      <c r="D198">
        <v>46</v>
      </c>
      <c r="E198">
        <v>30776497</v>
      </c>
      <c r="F198" t="s">
        <v>536</v>
      </c>
      <c r="G198" s="1">
        <v>45204</v>
      </c>
      <c r="H198">
        <v>5398200</v>
      </c>
      <c r="I198">
        <v>96</v>
      </c>
      <c r="J198" t="s">
        <v>140</v>
      </c>
      <c r="K198" s="8" t="s">
        <v>742</v>
      </c>
      <c r="L198" s="4" t="s">
        <v>827</v>
      </c>
      <c r="M198" t="s">
        <v>681</v>
      </c>
      <c r="N198" s="5">
        <v>30776497</v>
      </c>
      <c r="O198" s="5">
        <v>110553</v>
      </c>
      <c r="P198" s="5">
        <v>21005</v>
      </c>
      <c r="Q198" s="5">
        <v>131558</v>
      </c>
    </row>
    <row r="199" spans="1:17" x14ac:dyDescent="0.25">
      <c r="A199" t="s">
        <v>496</v>
      </c>
      <c r="B199" t="s">
        <v>494</v>
      </c>
      <c r="C199">
        <v>76107905</v>
      </c>
      <c r="D199">
        <v>71</v>
      </c>
      <c r="E199">
        <v>30781457</v>
      </c>
      <c r="F199" t="s">
        <v>536</v>
      </c>
      <c r="G199" s="1">
        <v>45205</v>
      </c>
      <c r="H199">
        <v>5398453</v>
      </c>
      <c r="I199">
        <v>96</v>
      </c>
      <c r="J199" t="s">
        <v>140</v>
      </c>
      <c r="K199" s="8" t="s">
        <v>742</v>
      </c>
      <c r="L199" s="4" t="s">
        <v>827</v>
      </c>
      <c r="M199" t="s">
        <v>681</v>
      </c>
      <c r="N199" s="5">
        <v>30781457</v>
      </c>
      <c r="O199" s="5">
        <v>32504</v>
      </c>
      <c r="P199" s="5">
        <v>6176</v>
      </c>
      <c r="Q199" s="5">
        <v>38680</v>
      </c>
    </row>
    <row r="200" spans="1:17" x14ac:dyDescent="0.25">
      <c r="A200" t="s">
        <v>496</v>
      </c>
      <c r="B200" t="s">
        <v>494</v>
      </c>
      <c r="C200">
        <v>76107905</v>
      </c>
      <c r="D200">
        <v>71</v>
      </c>
      <c r="E200">
        <v>30781471</v>
      </c>
      <c r="F200" t="s">
        <v>536</v>
      </c>
      <c r="G200" s="1">
        <v>45205</v>
      </c>
      <c r="H200">
        <v>5398499</v>
      </c>
      <c r="I200">
        <v>96</v>
      </c>
      <c r="J200" t="s">
        <v>140</v>
      </c>
      <c r="K200" s="8" t="s">
        <v>742</v>
      </c>
      <c r="L200" s="4" t="s">
        <v>827</v>
      </c>
      <c r="M200" t="s">
        <v>681</v>
      </c>
      <c r="N200" s="5">
        <v>30781471</v>
      </c>
      <c r="O200" s="5">
        <v>170046</v>
      </c>
      <c r="P200" s="5">
        <v>32309</v>
      </c>
      <c r="Q200" s="5">
        <v>202355</v>
      </c>
    </row>
    <row r="201" spans="1:17" x14ac:dyDescent="0.25">
      <c r="A201" t="s">
        <v>496</v>
      </c>
      <c r="B201" t="s">
        <v>494</v>
      </c>
      <c r="C201">
        <v>76107905</v>
      </c>
      <c r="D201">
        <v>14</v>
      </c>
      <c r="E201">
        <v>30781101</v>
      </c>
      <c r="F201" t="s">
        <v>536</v>
      </c>
      <c r="G201" s="1">
        <v>45205</v>
      </c>
      <c r="H201">
        <v>5398770</v>
      </c>
      <c r="I201">
        <v>96</v>
      </c>
      <c r="J201" t="s">
        <v>140</v>
      </c>
      <c r="K201" s="8" t="s">
        <v>742</v>
      </c>
      <c r="L201" s="4" t="s">
        <v>827</v>
      </c>
      <c r="M201" t="s">
        <v>681</v>
      </c>
      <c r="N201" s="5">
        <v>30781101</v>
      </c>
      <c r="O201" s="5">
        <v>146329</v>
      </c>
      <c r="P201" s="5">
        <v>27803</v>
      </c>
      <c r="Q201" s="5">
        <v>174132</v>
      </c>
    </row>
    <row r="202" spans="1:17" x14ac:dyDescent="0.25">
      <c r="A202" t="s">
        <v>496</v>
      </c>
      <c r="B202" t="s">
        <v>494</v>
      </c>
      <c r="C202">
        <v>76107905</v>
      </c>
      <c r="D202">
        <v>31</v>
      </c>
      <c r="E202">
        <v>30781089</v>
      </c>
      <c r="F202" t="s">
        <v>536</v>
      </c>
      <c r="G202" s="1">
        <v>45205</v>
      </c>
      <c r="H202">
        <v>5398809</v>
      </c>
      <c r="I202">
        <v>96</v>
      </c>
      <c r="J202" t="s">
        <v>140</v>
      </c>
      <c r="K202" s="8" t="s">
        <v>742</v>
      </c>
      <c r="L202" s="4" t="s">
        <v>827</v>
      </c>
      <c r="M202" t="s">
        <v>681</v>
      </c>
      <c r="N202" s="5">
        <v>30781089</v>
      </c>
      <c r="O202" s="5">
        <v>96547</v>
      </c>
      <c r="P202" s="5">
        <v>18344</v>
      </c>
      <c r="Q202" s="5">
        <v>114891</v>
      </c>
    </row>
    <row r="203" spans="1:17" x14ac:dyDescent="0.25">
      <c r="A203" t="s">
        <v>496</v>
      </c>
      <c r="B203" t="s">
        <v>494</v>
      </c>
      <c r="C203">
        <v>76107905</v>
      </c>
      <c r="D203">
        <v>73</v>
      </c>
      <c r="E203">
        <v>30785450</v>
      </c>
      <c r="F203" t="s">
        <v>536</v>
      </c>
      <c r="G203" s="1">
        <v>45209</v>
      </c>
      <c r="H203">
        <v>5400693</v>
      </c>
      <c r="I203">
        <v>96</v>
      </c>
      <c r="J203" t="s">
        <v>140</v>
      </c>
      <c r="K203" s="8" t="s">
        <v>742</v>
      </c>
      <c r="L203" s="4" t="s">
        <v>827</v>
      </c>
      <c r="M203" t="s">
        <v>681</v>
      </c>
      <c r="N203" s="5">
        <v>30785450</v>
      </c>
      <c r="O203" s="5">
        <v>825103</v>
      </c>
      <c r="P203" s="5">
        <v>156770</v>
      </c>
      <c r="Q203" s="5">
        <v>981873</v>
      </c>
    </row>
    <row r="204" spans="1:17" x14ac:dyDescent="0.25">
      <c r="A204" t="s">
        <v>496</v>
      </c>
      <c r="B204" t="s">
        <v>494</v>
      </c>
      <c r="C204">
        <v>76107905</v>
      </c>
      <c r="D204">
        <v>54</v>
      </c>
      <c r="E204">
        <v>30785448</v>
      </c>
      <c r="F204" t="s">
        <v>536</v>
      </c>
      <c r="G204" s="1">
        <v>45209</v>
      </c>
      <c r="H204">
        <v>5400749</v>
      </c>
      <c r="I204">
        <v>96</v>
      </c>
      <c r="J204" t="s">
        <v>140</v>
      </c>
      <c r="K204" s="8" t="s">
        <v>742</v>
      </c>
      <c r="L204" s="4" t="s">
        <v>827</v>
      </c>
      <c r="M204" t="s">
        <v>681</v>
      </c>
      <c r="N204" s="5">
        <v>30785448</v>
      </c>
      <c r="O204" s="5">
        <v>157660</v>
      </c>
      <c r="P204" s="5">
        <v>29955</v>
      </c>
      <c r="Q204" s="5">
        <v>187615</v>
      </c>
    </row>
    <row r="205" spans="1:17" x14ac:dyDescent="0.25">
      <c r="A205" t="s">
        <v>496</v>
      </c>
      <c r="B205" t="s">
        <v>494</v>
      </c>
      <c r="C205">
        <v>76107905</v>
      </c>
      <c r="D205">
        <v>37</v>
      </c>
      <c r="E205">
        <v>30788423</v>
      </c>
      <c r="F205" t="s">
        <v>536</v>
      </c>
      <c r="G205" s="1">
        <v>45209</v>
      </c>
      <c r="H205">
        <v>5400987</v>
      </c>
      <c r="I205">
        <v>96</v>
      </c>
      <c r="J205" t="s">
        <v>140</v>
      </c>
      <c r="K205" s="8" t="s">
        <v>742</v>
      </c>
      <c r="L205" s="4" t="s">
        <v>827</v>
      </c>
      <c r="M205" t="s">
        <v>681</v>
      </c>
      <c r="N205" s="5">
        <v>30788423</v>
      </c>
      <c r="O205" s="5">
        <v>108980</v>
      </c>
      <c r="P205" s="5">
        <v>20706</v>
      </c>
      <c r="Q205" s="5">
        <v>129686</v>
      </c>
    </row>
    <row r="206" spans="1:17" x14ac:dyDescent="0.25">
      <c r="A206" t="s">
        <v>496</v>
      </c>
      <c r="B206" t="s">
        <v>494</v>
      </c>
      <c r="C206">
        <v>76107905</v>
      </c>
      <c r="D206">
        <v>78</v>
      </c>
      <c r="E206">
        <v>30793123</v>
      </c>
      <c r="F206" t="s">
        <v>536</v>
      </c>
      <c r="G206" s="1">
        <v>45209</v>
      </c>
      <c r="H206">
        <v>5401534</v>
      </c>
      <c r="I206">
        <v>96</v>
      </c>
      <c r="J206" t="s">
        <v>140</v>
      </c>
      <c r="K206" s="8" t="s">
        <v>742</v>
      </c>
      <c r="L206" s="4" t="s">
        <v>827</v>
      </c>
      <c r="M206" t="s">
        <v>681</v>
      </c>
      <c r="N206" s="5">
        <v>30793123</v>
      </c>
      <c r="O206" s="5">
        <v>56425</v>
      </c>
      <c r="P206" s="5">
        <v>10721</v>
      </c>
      <c r="Q206" s="5">
        <v>67146</v>
      </c>
    </row>
    <row r="207" spans="1:17" x14ac:dyDescent="0.25">
      <c r="A207" t="s">
        <v>496</v>
      </c>
      <c r="B207" t="s">
        <v>494</v>
      </c>
      <c r="C207">
        <v>76107905</v>
      </c>
      <c r="D207">
        <v>25</v>
      </c>
      <c r="E207">
        <v>30795291</v>
      </c>
      <c r="F207" t="s">
        <v>536</v>
      </c>
      <c r="G207" s="1">
        <v>45210</v>
      </c>
      <c r="H207">
        <v>5401682</v>
      </c>
      <c r="I207">
        <v>96</v>
      </c>
      <c r="J207" t="s">
        <v>140</v>
      </c>
      <c r="K207" s="8" t="s">
        <v>742</v>
      </c>
      <c r="L207" s="4" t="s">
        <v>827</v>
      </c>
      <c r="M207" t="s">
        <v>681</v>
      </c>
      <c r="N207" s="5">
        <v>30795291</v>
      </c>
      <c r="O207" s="5">
        <v>60606</v>
      </c>
      <c r="P207" s="5">
        <v>11515</v>
      </c>
      <c r="Q207" s="5">
        <v>72121</v>
      </c>
    </row>
    <row r="208" spans="1:17" x14ac:dyDescent="0.25">
      <c r="A208" t="s">
        <v>496</v>
      </c>
      <c r="B208" t="s">
        <v>494</v>
      </c>
      <c r="C208">
        <v>76107905</v>
      </c>
      <c r="D208">
        <v>46</v>
      </c>
      <c r="E208">
        <v>30800302</v>
      </c>
      <c r="F208" t="s">
        <v>536</v>
      </c>
      <c r="G208" s="1">
        <v>45211</v>
      </c>
      <c r="H208">
        <v>5402762</v>
      </c>
      <c r="I208">
        <v>96</v>
      </c>
      <c r="J208" t="s">
        <v>140</v>
      </c>
      <c r="K208" s="8" t="s">
        <v>742</v>
      </c>
      <c r="L208" s="4" t="s">
        <v>827</v>
      </c>
      <c r="M208" t="s">
        <v>681</v>
      </c>
      <c r="N208" s="5">
        <v>30800302</v>
      </c>
      <c r="O208" s="5">
        <v>49200</v>
      </c>
      <c r="P208" s="5">
        <v>9348</v>
      </c>
      <c r="Q208" s="5">
        <v>58548</v>
      </c>
    </row>
    <row r="209" spans="1:17" x14ac:dyDescent="0.25">
      <c r="A209" t="s">
        <v>496</v>
      </c>
      <c r="B209" t="s">
        <v>494</v>
      </c>
      <c r="C209">
        <v>76107905</v>
      </c>
      <c r="D209">
        <v>76</v>
      </c>
      <c r="E209">
        <v>30800043</v>
      </c>
      <c r="F209" t="s">
        <v>536</v>
      </c>
      <c r="G209" s="1">
        <v>45211</v>
      </c>
      <c r="H209">
        <v>5403069</v>
      </c>
      <c r="I209">
        <v>96</v>
      </c>
      <c r="J209" t="s">
        <v>140</v>
      </c>
      <c r="K209" s="8" t="s">
        <v>742</v>
      </c>
      <c r="L209" s="4" t="s">
        <v>827</v>
      </c>
      <c r="M209" t="s">
        <v>681</v>
      </c>
      <c r="N209" s="5">
        <v>30800043</v>
      </c>
      <c r="O209" s="5">
        <v>202467</v>
      </c>
      <c r="P209" s="5">
        <v>38469</v>
      </c>
      <c r="Q209" s="5">
        <v>240936</v>
      </c>
    </row>
    <row r="210" spans="1:17" x14ac:dyDescent="0.25">
      <c r="A210" t="s">
        <v>496</v>
      </c>
      <c r="B210" t="s">
        <v>494</v>
      </c>
      <c r="C210">
        <v>76107905</v>
      </c>
      <c r="D210">
        <v>32</v>
      </c>
      <c r="E210">
        <v>30801366</v>
      </c>
      <c r="F210" t="s">
        <v>536</v>
      </c>
      <c r="G210" s="1">
        <v>45211</v>
      </c>
      <c r="H210">
        <v>5403249</v>
      </c>
      <c r="I210">
        <v>96</v>
      </c>
      <c r="J210" t="s">
        <v>140</v>
      </c>
      <c r="K210" s="8" t="s">
        <v>742</v>
      </c>
      <c r="L210" s="4" t="s">
        <v>827</v>
      </c>
      <c r="M210" t="s">
        <v>681</v>
      </c>
      <c r="N210" s="5">
        <v>30801366</v>
      </c>
      <c r="O210" s="5">
        <v>43220</v>
      </c>
      <c r="P210" s="5">
        <v>8212</v>
      </c>
      <c r="Q210" s="5">
        <v>51432</v>
      </c>
    </row>
    <row r="211" spans="1:17" x14ac:dyDescent="0.25">
      <c r="A211" t="s">
        <v>496</v>
      </c>
      <c r="B211" t="s">
        <v>494</v>
      </c>
      <c r="C211">
        <v>76107905</v>
      </c>
      <c r="D211">
        <v>30</v>
      </c>
      <c r="E211">
        <v>30805605</v>
      </c>
      <c r="F211" t="s">
        <v>536</v>
      </c>
      <c r="G211" s="1">
        <v>45212</v>
      </c>
      <c r="H211">
        <v>5403683</v>
      </c>
      <c r="I211">
        <v>96</v>
      </c>
      <c r="J211" t="s">
        <v>140</v>
      </c>
      <c r="K211" s="8" t="s">
        <v>742</v>
      </c>
      <c r="L211" s="4" t="s">
        <v>827</v>
      </c>
      <c r="M211" t="s">
        <v>681</v>
      </c>
      <c r="N211" s="5">
        <v>30805605</v>
      </c>
      <c r="O211" s="5">
        <v>423645</v>
      </c>
      <c r="P211" s="5">
        <v>80493</v>
      </c>
      <c r="Q211" s="5">
        <v>504138</v>
      </c>
    </row>
    <row r="212" spans="1:17" x14ac:dyDescent="0.25">
      <c r="A212" t="s">
        <v>496</v>
      </c>
      <c r="B212" t="s">
        <v>494</v>
      </c>
      <c r="C212">
        <v>76107905</v>
      </c>
      <c r="D212">
        <v>0</v>
      </c>
      <c r="E212">
        <v>30808104</v>
      </c>
      <c r="F212" t="s">
        <v>536</v>
      </c>
      <c r="G212" s="1">
        <v>45213</v>
      </c>
      <c r="H212">
        <v>5404676</v>
      </c>
      <c r="I212">
        <v>96</v>
      </c>
      <c r="J212" t="s">
        <v>140</v>
      </c>
      <c r="K212" s="8" t="s">
        <v>742</v>
      </c>
      <c r="L212" s="4" t="s">
        <v>827</v>
      </c>
      <c r="M212" t="s">
        <v>681</v>
      </c>
      <c r="N212" s="5">
        <v>30808104</v>
      </c>
      <c r="O212" s="5">
        <v>25658</v>
      </c>
      <c r="P212" s="5">
        <v>4875</v>
      </c>
      <c r="Q212" s="5">
        <v>30533</v>
      </c>
    </row>
    <row r="213" spans="1:17" x14ac:dyDescent="0.25">
      <c r="A213" t="s">
        <v>496</v>
      </c>
      <c r="B213" t="s">
        <v>494</v>
      </c>
      <c r="C213">
        <v>76107905</v>
      </c>
      <c r="D213">
        <v>23</v>
      </c>
      <c r="E213">
        <v>30809269</v>
      </c>
      <c r="F213" t="s">
        <v>536</v>
      </c>
      <c r="G213" s="1">
        <v>45215</v>
      </c>
      <c r="H213">
        <v>5405216</v>
      </c>
      <c r="I213">
        <v>96</v>
      </c>
      <c r="J213" t="s">
        <v>140</v>
      </c>
      <c r="K213" s="8" t="s">
        <v>742</v>
      </c>
      <c r="L213" s="4" t="s">
        <v>827</v>
      </c>
      <c r="M213" t="s">
        <v>681</v>
      </c>
      <c r="N213" s="5">
        <v>30809269</v>
      </c>
      <c r="O213" s="5">
        <v>59111</v>
      </c>
      <c r="P213" s="5">
        <v>11231</v>
      </c>
      <c r="Q213" s="5">
        <v>70342</v>
      </c>
    </row>
    <row r="214" spans="1:17" x14ac:dyDescent="0.25">
      <c r="A214" t="s">
        <v>496</v>
      </c>
      <c r="B214" t="s">
        <v>494</v>
      </c>
      <c r="C214">
        <v>76107905</v>
      </c>
      <c r="D214">
        <v>73</v>
      </c>
      <c r="E214">
        <v>30811306</v>
      </c>
      <c r="F214" t="s">
        <v>536</v>
      </c>
      <c r="G214" s="1">
        <v>45216</v>
      </c>
      <c r="H214">
        <v>5405405</v>
      </c>
      <c r="I214">
        <v>96</v>
      </c>
      <c r="J214" t="s">
        <v>140</v>
      </c>
      <c r="K214" s="8" t="s">
        <v>742</v>
      </c>
      <c r="L214" s="4" t="s">
        <v>827</v>
      </c>
      <c r="M214" t="s">
        <v>681</v>
      </c>
      <c r="N214" s="5">
        <v>30811306</v>
      </c>
      <c r="O214" s="5">
        <v>281380</v>
      </c>
      <c r="P214" s="5">
        <v>53462</v>
      </c>
      <c r="Q214" s="5">
        <v>334842</v>
      </c>
    </row>
    <row r="215" spans="1:17" x14ac:dyDescent="0.25">
      <c r="A215" t="s">
        <v>496</v>
      </c>
      <c r="B215" t="s">
        <v>494</v>
      </c>
      <c r="C215">
        <v>76107905</v>
      </c>
      <c r="D215">
        <v>26</v>
      </c>
      <c r="E215">
        <v>30811968</v>
      </c>
      <c r="F215" t="s">
        <v>536</v>
      </c>
      <c r="G215" s="1">
        <v>45216</v>
      </c>
      <c r="H215">
        <v>5405530</v>
      </c>
      <c r="I215">
        <v>96</v>
      </c>
      <c r="J215" t="s">
        <v>140</v>
      </c>
      <c r="K215" s="8" t="s">
        <v>742</v>
      </c>
      <c r="L215" s="4" t="s">
        <v>827</v>
      </c>
      <c r="M215" t="s">
        <v>681</v>
      </c>
      <c r="N215" s="5">
        <v>30811968</v>
      </c>
      <c r="O215" s="5">
        <v>298911</v>
      </c>
      <c r="P215" s="5">
        <v>56793</v>
      </c>
      <c r="Q215" s="5">
        <v>355704</v>
      </c>
    </row>
    <row r="216" spans="1:17" x14ac:dyDescent="0.25">
      <c r="A216" t="s">
        <v>496</v>
      </c>
      <c r="B216" t="s">
        <v>494</v>
      </c>
      <c r="C216">
        <v>76107905</v>
      </c>
      <c r="D216">
        <v>61</v>
      </c>
      <c r="E216">
        <v>30812254</v>
      </c>
      <c r="F216" t="s">
        <v>536</v>
      </c>
      <c r="G216" s="1">
        <v>45216</v>
      </c>
      <c r="H216">
        <v>5405602</v>
      </c>
      <c r="I216">
        <v>96</v>
      </c>
      <c r="J216" t="s">
        <v>140</v>
      </c>
      <c r="K216" s="8" t="s">
        <v>742</v>
      </c>
      <c r="L216" s="4" t="s">
        <v>827</v>
      </c>
      <c r="M216" t="s">
        <v>681</v>
      </c>
      <c r="N216" s="5">
        <v>30812254</v>
      </c>
      <c r="O216" s="5">
        <v>47955</v>
      </c>
      <c r="P216" s="5">
        <v>9111</v>
      </c>
      <c r="Q216" s="5">
        <v>57066</v>
      </c>
    </row>
    <row r="217" spans="1:17" x14ac:dyDescent="0.25">
      <c r="A217" t="s">
        <v>496</v>
      </c>
      <c r="B217" t="s">
        <v>494</v>
      </c>
      <c r="C217">
        <v>76107905</v>
      </c>
      <c r="D217">
        <v>57</v>
      </c>
      <c r="E217">
        <v>30813129</v>
      </c>
      <c r="F217" t="s">
        <v>536</v>
      </c>
      <c r="G217" s="1">
        <v>45216</v>
      </c>
      <c r="H217">
        <v>5405647</v>
      </c>
      <c r="I217">
        <v>96</v>
      </c>
      <c r="J217" t="s">
        <v>140</v>
      </c>
      <c r="K217" s="8" t="s">
        <v>742</v>
      </c>
      <c r="L217" s="4" t="s">
        <v>827</v>
      </c>
      <c r="M217" t="s">
        <v>681</v>
      </c>
      <c r="N217" s="5">
        <v>30813129</v>
      </c>
      <c r="O217" s="5">
        <v>110809</v>
      </c>
      <c r="P217" s="5">
        <v>21054</v>
      </c>
      <c r="Q217" s="5">
        <v>131863</v>
      </c>
    </row>
    <row r="218" spans="1:17" x14ac:dyDescent="0.25">
      <c r="A218" t="s">
        <v>496</v>
      </c>
      <c r="B218" t="s">
        <v>494</v>
      </c>
      <c r="C218">
        <v>76107905</v>
      </c>
      <c r="D218">
        <v>52</v>
      </c>
      <c r="E218">
        <v>30813117</v>
      </c>
      <c r="F218" t="s">
        <v>536</v>
      </c>
      <c r="G218" s="1">
        <v>45216</v>
      </c>
      <c r="H218">
        <v>5405673</v>
      </c>
      <c r="I218">
        <v>96</v>
      </c>
      <c r="J218" t="s">
        <v>140</v>
      </c>
      <c r="K218" s="8" t="s">
        <v>742</v>
      </c>
      <c r="L218" s="4" t="s">
        <v>827</v>
      </c>
      <c r="M218" t="s">
        <v>681</v>
      </c>
      <c r="N218" s="5">
        <v>30813117</v>
      </c>
      <c r="O218" s="5">
        <v>56721</v>
      </c>
      <c r="P218" s="5">
        <v>10777</v>
      </c>
      <c r="Q218" s="5">
        <v>67498</v>
      </c>
    </row>
    <row r="219" spans="1:17" x14ac:dyDescent="0.25">
      <c r="A219" t="s">
        <v>496</v>
      </c>
      <c r="B219" t="s">
        <v>494</v>
      </c>
      <c r="C219">
        <v>76107905</v>
      </c>
      <c r="D219">
        <v>80</v>
      </c>
      <c r="E219">
        <v>30813146</v>
      </c>
      <c r="F219" t="s">
        <v>536</v>
      </c>
      <c r="G219" s="1">
        <v>45216</v>
      </c>
      <c r="H219">
        <v>5405726</v>
      </c>
      <c r="I219">
        <v>96</v>
      </c>
      <c r="J219" t="s">
        <v>140</v>
      </c>
      <c r="K219" s="8" t="s">
        <v>742</v>
      </c>
      <c r="L219" s="4" t="s">
        <v>827</v>
      </c>
      <c r="M219" t="s">
        <v>681</v>
      </c>
      <c r="N219" s="5">
        <v>30813146</v>
      </c>
      <c r="O219" s="5">
        <v>88904</v>
      </c>
      <c r="P219" s="5">
        <v>16892</v>
      </c>
      <c r="Q219" s="5">
        <v>105796</v>
      </c>
    </row>
    <row r="220" spans="1:17" x14ac:dyDescent="0.25">
      <c r="A220" t="s">
        <v>496</v>
      </c>
      <c r="B220" t="s">
        <v>494</v>
      </c>
      <c r="C220">
        <v>76107905</v>
      </c>
      <c r="D220">
        <v>77</v>
      </c>
      <c r="E220">
        <v>30814114</v>
      </c>
      <c r="F220" t="s">
        <v>536</v>
      </c>
      <c r="G220" s="1">
        <v>45216</v>
      </c>
      <c r="H220">
        <v>5405772</v>
      </c>
      <c r="I220">
        <v>96</v>
      </c>
      <c r="J220" t="s">
        <v>140</v>
      </c>
      <c r="K220" s="8" t="s">
        <v>742</v>
      </c>
      <c r="L220" s="4" t="s">
        <v>827</v>
      </c>
      <c r="M220" t="s">
        <v>681</v>
      </c>
      <c r="N220" s="5">
        <v>30814114</v>
      </c>
      <c r="O220" s="5">
        <v>94094</v>
      </c>
      <c r="P220" s="5">
        <v>17878</v>
      </c>
      <c r="Q220" s="5">
        <v>111972</v>
      </c>
    </row>
    <row r="221" spans="1:17" x14ac:dyDescent="0.25">
      <c r="A221" t="s">
        <v>496</v>
      </c>
      <c r="B221" t="s">
        <v>494</v>
      </c>
      <c r="C221">
        <v>76107905</v>
      </c>
      <c r="D221">
        <v>45</v>
      </c>
      <c r="E221">
        <v>30814313</v>
      </c>
      <c r="F221" t="s">
        <v>536</v>
      </c>
      <c r="G221" s="1">
        <v>45216</v>
      </c>
      <c r="H221">
        <v>5405901</v>
      </c>
      <c r="I221">
        <v>96</v>
      </c>
      <c r="J221" t="s">
        <v>140</v>
      </c>
      <c r="K221" s="8" t="s">
        <v>742</v>
      </c>
      <c r="L221" s="4" t="s">
        <v>827</v>
      </c>
      <c r="M221" t="s">
        <v>681</v>
      </c>
      <c r="N221" s="5">
        <v>30814313</v>
      </c>
      <c r="O221" s="5">
        <v>107321</v>
      </c>
      <c r="P221" s="5">
        <v>20391</v>
      </c>
      <c r="Q221" s="5">
        <v>127712</v>
      </c>
    </row>
    <row r="222" spans="1:17" x14ac:dyDescent="0.25">
      <c r="A222" t="s">
        <v>496</v>
      </c>
      <c r="B222" t="s">
        <v>494</v>
      </c>
      <c r="C222">
        <v>76107905</v>
      </c>
      <c r="D222">
        <v>63</v>
      </c>
      <c r="E222">
        <v>30814701</v>
      </c>
      <c r="F222" t="s">
        <v>536</v>
      </c>
      <c r="G222" s="1">
        <v>45217</v>
      </c>
      <c r="H222">
        <v>5405937</v>
      </c>
      <c r="I222">
        <v>96</v>
      </c>
      <c r="J222" t="s">
        <v>140</v>
      </c>
      <c r="K222" s="8" t="s">
        <v>742</v>
      </c>
      <c r="L222" s="4" t="s">
        <v>827</v>
      </c>
      <c r="M222" t="s">
        <v>681</v>
      </c>
      <c r="N222" s="5">
        <v>30814701</v>
      </c>
      <c r="O222" s="5">
        <v>64584</v>
      </c>
      <c r="P222" s="5">
        <v>12271</v>
      </c>
      <c r="Q222" s="5">
        <v>76855</v>
      </c>
    </row>
    <row r="223" spans="1:17" x14ac:dyDescent="0.25">
      <c r="A223" t="s">
        <v>496</v>
      </c>
      <c r="B223" t="s">
        <v>494</v>
      </c>
      <c r="C223">
        <v>76107905</v>
      </c>
      <c r="D223">
        <v>61</v>
      </c>
      <c r="E223">
        <v>30816241</v>
      </c>
      <c r="F223" t="s">
        <v>536</v>
      </c>
      <c r="G223" s="1">
        <v>45217</v>
      </c>
      <c r="H223">
        <v>5405968</v>
      </c>
      <c r="I223">
        <v>96</v>
      </c>
      <c r="J223" t="s">
        <v>140</v>
      </c>
      <c r="K223" s="8" t="s">
        <v>742</v>
      </c>
      <c r="L223" s="4" t="s">
        <v>827</v>
      </c>
      <c r="M223" t="s">
        <v>681</v>
      </c>
      <c r="N223" s="5">
        <v>30816241</v>
      </c>
      <c r="O223" s="5">
        <v>24390</v>
      </c>
      <c r="P223" s="5">
        <v>4634</v>
      </c>
      <c r="Q223" s="5">
        <v>29024</v>
      </c>
    </row>
    <row r="224" spans="1:17" x14ac:dyDescent="0.25">
      <c r="A224" t="s">
        <v>496</v>
      </c>
      <c r="B224" t="s">
        <v>494</v>
      </c>
      <c r="C224">
        <v>76107905</v>
      </c>
      <c r="D224">
        <v>45</v>
      </c>
      <c r="E224">
        <v>30814306</v>
      </c>
      <c r="F224" t="s">
        <v>536</v>
      </c>
      <c r="G224" s="1">
        <v>45217</v>
      </c>
      <c r="H224">
        <v>5406001</v>
      </c>
      <c r="I224">
        <v>96</v>
      </c>
      <c r="J224" t="s">
        <v>140</v>
      </c>
      <c r="K224" s="8" t="s">
        <v>742</v>
      </c>
      <c r="L224" s="4" t="s">
        <v>827</v>
      </c>
      <c r="M224" t="s">
        <v>681</v>
      </c>
      <c r="N224" s="5">
        <v>30814306</v>
      </c>
      <c r="O224" s="5">
        <v>83972</v>
      </c>
      <c r="P224" s="5">
        <v>15955</v>
      </c>
      <c r="Q224" s="5">
        <v>99927</v>
      </c>
    </row>
    <row r="225" spans="1:17" x14ac:dyDescent="0.25">
      <c r="A225" t="s">
        <v>496</v>
      </c>
      <c r="B225" t="s">
        <v>494</v>
      </c>
      <c r="C225">
        <v>76107905</v>
      </c>
      <c r="D225">
        <v>23</v>
      </c>
      <c r="E225">
        <v>30817070</v>
      </c>
      <c r="F225" t="s">
        <v>536</v>
      </c>
      <c r="G225" s="1">
        <v>45217</v>
      </c>
      <c r="H225">
        <v>5406113</v>
      </c>
      <c r="I225">
        <v>96</v>
      </c>
      <c r="J225" t="s">
        <v>140</v>
      </c>
      <c r="K225" s="8" t="s">
        <v>742</v>
      </c>
      <c r="L225" s="4" t="s">
        <v>827</v>
      </c>
      <c r="M225" t="s">
        <v>681</v>
      </c>
      <c r="N225" s="5">
        <v>30817070</v>
      </c>
      <c r="O225" s="5">
        <v>21123</v>
      </c>
      <c r="P225" s="5">
        <v>4013</v>
      </c>
      <c r="Q225" s="5">
        <v>25136</v>
      </c>
    </row>
    <row r="226" spans="1:17" x14ac:dyDescent="0.25">
      <c r="A226" t="s">
        <v>496</v>
      </c>
      <c r="B226" t="s">
        <v>494</v>
      </c>
      <c r="C226">
        <v>76107905</v>
      </c>
      <c r="D226">
        <v>69</v>
      </c>
      <c r="E226">
        <v>30814916</v>
      </c>
      <c r="F226" t="s">
        <v>536</v>
      </c>
      <c r="G226" s="1">
        <v>45218</v>
      </c>
      <c r="H226">
        <v>5406423</v>
      </c>
      <c r="I226">
        <v>96</v>
      </c>
      <c r="J226" t="s">
        <v>140</v>
      </c>
      <c r="K226" s="8" t="s">
        <v>742</v>
      </c>
      <c r="L226" s="4" t="s">
        <v>827</v>
      </c>
      <c r="M226" t="s">
        <v>681</v>
      </c>
      <c r="N226" s="5">
        <v>30814916</v>
      </c>
      <c r="O226" s="5">
        <v>91257</v>
      </c>
      <c r="P226" s="5">
        <v>17339</v>
      </c>
      <c r="Q226" s="5">
        <v>108596</v>
      </c>
    </row>
    <row r="227" spans="1:17" x14ac:dyDescent="0.25">
      <c r="A227" t="s">
        <v>496</v>
      </c>
      <c r="B227" t="s">
        <v>494</v>
      </c>
      <c r="C227">
        <v>76107905</v>
      </c>
      <c r="D227">
        <v>48</v>
      </c>
      <c r="E227">
        <v>30822077</v>
      </c>
      <c r="F227" t="s">
        <v>536</v>
      </c>
      <c r="G227" s="1">
        <v>45219</v>
      </c>
      <c r="H227">
        <v>5406872</v>
      </c>
      <c r="I227">
        <v>96</v>
      </c>
      <c r="J227" t="s">
        <v>140</v>
      </c>
      <c r="K227" s="8" t="s">
        <v>742</v>
      </c>
      <c r="L227" s="4" t="s">
        <v>827</v>
      </c>
      <c r="M227" t="s">
        <v>681</v>
      </c>
      <c r="N227" s="5">
        <v>30822077</v>
      </c>
      <c r="O227" s="5">
        <v>90771</v>
      </c>
      <c r="P227" s="5">
        <v>17246</v>
      </c>
      <c r="Q227" s="5">
        <v>108017</v>
      </c>
    </row>
    <row r="228" spans="1:17" x14ac:dyDescent="0.25">
      <c r="A228" t="s">
        <v>496</v>
      </c>
      <c r="B228" t="s">
        <v>494</v>
      </c>
      <c r="C228">
        <v>76107905</v>
      </c>
      <c r="D228">
        <v>60</v>
      </c>
      <c r="E228">
        <v>30824870</v>
      </c>
      <c r="F228" t="s">
        <v>536</v>
      </c>
      <c r="G228" s="1">
        <v>45222</v>
      </c>
      <c r="H228">
        <v>5407657</v>
      </c>
      <c r="I228">
        <v>96</v>
      </c>
      <c r="J228" t="s">
        <v>140</v>
      </c>
      <c r="K228" s="8" t="s">
        <v>742</v>
      </c>
      <c r="L228" s="4" t="s">
        <v>827</v>
      </c>
      <c r="M228" t="s">
        <v>681</v>
      </c>
      <c r="N228" s="5">
        <v>30824870</v>
      </c>
      <c r="O228" s="5">
        <v>267923</v>
      </c>
      <c r="P228" s="5">
        <v>50905</v>
      </c>
      <c r="Q228" s="5">
        <v>318828</v>
      </c>
    </row>
    <row r="229" spans="1:17" x14ac:dyDescent="0.25">
      <c r="A229" t="s">
        <v>496</v>
      </c>
      <c r="B229" t="s">
        <v>494</v>
      </c>
      <c r="C229">
        <v>76107905</v>
      </c>
      <c r="D229">
        <v>60</v>
      </c>
      <c r="E229">
        <v>30824870</v>
      </c>
      <c r="F229" t="s">
        <v>536</v>
      </c>
      <c r="G229" s="1">
        <v>45222</v>
      </c>
      <c r="H229">
        <v>5407658</v>
      </c>
      <c r="I229">
        <v>96</v>
      </c>
      <c r="J229" t="s">
        <v>140</v>
      </c>
      <c r="K229" s="8" t="s">
        <v>742</v>
      </c>
      <c r="L229" s="4" t="s">
        <v>827</v>
      </c>
      <c r="M229" t="s">
        <v>681</v>
      </c>
      <c r="N229" s="5">
        <v>30824870</v>
      </c>
      <c r="O229" s="5">
        <v>106460</v>
      </c>
      <c r="P229" s="5">
        <v>20227</v>
      </c>
      <c r="Q229" s="5">
        <v>126687</v>
      </c>
    </row>
    <row r="230" spans="1:17" x14ac:dyDescent="0.25">
      <c r="A230" t="s">
        <v>496</v>
      </c>
      <c r="B230" t="s">
        <v>494</v>
      </c>
      <c r="C230">
        <v>76107905</v>
      </c>
      <c r="D230">
        <v>61</v>
      </c>
      <c r="E230">
        <v>30824840</v>
      </c>
      <c r="F230" t="s">
        <v>536</v>
      </c>
      <c r="G230" s="1">
        <v>45222</v>
      </c>
      <c r="H230">
        <v>5407702</v>
      </c>
      <c r="I230">
        <v>96</v>
      </c>
      <c r="J230" t="s">
        <v>140</v>
      </c>
      <c r="K230" s="8" t="s">
        <v>742</v>
      </c>
      <c r="L230" s="4" t="s">
        <v>827</v>
      </c>
      <c r="M230" t="s">
        <v>681</v>
      </c>
      <c r="N230" s="5">
        <v>30824840</v>
      </c>
      <c r="O230" s="5">
        <v>22609</v>
      </c>
      <c r="P230" s="5">
        <v>4296</v>
      </c>
      <c r="Q230" s="5">
        <v>26905</v>
      </c>
    </row>
    <row r="231" spans="1:17" x14ac:dyDescent="0.25">
      <c r="A231" t="s">
        <v>496</v>
      </c>
      <c r="B231" t="s">
        <v>494</v>
      </c>
      <c r="C231">
        <v>76107905</v>
      </c>
      <c r="D231">
        <v>61</v>
      </c>
      <c r="E231">
        <v>30826188</v>
      </c>
      <c r="F231" t="s">
        <v>536</v>
      </c>
      <c r="G231" s="1">
        <v>45222</v>
      </c>
      <c r="H231">
        <v>5407861</v>
      </c>
      <c r="I231">
        <v>96</v>
      </c>
      <c r="J231" t="s">
        <v>140</v>
      </c>
      <c r="K231" s="8" t="s">
        <v>742</v>
      </c>
      <c r="L231" s="4" t="s">
        <v>827</v>
      </c>
      <c r="M231" t="s">
        <v>681</v>
      </c>
      <c r="N231" s="5">
        <v>30826188</v>
      </c>
      <c r="O231" s="5">
        <v>36959</v>
      </c>
      <c r="P231" s="5">
        <v>7022</v>
      </c>
      <c r="Q231" s="5">
        <v>43981</v>
      </c>
    </row>
    <row r="232" spans="1:17" x14ac:dyDescent="0.25">
      <c r="A232" t="s">
        <v>496</v>
      </c>
      <c r="B232" t="s">
        <v>494</v>
      </c>
      <c r="C232">
        <v>76107905</v>
      </c>
      <c r="D232">
        <v>49</v>
      </c>
      <c r="E232">
        <v>30827060</v>
      </c>
      <c r="F232" t="s">
        <v>536</v>
      </c>
      <c r="G232" s="1">
        <v>45222</v>
      </c>
      <c r="H232">
        <v>5407959</v>
      </c>
      <c r="I232">
        <v>96</v>
      </c>
      <c r="J232" t="s">
        <v>140</v>
      </c>
      <c r="K232" s="8" t="s">
        <v>742</v>
      </c>
      <c r="L232" s="4" t="s">
        <v>827</v>
      </c>
      <c r="M232" t="s">
        <v>681</v>
      </c>
      <c r="N232" s="5">
        <v>30827060</v>
      </c>
      <c r="O232" s="5">
        <v>22721</v>
      </c>
      <c r="P232" s="5">
        <v>4317</v>
      </c>
      <c r="Q232" s="5">
        <v>27038</v>
      </c>
    </row>
    <row r="233" spans="1:17" x14ac:dyDescent="0.25">
      <c r="A233" t="s">
        <v>496</v>
      </c>
      <c r="B233" t="s">
        <v>494</v>
      </c>
      <c r="C233">
        <v>76107905</v>
      </c>
      <c r="D233">
        <v>12</v>
      </c>
      <c r="E233">
        <v>30827032</v>
      </c>
      <c r="F233" t="s">
        <v>536</v>
      </c>
      <c r="G233" s="1">
        <v>45222</v>
      </c>
      <c r="H233">
        <v>5408041</v>
      </c>
      <c r="I233">
        <v>96</v>
      </c>
      <c r="J233" t="s">
        <v>140</v>
      </c>
      <c r="K233" s="8" t="s">
        <v>742</v>
      </c>
      <c r="L233" s="4" t="s">
        <v>827</v>
      </c>
      <c r="M233" t="s">
        <v>681</v>
      </c>
      <c r="N233" s="5">
        <v>30827032</v>
      </c>
      <c r="O233" s="5">
        <v>25408</v>
      </c>
      <c r="P233" s="5">
        <v>4828</v>
      </c>
      <c r="Q233" s="5">
        <v>30236</v>
      </c>
    </row>
    <row r="234" spans="1:17" x14ac:dyDescent="0.25">
      <c r="F234" t="s">
        <v>709</v>
      </c>
      <c r="K234" t="s">
        <v>681</v>
      </c>
      <c r="L234" s="4"/>
      <c r="M234" t="s">
        <v>681</v>
      </c>
      <c r="N234" s="5"/>
      <c r="O234" s="5">
        <v>5301584</v>
      </c>
      <c r="P234" s="5">
        <v>1007301</v>
      </c>
      <c r="Q234" s="5">
        <v>6308885</v>
      </c>
    </row>
    <row r="235" spans="1:17" x14ac:dyDescent="0.25">
      <c r="A235" t="s">
        <v>767</v>
      </c>
      <c r="B235" t="s">
        <v>494</v>
      </c>
      <c r="C235">
        <v>76134397</v>
      </c>
      <c r="D235">
        <v>1</v>
      </c>
      <c r="E235">
        <v>30838959</v>
      </c>
      <c r="F235" t="s">
        <v>768</v>
      </c>
      <c r="G235" s="1">
        <v>45227</v>
      </c>
      <c r="H235">
        <v>5409791</v>
      </c>
      <c r="I235">
        <v>44</v>
      </c>
      <c r="J235" t="s">
        <v>148</v>
      </c>
      <c r="K235" s="8" t="s">
        <v>742</v>
      </c>
      <c r="L235" s="4"/>
      <c r="M235" t="s">
        <v>681</v>
      </c>
      <c r="N235" s="5">
        <v>30838959</v>
      </c>
      <c r="O235" s="5">
        <v>83503</v>
      </c>
      <c r="P235" s="5">
        <v>15866</v>
      </c>
      <c r="Q235" s="5">
        <v>99369</v>
      </c>
    </row>
    <row r="236" spans="1:17" x14ac:dyDescent="0.25">
      <c r="A236" t="s">
        <v>767</v>
      </c>
      <c r="B236" t="s">
        <v>494</v>
      </c>
      <c r="C236">
        <v>76134397</v>
      </c>
      <c r="D236">
        <v>1</v>
      </c>
      <c r="E236" t="s">
        <v>769</v>
      </c>
      <c r="F236" t="s">
        <v>768</v>
      </c>
      <c r="G236" s="1">
        <v>45227</v>
      </c>
      <c r="H236">
        <v>5409951</v>
      </c>
      <c r="I236">
        <v>44</v>
      </c>
      <c r="J236" t="s">
        <v>148</v>
      </c>
      <c r="K236" s="8" t="s">
        <v>742</v>
      </c>
      <c r="L236" s="4"/>
      <c r="M236" t="s">
        <v>681</v>
      </c>
      <c r="N236" s="5">
        <v>30839774</v>
      </c>
      <c r="O236" s="5">
        <v>109063</v>
      </c>
      <c r="P236" s="5">
        <v>20722</v>
      </c>
      <c r="Q236" s="5">
        <v>129785</v>
      </c>
    </row>
    <row r="237" spans="1:17" x14ac:dyDescent="0.25">
      <c r="A237" t="s">
        <v>767</v>
      </c>
      <c r="B237" t="s">
        <v>494</v>
      </c>
      <c r="C237">
        <v>76134397</v>
      </c>
      <c r="D237">
        <v>1</v>
      </c>
      <c r="E237" t="s">
        <v>769</v>
      </c>
      <c r="F237" t="s">
        <v>768</v>
      </c>
      <c r="G237" s="1">
        <v>45227</v>
      </c>
      <c r="H237">
        <v>5409952</v>
      </c>
      <c r="I237">
        <v>44</v>
      </c>
      <c r="J237" t="s">
        <v>148</v>
      </c>
      <c r="K237" s="8" t="s">
        <v>742</v>
      </c>
      <c r="L237" s="4"/>
      <c r="M237" t="s">
        <v>681</v>
      </c>
      <c r="N237" s="5">
        <v>30839757</v>
      </c>
      <c r="O237" s="5">
        <v>52920</v>
      </c>
      <c r="P237" s="5">
        <v>10055</v>
      </c>
      <c r="Q237" s="5">
        <v>62975</v>
      </c>
    </row>
    <row r="238" spans="1:17" x14ac:dyDescent="0.25">
      <c r="F238" t="s">
        <v>500</v>
      </c>
      <c r="K238" t="s">
        <v>681</v>
      </c>
      <c r="L238" s="4"/>
      <c r="M238" t="s">
        <v>681</v>
      </c>
      <c r="N238" s="5"/>
      <c r="O238" s="5">
        <v>245486</v>
      </c>
      <c r="P238" s="5">
        <v>46643</v>
      </c>
      <c r="Q238" s="5">
        <v>292129</v>
      </c>
    </row>
    <row r="239" spans="1:17" x14ac:dyDescent="0.25">
      <c r="A239" t="s">
        <v>503</v>
      </c>
      <c r="B239" t="s">
        <v>494</v>
      </c>
      <c r="C239">
        <v>76136076</v>
      </c>
      <c r="D239">
        <v>0</v>
      </c>
      <c r="E239">
        <v>19010006577</v>
      </c>
      <c r="F239" t="s">
        <v>690</v>
      </c>
      <c r="G239" s="1">
        <v>45230</v>
      </c>
      <c r="H239">
        <v>5402261</v>
      </c>
      <c r="I239">
        <v>281</v>
      </c>
      <c r="J239" t="s">
        <v>162</v>
      </c>
      <c r="K239" s="8" t="s">
        <v>742</v>
      </c>
      <c r="L239" s="4"/>
      <c r="M239" t="s">
        <v>681</v>
      </c>
      <c r="N239" s="5">
        <v>30845703</v>
      </c>
      <c r="O239" s="5">
        <v>1786760</v>
      </c>
      <c r="P239" s="5">
        <v>339484</v>
      </c>
      <c r="Q239" s="5">
        <v>2126244</v>
      </c>
    </row>
    <row r="240" spans="1:17" x14ac:dyDescent="0.25">
      <c r="F240" t="s">
        <v>495</v>
      </c>
      <c r="K240" t="s">
        <v>681</v>
      </c>
      <c r="L240" s="4"/>
      <c r="M240" t="s">
        <v>681</v>
      </c>
      <c r="N240" s="5"/>
      <c r="O240" s="5">
        <v>1786760</v>
      </c>
      <c r="P240" s="5">
        <v>339484</v>
      </c>
      <c r="Q240" s="5">
        <v>2126244</v>
      </c>
    </row>
    <row r="241" spans="1:17" x14ac:dyDescent="0.25">
      <c r="A241" t="s">
        <v>496</v>
      </c>
      <c r="B241" t="s">
        <v>494</v>
      </c>
      <c r="C241">
        <v>76158513</v>
      </c>
      <c r="D241">
        <v>0</v>
      </c>
      <c r="E241" t="s">
        <v>538</v>
      </c>
      <c r="F241" t="s">
        <v>539</v>
      </c>
      <c r="G241" s="1">
        <v>45204</v>
      </c>
      <c r="H241">
        <v>5398412</v>
      </c>
      <c r="I241">
        <v>50</v>
      </c>
      <c r="J241" t="s">
        <v>376</v>
      </c>
      <c r="K241" s="8" t="s">
        <v>742</v>
      </c>
      <c r="L241" s="4"/>
      <c r="M241" t="s">
        <v>681</v>
      </c>
      <c r="N241" s="5">
        <v>30708331</v>
      </c>
      <c r="O241" s="5">
        <v>103794</v>
      </c>
      <c r="P241" s="5">
        <v>19721</v>
      </c>
      <c r="Q241" s="5">
        <v>123515</v>
      </c>
    </row>
    <row r="242" spans="1:17" x14ac:dyDescent="0.25">
      <c r="A242" t="s">
        <v>496</v>
      </c>
      <c r="B242" t="s">
        <v>494</v>
      </c>
      <c r="C242">
        <v>76158513</v>
      </c>
      <c r="D242">
        <v>0</v>
      </c>
      <c r="E242" t="s">
        <v>540</v>
      </c>
      <c r="F242" t="s">
        <v>539</v>
      </c>
      <c r="G242" s="1">
        <v>45206</v>
      </c>
      <c r="H242">
        <v>5399655</v>
      </c>
      <c r="I242">
        <v>50</v>
      </c>
      <c r="J242" t="s">
        <v>376</v>
      </c>
      <c r="K242" s="8" t="s">
        <v>742</v>
      </c>
      <c r="L242" s="4"/>
      <c r="M242" t="s">
        <v>681</v>
      </c>
      <c r="N242" s="5">
        <v>30781783</v>
      </c>
      <c r="O242" s="5">
        <v>161250</v>
      </c>
      <c r="P242" s="5">
        <v>30638</v>
      </c>
      <c r="Q242" s="5">
        <v>191888</v>
      </c>
    </row>
    <row r="243" spans="1:17" x14ac:dyDescent="0.25">
      <c r="A243" t="s">
        <v>496</v>
      </c>
      <c r="B243" t="s">
        <v>494</v>
      </c>
      <c r="C243">
        <v>76158513</v>
      </c>
      <c r="D243">
        <v>0</v>
      </c>
      <c r="E243" t="s">
        <v>691</v>
      </c>
      <c r="F243" t="s">
        <v>539</v>
      </c>
      <c r="G243" s="1">
        <v>45217</v>
      </c>
      <c r="H243">
        <v>5406197</v>
      </c>
      <c r="I243">
        <v>50</v>
      </c>
      <c r="J243" t="s">
        <v>376</v>
      </c>
      <c r="K243" s="8" t="s">
        <v>742</v>
      </c>
      <c r="L243" s="4"/>
      <c r="M243" t="s">
        <v>681</v>
      </c>
      <c r="N243" s="5">
        <v>30806714</v>
      </c>
      <c r="O243" s="5">
        <v>278387</v>
      </c>
      <c r="P243" s="5">
        <v>52894</v>
      </c>
      <c r="Q243" s="5">
        <v>331281</v>
      </c>
    </row>
    <row r="244" spans="1:17" x14ac:dyDescent="0.25">
      <c r="A244" t="s">
        <v>496</v>
      </c>
      <c r="B244" t="s">
        <v>494</v>
      </c>
      <c r="C244">
        <v>76158513</v>
      </c>
      <c r="D244">
        <v>0</v>
      </c>
      <c r="E244" t="s">
        <v>691</v>
      </c>
      <c r="F244" t="s">
        <v>539</v>
      </c>
      <c r="G244" s="1">
        <v>45217</v>
      </c>
      <c r="H244">
        <v>5406198</v>
      </c>
      <c r="I244">
        <v>50</v>
      </c>
      <c r="J244" t="s">
        <v>376</v>
      </c>
      <c r="K244" s="8" t="s">
        <v>742</v>
      </c>
      <c r="L244" s="4"/>
      <c r="M244" t="s">
        <v>681</v>
      </c>
      <c r="N244" s="5">
        <v>30806714</v>
      </c>
      <c r="O244" s="5">
        <v>356081</v>
      </c>
      <c r="P244" s="5">
        <v>67655</v>
      </c>
      <c r="Q244" s="5">
        <v>423736</v>
      </c>
    </row>
    <row r="245" spans="1:17" x14ac:dyDescent="0.25">
      <c r="A245" t="s">
        <v>496</v>
      </c>
      <c r="B245" t="s">
        <v>494</v>
      </c>
      <c r="C245">
        <v>76158513</v>
      </c>
      <c r="D245">
        <v>0</v>
      </c>
      <c r="E245" t="s">
        <v>770</v>
      </c>
      <c r="F245" t="s">
        <v>539</v>
      </c>
      <c r="G245" s="1">
        <v>45223</v>
      </c>
      <c r="H245">
        <v>5408579</v>
      </c>
      <c r="I245">
        <v>50</v>
      </c>
      <c r="J245" t="s">
        <v>376</v>
      </c>
      <c r="K245" s="8" t="s">
        <v>742</v>
      </c>
      <c r="L245" s="4"/>
      <c r="M245" t="s">
        <v>681</v>
      </c>
      <c r="N245" s="5">
        <v>30820284</v>
      </c>
      <c r="O245" s="5">
        <v>458963</v>
      </c>
      <c r="P245" s="5">
        <v>87203</v>
      </c>
      <c r="Q245" s="5">
        <v>546166</v>
      </c>
    </row>
    <row r="246" spans="1:17" x14ac:dyDescent="0.25">
      <c r="F246" t="s">
        <v>499</v>
      </c>
      <c r="K246" t="s">
        <v>681</v>
      </c>
      <c r="L246" s="4"/>
      <c r="M246" t="s">
        <v>681</v>
      </c>
      <c r="N246" s="5"/>
      <c r="O246" s="5">
        <v>1358475</v>
      </c>
      <c r="P246" s="5">
        <v>258111</v>
      </c>
      <c r="Q246" s="5">
        <v>1616586</v>
      </c>
    </row>
    <row r="247" spans="1:17" x14ac:dyDescent="0.25">
      <c r="A247" t="s">
        <v>496</v>
      </c>
      <c r="B247" t="s">
        <v>494</v>
      </c>
      <c r="C247">
        <v>76185964</v>
      </c>
      <c r="D247">
        <v>0</v>
      </c>
      <c r="E247">
        <v>4400013987</v>
      </c>
      <c r="F247" t="s">
        <v>541</v>
      </c>
      <c r="G247" s="1">
        <v>45202</v>
      </c>
      <c r="H247">
        <v>5395589</v>
      </c>
      <c r="I247">
        <v>424</v>
      </c>
      <c r="J247" t="s">
        <v>146</v>
      </c>
      <c r="K247" s="8" t="s">
        <v>742</v>
      </c>
      <c r="L247" s="4"/>
      <c r="M247" t="s">
        <v>681</v>
      </c>
      <c r="N247" s="5">
        <v>30743204</v>
      </c>
      <c r="O247" s="5">
        <v>62064</v>
      </c>
      <c r="P247" s="5">
        <v>11792</v>
      </c>
      <c r="Q247" s="5">
        <v>73856</v>
      </c>
    </row>
    <row r="248" spans="1:17" x14ac:dyDescent="0.25">
      <c r="A248" t="s">
        <v>496</v>
      </c>
      <c r="B248" t="s">
        <v>494</v>
      </c>
      <c r="C248">
        <v>76185964</v>
      </c>
      <c r="D248">
        <v>0</v>
      </c>
      <c r="E248">
        <v>4400013984</v>
      </c>
      <c r="F248" t="s">
        <v>541</v>
      </c>
      <c r="G248" s="1">
        <v>45202</v>
      </c>
      <c r="H248">
        <v>5395735</v>
      </c>
      <c r="I248">
        <v>424</v>
      </c>
      <c r="J248" t="s">
        <v>146</v>
      </c>
      <c r="K248" s="8" t="s">
        <v>742</v>
      </c>
      <c r="L248" s="4"/>
      <c r="M248" t="s">
        <v>681</v>
      </c>
      <c r="N248" s="5">
        <v>30743100</v>
      </c>
      <c r="O248" s="5">
        <v>475871</v>
      </c>
      <c r="P248" s="5">
        <v>90415</v>
      </c>
      <c r="Q248" s="5">
        <v>566286</v>
      </c>
    </row>
    <row r="249" spans="1:17" x14ac:dyDescent="0.25">
      <c r="A249" t="s">
        <v>496</v>
      </c>
      <c r="B249" t="s">
        <v>494</v>
      </c>
      <c r="C249">
        <v>76185964</v>
      </c>
      <c r="D249">
        <v>0</v>
      </c>
      <c r="E249">
        <v>4400013980</v>
      </c>
      <c r="F249" t="s">
        <v>541</v>
      </c>
      <c r="G249" s="1">
        <v>45202</v>
      </c>
      <c r="H249">
        <v>5395747</v>
      </c>
      <c r="I249">
        <v>424</v>
      </c>
      <c r="J249" t="s">
        <v>146</v>
      </c>
      <c r="K249" s="8" t="s">
        <v>742</v>
      </c>
      <c r="L249" s="4"/>
      <c r="M249" t="s">
        <v>681</v>
      </c>
      <c r="N249" s="5">
        <v>30743192</v>
      </c>
      <c r="O249" s="5">
        <v>1073520</v>
      </c>
      <c r="P249" s="5">
        <v>203969</v>
      </c>
      <c r="Q249" s="5">
        <v>1277489</v>
      </c>
    </row>
    <row r="250" spans="1:17" x14ac:dyDescent="0.25">
      <c r="F250" t="s">
        <v>500</v>
      </c>
      <c r="K250" t="s">
        <v>681</v>
      </c>
      <c r="L250" s="4"/>
      <c r="M250" t="s">
        <v>681</v>
      </c>
      <c r="N250" s="5"/>
      <c r="O250" s="5">
        <v>1611455</v>
      </c>
      <c r="P250" s="5">
        <v>306176</v>
      </c>
      <c r="Q250" s="5">
        <v>1917631</v>
      </c>
    </row>
    <row r="251" spans="1:17" x14ac:dyDescent="0.25">
      <c r="A251" t="s">
        <v>496</v>
      </c>
      <c r="B251" t="s">
        <v>494</v>
      </c>
      <c r="C251">
        <v>76215628</v>
      </c>
      <c r="D251">
        <v>0</v>
      </c>
      <c r="E251">
        <v>4532046374</v>
      </c>
      <c r="F251" t="s">
        <v>771</v>
      </c>
      <c r="G251" s="1">
        <v>45229</v>
      </c>
      <c r="H251">
        <v>5410007</v>
      </c>
      <c r="I251">
        <v>462</v>
      </c>
      <c r="J251" t="s">
        <v>190</v>
      </c>
      <c r="K251" s="8" t="s">
        <v>742</v>
      </c>
      <c r="L251" s="4"/>
      <c r="M251" t="s">
        <v>681</v>
      </c>
      <c r="N251" s="5">
        <v>30830813</v>
      </c>
      <c r="O251" s="5">
        <v>285980</v>
      </c>
      <c r="P251" s="5">
        <v>54336</v>
      </c>
      <c r="Q251" s="5">
        <v>340316</v>
      </c>
    </row>
    <row r="252" spans="1:17" x14ac:dyDescent="0.25">
      <c r="F252" t="s">
        <v>495</v>
      </c>
      <c r="K252" t="s">
        <v>681</v>
      </c>
      <c r="L252" s="4"/>
      <c r="M252" t="s">
        <v>681</v>
      </c>
      <c r="N252" s="5"/>
      <c r="O252" s="5">
        <v>285980</v>
      </c>
      <c r="P252" s="5">
        <v>54336</v>
      </c>
      <c r="Q252" s="5">
        <v>340316</v>
      </c>
    </row>
    <row r="253" spans="1:17" x14ac:dyDescent="0.25">
      <c r="A253" t="s">
        <v>496</v>
      </c>
      <c r="B253" t="s">
        <v>494</v>
      </c>
      <c r="C253">
        <v>76215637</v>
      </c>
      <c r="D253">
        <v>7</v>
      </c>
      <c r="E253">
        <v>30768267</v>
      </c>
      <c r="F253" t="s">
        <v>542</v>
      </c>
      <c r="G253" s="1">
        <v>45201</v>
      </c>
      <c r="H253">
        <v>5394757</v>
      </c>
      <c r="I253">
        <v>81</v>
      </c>
      <c r="J253" t="s">
        <v>144</v>
      </c>
      <c r="K253" s="8" t="s">
        <v>742</v>
      </c>
      <c r="L253" s="4" t="s">
        <v>6</v>
      </c>
      <c r="M253" t="s">
        <v>681</v>
      </c>
      <c r="N253" s="5">
        <v>30768267</v>
      </c>
      <c r="O253" s="5">
        <v>79005</v>
      </c>
      <c r="P253" s="5">
        <v>15011</v>
      </c>
      <c r="Q253" s="5">
        <v>94016</v>
      </c>
    </row>
    <row r="254" spans="1:17" x14ac:dyDescent="0.25">
      <c r="A254" t="s">
        <v>496</v>
      </c>
      <c r="B254" t="s">
        <v>494</v>
      </c>
      <c r="C254">
        <v>76215637</v>
      </c>
      <c r="D254">
        <v>2</v>
      </c>
      <c r="E254">
        <v>30767576</v>
      </c>
      <c r="F254" t="s">
        <v>542</v>
      </c>
      <c r="G254" s="1">
        <v>45201</v>
      </c>
      <c r="H254">
        <v>5394761</v>
      </c>
      <c r="I254">
        <v>81</v>
      </c>
      <c r="J254" t="s">
        <v>144</v>
      </c>
      <c r="K254" s="8" t="s">
        <v>742</v>
      </c>
      <c r="L254" s="4" t="s">
        <v>6</v>
      </c>
      <c r="M254" t="s">
        <v>681</v>
      </c>
      <c r="N254" s="5">
        <v>30767576</v>
      </c>
      <c r="O254" s="5">
        <v>148360</v>
      </c>
      <c r="P254" s="5">
        <v>28188</v>
      </c>
      <c r="Q254" s="5">
        <v>176548</v>
      </c>
    </row>
    <row r="255" spans="1:17" x14ac:dyDescent="0.25">
      <c r="A255" t="s">
        <v>496</v>
      </c>
      <c r="B255" t="s">
        <v>494</v>
      </c>
      <c r="C255">
        <v>76215637</v>
      </c>
      <c r="D255">
        <v>14</v>
      </c>
      <c r="E255">
        <v>30769118</v>
      </c>
      <c r="F255" t="s">
        <v>542</v>
      </c>
      <c r="G255" s="1">
        <v>45203</v>
      </c>
      <c r="H255">
        <v>5396349</v>
      </c>
      <c r="I255">
        <v>81</v>
      </c>
      <c r="J255" t="s">
        <v>144</v>
      </c>
      <c r="K255" s="8" t="s">
        <v>742</v>
      </c>
      <c r="L255" s="4" t="s">
        <v>6</v>
      </c>
      <c r="M255" t="s">
        <v>681</v>
      </c>
      <c r="N255" s="5">
        <v>30769118</v>
      </c>
      <c r="O255" s="5">
        <v>150028</v>
      </c>
      <c r="P255" s="5">
        <v>28505</v>
      </c>
      <c r="Q255" s="5">
        <v>178533</v>
      </c>
    </row>
    <row r="256" spans="1:17" x14ac:dyDescent="0.25">
      <c r="A256" t="s">
        <v>496</v>
      </c>
      <c r="B256" t="s">
        <v>494</v>
      </c>
      <c r="C256">
        <v>76215637</v>
      </c>
      <c r="D256">
        <v>5</v>
      </c>
      <c r="E256">
        <v>30769094</v>
      </c>
      <c r="F256" t="s">
        <v>542</v>
      </c>
      <c r="G256" s="1">
        <v>45208</v>
      </c>
      <c r="H256">
        <v>5399241</v>
      </c>
      <c r="I256">
        <v>81</v>
      </c>
      <c r="J256" t="s">
        <v>144</v>
      </c>
      <c r="K256" s="8" t="s">
        <v>742</v>
      </c>
      <c r="L256" s="4" t="s">
        <v>6</v>
      </c>
      <c r="M256" t="s">
        <v>681</v>
      </c>
      <c r="N256" s="5">
        <v>30769094</v>
      </c>
      <c r="O256" s="5">
        <v>62761</v>
      </c>
      <c r="P256" s="5">
        <v>11925</v>
      </c>
      <c r="Q256" s="5">
        <v>74686</v>
      </c>
    </row>
    <row r="257" spans="1:17" x14ac:dyDescent="0.25">
      <c r="A257" t="s">
        <v>496</v>
      </c>
      <c r="B257" t="s">
        <v>494</v>
      </c>
      <c r="C257">
        <v>76215637</v>
      </c>
      <c r="D257">
        <v>0</v>
      </c>
      <c r="E257">
        <v>4532045744</v>
      </c>
      <c r="F257" t="s">
        <v>542</v>
      </c>
      <c r="G257" s="1">
        <v>45229</v>
      </c>
      <c r="H257">
        <v>5409560</v>
      </c>
      <c r="I257">
        <v>81</v>
      </c>
      <c r="J257" t="s">
        <v>144</v>
      </c>
      <c r="K257" s="8" t="s">
        <v>742</v>
      </c>
      <c r="L257" s="4" t="s">
        <v>6</v>
      </c>
      <c r="M257" t="s">
        <v>681</v>
      </c>
      <c r="N257" s="5">
        <v>30722685</v>
      </c>
      <c r="O257" s="5">
        <v>229030</v>
      </c>
      <c r="P257" s="5">
        <v>43516</v>
      </c>
      <c r="Q257" s="5">
        <v>272546</v>
      </c>
    </row>
    <row r="258" spans="1:17" x14ac:dyDescent="0.25">
      <c r="A258" t="s">
        <v>496</v>
      </c>
      <c r="B258" t="s">
        <v>494</v>
      </c>
      <c r="C258">
        <v>76215637</v>
      </c>
      <c r="D258">
        <v>1</v>
      </c>
      <c r="E258">
        <v>30838605</v>
      </c>
      <c r="F258" t="s">
        <v>542</v>
      </c>
      <c r="G258" s="1">
        <v>45229</v>
      </c>
      <c r="H258">
        <v>5409653</v>
      </c>
      <c r="I258">
        <v>81</v>
      </c>
      <c r="J258" t="s">
        <v>144</v>
      </c>
      <c r="K258" s="8" t="s">
        <v>742</v>
      </c>
      <c r="L258" s="4" t="s">
        <v>6</v>
      </c>
      <c r="M258" t="s">
        <v>681</v>
      </c>
      <c r="N258" s="5">
        <v>30838605</v>
      </c>
      <c r="O258" s="5">
        <v>308160</v>
      </c>
      <c r="P258" s="5">
        <v>58550</v>
      </c>
      <c r="Q258" s="5">
        <v>366710</v>
      </c>
    </row>
    <row r="259" spans="1:17" x14ac:dyDescent="0.25">
      <c r="A259" t="s">
        <v>496</v>
      </c>
      <c r="B259" t="s">
        <v>494</v>
      </c>
      <c r="C259">
        <v>76215637</v>
      </c>
      <c r="D259">
        <v>5</v>
      </c>
      <c r="E259">
        <v>30829520</v>
      </c>
      <c r="F259" t="s">
        <v>542</v>
      </c>
      <c r="G259" s="1">
        <v>45229</v>
      </c>
      <c r="H259">
        <v>5409827</v>
      </c>
      <c r="I259">
        <v>81</v>
      </c>
      <c r="J259" t="s">
        <v>144</v>
      </c>
      <c r="K259" s="8" t="s">
        <v>742</v>
      </c>
      <c r="L259" s="4" t="s">
        <v>6</v>
      </c>
      <c r="M259" t="s">
        <v>681</v>
      </c>
      <c r="N259" s="5">
        <v>30829520</v>
      </c>
      <c r="O259" s="5">
        <v>153191</v>
      </c>
      <c r="P259" s="5">
        <v>29106</v>
      </c>
      <c r="Q259" s="5">
        <v>182297</v>
      </c>
    </row>
    <row r="260" spans="1:17" x14ac:dyDescent="0.25">
      <c r="F260" t="s">
        <v>537</v>
      </c>
      <c r="K260" t="s">
        <v>681</v>
      </c>
      <c r="L260" s="4"/>
      <c r="M260" t="s">
        <v>681</v>
      </c>
      <c r="N260" s="5"/>
      <c r="O260" s="5">
        <v>1130535</v>
      </c>
      <c r="P260" s="5">
        <v>214801</v>
      </c>
      <c r="Q260" s="5">
        <v>1345336</v>
      </c>
    </row>
    <row r="261" spans="1:17" x14ac:dyDescent="0.25">
      <c r="A261" t="s">
        <v>501</v>
      </c>
      <c r="B261" t="s">
        <v>494</v>
      </c>
      <c r="C261">
        <v>76237266</v>
      </c>
      <c r="D261">
        <v>66</v>
      </c>
      <c r="E261">
        <v>30767860</v>
      </c>
      <c r="F261" t="s">
        <v>543</v>
      </c>
      <c r="G261" s="1">
        <v>45201</v>
      </c>
      <c r="H261">
        <v>5395293</v>
      </c>
      <c r="I261">
        <v>96</v>
      </c>
      <c r="J261" t="s">
        <v>140</v>
      </c>
      <c r="K261" t="s">
        <v>681</v>
      </c>
      <c r="L261" s="4" t="s">
        <v>47</v>
      </c>
      <c r="M261" t="s">
        <v>681</v>
      </c>
      <c r="N261" s="5">
        <v>30767860</v>
      </c>
      <c r="O261" s="5">
        <v>33822</v>
      </c>
      <c r="P261" s="5">
        <v>6426</v>
      </c>
      <c r="Q261" s="5">
        <v>40248</v>
      </c>
    </row>
    <row r="262" spans="1:17" x14ac:dyDescent="0.25">
      <c r="A262" t="s">
        <v>501</v>
      </c>
      <c r="B262" t="s">
        <v>494</v>
      </c>
      <c r="C262">
        <v>76237266</v>
      </c>
      <c r="D262">
        <v>107</v>
      </c>
      <c r="E262">
        <v>30773789</v>
      </c>
      <c r="F262" t="s">
        <v>543</v>
      </c>
      <c r="G262" s="1">
        <v>45202</v>
      </c>
      <c r="H262">
        <v>5396132</v>
      </c>
      <c r="I262">
        <v>96</v>
      </c>
      <c r="J262" t="s">
        <v>140</v>
      </c>
      <c r="K262" t="s">
        <v>681</v>
      </c>
      <c r="L262" s="4" t="s">
        <v>47</v>
      </c>
      <c r="M262" t="s">
        <v>681</v>
      </c>
      <c r="N262" s="5">
        <v>30773789</v>
      </c>
      <c r="O262" s="5">
        <v>59113</v>
      </c>
      <c r="P262" s="5">
        <v>11231</v>
      </c>
      <c r="Q262" s="5">
        <v>70344</v>
      </c>
    </row>
    <row r="263" spans="1:17" x14ac:dyDescent="0.25">
      <c r="A263" t="s">
        <v>501</v>
      </c>
      <c r="B263" t="s">
        <v>494</v>
      </c>
      <c r="C263">
        <v>76237266</v>
      </c>
      <c r="D263">
        <v>101</v>
      </c>
      <c r="E263">
        <v>30773794</v>
      </c>
      <c r="F263" t="s">
        <v>543</v>
      </c>
      <c r="G263" s="1">
        <v>45202</v>
      </c>
      <c r="H263">
        <v>5396180</v>
      </c>
      <c r="I263">
        <v>96</v>
      </c>
      <c r="J263" t="s">
        <v>140</v>
      </c>
      <c r="K263" t="s">
        <v>681</v>
      </c>
      <c r="L263" s="4" t="s">
        <v>47</v>
      </c>
      <c r="M263" t="s">
        <v>681</v>
      </c>
      <c r="N263" s="5">
        <v>30773794</v>
      </c>
      <c r="O263" s="5">
        <v>67028</v>
      </c>
      <c r="P263" s="5">
        <v>12735</v>
      </c>
      <c r="Q263" s="5">
        <v>79763</v>
      </c>
    </row>
    <row r="264" spans="1:17" x14ac:dyDescent="0.25">
      <c r="A264" t="s">
        <v>501</v>
      </c>
      <c r="B264" t="s">
        <v>494</v>
      </c>
      <c r="C264">
        <v>76237266</v>
      </c>
      <c r="D264">
        <v>0</v>
      </c>
      <c r="E264">
        <v>4500723075</v>
      </c>
      <c r="F264" t="s">
        <v>543</v>
      </c>
      <c r="G264" s="1">
        <v>45204</v>
      </c>
      <c r="H264">
        <v>5397592</v>
      </c>
      <c r="I264">
        <v>96</v>
      </c>
      <c r="J264" t="s">
        <v>140</v>
      </c>
      <c r="K264" t="s">
        <v>681</v>
      </c>
      <c r="L264" s="4" t="s">
        <v>47</v>
      </c>
      <c r="M264" t="s">
        <v>681</v>
      </c>
      <c r="N264" s="5">
        <v>30779648</v>
      </c>
      <c r="O264" s="5">
        <v>92189</v>
      </c>
      <c r="P264" s="5">
        <v>17516</v>
      </c>
      <c r="Q264" s="5">
        <v>109705</v>
      </c>
    </row>
    <row r="265" spans="1:17" x14ac:dyDescent="0.25">
      <c r="A265" t="s">
        <v>501</v>
      </c>
      <c r="B265" t="s">
        <v>494</v>
      </c>
      <c r="C265">
        <v>76237266</v>
      </c>
      <c r="D265">
        <v>70</v>
      </c>
      <c r="E265">
        <v>30779571</v>
      </c>
      <c r="F265" t="s">
        <v>543</v>
      </c>
      <c r="G265" s="1">
        <v>45204</v>
      </c>
      <c r="H265">
        <v>5397624</v>
      </c>
      <c r="I265">
        <v>96</v>
      </c>
      <c r="J265" t="s">
        <v>140</v>
      </c>
      <c r="K265" t="s">
        <v>681</v>
      </c>
      <c r="L265" s="4" t="s">
        <v>47</v>
      </c>
      <c r="M265" t="s">
        <v>681</v>
      </c>
      <c r="N265" s="5">
        <v>30779571</v>
      </c>
      <c r="O265" s="5">
        <v>59793</v>
      </c>
      <c r="P265" s="5">
        <v>11361</v>
      </c>
      <c r="Q265" s="5">
        <v>71154</v>
      </c>
    </row>
    <row r="266" spans="1:17" x14ac:dyDescent="0.25">
      <c r="A266" t="s">
        <v>501</v>
      </c>
      <c r="B266" t="s">
        <v>494</v>
      </c>
      <c r="C266">
        <v>76237266</v>
      </c>
      <c r="D266">
        <v>67</v>
      </c>
      <c r="E266">
        <v>30779557</v>
      </c>
      <c r="F266" t="s">
        <v>543</v>
      </c>
      <c r="G266" s="1">
        <v>45204</v>
      </c>
      <c r="H266">
        <v>5397666</v>
      </c>
      <c r="I266">
        <v>96</v>
      </c>
      <c r="J266" t="s">
        <v>140</v>
      </c>
      <c r="K266" t="s">
        <v>681</v>
      </c>
      <c r="L266" s="4" t="s">
        <v>47</v>
      </c>
      <c r="M266" t="s">
        <v>681</v>
      </c>
      <c r="N266" s="5">
        <v>30779557</v>
      </c>
      <c r="O266" s="5">
        <v>59352</v>
      </c>
      <c r="P266" s="5">
        <v>11277</v>
      </c>
      <c r="Q266" s="5">
        <v>70629</v>
      </c>
    </row>
    <row r="267" spans="1:17" x14ac:dyDescent="0.25">
      <c r="A267" t="s">
        <v>501</v>
      </c>
      <c r="B267" t="s">
        <v>494</v>
      </c>
      <c r="C267">
        <v>76237266</v>
      </c>
      <c r="D267">
        <v>0</v>
      </c>
      <c r="E267">
        <v>4500722495</v>
      </c>
      <c r="F267" t="s">
        <v>543</v>
      </c>
      <c r="G267" s="1">
        <v>45204</v>
      </c>
      <c r="H267">
        <v>5397690</v>
      </c>
      <c r="I267">
        <v>18</v>
      </c>
      <c r="J267" t="s">
        <v>168</v>
      </c>
      <c r="K267" t="s">
        <v>681</v>
      </c>
      <c r="L267" s="4" t="s">
        <v>47</v>
      </c>
      <c r="M267" t="s">
        <v>681</v>
      </c>
      <c r="N267" s="5">
        <v>30749400</v>
      </c>
      <c r="O267" s="5">
        <v>287389</v>
      </c>
      <c r="P267" s="5">
        <v>54604</v>
      </c>
      <c r="Q267" s="5">
        <v>341993</v>
      </c>
    </row>
    <row r="268" spans="1:17" x14ac:dyDescent="0.25">
      <c r="A268" t="s">
        <v>501</v>
      </c>
      <c r="B268" t="s">
        <v>494</v>
      </c>
      <c r="C268">
        <v>76237266</v>
      </c>
      <c r="D268">
        <v>73</v>
      </c>
      <c r="E268">
        <v>30779569</v>
      </c>
      <c r="F268" t="s">
        <v>543</v>
      </c>
      <c r="G268" s="1">
        <v>45204</v>
      </c>
      <c r="H268">
        <v>5397770</v>
      </c>
      <c r="I268">
        <v>96</v>
      </c>
      <c r="J268" t="s">
        <v>140</v>
      </c>
      <c r="K268" t="s">
        <v>681</v>
      </c>
      <c r="L268" s="4" t="s">
        <v>47</v>
      </c>
      <c r="M268" t="s">
        <v>681</v>
      </c>
      <c r="N268" s="5">
        <v>30779569</v>
      </c>
      <c r="O268" s="5">
        <v>59487</v>
      </c>
      <c r="P268" s="5">
        <v>11303</v>
      </c>
      <c r="Q268" s="5">
        <v>70790</v>
      </c>
    </row>
    <row r="269" spans="1:17" x14ac:dyDescent="0.25">
      <c r="A269" t="s">
        <v>501</v>
      </c>
      <c r="B269" t="s">
        <v>494</v>
      </c>
      <c r="C269">
        <v>76237266</v>
      </c>
      <c r="D269">
        <v>111</v>
      </c>
      <c r="E269">
        <v>30782358</v>
      </c>
      <c r="F269" t="s">
        <v>543</v>
      </c>
      <c r="G269" s="1">
        <v>45204</v>
      </c>
      <c r="H269">
        <v>5397791</v>
      </c>
      <c r="I269">
        <v>96</v>
      </c>
      <c r="J269" t="s">
        <v>140</v>
      </c>
      <c r="K269" t="s">
        <v>681</v>
      </c>
      <c r="L269" s="4" t="s">
        <v>47</v>
      </c>
      <c r="M269" t="s">
        <v>681</v>
      </c>
      <c r="N269" s="5">
        <v>30782358</v>
      </c>
      <c r="O269" s="5">
        <v>36670</v>
      </c>
      <c r="P269" s="5">
        <v>6967</v>
      </c>
      <c r="Q269" s="5">
        <v>43637</v>
      </c>
    </row>
    <row r="270" spans="1:17" x14ac:dyDescent="0.25">
      <c r="A270" t="s">
        <v>501</v>
      </c>
      <c r="B270" t="s">
        <v>494</v>
      </c>
      <c r="C270">
        <v>76237266</v>
      </c>
      <c r="D270">
        <v>112</v>
      </c>
      <c r="E270">
        <v>30782347</v>
      </c>
      <c r="F270" t="s">
        <v>543</v>
      </c>
      <c r="G270" s="1">
        <v>45204</v>
      </c>
      <c r="H270">
        <v>5397792</v>
      </c>
      <c r="I270">
        <v>96</v>
      </c>
      <c r="J270" t="s">
        <v>140</v>
      </c>
      <c r="K270" t="s">
        <v>681</v>
      </c>
      <c r="L270" s="4" t="s">
        <v>47</v>
      </c>
      <c r="M270" t="s">
        <v>681</v>
      </c>
      <c r="N270" s="5">
        <v>30782347</v>
      </c>
      <c r="O270" s="5">
        <v>36670</v>
      </c>
      <c r="P270" s="5">
        <v>6967</v>
      </c>
      <c r="Q270" s="5">
        <v>43637</v>
      </c>
    </row>
    <row r="271" spans="1:17" x14ac:dyDescent="0.25">
      <c r="A271" t="s">
        <v>501</v>
      </c>
      <c r="B271" t="s">
        <v>494</v>
      </c>
      <c r="C271">
        <v>76237266</v>
      </c>
      <c r="D271">
        <v>68</v>
      </c>
      <c r="E271">
        <v>30779950</v>
      </c>
      <c r="F271" t="s">
        <v>543</v>
      </c>
      <c r="G271" s="1">
        <v>45204</v>
      </c>
      <c r="H271">
        <v>5397861</v>
      </c>
      <c r="I271">
        <v>96</v>
      </c>
      <c r="J271" t="s">
        <v>140</v>
      </c>
      <c r="K271" t="s">
        <v>681</v>
      </c>
      <c r="L271" s="4" t="s">
        <v>47</v>
      </c>
      <c r="M271" t="s">
        <v>681</v>
      </c>
      <c r="N271" s="5">
        <v>30779950</v>
      </c>
      <c r="O271" s="5">
        <v>59947</v>
      </c>
      <c r="P271" s="5">
        <v>11390</v>
      </c>
      <c r="Q271" s="5">
        <v>71337</v>
      </c>
    </row>
    <row r="272" spans="1:17" x14ac:dyDescent="0.25">
      <c r="A272" t="s">
        <v>501</v>
      </c>
      <c r="B272" t="s">
        <v>494</v>
      </c>
      <c r="C272">
        <v>76237266</v>
      </c>
      <c r="D272">
        <v>69</v>
      </c>
      <c r="E272">
        <v>30780884</v>
      </c>
      <c r="F272" t="s">
        <v>543</v>
      </c>
      <c r="G272" s="1">
        <v>45204</v>
      </c>
      <c r="H272">
        <v>5397966</v>
      </c>
      <c r="I272">
        <v>96</v>
      </c>
      <c r="J272" t="s">
        <v>140</v>
      </c>
      <c r="K272" t="s">
        <v>681</v>
      </c>
      <c r="L272" s="4" t="s">
        <v>47</v>
      </c>
      <c r="M272" t="s">
        <v>681</v>
      </c>
      <c r="N272" s="5">
        <v>30780884</v>
      </c>
      <c r="O272" s="5">
        <v>59181</v>
      </c>
      <c r="P272" s="5">
        <v>11244</v>
      </c>
      <c r="Q272" s="5">
        <v>70425</v>
      </c>
    </row>
    <row r="273" spans="1:17" x14ac:dyDescent="0.25">
      <c r="A273" t="s">
        <v>501</v>
      </c>
      <c r="B273" t="s">
        <v>494</v>
      </c>
      <c r="C273">
        <v>76237266</v>
      </c>
      <c r="D273">
        <v>72</v>
      </c>
      <c r="E273">
        <v>30779568</v>
      </c>
      <c r="F273" t="s">
        <v>543</v>
      </c>
      <c r="G273" s="1">
        <v>45204</v>
      </c>
      <c r="H273">
        <v>5398236</v>
      </c>
      <c r="I273">
        <v>96</v>
      </c>
      <c r="J273" t="s">
        <v>140</v>
      </c>
      <c r="K273" t="s">
        <v>681</v>
      </c>
      <c r="L273" s="4" t="s">
        <v>47</v>
      </c>
      <c r="M273" t="s">
        <v>681</v>
      </c>
      <c r="N273" s="5">
        <v>30779568</v>
      </c>
      <c r="O273" s="5">
        <v>59444</v>
      </c>
      <c r="P273" s="5">
        <v>11294</v>
      </c>
      <c r="Q273" s="5">
        <v>70738</v>
      </c>
    </row>
    <row r="274" spans="1:17" x14ac:dyDescent="0.25">
      <c r="A274" t="s">
        <v>501</v>
      </c>
      <c r="B274" t="s">
        <v>494</v>
      </c>
      <c r="C274">
        <v>76237266</v>
      </c>
      <c r="D274">
        <v>24</v>
      </c>
      <c r="E274">
        <v>30782336</v>
      </c>
      <c r="F274" t="s">
        <v>543</v>
      </c>
      <c r="G274" s="1">
        <v>45204</v>
      </c>
      <c r="H274">
        <v>5398321</v>
      </c>
      <c r="I274">
        <v>96</v>
      </c>
      <c r="J274" t="s">
        <v>140</v>
      </c>
      <c r="K274" t="s">
        <v>681</v>
      </c>
      <c r="L274" s="4" t="s">
        <v>47</v>
      </c>
      <c r="M274" t="s">
        <v>681</v>
      </c>
      <c r="N274" s="5">
        <v>30782336</v>
      </c>
      <c r="O274" s="5">
        <v>84235</v>
      </c>
      <c r="P274" s="5">
        <v>16005</v>
      </c>
      <c r="Q274" s="5">
        <v>100240</v>
      </c>
    </row>
    <row r="275" spans="1:17" x14ac:dyDescent="0.25">
      <c r="A275" t="s">
        <v>501</v>
      </c>
      <c r="B275" t="s">
        <v>494</v>
      </c>
      <c r="C275">
        <v>76237266</v>
      </c>
      <c r="D275">
        <v>71</v>
      </c>
      <c r="E275">
        <v>30779953</v>
      </c>
      <c r="F275" t="s">
        <v>543</v>
      </c>
      <c r="G275" s="1">
        <v>45204</v>
      </c>
      <c r="H275">
        <v>5398335</v>
      </c>
      <c r="I275">
        <v>96</v>
      </c>
      <c r="J275" t="s">
        <v>140</v>
      </c>
      <c r="K275" t="s">
        <v>681</v>
      </c>
      <c r="L275" s="4" t="s">
        <v>47</v>
      </c>
      <c r="M275" t="s">
        <v>681</v>
      </c>
      <c r="N275" s="5">
        <v>30779953</v>
      </c>
      <c r="O275" s="5">
        <v>59609</v>
      </c>
      <c r="P275" s="5">
        <v>11326</v>
      </c>
      <c r="Q275" s="5">
        <v>70935</v>
      </c>
    </row>
    <row r="276" spans="1:17" x14ac:dyDescent="0.25">
      <c r="A276" t="s">
        <v>501</v>
      </c>
      <c r="B276" t="s">
        <v>494</v>
      </c>
      <c r="C276">
        <v>76237266</v>
      </c>
      <c r="D276">
        <v>109</v>
      </c>
      <c r="E276">
        <v>30782343</v>
      </c>
      <c r="F276" t="s">
        <v>543</v>
      </c>
      <c r="G276" s="1">
        <v>45205</v>
      </c>
      <c r="H276">
        <v>5398475</v>
      </c>
      <c r="I276">
        <v>96</v>
      </c>
      <c r="J276" t="s">
        <v>140</v>
      </c>
      <c r="K276" t="s">
        <v>681</v>
      </c>
      <c r="L276" s="4" t="s">
        <v>47</v>
      </c>
      <c r="M276" t="s">
        <v>681</v>
      </c>
      <c r="N276" s="5">
        <v>30782343</v>
      </c>
      <c r="O276" s="5">
        <v>10295</v>
      </c>
      <c r="P276" s="5">
        <v>1956</v>
      </c>
      <c r="Q276" s="5">
        <v>12251</v>
      </c>
    </row>
    <row r="277" spans="1:17" x14ac:dyDescent="0.25">
      <c r="A277" t="s">
        <v>501</v>
      </c>
      <c r="B277" t="s">
        <v>494</v>
      </c>
      <c r="C277">
        <v>76237266</v>
      </c>
      <c r="D277">
        <v>5</v>
      </c>
      <c r="E277">
        <v>30788345</v>
      </c>
      <c r="F277" t="s">
        <v>543</v>
      </c>
      <c r="G277" s="1">
        <v>45209</v>
      </c>
      <c r="H277">
        <v>5400684</v>
      </c>
      <c r="I277">
        <v>96</v>
      </c>
      <c r="J277" t="s">
        <v>140</v>
      </c>
      <c r="K277" t="s">
        <v>681</v>
      </c>
      <c r="L277" s="4" t="s">
        <v>47</v>
      </c>
      <c r="M277" t="s">
        <v>681</v>
      </c>
      <c r="N277" s="5">
        <v>30788345</v>
      </c>
      <c r="O277" s="5">
        <v>85662</v>
      </c>
      <c r="P277" s="5">
        <v>16276</v>
      </c>
      <c r="Q277" s="5">
        <v>101938</v>
      </c>
    </row>
    <row r="278" spans="1:17" x14ac:dyDescent="0.25">
      <c r="A278" t="s">
        <v>501</v>
      </c>
      <c r="B278" t="s">
        <v>494</v>
      </c>
      <c r="C278">
        <v>76237266</v>
      </c>
      <c r="D278">
        <v>35</v>
      </c>
      <c r="E278">
        <v>30788353</v>
      </c>
      <c r="F278" t="s">
        <v>543</v>
      </c>
      <c r="G278" s="1">
        <v>45209</v>
      </c>
      <c r="H278">
        <v>5400689</v>
      </c>
      <c r="I278">
        <v>96</v>
      </c>
      <c r="J278" t="s">
        <v>140</v>
      </c>
      <c r="K278" t="s">
        <v>681</v>
      </c>
      <c r="L278" s="4" t="s">
        <v>47</v>
      </c>
      <c r="M278" t="s">
        <v>681</v>
      </c>
      <c r="N278" s="5">
        <v>30788353</v>
      </c>
      <c r="O278" s="5">
        <v>22286</v>
      </c>
      <c r="P278" s="5">
        <v>4234</v>
      </c>
      <c r="Q278" s="5">
        <v>26520</v>
      </c>
    </row>
    <row r="279" spans="1:17" x14ac:dyDescent="0.25">
      <c r="A279" t="s">
        <v>501</v>
      </c>
      <c r="B279" t="s">
        <v>494</v>
      </c>
      <c r="C279">
        <v>76237266</v>
      </c>
      <c r="D279">
        <v>76</v>
      </c>
      <c r="E279">
        <v>30788344</v>
      </c>
      <c r="F279" t="s">
        <v>543</v>
      </c>
      <c r="G279" s="1">
        <v>45209</v>
      </c>
      <c r="H279">
        <v>5400692</v>
      </c>
      <c r="I279">
        <v>96</v>
      </c>
      <c r="J279" t="s">
        <v>140</v>
      </c>
      <c r="K279" t="s">
        <v>681</v>
      </c>
      <c r="L279" s="4" t="s">
        <v>47</v>
      </c>
      <c r="M279" t="s">
        <v>681</v>
      </c>
      <c r="N279" s="5">
        <v>30788344</v>
      </c>
      <c r="O279" s="5">
        <v>139631</v>
      </c>
      <c r="P279" s="5">
        <v>26530</v>
      </c>
      <c r="Q279" s="5">
        <v>166161</v>
      </c>
    </row>
    <row r="280" spans="1:17" x14ac:dyDescent="0.25">
      <c r="A280" t="s">
        <v>501</v>
      </c>
      <c r="B280" t="s">
        <v>494</v>
      </c>
      <c r="C280">
        <v>76237266</v>
      </c>
      <c r="D280">
        <v>35</v>
      </c>
      <c r="E280">
        <v>30788355</v>
      </c>
      <c r="F280" t="s">
        <v>543</v>
      </c>
      <c r="G280" s="1">
        <v>45209</v>
      </c>
      <c r="H280">
        <v>5400836</v>
      </c>
      <c r="I280">
        <v>96</v>
      </c>
      <c r="J280" t="s">
        <v>140</v>
      </c>
      <c r="K280" t="s">
        <v>681</v>
      </c>
      <c r="L280" s="4" t="s">
        <v>47</v>
      </c>
      <c r="M280" t="s">
        <v>681</v>
      </c>
      <c r="N280" s="5">
        <v>30788355</v>
      </c>
      <c r="O280" s="5">
        <v>97690</v>
      </c>
      <c r="P280" s="5">
        <v>18561</v>
      </c>
      <c r="Q280" s="5">
        <v>116251</v>
      </c>
    </row>
    <row r="281" spans="1:17" x14ac:dyDescent="0.25">
      <c r="A281" t="s">
        <v>501</v>
      </c>
      <c r="B281" t="s">
        <v>494</v>
      </c>
      <c r="C281">
        <v>76237266</v>
      </c>
      <c r="D281">
        <v>61</v>
      </c>
      <c r="E281">
        <v>30788343</v>
      </c>
      <c r="F281" t="s">
        <v>543</v>
      </c>
      <c r="G281" s="1">
        <v>45209</v>
      </c>
      <c r="H281">
        <v>5400891</v>
      </c>
      <c r="I281">
        <v>96</v>
      </c>
      <c r="J281" t="s">
        <v>140</v>
      </c>
      <c r="K281" t="s">
        <v>681</v>
      </c>
      <c r="L281" s="4" t="s">
        <v>47</v>
      </c>
      <c r="M281" t="s">
        <v>681</v>
      </c>
      <c r="N281" s="5">
        <v>30788343</v>
      </c>
      <c r="O281" s="5">
        <v>64560</v>
      </c>
      <c r="P281" s="5">
        <v>12266</v>
      </c>
      <c r="Q281" s="5">
        <v>76826</v>
      </c>
    </row>
    <row r="282" spans="1:17" x14ac:dyDescent="0.25">
      <c r="A282" t="s">
        <v>501</v>
      </c>
      <c r="B282" t="s">
        <v>494</v>
      </c>
      <c r="C282">
        <v>76237266</v>
      </c>
      <c r="D282">
        <v>50</v>
      </c>
      <c r="E282">
        <v>30788351</v>
      </c>
      <c r="F282" t="s">
        <v>543</v>
      </c>
      <c r="G282" s="1">
        <v>45209</v>
      </c>
      <c r="H282">
        <v>5400931</v>
      </c>
      <c r="I282">
        <v>96</v>
      </c>
      <c r="J282" t="s">
        <v>140</v>
      </c>
      <c r="K282" t="s">
        <v>681</v>
      </c>
      <c r="L282" s="4" t="s">
        <v>47</v>
      </c>
      <c r="M282" t="s">
        <v>681</v>
      </c>
      <c r="N282" s="5">
        <v>30788351</v>
      </c>
      <c r="O282" s="5">
        <v>59944</v>
      </c>
      <c r="P282" s="5">
        <v>11389</v>
      </c>
      <c r="Q282" s="5">
        <v>71333</v>
      </c>
    </row>
    <row r="283" spans="1:17" x14ac:dyDescent="0.25">
      <c r="A283" t="s">
        <v>501</v>
      </c>
      <c r="B283" t="s">
        <v>494</v>
      </c>
      <c r="C283">
        <v>76237266</v>
      </c>
      <c r="D283">
        <v>48</v>
      </c>
      <c r="E283">
        <v>30788350</v>
      </c>
      <c r="F283" t="s">
        <v>543</v>
      </c>
      <c r="G283" s="1">
        <v>45209</v>
      </c>
      <c r="H283">
        <v>5400971</v>
      </c>
      <c r="I283">
        <v>96</v>
      </c>
      <c r="J283" t="s">
        <v>140</v>
      </c>
      <c r="K283" t="s">
        <v>681</v>
      </c>
      <c r="L283" s="4" t="s">
        <v>47</v>
      </c>
      <c r="M283" t="s">
        <v>681</v>
      </c>
      <c r="N283" s="5">
        <v>30788350</v>
      </c>
      <c r="O283" s="5">
        <v>59892</v>
      </c>
      <c r="P283" s="5">
        <v>11379</v>
      </c>
      <c r="Q283" s="5">
        <v>71271</v>
      </c>
    </row>
    <row r="284" spans="1:17" x14ac:dyDescent="0.25">
      <c r="A284" t="s">
        <v>501</v>
      </c>
      <c r="B284" t="s">
        <v>494</v>
      </c>
      <c r="C284">
        <v>76237266</v>
      </c>
      <c r="D284">
        <v>52</v>
      </c>
      <c r="E284">
        <v>30792391</v>
      </c>
      <c r="F284" t="s">
        <v>543</v>
      </c>
      <c r="G284" s="1">
        <v>45209</v>
      </c>
      <c r="H284">
        <v>5401002</v>
      </c>
      <c r="I284">
        <v>96</v>
      </c>
      <c r="J284" t="s">
        <v>140</v>
      </c>
      <c r="K284" t="s">
        <v>681</v>
      </c>
      <c r="L284" s="4" t="s">
        <v>47</v>
      </c>
      <c r="M284" t="s">
        <v>681</v>
      </c>
      <c r="N284" s="5">
        <v>30792391</v>
      </c>
      <c r="O284" s="5">
        <v>99892</v>
      </c>
      <c r="P284" s="5">
        <v>18979</v>
      </c>
      <c r="Q284" s="5">
        <v>118871</v>
      </c>
    </row>
    <row r="285" spans="1:17" x14ac:dyDescent="0.25">
      <c r="A285" t="s">
        <v>501</v>
      </c>
      <c r="B285" t="s">
        <v>494</v>
      </c>
      <c r="C285">
        <v>76237266</v>
      </c>
      <c r="D285">
        <v>54</v>
      </c>
      <c r="E285">
        <v>30792386</v>
      </c>
      <c r="F285" t="s">
        <v>543</v>
      </c>
      <c r="G285" s="1">
        <v>45209</v>
      </c>
      <c r="H285">
        <v>5401243</v>
      </c>
      <c r="I285">
        <v>96</v>
      </c>
      <c r="J285" t="s">
        <v>140</v>
      </c>
      <c r="K285" t="s">
        <v>681</v>
      </c>
      <c r="L285" s="4" t="s">
        <v>47</v>
      </c>
      <c r="M285" t="s">
        <v>681</v>
      </c>
      <c r="N285" s="5">
        <v>30792386</v>
      </c>
      <c r="O285" s="5">
        <v>129035</v>
      </c>
      <c r="P285" s="5">
        <v>24517</v>
      </c>
      <c r="Q285" s="5">
        <v>153552</v>
      </c>
    </row>
    <row r="286" spans="1:17" x14ac:dyDescent="0.25">
      <c r="A286" t="s">
        <v>501</v>
      </c>
      <c r="B286" t="s">
        <v>494</v>
      </c>
      <c r="C286">
        <v>76237266</v>
      </c>
      <c r="D286">
        <v>0</v>
      </c>
      <c r="E286">
        <v>4500723735</v>
      </c>
      <c r="F286" t="s">
        <v>543</v>
      </c>
      <c r="G286" s="1">
        <v>45209</v>
      </c>
      <c r="H286">
        <v>5401399</v>
      </c>
      <c r="I286">
        <v>96</v>
      </c>
      <c r="J286" t="s">
        <v>140</v>
      </c>
      <c r="K286" t="s">
        <v>681</v>
      </c>
      <c r="L286" s="4" t="s">
        <v>47</v>
      </c>
      <c r="M286" t="s">
        <v>681</v>
      </c>
      <c r="N286" s="5">
        <v>30794220</v>
      </c>
      <c r="O286" s="5">
        <v>174360</v>
      </c>
      <c r="P286" s="5">
        <v>33128</v>
      </c>
      <c r="Q286" s="5">
        <v>207488</v>
      </c>
    </row>
    <row r="287" spans="1:17" x14ac:dyDescent="0.25">
      <c r="A287" t="s">
        <v>501</v>
      </c>
      <c r="B287" t="s">
        <v>494</v>
      </c>
      <c r="C287">
        <v>76237266</v>
      </c>
      <c r="D287">
        <v>53</v>
      </c>
      <c r="E287">
        <v>30798157</v>
      </c>
      <c r="F287" t="s">
        <v>543</v>
      </c>
      <c r="G287" s="1">
        <v>45210</v>
      </c>
      <c r="H287">
        <v>5402016</v>
      </c>
      <c r="I287">
        <v>96</v>
      </c>
      <c r="J287" t="s">
        <v>140</v>
      </c>
      <c r="K287" t="s">
        <v>681</v>
      </c>
      <c r="L287" s="4" t="s">
        <v>47</v>
      </c>
      <c r="M287" t="s">
        <v>681</v>
      </c>
      <c r="N287" s="5">
        <v>30798157</v>
      </c>
      <c r="O287" s="5">
        <v>118644</v>
      </c>
      <c r="P287" s="5">
        <v>22542</v>
      </c>
      <c r="Q287" s="5">
        <v>141186</v>
      </c>
    </row>
    <row r="288" spans="1:17" x14ac:dyDescent="0.25">
      <c r="A288" t="s">
        <v>501</v>
      </c>
      <c r="B288" t="s">
        <v>494</v>
      </c>
      <c r="C288">
        <v>76237266</v>
      </c>
      <c r="D288">
        <v>72</v>
      </c>
      <c r="E288">
        <v>4500723694</v>
      </c>
      <c r="F288" t="s">
        <v>543</v>
      </c>
      <c r="G288" s="1">
        <v>45210</v>
      </c>
      <c r="H288">
        <v>5402076</v>
      </c>
      <c r="I288">
        <v>96</v>
      </c>
      <c r="J288" t="s">
        <v>140</v>
      </c>
      <c r="K288" t="s">
        <v>681</v>
      </c>
      <c r="L288" s="4" t="s">
        <v>47</v>
      </c>
      <c r="M288" t="s">
        <v>681</v>
      </c>
      <c r="N288" s="5">
        <v>30798944</v>
      </c>
      <c r="O288" s="5">
        <v>333800</v>
      </c>
      <c r="P288" s="5">
        <v>63422</v>
      </c>
      <c r="Q288" s="5">
        <v>397222</v>
      </c>
    </row>
    <row r="289" spans="1:17" x14ac:dyDescent="0.25">
      <c r="A289" t="s">
        <v>501</v>
      </c>
      <c r="B289" t="s">
        <v>494</v>
      </c>
      <c r="C289">
        <v>76237266</v>
      </c>
      <c r="D289">
        <v>0</v>
      </c>
      <c r="E289">
        <v>4500723642</v>
      </c>
      <c r="F289" t="s">
        <v>543</v>
      </c>
      <c r="G289" s="1">
        <v>45210</v>
      </c>
      <c r="H289">
        <v>5402096</v>
      </c>
      <c r="I289">
        <v>96</v>
      </c>
      <c r="J289" t="s">
        <v>140</v>
      </c>
      <c r="K289" t="s">
        <v>681</v>
      </c>
      <c r="L289" s="4" t="s">
        <v>47</v>
      </c>
      <c r="M289" t="s">
        <v>681</v>
      </c>
      <c r="N289" s="5">
        <v>30784622</v>
      </c>
      <c r="O289" s="5">
        <v>77518</v>
      </c>
      <c r="P289" s="5">
        <v>14728</v>
      </c>
      <c r="Q289" s="5">
        <v>92246</v>
      </c>
    </row>
    <row r="290" spans="1:17" x14ac:dyDescent="0.25">
      <c r="A290" t="s">
        <v>501</v>
      </c>
      <c r="B290" t="s">
        <v>494</v>
      </c>
      <c r="C290">
        <v>76237266</v>
      </c>
      <c r="D290">
        <v>37</v>
      </c>
      <c r="E290">
        <v>30799441</v>
      </c>
      <c r="F290" t="s">
        <v>543</v>
      </c>
      <c r="G290" s="1">
        <v>45211</v>
      </c>
      <c r="H290">
        <v>5402415</v>
      </c>
      <c r="I290">
        <v>96</v>
      </c>
      <c r="J290" t="s">
        <v>140</v>
      </c>
      <c r="K290" t="s">
        <v>681</v>
      </c>
      <c r="L290" s="4" t="s">
        <v>47</v>
      </c>
      <c r="M290" t="s">
        <v>681</v>
      </c>
      <c r="N290" s="5">
        <v>30799441</v>
      </c>
      <c r="O290" s="5">
        <v>59615</v>
      </c>
      <c r="P290" s="5">
        <v>11327</v>
      </c>
      <c r="Q290" s="5">
        <v>70942</v>
      </c>
    </row>
    <row r="291" spans="1:17" x14ac:dyDescent="0.25">
      <c r="A291" t="s">
        <v>501</v>
      </c>
      <c r="B291" t="s">
        <v>494</v>
      </c>
      <c r="C291">
        <v>76237266</v>
      </c>
      <c r="D291">
        <v>6</v>
      </c>
      <c r="E291">
        <v>30799093</v>
      </c>
      <c r="F291" t="s">
        <v>543</v>
      </c>
      <c r="G291" s="1">
        <v>45211</v>
      </c>
      <c r="H291">
        <v>5402434</v>
      </c>
      <c r="I291">
        <v>96</v>
      </c>
      <c r="J291" t="s">
        <v>140</v>
      </c>
      <c r="K291" t="s">
        <v>681</v>
      </c>
      <c r="L291" s="4" t="s">
        <v>47</v>
      </c>
      <c r="M291" t="s">
        <v>681</v>
      </c>
      <c r="N291" s="5">
        <v>30799093</v>
      </c>
      <c r="O291" s="5">
        <v>119809</v>
      </c>
      <c r="P291" s="5">
        <v>22764</v>
      </c>
      <c r="Q291" s="5">
        <v>142573</v>
      </c>
    </row>
    <row r="292" spans="1:17" x14ac:dyDescent="0.25">
      <c r="A292" t="s">
        <v>501</v>
      </c>
      <c r="B292" t="s">
        <v>494</v>
      </c>
      <c r="C292">
        <v>76237266</v>
      </c>
      <c r="D292">
        <v>101</v>
      </c>
      <c r="E292">
        <v>30800111</v>
      </c>
      <c r="F292" t="s">
        <v>543</v>
      </c>
      <c r="G292" s="1">
        <v>45211</v>
      </c>
      <c r="H292">
        <v>5402498</v>
      </c>
      <c r="I292">
        <v>96</v>
      </c>
      <c r="J292" t="s">
        <v>140</v>
      </c>
      <c r="K292" t="s">
        <v>681</v>
      </c>
      <c r="L292" s="4" t="s">
        <v>47</v>
      </c>
      <c r="M292" t="s">
        <v>681</v>
      </c>
      <c r="N292" s="5">
        <v>30800111</v>
      </c>
      <c r="O292" s="5">
        <v>23600</v>
      </c>
      <c r="P292" s="5">
        <v>4484</v>
      </c>
      <c r="Q292" s="5">
        <v>28084</v>
      </c>
    </row>
    <row r="293" spans="1:17" x14ac:dyDescent="0.25">
      <c r="A293" t="s">
        <v>501</v>
      </c>
      <c r="B293" t="s">
        <v>494</v>
      </c>
      <c r="C293">
        <v>76237266</v>
      </c>
      <c r="D293">
        <v>122</v>
      </c>
      <c r="E293">
        <v>30799089</v>
      </c>
      <c r="F293" t="s">
        <v>543</v>
      </c>
      <c r="G293" s="1">
        <v>45211</v>
      </c>
      <c r="H293">
        <v>5402519</v>
      </c>
      <c r="I293">
        <v>96</v>
      </c>
      <c r="J293" t="s">
        <v>140</v>
      </c>
      <c r="K293" t="s">
        <v>681</v>
      </c>
      <c r="L293" s="4" t="s">
        <v>47</v>
      </c>
      <c r="M293" t="s">
        <v>681</v>
      </c>
      <c r="N293" s="5">
        <v>30799089</v>
      </c>
      <c r="O293" s="5">
        <v>84613</v>
      </c>
      <c r="P293" s="5">
        <v>16076</v>
      </c>
      <c r="Q293" s="5">
        <v>100689</v>
      </c>
    </row>
    <row r="294" spans="1:17" x14ac:dyDescent="0.25">
      <c r="A294" t="s">
        <v>501</v>
      </c>
      <c r="B294" t="s">
        <v>494</v>
      </c>
      <c r="C294">
        <v>76237266</v>
      </c>
      <c r="D294">
        <v>168</v>
      </c>
      <c r="E294">
        <v>30802486</v>
      </c>
      <c r="F294" t="s">
        <v>543</v>
      </c>
      <c r="G294" s="1">
        <v>45211</v>
      </c>
      <c r="H294">
        <v>5403121</v>
      </c>
      <c r="I294">
        <v>96</v>
      </c>
      <c r="J294" t="s">
        <v>140</v>
      </c>
      <c r="K294" t="s">
        <v>681</v>
      </c>
      <c r="L294" s="4" t="s">
        <v>47</v>
      </c>
      <c r="M294" t="s">
        <v>681</v>
      </c>
      <c r="N294" s="5">
        <v>30802486</v>
      </c>
      <c r="O294" s="5">
        <v>59982</v>
      </c>
      <c r="P294" s="5">
        <v>11397</v>
      </c>
      <c r="Q294" s="5">
        <v>71379</v>
      </c>
    </row>
    <row r="295" spans="1:17" x14ac:dyDescent="0.25">
      <c r="A295" t="s">
        <v>501</v>
      </c>
      <c r="B295" t="s">
        <v>494</v>
      </c>
      <c r="C295">
        <v>76237266</v>
      </c>
      <c r="D295">
        <v>31</v>
      </c>
      <c r="E295">
        <v>30802449</v>
      </c>
      <c r="F295" t="s">
        <v>543</v>
      </c>
      <c r="G295" s="1">
        <v>45211</v>
      </c>
      <c r="H295">
        <v>5403193</v>
      </c>
      <c r="I295">
        <v>96</v>
      </c>
      <c r="J295" t="s">
        <v>140</v>
      </c>
      <c r="K295" t="s">
        <v>681</v>
      </c>
      <c r="L295" s="4" t="s">
        <v>47</v>
      </c>
      <c r="M295" t="s">
        <v>681</v>
      </c>
      <c r="N295" s="5">
        <v>30802449</v>
      </c>
      <c r="O295" s="5">
        <v>119896</v>
      </c>
      <c r="P295" s="5">
        <v>22780</v>
      </c>
      <c r="Q295" s="5">
        <v>142676</v>
      </c>
    </row>
    <row r="296" spans="1:17" x14ac:dyDescent="0.25">
      <c r="A296" t="s">
        <v>501</v>
      </c>
      <c r="B296" t="s">
        <v>494</v>
      </c>
      <c r="C296">
        <v>76237266</v>
      </c>
      <c r="D296">
        <v>74</v>
      </c>
      <c r="E296">
        <v>30804236</v>
      </c>
      <c r="F296" t="s">
        <v>543</v>
      </c>
      <c r="G296" s="1">
        <v>45212</v>
      </c>
      <c r="H296">
        <v>5403547</v>
      </c>
      <c r="I296">
        <v>96</v>
      </c>
      <c r="J296" t="s">
        <v>140</v>
      </c>
      <c r="K296" t="s">
        <v>681</v>
      </c>
      <c r="L296" s="4" t="s">
        <v>47</v>
      </c>
      <c r="M296" t="s">
        <v>681</v>
      </c>
      <c r="N296" s="5">
        <v>30804236</v>
      </c>
      <c r="O296" s="5">
        <v>147631</v>
      </c>
      <c r="P296" s="5">
        <v>28050</v>
      </c>
      <c r="Q296" s="5">
        <v>175681</v>
      </c>
    </row>
    <row r="297" spans="1:17" x14ac:dyDescent="0.25">
      <c r="A297" t="s">
        <v>501</v>
      </c>
      <c r="B297" t="s">
        <v>494</v>
      </c>
      <c r="C297">
        <v>76237266</v>
      </c>
      <c r="D297">
        <v>36</v>
      </c>
      <c r="E297">
        <v>30806162</v>
      </c>
      <c r="F297" t="s">
        <v>543</v>
      </c>
      <c r="G297" s="1">
        <v>45212</v>
      </c>
      <c r="H297">
        <v>5403703</v>
      </c>
      <c r="I297">
        <v>96</v>
      </c>
      <c r="J297" t="s">
        <v>140</v>
      </c>
      <c r="K297" t="s">
        <v>681</v>
      </c>
      <c r="L297" s="4" t="s">
        <v>47</v>
      </c>
      <c r="M297" t="s">
        <v>681</v>
      </c>
      <c r="N297" s="5">
        <v>30806162</v>
      </c>
      <c r="O297" s="5">
        <v>59700</v>
      </c>
      <c r="P297" s="5">
        <v>11343</v>
      </c>
      <c r="Q297" s="5">
        <v>71043</v>
      </c>
    </row>
    <row r="298" spans="1:17" x14ac:dyDescent="0.25">
      <c r="A298" t="s">
        <v>501</v>
      </c>
      <c r="B298" t="s">
        <v>494</v>
      </c>
      <c r="C298">
        <v>76237266</v>
      </c>
      <c r="D298">
        <v>32</v>
      </c>
      <c r="E298">
        <v>30806136</v>
      </c>
      <c r="F298" t="s">
        <v>543</v>
      </c>
      <c r="G298" s="1">
        <v>45212</v>
      </c>
      <c r="H298">
        <v>5403758</v>
      </c>
      <c r="I298">
        <v>96</v>
      </c>
      <c r="J298" t="s">
        <v>140</v>
      </c>
      <c r="K298" t="s">
        <v>681</v>
      </c>
      <c r="L298" s="4" t="s">
        <v>47</v>
      </c>
      <c r="M298" t="s">
        <v>681</v>
      </c>
      <c r="N298" s="5">
        <v>30806136</v>
      </c>
      <c r="O298" s="5">
        <v>59902</v>
      </c>
      <c r="P298" s="5">
        <v>11381</v>
      </c>
      <c r="Q298" s="5">
        <v>71283</v>
      </c>
    </row>
    <row r="299" spans="1:17" x14ac:dyDescent="0.25">
      <c r="A299" t="s">
        <v>501</v>
      </c>
      <c r="B299" t="s">
        <v>494</v>
      </c>
      <c r="C299">
        <v>76237266</v>
      </c>
      <c r="D299">
        <v>47</v>
      </c>
      <c r="E299">
        <v>30806139</v>
      </c>
      <c r="F299" t="s">
        <v>543</v>
      </c>
      <c r="G299" s="1">
        <v>45212</v>
      </c>
      <c r="H299">
        <v>5403761</v>
      </c>
      <c r="I299">
        <v>96</v>
      </c>
      <c r="J299" t="s">
        <v>140</v>
      </c>
      <c r="K299" t="s">
        <v>681</v>
      </c>
      <c r="L299" s="4" t="s">
        <v>47</v>
      </c>
      <c r="M299" t="s">
        <v>681</v>
      </c>
      <c r="N299" s="5">
        <v>30806139</v>
      </c>
      <c r="O299" s="5">
        <v>59524</v>
      </c>
      <c r="P299" s="5">
        <v>11310</v>
      </c>
      <c r="Q299" s="5">
        <v>70834</v>
      </c>
    </row>
    <row r="300" spans="1:17" x14ac:dyDescent="0.25">
      <c r="A300" t="s">
        <v>501</v>
      </c>
      <c r="B300" t="s">
        <v>494</v>
      </c>
      <c r="C300">
        <v>76237266</v>
      </c>
      <c r="D300">
        <v>3</v>
      </c>
      <c r="E300">
        <v>30806141</v>
      </c>
      <c r="F300" t="s">
        <v>543</v>
      </c>
      <c r="G300" s="1">
        <v>45212</v>
      </c>
      <c r="H300">
        <v>5403780</v>
      </c>
      <c r="I300">
        <v>96</v>
      </c>
      <c r="J300" t="s">
        <v>140</v>
      </c>
      <c r="K300" t="s">
        <v>681</v>
      </c>
      <c r="L300" s="4" t="s">
        <v>47</v>
      </c>
      <c r="M300" t="s">
        <v>681</v>
      </c>
      <c r="N300" s="5">
        <v>30806141</v>
      </c>
      <c r="O300" s="5">
        <v>59877</v>
      </c>
      <c r="P300" s="5">
        <v>11377</v>
      </c>
      <c r="Q300" s="5">
        <v>71254</v>
      </c>
    </row>
    <row r="301" spans="1:17" x14ac:dyDescent="0.25">
      <c r="A301" t="s">
        <v>501</v>
      </c>
      <c r="B301" t="s">
        <v>494</v>
      </c>
      <c r="C301">
        <v>76237266</v>
      </c>
      <c r="D301">
        <v>39</v>
      </c>
      <c r="E301">
        <v>30806132</v>
      </c>
      <c r="F301" t="s">
        <v>543</v>
      </c>
      <c r="G301" s="1">
        <v>45212</v>
      </c>
      <c r="H301">
        <v>5403782</v>
      </c>
      <c r="I301">
        <v>96</v>
      </c>
      <c r="J301" t="s">
        <v>140</v>
      </c>
      <c r="K301" t="s">
        <v>681</v>
      </c>
      <c r="L301" s="4" t="s">
        <v>47</v>
      </c>
      <c r="M301" t="s">
        <v>681</v>
      </c>
      <c r="N301" s="5">
        <v>30806132</v>
      </c>
      <c r="O301" s="5">
        <v>59762</v>
      </c>
      <c r="P301" s="5">
        <v>11355</v>
      </c>
      <c r="Q301" s="5">
        <v>71117</v>
      </c>
    </row>
    <row r="302" spans="1:17" x14ac:dyDescent="0.25">
      <c r="A302" t="s">
        <v>501</v>
      </c>
      <c r="B302" t="s">
        <v>494</v>
      </c>
      <c r="C302">
        <v>76237266</v>
      </c>
      <c r="D302">
        <v>0</v>
      </c>
      <c r="E302">
        <v>4500724509</v>
      </c>
      <c r="F302" t="s">
        <v>543</v>
      </c>
      <c r="G302" s="1">
        <v>45215</v>
      </c>
      <c r="H302">
        <v>5405217</v>
      </c>
      <c r="I302">
        <v>96</v>
      </c>
      <c r="J302" t="s">
        <v>140</v>
      </c>
      <c r="K302" t="s">
        <v>681</v>
      </c>
      <c r="L302" s="4" t="s">
        <v>47</v>
      </c>
      <c r="M302" t="s">
        <v>681</v>
      </c>
      <c r="N302" s="5">
        <v>30809141</v>
      </c>
      <c r="O302" s="5">
        <v>108269</v>
      </c>
      <c r="P302" s="5">
        <v>20571</v>
      </c>
      <c r="Q302" s="5">
        <v>128840</v>
      </c>
    </row>
    <row r="303" spans="1:17" x14ac:dyDescent="0.25">
      <c r="A303" t="s">
        <v>501</v>
      </c>
      <c r="B303" t="s">
        <v>494</v>
      </c>
      <c r="C303">
        <v>76237266</v>
      </c>
      <c r="D303">
        <v>5</v>
      </c>
      <c r="E303">
        <v>30811319</v>
      </c>
      <c r="F303" t="s">
        <v>543</v>
      </c>
      <c r="G303" s="1">
        <v>45216</v>
      </c>
      <c r="H303">
        <v>5405393</v>
      </c>
      <c r="I303">
        <v>96</v>
      </c>
      <c r="J303" t="s">
        <v>140</v>
      </c>
      <c r="K303" t="s">
        <v>681</v>
      </c>
      <c r="L303" s="4" t="s">
        <v>47</v>
      </c>
      <c r="M303" t="s">
        <v>681</v>
      </c>
      <c r="N303" s="5">
        <v>30811319</v>
      </c>
      <c r="O303" s="5">
        <v>34026</v>
      </c>
      <c r="P303" s="5">
        <v>6465</v>
      </c>
      <c r="Q303" s="5">
        <v>40491</v>
      </c>
    </row>
    <row r="304" spans="1:17" x14ac:dyDescent="0.25">
      <c r="A304" t="s">
        <v>501</v>
      </c>
      <c r="B304" t="s">
        <v>494</v>
      </c>
      <c r="C304">
        <v>76237266</v>
      </c>
      <c r="D304">
        <v>2</v>
      </c>
      <c r="E304">
        <v>30811316</v>
      </c>
      <c r="F304" t="s">
        <v>543</v>
      </c>
      <c r="G304" s="1">
        <v>45216</v>
      </c>
      <c r="H304">
        <v>5405464</v>
      </c>
      <c r="I304">
        <v>96</v>
      </c>
      <c r="J304" t="s">
        <v>140</v>
      </c>
      <c r="K304" t="s">
        <v>681</v>
      </c>
      <c r="L304" s="4" t="s">
        <v>47</v>
      </c>
      <c r="M304" t="s">
        <v>681</v>
      </c>
      <c r="N304" s="5">
        <v>30811316</v>
      </c>
      <c r="O304" s="5">
        <v>159555</v>
      </c>
      <c r="P304" s="5">
        <v>30315</v>
      </c>
      <c r="Q304" s="5">
        <v>189870</v>
      </c>
    </row>
    <row r="305" spans="1:17" x14ac:dyDescent="0.25">
      <c r="A305" t="s">
        <v>501</v>
      </c>
      <c r="B305" t="s">
        <v>494</v>
      </c>
      <c r="C305">
        <v>76237266</v>
      </c>
      <c r="D305">
        <v>0</v>
      </c>
      <c r="E305">
        <v>4500725343</v>
      </c>
      <c r="F305" t="s">
        <v>543</v>
      </c>
      <c r="G305" s="1">
        <v>45222</v>
      </c>
      <c r="H305">
        <v>5407701</v>
      </c>
      <c r="I305">
        <v>96</v>
      </c>
      <c r="J305" t="s">
        <v>140</v>
      </c>
      <c r="K305" t="s">
        <v>681</v>
      </c>
      <c r="L305" s="4" t="s">
        <v>47</v>
      </c>
      <c r="M305" t="s">
        <v>681</v>
      </c>
      <c r="N305" s="5">
        <v>30814910</v>
      </c>
      <c r="O305" s="5">
        <v>255866</v>
      </c>
      <c r="P305" s="5">
        <v>48615</v>
      </c>
      <c r="Q305" s="5">
        <v>304481</v>
      </c>
    </row>
    <row r="306" spans="1:17" x14ac:dyDescent="0.25">
      <c r="A306" t="s">
        <v>501</v>
      </c>
      <c r="B306" t="s">
        <v>494</v>
      </c>
      <c r="C306">
        <v>76237266</v>
      </c>
      <c r="D306">
        <v>66</v>
      </c>
      <c r="E306">
        <v>30826859</v>
      </c>
      <c r="F306" t="s">
        <v>543</v>
      </c>
      <c r="G306" s="1">
        <v>45222</v>
      </c>
      <c r="H306">
        <v>5408063</v>
      </c>
      <c r="I306">
        <v>96</v>
      </c>
      <c r="J306" t="s">
        <v>140</v>
      </c>
      <c r="K306" t="s">
        <v>681</v>
      </c>
      <c r="L306" s="4" t="s">
        <v>47</v>
      </c>
      <c r="M306" t="s">
        <v>681</v>
      </c>
      <c r="N306" s="5">
        <v>30826859</v>
      </c>
      <c r="O306" s="5">
        <v>37640</v>
      </c>
      <c r="P306" s="5">
        <v>7152</v>
      </c>
      <c r="Q306" s="5">
        <v>44792</v>
      </c>
    </row>
    <row r="307" spans="1:17" x14ac:dyDescent="0.25">
      <c r="A307" t="s">
        <v>501</v>
      </c>
      <c r="B307" t="s">
        <v>494</v>
      </c>
      <c r="C307">
        <v>76237266</v>
      </c>
      <c r="D307">
        <v>0</v>
      </c>
      <c r="E307">
        <v>4500695584</v>
      </c>
      <c r="F307" t="s">
        <v>543</v>
      </c>
      <c r="G307" s="1">
        <v>45224</v>
      </c>
      <c r="H307">
        <v>5409012</v>
      </c>
      <c r="I307">
        <v>96</v>
      </c>
      <c r="J307" t="s">
        <v>140</v>
      </c>
      <c r="K307" t="s">
        <v>681</v>
      </c>
      <c r="L307" s="4" t="s">
        <v>47</v>
      </c>
      <c r="M307" t="s">
        <v>681</v>
      </c>
      <c r="N307" s="5">
        <v>30834394</v>
      </c>
      <c r="O307" s="5">
        <v>140705</v>
      </c>
      <c r="P307" s="5">
        <v>26734</v>
      </c>
      <c r="Q307" s="5">
        <v>167439</v>
      </c>
    </row>
    <row r="308" spans="1:17" x14ac:dyDescent="0.25">
      <c r="A308" t="s">
        <v>501</v>
      </c>
      <c r="B308" t="s">
        <v>494</v>
      </c>
      <c r="C308">
        <v>76237266</v>
      </c>
      <c r="D308">
        <v>168</v>
      </c>
      <c r="E308">
        <v>30836933</v>
      </c>
      <c r="F308" t="s">
        <v>543</v>
      </c>
      <c r="G308" s="1">
        <v>45225</v>
      </c>
      <c r="H308">
        <v>5409382</v>
      </c>
      <c r="I308">
        <v>96</v>
      </c>
      <c r="J308" t="s">
        <v>140</v>
      </c>
      <c r="K308" t="s">
        <v>681</v>
      </c>
      <c r="L308" s="4" t="s">
        <v>47</v>
      </c>
      <c r="M308" t="s">
        <v>681</v>
      </c>
      <c r="N308" s="5">
        <v>30836933</v>
      </c>
      <c r="O308" s="5">
        <v>73559</v>
      </c>
      <c r="P308" s="5">
        <v>13976</v>
      </c>
      <c r="Q308" s="5">
        <v>87535</v>
      </c>
    </row>
    <row r="309" spans="1:17" x14ac:dyDescent="0.25">
      <c r="A309" t="s">
        <v>501</v>
      </c>
      <c r="B309" t="s">
        <v>494</v>
      </c>
      <c r="C309">
        <v>76237266</v>
      </c>
      <c r="D309">
        <v>0</v>
      </c>
      <c r="E309">
        <v>4500725691</v>
      </c>
      <c r="F309" t="s">
        <v>543</v>
      </c>
      <c r="G309" s="1">
        <v>45229</v>
      </c>
      <c r="H309">
        <v>5409801</v>
      </c>
      <c r="I309">
        <v>96</v>
      </c>
      <c r="J309" t="s">
        <v>140</v>
      </c>
      <c r="K309" t="s">
        <v>681</v>
      </c>
      <c r="L309" s="4" t="s">
        <v>47</v>
      </c>
      <c r="M309" t="s">
        <v>681</v>
      </c>
      <c r="N309" s="5">
        <v>30839090</v>
      </c>
      <c r="O309" s="5">
        <v>410874</v>
      </c>
      <c r="P309" s="5">
        <v>78066</v>
      </c>
      <c r="Q309" s="5">
        <v>488940</v>
      </c>
    </row>
    <row r="310" spans="1:17" x14ac:dyDescent="0.25">
      <c r="A310" t="s">
        <v>501</v>
      </c>
      <c r="B310" t="s">
        <v>494</v>
      </c>
      <c r="C310">
        <v>76237266</v>
      </c>
      <c r="D310">
        <v>0</v>
      </c>
      <c r="E310">
        <v>4500725229</v>
      </c>
      <c r="F310" t="s">
        <v>543</v>
      </c>
      <c r="G310" s="1">
        <v>45229</v>
      </c>
      <c r="H310">
        <v>5410133</v>
      </c>
      <c r="I310">
        <v>96</v>
      </c>
      <c r="J310" t="s">
        <v>140</v>
      </c>
      <c r="K310" t="s">
        <v>681</v>
      </c>
      <c r="L310" s="4" t="s">
        <v>47</v>
      </c>
      <c r="M310" t="s">
        <v>681</v>
      </c>
      <c r="N310" s="5">
        <v>30841092</v>
      </c>
      <c r="O310" s="5">
        <v>96589</v>
      </c>
      <c r="P310" s="5">
        <v>18352</v>
      </c>
      <c r="Q310" s="5">
        <v>114941</v>
      </c>
    </row>
    <row r="311" spans="1:17" x14ac:dyDescent="0.25">
      <c r="F311" t="s">
        <v>772</v>
      </c>
      <c r="K311" t="s">
        <v>681</v>
      </c>
      <c r="L311" s="4"/>
      <c r="M311" t="s">
        <v>681</v>
      </c>
      <c r="N311" s="5"/>
      <c r="O311" s="5">
        <v>4818132</v>
      </c>
      <c r="P311" s="5">
        <v>915443</v>
      </c>
      <c r="Q311" s="5">
        <v>5733575</v>
      </c>
    </row>
    <row r="312" spans="1:17" x14ac:dyDescent="0.25">
      <c r="A312" t="s">
        <v>496</v>
      </c>
      <c r="B312" t="s">
        <v>494</v>
      </c>
      <c r="C312">
        <v>76247273</v>
      </c>
      <c r="D312">
        <v>40</v>
      </c>
      <c r="E312" t="s">
        <v>693</v>
      </c>
      <c r="F312" t="s">
        <v>694</v>
      </c>
      <c r="G312" s="1">
        <v>45211</v>
      </c>
      <c r="H312">
        <v>5402527</v>
      </c>
      <c r="I312">
        <v>281</v>
      </c>
      <c r="J312" t="s">
        <v>162</v>
      </c>
      <c r="K312" s="8" t="s">
        <v>742</v>
      </c>
      <c r="L312" s="4" t="s">
        <v>6</v>
      </c>
      <c r="M312" t="s">
        <v>681</v>
      </c>
      <c r="N312" s="5">
        <v>30800586</v>
      </c>
      <c r="O312" s="5">
        <v>96500</v>
      </c>
      <c r="P312" s="5">
        <v>18335</v>
      </c>
      <c r="Q312" s="5">
        <v>114835</v>
      </c>
    </row>
    <row r="313" spans="1:17" x14ac:dyDescent="0.25">
      <c r="A313" t="s">
        <v>496</v>
      </c>
      <c r="B313" t="s">
        <v>494</v>
      </c>
      <c r="C313">
        <v>76247273</v>
      </c>
      <c r="D313">
        <v>14</v>
      </c>
      <c r="E313" t="s">
        <v>773</v>
      </c>
      <c r="F313" t="s">
        <v>694</v>
      </c>
      <c r="G313" s="1">
        <v>45229</v>
      </c>
      <c r="H313">
        <v>5409794</v>
      </c>
      <c r="I313">
        <v>281</v>
      </c>
      <c r="J313" t="s">
        <v>162</v>
      </c>
      <c r="K313" s="8" t="s">
        <v>742</v>
      </c>
      <c r="L313" s="4" t="s">
        <v>6</v>
      </c>
      <c r="M313" t="s">
        <v>681</v>
      </c>
      <c r="N313" s="5">
        <v>30838855</v>
      </c>
      <c r="O313" s="5">
        <v>46506</v>
      </c>
      <c r="P313" s="5">
        <v>8836</v>
      </c>
      <c r="Q313" s="5">
        <v>55342</v>
      </c>
    </row>
    <row r="314" spans="1:17" x14ac:dyDescent="0.25">
      <c r="F314" t="s">
        <v>497</v>
      </c>
      <c r="K314" t="s">
        <v>681</v>
      </c>
      <c r="L314" s="4"/>
      <c r="M314" t="s">
        <v>681</v>
      </c>
      <c r="N314" s="5"/>
      <c r="O314" s="5">
        <v>143006</v>
      </c>
      <c r="P314" s="5">
        <v>27171</v>
      </c>
      <c r="Q314" s="5">
        <v>170177</v>
      </c>
    </row>
    <row r="315" spans="1:17" x14ac:dyDescent="0.25">
      <c r="A315" t="s">
        <v>520</v>
      </c>
      <c r="B315" t="s">
        <v>494</v>
      </c>
      <c r="C315">
        <v>76322590</v>
      </c>
      <c r="D315">
        <v>49</v>
      </c>
      <c r="E315">
        <v>30772845</v>
      </c>
      <c r="F315" t="s">
        <v>545</v>
      </c>
      <c r="G315" s="1">
        <v>45202</v>
      </c>
      <c r="H315">
        <v>5396108</v>
      </c>
      <c r="I315">
        <v>108</v>
      </c>
      <c r="J315" t="s">
        <v>196</v>
      </c>
      <c r="K315" t="s">
        <v>681</v>
      </c>
      <c r="L315" s="4" t="s">
        <v>48</v>
      </c>
      <c r="M315" t="s">
        <v>681</v>
      </c>
      <c r="N315" s="5">
        <v>30772845</v>
      </c>
      <c r="O315" s="5">
        <v>46385</v>
      </c>
      <c r="P315" s="5">
        <v>8813</v>
      </c>
      <c r="Q315" s="5">
        <v>55198</v>
      </c>
    </row>
    <row r="316" spans="1:17" x14ac:dyDescent="0.25">
      <c r="A316" t="s">
        <v>520</v>
      </c>
      <c r="B316" t="s">
        <v>494</v>
      </c>
      <c r="C316">
        <v>76322590</v>
      </c>
      <c r="D316">
        <v>4</v>
      </c>
      <c r="E316">
        <v>30772830</v>
      </c>
      <c r="F316" t="s">
        <v>545</v>
      </c>
      <c r="G316" s="1">
        <v>45202</v>
      </c>
      <c r="H316">
        <v>5396159</v>
      </c>
      <c r="I316">
        <v>108</v>
      </c>
      <c r="J316" t="s">
        <v>196</v>
      </c>
      <c r="K316" t="s">
        <v>681</v>
      </c>
      <c r="L316" s="4" t="s">
        <v>48</v>
      </c>
      <c r="M316" t="s">
        <v>681</v>
      </c>
      <c r="N316" s="5">
        <v>30772830</v>
      </c>
      <c r="O316" s="5">
        <v>71658</v>
      </c>
      <c r="P316" s="5">
        <v>13615</v>
      </c>
      <c r="Q316" s="5">
        <v>85273</v>
      </c>
    </row>
    <row r="317" spans="1:17" x14ac:dyDescent="0.25">
      <c r="A317" t="s">
        <v>520</v>
      </c>
      <c r="B317" t="s">
        <v>494</v>
      </c>
      <c r="C317">
        <v>76322590</v>
      </c>
      <c r="D317">
        <v>50</v>
      </c>
      <c r="E317">
        <v>30772939</v>
      </c>
      <c r="F317" t="s">
        <v>545</v>
      </c>
      <c r="G317" s="1">
        <v>45203</v>
      </c>
      <c r="H317">
        <v>5396568</v>
      </c>
      <c r="I317">
        <v>108</v>
      </c>
      <c r="J317" t="s">
        <v>196</v>
      </c>
      <c r="K317" t="s">
        <v>681</v>
      </c>
      <c r="L317" s="4" t="s">
        <v>48</v>
      </c>
      <c r="M317" t="s">
        <v>681</v>
      </c>
      <c r="N317" s="5">
        <v>30772939</v>
      </c>
      <c r="O317" s="5">
        <v>64970</v>
      </c>
      <c r="P317" s="5">
        <v>12344</v>
      </c>
      <c r="Q317" s="5">
        <v>77314</v>
      </c>
    </row>
    <row r="318" spans="1:17" x14ac:dyDescent="0.25">
      <c r="A318" t="s">
        <v>520</v>
      </c>
      <c r="B318" t="s">
        <v>494</v>
      </c>
      <c r="C318">
        <v>76322590</v>
      </c>
      <c r="D318">
        <v>46</v>
      </c>
      <c r="E318">
        <v>30777017</v>
      </c>
      <c r="F318" t="s">
        <v>545</v>
      </c>
      <c r="G318" s="1">
        <v>45203</v>
      </c>
      <c r="H318">
        <v>5396987</v>
      </c>
      <c r="I318">
        <v>396</v>
      </c>
      <c r="J318" t="s">
        <v>184</v>
      </c>
      <c r="K318" t="s">
        <v>681</v>
      </c>
      <c r="L318" s="4" t="s">
        <v>48</v>
      </c>
      <c r="M318" t="s">
        <v>681</v>
      </c>
      <c r="N318" s="5">
        <v>30777017</v>
      </c>
      <c r="O318" s="5">
        <v>83279</v>
      </c>
      <c r="P318" s="5">
        <v>15823</v>
      </c>
      <c r="Q318" s="5">
        <v>99102</v>
      </c>
    </row>
    <row r="319" spans="1:17" x14ac:dyDescent="0.25">
      <c r="A319" t="s">
        <v>520</v>
      </c>
      <c r="B319" t="s">
        <v>494</v>
      </c>
      <c r="C319">
        <v>76322590</v>
      </c>
      <c r="D319">
        <v>3</v>
      </c>
      <c r="E319">
        <v>30777022</v>
      </c>
      <c r="F319" t="s">
        <v>545</v>
      </c>
      <c r="G319" s="1">
        <v>45203</v>
      </c>
      <c r="H319">
        <v>5397009</v>
      </c>
      <c r="I319">
        <v>396</v>
      </c>
      <c r="J319" t="s">
        <v>184</v>
      </c>
      <c r="K319" t="s">
        <v>681</v>
      </c>
      <c r="L319" s="4" t="s">
        <v>48</v>
      </c>
      <c r="M319" t="s">
        <v>681</v>
      </c>
      <c r="N319" s="5">
        <v>30777022</v>
      </c>
      <c r="O319" s="5">
        <v>59750</v>
      </c>
      <c r="P319" s="5">
        <v>11353</v>
      </c>
      <c r="Q319" s="5">
        <v>71103</v>
      </c>
    </row>
    <row r="320" spans="1:17" x14ac:dyDescent="0.25">
      <c r="A320" t="s">
        <v>520</v>
      </c>
      <c r="B320" t="s">
        <v>494</v>
      </c>
      <c r="C320">
        <v>76322590</v>
      </c>
      <c r="D320">
        <v>23</v>
      </c>
      <c r="E320">
        <v>30772840</v>
      </c>
      <c r="F320" t="s">
        <v>545</v>
      </c>
      <c r="G320" s="1">
        <v>45203</v>
      </c>
      <c r="H320">
        <v>5397137</v>
      </c>
      <c r="I320">
        <v>108</v>
      </c>
      <c r="J320" t="s">
        <v>196</v>
      </c>
      <c r="K320" t="s">
        <v>681</v>
      </c>
      <c r="L320" s="4" t="s">
        <v>48</v>
      </c>
      <c r="M320" t="s">
        <v>681</v>
      </c>
      <c r="N320" s="5">
        <v>30772840</v>
      </c>
      <c r="O320" s="5">
        <v>59290</v>
      </c>
      <c r="P320" s="5">
        <v>11265</v>
      </c>
      <c r="Q320" s="5">
        <v>70555</v>
      </c>
    </row>
    <row r="321" spans="1:17" x14ac:dyDescent="0.25">
      <c r="A321" t="s">
        <v>520</v>
      </c>
      <c r="B321" t="s">
        <v>494</v>
      </c>
      <c r="C321">
        <v>76322590</v>
      </c>
      <c r="D321">
        <v>22</v>
      </c>
      <c r="E321">
        <v>30772834</v>
      </c>
      <c r="F321" t="s">
        <v>545</v>
      </c>
      <c r="G321" s="1">
        <v>45203</v>
      </c>
      <c r="H321">
        <v>5397211</v>
      </c>
      <c r="I321">
        <v>108</v>
      </c>
      <c r="J321" t="s">
        <v>196</v>
      </c>
      <c r="K321" t="s">
        <v>681</v>
      </c>
      <c r="L321" s="4" t="s">
        <v>48</v>
      </c>
      <c r="M321" t="s">
        <v>681</v>
      </c>
      <c r="N321" s="5">
        <v>30772834</v>
      </c>
      <c r="O321" s="5">
        <v>72902</v>
      </c>
      <c r="P321" s="5">
        <v>13851</v>
      </c>
      <c r="Q321" s="5">
        <v>86753</v>
      </c>
    </row>
    <row r="322" spans="1:17" x14ac:dyDescent="0.25">
      <c r="A322" t="s">
        <v>520</v>
      </c>
      <c r="B322" t="s">
        <v>494</v>
      </c>
      <c r="C322">
        <v>76322590</v>
      </c>
      <c r="D322">
        <v>19</v>
      </c>
      <c r="E322">
        <v>30780430</v>
      </c>
      <c r="F322" t="s">
        <v>545</v>
      </c>
      <c r="G322" s="1">
        <v>45204</v>
      </c>
      <c r="H322">
        <v>5398092</v>
      </c>
      <c r="I322">
        <v>396</v>
      </c>
      <c r="J322" t="s">
        <v>184</v>
      </c>
      <c r="K322" t="s">
        <v>681</v>
      </c>
      <c r="L322" s="4" t="s">
        <v>48</v>
      </c>
      <c r="M322" t="s">
        <v>681</v>
      </c>
      <c r="N322" s="5">
        <v>30780430</v>
      </c>
      <c r="O322" s="5">
        <v>81256</v>
      </c>
      <c r="P322" s="5">
        <v>15439</v>
      </c>
      <c r="Q322" s="5">
        <v>96695</v>
      </c>
    </row>
    <row r="323" spans="1:17" x14ac:dyDescent="0.25">
      <c r="A323" t="s">
        <v>520</v>
      </c>
      <c r="B323" t="s">
        <v>494</v>
      </c>
      <c r="C323">
        <v>76322590</v>
      </c>
      <c r="D323">
        <v>16</v>
      </c>
      <c r="E323">
        <v>30780437</v>
      </c>
      <c r="F323" t="s">
        <v>545</v>
      </c>
      <c r="G323" s="1">
        <v>45204</v>
      </c>
      <c r="H323">
        <v>5398156</v>
      </c>
      <c r="I323">
        <v>396</v>
      </c>
      <c r="J323" t="s">
        <v>184</v>
      </c>
      <c r="K323" t="s">
        <v>681</v>
      </c>
      <c r="L323" s="4" t="s">
        <v>48</v>
      </c>
      <c r="M323" t="s">
        <v>681</v>
      </c>
      <c r="N323" s="5">
        <v>30780437</v>
      </c>
      <c r="O323" s="5">
        <v>54943</v>
      </c>
      <c r="P323" s="5">
        <v>10439</v>
      </c>
      <c r="Q323" s="5">
        <v>65382</v>
      </c>
    </row>
    <row r="324" spans="1:17" x14ac:dyDescent="0.25">
      <c r="A324" t="s">
        <v>520</v>
      </c>
      <c r="B324" t="s">
        <v>494</v>
      </c>
      <c r="C324">
        <v>76322590</v>
      </c>
      <c r="D324">
        <v>25</v>
      </c>
      <c r="E324">
        <v>30777019</v>
      </c>
      <c r="F324" t="s">
        <v>545</v>
      </c>
      <c r="G324" s="1">
        <v>45204</v>
      </c>
      <c r="H324">
        <v>5398229</v>
      </c>
      <c r="I324">
        <v>396</v>
      </c>
      <c r="J324" t="s">
        <v>184</v>
      </c>
      <c r="K324" t="s">
        <v>681</v>
      </c>
      <c r="L324" s="4" t="s">
        <v>48</v>
      </c>
      <c r="M324" t="s">
        <v>681</v>
      </c>
      <c r="N324" s="5">
        <v>30777019</v>
      </c>
      <c r="O324" s="5">
        <v>63885</v>
      </c>
      <c r="P324" s="5">
        <v>12138</v>
      </c>
      <c r="Q324" s="5">
        <v>76023</v>
      </c>
    </row>
    <row r="325" spans="1:17" x14ac:dyDescent="0.25">
      <c r="A325" t="s">
        <v>520</v>
      </c>
      <c r="B325" t="s">
        <v>494</v>
      </c>
      <c r="C325">
        <v>76322590</v>
      </c>
      <c r="D325">
        <v>36</v>
      </c>
      <c r="E325">
        <v>30780428</v>
      </c>
      <c r="F325" t="s">
        <v>545</v>
      </c>
      <c r="G325" s="1">
        <v>45204</v>
      </c>
      <c r="H325">
        <v>5398234</v>
      </c>
      <c r="I325">
        <v>396</v>
      </c>
      <c r="J325" t="s">
        <v>184</v>
      </c>
      <c r="K325" t="s">
        <v>681</v>
      </c>
      <c r="L325" s="4" t="s">
        <v>48</v>
      </c>
      <c r="M325" t="s">
        <v>681</v>
      </c>
      <c r="N325" s="5">
        <v>30780428</v>
      </c>
      <c r="O325" s="5">
        <v>59978</v>
      </c>
      <c r="P325" s="5">
        <v>11396</v>
      </c>
      <c r="Q325" s="5">
        <v>71374</v>
      </c>
    </row>
    <row r="326" spans="1:17" x14ac:dyDescent="0.25">
      <c r="A326" t="s">
        <v>520</v>
      </c>
      <c r="B326" t="s">
        <v>494</v>
      </c>
      <c r="C326">
        <v>76322590</v>
      </c>
      <c r="D326">
        <v>40</v>
      </c>
      <c r="E326">
        <v>30781745</v>
      </c>
      <c r="F326" t="s">
        <v>545</v>
      </c>
      <c r="G326" s="1">
        <v>45204</v>
      </c>
      <c r="H326">
        <v>5398249</v>
      </c>
      <c r="I326">
        <v>108</v>
      </c>
      <c r="J326" t="s">
        <v>196</v>
      </c>
      <c r="K326" t="s">
        <v>681</v>
      </c>
      <c r="L326" s="4" t="s">
        <v>48</v>
      </c>
      <c r="M326" t="s">
        <v>681</v>
      </c>
      <c r="N326" s="5">
        <v>30781745</v>
      </c>
      <c r="O326" s="5">
        <v>32689</v>
      </c>
      <c r="P326" s="5">
        <v>6211</v>
      </c>
      <c r="Q326" s="5">
        <v>38900</v>
      </c>
    </row>
    <row r="327" spans="1:17" x14ac:dyDescent="0.25">
      <c r="A327" t="s">
        <v>520</v>
      </c>
      <c r="B327" t="s">
        <v>494</v>
      </c>
      <c r="C327">
        <v>76322590</v>
      </c>
      <c r="D327">
        <v>5</v>
      </c>
      <c r="E327">
        <v>30780442</v>
      </c>
      <c r="F327" t="s">
        <v>545</v>
      </c>
      <c r="G327" s="1">
        <v>45205</v>
      </c>
      <c r="H327">
        <v>5398534</v>
      </c>
      <c r="I327">
        <v>396</v>
      </c>
      <c r="J327" t="s">
        <v>184</v>
      </c>
      <c r="K327" t="s">
        <v>681</v>
      </c>
      <c r="L327" s="4" t="s">
        <v>48</v>
      </c>
      <c r="M327" t="s">
        <v>681</v>
      </c>
      <c r="N327" s="5">
        <v>30780442</v>
      </c>
      <c r="O327" s="5">
        <v>84932</v>
      </c>
      <c r="P327" s="5">
        <v>16137</v>
      </c>
      <c r="Q327" s="5">
        <v>101069</v>
      </c>
    </row>
    <row r="328" spans="1:17" x14ac:dyDescent="0.25">
      <c r="A328" t="s">
        <v>520</v>
      </c>
      <c r="B328" t="s">
        <v>494</v>
      </c>
      <c r="C328">
        <v>76322590</v>
      </c>
      <c r="D328">
        <v>8</v>
      </c>
      <c r="E328">
        <v>30780448</v>
      </c>
      <c r="F328" t="s">
        <v>545</v>
      </c>
      <c r="G328" s="1">
        <v>45208</v>
      </c>
      <c r="H328">
        <v>5399250</v>
      </c>
      <c r="I328">
        <v>396</v>
      </c>
      <c r="J328" t="s">
        <v>184</v>
      </c>
      <c r="K328" t="s">
        <v>681</v>
      </c>
      <c r="L328" s="4" t="s">
        <v>48</v>
      </c>
      <c r="M328" t="s">
        <v>681</v>
      </c>
      <c r="N328" s="5">
        <v>30780448</v>
      </c>
      <c r="O328" s="5">
        <v>59926</v>
      </c>
      <c r="P328" s="5">
        <v>11386</v>
      </c>
      <c r="Q328" s="5">
        <v>71312</v>
      </c>
    </row>
    <row r="329" spans="1:17" x14ac:dyDescent="0.25">
      <c r="A329" t="s">
        <v>520</v>
      </c>
      <c r="B329" t="s">
        <v>494</v>
      </c>
      <c r="C329">
        <v>76322590</v>
      </c>
      <c r="D329">
        <v>6</v>
      </c>
      <c r="E329">
        <v>30791184</v>
      </c>
      <c r="F329" t="s">
        <v>545</v>
      </c>
      <c r="G329" s="1">
        <v>45206</v>
      </c>
      <c r="H329">
        <v>5400254</v>
      </c>
      <c r="I329">
        <v>108</v>
      </c>
      <c r="J329" t="s">
        <v>196</v>
      </c>
      <c r="K329" t="s">
        <v>681</v>
      </c>
      <c r="L329" s="4" t="s">
        <v>48</v>
      </c>
      <c r="M329" t="s">
        <v>681</v>
      </c>
      <c r="N329" s="5">
        <v>30791184</v>
      </c>
      <c r="O329" s="5">
        <v>51709</v>
      </c>
      <c r="P329" s="5">
        <v>9825</v>
      </c>
      <c r="Q329" s="5">
        <v>61534</v>
      </c>
    </row>
    <row r="330" spans="1:17" x14ac:dyDescent="0.25">
      <c r="A330" t="s">
        <v>520</v>
      </c>
      <c r="B330" t="s">
        <v>494</v>
      </c>
      <c r="C330">
        <v>76322590</v>
      </c>
      <c r="D330">
        <v>48</v>
      </c>
      <c r="E330">
        <v>30791198</v>
      </c>
      <c r="F330" t="s">
        <v>545</v>
      </c>
      <c r="G330" s="1">
        <v>45206</v>
      </c>
      <c r="H330">
        <v>5400340</v>
      </c>
      <c r="I330">
        <v>108</v>
      </c>
      <c r="J330" t="s">
        <v>196</v>
      </c>
      <c r="K330" t="s">
        <v>681</v>
      </c>
      <c r="L330" s="4" t="s">
        <v>48</v>
      </c>
      <c r="M330" t="s">
        <v>681</v>
      </c>
      <c r="N330" s="5">
        <v>30791198</v>
      </c>
      <c r="O330" s="5">
        <v>87949</v>
      </c>
      <c r="P330" s="5">
        <v>16710</v>
      </c>
      <c r="Q330" s="5">
        <v>104659</v>
      </c>
    </row>
    <row r="331" spans="1:17" x14ac:dyDescent="0.25">
      <c r="A331" t="s">
        <v>520</v>
      </c>
      <c r="B331" t="s">
        <v>494</v>
      </c>
      <c r="C331">
        <v>76322590</v>
      </c>
      <c r="D331">
        <v>12</v>
      </c>
      <c r="E331">
        <v>30791200</v>
      </c>
      <c r="F331" t="s">
        <v>545</v>
      </c>
      <c r="G331" s="1">
        <v>45209</v>
      </c>
      <c r="H331">
        <v>5400407</v>
      </c>
      <c r="I331">
        <v>108</v>
      </c>
      <c r="J331" t="s">
        <v>196</v>
      </c>
      <c r="K331" t="s">
        <v>681</v>
      </c>
      <c r="L331" s="4" t="s">
        <v>48</v>
      </c>
      <c r="M331" t="s">
        <v>681</v>
      </c>
      <c r="N331" s="5">
        <v>30791200</v>
      </c>
      <c r="O331" s="5">
        <v>83265</v>
      </c>
      <c r="P331" s="5">
        <v>15820</v>
      </c>
      <c r="Q331" s="5">
        <v>99085</v>
      </c>
    </row>
    <row r="332" spans="1:17" x14ac:dyDescent="0.25">
      <c r="A332" t="s">
        <v>520</v>
      </c>
      <c r="B332" t="s">
        <v>494</v>
      </c>
      <c r="C332">
        <v>76322590</v>
      </c>
      <c r="D332">
        <v>15</v>
      </c>
      <c r="E332">
        <v>30791195</v>
      </c>
      <c r="F332" t="s">
        <v>545</v>
      </c>
      <c r="G332" s="1">
        <v>45209</v>
      </c>
      <c r="H332">
        <v>5400557</v>
      </c>
      <c r="I332">
        <v>108</v>
      </c>
      <c r="J332" t="s">
        <v>196</v>
      </c>
      <c r="K332" t="s">
        <v>681</v>
      </c>
      <c r="L332" s="4" t="s">
        <v>48</v>
      </c>
      <c r="M332" t="s">
        <v>681</v>
      </c>
      <c r="N332" s="5">
        <v>30791195</v>
      </c>
      <c r="O332" s="5">
        <v>57901</v>
      </c>
      <c r="P332" s="5">
        <v>11001</v>
      </c>
      <c r="Q332" s="5">
        <v>68902</v>
      </c>
    </row>
    <row r="333" spans="1:17" x14ac:dyDescent="0.25">
      <c r="A333" t="s">
        <v>520</v>
      </c>
      <c r="B333" t="s">
        <v>494</v>
      </c>
      <c r="C333">
        <v>76322590</v>
      </c>
      <c r="D333">
        <v>30</v>
      </c>
      <c r="E333">
        <v>30791182</v>
      </c>
      <c r="F333" t="s">
        <v>545</v>
      </c>
      <c r="G333" s="1">
        <v>45209</v>
      </c>
      <c r="H333">
        <v>5400574</v>
      </c>
      <c r="I333">
        <v>108</v>
      </c>
      <c r="J333" t="s">
        <v>196</v>
      </c>
      <c r="K333" t="s">
        <v>681</v>
      </c>
      <c r="L333" s="4" t="s">
        <v>48</v>
      </c>
      <c r="M333" t="s">
        <v>681</v>
      </c>
      <c r="N333" s="5">
        <v>30791182</v>
      </c>
      <c r="O333" s="5">
        <v>43262</v>
      </c>
      <c r="P333" s="5">
        <v>8220</v>
      </c>
      <c r="Q333" s="5">
        <v>51482</v>
      </c>
    </row>
    <row r="334" spans="1:17" x14ac:dyDescent="0.25">
      <c r="A334" t="s">
        <v>520</v>
      </c>
      <c r="B334" t="s">
        <v>494</v>
      </c>
      <c r="C334">
        <v>76322590</v>
      </c>
      <c r="D334">
        <v>17</v>
      </c>
      <c r="E334">
        <v>30791192</v>
      </c>
      <c r="F334" t="s">
        <v>545</v>
      </c>
      <c r="G334" s="1">
        <v>45209</v>
      </c>
      <c r="H334">
        <v>5401094</v>
      </c>
      <c r="I334">
        <v>108</v>
      </c>
      <c r="J334" t="s">
        <v>196</v>
      </c>
      <c r="K334" t="s">
        <v>681</v>
      </c>
      <c r="L334" s="4" t="s">
        <v>48</v>
      </c>
      <c r="M334" t="s">
        <v>681</v>
      </c>
      <c r="N334" s="5">
        <v>30791192</v>
      </c>
      <c r="O334" s="5">
        <v>64811</v>
      </c>
      <c r="P334" s="5">
        <v>12314</v>
      </c>
      <c r="Q334" s="5">
        <v>77125</v>
      </c>
    </row>
    <row r="335" spans="1:17" x14ac:dyDescent="0.25">
      <c r="A335" t="s">
        <v>520</v>
      </c>
      <c r="B335" t="s">
        <v>494</v>
      </c>
      <c r="C335">
        <v>76322590</v>
      </c>
      <c r="D335">
        <v>1</v>
      </c>
      <c r="E335">
        <v>30791193</v>
      </c>
      <c r="F335" t="s">
        <v>545</v>
      </c>
      <c r="G335" s="1">
        <v>45209</v>
      </c>
      <c r="H335">
        <v>5401123</v>
      </c>
      <c r="I335">
        <v>108</v>
      </c>
      <c r="J335" t="s">
        <v>196</v>
      </c>
      <c r="K335" t="s">
        <v>681</v>
      </c>
      <c r="L335" s="4" t="s">
        <v>48</v>
      </c>
      <c r="M335" t="s">
        <v>681</v>
      </c>
      <c r="N335" s="5">
        <v>30791193</v>
      </c>
      <c r="O335" s="5">
        <v>48079</v>
      </c>
      <c r="P335" s="5">
        <v>9135</v>
      </c>
      <c r="Q335" s="5">
        <v>57214</v>
      </c>
    </row>
    <row r="336" spans="1:17" x14ac:dyDescent="0.25">
      <c r="A336" t="s">
        <v>520</v>
      </c>
      <c r="B336" t="s">
        <v>494</v>
      </c>
      <c r="C336">
        <v>76322590</v>
      </c>
      <c r="D336">
        <v>29</v>
      </c>
      <c r="E336">
        <v>30791203</v>
      </c>
      <c r="F336" t="s">
        <v>545</v>
      </c>
      <c r="G336" s="1">
        <v>45209</v>
      </c>
      <c r="H336">
        <v>5401259</v>
      </c>
      <c r="I336">
        <v>108</v>
      </c>
      <c r="J336" t="s">
        <v>196</v>
      </c>
      <c r="K336" t="s">
        <v>681</v>
      </c>
      <c r="L336" s="4" t="s">
        <v>48</v>
      </c>
      <c r="M336" t="s">
        <v>681</v>
      </c>
      <c r="N336" s="5">
        <v>30791203</v>
      </c>
      <c r="O336" s="5">
        <v>34327</v>
      </c>
      <c r="P336" s="5">
        <v>6522</v>
      </c>
      <c r="Q336" s="5">
        <v>40849</v>
      </c>
    </row>
    <row r="337" spans="1:17" x14ac:dyDescent="0.25">
      <c r="A337" t="s">
        <v>520</v>
      </c>
      <c r="B337" t="s">
        <v>494</v>
      </c>
      <c r="C337">
        <v>76322590</v>
      </c>
      <c r="D337">
        <v>35</v>
      </c>
      <c r="E337">
        <v>30791190</v>
      </c>
      <c r="F337" t="s">
        <v>545</v>
      </c>
      <c r="G337" s="1">
        <v>45209</v>
      </c>
      <c r="H337">
        <v>5401401</v>
      </c>
      <c r="I337">
        <v>108</v>
      </c>
      <c r="J337" t="s">
        <v>196</v>
      </c>
      <c r="K337" t="s">
        <v>681</v>
      </c>
      <c r="L337" s="4" t="s">
        <v>48</v>
      </c>
      <c r="M337" t="s">
        <v>681</v>
      </c>
      <c r="N337" s="5">
        <v>30791190</v>
      </c>
      <c r="O337" s="5">
        <v>91200</v>
      </c>
      <c r="P337" s="5">
        <v>17328</v>
      </c>
      <c r="Q337" s="5">
        <v>108528</v>
      </c>
    </row>
    <row r="338" spans="1:17" x14ac:dyDescent="0.25">
      <c r="A338" t="s">
        <v>520</v>
      </c>
      <c r="B338" t="s">
        <v>494</v>
      </c>
      <c r="C338">
        <v>76322590</v>
      </c>
      <c r="D338">
        <v>24</v>
      </c>
      <c r="E338">
        <v>30791179</v>
      </c>
      <c r="F338" t="s">
        <v>545</v>
      </c>
      <c r="G338" s="1">
        <v>45209</v>
      </c>
      <c r="H338">
        <v>5401417</v>
      </c>
      <c r="I338">
        <v>108</v>
      </c>
      <c r="J338" t="s">
        <v>196</v>
      </c>
      <c r="K338" t="s">
        <v>681</v>
      </c>
      <c r="L338" s="4" t="s">
        <v>48</v>
      </c>
      <c r="M338" t="s">
        <v>681</v>
      </c>
      <c r="N338" s="5">
        <v>30791179</v>
      </c>
      <c r="O338" s="5">
        <v>55973</v>
      </c>
      <c r="P338" s="5">
        <v>10635</v>
      </c>
      <c r="Q338" s="5">
        <v>66608</v>
      </c>
    </row>
    <row r="339" spans="1:17" x14ac:dyDescent="0.25">
      <c r="A339" t="s">
        <v>520</v>
      </c>
      <c r="B339" t="s">
        <v>494</v>
      </c>
      <c r="C339">
        <v>76322590</v>
      </c>
      <c r="D339">
        <v>32</v>
      </c>
      <c r="E339">
        <v>30791177</v>
      </c>
      <c r="F339" t="s">
        <v>545</v>
      </c>
      <c r="G339" s="1">
        <v>45209</v>
      </c>
      <c r="H339">
        <v>5401530</v>
      </c>
      <c r="I339">
        <v>108</v>
      </c>
      <c r="J339" t="s">
        <v>196</v>
      </c>
      <c r="K339" t="s">
        <v>681</v>
      </c>
      <c r="L339" s="4" t="s">
        <v>48</v>
      </c>
      <c r="M339" t="s">
        <v>681</v>
      </c>
      <c r="N339" s="5">
        <v>30791177</v>
      </c>
      <c r="O339" s="5">
        <v>81213</v>
      </c>
      <c r="P339" s="5">
        <v>15430</v>
      </c>
      <c r="Q339" s="5">
        <v>96643</v>
      </c>
    </row>
    <row r="340" spans="1:17" x14ac:dyDescent="0.25">
      <c r="A340" t="s">
        <v>520</v>
      </c>
      <c r="B340" t="s">
        <v>494</v>
      </c>
      <c r="C340">
        <v>76322590</v>
      </c>
      <c r="D340">
        <v>38</v>
      </c>
      <c r="E340">
        <v>30795910</v>
      </c>
      <c r="F340" t="s">
        <v>545</v>
      </c>
      <c r="G340" s="1">
        <v>45210</v>
      </c>
      <c r="H340">
        <v>5401765</v>
      </c>
      <c r="I340">
        <v>108</v>
      </c>
      <c r="J340" t="s">
        <v>196</v>
      </c>
      <c r="K340" t="s">
        <v>681</v>
      </c>
      <c r="L340" s="4" t="s">
        <v>48</v>
      </c>
      <c r="M340" t="s">
        <v>681</v>
      </c>
      <c r="N340" s="5">
        <v>30795910</v>
      </c>
      <c r="O340" s="5">
        <v>58473</v>
      </c>
      <c r="P340" s="5">
        <v>11110</v>
      </c>
      <c r="Q340" s="5">
        <v>69583</v>
      </c>
    </row>
    <row r="341" spans="1:17" x14ac:dyDescent="0.25">
      <c r="A341" t="s">
        <v>520</v>
      </c>
      <c r="B341" t="s">
        <v>494</v>
      </c>
      <c r="C341">
        <v>76322590</v>
      </c>
      <c r="D341">
        <v>34</v>
      </c>
      <c r="E341">
        <v>30795783</v>
      </c>
      <c r="F341" t="s">
        <v>545</v>
      </c>
      <c r="G341" s="1">
        <v>45210</v>
      </c>
      <c r="H341">
        <v>5401949</v>
      </c>
      <c r="I341">
        <v>108</v>
      </c>
      <c r="J341" t="s">
        <v>196</v>
      </c>
      <c r="K341" t="s">
        <v>681</v>
      </c>
      <c r="L341" s="4" t="s">
        <v>48</v>
      </c>
      <c r="M341" t="s">
        <v>681</v>
      </c>
      <c r="N341" s="5">
        <v>30795783</v>
      </c>
      <c r="O341" s="5">
        <v>54490</v>
      </c>
      <c r="P341" s="5">
        <v>10353</v>
      </c>
      <c r="Q341" s="5">
        <v>64843</v>
      </c>
    </row>
    <row r="342" spans="1:17" x14ac:dyDescent="0.25">
      <c r="A342" t="s">
        <v>520</v>
      </c>
      <c r="B342" t="s">
        <v>494</v>
      </c>
      <c r="C342">
        <v>76322590</v>
      </c>
      <c r="D342">
        <v>27</v>
      </c>
      <c r="E342">
        <v>30795785</v>
      </c>
      <c r="F342" t="s">
        <v>545</v>
      </c>
      <c r="G342" s="1">
        <v>45211</v>
      </c>
      <c r="H342">
        <v>5402664</v>
      </c>
      <c r="I342">
        <v>108</v>
      </c>
      <c r="J342" t="s">
        <v>196</v>
      </c>
      <c r="K342" t="s">
        <v>681</v>
      </c>
      <c r="L342" s="4" t="s">
        <v>48</v>
      </c>
      <c r="M342" t="s">
        <v>681</v>
      </c>
      <c r="N342" s="5">
        <v>30795785</v>
      </c>
      <c r="O342" s="5">
        <v>53735</v>
      </c>
      <c r="P342" s="5">
        <v>10210</v>
      </c>
      <c r="Q342" s="5">
        <v>63945</v>
      </c>
    </row>
    <row r="343" spans="1:17" x14ac:dyDescent="0.25">
      <c r="A343" t="s">
        <v>520</v>
      </c>
      <c r="B343" t="s">
        <v>494</v>
      </c>
      <c r="C343">
        <v>76322590</v>
      </c>
      <c r="D343">
        <v>7</v>
      </c>
      <c r="E343">
        <v>30795787</v>
      </c>
      <c r="F343" t="s">
        <v>545</v>
      </c>
      <c r="G343" s="1">
        <v>45213</v>
      </c>
      <c r="H343">
        <v>5404038</v>
      </c>
      <c r="I343">
        <v>108</v>
      </c>
      <c r="J343" t="s">
        <v>196</v>
      </c>
      <c r="K343" t="s">
        <v>681</v>
      </c>
      <c r="L343" s="4" t="s">
        <v>48</v>
      </c>
      <c r="M343" t="s">
        <v>681</v>
      </c>
      <c r="N343" s="5">
        <v>30795787</v>
      </c>
      <c r="O343" s="5">
        <v>49558</v>
      </c>
      <c r="P343" s="5">
        <v>9416</v>
      </c>
      <c r="Q343" s="5">
        <v>58974</v>
      </c>
    </row>
    <row r="344" spans="1:17" x14ac:dyDescent="0.25">
      <c r="A344" t="s">
        <v>520</v>
      </c>
      <c r="B344" t="s">
        <v>494</v>
      </c>
      <c r="C344">
        <v>76322590</v>
      </c>
      <c r="D344">
        <v>13</v>
      </c>
      <c r="E344">
        <v>30795860</v>
      </c>
      <c r="F344" t="s">
        <v>545</v>
      </c>
      <c r="G344" s="1">
        <v>45214</v>
      </c>
      <c r="H344">
        <v>5404091</v>
      </c>
      <c r="I344">
        <v>108</v>
      </c>
      <c r="J344" t="s">
        <v>196</v>
      </c>
      <c r="K344" t="s">
        <v>681</v>
      </c>
      <c r="L344" s="4" t="s">
        <v>48</v>
      </c>
      <c r="M344" t="s">
        <v>681</v>
      </c>
      <c r="N344" s="5">
        <v>30795860</v>
      </c>
      <c r="O344" s="5">
        <v>69217</v>
      </c>
      <c r="P344" s="5">
        <v>13151</v>
      </c>
      <c r="Q344" s="5">
        <v>82368</v>
      </c>
    </row>
    <row r="345" spans="1:17" x14ac:dyDescent="0.25">
      <c r="A345" t="s">
        <v>520</v>
      </c>
      <c r="B345" t="s">
        <v>494</v>
      </c>
      <c r="C345">
        <v>76322590</v>
      </c>
      <c r="D345">
        <v>2</v>
      </c>
      <c r="E345">
        <v>30802876</v>
      </c>
      <c r="F345" t="s">
        <v>545</v>
      </c>
      <c r="G345" s="1">
        <v>45215</v>
      </c>
      <c r="H345">
        <v>5404173</v>
      </c>
      <c r="I345">
        <v>108</v>
      </c>
      <c r="J345" t="s">
        <v>196</v>
      </c>
      <c r="K345" t="s">
        <v>681</v>
      </c>
      <c r="L345" s="4" t="s">
        <v>48</v>
      </c>
      <c r="M345" t="s">
        <v>681</v>
      </c>
      <c r="N345" s="5">
        <v>30802876</v>
      </c>
      <c r="O345" s="5">
        <v>84553</v>
      </c>
      <c r="P345" s="5">
        <v>16065</v>
      </c>
      <c r="Q345" s="5">
        <v>100618</v>
      </c>
    </row>
    <row r="346" spans="1:17" x14ac:dyDescent="0.25">
      <c r="A346" t="s">
        <v>520</v>
      </c>
      <c r="B346" t="s">
        <v>494</v>
      </c>
      <c r="C346">
        <v>76322590</v>
      </c>
      <c r="D346">
        <v>11</v>
      </c>
      <c r="E346">
        <v>30802872</v>
      </c>
      <c r="F346" t="s">
        <v>545</v>
      </c>
      <c r="G346" s="1">
        <v>45215</v>
      </c>
      <c r="H346">
        <v>5404218</v>
      </c>
      <c r="I346">
        <v>108</v>
      </c>
      <c r="J346" t="s">
        <v>196</v>
      </c>
      <c r="K346" t="s">
        <v>681</v>
      </c>
      <c r="L346" s="4" t="s">
        <v>48</v>
      </c>
      <c r="M346" t="s">
        <v>681</v>
      </c>
      <c r="N346" s="5">
        <v>30802872</v>
      </c>
      <c r="O346" s="5">
        <v>69192</v>
      </c>
      <c r="P346" s="5">
        <v>13146</v>
      </c>
      <c r="Q346" s="5">
        <v>82338</v>
      </c>
    </row>
    <row r="347" spans="1:17" x14ac:dyDescent="0.25">
      <c r="A347" t="s">
        <v>520</v>
      </c>
      <c r="B347" t="s">
        <v>494</v>
      </c>
      <c r="C347">
        <v>76322590</v>
      </c>
      <c r="D347">
        <v>10</v>
      </c>
      <c r="E347">
        <v>30808969</v>
      </c>
      <c r="F347" t="s">
        <v>545</v>
      </c>
      <c r="G347" s="1">
        <v>45215</v>
      </c>
      <c r="H347">
        <v>5404923</v>
      </c>
      <c r="I347">
        <v>108</v>
      </c>
      <c r="J347" t="s">
        <v>196</v>
      </c>
      <c r="K347" t="s">
        <v>681</v>
      </c>
      <c r="L347" s="4" t="s">
        <v>48</v>
      </c>
      <c r="M347" t="s">
        <v>681</v>
      </c>
      <c r="N347" s="5">
        <v>30808969</v>
      </c>
      <c r="O347" s="5">
        <v>63209</v>
      </c>
      <c r="P347" s="5">
        <v>12010</v>
      </c>
      <c r="Q347" s="5">
        <v>75219</v>
      </c>
    </row>
    <row r="348" spans="1:17" x14ac:dyDescent="0.25">
      <c r="A348" t="s">
        <v>520</v>
      </c>
      <c r="B348" t="s">
        <v>494</v>
      </c>
      <c r="C348">
        <v>76322590</v>
      </c>
      <c r="D348">
        <v>18</v>
      </c>
      <c r="E348">
        <v>30812524</v>
      </c>
      <c r="F348" t="s">
        <v>545</v>
      </c>
      <c r="G348" s="1">
        <v>45216</v>
      </c>
      <c r="H348">
        <v>5405596</v>
      </c>
      <c r="I348">
        <v>108</v>
      </c>
      <c r="J348" t="s">
        <v>196</v>
      </c>
      <c r="K348" t="s">
        <v>681</v>
      </c>
      <c r="L348" s="4" t="s">
        <v>48</v>
      </c>
      <c r="M348" t="s">
        <v>681</v>
      </c>
      <c r="N348" s="5">
        <v>30812524</v>
      </c>
      <c r="O348" s="5">
        <v>62446</v>
      </c>
      <c r="P348" s="5">
        <v>11865</v>
      </c>
      <c r="Q348" s="5">
        <v>74311</v>
      </c>
    </row>
    <row r="349" spans="1:17" x14ac:dyDescent="0.25">
      <c r="A349" t="s">
        <v>520</v>
      </c>
      <c r="B349" t="s">
        <v>494</v>
      </c>
      <c r="C349">
        <v>76322590</v>
      </c>
      <c r="D349">
        <v>14</v>
      </c>
      <c r="E349">
        <v>30821428</v>
      </c>
      <c r="F349" t="s">
        <v>545</v>
      </c>
      <c r="G349" s="1">
        <v>45220</v>
      </c>
      <c r="H349">
        <v>5407291</v>
      </c>
      <c r="I349">
        <v>108</v>
      </c>
      <c r="J349" t="s">
        <v>196</v>
      </c>
      <c r="K349" t="s">
        <v>681</v>
      </c>
      <c r="L349" s="4" t="s">
        <v>48</v>
      </c>
      <c r="M349" t="s">
        <v>681</v>
      </c>
      <c r="N349" s="5">
        <v>30821428</v>
      </c>
      <c r="O349" s="5">
        <v>48567</v>
      </c>
      <c r="P349" s="5">
        <v>9228</v>
      </c>
      <c r="Q349" s="5">
        <v>57795</v>
      </c>
    </row>
    <row r="350" spans="1:17" x14ac:dyDescent="0.25">
      <c r="A350" t="s">
        <v>520</v>
      </c>
      <c r="B350" t="s">
        <v>494</v>
      </c>
      <c r="C350">
        <v>76322590</v>
      </c>
      <c r="D350">
        <v>20</v>
      </c>
      <c r="E350">
        <v>30835450</v>
      </c>
      <c r="F350" t="s">
        <v>545</v>
      </c>
      <c r="G350" s="1">
        <v>45225</v>
      </c>
      <c r="H350">
        <v>5409199</v>
      </c>
      <c r="I350">
        <v>108</v>
      </c>
      <c r="J350" t="s">
        <v>196</v>
      </c>
      <c r="K350" t="s">
        <v>681</v>
      </c>
      <c r="L350" s="4" t="s">
        <v>48</v>
      </c>
      <c r="M350" t="s">
        <v>681</v>
      </c>
      <c r="N350" s="5">
        <v>30835450</v>
      </c>
      <c r="O350" s="5">
        <v>58819</v>
      </c>
      <c r="P350" s="5">
        <v>11176</v>
      </c>
      <c r="Q350" s="5">
        <v>69995</v>
      </c>
    </row>
    <row r="351" spans="1:17" x14ac:dyDescent="0.25">
      <c r="F351" t="s">
        <v>692</v>
      </c>
      <c r="K351" t="s">
        <v>681</v>
      </c>
      <c r="L351" s="4"/>
      <c r="M351" t="s">
        <v>681</v>
      </c>
      <c r="N351" s="5"/>
      <c r="O351" s="5">
        <v>2267791</v>
      </c>
      <c r="P351" s="5">
        <v>430880</v>
      </c>
      <c r="Q351" s="5">
        <v>2698671</v>
      </c>
    </row>
    <row r="352" spans="1:17" x14ac:dyDescent="0.25">
      <c r="A352" t="s">
        <v>496</v>
      </c>
      <c r="B352" t="s">
        <v>494</v>
      </c>
      <c r="C352">
        <v>76350250</v>
      </c>
      <c r="D352">
        <v>2</v>
      </c>
      <c r="E352">
        <v>4800008036</v>
      </c>
      <c r="F352" t="s">
        <v>546</v>
      </c>
      <c r="G352" s="1">
        <v>45209</v>
      </c>
      <c r="H352">
        <v>5400157</v>
      </c>
      <c r="I352">
        <v>114</v>
      </c>
      <c r="J352" t="s">
        <v>182</v>
      </c>
      <c r="K352" s="8" t="s">
        <v>742</v>
      </c>
      <c r="L352" s="4" t="s">
        <v>6</v>
      </c>
      <c r="M352" t="s">
        <v>681</v>
      </c>
      <c r="N352" s="5">
        <v>30746568</v>
      </c>
      <c r="O352" s="5">
        <v>625960</v>
      </c>
      <c r="P352" s="5">
        <v>118932</v>
      </c>
      <c r="Q352" s="5">
        <v>744892</v>
      </c>
    </row>
    <row r="353" spans="1:17" x14ac:dyDescent="0.25">
      <c r="A353" t="s">
        <v>496</v>
      </c>
      <c r="B353" t="s">
        <v>494</v>
      </c>
      <c r="C353">
        <v>76350250</v>
      </c>
      <c r="D353">
        <v>2</v>
      </c>
      <c r="E353">
        <v>4800008096</v>
      </c>
      <c r="F353" t="s">
        <v>546</v>
      </c>
      <c r="G353" s="1">
        <v>45224</v>
      </c>
      <c r="H353">
        <v>5409044</v>
      </c>
      <c r="I353">
        <v>114</v>
      </c>
      <c r="J353" t="s">
        <v>182</v>
      </c>
      <c r="K353" s="8" t="s">
        <v>742</v>
      </c>
      <c r="L353" s="4" t="s">
        <v>6</v>
      </c>
      <c r="M353" t="s">
        <v>681</v>
      </c>
      <c r="N353" s="5">
        <v>30829003</v>
      </c>
      <c r="O353" s="5">
        <v>1317000</v>
      </c>
      <c r="P353" s="5">
        <v>250230</v>
      </c>
      <c r="Q353" s="5">
        <v>1567230</v>
      </c>
    </row>
    <row r="354" spans="1:17" x14ac:dyDescent="0.25">
      <c r="F354" t="s">
        <v>497</v>
      </c>
      <c r="K354" t="s">
        <v>681</v>
      </c>
      <c r="L354" s="4"/>
      <c r="M354" t="s">
        <v>681</v>
      </c>
      <c r="N354" s="5"/>
      <c r="O354" s="5">
        <v>1942960</v>
      </c>
      <c r="P354" s="5">
        <v>369162</v>
      </c>
      <c r="Q354" s="5">
        <v>2312122</v>
      </c>
    </row>
    <row r="355" spans="1:17" x14ac:dyDescent="0.25">
      <c r="C355">
        <v>76363060</v>
      </c>
      <c r="D355">
        <v>0</v>
      </c>
      <c r="E355">
        <v>30796356</v>
      </c>
      <c r="F355" t="s">
        <v>547</v>
      </c>
      <c r="G355" s="1">
        <v>45210</v>
      </c>
      <c r="H355">
        <v>5401737</v>
      </c>
      <c r="I355">
        <v>42</v>
      </c>
      <c r="J355" t="s">
        <v>297</v>
      </c>
      <c r="K355" s="8" t="s">
        <v>742</v>
      </c>
      <c r="L355" s="4"/>
      <c r="M355" t="s">
        <v>681</v>
      </c>
      <c r="N355" s="5">
        <v>30796356</v>
      </c>
      <c r="O355" s="5">
        <v>149058</v>
      </c>
      <c r="P355" s="5">
        <v>28321</v>
      </c>
      <c r="Q355" s="5">
        <v>179255</v>
      </c>
    </row>
    <row r="356" spans="1:17" x14ac:dyDescent="0.25">
      <c r="C356">
        <v>76363060</v>
      </c>
      <c r="D356">
        <v>0</v>
      </c>
      <c r="E356">
        <v>30841740</v>
      </c>
      <c r="F356" t="s">
        <v>547</v>
      </c>
      <c r="G356" s="1">
        <v>45230</v>
      </c>
      <c r="H356">
        <v>5410251</v>
      </c>
      <c r="I356">
        <v>42</v>
      </c>
      <c r="J356" t="s">
        <v>297</v>
      </c>
      <c r="K356" s="8" t="s">
        <v>742</v>
      </c>
      <c r="L356" s="4"/>
      <c r="M356" t="s">
        <v>681</v>
      </c>
      <c r="N356" s="5">
        <v>30841740</v>
      </c>
      <c r="O356" s="5">
        <v>65474</v>
      </c>
      <c r="P356" s="5">
        <v>12440</v>
      </c>
      <c r="Q356" s="5">
        <v>77914</v>
      </c>
    </row>
    <row r="357" spans="1:17" x14ac:dyDescent="0.25">
      <c r="C357">
        <v>76363060</v>
      </c>
      <c r="D357">
        <v>0</v>
      </c>
      <c r="E357">
        <v>30842100</v>
      </c>
      <c r="F357" t="s">
        <v>547</v>
      </c>
      <c r="G357" s="1">
        <v>45230</v>
      </c>
      <c r="H357">
        <v>5410252</v>
      </c>
      <c r="I357">
        <v>42</v>
      </c>
      <c r="J357" t="s">
        <v>297</v>
      </c>
      <c r="K357" s="8" t="s">
        <v>742</v>
      </c>
      <c r="L357" s="4"/>
      <c r="M357" t="s">
        <v>681</v>
      </c>
      <c r="N357" s="5">
        <v>30842100</v>
      </c>
      <c r="O357" s="5">
        <v>106447</v>
      </c>
      <c r="P357" s="5">
        <v>20225</v>
      </c>
      <c r="Q357" s="5">
        <v>131389</v>
      </c>
    </row>
    <row r="358" spans="1:17" x14ac:dyDescent="0.25">
      <c r="F358" t="s">
        <v>500</v>
      </c>
      <c r="K358" t="s">
        <v>681</v>
      </c>
      <c r="L358" s="4"/>
      <c r="M358" t="s">
        <v>681</v>
      </c>
      <c r="N358" s="5"/>
      <c r="O358" s="5">
        <v>320979</v>
      </c>
      <c r="P358" s="5">
        <v>60986</v>
      </c>
      <c r="Q358" s="5">
        <v>388558</v>
      </c>
    </row>
    <row r="359" spans="1:17" x14ac:dyDescent="0.25">
      <c r="A359" t="s">
        <v>503</v>
      </c>
      <c r="B359" t="s">
        <v>494</v>
      </c>
      <c r="C359">
        <v>76377649</v>
      </c>
      <c r="D359">
        <v>0</v>
      </c>
      <c r="E359">
        <v>121124</v>
      </c>
      <c r="F359" t="s">
        <v>548</v>
      </c>
      <c r="G359" s="1">
        <v>45225</v>
      </c>
      <c r="H359">
        <v>5409267</v>
      </c>
      <c r="I359">
        <v>414</v>
      </c>
      <c r="J359" t="s">
        <v>281</v>
      </c>
      <c r="K359" s="8" t="s">
        <v>742</v>
      </c>
      <c r="L359" s="4"/>
      <c r="M359" t="s">
        <v>681</v>
      </c>
      <c r="N359" s="5">
        <v>30834910</v>
      </c>
      <c r="O359" s="5">
        <v>223125</v>
      </c>
      <c r="P359" s="5">
        <v>42394</v>
      </c>
      <c r="Q359" s="5">
        <v>265519</v>
      </c>
    </row>
    <row r="360" spans="1:17" x14ac:dyDescent="0.25">
      <c r="A360" t="s">
        <v>503</v>
      </c>
      <c r="B360" t="s">
        <v>494</v>
      </c>
      <c r="C360">
        <v>76377649</v>
      </c>
      <c r="D360">
        <v>0</v>
      </c>
      <c r="E360">
        <v>121111</v>
      </c>
      <c r="F360" t="s">
        <v>548</v>
      </c>
      <c r="G360" s="1">
        <v>45225</v>
      </c>
      <c r="H360">
        <v>5409268</v>
      </c>
      <c r="I360">
        <v>414</v>
      </c>
      <c r="J360" t="s">
        <v>281</v>
      </c>
      <c r="K360" s="8" t="s">
        <v>742</v>
      </c>
      <c r="L360" s="4"/>
      <c r="M360" t="s">
        <v>681</v>
      </c>
      <c r="N360" s="5">
        <v>30816786</v>
      </c>
      <c r="O360" s="5">
        <v>67250</v>
      </c>
      <c r="P360" s="5">
        <v>12778</v>
      </c>
      <c r="Q360" s="5">
        <v>80028</v>
      </c>
    </row>
    <row r="361" spans="1:17" x14ac:dyDescent="0.25">
      <c r="A361" t="s">
        <v>503</v>
      </c>
      <c r="B361" t="s">
        <v>494</v>
      </c>
      <c r="C361">
        <v>76377649</v>
      </c>
      <c r="D361">
        <v>75</v>
      </c>
      <c r="E361">
        <v>121060</v>
      </c>
      <c r="F361" t="s">
        <v>548</v>
      </c>
      <c r="G361" s="1">
        <v>45229</v>
      </c>
      <c r="H361">
        <v>5409509</v>
      </c>
      <c r="I361">
        <v>414</v>
      </c>
      <c r="J361" t="s">
        <v>281</v>
      </c>
      <c r="K361" s="8" t="s">
        <v>742</v>
      </c>
      <c r="L361" s="4"/>
      <c r="M361" t="s">
        <v>681</v>
      </c>
      <c r="N361" s="5">
        <v>30817732</v>
      </c>
      <c r="O361" s="5">
        <v>223764</v>
      </c>
      <c r="P361" s="5">
        <v>42515</v>
      </c>
      <c r="Q361" s="5">
        <v>266279</v>
      </c>
    </row>
    <row r="362" spans="1:17" x14ac:dyDescent="0.25">
      <c r="A362" t="s">
        <v>503</v>
      </c>
      <c r="B362" t="s">
        <v>494</v>
      </c>
      <c r="C362">
        <v>76377649</v>
      </c>
      <c r="D362">
        <v>75</v>
      </c>
      <c r="E362">
        <v>121061</v>
      </c>
      <c r="F362" t="s">
        <v>548</v>
      </c>
      <c r="G362" s="1">
        <v>45229</v>
      </c>
      <c r="H362">
        <v>5409510</v>
      </c>
      <c r="I362">
        <v>414</v>
      </c>
      <c r="J362" t="s">
        <v>281</v>
      </c>
      <c r="K362" s="8" t="s">
        <v>742</v>
      </c>
      <c r="L362" s="4"/>
      <c r="M362" t="s">
        <v>681</v>
      </c>
      <c r="N362" s="5">
        <v>30817725</v>
      </c>
      <c r="O362" s="5">
        <v>105383</v>
      </c>
      <c r="P362" s="5">
        <v>20023</v>
      </c>
      <c r="Q362" s="5">
        <v>125406</v>
      </c>
    </row>
    <row r="363" spans="1:17" x14ac:dyDescent="0.25">
      <c r="F363" t="s">
        <v>498</v>
      </c>
      <c r="K363" t="s">
        <v>681</v>
      </c>
      <c r="L363" s="4"/>
      <c r="M363" t="s">
        <v>681</v>
      </c>
      <c r="N363" s="5"/>
      <c r="O363" s="5">
        <v>619522</v>
      </c>
      <c r="P363" s="5">
        <v>117710</v>
      </c>
      <c r="Q363" s="5">
        <v>737232</v>
      </c>
    </row>
    <row r="364" spans="1:17" x14ac:dyDescent="0.25">
      <c r="A364" t="s">
        <v>496</v>
      </c>
      <c r="B364" t="s">
        <v>494</v>
      </c>
      <c r="C364">
        <v>76379557</v>
      </c>
      <c r="D364">
        <v>4</v>
      </c>
      <c r="E364">
        <v>2049</v>
      </c>
      <c r="F364" t="s">
        <v>695</v>
      </c>
      <c r="G364" s="1">
        <v>45214</v>
      </c>
      <c r="H364">
        <v>5404369</v>
      </c>
      <c r="I364">
        <v>12</v>
      </c>
      <c r="J364" t="s">
        <v>319</v>
      </c>
      <c r="K364" s="8" t="s">
        <v>742</v>
      </c>
      <c r="L364" s="4"/>
      <c r="M364" t="s">
        <v>681</v>
      </c>
      <c r="N364" s="5">
        <v>30774855</v>
      </c>
      <c r="O364" s="5">
        <v>1788209</v>
      </c>
      <c r="P364" s="5">
        <v>339760</v>
      </c>
      <c r="Q364" s="5">
        <v>2127969</v>
      </c>
    </row>
    <row r="365" spans="1:17" x14ac:dyDescent="0.25">
      <c r="A365" t="s">
        <v>496</v>
      </c>
      <c r="B365" t="s">
        <v>494</v>
      </c>
      <c r="C365">
        <v>76379557</v>
      </c>
      <c r="D365">
        <v>4</v>
      </c>
      <c r="E365">
        <v>2049</v>
      </c>
      <c r="F365" t="s">
        <v>695</v>
      </c>
      <c r="G365" s="1">
        <v>45214</v>
      </c>
      <c r="H365">
        <v>5404370</v>
      </c>
      <c r="I365">
        <v>12</v>
      </c>
      <c r="J365" t="s">
        <v>319</v>
      </c>
      <c r="K365" s="8" t="s">
        <v>742</v>
      </c>
      <c r="L365" s="4"/>
      <c r="M365" t="s">
        <v>681</v>
      </c>
      <c r="N365" s="5">
        <v>30774855</v>
      </c>
      <c r="O365" s="5">
        <v>906108</v>
      </c>
      <c r="P365" s="5">
        <v>172161</v>
      </c>
      <c r="Q365" s="5">
        <v>1078269</v>
      </c>
    </row>
    <row r="366" spans="1:17" x14ac:dyDescent="0.25">
      <c r="F366" t="s">
        <v>497</v>
      </c>
      <c r="K366" t="s">
        <v>681</v>
      </c>
      <c r="L366" s="4"/>
      <c r="M366" t="s">
        <v>681</v>
      </c>
      <c r="N366" s="5"/>
      <c r="O366" s="5">
        <v>2694317</v>
      </c>
      <c r="P366" s="5">
        <v>511921</v>
      </c>
      <c r="Q366" s="5">
        <v>3206238</v>
      </c>
    </row>
    <row r="367" spans="1:17" x14ac:dyDescent="0.25">
      <c r="A367" t="s">
        <v>549</v>
      </c>
      <c r="B367" t="s">
        <v>494</v>
      </c>
      <c r="C367">
        <v>76388223</v>
      </c>
      <c r="D367">
        <v>5</v>
      </c>
      <c r="E367">
        <v>30773759</v>
      </c>
      <c r="F367" t="s">
        <v>550</v>
      </c>
      <c r="G367" s="1">
        <v>45202</v>
      </c>
      <c r="H367">
        <v>5396133</v>
      </c>
      <c r="I367">
        <v>72</v>
      </c>
      <c r="J367" t="s">
        <v>176</v>
      </c>
      <c r="K367" t="s">
        <v>681</v>
      </c>
      <c r="L367" s="4" t="s">
        <v>50</v>
      </c>
      <c r="M367" t="s">
        <v>681</v>
      </c>
      <c r="N367" s="5">
        <v>30773759</v>
      </c>
      <c r="O367" s="5">
        <v>39907</v>
      </c>
      <c r="P367" s="5">
        <v>7582</v>
      </c>
      <c r="Q367" s="5">
        <v>47489</v>
      </c>
    </row>
    <row r="368" spans="1:17" x14ac:dyDescent="0.25">
      <c r="A368" t="s">
        <v>549</v>
      </c>
      <c r="B368" t="s">
        <v>494</v>
      </c>
      <c r="C368">
        <v>76388223</v>
      </c>
      <c r="D368">
        <v>15</v>
      </c>
      <c r="E368">
        <v>30774185</v>
      </c>
      <c r="F368" t="s">
        <v>550</v>
      </c>
      <c r="G368" s="1">
        <v>45203</v>
      </c>
      <c r="H368">
        <v>5397255</v>
      </c>
      <c r="I368">
        <v>72</v>
      </c>
      <c r="J368" t="s">
        <v>176</v>
      </c>
      <c r="K368" t="s">
        <v>681</v>
      </c>
      <c r="L368" s="4" t="s">
        <v>50</v>
      </c>
      <c r="M368" t="s">
        <v>681</v>
      </c>
      <c r="N368" s="5">
        <v>30774185</v>
      </c>
      <c r="O368" s="5">
        <v>33331</v>
      </c>
      <c r="P368" s="5">
        <v>6333</v>
      </c>
      <c r="Q368" s="5">
        <v>39664</v>
      </c>
    </row>
    <row r="369" spans="1:17" x14ac:dyDescent="0.25">
      <c r="A369" t="s">
        <v>549</v>
      </c>
      <c r="B369" t="s">
        <v>494</v>
      </c>
      <c r="C369">
        <v>76388223</v>
      </c>
      <c r="D369">
        <v>27</v>
      </c>
      <c r="E369">
        <v>30783276</v>
      </c>
      <c r="F369" t="s">
        <v>550</v>
      </c>
      <c r="G369" s="1">
        <v>45205</v>
      </c>
      <c r="H369">
        <v>5398613</v>
      </c>
      <c r="I369">
        <v>72</v>
      </c>
      <c r="J369" t="s">
        <v>176</v>
      </c>
      <c r="K369" t="s">
        <v>681</v>
      </c>
      <c r="L369" s="4" t="s">
        <v>50</v>
      </c>
      <c r="M369" t="s">
        <v>681</v>
      </c>
      <c r="N369" s="5">
        <v>30783276</v>
      </c>
      <c r="O369" s="5">
        <v>401896</v>
      </c>
      <c r="P369" s="5">
        <v>76360</v>
      </c>
      <c r="Q369" s="5">
        <v>478256</v>
      </c>
    </row>
    <row r="370" spans="1:17" x14ac:dyDescent="0.25">
      <c r="A370" t="s">
        <v>549</v>
      </c>
      <c r="B370" t="s">
        <v>494</v>
      </c>
      <c r="C370">
        <v>76388223</v>
      </c>
      <c r="D370">
        <v>23</v>
      </c>
      <c r="E370">
        <v>30786850</v>
      </c>
      <c r="F370" t="s">
        <v>550</v>
      </c>
      <c r="G370" s="1">
        <v>45205</v>
      </c>
      <c r="H370">
        <v>5398941</v>
      </c>
      <c r="I370">
        <v>72</v>
      </c>
      <c r="J370" t="s">
        <v>176</v>
      </c>
      <c r="K370" t="s">
        <v>681</v>
      </c>
      <c r="L370" s="4" t="s">
        <v>50</v>
      </c>
      <c r="M370" t="s">
        <v>681</v>
      </c>
      <c r="N370" s="5">
        <v>30786850</v>
      </c>
      <c r="O370" s="5">
        <v>95424</v>
      </c>
      <c r="P370" s="5">
        <v>18131</v>
      </c>
      <c r="Q370" s="5">
        <v>113555</v>
      </c>
    </row>
    <row r="371" spans="1:17" x14ac:dyDescent="0.25">
      <c r="A371" t="s">
        <v>549</v>
      </c>
      <c r="B371" t="s">
        <v>494</v>
      </c>
      <c r="C371">
        <v>76388223</v>
      </c>
      <c r="D371">
        <v>14</v>
      </c>
      <c r="E371">
        <v>30789968</v>
      </c>
      <c r="F371" t="s">
        <v>550</v>
      </c>
      <c r="G371" s="1">
        <v>45209</v>
      </c>
      <c r="H371">
        <v>5400970</v>
      </c>
      <c r="I371">
        <v>72</v>
      </c>
      <c r="J371" t="s">
        <v>176</v>
      </c>
      <c r="K371" t="s">
        <v>681</v>
      </c>
      <c r="L371" s="4" t="s">
        <v>50</v>
      </c>
      <c r="M371" t="s">
        <v>681</v>
      </c>
      <c r="N371" s="5">
        <v>30789968</v>
      </c>
      <c r="O371" s="5">
        <v>44045</v>
      </c>
      <c r="P371" s="5">
        <v>8369</v>
      </c>
      <c r="Q371" s="5">
        <v>52414</v>
      </c>
    </row>
    <row r="372" spans="1:17" x14ac:dyDescent="0.25">
      <c r="A372" t="s">
        <v>549</v>
      </c>
      <c r="B372" t="s">
        <v>494</v>
      </c>
      <c r="C372">
        <v>76388223</v>
      </c>
      <c r="D372">
        <v>10</v>
      </c>
      <c r="E372">
        <v>30789989</v>
      </c>
      <c r="F372" t="s">
        <v>550</v>
      </c>
      <c r="G372" s="1">
        <v>45209</v>
      </c>
      <c r="H372">
        <v>5401227</v>
      </c>
      <c r="I372">
        <v>72</v>
      </c>
      <c r="J372" t="s">
        <v>176</v>
      </c>
      <c r="K372" t="s">
        <v>681</v>
      </c>
      <c r="L372" s="4" t="s">
        <v>50</v>
      </c>
      <c r="M372" t="s">
        <v>681</v>
      </c>
      <c r="N372" s="5">
        <v>30789989</v>
      </c>
      <c r="O372" s="5">
        <v>295336</v>
      </c>
      <c r="P372" s="5">
        <v>56114</v>
      </c>
      <c r="Q372" s="5">
        <v>351450</v>
      </c>
    </row>
    <row r="373" spans="1:17" x14ac:dyDescent="0.25">
      <c r="A373" t="s">
        <v>549</v>
      </c>
      <c r="B373" t="s">
        <v>494</v>
      </c>
      <c r="C373">
        <v>76388223</v>
      </c>
      <c r="D373">
        <v>6</v>
      </c>
      <c r="E373">
        <v>30801292</v>
      </c>
      <c r="F373" t="s">
        <v>550</v>
      </c>
      <c r="G373" s="1">
        <v>45211</v>
      </c>
      <c r="H373">
        <v>5403042</v>
      </c>
      <c r="I373">
        <v>72</v>
      </c>
      <c r="J373" t="s">
        <v>176</v>
      </c>
      <c r="K373" t="s">
        <v>681</v>
      </c>
      <c r="L373" s="4" t="s">
        <v>50</v>
      </c>
      <c r="M373" t="s">
        <v>681</v>
      </c>
      <c r="N373" s="5">
        <v>30801292</v>
      </c>
      <c r="O373" s="5">
        <v>21894</v>
      </c>
      <c r="P373" s="5">
        <v>4160</v>
      </c>
      <c r="Q373" s="5">
        <v>26054</v>
      </c>
    </row>
    <row r="374" spans="1:17" x14ac:dyDescent="0.25">
      <c r="A374" t="s">
        <v>549</v>
      </c>
      <c r="B374" t="s">
        <v>494</v>
      </c>
      <c r="C374">
        <v>76388223</v>
      </c>
      <c r="D374">
        <v>25</v>
      </c>
      <c r="E374">
        <v>30820628</v>
      </c>
      <c r="F374" t="s">
        <v>550</v>
      </c>
      <c r="G374" s="1">
        <v>45218</v>
      </c>
      <c r="H374">
        <v>5406700</v>
      </c>
      <c r="I374">
        <v>72</v>
      </c>
      <c r="J374" t="s">
        <v>176</v>
      </c>
      <c r="K374" t="s">
        <v>681</v>
      </c>
      <c r="L374" s="4" t="s">
        <v>50</v>
      </c>
      <c r="M374" t="s">
        <v>681</v>
      </c>
      <c r="N374" s="5">
        <v>30820628</v>
      </c>
      <c r="O374" s="5">
        <v>99724</v>
      </c>
      <c r="P374" s="5">
        <v>18948</v>
      </c>
      <c r="Q374" s="5">
        <v>118672</v>
      </c>
    </row>
    <row r="375" spans="1:17" x14ac:dyDescent="0.25">
      <c r="A375" t="s">
        <v>549</v>
      </c>
      <c r="B375" t="s">
        <v>494</v>
      </c>
      <c r="C375">
        <v>76388223</v>
      </c>
      <c r="D375">
        <v>14</v>
      </c>
      <c r="E375">
        <v>30827760</v>
      </c>
      <c r="F375" t="s">
        <v>550</v>
      </c>
      <c r="G375" s="1">
        <v>45222</v>
      </c>
      <c r="H375">
        <v>5408151</v>
      </c>
      <c r="I375">
        <v>72</v>
      </c>
      <c r="J375" t="s">
        <v>176</v>
      </c>
      <c r="K375" t="s">
        <v>681</v>
      </c>
      <c r="L375" s="4" t="s">
        <v>50</v>
      </c>
      <c r="M375" t="s">
        <v>681</v>
      </c>
      <c r="N375" s="5">
        <v>30827760</v>
      </c>
      <c r="O375" s="5">
        <v>59573</v>
      </c>
      <c r="P375" s="5">
        <v>11319</v>
      </c>
      <c r="Q375" s="5">
        <v>71944</v>
      </c>
    </row>
    <row r="376" spans="1:17" x14ac:dyDescent="0.25">
      <c r="F376" t="s">
        <v>514</v>
      </c>
      <c r="K376" t="s">
        <v>681</v>
      </c>
      <c r="L376" s="4"/>
      <c r="M376" t="s">
        <v>681</v>
      </c>
      <c r="N376" s="5"/>
      <c r="O376" s="5">
        <v>1091130</v>
      </c>
      <c r="P376" s="5">
        <v>207316</v>
      </c>
      <c r="Q376" s="5">
        <v>1299498</v>
      </c>
    </row>
    <row r="377" spans="1:17" x14ac:dyDescent="0.25">
      <c r="A377" t="s">
        <v>551</v>
      </c>
      <c r="B377" t="s">
        <v>494</v>
      </c>
      <c r="C377">
        <v>76411040</v>
      </c>
      <c r="D377">
        <v>10</v>
      </c>
      <c r="E377">
        <v>30781336</v>
      </c>
      <c r="F377" t="s">
        <v>774</v>
      </c>
      <c r="G377" s="1">
        <v>45205</v>
      </c>
      <c r="H377">
        <v>5398774</v>
      </c>
      <c r="I377">
        <v>463</v>
      </c>
      <c r="J377" t="s">
        <v>446</v>
      </c>
      <c r="K377" t="s">
        <v>681</v>
      </c>
      <c r="L377" s="4"/>
      <c r="M377" t="s">
        <v>681</v>
      </c>
      <c r="N377" s="5">
        <v>30781336</v>
      </c>
      <c r="O377" s="5">
        <v>35278</v>
      </c>
      <c r="P377" s="5">
        <v>6703</v>
      </c>
      <c r="Q377" s="5">
        <v>41981</v>
      </c>
    </row>
    <row r="378" spans="1:17" x14ac:dyDescent="0.25">
      <c r="A378" t="s">
        <v>551</v>
      </c>
      <c r="B378" t="s">
        <v>494</v>
      </c>
      <c r="C378">
        <v>76411040</v>
      </c>
      <c r="D378">
        <v>8</v>
      </c>
      <c r="E378">
        <v>30793862</v>
      </c>
      <c r="F378" t="s">
        <v>774</v>
      </c>
      <c r="G378" s="1">
        <v>45209</v>
      </c>
      <c r="H378">
        <v>5401538</v>
      </c>
      <c r="I378">
        <v>463</v>
      </c>
      <c r="J378" t="s">
        <v>446</v>
      </c>
      <c r="K378" t="s">
        <v>681</v>
      </c>
      <c r="L378" s="4"/>
      <c r="M378" t="s">
        <v>681</v>
      </c>
      <c r="N378" s="5">
        <v>30793862</v>
      </c>
      <c r="O378" s="5">
        <v>126209</v>
      </c>
      <c r="P378" s="5">
        <v>23980</v>
      </c>
      <c r="Q378" s="5">
        <v>150189</v>
      </c>
    </row>
    <row r="379" spans="1:17" x14ac:dyDescent="0.25">
      <c r="A379" t="s">
        <v>551</v>
      </c>
      <c r="B379" t="s">
        <v>494</v>
      </c>
      <c r="C379">
        <v>76411040</v>
      </c>
      <c r="D379">
        <v>2</v>
      </c>
      <c r="E379">
        <v>30794171</v>
      </c>
      <c r="F379" t="s">
        <v>774</v>
      </c>
      <c r="G379" s="1">
        <v>45211</v>
      </c>
      <c r="H379">
        <v>5402680</v>
      </c>
      <c r="I379">
        <v>463</v>
      </c>
      <c r="J379" t="s">
        <v>446</v>
      </c>
      <c r="K379" t="s">
        <v>681</v>
      </c>
      <c r="L379" s="4"/>
      <c r="M379" t="s">
        <v>681</v>
      </c>
      <c r="N379" s="5">
        <v>30794171</v>
      </c>
      <c r="O379" s="5">
        <v>130272</v>
      </c>
      <c r="P379" s="5">
        <v>24752</v>
      </c>
      <c r="Q379" s="5">
        <v>155024</v>
      </c>
    </row>
    <row r="380" spans="1:17" x14ac:dyDescent="0.25">
      <c r="A380" t="s">
        <v>551</v>
      </c>
      <c r="B380" t="s">
        <v>494</v>
      </c>
      <c r="C380">
        <v>76411040</v>
      </c>
      <c r="D380">
        <v>0</v>
      </c>
      <c r="E380">
        <v>30802719</v>
      </c>
      <c r="F380" t="s">
        <v>774</v>
      </c>
      <c r="G380" s="1">
        <v>45212</v>
      </c>
      <c r="H380">
        <v>5403597</v>
      </c>
      <c r="I380">
        <v>463</v>
      </c>
      <c r="J380" t="s">
        <v>446</v>
      </c>
      <c r="K380" t="s">
        <v>681</v>
      </c>
      <c r="L380" s="4"/>
      <c r="M380" t="s">
        <v>681</v>
      </c>
      <c r="N380" s="5">
        <v>30802719</v>
      </c>
      <c r="O380" s="5">
        <v>186231</v>
      </c>
      <c r="P380" s="5">
        <v>35384</v>
      </c>
      <c r="Q380" s="5">
        <v>221615</v>
      </c>
    </row>
    <row r="381" spans="1:17" x14ac:dyDescent="0.25">
      <c r="A381" t="s">
        <v>551</v>
      </c>
      <c r="B381" t="s">
        <v>494</v>
      </c>
      <c r="C381">
        <v>76411040</v>
      </c>
      <c r="D381">
        <v>0</v>
      </c>
      <c r="E381">
        <v>30802719</v>
      </c>
      <c r="F381" t="s">
        <v>774</v>
      </c>
      <c r="G381" s="1">
        <v>45212</v>
      </c>
      <c r="H381">
        <v>5403598</v>
      </c>
      <c r="I381">
        <v>463</v>
      </c>
      <c r="J381" t="s">
        <v>446</v>
      </c>
      <c r="K381" t="s">
        <v>681</v>
      </c>
      <c r="L381" s="4"/>
      <c r="M381" t="s">
        <v>681</v>
      </c>
      <c r="N381" s="5">
        <v>30802719</v>
      </c>
      <c r="O381" s="5">
        <v>6133</v>
      </c>
      <c r="P381" s="5">
        <v>1165</v>
      </c>
      <c r="Q381" s="5">
        <v>7298</v>
      </c>
    </row>
    <row r="382" spans="1:17" x14ac:dyDescent="0.25">
      <c r="A382" t="s">
        <v>551</v>
      </c>
      <c r="B382" t="s">
        <v>494</v>
      </c>
      <c r="C382">
        <v>76411040</v>
      </c>
      <c r="D382">
        <v>1</v>
      </c>
      <c r="E382">
        <v>30794288</v>
      </c>
      <c r="F382" t="s">
        <v>774</v>
      </c>
      <c r="G382" s="1">
        <v>45215</v>
      </c>
      <c r="H382">
        <v>5404415</v>
      </c>
      <c r="I382">
        <v>463</v>
      </c>
      <c r="J382" t="s">
        <v>446</v>
      </c>
      <c r="K382" t="s">
        <v>681</v>
      </c>
      <c r="L382" s="4"/>
      <c r="M382" t="s">
        <v>681</v>
      </c>
      <c r="N382" s="5">
        <v>30794288</v>
      </c>
      <c r="O382" s="5">
        <v>67340</v>
      </c>
      <c r="P382" s="5">
        <v>12795</v>
      </c>
      <c r="Q382" s="5">
        <v>80135</v>
      </c>
    </row>
    <row r="383" spans="1:17" x14ac:dyDescent="0.25">
      <c r="A383" t="s">
        <v>551</v>
      </c>
      <c r="B383" t="s">
        <v>494</v>
      </c>
      <c r="C383">
        <v>76411040</v>
      </c>
      <c r="D383">
        <v>1</v>
      </c>
      <c r="E383">
        <v>30794269</v>
      </c>
      <c r="F383" t="s">
        <v>774</v>
      </c>
      <c r="G383" s="1">
        <v>45215</v>
      </c>
      <c r="H383">
        <v>5404518</v>
      </c>
      <c r="I383">
        <v>463</v>
      </c>
      <c r="J383" t="s">
        <v>446</v>
      </c>
      <c r="K383" t="s">
        <v>681</v>
      </c>
      <c r="L383" s="4"/>
      <c r="M383" t="s">
        <v>681</v>
      </c>
      <c r="N383" s="5">
        <v>30794269</v>
      </c>
      <c r="O383" s="5">
        <v>159299</v>
      </c>
      <c r="P383" s="5">
        <v>30267</v>
      </c>
      <c r="Q383" s="5">
        <v>189566</v>
      </c>
    </row>
    <row r="384" spans="1:17" x14ac:dyDescent="0.25">
      <c r="A384" t="s">
        <v>551</v>
      </c>
      <c r="B384" t="s">
        <v>494</v>
      </c>
      <c r="C384">
        <v>76411040</v>
      </c>
      <c r="D384">
        <v>8</v>
      </c>
      <c r="E384">
        <v>30817359</v>
      </c>
      <c r="F384" t="s">
        <v>774</v>
      </c>
      <c r="G384" s="1">
        <v>45217</v>
      </c>
      <c r="H384">
        <v>5406190</v>
      </c>
      <c r="I384">
        <v>463</v>
      </c>
      <c r="J384" t="s">
        <v>446</v>
      </c>
      <c r="K384" t="s">
        <v>681</v>
      </c>
      <c r="L384" s="4"/>
      <c r="M384" t="s">
        <v>681</v>
      </c>
      <c r="N384" s="5">
        <v>30817359</v>
      </c>
      <c r="O384" s="5">
        <v>31792</v>
      </c>
      <c r="P384" s="5">
        <v>6040</v>
      </c>
      <c r="Q384" s="5">
        <v>37832</v>
      </c>
    </row>
    <row r="385" spans="1:17" x14ac:dyDescent="0.25">
      <c r="A385" t="s">
        <v>551</v>
      </c>
      <c r="B385" t="s">
        <v>494</v>
      </c>
      <c r="C385">
        <v>76411040</v>
      </c>
      <c r="D385">
        <v>3</v>
      </c>
      <c r="E385">
        <v>30817357</v>
      </c>
      <c r="F385" t="s">
        <v>774</v>
      </c>
      <c r="G385" s="1">
        <v>45219</v>
      </c>
      <c r="H385">
        <v>5407430</v>
      </c>
      <c r="I385">
        <v>463</v>
      </c>
      <c r="J385" t="s">
        <v>446</v>
      </c>
      <c r="K385" t="s">
        <v>681</v>
      </c>
      <c r="L385" s="4"/>
      <c r="M385" t="s">
        <v>681</v>
      </c>
      <c r="N385" s="5">
        <v>30817357</v>
      </c>
      <c r="O385" s="5">
        <v>86872</v>
      </c>
      <c r="P385" s="5">
        <v>16506</v>
      </c>
      <c r="Q385" s="5">
        <v>103378</v>
      </c>
    </row>
    <row r="386" spans="1:17" x14ac:dyDescent="0.25">
      <c r="F386" t="s">
        <v>514</v>
      </c>
      <c r="K386" t="s">
        <v>681</v>
      </c>
      <c r="L386" s="4"/>
      <c r="M386" t="s">
        <v>681</v>
      </c>
      <c r="N386" s="5"/>
      <c r="O386" s="5">
        <v>829426</v>
      </c>
      <c r="P386" s="5">
        <v>157592</v>
      </c>
      <c r="Q386" s="5">
        <v>987018</v>
      </c>
    </row>
    <row r="387" spans="1:17" x14ac:dyDescent="0.25">
      <c r="A387" t="s">
        <v>728</v>
      </c>
      <c r="B387" t="s">
        <v>502</v>
      </c>
      <c r="C387">
        <v>76418918</v>
      </c>
      <c r="D387">
        <v>0</v>
      </c>
      <c r="E387" t="s">
        <v>729</v>
      </c>
      <c r="F387" t="s">
        <v>730</v>
      </c>
      <c r="G387" s="1">
        <v>45222</v>
      </c>
      <c r="H387">
        <v>5407770</v>
      </c>
      <c r="I387">
        <v>25</v>
      </c>
      <c r="J387" t="s">
        <v>323</v>
      </c>
      <c r="K387" s="8" t="s">
        <v>742</v>
      </c>
      <c r="L387" s="4" t="s">
        <v>10</v>
      </c>
      <c r="M387" t="s">
        <v>681</v>
      </c>
      <c r="N387" s="5">
        <v>30826145</v>
      </c>
      <c r="O387" s="5">
        <v>718800</v>
      </c>
      <c r="P387" s="5">
        <v>136572</v>
      </c>
      <c r="Q387" s="5">
        <v>855372</v>
      </c>
    </row>
    <row r="388" spans="1:17" x14ac:dyDescent="0.25">
      <c r="A388" t="s">
        <v>728</v>
      </c>
      <c r="B388" t="s">
        <v>502</v>
      </c>
      <c r="C388">
        <v>76418918</v>
      </c>
      <c r="D388">
        <v>0</v>
      </c>
      <c r="E388" t="s">
        <v>729</v>
      </c>
      <c r="F388" t="s">
        <v>730</v>
      </c>
      <c r="G388" s="1">
        <v>45222</v>
      </c>
      <c r="H388">
        <v>5407773</v>
      </c>
      <c r="I388">
        <v>25</v>
      </c>
      <c r="J388" t="s">
        <v>323</v>
      </c>
      <c r="K388" s="8" t="s">
        <v>742</v>
      </c>
      <c r="L388" s="4" t="s">
        <v>10</v>
      </c>
      <c r="M388" t="s">
        <v>681</v>
      </c>
      <c r="N388" s="5">
        <v>30790768</v>
      </c>
      <c r="O388" s="5">
        <v>241530</v>
      </c>
      <c r="P388" s="5">
        <v>45891</v>
      </c>
      <c r="Q388" s="5">
        <v>287421</v>
      </c>
    </row>
    <row r="389" spans="1:17" x14ac:dyDescent="0.25">
      <c r="A389" t="s">
        <v>728</v>
      </c>
      <c r="B389" t="s">
        <v>502</v>
      </c>
      <c r="C389">
        <v>76418918</v>
      </c>
      <c r="D389">
        <v>0</v>
      </c>
      <c r="E389">
        <v>4500626913</v>
      </c>
      <c r="F389" t="s">
        <v>730</v>
      </c>
      <c r="G389" s="1">
        <v>45229</v>
      </c>
      <c r="H389">
        <v>5409541</v>
      </c>
      <c r="I389">
        <v>25</v>
      </c>
      <c r="J389" t="s">
        <v>323</v>
      </c>
      <c r="K389" s="8" t="s">
        <v>742</v>
      </c>
      <c r="L389" s="4" t="s">
        <v>10</v>
      </c>
      <c r="M389" t="s">
        <v>681</v>
      </c>
      <c r="N389" s="5">
        <v>30833949</v>
      </c>
      <c r="O389" s="5">
        <v>149022</v>
      </c>
      <c r="P389" s="5">
        <v>28314</v>
      </c>
      <c r="Q389" s="5">
        <v>177336</v>
      </c>
    </row>
    <row r="390" spans="1:17" x14ac:dyDescent="0.25">
      <c r="A390" t="s">
        <v>728</v>
      </c>
      <c r="B390" t="s">
        <v>502</v>
      </c>
      <c r="C390">
        <v>76418918</v>
      </c>
      <c r="D390">
        <v>0</v>
      </c>
      <c r="E390" t="s">
        <v>729</v>
      </c>
      <c r="F390" t="s">
        <v>730</v>
      </c>
      <c r="G390" s="1">
        <v>45229</v>
      </c>
      <c r="H390">
        <v>5409543</v>
      </c>
      <c r="I390">
        <v>25</v>
      </c>
      <c r="J390" t="s">
        <v>323</v>
      </c>
      <c r="K390" s="8" t="s">
        <v>742</v>
      </c>
      <c r="L390" s="4" t="s">
        <v>10</v>
      </c>
      <c r="M390" t="s">
        <v>681</v>
      </c>
      <c r="N390" s="5">
        <v>30826393</v>
      </c>
      <c r="O390" s="5">
        <v>116228</v>
      </c>
      <c r="P390" s="5">
        <v>22083</v>
      </c>
      <c r="Q390" s="5">
        <v>138311</v>
      </c>
    </row>
    <row r="391" spans="1:17" x14ac:dyDescent="0.25">
      <c r="F391" t="s">
        <v>498</v>
      </c>
      <c r="K391" t="s">
        <v>681</v>
      </c>
      <c r="L391" s="4"/>
      <c r="M391" t="s">
        <v>681</v>
      </c>
      <c r="N391" s="5"/>
      <c r="O391" s="5">
        <v>1225580</v>
      </c>
      <c r="P391" s="5">
        <v>232860</v>
      </c>
      <c r="Q391" s="5">
        <v>1458440</v>
      </c>
    </row>
    <row r="392" spans="1:17" x14ac:dyDescent="0.25">
      <c r="A392" t="s">
        <v>496</v>
      </c>
      <c r="B392" t="s">
        <v>494</v>
      </c>
      <c r="C392">
        <v>76418976</v>
      </c>
      <c r="D392">
        <v>0</v>
      </c>
      <c r="E392">
        <v>824128</v>
      </c>
      <c r="F392" t="s">
        <v>552</v>
      </c>
      <c r="G392" s="1">
        <v>45201</v>
      </c>
      <c r="H392">
        <v>5394909</v>
      </c>
      <c r="I392">
        <v>411</v>
      </c>
      <c r="J392" t="s">
        <v>204</v>
      </c>
      <c r="K392" s="8" t="s">
        <v>742</v>
      </c>
      <c r="L392" s="4"/>
      <c r="M392" t="s">
        <v>681</v>
      </c>
      <c r="N392" s="5">
        <v>30768441</v>
      </c>
      <c r="O392" s="5">
        <v>395026</v>
      </c>
      <c r="P392" s="5">
        <v>75055</v>
      </c>
      <c r="Q392" s="5">
        <v>470081</v>
      </c>
    </row>
    <row r="393" spans="1:17" x14ac:dyDescent="0.25">
      <c r="F393" t="s">
        <v>495</v>
      </c>
      <c r="K393" t="s">
        <v>681</v>
      </c>
      <c r="L393" s="4"/>
      <c r="M393" t="s">
        <v>681</v>
      </c>
      <c r="N393" s="5"/>
      <c r="O393" s="5">
        <v>395026</v>
      </c>
      <c r="P393" s="5">
        <v>75055</v>
      </c>
      <c r="Q393" s="5">
        <v>470081</v>
      </c>
    </row>
    <row r="394" spans="1:17" x14ac:dyDescent="0.25">
      <c r="A394" t="s">
        <v>496</v>
      </c>
      <c r="B394" t="s">
        <v>494</v>
      </c>
      <c r="C394">
        <v>76434350</v>
      </c>
      <c r="D394">
        <v>0</v>
      </c>
      <c r="E394">
        <v>4400070002</v>
      </c>
      <c r="F394" t="s">
        <v>731</v>
      </c>
      <c r="G394" s="1">
        <v>45222</v>
      </c>
      <c r="H394">
        <v>5408042</v>
      </c>
      <c r="I394">
        <v>3</v>
      </c>
      <c r="J394" t="s">
        <v>291</v>
      </c>
      <c r="K394" s="8" t="s">
        <v>742</v>
      </c>
      <c r="L394" s="4"/>
      <c r="M394" t="s">
        <v>681</v>
      </c>
      <c r="N394" s="5">
        <v>30816375</v>
      </c>
      <c r="O394" s="5">
        <v>604320</v>
      </c>
      <c r="P394" s="5">
        <v>114821</v>
      </c>
      <c r="Q394" s="5">
        <v>719141</v>
      </c>
    </row>
    <row r="395" spans="1:17" x14ac:dyDescent="0.25">
      <c r="F395" t="s">
        <v>495</v>
      </c>
      <c r="K395" t="s">
        <v>681</v>
      </c>
      <c r="L395" s="4"/>
      <c r="M395" t="s">
        <v>681</v>
      </c>
      <c r="N395" s="5"/>
      <c r="O395" s="5">
        <v>604320</v>
      </c>
      <c r="P395" s="5">
        <v>114821</v>
      </c>
      <c r="Q395" s="5">
        <v>719141</v>
      </c>
    </row>
    <row r="396" spans="1:17" x14ac:dyDescent="0.25">
      <c r="A396" t="s">
        <v>496</v>
      </c>
      <c r="B396" t="s">
        <v>494</v>
      </c>
      <c r="C396">
        <v>76466068</v>
      </c>
      <c r="D396">
        <v>13</v>
      </c>
      <c r="E396">
        <v>4700003164</v>
      </c>
      <c r="F396" t="s">
        <v>553</v>
      </c>
      <c r="G396" s="1">
        <v>45202</v>
      </c>
      <c r="H396">
        <v>5396206</v>
      </c>
      <c r="I396">
        <v>424</v>
      </c>
      <c r="J396" t="s">
        <v>146</v>
      </c>
      <c r="K396" s="8" t="s">
        <v>742</v>
      </c>
      <c r="L396" s="4" t="s">
        <v>6</v>
      </c>
      <c r="M396" t="s">
        <v>681</v>
      </c>
      <c r="N396" s="5">
        <v>30774024</v>
      </c>
      <c r="O396" s="5">
        <v>25747</v>
      </c>
      <c r="P396" s="5">
        <v>4892</v>
      </c>
      <c r="Q396" s="5">
        <v>30639</v>
      </c>
    </row>
    <row r="397" spans="1:17" x14ac:dyDescent="0.25">
      <c r="A397" t="s">
        <v>496</v>
      </c>
      <c r="B397" t="s">
        <v>494</v>
      </c>
      <c r="C397">
        <v>76466068</v>
      </c>
      <c r="D397">
        <v>2</v>
      </c>
      <c r="E397">
        <v>4700003164</v>
      </c>
      <c r="F397" t="s">
        <v>553</v>
      </c>
      <c r="G397" s="1">
        <v>45202</v>
      </c>
      <c r="H397">
        <v>5396210</v>
      </c>
      <c r="I397">
        <v>424</v>
      </c>
      <c r="J397" t="s">
        <v>146</v>
      </c>
      <c r="K397" s="7" t="s">
        <v>743</v>
      </c>
      <c r="L397" s="4" t="s">
        <v>6</v>
      </c>
      <c r="M397">
        <v>5000028559</v>
      </c>
      <c r="N397" s="5">
        <v>30742811</v>
      </c>
      <c r="O397" s="5">
        <v>377099</v>
      </c>
      <c r="P397" s="5">
        <v>71649</v>
      </c>
      <c r="Q397" s="5">
        <v>448748</v>
      </c>
    </row>
    <row r="398" spans="1:17" x14ac:dyDescent="0.25">
      <c r="A398" t="s">
        <v>496</v>
      </c>
      <c r="B398" t="s">
        <v>494</v>
      </c>
      <c r="C398">
        <v>76466068</v>
      </c>
      <c r="D398">
        <v>2</v>
      </c>
      <c r="E398">
        <v>4700003164</v>
      </c>
      <c r="F398" t="s">
        <v>553</v>
      </c>
      <c r="G398" s="1">
        <v>45202</v>
      </c>
      <c r="H398">
        <v>5396242</v>
      </c>
      <c r="I398">
        <v>424</v>
      </c>
      <c r="J398" t="s">
        <v>146</v>
      </c>
      <c r="K398" s="7" t="s">
        <v>743</v>
      </c>
      <c r="L398" s="4" t="s">
        <v>6</v>
      </c>
      <c r="M398">
        <v>5000028559</v>
      </c>
      <c r="N398" s="5">
        <v>30742803</v>
      </c>
      <c r="O398" s="5">
        <v>214812</v>
      </c>
      <c r="P398" s="5">
        <v>40814</v>
      </c>
      <c r="Q398" s="5">
        <v>255626</v>
      </c>
    </row>
    <row r="399" spans="1:17" x14ac:dyDescent="0.25">
      <c r="A399" t="s">
        <v>496</v>
      </c>
      <c r="B399" t="s">
        <v>494</v>
      </c>
      <c r="C399">
        <v>76466068</v>
      </c>
      <c r="D399">
        <v>2</v>
      </c>
      <c r="E399">
        <v>4700003164</v>
      </c>
      <c r="F399" t="s">
        <v>553</v>
      </c>
      <c r="G399" s="1">
        <v>45203</v>
      </c>
      <c r="H399">
        <v>5397024</v>
      </c>
      <c r="I399">
        <v>424</v>
      </c>
      <c r="J399" t="s">
        <v>146</v>
      </c>
      <c r="K399" s="7" t="s">
        <v>743</v>
      </c>
      <c r="L399" s="4" t="s">
        <v>6</v>
      </c>
      <c r="M399">
        <v>5000028559</v>
      </c>
      <c r="N399" s="5">
        <v>30742831</v>
      </c>
      <c r="O399" s="5">
        <v>92248</v>
      </c>
      <c r="P399" s="5">
        <v>17527</v>
      </c>
      <c r="Q399" s="5">
        <v>109775</v>
      </c>
    </row>
    <row r="400" spans="1:17" x14ac:dyDescent="0.25">
      <c r="A400" t="s">
        <v>496</v>
      </c>
      <c r="B400" t="s">
        <v>494</v>
      </c>
      <c r="C400">
        <v>76466068</v>
      </c>
      <c r="D400">
        <v>13</v>
      </c>
      <c r="E400">
        <v>4700003164</v>
      </c>
      <c r="F400" t="s">
        <v>553</v>
      </c>
      <c r="G400" s="1">
        <v>45203</v>
      </c>
      <c r="H400">
        <v>5397025</v>
      </c>
      <c r="I400">
        <v>424</v>
      </c>
      <c r="J400" t="s">
        <v>146</v>
      </c>
      <c r="K400" s="8" t="s">
        <v>742</v>
      </c>
      <c r="L400" s="4" t="s">
        <v>6</v>
      </c>
      <c r="M400" t="s">
        <v>681</v>
      </c>
      <c r="N400" s="5">
        <v>30774031</v>
      </c>
      <c r="O400" s="5">
        <v>4683</v>
      </c>
      <c r="P400" s="5">
        <v>890</v>
      </c>
      <c r="Q400" s="5">
        <v>5573</v>
      </c>
    </row>
    <row r="401" spans="1:17" x14ac:dyDescent="0.25">
      <c r="A401" t="s">
        <v>496</v>
      </c>
      <c r="B401" t="s">
        <v>494</v>
      </c>
      <c r="C401">
        <v>76466068</v>
      </c>
      <c r="D401">
        <v>5</v>
      </c>
      <c r="E401">
        <v>4700003171</v>
      </c>
      <c r="F401" t="s">
        <v>553</v>
      </c>
      <c r="G401" s="1">
        <v>45215</v>
      </c>
      <c r="H401">
        <v>5404988</v>
      </c>
      <c r="I401">
        <v>424</v>
      </c>
      <c r="J401" t="s">
        <v>146</v>
      </c>
      <c r="K401" s="8" t="s">
        <v>742</v>
      </c>
      <c r="L401" s="4" t="s">
        <v>6</v>
      </c>
      <c r="M401" t="s">
        <v>681</v>
      </c>
      <c r="N401" s="5">
        <v>30809397</v>
      </c>
      <c r="O401" s="5">
        <v>41651</v>
      </c>
      <c r="P401" s="5">
        <v>7914</v>
      </c>
      <c r="Q401" s="5">
        <v>49565</v>
      </c>
    </row>
    <row r="402" spans="1:17" x14ac:dyDescent="0.25">
      <c r="A402" t="s">
        <v>496</v>
      </c>
      <c r="B402" t="s">
        <v>494</v>
      </c>
      <c r="C402">
        <v>76466068</v>
      </c>
      <c r="D402">
        <v>5</v>
      </c>
      <c r="E402">
        <v>4700003171</v>
      </c>
      <c r="F402" t="s">
        <v>553</v>
      </c>
      <c r="G402" s="1">
        <v>45215</v>
      </c>
      <c r="H402">
        <v>5405130</v>
      </c>
      <c r="I402">
        <v>424</v>
      </c>
      <c r="J402" t="s">
        <v>146</v>
      </c>
      <c r="K402" s="8" t="s">
        <v>742</v>
      </c>
      <c r="L402" s="4" t="s">
        <v>6</v>
      </c>
      <c r="M402" t="s">
        <v>681</v>
      </c>
      <c r="N402" s="5">
        <v>30809425</v>
      </c>
      <c r="O402" s="5">
        <v>13789</v>
      </c>
      <c r="P402" s="5">
        <v>2620</v>
      </c>
      <c r="Q402" s="5">
        <v>16409</v>
      </c>
    </row>
    <row r="403" spans="1:17" x14ac:dyDescent="0.25">
      <c r="A403" t="s">
        <v>496</v>
      </c>
      <c r="B403" t="s">
        <v>494</v>
      </c>
      <c r="C403">
        <v>76466068</v>
      </c>
      <c r="D403">
        <v>5</v>
      </c>
      <c r="E403">
        <v>4700003171</v>
      </c>
      <c r="F403" t="s">
        <v>553</v>
      </c>
      <c r="G403" s="1">
        <v>45215</v>
      </c>
      <c r="H403">
        <v>5405200</v>
      </c>
      <c r="I403">
        <v>424</v>
      </c>
      <c r="J403" t="s">
        <v>146</v>
      </c>
      <c r="K403" s="8" t="s">
        <v>742</v>
      </c>
      <c r="L403" s="4" t="s">
        <v>6</v>
      </c>
      <c r="M403" t="s">
        <v>681</v>
      </c>
      <c r="N403" s="5">
        <v>30809140</v>
      </c>
      <c r="O403" s="5">
        <v>52399</v>
      </c>
      <c r="P403" s="5">
        <v>9956</v>
      </c>
      <c r="Q403" s="5">
        <v>62355</v>
      </c>
    </row>
    <row r="404" spans="1:17" x14ac:dyDescent="0.25">
      <c r="A404" t="s">
        <v>496</v>
      </c>
      <c r="B404" t="s">
        <v>494</v>
      </c>
      <c r="C404">
        <v>76466068</v>
      </c>
      <c r="D404">
        <v>13</v>
      </c>
      <c r="E404">
        <v>4700003174</v>
      </c>
      <c r="F404" t="s">
        <v>553</v>
      </c>
      <c r="G404" s="1">
        <v>45215</v>
      </c>
      <c r="H404">
        <v>5405208</v>
      </c>
      <c r="I404">
        <v>424</v>
      </c>
      <c r="J404" t="s">
        <v>146</v>
      </c>
      <c r="K404" s="8" t="s">
        <v>742</v>
      </c>
      <c r="L404" s="4" t="s">
        <v>6</v>
      </c>
      <c r="M404" t="s">
        <v>681</v>
      </c>
      <c r="N404" s="5">
        <v>30809693</v>
      </c>
      <c r="O404" s="5">
        <v>48910</v>
      </c>
      <c r="P404" s="5">
        <v>9293</v>
      </c>
      <c r="Q404" s="5">
        <v>58203</v>
      </c>
    </row>
    <row r="405" spans="1:17" x14ac:dyDescent="0.25">
      <c r="A405" t="s">
        <v>496</v>
      </c>
      <c r="B405" t="s">
        <v>494</v>
      </c>
      <c r="C405">
        <v>76466068</v>
      </c>
      <c r="D405">
        <v>5</v>
      </c>
      <c r="E405">
        <v>4500008139</v>
      </c>
      <c r="F405" t="s">
        <v>553</v>
      </c>
      <c r="G405" s="1">
        <v>45215</v>
      </c>
      <c r="H405">
        <v>5405244</v>
      </c>
      <c r="I405">
        <v>424</v>
      </c>
      <c r="J405" t="s">
        <v>146</v>
      </c>
      <c r="K405" s="8" t="s">
        <v>742</v>
      </c>
      <c r="L405" s="4" t="s">
        <v>6</v>
      </c>
      <c r="M405" t="s">
        <v>681</v>
      </c>
      <c r="N405" s="5">
        <v>30810244</v>
      </c>
      <c r="O405" s="5">
        <v>91704</v>
      </c>
      <c r="P405" s="5">
        <v>17424</v>
      </c>
      <c r="Q405" s="5">
        <v>109128</v>
      </c>
    </row>
    <row r="406" spans="1:17" x14ac:dyDescent="0.25">
      <c r="A406" t="s">
        <v>496</v>
      </c>
      <c r="B406" t="s">
        <v>494</v>
      </c>
      <c r="C406">
        <v>76466068</v>
      </c>
      <c r="D406">
        <v>5</v>
      </c>
      <c r="E406">
        <v>4500008139</v>
      </c>
      <c r="F406" t="s">
        <v>553</v>
      </c>
      <c r="G406" s="1">
        <v>45215</v>
      </c>
      <c r="H406">
        <v>5405265</v>
      </c>
      <c r="I406">
        <v>424</v>
      </c>
      <c r="J406" t="s">
        <v>146</v>
      </c>
      <c r="K406" s="8" t="s">
        <v>742</v>
      </c>
      <c r="L406" s="4" t="s">
        <v>6</v>
      </c>
      <c r="M406" t="s">
        <v>681</v>
      </c>
      <c r="N406" s="5">
        <v>30810231</v>
      </c>
      <c r="O406" s="5">
        <v>74020</v>
      </c>
      <c r="P406" s="5">
        <v>14064</v>
      </c>
      <c r="Q406" s="5">
        <v>88084</v>
      </c>
    </row>
    <row r="407" spans="1:17" x14ac:dyDescent="0.25">
      <c r="A407" t="s">
        <v>496</v>
      </c>
      <c r="B407" t="s">
        <v>494</v>
      </c>
      <c r="C407">
        <v>76466068</v>
      </c>
      <c r="D407">
        <v>5</v>
      </c>
      <c r="E407">
        <v>4500008139</v>
      </c>
      <c r="F407" t="s">
        <v>553</v>
      </c>
      <c r="G407" s="1">
        <v>45215</v>
      </c>
      <c r="H407">
        <v>5405278</v>
      </c>
      <c r="I407">
        <v>424</v>
      </c>
      <c r="J407" t="s">
        <v>146</v>
      </c>
      <c r="K407" s="8" t="s">
        <v>742</v>
      </c>
      <c r="L407" s="4" t="s">
        <v>6</v>
      </c>
      <c r="M407" t="s">
        <v>681</v>
      </c>
      <c r="N407" s="5">
        <v>30810258</v>
      </c>
      <c r="O407" s="5">
        <v>16374</v>
      </c>
      <c r="P407" s="5">
        <v>3111</v>
      </c>
      <c r="Q407" s="5">
        <v>19485</v>
      </c>
    </row>
    <row r="408" spans="1:17" x14ac:dyDescent="0.25">
      <c r="A408" t="s">
        <v>496</v>
      </c>
      <c r="B408" t="s">
        <v>494</v>
      </c>
      <c r="C408">
        <v>76466068</v>
      </c>
      <c r="D408">
        <v>5</v>
      </c>
      <c r="E408">
        <v>4700003171</v>
      </c>
      <c r="F408" t="s">
        <v>553</v>
      </c>
      <c r="G408" s="1">
        <v>45218</v>
      </c>
      <c r="H408">
        <v>5406413</v>
      </c>
      <c r="I408">
        <v>424</v>
      </c>
      <c r="J408" t="s">
        <v>146</v>
      </c>
      <c r="K408" s="8" t="s">
        <v>742</v>
      </c>
      <c r="L408" s="4" t="s">
        <v>6</v>
      </c>
      <c r="M408" t="s">
        <v>681</v>
      </c>
      <c r="N408" s="5">
        <v>30810285</v>
      </c>
      <c r="O408" s="5">
        <v>6883</v>
      </c>
      <c r="P408" s="5">
        <v>1308</v>
      </c>
      <c r="Q408" s="5">
        <v>8191</v>
      </c>
    </row>
    <row r="409" spans="1:17" x14ac:dyDescent="0.25">
      <c r="A409" t="s">
        <v>496</v>
      </c>
      <c r="B409" t="s">
        <v>494</v>
      </c>
      <c r="C409">
        <v>76466068</v>
      </c>
      <c r="D409">
        <v>13</v>
      </c>
      <c r="E409">
        <v>4700003174</v>
      </c>
      <c r="F409" t="s">
        <v>553</v>
      </c>
      <c r="G409" s="1">
        <v>45223</v>
      </c>
      <c r="H409">
        <v>5408545</v>
      </c>
      <c r="I409">
        <v>424</v>
      </c>
      <c r="J409" t="s">
        <v>146</v>
      </c>
      <c r="K409" s="8" t="s">
        <v>742</v>
      </c>
      <c r="L409" s="4" t="s">
        <v>6</v>
      </c>
      <c r="M409" t="s">
        <v>681</v>
      </c>
      <c r="N409" s="5">
        <v>30830947</v>
      </c>
      <c r="O409" s="5">
        <v>63230</v>
      </c>
      <c r="P409" s="5">
        <v>12014</v>
      </c>
      <c r="Q409" s="5">
        <v>75244</v>
      </c>
    </row>
    <row r="410" spans="1:17" x14ac:dyDescent="0.25">
      <c r="A410" t="s">
        <v>496</v>
      </c>
      <c r="B410" t="s">
        <v>494</v>
      </c>
      <c r="C410">
        <v>76466068</v>
      </c>
      <c r="D410">
        <v>13</v>
      </c>
      <c r="E410">
        <v>4700003174</v>
      </c>
      <c r="F410" t="s">
        <v>553</v>
      </c>
      <c r="G410" s="1">
        <v>45224</v>
      </c>
      <c r="H410">
        <v>5408607</v>
      </c>
      <c r="I410">
        <v>424</v>
      </c>
      <c r="J410" t="s">
        <v>146</v>
      </c>
      <c r="K410" s="8" t="s">
        <v>742</v>
      </c>
      <c r="L410" s="4" t="s">
        <v>6</v>
      </c>
      <c r="M410" t="s">
        <v>681</v>
      </c>
      <c r="N410" s="5">
        <v>30830990</v>
      </c>
      <c r="O410" s="5">
        <v>39636</v>
      </c>
      <c r="P410" s="5">
        <v>7531</v>
      </c>
      <c r="Q410" s="5">
        <v>47167</v>
      </c>
    </row>
    <row r="411" spans="1:17" x14ac:dyDescent="0.25">
      <c r="A411" t="s">
        <v>496</v>
      </c>
      <c r="B411" t="s">
        <v>494</v>
      </c>
      <c r="C411">
        <v>76466068</v>
      </c>
      <c r="D411">
        <v>13</v>
      </c>
      <c r="E411">
        <v>4700003174</v>
      </c>
      <c r="F411" t="s">
        <v>553</v>
      </c>
      <c r="G411" s="1">
        <v>45224</v>
      </c>
      <c r="H411">
        <v>5408624</v>
      </c>
      <c r="I411">
        <v>424</v>
      </c>
      <c r="J411" t="s">
        <v>146</v>
      </c>
      <c r="K411" s="8" t="s">
        <v>742</v>
      </c>
      <c r="L411" s="4" t="s">
        <v>6</v>
      </c>
      <c r="M411" t="s">
        <v>681</v>
      </c>
      <c r="N411" s="5">
        <v>30830968</v>
      </c>
      <c r="O411" s="5">
        <v>109483</v>
      </c>
      <c r="P411" s="5">
        <v>20802</v>
      </c>
      <c r="Q411" s="5">
        <v>130285</v>
      </c>
    </row>
    <row r="412" spans="1:17" x14ac:dyDescent="0.25">
      <c r="A412" t="s">
        <v>496</v>
      </c>
      <c r="B412" t="s">
        <v>494</v>
      </c>
      <c r="C412">
        <v>76466068</v>
      </c>
      <c r="D412">
        <v>5</v>
      </c>
      <c r="E412">
        <v>4500008179</v>
      </c>
      <c r="F412" t="s">
        <v>553</v>
      </c>
      <c r="G412" s="1">
        <v>45224</v>
      </c>
      <c r="H412">
        <v>5408782</v>
      </c>
      <c r="I412">
        <v>424</v>
      </c>
      <c r="J412" t="s">
        <v>146</v>
      </c>
      <c r="K412" s="8" t="s">
        <v>742</v>
      </c>
      <c r="L412" s="4" t="s">
        <v>6</v>
      </c>
      <c r="M412" t="s">
        <v>681</v>
      </c>
      <c r="N412" s="5">
        <v>30833187</v>
      </c>
      <c r="O412" s="5">
        <v>89572</v>
      </c>
      <c r="P412" s="5">
        <v>17019</v>
      </c>
      <c r="Q412" s="5">
        <v>106591</v>
      </c>
    </row>
    <row r="413" spans="1:17" x14ac:dyDescent="0.25">
      <c r="A413" t="s">
        <v>496</v>
      </c>
      <c r="B413" t="s">
        <v>494</v>
      </c>
      <c r="C413">
        <v>76466068</v>
      </c>
      <c r="D413">
        <v>5</v>
      </c>
      <c r="E413">
        <v>4500008172</v>
      </c>
      <c r="F413" t="s">
        <v>553</v>
      </c>
      <c r="G413" s="1">
        <v>45224</v>
      </c>
      <c r="H413">
        <v>5408946</v>
      </c>
      <c r="I413">
        <v>424</v>
      </c>
      <c r="J413" t="s">
        <v>146</v>
      </c>
      <c r="K413" s="8" t="s">
        <v>742</v>
      </c>
      <c r="L413" s="4" t="s">
        <v>6</v>
      </c>
      <c r="M413" t="s">
        <v>681</v>
      </c>
      <c r="N413" s="5">
        <v>30807358</v>
      </c>
      <c r="O413" s="5">
        <v>159750</v>
      </c>
      <c r="P413" s="5">
        <v>30353</v>
      </c>
      <c r="Q413" s="5">
        <v>190103</v>
      </c>
    </row>
    <row r="414" spans="1:17" x14ac:dyDescent="0.25">
      <c r="A414" t="s">
        <v>496</v>
      </c>
      <c r="B414" t="s">
        <v>494</v>
      </c>
      <c r="C414">
        <v>76466068</v>
      </c>
      <c r="D414">
        <v>2</v>
      </c>
      <c r="E414">
        <v>4700003188</v>
      </c>
      <c r="F414" t="s">
        <v>553</v>
      </c>
      <c r="G414" s="1">
        <v>45224</v>
      </c>
      <c r="H414">
        <v>5408970</v>
      </c>
      <c r="I414">
        <v>424</v>
      </c>
      <c r="J414" t="s">
        <v>146</v>
      </c>
      <c r="K414" s="8" t="s">
        <v>742</v>
      </c>
      <c r="L414" s="4" t="s">
        <v>6</v>
      </c>
      <c r="M414" t="s">
        <v>681</v>
      </c>
      <c r="N414" s="5">
        <v>30799701</v>
      </c>
      <c r="O414" s="5">
        <v>274932</v>
      </c>
      <c r="P414" s="5">
        <v>52237</v>
      </c>
      <c r="Q414" s="5">
        <v>327169</v>
      </c>
    </row>
    <row r="415" spans="1:17" x14ac:dyDescent="0.25">
      <c r="A415" t="s">
        <v>496</v>
      </c>
      <c r="B415" t="s">
        <v>494</v>
      </c>
      <c r="C415">
        <v>76466068</v>
      </c>
      <c r="D415">
        <v>2</v>
      </c>
      <c r="E415">
        <v>4700003188</v>
      </c>
      <c r="F415" t="s">
        <v>553</v>
      </c>
      <c r="G415" s="1">
        <v>45224</v>
      </c>
      <c r="H415">
        <v>5409008</v>
      </c>
      <c r="I415">
        <v>424</v>
      </c>
      <c r="J415" t="s">
        <v>146</v>
      </c>
      <c r="K415" s="8" t="s">
        <v>742</v>
      </c>
      <c r="L415" s="4" t="s">
        <v>6</v>
      </c>
      <c r="M415" t="s">
        <v>681</v>
      </c>
      <c r="N415" s="5">
        <v>30799679</v>
      </c>
      <c r="O415" s="5">
        <v>510620</v>
      </c>
      <c r="P415" s="5">
        <v>97018</v>
      </c>
      <c r="Q415" s="5">
        <v>607638</v>
      </c>
    </row>
    <row r="416" spans="1:17" x14ac:dyDescent="0.25">
      <c r="A416" t="s">
        <v>496</v>
      </c>
      <c r="B416" t="s">
        <v>494</v>
      </c>
      <c r="C416">
        <v>76466068</v>
      </c>
      <c r="D416">
        <v>6</v>
      </c>
      <c r="E416">
        <v>4700003186</v>
      </c>
      <c r="F416" t="s">
        <v>553</v>
      </c>
      <c r="G416" s="1">
        <v>45224</v>
      </c>
      <c r="H416">
        <v>5409013</v>
      </c>
      <c r="I416">
        <v>424</v>
      </c>
      <c r="J416" t="s">
        <v>146</v>
      </c>
      <c r="K416" s="8" t="s">
        <v>742</v>
      </c>
      <c r="L416" s="4" t="s">
        <v>6</v>
      </c>
      <c r="M416" t="s">
        <v>681</v>
      </c>
      <c r="N416" s="5">
        <v>30833945</v>
      </c>
      <c r="O416" s="5">
        <v>153390</v>
      </c>
      <c r="P416" s="5">
        <v>29144</v>
      </c>
      <c r="Q416" s="5">
        <v>182534</v>
      </c>
    </row>
    <row r="417" spans="1:17" x14ac:dyDescent="0.25">
      <c r="A417" t="s">
        <v>496</v>
      </c>
      <c r="B417" t="s">
        <v>494</v>
      </c>
      <c r="C417">
        <v>76466068</v>
      </c>
      <c r="D417">
        <v>6</v>
      </c>
      <c r="E417">
        <v>4700003186</v>
      </c>
      <c r="F417" t="s">
        <v>553</v>
      </c>
      <c r="G417" s="1">
        <v>45225</v>
      </c>
      <c r="H417">
        <v>5409082</v>
      </c>
      <c r="I417">
        <v>424</v>
      </c>
      <c r="J417" t="s">
        <v>146</v>
      </c>
      <c r="K417" s="8" t="s">
        <v>742</v>
      </c>
      <c r="L417" s="4" t="s">
        <v>6</v>
      </c>
      <c r="M417" t="s">
        <v>681</v>
      </c>
      <c r="N417" s="5">
        <v>30834030</v>
      </c>
      <c r="O417" s="5">
        <v>73013</v>
      </c>
      <c r="P417" s="5">
        <v>13872</v>
      </c>
      <c r="Q417" s="5">
        <v>86885</v>
      </c>
    </row>
    <row r="418" spans="1:17" x14ac:dyDescent="0.25">
      <c r="A418" t="s">
        <v>496</v>
      </c>
      <c r="B418" t="s">
        <v>494</v>
      </c>
      <c r="C418">
        <v>76466068</v>
      </c>
      <c r="D418">
        <v>6</v>
      </c>
      <c r="E418">
        <v>4700003186</v>
      </c>
      <c r="F418" t="s">
        <v>553</v>
      </c>
      <c r="G418" s="1">
        <v>45225</v>
      </c>
      <c r="H418">
        <v>5409227</v>
      </c>
      <c r="I418">
        <v>424</v>
      </c>
      <c r="J418" t="s">
        <v>146</v>
      </c>
      <c r="K418" s="8" t="s">
        <v>742</v>
      </c>
      <c r="L418" s="4" t="s">
        <v>6</v>
      </c>
      <c r="M418" t="s">
        <v>681</v>
      </c>
      <c r="N418" s="5">
        <v>30834008</v>
      </c>
      <c r="O418" s="5">
        <v>72545</v>
      </c>
      <c r="P418" s="5">
        <v>13784</v>
      </c>
      <c r="Q418" s="5">
        <v>86329</v>
      </c>
    </row>
    <row r="419" spans="1:17" x14ac:dyDescent="0.25">
      <c r="F419" t="s">
        <v>636</v>
      </c>
      <c r="K419" t="s">
        <v>681</v>
      </c>
      <c r="L419" s="4"/>
      <c r="M419" t="s">
        <v>681</v>
      </c>
      <c r="N419" s="5"/>
      <c r="O419" s="5">
        <v>2606490</v>
      </c>
      <c r="P419" s="5">
        <v>495236</v>
      </c>
      <c r="Q419" s="5">
        <v>3101726</v>
      </c>
    </row>
    <row r="420" spans="1:17" x14ac:dyDescent="0.25">
      <c r="A420" t="s">
        <v>496</v>
      </c>
      <c r="B420" t="s">
        <v>494</v>
      </c>
      <c r="C420">
        <v>76511583</v>
      </c>
      <c r="D420">
        <v>0</v>
      </c>
      <c r="E420">
        <v>30786786</v>
      </c>
      <c r="F420" t="s">
        <v>554</v>
      </c>
      <c r="G420" s="1">
        <v>45209</v>
      </c>
      <c r="H420">
        <v>5401100</v>
      </c>
      <c r="I420">
        <v>409</v>
      </c>
      <c r="J420" t="s">
        <v>186</v>
      </c>
      <c r="K420" s="8" t="s">
        <v>742</v>
      </c>
      <c r="L420" s="4"/>
      <c r="M420" t="s">
        <v>681</v>
      </c>
      <c r="N420" s="5">
        <v>30786786</v>
      </c>
      <c r="O420" s="5">
        <v>267603</v>
      </c>
      <c r="P420" s="5">
        <v>50845</v>
      </c>
      <c r="Q420" s="5">
        <v>322209</v>
      </c>
    </row>
    <row r="421" spans="1:17" x14ac:dyDescent="0.25">
      <c r="A421" t="s">
        <v>496</v>
      </c>
      <c r="B421" t="s">
        <v>494</v>
      </c>
      <c r="C421">
        <v>76511583</v>
      </c>
      <c r="D421">
        <v>0</v>
      </c>
      <c r="E421">
        <v>30786786</v>
      </c>
      <c r="F421" t="s">
        <v>554</v>
      </c>
      <c r="G421" s="1">
        <v>45209</v>
      </c>
      <c r="H421">
        <v>5401101</v>
      </c>
      <c r="I421">
        <v>409</v>
      </c>
      <c r="J421" t="s">
        <v>186</v>
      </c>
      <c r="K421" s="8" t="s">
        <v>742</v>
      </c>
      <c r="L421" s="4"/>
      <c r="M421" t="s">
        <v>681</v>
      </c>
      <c r="N421" s="5">
        <v>30786786</v>
      </c>
      <c r="O421" s="5">
        <v>278832</v>
      </c>
      <c r="P421" s="5">
        <v>52978</v>
      </c>
      <c r="Q421" s="5">
        <v>331810</v>
      </c>
    </row>
    <row r="422" spans="1:17" x14ac:dyDescent="0.25">
      <c r="A422" t="s">
        <v>496</v>
      </c>
      <c r="B422" t="s">
        <v>494</v>
      </c>
      <c r="C422">
        <v>76511583</v>
      </c>
      <c r="D422">
        <v>0</v>
      </c>
      <c r="E422">
        <v>30786786</v>
      </c>
      <c r="F422" t="s">
        <v>554</v>
      </c>
      <c r="G422" s="1">
        <v>45209</v>
      </c>
      <c r="H422">
        <v>5401102</v>
      </c>
      <c r="I422">
        <v>409</v>
      </c>
      <c r="J422" t="s">
        <v>186</v>
      </c>
      <c r="K422" s="8" t="s">
        <v>742</v>
      </c>
      <c r="L422" s="4"/>
      <c r="M422" t="s">
        <v>681</v>
      </c>
      <c r="N422" s="5">
        <v>30786786</v>
      </c>
      <c r="O422" s="5">
        <v>140730</v>
      </c>
      <c r="P422" s="5">
        <v>26739</v>
      </c>
      <c r="Q422" s="5">
        <v>167469</v>
      </c>
    </row>
    <row r="423" spans="1:17" x14ac:dyDescent="0.25">
      <c r="F423" t="s">
        <v>500</v>
      </c>
      <c r="K423" t="s">
        <v>681</v>
      </c>
      <c r="L423" s="4"/>
      <c r="M423" t="s">
        <v>681</v>
      </c>
      <c r="N423" s="5"/>
      <c r="O423" s="5">
        <v>687165</v>
      </c>
      <c r="P423" s="5">
        <v>130562</v>
      </c>
      <c r="Q423" s="5">
        <v>821488</v>
      </c>
    </row>
    <row r="424" spans="1:17" x14ac:dyDescent="0.25">
      <c r="A424" t="s">
        <v>496</v>
      </c>
      <c r="B424" t="s">
        <v>494</v>
      </c>
      <c r="C424">
        <v>76517798</v>
      </c>
      <c r="D424">
        <v>0</v>
      </c>
      <c r="E424">
        <v>4502122528</v>
      </c>
      <c r="F424" t="s">
        <v>555</v>
      </c>
      <c r="G424" s="1">
        <v>45209</v>
      </c>
      <c r="H424">
        <v>5401512</v>
      </c>
      <c r="I424">
        <v>100</v>
      </c>
      <c r="J424" t="s">
        <v>384</v>
      </c>
      <c r="K424" s="8" t="s">
        <v>742</v>
      </c>
      <c r="L424" s="4"/>
      <c r="M424" t="s">
        <v>681</v>
      </c>
      <c r="N424" s="5">
        <v>30793842</v>
      </c>
      <c r="O424" s="5">
        <v>202466</v>
      </c>
      <c r="P424" s="5">
        <v>38469</v>
      </c>
      <c r="Q424" s="5">
        <v>240935</v>
      </c>
    </row>
    <row r="425" spans="1:17" x14ac:dyDescent="0.25">
      <c r="F425" t="s">
        <v>495</v>
      </c>
      <c r="K425" t="s">
        <v>681</v>
      </c>
      <c r="L425" s="4"/>
      <c r="M425" t="s">
        <v>681</v>
      </c>
      <c r="N425" s="5"/>
      <c r="O425" s="5">
        <v>202466</v>
      </c>
      <c r="P425" s="5">
        <v>38469</v>
      </c>
      <c r="Q425" s="5">
        <v>240935</v>
      </c>
    </row>
    <row r="426" spans="1:17" x14ac:dyDescent="0.25">
      <c r="A426" t="s">
        <v>496</v>
      </c>
      <c r="B426" t="s">
        <v>508</v>
      </c>
      <c r="C426">
        <v>76523610</v>
      </c>
      <c r="D426">
        <v>0</v>
      </c>
      <c r="E426">
        <v>5500178723</v>
      </c>
      <c r="F426" t="s">
        <v>775</v>
      </c>
      <c r="G426" s="1">
        <v>45230</v>
      </c>
      <c r="H426">
        <v>5410317</v>
      </c>
      <c r="I426">
        <v>348</v>
      </c>
      <c r="J426" t="s">
        <v>293</v>
      </c>
      <c r="K426" s="8" t="s">
        <v>742</v>
      </c>
      <c r="L426" s="4"/>
      <c r="M426" t="s">
        <v>681</v>
      </c>
      <c r="N426" s="5">
        <v>30842997</v>
      </c>
      <c r="O426" s="5">
        <v>382542</v>
      </c>
      <c r="P426" s="5">
        <v>72683</v>
      </c>
      <c r="Q426" s="5">
        <v>455225</v>
      </c>
    </row>
    <row r="427" spans="1:17" x14ac:dyDescent="0.25">
      <c r="F427" t="s">
        <v>495</v>
      </c>
      <c r="K427" t="s">
        <v>681</v>
      </c>
      <c r="L427" s="4"/>
      <c r="M427" t="s">
        <v>681</v>
      </c>
      <c r="N427" s="5"/>
      <c r="O427" s="5">
        <v>382542</v>
      </c>
      <c r="P427" s="5">
        <v>72683</v>
      </c>
      <c r="Q427" s="5">
        <v>455225</v>
      </c>
    </row>
    <row r="428" spans="1:17" x14ac:dyDescent="0.25">
      <c r="A428" t="s">
        <v>678</v>
      </c>
      <c r="B428" t="s">
        <v>494</v>
      </c>
      <c r="C428">
        <v>76567490</v>
      </c>
      <c r="D428">
        <v>0</v>
      </c>
      <c r="E428">
        <v>30803487</v>
      </c>
      <c r="F428" t="s">
        <v>696</v>
      </c>
      <c r="G428" s="1">
        <v>45213</v>
      </c>
      <c r="H428">
        <v>5404000</v>
      </c>
      <c r="I428">
        <v>96</v>
      </c>
      <c r="J428" t="s">
        <v>140</v>
      </c>
      <c r="K428" t="s">
        <v>681</v>
      </c>
      <c r="L428" s="4"/>
      <c r="M428">
        <v>5000425510</v>
      </c>
      <c r="N428" s="5">
        <v>30803487</v>
      </c>
      <c r="O428" s="5">
        <v>99669</v>
      </c>
      <c r="P428" s="5">
        <v>18937</v>
      </c>
      <c r="Q428" s="5">
        <v>118606</v>
      </c>
    </row>
    <row r="429" spans="1:17" x14ac:dyDescent="0.25">
      <c r="F429" t="s">
        <v>495</v>
      </c>
      <c r="K429" t="s">
        <v>681</v>
      </c>
      <c r="L429" s="4"/>
      <c r="M429" t="s">
        <v>681</v>
      </c>
      <c r="N429" s="5"/>
      <c r="O429" s="5">
        <v>99669</v>
      </c>
      <c r="P429" s="5">
        <v>18937</v>
      </c>
      <c r="Q429" s="5">
        <v>118606</v>
      </c>
    </row>
    <row r="430" spans="1:17" x14ac:dyDescent="0.25">
      <c r="A430" t="s">
        <v>496</v>
      </c>
      <c r="B430" t="s">
        <v>494</v>
      </c>
      <c r="C430">
        <v>76585685</v>
      </c>
      <c r="D430">
        <v>0</v>
      </c>
      <c r="E430">
        <v>21020001037</v>
      </c>
      <c r="F430" t="s">
        <v>697</v>
      </c>
      <c r="G430" s="1">
        <v>45215</v>
      </c>
      <c r="H430">
        <v>5405176</v>
      </c>
      <c r="I430">
        <v>281</v>
      </c>
      <c r="J430" t="s">
        <v>162</v>
      </c>
      <c r="K430" s="8" t="s">
        <v>742</v>
      </c>
      <c r="L430" s="4"/>
      <c r="M430" t="s">
        <v>681</v>
      </c>
      <c r="N430" s="5">
        <v>30695020</v>
      </c>
      <c r="O430" s="5">
        <v>69000</v>
      </c>
      <c r="P430" s="5">
        <v>13110</v>
      </c>
      <c r="Q430" s="5">
        <v>82110</v>
      </c>
    </row>
    <row r="431" spans="1:17" x14ac:dyDescent="0.25">
      <c r="F431" t="s">
        <v>495</v>
      </c>
      <c r="K431" t="s">
        <v>681</v>
      </c>
      <c r="L431" s="4"/>
      <c r="M431" t="s">
        <v>681</v>
      </c>
      <c r="N431" s="5"/>
      <c r="O431" s="5">
        <v>69000</v>
      </c>
      <c r="P431" s="5">
        <v>13110</v>
      </c>
      <c r="Q431" s="5">
        <v>82110</v>
      </c>
    </row>
    <row r="432" spans="1:17" x14ac:dyDescent="0.25">
      <c r="A432" t="s">
        <v>522</v>
      </c>
      <c r="B432" t="s">
        <v>494</v>
      </c>
      <c r="C432">
        <v>76611528</v>
      </c>
      <c r="D432">
        <v>18</v>
      </c>
      <c r="E432" t="s">
        <v>556</v>
      </c>
      <c r="F432" t="s">
        <v>557</v>
      </c>
      <c r="G432" s="1">
        <v>45209</v>
      </c>
      <c r="H432">
        <v>5400009</v>
      </c>
      <c r="I432">
        <v>178</v>
      </c>
      <c r="J432" t="s">
        <v>303</v>
      </c>
      <c r="K432" s="8" t="s">
        <v>742</v>
      </c>
      <c r="L432" s="4"/>
      <c r="M432" t="s">
        <v>681</v>
      </c>
      <c r="N432" s="5">
        <v>30779483</v>
      </c>
      <c r="O432" s="5">
        <v>1162350</v>
      </c>
      <c r="P432" s="5">
        <v>220847</v>
      </c>
      <c r="Q432" s="5">
        <v>1383197</v>
      </c>
    </row>
    <row r="433" spans="1:17" x14ac:dyDescent="0.25">
      <c r="A433" t="s">
        <v>522</v>
      </c>
      <c r="B433" t="s">
        <v>494</v>
      </c>
      <c r="C433">
        <v>76611528</v>
      </c>
      <c r="D433">
        <v>18</v>
      </c>
      <c r="E433" t="s">
        <v>556</v>
      </c>
      <c r="F433" t="s">
        <v>557</v>
      </c>
      <c r="G433" s="1">
        <v>45209</v>
      </c>
      <c r="H433">
        <v>5401416</v>
      </c>
      <c r="I433">
        <v>178</v>
      </c>
      <c r="J433" t="s">
        <v>303</v>
      </c>
      <c r="K433" s="8" t="s">
        <v>742</v>
      </c>
      <c r="L433" s="4"/>
      <c r="M433" t="s">
        <v>681</v>
      </c>
      <c r="N433" s="5">
        <v>30792137</v>
      </c>
      <c r="O433" s="5">
        <v>487244</v>
      </c>
      <c r="P433" s="5">
        <v>92576</v>
      </c>
      <c r="Q433" s="5">
        <v>579820</v>
      </c>
    </row>
    <row r="434" spans="1:17" x14ac:dyDescent="0.25">
      <c r="A434" t="s">
        <v>522</v>
      </c>
      <c r="B434" t="s">
        <v>494</v>
      </c>
      <c r="C434">
        <v>76611528</v>
      </c>
      <c r="D434">
        <v>18</v>
      </c>
      <c r="E434" t="s">
        <v>556</v>
      </c>
      <c r="F434" t="s">
        <v>557</v>
      </c>
      <c r="G434" s="1">
        <v>45212</v>
      </c>
      <c r="H434">
        <v>5403805</v>
      </c>
      <c r="I434">
        <v>178</v>
      </c>
      <c r="J434" t="s">
        <v>303</v>
      </c>
      <c r="K434" s="8" t="s">
        <v>742</v>
      </c>
      <c r="L434" s="4"/>
      <c r="M434" t="s">
        <v>681</v>
      </c>
      <c r="N434" s="5">
        <v>30806454</v>
      </c>
      <c r="O434" s="5">
        <v>257964</v>
      </c>
      <c r="P434" s="5">
        <v>49013</v>
      </c>
      <c r="Q434" s="5">
        <v>306977</v>
      </c>
    </row>
    <row r="435" spans="1:17" x14ac:dyDescent="0.25">
      <c r="A435" t="s">
        <v>522</v>
      </c>
      <c r="B435" t="s">
        <v>494</v>
      </c>
      <c r="C435">
        <v>76611528</v>
      </c>
      <c r="D435">
        <v>18</v>
      </c>
      <c r="E435" t="s">
        <v>556</v>
      </c>
      <c r="F435" t="s">
        <v>557</v>
      </c>
      <c r="G435" s="1">
        <v>45212</v>
      </c>
      <c r="H435">
        <v>5403812</v>
      </c>
      <c r="I435">
        <v>178</v>
      </c>
      <c r="J435" t="s">
        <v>303</v>
      </c>
      <c r="K435" s="8" t="s">
        <v>742</v>
      </c>
      <c r="L435" s="4"/>
      <c r="M435" t="s">
        <v>681</v>
      </c>
      <c r="N435" s="5">
        <v>30806789</v>
      </c>
      <c r="O435" s="5">
        <v>30040</v>
      </c>
      <c r="P435" s="5">
        <v>5708</v>
      </c>
      <c r="Q435" s="5">
        <v>35748</v>
      </c>
    </row>
    <row r="436" spans="1:17" x14ac:dyDescent="0.25">
      <c r="A436" t="s">
        <v>522</v>
      </c>
      <c r="B436" t="s">
        <v>494</v>
      </c>
      <c r="C436">
        <v>76611528</v>
      </c>
      <c r="D436">
        <v>18</v>
      </c>
      <c r="E436" t="s">
        <v>556</v>
      </c>
      <c r="F436" t="s">
        <v>557</v>
      </c>
      <c r="G436" s="1">
        <v>45216</v>
      </c>
      <c r="H436">
        <v>5405466</v>
      </c>
      <c r="I436">
        <v>178</v>
      </c>
      <c r="J436" t="s">
        <v>303</v>
      </c>
      <c r="K436" s="8" t="s">
        <v>742</v>
      </c>
      <c r="L436" s="4"/>
      <c r="M436" t="s">
        <v>681</v>
      </c>
      <c r="N436" s="5">
        <v>30807245</v>
      </c>
      <c r="O436" s="5">
        <v>950784</v>
      </c>
      <c r="P436" s="5">
        <v>180649</v>
      </c>
      <c r="Q436" s="5">
        <v>1131433</v>
      </c>
    </row>
    <row r="437" spans="1:17" x14ac:dyDescent="0.25">
      <c r="A437" t="s">
        <v>522</v>
      </c>
      <c r="B437" t="s">
        <v>494</v>
      </c>
      <c r="C437">
        <v>76611528</v>
      </c>
      <c r="D437">
        <v>18</v>
      </c>
      <c r="E437" t="s">
        <v>571</v>
      </c>
      <c r="F437" t="s">
        <v>557</v>
      </c>
      <c r="G437" s="1">
        <v>45219</v>
      </c>
      <c r="H437">
        <v>5407107</v>
      </c>
      <c r="I437">
        <v>178</v>
      </c>
      <c r="J437" t="s">
        <v>303</v>
      </c>
      <c r="K437" s="8" t="s">
        <v>742</v>
      </c>
      <c r="L437" s="4"/>
      <c r="M437" t="s">
        <v>681</v>
      </c>
      <c r="N437" s="5">
        <v>30779671</v>
      </c>
      <c r="O437" s="5">
        <v>120050</v>
      </c>
      <c r="P437" s="5">
        <v>22810</v>
      </c>
      <c r="Q437" s="5">
        <v>142860</v>
      </c>
    </row>
    <row r="438" spans="1:17" x14ac:dyDescent="0.25">
      <c r="F438" t="s">
        <v>523</v>
      </c>
      <c r="K438" t="s">
        <v>681</v>
      </c>
      <c r="L438" s="4"/>
      <c r="M438" t="s">
        <v>681</v>
      </c>
      <c r="N438" s="5"/>
      <c r="O438" s="5">
        <v>3008432</v>
      </c>
      <c r="P438" s="5">
        <v>571603</v>
      </c>
      <c r="Q438" s="5">
        <v>3580035</v>
      </c>
    </row>
    <row r="439" spans="1:17" x14ac:dyDescent="0.25">
      <c r="A439" t="s">
        <v>496</v>
      </c>
      <c r="B439" t="s">
        <v>494</v>
      </c>
      <c r="C439">
        <v>76662490</v>
      </c>
      <c r="D439">
        <v>26</v>
      </c>
      <c r="E439">
        <v>4502167933</v>
      </c>
      <c r="F439" t="s">
        <v>558</v>
      </c>
      <c r="G439" s="1">
        <v>45206</v>
      </c>
      <c r="H439">
        <v>5399161</v>
      </c>
      <c r="I439">
        <v>132</v>
      </c>
      <c r="J439" t="s">
        <v>416</v>
      </c>
      <c r="K439" s="8" t="s">
        <v>742</v>
      </c>
      <c r="L439" s="4"/>
      <c r="M439" t="s">
        <v>681</v>
      </c>
      <c r="N439" s="5">
        <v>30775152</v>
      </c>
      <c r="O439" s="5">
        <v>654076</v>
      </c>
      <c r="P439" s="5">
        <v>124274</v>
      </c>
      <c r="Q439" s="5">
        <v>778350</v>
      </c>
    </row>
    <row r="440" spans="1:17" x14ac:dyDescent="0.25">
      <c r="A440" t="s">
        <v>496</v>
      </c>
      <c r="B440" t="s">
        <v>494</v>
      </c>
      <c r="C440">
        <v>76662490</v>
      </c>
      <c r="D440">
        <v>26</v>
      </c>
      <c r="E440">
        <v>4502167933</v>
      </c>
      <c r="F440" t="s">
        <v>558</v>
      </c>
      <c r="G440" s="1">
        <v>45227</v>
      </c>
      <c r="H440">
        <v>5409462</v>
      </c>
      <c r="I440">
        <v>132</v>
      </c>
      <c r="J440" t="s">
        <v>416</v>
      </c>
      <c r="K440" s="8" t="s">
        <v>742</v>
      </c>
      <c r="L440" s="4"/>
      <c r="M440" t="s">
        <v>681</v>
      </c>
      <c r="N440" s="5">
        <v>30830512</v>
      </c>
      <c r="O440" s="5">
        <v>208908</v>
      </c>
      <c r="P440" s="5">
        <v>39693</v>
      </c>
      <c r="Q440" s="5">
        <v>248601</v>
      </c>
    </row>
    <row r="441" spans="1:17" x14ac:dyDescent="0.25">
      <c r="A441" t="s">
        <v>496</v>
      </c>
      <c r="B441" t="s">
        <v>494</v>
      </c>
      <c r="C441">
        <v>76662490</v>
      </c>
      <c r="D441">
        <v>26</v>
      </c>
      <c r="E441">
        <v>4502167933</v>
      </c>
      <c r="F441" t="s">
        <v>558</v>
      </c>
      <c r="G441" s="1">
        <v>45227</v>
      </c>
      <c r="H441">
        <v>5409464</v>
      </c>
      <c r="I441">
        <v>132</v>
      </c>
      <c r="J441" t="s">
        <v>416</v>
      </c>
      <c r="K441" s="8" t="s">
        <v>742</v>
      </c>
      <c r="L441" s="4"/>
      <c r="M441" t="s">
        <v>681</v>
      </c>
      <c r="N441" s="5">
        <v>30829586</v>
      </c>
      <c r="O441" s="5">
        <v>127906</v>
      </c>
      <c r="P441" s="5">
        <v>24302</v>
      </c>
      <c r="Q441" s="5">
        <v>152208</v>
      </c>
    </row>
    <row r="442" spans="1:17" x14ac:dyDescent="0.25">
      <c r="A442" t="s">
        <v>496</v>
      </c>
      <c r="B442" t="s">
        <v>494</v>
      </c>
      <c r="C442">
        <v>76662490</v>
      </c>
      <c r="D442">
        <v>26</v>
      </c>
      <c r="E442">
        <v>4502167933</v>
      </c>
      <c r="F442" t="s">
        <v>558</v>
      </c>
      <c r="G442" s="1">
        <v>45227</v>
      </c>
      <c r="H442">
        <v>5409635</v>
      </c>
      <c r="I442">
        <v>132</v>
      </c>
      <c r="J442" t="s">
        <v>416</v>
      </c>
      <c r="K442" s="8" t="s">
        <v>742</v>
      </c>
      <c r="L442" s="4"/>
      <c r="M442" t="s">
        <v>681</v>
      </c>
      <c r="N442" s="5">
        <v>30837441</v>
      </c>
      <c r="O442" s="5">
        <v>213939</v>
      </c>
      <c r="P442" s="5">
        <v>40648</v>
      </c>
      <c r="Q442" s="5">
        <v>254587</v>
      </c>
    </row>
    <row r="443" spans="1:17" x14ac:dyDescent="0.25">
      <c r="F443" t="s">
        <v>498</v>
      </c>
      <c r="K443" t="s">
        <v>681</v>
      </c>
      <c r="L443" s="4"/>
      <c r="M443" t="s">
        <v>681</v>
      </c>
      <c r="N443" s="5"/>
      <c r="O443" s="5">
        <v>1204829</v>
      </c>
      <c r="P443" s="5">
        <v>228917</v>
      </c>
      <c r="Q443" s="5">
        <v>1433746</v>
      </c>
    </row>
    <row r="444" spans="1:17" x14ac:dyDescent="0.25">
      <c r="A444" t="s">
        <v>559</v>
      </c>
      <c r="B444" t="s">
        <v>494</v>
      </c>
      <c r="C444">
        <v>76697790</v>
      </c>
      <c r="D444">
        <v>35</v>
      </c>
      <c r="E444">
        <v>30780771</v>
      </c>
      <c r="F444" t="s">
        <v>560</v>
      </c>
      <c r="G444" s="1">
        <v>45204</v>
      </c>
      <c r="H444">
        <v>5398026</v>
      </c>
      <c r="I444">
        <v>392</v>
      </c>
      <c r="J444" t="s">
        <v>228</v>
      </c>
      <c r="K444" t="s">
        <v>681</v>
      </c>
      <c r="L444" s="4" t="s">
        <v>56</v>
      </c>
      <c r="M444" t="s">
        <v>681</v>
      </c>
      <c r="N444" s="5">
        <v>30780771</v>
      </c>
      <c r="O444" s="5">
        <v>34982</v>
      </c>
      <c r="P444" s="5">
        <v>6647</v>
      </c>
      <c r="Q444" s="5">
        <v>41629</v>
      </c>
    </row>
    <row r="445" spans="1:17" x14ac:dyDescent="0.25">
      <c r="A445" t="s">
        <v>559</v>
      </c>
      <c r="B445" t="s">
        <v>494</v>
      </c>
      <c r="C445">
        <v>76697790</v>
      </c>
      <c r="D445">
        <v>51</v>
      </c>
      <c r="E445">
        <v>30780774</v>
      </c>
      <c r="F445" t="s">
        <v>560</v>
      </c>
      <c r="G445" s="1">
        <v>45204</v>
      </c>
      <c r="H445">
        <v>5398084</v>
      </c>
      <c r="I445">
        <v>392</v>
      </c>
      <c r="J445" t="s">
        <v>228</v>
      </c>
      <c r="K445" t="s">
        <v>681</v>
      </c>
      <c r="L445" s="4" t="s">
        <v>56</v>
      </c>
      <c r="M445" t="s">
        <v>681</v>
      </c>
      <c r="N445" s="5">
        <v>30780774</v>
      </c>
      <c r="O445" s="5">
        <v>34979</v>
      </c>
      <c r="P445" s="5">
        <v>6646</v>
      </c>
      <c r="Q445" s="5">
        <v>41625</v>
      </c>
    </row>
    <row r="446" spans="1:17" x14ac:dyDescent="0.25">
      <c r="A446" t="s">
        <v>559</v>
      </c>
      <c r="B446" t="s">
        <v>494</v>
      </c>
      <c r="C446">
        <v>76697790</v>
      </c>
      <c r="D446">
        <v>50</v>
      </c>
      <c r="E446">
        <v>30780778</v>
      </c>
      <c r="F446" t="s">
        <v>560</v>
      </c>
      <c r="G446" s="1">
        <v>45204</v>
      </c>
      <c r="H446">
        <v>5398099</v>
      </c>
      <c r="I446">
        <v>392</v>
      </c>
      <c r="J446" t="s">
        <v>228</v>
      </c>
      <c r="K446" t="s">
        <v>681</v>
      </c>
      <c r="L446" s="4" t="s">
        <v>56</v>
      </c>
      <c r="M446" t="s">
        <v>681</v>
      </c>
      <c r="N446" s="5">
        <v>30780778</v>
      </c>
      <c r="O446" s="5">
        <v>34343</v>
      </c>
      <c r="P446" s="5">
        <v>6525</v>
      </c>
      <c r="Q446" s="5">
        <v>40868</v>
      </c>
    </row>
    <row r="447" spans="1:17" x14ac:dyDescent="0.25">
      <c r="A447" t="s">
        <v>559</v>
      </c>
      <c r="B447" t="s">
        <v>494</v>
      </c>
      <c r="C447">
        <v>76697790</v>
      </c>
      <c r="D447">
        <v>88</v>
      </c>
      <c r="E447">
        <v>30780779</v>
      </c>
      <c r="F447" t="s">
        <v>560</v>
      </c>
      <c r="G447" s="1">
        <v>45204</v>
      </c>
      <c r="H447">
        <v>5398198</v>
      </c>
      <c r="I447">
        <v>392</v>
      </c>
      <c r="J447" t="s">
        <v>228</v>
      </c>
      <c r="K447" t="s">
        <v>681</v>
      </c>
      <c r="L447" s="4" t="s">
        <v>56</v>
      </c>
      <c r="M447" t="s">
        <v>681</v>
      </c>
      <c r="N447" s="5">
        <v>30780779</v>
      </c>
      <c r="O447" s="5">
        <v>34441</v>
      </c>
      <c r="P447" s="5">
        <v>6544</v>
      </c>
      <c r="Q447" s="5">
        <v>40985</v>
      </c>
    </row>
    <row r="448" spans="1:17" x14ac:dyDescent="0.25">
      <c r="A448" t="s">
        <v>559</v>
      </c>
      <c r="B448" t="s">
        <v>494</v>
      </c>
      <c r="C448">
        <v>76697790</v>
      </c>
      <c r="D448">
        <v>32</v>
      </c>
      <c r="E448">
        <v>30780775</v>
      </c>
      <c r="F448" t="s">
        <v>560</v>
      </c>
      <c r="G448" s="1">
        <v>45204</v>
      </c>
      <c r="H448">
        <v>5398250</v>
      </c>
      <c r="I448">
        <v>392</v>
      </c>
      <c r="J448" t="s">
        <v>228</v>
      </c>
      <c r="K448" t="s">
        <v>681</v>
      </c>
      <c r="L448" s="4" t="s">
        <v>56</v>
      </c>
      <c r="M448" t="s">
        <v>681</v>
      </c>
      <c r="N448" s="5">
        <v>30780775</v>
      </c>
      <c r="O448" s="5">
        <v>35819</v>
      </c>
      <c r="P448" s="5">
        <v>6806</v>
      </c>
      <c r="Q448" s="5">
        <v>42625</v>
      </c>
    </row>
    <row r="449" spans="1:17" x14ac:dyDescent="0.25">
      <c r="A449" t="s">
        <v>559</v>
      </c>
      <c r="B449" t="s">
        <v>494</v>
      </c>
      <c r="C449">
        <v>76697790</v>
      </c>
      <c r="D449">
        <v>66</v>
      </c>
      <c r="E449">
        <v>30780777</v>
      </c>
      <c r="F449" t="s">
        <v>560</v>
      </c>
      <c r="G449" s="1">
        <v>45205</v>
      </c>
      <c r="H449">
        <v>5398528</v>
      </c>
      <c r="I449">
        <v>392</v>
      </c>
      <c r="J449" t="s">
        <v>228</v>
      </c>
      <c r="K449" t="s">
        <v>681</v>
      </c>
      <c r="L449" s="4" t="s">
        <v>56</v>
      </c>
      <c r="M449" t="s">
        <v>681</v>
      </c>
      <c r="N449" s="5">
        <v>30780777</v>
      </c>
      <c r="O449" s="5">
        <v>33840</v>
      </c>
      <c r="P449" s="5">
        <v>6430</v>
      </c>
      <c r="Q449" s="5">
        <v>40270</v>
      </c>
    </row>
    <row r="450" spans="1:17" x14ac:dyDescent="0.25">
      <c r="A450" t="s">
        <v>559</v>
      </c>
      <c r="B450" t="s">
        <v>494</v>
      </c>
      <c r="C450">
        <v>76697790</v>
      </c>
      <c r="D450">
        <v>22</v>
      </c>
      <c r="E450">
        <v>30794894</v>
      </c>
      <c r="F450" t="s">
        <v>560</v>
      </c>
      <c r="G450" s="1">
        <v>45209</v>
      </c>
      <c r="H450">
        <v>5401289</v>
      </c>
      <c r="I450">
        <v>392</v>
      </c>
      <c r="J450" t="s">
        <v>228</v>
      </c>
      <c r="K450" t="s">
        <v>681</v>
      </c>
      <c r="L450" s="4" t="s">
        <v>56</v>
      </c>
      <c r="M450" t="s">
        <v>681</v>
      </c>
      <c r="N450" s="5">
        <v>30794894</v>
      </c>
      <c r="O450" s="5">
        <v>34946</v>
      </c>
      <c r="P450" s="5">
        <v>6640</v>
      </c>
      <c r="Q450" s="5">
        <v>41586</v>
      </c>
    </row>
    <row r="451" spans="1:17" x14ac:dyDescent="0.25">
      <c r="A451" t="s">
        <v>559</v>
      </c>
      <c r="B451" t="s">
        <v>494</v>
      </c>
      <c r="C451">
        <v>76697790</v>
      </c>
      <c r="D451">
        <v>6</v>
      </c>
      <c r="E451">
        <v>30803637</v>
      </c>
      <c r="F451" t="s">
        <v>560</v>
      </c>
      <c r="G451" s="1">
        <v>45212</v>
      </c>
      <c r="H451">
        <v>5403292</v>
      </c>
      <c r="I451">
        <v>392</v>
      </c>
      <c r="J451" t="s">
        <v>228</v>
      </c>
      <c r="K451" t="s">
        <v>681</v>
      </c>
      <c r="L451" s="4" t="s">
        <v>56</v>
      </c>
      <c r="M451" t="s">
        <v>681</v>
      </c>
      <c r="N451" s="5">
        <v>30803637</v>
      </c>
      <c r="O451" s="5">
        <v>35993</v>
      </c>
      <c r="P451" s="5">
        <v>6839</v>
      </c>
      <c r="Q451" s="5">
        <v>42832</v>
      </c>
    </row>
    <row r="452" spans="1:17" x14ac:dyDescent="0.25">
      <c r="A452" t="s">
        <v>559</v>
      </c>
      <c r="B452" t="s">
        <v>494</v>
      </c>
      <c r="C452">
        <v>76697790</v>
      </c>
      <c r="D452">
        <v>23</v>
      </c>
      <c r="E452">
        <v>30803626</v>
      </c>
      <c r="F452" t="s">
        <v>560</v>
      </c>
      <c r="G452" s="1">
        <v>45212</v>
      </c>
      <c r="H452">
        <v>5403394</v>
      </c>
      <c r="I452">
        <v>392</v>
      </c>
      <c r="J452" t="s">
        <v>228</v>
      </c>
      <c r="K452" t="s">
        <v>681</v>
      </c>
      <c r="L452" s="4" t="s">
        <v>56</v>
      </c>
      <c r="M452" t="s">
        <v>681</v>
      </c>
      <c r="N452" s="5">
        <v>30803626</v>
      </c>
      <c r="O452" s="5">
        <v>46225</v>
      </c>
      <c r="P452" s="5">
        <v>8783</v>
      </c>
      <c r="Q452" s="5">
        <v>55008</v>
      </c>
    </row>
    <row r="453" spans="1:17" x14ac:dyDescent="0.25">
      <c r="A453" t="s">
        <v>559</v>
      </c>
      <c r="B453" t="s">
        <v>494</v>
      </c>
      <c r="C453">
        <v>76697790</v>
      </c>
      <c r="D453">
        <v>89</v>
      </c>
      <c r="E453">
        <v>30803608</v>
      </c>
      <c r="F453" t="s">
        <v>560</v>
      </c>
      <c r="G453" s="1">
        <v>45212</v>
      </c>
      <c r="H453">
        <v>5403404</v>
      </c>
      <c r="I453">
        <v>392</v>
      </c>
      <c r="J453" t="s">
        <v>228</v>
      </c>
      <c r="K453" t="s">
        <v>681</v>
      </c>
      <c r="L453" s="4" t="s">
        <v>56</v>
      </c>
      <c r="M453" t="s">
        <v>681</v>
      </c>
      <c r="N453" s="5">
        <v>30803608</v>
      </c>
      <c r="O453" s="5">
        <v>29836</v>
      </c>
      <c r="P453" s="5">
        <v>5669</v>
      </c>
      <c r="Q453" s="5">
        <v>35505</v>
      </c>
    </row>
    <row r="454" spans="1:17" x14ac:dyDescent="0.25">
      <c r="A454" t="s">
        <v>559</v>
      </c>
      <c r="B454" t="s">
        <v>494</v>
      </c>
      <c r="C454">
        <v>76697790</v>
      </c>
      <c r="D454">
        <v>4</v>
      </c>
      <c r="E454">
        <v>30803620</v>
      </c>
      <c r="F454" t="s">
        <v>560</v>
      </c>
      <c r="G454" s="1">
        <v>45212</v>
      </c>
      <c r="H454">
        <v>5403493</v>
      </c>
      <c r="I454">
        <v>392</v>
      </c>
      <c r="J454" t="s">
        <v>228</v>
      </c>
      <c r="K454" t="s">
        <v>681</v>
      </c>
      <c r="L454" s="4" t="s">
        <v>56</v>
      </c>
      <c r="M454" t="s">
        <v>681</v>
      </c>
      <c r="N454" s="5">
        <v>30803620</v>
      </c>
      <c r="O454" s="5">
        <v>35927</v>
      </c>
      <c r="P454" s="5">
        <v>6826</v>
      </c>
      <c r="Q454" s="5">
        <v>42753</v>
      </c>
    </row>
    <row r="455" spans="1:17" x14ac:dyDescent="0.25">
      <c r="A455" t="s">
        <v>559</v>
      </c>
      <c r="B455" t="s">
        <v>494</v>
      </c>
      <c r="C455">
        <v>76697790</v>
      </c>
      <c r="D455">
        <v>42</v>
      </c>
      <c r="E455">
        <v>30794902</v>
      </c>
      <c r="F455" t="s">
        <v>560</v>
      </c>
      <c r="G455" s="1">
        <v>45212</v>
      </c>
      <c r="H455">
        <v>5403573</v>
      </c>
      <c r="I455">
        <v>392</v>
      </c>
      <c r="J455" t="s">
        <v>228</v>
      </c>
      <c r="K455" t="s">
        <v>681</v>
      </c>
      <c r="L455" s="4" t="s">
        <v>56</v>
      </c>
      <c r="M455" t="s">
        <v>681</v>
      </c>
      <c r="N455" s="5">
        <v>30794902</v>
      </c>
      <c r="O455" s="5">
        <v>35257</v>
      </c>
      <c r="P455" s="5">
        <v>6699</v>
      </c>
      <c r="Q455" s="5">
        <v>41956</v>
      </c>
    </row>
    <row r="456" spans="1:17" x14ac:dyDescent="0.25">
      <c r="A456" t="s">
        <v>559</v>
      </c>
      <c r="B456" t="s">
        <v>494</v>
      </c>
      <c r="C456">
        <v>76697790</v>
      </c>
      <c r="D456">
        <v>33</v>
      </c>
      <c r="E456">
        <v>30803589</v>
      </c>
      <c r="F456" t="s">
        <v>560</v>
      </c>
      <c r="G456" s="1">
        <v>45212</v>
      </c>
      <c r="H456">
        <v>5403623</v>
      </c>
      <c r="I456">
        <v>392</v>
      </c>
      <c r="J456" t="s">
        <v>228</v>
      </c>
      <c r="K456" t="s">
        <v>681</v>
      </c>
      <c r="L456" s="4" t="s">
        <v>56</v>
      </c>
      <c r="M456" t="s">
        <v>681</v>
      </c>
      <c r="N456" s="5">
        <v>30803589</v>
      </c>
      <c r="O456" s="5">
        <v>33082</v>
      </c>
      <c r="P456" s="5">
        <v>6286</v>
      </c>
      <c r="Q456" s="5">
        <v>39368</v>
      </c>
    </row>
    <row r="457" spans="1:17" x14ac:dyDescent="0.25">
      <c r="A457" t="s">
        <v>559</v>
      </c>
      <c r="B457" t="s">
        <v>494</v>
      </c>
      <c r="C457">
        <v>76697790</v>
      </c>
      <c r="D457">
        <v>63</v>
      </c>
      <c r="E457">
        <v>30803579</v>
      </c>
      <c r="F457" t="s">
        <v>560</v>
      </c>
      <c r="G457" s="1">
        <v>45215</v>
      </c>
      <c r="H457">
        <v>5404352</v>
      </c>
      <c r="I457">
        <v>392</v>
      </c>
      <c r="J457" t="s">
        <v>228</v>
      </c>
      <c r="K457" t="s">
        <v>681</v>
      </c>
      <c r="L457" s="4" t="s">
        <v>56</v>
      </c>
      <c r="M457" t="s">
        <v>681</v>
      </c>
      <c r="N457" s="5">
        <v>30803579</v>
      </c>
      <c r="O457" s="5">
        <v>34871</v>
      </c>
      <c r="P457" s="5">
        <v>6625</v>
      </c>
      <c r="Q457" s="5">
        <v>41496</v>
      </c>
    </row>
    <row r="458" spans="1:17" x14ac:dyDescent="0.25">
      <c r="A458" t="s">
        <v>559</v>
      </c>
      <c r="B458" t="s">
        <v>494</v>
      </c>
      <c r="C458">
        <v>76697790</v>
      </c>
      <c r="D458">
        <v>0</v>
      </c>
      <c r="E458">
        <v>30812441</v>
      </c>
      <c r="F458" t="s">
        <v>560</v>
      </c>
      <c r="G458" s="1">
        <v>45216</v>
      </c>
      <c r="H458">
        <v>5405528</v>
      </c>
      <c r="I458">
        <v>392</v>
      </c>
      <c r="J458" t="s">
        <v>228</v>
      </c>
      <c r="K458" t="s">
        <v>681</v>
      </c>
      <c r="L458" s="4" t="s">
        <v>56</v>
      </c>
      <c r="M458" t="s">
        <v>681</v>
      </c>
      <c r="N458" s="5">
        <v>30812441</v>
      </c>
      <c r="O458" s="5">
        <v>175766</v>
      </c>
      <c r="P458" s="5">
        <v>33396</v>
      </c>
      <c r="Q458" s="5">
        <v>209162</v>
      </c>
    </row>
    <row r="459" spans="1:17" x14ac:dyDescent="0.25">
      <c r="A459" t="s">
        <v>559</v>
      </c>
      <c r="B459" t="s">
        <v>494</v>
      </c>
      <c r="C459">
        <v>76697790</v>
      </c>
      <c r="D459">
        <v>15</v>
      </c>
      <c r="E459">
        <v>30813062</v>
      </c>
      <c r="F459" t="s">
        <v>560</v>
      </c>
      <c r="G459" s="1">
        <v>45216</v>
      </c>
      <c r="H459">
        <v>5405664</v>
      </c>
      <c r="I459">
        <v>392</v>
      </c>
      <c r="J459" t="s">
        <v>228</v>
      </c>
      <c r="K459" t="s">
        <v>681</v>
      </c>
      <c r="L459" s="4" t="s">
        <v>56</v>
      </c>
      <c r="M459" t="s">
        <v>681</v>
      </c>
      <c r="N459" s="5">
        <v>30813062</v>
      </c>
      <c r="O459" s="5">
        <v>35274</v>
      </c>
      <c r="P459" s="5">
        <v>6702</v>
      </c>
      <c r="Q459" s="5">
        <v>41976</v>
      </c>
    </row>
    <row r="460" spans="1:17" x14ac:dyDescent="0.25">
      <c r="A460" t="s">
        <v>559</v>
      </c>
      <c r="B460" t="s">
        <v>494</v>
      </c>
      <c r="C460">
        <v>76697790</v>
      </c>
      <c r="D460">
        <v>47</v>
      </c>
      <c r="E460">
        <v>30812307</v>
      </c>
      <c r="F460" t="s">
        <v>560</v>
      </c>
      <c r="G460" s="1">
        <v>45217</v>
      </c>
      <c r="H460">
        <v>5405861</v>
      </c>
      <c r="I460">
        <v>392</v>
      </c>
      <c r="J460" t="s">
        <v>228</v>
      </c>
      <c r="K460" t="s">
        <v>681</v>
      </c>
      <c r="L460" s="4" t="s">
        <v>56</v>
      </c>
      <c r="M460" t="s">
        <v>681</v>
      </c>
      <c r="N460" s="5">
        <v>30812307</v>
      </c>
      <c r="O460" s="5">
        <v>34982</v>
      </c>
      <c r="P460" s="5">
        <v>6647</v>
      </c>
      <c r="Q460" s="5">
        <v>41629</v>
      </c>
    </row>
    <row r="461" spans="1:17" x14ac:dyDescent="0.25">
      <c r="A461" t="s">
        <v>559</v>
      </c>
      <c r="B461" t="s">
        <v>494</v>
      </c>
      <c r="C461">
        <v>76697790</v>
      </c>
      <c r="D461">
        <v>26</v>
      </c>
      <c r="E461">
        <v>30812322</v>
      </c>
      <c r="F461" t="s">
        <v>560</v>
      </c>
      <c r="G461" s="1">
        <v>45217</v>
      </c>
      <c r="H461">
        <v>5405866</v>
      </c>
      <c r="I461">
        <v>392</v>
      </c>
      <c r="J461" t="s">
        <v>228</v>
      </c>
      <c r="K461" t="s">
        <v>681</v>
      </c>
      <c r="L461" s="4" t="s">
        <v>56</v>
      </c>
      <c r="M461" t="s">
        <v>681</v>
      </c>
      <c r="N461" s="5">
        <v>30812322</v>
      </c>
      <c r="O461" s="5">
        <v>34924</v>
      </c>
      <c r="P461" s="5">
        <v>6636</v>
      </c>
      <c r="Q461" s="5">
        <v>41560</v>
      </c>
    </row>
    <row r="462" spans="1:17" x14ac:dyDescent="0.25">
      <c r="A462" t="s">
        <v>559</v>
      </c>
      <c r="B462" t="s">
        <v>494</v>
      </c>
      <c r="C462">
        <v>76697790</v>
      </c>
      <c r="D462">
        <v>34</v>
      </c>
      <c r="E462">
        <v>30812314</v>
      </c>
      <c r="F462" t="s">
        <v>560</v>
      </c>
      <c r="G462" s="1">
        <v>45217</v>
      </c>
      <c r="H462">
        <v>5406121</v>
      </c>
      <c r="I462">
        <v>392</v>
      </c>
      <c r="J462" t="s">
        <v>228</v>
      </c>
      <c r="K462" t="s">
        <v>681</v>
      </c>
      <c r="L462" s="4" t="s">
        <v>56</v>
      </c>
      <c r="M462" t="s">
        <v>681</v>
      </c>
      <c r="N462" s="5">
        <v>30812314</v>
      </c>
      <c r="O462" s="5">
        <v>34918</v>
      </c>
      <c r="P462" s="5">
        <v>6634</v>
      </c>
      <c r="Q462" s="5">
        <v>41552</v>
      </c>
    </row>
    <row r="463" spans="1:17" x14ac:dyDescent="0.25">
      <c r="A463" t="s">
        <v>559</v>
      </c>
      <c r="B463" t="s">
        <v>494</v>
      </c>
      <c r="C463">
        <v>76697790</v>
      </c>
      <c r="D463">
        <v>87</v>
      </c>
      <c r="E463">
        <v>30820722</v>
      </c>
      <c r="F463" t="s">
        <v>560</v>
      </c>
      <c r="G463" s="1">
        <v>45218</v>
      </c>
      <c r="H463">
        <v>5406705</v>
      </c>
      <c r="I463">
        <v>392</v>
      </c>
      <c r="J463" t="s">
        <v>228</v>
      </c>
      <c r="K463" t="s">
        <v>681</v>
      </c>
      <c r="L463" s="4" t="s">
        <v>56</v>
      </c>
      <c r="M463" t="s">
        <v>681</v>
      </c>
      <c r="N463" s="5">
        <v>30820722</v>
      </c>
      <c r="O463" s="5">
        <v>34991</v>
      </c>
      <c r="P463" s="5">
        <v>6648</v>
      </c>
      <c r="Q463" s="5">
        <v>41639</v>
      </c>
    </row>
    <row r="464" spans="1:17" x14ac:dyDescent="0.25">
      <c r="A464" t="s">
        <v>559</v>
      </c>
      <c r="B464" t="s">
        <v>494</v>
      </c>
      <c r="C464">
        <v>76697790</v>
      </c>
      <c r="D464">
        <v>78</v>
      </c>
      <c r="E464">
        <v>30820713</v>
      </c>
      <c r="F464" t="s">
        <v>560</v>
      </c>
      <c r="G464" s="1">
        <v>45218</v>
      </c>
      <c r="H464">
        <v>5406739</v>
      </c>
      <c r="I464">
        <v>392</v>
      </c>
      <c r="J464" t="s">
        <v>228</v>
      </c>
      <c r="K464" t="s">
        <v>681</v>
      </c>
      <c r="L464" s="4" t="s">
        <v>56</v>
      </c>
      <c r="M464" t="s">
        <v>681</v>
      </c>
      <c r="N464" s="5">
        <v>30820713</v>
      </c>
      <c r="O464" s="5">
        <v>199977</v>
      </c>
      <c r="P464" s="5">
        <v>37996</v>
      </c>
      <c r="Q464" s="5">
        <v>237973</v>
      </c>
    </row>
    <row r="465" spans="1:17" x14ac:dyDescent="0.25">
      <c r="A465" t="s">
        <v>559</v>
      </c>
      <c r="B465" t="s">
        <v>494</v>
      </c>
      <c r="C465">
        <v>76697790</v>
      </c>
      <c r="D465">
        <v>0</v>
      </c>
      <c r="E465">
        <v>30823366</v>
      </c>
      <c r="F465" t="s">
        <v>560</v>
      </c>
      <c r="G465" s="1">
        <v>45219</v>
      </c>
      <c r="H465">
        <v>5406977</v>
      </c>
      <c r="I465">
        <v>392</v>
      </c>
      <c r="J465" t="s">
        <v>228</v>
      </c>
      <c r="K465" t="s">
        <v>681</v>
      </c>
      <c r="L465" s="4" t="s">
        <v>56</v>
      </c>
      <c r="M465" t="s">
        <v>681</v>
      </c>
      <c r="N465" s="5">
        <v>30823366</v>
      </c>
      <c r="O465" s="5">
        <v>70614</v>
      </c>
      <c r="P465" s="5">
        <v>13417</v>
      </c>
      <c r="Q465" s="5">
        <v>84031</v>
      </c>
    </row>
    <row r="466" spans="1:17" x14ac:dyDescent="0.25">
      <c r="A466" t="s">
        <v>559</v>
      </c>
      <c r="B466" t="s">
        <v>494</v>
      </c>
      <c r="C466">
        <v>76697790</v>
      </c>
      <c r="D466">
        <v>37</v>
      </c>
      <c r="E466">
        <v>30812346</v>
      </c>
      <c r="F466" t="s">
        <v>560</v>
      </c>
      <c r="G466" s="1">
        <v>45220</v>
      </c>
      <c r="H466">
        <v>5407271</v>
      </c>
      <c r="I466">
        <v>392</v>
      </c>
      <c r="J466" t="s">
        <v>228</v>
      </c>
      <c r="K466" t="s">
        <v>681</v>
      </c>
      <c r="L466" s="4" t="s">
        <v>56</v>
      </c>
      <c r="M466" t="s">
        <v>681</v>
      </c>
      <c r="N466" s="5">
        <v>30812346</v>
      </c>
      <c r="O466" s="5">
        <v>29144</v>
      </c>
      <c r="P466" s="5">
        <v>5537</v>
      </c>
      <c r="Q466" s="5">
        <v>34681</v>
      </c>
    </row>
    <row r="467" spans="1:17" x14ac:dyDescent="0.25">
      <c r="A467" t="s">
        <v>559</v>
      </c>
      <c r="B467" t="s">
        <v>494</v>
      </c>
      <c r="C467">
        <v>76697790</v>
      </c>
      <c r="D467">
        <v>43</v>
      </c>
      <c r="E467">
        <v>30820717</v>
      </c>
      <c r="F467" t="s">
        <v>560</v>
      </c>
      <c r="G467" s="1">
        <v>45221</v>
      </c>
      <c r="H467">
        <v>5407309</v>
      </c>
      <c r="I467">
        <v>392</v>
      </c>
      <c r="J467" t="s">
        <v>228</v>
      </c>
      <c r="K467" t="s">
        <v>681</v>
      </c>
      <c r="L467" s="4" t="s">
        <v>56</v>
      </c>
      <c r="M467" t="s">
        <v>681</v>
      </c>
      <c r="N467" s="5">
        <v>30820717</v>
      </c>
      <c r="O467" s="5">
        <v>34956</v>
      </c>
      <c r="P467" s="5">
        <v>6642</v>
      </c>
      <c r="Q467" s="5">
        <v>41598</v>
      </c>
    </row>
    <row r="468" spans="1:17" x14ac:dyDescent="0.25">
      <c r="A468" t="s">
        <v>559</v>
      </c>
      <c r="B468" t="s">
        <v>494</v>
      </c>
      <c r="C468">
        <v>76697790</v>
      </c>
      <c r="D468">
        <v>80</v>
      </c>
      <c r="E468">
        <v>30820732</v>
      </c>
      <c r="F468" t="s">
        <v>560</v>
      </c>
      <c r="G468" s="1">
        <v>45219</v>
      </c>
      <c r="H468">
        <v>5407463</v>
      </c>
      <c r="I468">
        <v>392</v>
      </c>
      <c r="J468" t="s">
        <v>228</v>
      </c>
      <c r="K468" t="s">
        <v>681</v>
      </c>
      <c r="L468" s="4" t="s">
        <v>56</v>
      </c>
      <c r="M468" t="s">
        <v>681</v>
      </c>
      <c r="N468" s="5">
        <v>30820732</v>
      </c>
      <c r="O468" s="5">
        <v>34937</v>
      </c>
      <c r="P468" s="5">
        <v>6638</v>
      </c>
      <c r="Q468" s="5">
        <v>41575</v>
      </c>
    </row>
    <row r="469" spans="1:17" x14ac:dyDescent="0.25">
      <c r="A469" t="s">
        <v>559</v>
      </c>
      <c r="B469" t="s">
        <v>494</v>
      </c>
      <c r="C469">
        <v>76697790</v>
      </c>
      <c r="D469">
        <v>0</v>
      </c>
      <c r="E469">
        <v>30827391</v>
      </c>
      <c r="F469" t="s">
        <v>560</v>
      </c>
      <c r="G469" s="1">
        <v>45222</v>
      </c>
      <c r="H469">
        <v>5408056</v>
      </c>
      <c r="I469">
        <v>392</v>
      </c>
      <c r="J469" t="s">
        <v>228</v>
      </c>
      <c r="K469" t="s">
        <v>681</v>
      </c>
      <c r="L469" s="4" t="s">
        <v>56</v>
      </c>
      <c r="M469" t="s">
        <v>681</v>
      </c>
      <c r="N469" s="5">
        <v>30827391</v>
      </c>
      <c r="O469" s="5">
        <v>29134</v>
      </c>
      <c r="P469" s="5">
        <v>5535</v>
      </c>
      <c r="Q469" s="5">
        <v>34669</v>
      </c>
    </row>
    <row r="470" spans="1:17" x14ac:dyDescent="0.25">
      <c r="A470" t="s">
        <v>559</v>
      </c>
      <c r="B470" t="s">
        <v>494</v>
      </c>
      <c r="C470">
        <v>76697790</v>
      </c>
      <c r="D470">
        <v>0</v>
      </c>
      <c r="E470">
        <v>30844543</v>
      </c>
      <c r="F470" t="s">
        <v>560</v>
      </c>
      <c r="G470" s="1">
        <v>45230</v>
      </c>
      <c r="H470">
        <v>5410447</v>
      </c>
      <c r="I470">
        <v>392</v>
      </c>
      <c r="J470" t="s">
        <v>228</v>
      </c>
      <c r="K470" t="s">
        <v>681</v>
      </c>
      <c r="L470" s="4" t="s">
        <v>56</v>
      </c>
      <c r="M470" t="s">
        <v>681</v>
      </c>
      <c r="N470" s="5">
        <v>30844543</v>
      </c>
      <c r="O470" s="5">
        <v>45572</v>
      </c>
      <c r="P470" s="5">
        <v>8659</v>
      </c>
      <c r="Q470" s="5">
        <v>54231</v>
      </c>
    </row>
    <row r="471" spans="1:17" x14ac:dyDescent="0.25">
      <c r="F471" t="s">
        <v>532</v>
      </c>
      <c r="K471" t="s">
        <v>681</v>
      </c>
      <c r="L471" s="4"/>
      <c r="M471" t="s">
        <v>681</v>
      </c>
      <c r="N471" s="5"/>
      <c r="O471" s="5">
        <v>1289730</v>
      </c>
      <c r="P471" s="5">
        <v>245052</v>
      </c>
      <c r="Q471" s="5">
        <v>1534782</v>
      </c>
    </row>
    <row r="472" spans="1:17" x14ac:dyDescent="0.25">
      <c r="A472" t="s">
        <v>698</v>
      </c>
      <c r="B472" t="s">
        <v>494</v>
      </c>
      <c r="C472">
        <v>76708710</v>
      </c>
      <c r="D472">
        <v>0</v>
      </c>
      <c r="E472">
        <v>4500060138</v>
      </c>
      <c r="F472" t="s">
        <v>776</v>
      </c>
      <c r="G472" s="1">
        <v>45218</v>
      </c>
      <c r="H472">
        <v>5402206</v>
      </c>
      <c r="I472">
        <v>44</v>
      </c>
      <c r="J472" t="s">
        <v>148</v>
      </c>
      <c r="K472" s="8" t="s">
        <v>742</v>
      </c>
      <c r="L472" s="4"/>
      <c r="M472" t="s">
        <v>681</v>
      </c>
      <c r="N472" s="5">
        <v>30823216</v>
      </c>
      <c r="O472" s="5">
        <v>749544</v>
      </c>
      <c r="P472" s="5">
        <v>142413</v>
      </c>
      <c r="Q472" s="5">
        <v>891957</v>
      </c>
    </row>
    <row r="473" spans="1:17" x14ac:dyDescent="0.25">
      <c r="F473" t="s">
        <v>495</v>
      </c>
      <c r="K473" t="s">
        <v>681</v>
      </c>
      <c r="L473" s="4"/>
      <c r="M473" t="s">
        <v>681</v>
      </c>
      <c r="N473" s="5"/>
      <c r="O473" s="5">
        <v>749544</v>
      </c>
      <c r="P473" s="5">
        <v>142413</v>
      </c>
      <c r="Q473" s="5">
        <v>891957</v>
      </c>
    </row>
    <row r="474" spans="1:17" x14ac:dyDescent="0.25">
      <c r="A474" t="s">
        <v>522</v>
      </c>
      <c r="B474" t="s">
        <v>494</v>
      </c>
      <c r="C474">
        <v>76729932</v>
      </c>
      <c r="D474">
        <v>2</v>
      </c>
      <c r="E474">
        <v>80064433</v>
      </c>
      <c r="F474" t="s">
        <v>561</v>
      </c>
      <c r="G474" s="1">
        <v>45206</v>
      </c>
      <c r="H474">
        <v>5400694</v>
      </c>
      <c r="I474">
        <v>71</v>
      </c>
      <c r="J474" t="s">
        <v>250</v>
      </c>
      <c r="K474" s="8" t="s">
        <v>742</v>
      </c>
      <c r="L474" s="4" t="s">
        <v>6</v>
      </c>
      <c r="M474" t="s">
        <v>681</v>
      </c>
      <c r="N474" s="5">
        <v>30779204</v>
      </c>
      <c r="O474" s="5">
        <v>596269</v>
      </c>
      <c r="P474" s="5">
        <v>113291</v>
      </c>
      <c r="Q474" s="5">
        <v>709560</v>
      </c>
    </row>
    <row r="475" spans="1:17" x14ac:dyDescent="0.25">
      <c r="A475" t="s">
        <v>522</v>
      </c>
      <c r="B475" t="s">
        <v>494</v>
      </c>
      <c r="C475">
        <v>76729932</v>
      </c>
      <c r="D475">
        <v>4</v>
      </c>
      <c r="E475">
        <v>80064477</v>
      </c>
      <c r="F475" t="s">
        <v>561</v>
      </c>
      <c r="G475" s="1">
        <v>45217</v>
      </c>
      <c r="H475">
        <v>5406315</v>
      </c>
      <c r="I475">
        <v>71</v>
      </c>
      <c r="J475" t="s">
        <v>250</v>
      </c>
      <c r="K475" s="8" t="s">
        <v>742</v>
      </c>
      <c r="L475" s="4" t="s">
        <v>6</v>
      </c>
      <c r="M475" t="s">
        <v>681</v>
      </c>
      <c r="N475" s="5">
        <v>30816632</v>
      </c>
      <c r="O475" s="5">
        <v>497955</v>
      </c>
      <c r="P475" s="5">
        <v>94611</v>
      </c>
      <c r="Q475" s="5">
        <v>592566</v>
      </c>
    </row>
    <row r="476" spans="1:17" x14ac:dyDescent="0.25">
      <c r="A476" t="s">
        <v>522</v>
      </c>
      <c r="B476" t="s">
        <v>494</v>
      </c>
      <c r="C476">
        <v>76729932</v>
      </c>
      <c r="D476">
        <v>4</v>
      </c>
      <c r="E476">
        <v>80064491</v>
      </c>
      <c r="F476" t="s">
        <v>561</v>
      </c>
      <c r="G476" s="1">
        <v>45218</v>
      </c>
      <c r="H476">
        <v>5406579</v>
      </c>
      <c r="I476">
        <v>71</v>
      </c>
      <c r="J476" t="s">
        <v>250</v>
      </c>
      <c r="K476" s="8" t="s">
        <v>742</v>
      </c>
      <c r="L476" s="4" t="s">
        <v>6</v>
      </c>
      <c r="M476" t="s">
        <v>681</v>
      </c>
      <c r="N476" s="5">
        <v>30817205</v>
      </c>
      <c r="O476" s="5">
        <v>62823</v>
      </c>
      <c r="P476" s="5">
        <v>11936</v>
      </c>
      <c r="Q476" s="5">
        <v>74759</v>
      </c>
    </row>
    <row r="477" spans="1:17" x14ac:dyDescent="0.25">
      <c r="A477" t="s">
        <v>522</v>
      </c>
      <c r="B477" t="s">
        <v>494</v>
      </c>
      <c r="C477">
        <v>76729932</v>
      </c>
      <c r="D477">
        <v>4</v>
      </c>
      <c r="E477">
        <v>80064475</v>
      </c>
      <c r="F477" t="s">
        <v>561</v>
      </c>
      <c r="G477" s="1">
        <v>45218</v>
      </c>
      <c r="H477">
        <v>5406716</v>
      </c>
      <c r="I477">
        <v>71</v>
      </c>
      <c r="J477" t="s">
        <v>250</v>
      </c>
      <c r="K477" s="8" t="s">
        <v>742</v>
      </c>
      <c r="L477" s="4" t="s">
        <v>6</v>
      </c>
      <c r="M477" t="s">
        <v>681</v>
      </c>
      <c r="N477" s="5">
        <v>30821220</v>
      </c>
      <c r="O477" s="5">
        <v>25068</v>
      </c>
      <c r="P477" s="5">
        <v>4763</v>
      </c>
      <c r="Q477" s="5">
        <v>29831</v>
      </c>
    </row>
    <row r="478" spans="1:17" x14ac:dyDescent="0.25">
      <c r="A478" t="s">
        <v>522</v>
      </c>
      <c r="B478" t="s">
        <v>494</v>
      </c>
      <c r="C478">
        <v>76729932</v>
      </c>
      <c r="D478">
        <v>4</v>
      </c>
      <c r="E478">
        <v>80064476</v>
      </c>
      <c r="F478" t="s">
        <v>561</v>
      </c>
      <c r="G478" s="1">
        <v>45218</v>
      </c>
      <c r="H478">
        <v>5406774</v>
      </c>
      <c r="I478">
        <v>71</v>
      </c>
      <c r="J478" t="s">
        <v>250</v>
      </c>
      <c r="K478" s="8" t="s">
        <v>742</v>
      </c>
      <c r="L478" s="4" t="s">
        <v>6</v>
      </c>
      <c r="M478" t="s">
        <v>681</v>
      </c>
      <c r="N478" s="5">
        <v>30821179</v>
      </c>
      <c r="O478" s="5">
        <v>96827</v>
      </c>
      <c r="P478" s="5">
        <v>18397</v>
      </c>
      <c r="Q478" s="5">
        <v>115224</v>
      </c>
    </row>
    <row r="479" spans="1:17" x14ac:dyDescent="0.25">
      <c r="F479" t="s">
        <v>499</v>
      </c>
      <c r="K479" t="s">
        <v>681</v>
      </c>
      <c r="L479" s="4"/>
      <c r="M479" t="s">
        <v>681</v>
      </c>
      <c r="N479" s="5"/>
      <c r="O479" s="5">
        <v>1278942</v>
      </c>
      <c r="P479" s="5">
        <v>242998</v>
      </c>
      <c r="Q479" s="5">
        <v>1521940</v>
      </c>
    </row>
    <row r="480" spans="1:17" x14ac:dyDescent="0.25">
      <c r="A480" t="s">
        <v>562</v>
      </c>
      <c r="B480" t="s">
        <v>494</v>
      </c>
      <c r="C480">
        <v>76775710</v>
      </c>
      <c r="D480">
        <v>1</v>
      </c>
      <c r="E480">
        <v>30762067</v>
      </c>
      <c r="F480" t="s">
        <v>563</v>
      </c>
      <c r="G480" s="1">
        <v>45200</v>
      </c>
      <c r="H480">
        <v>5394565</v>
      </c>
      <c r="I480">
        <v>115</v>
      </c>
      <c r="J480" t="s">
        <v>109</v>
      </c>
      <c r="K480" s="7" t="s">
        <v>743</v>
      </c>
      <c r="L480" s="4" t="s">
        <v>58</v>
      </c>
      <c r="M480">
        <v>1000158418</v>
      </c>
      <c r="N480" s="5">
        <v>30762067</v>
      </c>
      <c r="O480" s="5">
        <v>686408</v>
      </c>
      <c r="P480" s="5">
        <v>130418</v>
      </c>
      <c r="Q480" s="5">
        <v>819184</v>
      </c>
    </row>
    <row r="481" spans="1:17" x14ac:dyDescent="0.25">
      <c r="A481" t="s">
        <v>562</v>
      </c>
      <c r="B481" t="s">
        <v>494</v>
      </c>
      <c r="C481">
        <v>76775710</v>
      </c>
      <c r="D481">
        <v>1</v>
      </c>
      <c r="E481">
        <v>30804240</v>
      </c>
      <c r="F481" t="s">
        <v>563</v>
      </c>
      <c r="G481" s="1">
        <v>45213</v>
      </c>
      <c r="H481">
        <v>5403957</v>
      </c>
      <c r="I481">
        <v>115</v>
      </c>
      <c r="J481" t="s">
        <v>109</v>
      </c>
      <c r="K481" s="7" t="s">
        <v>743</v>
      </c>
      <c r="L481" s="4" t="s">
        <v>58</v>
      </c>
      <c r="M481">
        <v>1000158417</v>
      </c>
      <c r="N481" s="5">
        <v>30804240</v>
      </c>
      <c r="O481" s="5">
        <v>847567</v>
      </c>
      <c r="P481" s="5">
        <v>161038</v>
      </c>
      <c r="Q481" s="5">
        <v>1008605</v>
      </c>
    </row>
    <row r="482" spans="1:17" x14ac:dyDescent="0.25">
      <c r="A482" t="s">
        <v>562</v>
      </c>
      <c r="B482" t="s">
        <v>494</v>
      </c>
      <c r="C482">
        <v>76775710</v>
      </c>
      <c r="D482">
        <v>1</v>
      </c>
      <c r="E482">
        <v>30823932</v>
      </c>
      <c r="F482" t="s">
        <v>563</v>
      </c>
      <c r="G482" s="1">
        <v>45220</v>
      </c>
      <c r="H482">
        <v>5407207</v>
      </c>
      <c r="I482">
        <v>115</v>
      </c>
      <c r="J482" t="s">
        <v>109</v>
      </c>
      <c r="K482" s="7" t="s">
        <v>743</v>
      </c>
      <c r="L482" s="4" t="s">
        <v>58</v>
      </c>
      <c r="M482">
        <v>1000158979</v>
      </c>
      <c r="N482" s="5">
        <v>30823932</v>
      </c>
      <c r="O482" s="5">
        <v>428990</v>
      </c>
      <c r="P482" s="5">
        <v>81508</v>
      </c>
      <c r="Q482" s="5">
        <v>512859</v>
      </c>
    </row>
    <row r="483" spans="1:17" x14ac:dyDescent="0.25">
      <c r="A483" t="s">
        <v>562</v>
      </c>
      <c r="B483" t="s">
        <v>494</v>
      </c>
      <c r="C483">
        <v>76775710</v>
      </c>
      <c r="D483">
        <v>1</v>
      </c>
      <c r="E483">
        <v>30830853</v>
      </c>
      <c r="F483" t="s">
        <v>563</v>
      </c>
      <c r="G483" s="1">
        <v>45227</v>
      </c>
      <c r="H483">
        <v>5409733</v>
      </c>
      <c r="I483">
        <v>115</v>
      </c>
      <c r="J483" t="s">
        <v>109</v>
      </c>
      <c r="K483" s="8" t="s">
        <v>742</v>
      </c>
      <c r="L483" s="4" t="s">
        <v>58</v>
      </c>
      <c r="M483" t="s">
        <v>681</v>
      </c>
      <c r="N483" s="5">
        <v>30830853</v>
      </c>
      <c r="O483" s="5">
        <v>143910</v>
      </c>
      <c r="P483" s="5">
        <v>27343</v>
      </c>
      <c r="Q483" s="5">
        <v>171253</v>
      </c>
    </row>
    <row r="484" spans="1:17" x14ac:dyDescent="0.25">
      <c r="A484" t="s">
        <v>562</v>
      </c>
      <c r="B484" t="s">
        <v>494</v>
      </c>
      <c r="C484">
        <v>76775710</v>
      </c>
      <c r="D484">
        <v>1</v>
      </c>
      <c r="E484">
        <v>30835965</v>
      </c>
      <c r="F484" t="s">
        <v>563</v>
      </c>
      <c r="G484" s="1">
        <v>45227</v>
      </c>
      <c r="H484">
        <v>5409734</v>
      </c>
      <c r="I484">
        <v>115</v>
      </c>
      <c r="J484" t="s">
        <v>109</v>
      </c>
      <c r="K484" s="8" t="s">
        <v>742</v>
      </c>
      <c r="L484" s="4" t="s">
        <v>58</v>
      </c>
      <c r="M484" t="s">
        <v>681</v>
      </c>
      <c r="N484" s="5">
        <v>30835965</v>
      </c>
      <c r="O484" s="5">
        <v>253660</v>
      </c>
      <c r="P484" s="5">
        <v>48195</v>
      </c>
      <c r="Q484" s="5">
        <v>301855</v>
      </c>
    </row>
    <row r="485" spans="1:17" x14ac:dyDescent="0.25">
      <c r="F485" t="s">
        <v>499</v>
      </c>
      <c r="K485" t="s">
        <v>681</v>
      </c>
      <c r="L485" s="4"/>
      <c r="M485" t="s">
        <v>681</v>
      </c>
      <c r="N485" s="5"/>
      <c r="O485" s="5">
        <v>2360535</v>
      </c>
      <c r="P485" s="5">
        <v>448502</v>
      </c>
      <c r="Q485" s="5">
        <v>2813756</v>
      </c>
    </row>
    <row r="486" spans="1:17" x14ac:dyDescent="0.25">
      <c r="A486" t="s">
        <v>564</v>
      </c>
      <c r="B486" t="s">
        <v>494</v>
      </c>
      <c r="C486">
        <v>76811980</v>
      </c>
      <c r="D486">
        <v>135</v>
      </c>
      <c r="E486">
        <v>30827753</v>
      </c>
      <c r="F486" t="s">
        <v>565</v>
      </c>
      <c r="G486" s="1">
        <v>45229</v>
      </c>
      <c r="H486">
        <v>5409527</v>
      </c>
      <c r="I486">
        <v>424</v>
      </c>
      <c r="J486" t="s">
        <v>146</v>
      </c>
      <c r="K486" t="s">
        <v>681</v>
      </c>
      <c r="L486" s="4" t="s">
        <v>32</v>
      </c>
      <c r="M486" t="s">
        <v>681</v>
      </c>
      <c r="N486" s="5">
        <v>30827753</v>
      </c>
      <c r="O486" s="5">
        <v>82963</v>
      </c>
      <c r="P486" s="5">
        <v>15763</v>
      </c>
      <c r="Q486" s="5">
        <v>98726</v>
      </c>
    </row>
    <row r="487" spans="1:17" x14ac:dyDescent="0.25">
      <c r="A487" t="s">
        <v>564</v>
      </c>
      <c r="B487" t="s">
        <v>494</v>
      </c>
      <c r="C487">
        <v>76811980</v>
      </c>
      <c r="D487">
        <v>111</v>
      </c>
      <c r="E487">
        <v>30827758</v>
      </c>
      <c r="F487" t="s">
        <v>565</v>
      </c>
      <c r="G487" s="1">
        <v>45227</v>
      </c>
      <c r="H487">
        <v>5409628</v>
      </c>
      <c r="I487">
        <v>424</v>
      </c>
      <c r="J487" t="s">
        <v>146</v>
      </c>
      <c r="K487" t="s">
        <v>681</v>
      </c>
      <c r="L487" s="4" t="s">
        <v>32</v>
      </c>
      <c r="M487" t="s">
        <v>681</v>
      </c>
      <c r="N487" s="5">
        <v>30827758</v>
      </c>
      <c r="O487" s="5">
        <v>75837</v>
      </c>
      <c r="P487" s="5">
        <v>14409</v>
      </c>
      <c r="Q487" s="5">
        <v>90246</v>
      </c>
    </row>
    <row r="488" spans="1:17" x14ac:dyDescent="0.25">
      <c r="A488" t="s">
        <v>564</v>
      </c>
      <c r="B488" t="s">
        <v>494</v>
      </c>
      <c r="C488">
        <v>76811980</v>
      </c>
      <c r="D488">
        <v>85</v>
      </c>
      <c r="E488">
        <v>30827747</v>
      </c>
      <c r="F488" t="s">
        <v>565</v>
      </c>
      <c r="G488" s="1">
        <v>45227</v>
      </c>
      <c r="H488">
        <v>5409629</v>
      </c>
      <c r="I488">
        <v>424</v>
      </c>
      <c r="J488" t="s">
        <v>146</v>
      </c>
      <c r="K488" t="s">
        <v>681</v>
      </c>
      <c r="L488" s="4" t="s">
        <v>32</v>
      </c>
      <c r="M488" t="s">
        <v>681</v>
      </c>
      <c r="N488" s="5">
        <v>30827747</v>
      </c>
      <c r="O488" s="5">
        <v>82194</v>
      </c>
      <c r="P488" s="5">
        <v>15617</v>
      </c>
      <c r="Q488" s="5">
        <v>97811</v>
      </c>
    </row>
    <row r="489" spans="1:17" x14ac:dyDescent="0.25">
      <c r="A489" t="s">
        <v>564</v>
      </c>
      <c r="B489" t="s">
        <v>494</v>
      </c>
      <c r="C489">
        <v>76811980</v>
      </c>
      <c r="D489">
        <v>18</v>
      </c>
      <c r="E489">
        <v>30838406</v>
      </c>
      <c r="F489" t="s">
        <v>565</v>
      </c>
      <c r="G489" s="1">
        <v>45229</v>
      </c>
      <c r="H489">
        <v>5409753</v>
      </c>
      <c r="I489">
        <v>424</v>
      </c>
      <c r="J489" t="s">
        <v>146</v>
      </c>
      <c r="K489" t="s">
        <v>681</v>
      </c>
      <c r="L489" s="4" t="s">
        <v>32</v>
      </c>
      <c r="M489" t="s">
        <v>681</v>
      </c>
      <c r="N489" s="5">
        <v>30838406</v>
      </c>
      <c r="O489" s="5">
        <v>19350</v>
      </c>
      <c r="P489" s="5">
        <v>3677</v>
      </c>
      <c r="Q489" s="5">
        <v>23027</v>
      </c>
    </row>
    <row r="490" spans="1:17" x14ac:dyDescent="0.25">
      <c r="F490" t="s">
        <v>498</v>
      </c>
      <c r="K490" t="s">
        <v>681</v>
      </c>
      <c r="L490" s="4"/>
      <c r="M490" t="s">
        <v>681</v>
      </c>
      <c r="N490" s="5"/>
      <c r="O490" s="5">
        <v>260344</v>
      </c>
      <c r="P490" s="5">
        <v>49466</v>
      </c>
      <c r="Q490" s="5">
        <v>309810</v>
      </c>
    </row>
    <row r="491" spans="1:17" x14ac:dyDescent="0.25">
      <c r="A491" t="s">
        <v>496</v>
      </c>
      <c r="B491" t="s">
        <v>494</v>
      </c>
      <c r="C491">
        <v>77017436</v>
      </c>
      <c r="D491">
        <v>10</v>
      </c>
      <c r="E491">
        <v>4300049059</v>
      </c>
      <c r="F491" t="s">
        <v>566</v>
      </c>
      <c r="G491" s="1">
        <v>45229</v>
      </c>
      <c r="H491">
        <v>5409585</v>
      </c>
      <c r="I491">
        <v>433</v>
      </c>
      <c r="J491" t="s">
        <v>332</v>
      </c>
      <c r="K491" s="8" t="s">
        <v>742</v>
      </c>
      <c r="L491" s="4" t="s">
        <v>6</v>
      </c>
      <c r="M491" t="s">
        <v>681</v>
      </c>
      <c r="N491" s="5">
        <v>30828113</v>
      </c>
      <c r="O491" s="5">
        <v>55613</v>
      </c>
      <c r="P491" s="5">
        <v>10566</v>
      </c>
      <c r="Q491" s="5">
        <v>66179</v>
      </c>
    </row>
    <row r="492" spans="1:17" x14ac:dyDescent="0.25">
      <c r="F492" t="s">
        <v>495</v>
      </c>
      <c r="K492" t="s">
        <v>681</v>
      </c>
      <c r="L492" s="4"/>
      <c r="M492" t="s">
        <v>681</v>
      </c>
      <c r="N492" s="5"/>
      <c r="O492" s="5">
        <v>55613</v>
      </c>
      <c r="P492" s="5">
        <v>10566</v>
      </c>
      <c r="Q492" s="5">
        <v>66179</v>
      </c>
    </row>
    <row r="493" spans="1:17" x14ac:dyDescent="0.25">
      <c r="A493" t="s">
        <v>496</v>
      </c>
      <c r="B493" t="s">
        <v>494</v>
      </c>
      <c r="C493">
        <v>77032236</v>
      </c>
      <c r="D493">
        <v>2</v>
      </c>
      <c r="E493">
        <v>30778742</v>
      </c>
      <c r="F493" t="s">
        <v>568</v>
      </c>
      <c r="G493" s="1">
        <v>45204</v>
      </c>
      <c r="H493">
        <v>5397959</v>
      </c>
      <c r="I493">
        <v>272</v>
      </c>
      <c r="J493" t="s">
        <v>398</v>
      </c>
      <c r="K493" s="8" t="s">
        <v>742</v>
      </c>
      <c r="L493" s="4" t="s">
        <v>32</v>
      </c>
      <c r="M493" t="s">
        <v>681</v>
      </c>
      <c r="N493" s="5">
        <v>30778742</v>
      </c>
      <c r="O493" s="5">
        <v>949886</v>
      </c>
      <c r="P493" s="5">
        <v>180478</v>
      </c>
      <c r="Q493" s="5">
        <v>1130364</v>
      </c>
    </row>
    <row r="494" spans="1:17" x14ac:dyDescent="0.25">
      <c r="F494" t="s">
        <v>495</v>
      </c>
      <c r="K494" t="s">
        <v>681</v>
      </c>
      <c r="L494" s="4"/>
      <c r="M494" t="s">
        <v>681</v>
      </c>
      <c r="N494" s="5"/>
      <c r="O494" s="5">
        <v>949886</v>
      </c>
      <c r="P494" s="5">
        <v>180478</v>
      </c>
      <c r="Q494" s="5">
        <v>1130364</v>
      </c>
    </row>
    <row r="495" spans="1:17" x14ac:dyDescent="0.25">
      <c r="A495" t="s">
        <v>496</v>
      </c>
      <c r="B495" t="s">
        <v>494</v>
      </c>
      <c r="C495">
        <v>77038674</v>
      </c>
      <c r="D495">
        <v>3</v>
      </c>
      <c r="E495">
        <v>23101063</v>
      </c>
      <c r="F495" t="s">
        <v>569</v>
      </c>
      <c r="G495" s="1">
        <v>45221</v>
      </c>
      <c r="H495">
        <v>5407303</v>
      </c>
      <c r="I495">
        <v>82</v>
      </c>
      <c r="J495" t="s">
        <v>238</v>
      </c>
      <c r="K495" s="8" t="s">
        <v>742</v>
      </c>
      <c r="L495" s="4" t="s">
        <v>6</v>
      </c>
      <c r="M495" t="s">
        <v>681</v>
      </c>
      <c r="N495" s="5">
        <v>30806241</v>
      </c>
      <c r="O495" s="5">
        <v>501870</v>
      </c>
      <c r="P495" s="5">
        <v>95355</v>
      </c>
      <c r="Q495" s="5">
        <v>597225</v>
      </c>
    </row>
    <row r="496" spans="1:17" x14ac:dyDescent="0.25">
      <c r="A496" t="s">
        <v>496</v>
      </c>
      <c r="B496" t="s">
        <v>494</v>
      </c>
      <c r="C496">
        <v>77038674</v>
      </c>
      <c r="D496">
        <v>3</v>
      </c>
      <c r="E496">
        <v>23101072</v>
      </c>
      <c r="F496" t="s">
        <v>569</v>
      </c>
      <c r="G496" s="1">
        <v>45228</v>
      </c>
      <c r="H496">
        <v>5409498</v>
      </c>
      <c r="I496">
        <v>82</v>
      </c>
      <c r="J496" t="s">
        <v>238</v>
      </c>
      <c r="K496" s="7" t="s">
        <v>743</v>
      </c>
      <c r="L496" s="4" t="s">
        <v>6</v>
      </c>
      <c r="M496">
        <v>552503</v>
      </c>
      <c r="N496" s="5">
        <v>30831716</v>
      </c>
      <c r="O496" s="5">
        <v>142200</v>
      </c>
      <c r="P496" s="5">
        <v>27018</v>
      </c>
      <c r="Q496" s="5">
        <v>169218</v>
      </c>
    </row>
    <row r="497" spans="1:17" x14ac:dyDescent="0.25">
      <c r="F497" t="s">
        <v>497</v>
      </c>
      <c r="K497" t="s">
        <v>681</v>
      </c>
      <c r="L497" s="4"/>
      <c r="M497" t="s">
        <v>681</v>
      </c>
      <c r="N497" s="5"/>
      <c r="O497" s="5">
        <v>644070</v>
      </c>
      <c r="P497" s="5">
        <v>122373</v>
      </c>
      <c r="Q497" s="5">
        <v>766443</v>
      </c>
    </row>
    <row r="498" spans="1:17" x14ac:dyDescent="0.25">
      <c r="A498" t="s">
        <v>3</v>
      </c>
      <c r="B498" t="s">
        <v>494</v>
      </c>
      <c r="C498">
        <v>77081402</v>
      </c>
      <c r="D498">
        <v>48</v>
      </c>
      <c r="E498">
        <v>30814504</v>
      </c>
      <c r="F498" t="s">
        <v>699</v>
      </c>
      <c r="G498" s="1">
        <v>45217</v>
      </c>
      <c r="H498">
        <v>5406033</v>
      </c>
      <c r="I498">
        <v>44</v>
      </c>
      <c r="J498" t="s">
        <v>148</v>
      </c>
      <c r="K498" s="8" t="s">
        <v>742</v>
      </c>
      <c r="L498" s="4"/>
      <c r="M498" t="s">
        <v>681</v>
      </c>
      <c r="N498" s="5">
        <v>30814504</v>
      </c>
      <c r="O498" s="5">
        <v>39100</v>
      </c>
      <c r="P498" s="5">
        <v>7429</v>
      </c>
      <c r="Q498" s="5">
        <v>46529</v>
      </c>
    </row>
    <row r="499" spans="1:17" x14ac:dyDescent="0.25">
      <c r="F499" t="s">
        <v>495</v>
      </c>
      <c r="K499" t="s">
        <v>681</v>
      </c>
      <c r="L499" s="4"/>
      <c r="M499" t="s">
        <v>681</v>
      </c>
      <c r="N499" s="5"/>
      <c r="O499" s="5">
        <v>39100</v>
      </c>
      <c r="P499" s="5">
        <v>7429</v>
      </c>
      <c r="Q499" s="5">
        <v>46529</v>
      </c>
    </row>
    <row r="500" spans="1:17" x14ac:dyDescent="0.25">
      <c r="C500">
        <v>77107585</v>
      </c>
      <c r="D500">
        <v>2</v>
      </c>
      <c r="E500">
        <v>30778118</v>
      </c>
      <c r="F500" t="s">
        <v>570</v>
      </c>
      <c r="G500" s="1">
        <v>45203</v>
      </c>
      <c r="H500">
        <v>5397185</v>
      </c>
      <c r="I500">
        <v>18</v>
      </c>
      <c r="J500" t="s">
        <v>168</v>
      </c>
      <c r="K500" s="8" t="s">
        <v>742</v>
      </c>
      <c r="L500" s="4" t="s">
        <v>40</v>
      </c>
      <c r="M500" t="s">
        <v>681</v>
      </c>
      <c r="N500" s="5">
        <v>30778118</v>
      </c>
      <c r="O500" s="5">
        <v>146833</v>
      </c>
      <c r="P500" s="5">
        <v>27898</v>
      </c>
      <c r="Q500" s="5">
        <v>174731</v>
      </c>
    </row>
    <row r="501" spans="1:17" x14ac:dyDescent="0.25">
      <c r="C501">
        <v>77107585</v>
      </c>
      <c r="D501">
        <v>2</v>
      </c>
      <c r="E501">
        <v>30778118</v>
      </c>
      <c r="F501" t="s">
        <v>570</v>
      </c>
      <c r="G501" s="1">
        <v>45203</v>
      </c>
      <c r="H501">
        <v>5397186</v>
      </c>
      <c r="I501">
        <v>18</v>
      </c>
      <c r="J501" t="s">
        <v>168</v>
      </c>
      <c r="K501" s="8" t="s">
        <v>742</v>
      </c>
      <c r="L501" s="4" t="s">
        <v>40</v>
      </c>
      <c r="M501" t="s">
        <v>681</v>
      </c>
      <c r="N501" s="5">
        <v>30778118</v>
      </c>
      <c r="O501" s="5">
        <v>2906</v>
      </c>
      <c r="P501" s="5">
        <v>552</v>
      </c>
      <c r="Q501" s="5">
        <v>3458</v>
      </c>
    </row>
    <row r="502" spans="1:17" x14ac:dyDescent="0.25">
      <c r="C502">
        <v>77107585</v>
      </c>
      <c r="D502">
        <v>6</v>
      </c>
      <c r="E502">
        <v>30816485</v>
      </c>
      <c r="F502" t="s">
        <v>570</v>
      </c>
      <c r="G502" s="1">
        <v>45217</v>
      </c>
      <c r="H502">
        <v>5406227</v>
      </c>
      <c r="I502">
        <v>18</v>
      </c>
      <c r="J502" t="s">
        <v>168</v>
      </c>
      <c r="K502" s="8" t="s">
        <v>742</v>
      </c>
      <c r="L502" s="4" t="s">
        <v>40</v>
      </c>
      <c r="M502" t="s">
        <v>681</v>
      </c>
      <c r="N502" s="5">
        <v>30816485</v>
      </c>
      <c r="O502" s="5">
        <v>125104</v>
      </c>
      <c r="P502" s="5">
        <v>23770</v>
      </c>
      <c r="Q502" s="5">
        <v>148874</v>
      </c>
    </row>
    <row r="503" spans="1:17" x14ac:dyDescent="0.25">
      <c r="F503" t="s">
        <v>500</v>
      </c>
      <c r="K503" t="s">
        <v>681</v>
      </c>
      <c r="L503" s="4"/>
      <c r="M503" t="s">
        <v>681</v>
      </c>
      <c r="N503" s="5"/>
      <c r="O503" s="5">
        <v>274843</v>
      </c>
      <c r="P503" s="5">
        <v>52220</v>
      </c>
      <c r="Q503" s="5">
        <v>327063</v>
      </c>
    </row>
    <row r="504" spans="1:17" x14ac:dyDescent="0.25">
      <c r="A504" t="s">
        <v>496</v>
      </c>
      <c r="B504" t="s">
        <v>502</v>
      </c>
      <c r="C504">
        <v>77260520</v>
      </c>
      <c r="D504">
        <v>0</v>
      </c>
      <c r="E504">
        <v>4500457043</v>
      </c>
      <c r="F504" t="s">
        <v>572</v>
      </c>
      <c r="G504" s="1">
        <v>45215</v>
      </c>
      <c r="H504">
        <v>5404463</v>
      </c>
      <c r="I504">
        <v>394</v>
      </c>
      <c r="J504" t="s">
        <v>224</v>
      </c>
      <c r="K504" s="8" t="s">
        <v>742</v>
      </c>
      <c r="L504" s="4" t="s">
        <v>6</v>
      </c>
      <c r="M504" t="s">
        <v>681</v>
      </c>
      <c r="N504" s="5">
        <v>30796408</v>
      </c>
      <c r="O504" s="5">
        <v>43779</v>
      </c>
      <c r="P504" s="5">
        <v>8318</v>
      </c>
      <c r="Q504" s="5">
        <v>52097</v>
      </c>
    </row>
    <row r="505" spans="1:17" x14ac:dyDescent="0.25">
      <c r="A505" t="s">
        <v>496</v>
      </c>
      <c r="B505" t="s">
        <v>502</v>
      </c>
      <c r="C505">
        <v>77260520</v>
      </c>
      <c r="D505">
        <v>0</v>
      </c>
      <c r="E505">
        <v>4500457608</v>
      </c>
      <c r="F505" t="s">
        <v>572</v>
      </c>
      <c r="G505" s="1">
        <v>45215</v>
      </c>
      <c r="H505">
        <v>5404464</v>
      </c>
      <c r="I505">
        <v>394</v>
      </c>
      <c r="J505" t="s">
        <v>224</v>
      </c>
      <c r="K505" s="8" t="s">
        <v>742</v>
      </c>
      <c r="L505" s="4" t="s">
        <v>6</v>
      </c>
      <c r="M505" t="s">
        <v>681</v>
      </c>
      <c r="N505" s="5">
        <v>30802374</v>
      </c>
      <c r="O505" s="5">
        <v>26269</v>
      </c>
      <c r="P505" s="5">
        <v>4991</v>
      </c>
      <c r="Q505" s="5">
        <v>31260</v>
      </c>
    </row>
    <row r="506" spans="1:17" x14ac:dyDescent="0.25">
      <c r="A506" t="s">
        <v>496</v>
      </c>
      <c r="B506" t="s">
        <v>502</v>
      </c>
      <c r="C506">
        <v>77260520</v>
      </c>
      <c r="D506">
        <v>5</v>
      </c>
      <c r="E506">
        <v>4500458499</v>
      </c>
      <c r="F506" t="s">
        <v>572</v>
      </c>
      <c r="G506" s="1">
        <v>45215</v>
      </c>
      <c r="H506">
        <v>5404627</v>
      </c>
      <c r="I506">
        <v>394</v>
      </c>
      <c r="J506" t="s">
        <v>224</v>
      </c>
      <c r="K506" s="8" t="s">
        <v>742</v>
      </c>
      <c r="L506" s="4" t="s">
        <v>6</v>
      </c>
      <c r="M506" t="s">
        <v>681</v>
      </c>
      <c r="N506" s="5">
        <v>30796572</v>
      </c>
      <c r="O506" s="5">
        <v>136764</v>
      </c>
      <c r="P506" s="5">
        <v>25985</v>
      </c>
      <c r="Q506" s="5">
        <v>162749</v>
      </c>
    </row>
    <row r="507" spans="1:17" x14ac:dyDescent="0.25">
      <c r="A507" t="s">
        <v>496</v>
      </c>
      <c r="B507" t="s">
        <v>502</v>
      </c>
      <c r="C507">
        <v>77260520</v>
      </c>
      <c r="D507">
        <v>1</v>
      </c>
      <c r="E507">
        <v>4500459144</v>
      </c>
      <c r="F507" t="s">
        <v>572</v>
      </c>
      <c r="G507" s="1">
        <v>45215</v>
      </c>
      <c r="H507">
        <v>5404715</v>
      </c>
      <c r="I507">
        <v>394</v>
      </c>
      <c r="J507" t="s">
        <v>224</v>
      </c>
      <c r="K507" s="8" t="s">
        <v>742</v>
      </c>
      <c r="L507" s="4" t="s">
        <v>6</v>
      </c>
      <c r="M507" t="s">
        <v>681</v>
      </c>
      <c r="N507" s="5">
        <v>30799769</v>
      </c>
      <c r="O507" s="5">
        <v>24680</v>
      </c>
      <c r="P507" s="5">
        <v>4689</v>
      </c>
      <c r="Q507" s="5">
        <v>29369</v>
      </c>
    </row>
    <row r="508" spans="1:17" x14ac:dyDescent="0.25">
      <c r="A508" t="s">
        <v>496</v>
      </c>
      <c r="B508" t="s">
        <v>502</v>
      </c>
      <c r="C508">
        <v>77260520</v>
      </c>
      <c r="D508">
        <v>1</v>
      </c>
      <c r="E508">
        <v>4500456091</v>
      </c>
      <c r="F508" t="s">
        <v>572</v>
      </c>
      <c r="G508" s="1">
        <v>45215</v>
      </c>
      <c r="H508">
        <v>5404727</v>
      </c>
      <c r="I508">
        <v>394</v>
      </c>
      <c r="J508" t="s">
        <v>224</v>
      </c>
      <c r="K508" s="8" t="s">
        <v>742</v>
      </c>
      <c r="L508" s="4" t="s">
        <v>6</v>
      </c>
      <c r="M508" t="s">
        <v>681</v>
      </c>
      <c r="N508" s="5">
        <v>30806045</v>
      </c>
      <c r="O508" s="5">
        <v>125195</v>
      </c>
      <c r="P508" s="5">
        <v>23787</v>
      </c>
      <c r="Q508" s="5">
        <v>148982</v>
      </c>
    </row>
    <row r="509" spans="1:17" x14ac:dyDescent="0.25">
      <c r="A509" t="s">
        <v>496</v>
      </c>
      <c r="B509" t="s">
        <v>502</v>
      </c>
      <c r="C509">
        <v>77260520</v>
      </c>
      <c r="D509">
        <v>1</v>
      </c>
      <c r="E509">
        <v>4500459268</v>
      </c>
      <c r="F509" t="s">
        <v>572</v>
      </c>
      <c r="G509" s="1">
        <v>45215</v>
      </c>
      <c r="H509">
        <v>5404728</v>
      </c>
      <c r="I509">
        <v>394</v>
      </c>
      <c r="J509" t="s">
        <v>224</v>
      </c>
      <c r="K509" s="8" t="s">
        <v>742</v>
      </c>
      <c r="L509" s="4" t="s">
        <v>6</v>
      </c>
      <c r="M509" t="s">
        <v>681</v>
      </c>
      <c r="N509" s="5">
        <v>30806191</v>
      </c>
      <c r="O509" s="5">
        <v>45531</v>
      </c>
      <c r="P509" s="5">
        <v>8651</v>
      </c>
      <c r="Q509" s="5">
        <v>54182</v>
      </c>
    </row>
    <row r="510" spans="1:17" x14ac:dyDescent="0.25">
      <c r="A510" t="s">
        <v>496</v>
      </c>
      <c r="B510" t="s">
        <v>502</v>
      </c>
      <c r="C510">
        <v>77260520</v>
      </c>
      <c r="D510">
        <v>1</v>
      </c>
      <c r="E510">
        <v>4500459275</v>
      </c>
      <c r="F510" t="s">
        <v>572</v>
      </c>
      <c r="G510" s="1">
        <v>45215</v>
      </c>
      <c r="H510">
        <v>5404729</v>
      </c>
      <c r="I510">
        <v>394</v>
      </c>
      <c r="J510" t="s">
        <v>224</v>
      </c>
      <c r="K510" s="8" t="s">
        <v>742</v>
      </c>
      <c r="L510" s="4" t="s">
        <v>6</v>
      </c>
      <c r="M510" t="s">
        <v>681</v>
      </c>
      <c r="N510" s="5">
        <v>30806210</v>
      </c>
      <c r="O510" s="5">
        <v>32265</v>
      </c>
      <c r="P510" s="5">
        <v>6130</v>
      </c>
      <c r="Q510" s="5">
        <v>38395</v>
      </c>
    </row>
    <row r="511" spans="1:17" x14ac:dyDescent="0.25">
      <c r="A511" t="s">
        <v>496</v>
      </c>
      <c r="B511" t="s">
        <v>502</v>
      </c>
      <c r="C511">
        <v>77260520</v>
      </c>
      <c r="D511">
        <v>1</v>
      </c>
      <c r="E511">
        <v>4500459607</v>
      </c>
      <c r="F511" t="s">
        <v>572</v>
      </c>
      <c r="G511" s="1">
        <v>45215</v>
      </c>
      <c r="H511">
        <v>5404730</v>
      </c>
      <c r="I511">
        <v>394</v>
      </c>
      <c r="J511" t="s">
        <v>224</v>
      </c>
      <c r="K511" s="8" t="s">
        <v>742</v>
      </c>
      <c r="L511" s="4" t="s">
        <v>6</v>
      </c>
      <c r="M511" t="s">
        <v>681</v>
      </c>
      <c r="N511" s="5">
        <v>30806227</v>
      </c>
      <c r="O511" s="5">
        <v>18144</v>
      </c>
      <c r="P511" s="5">
        <v>3447</v>
      </c>
      <c r="Q511" s="5">
        <v>21591</v>
      </c>
    </row>
    <row r="512" spans="1:17" x14ac:dyDescent="0.25">
      <c r="A512" t="s">
        <v>496</v>
      </c>
      <c r="B512" t="s">
        <v>502</v>
      </c>
      <c r="C512">
        <v>77260520</v>
      </c>
      <c r="D512">
        <v>1</v>
      </c>
      <c r="E512">
        <v>4500456104</v>
      </c>
      <c r="F512" t="s">
        <v>572</v>
      </c>
      <c r="G512" s="1">
        <v>45215</v>
      </c>
      <c r="H512">
        <v>5404797</v>
      </c>
      <c r="I512">
        <v>394</v>
      </c>
      <c r="J512" t="s">
        <v>224</v>
      </c>
      <c r="K512" s="8" t="s">
        <v>742</v>
      </c>
      <c r="L512" s="4" t="s">
        <v>6</v>
      </c>
      <c r="M512" t="s">
        <v>681</v>
      </c>
      <c r="N512" s="5">
        <v>30806069</v>
      </c>
      <c r="O512" s="5">
        <v>174000</v>
      </c>
      <c r="P512" s="5">
        <v>33060</v>
      </c>
      <c r="Q512" s="5">
        <v>207060</v>
      </c>
    </row>
    <row r="513" spans="1:17" x14ac:dyDescent="0.25">
      <c r="A513" t="s">
        <v>496</v>
      </c>
      <c r="B513" t="s">
        <v>502</v>
      </c>
      <c r="C513">
        <v>77260520</v>
      </c>
      <c r="D513">
        <v>1</v>
      </c>
      <c r="E513">
        <v>4500459281</v>
      </c>
      <c r="F513" t="s">
        <v>572</v>
      </c>
      <c r="G513" s="1">
        <v>45215</v>
      </c>
      <c r="H513">
        <v>5404895</v>
      </c>
      <c r="I513">
        <v>394</v>
      </c>
      <c r="J513" t="s">
        <v>224</v>
      </c>
      <c r="K513" s="8" t="s">
        <v>742</v>
      </c>
      <c r="L513" s="4" t="s">
        <v>6</v>
      </c>
      <c r="M513" t="s">
        <v>681</v>
      </c>
      <c r="N513" s="5">
        <v>30806216</v>
      </c>
      <c r="O513" s="5">
        <v>135840</v>
      </c>
      <c r="P513" s="5">
        <v>25810</v>
      </c>
      <c r="Q513" s="5">
        <v>161650</v>
      </c>
    </row>
    <row r="514" spans="1:17" x14ac:dyDescent="0.25">
      <c r="A514" t="s">
        <v>496</v>
      </c>
      <c r="B514" t="s">
        <v>502</v>
      </c>
      <c r="C514">
        <v>77260520</v>
      </c>
      <c r="D514">
        <v>1</v>
      </c>
      <c r="E514">
        <v>4500459223</v>
      </c>
      <c r="F514" t="s">
        <v>572</v>
      </c>
      <c r="G514" s="1">
        <v>45215</v>
      </c>
      <c r="H514">
        <v>5404898</v>
      </c>
      <c r="I514">
        <v>394</v>
      </c>
      <c r="J514" t="s">
        <v>224</v>
      </c>
      <c r="K514" s="8" t="s">
        <v>742</v>
      </c>
      <c r="L514" s="4" t="s">
        <v>6</v>
      </c>
      <c r="M514" t="s">
        <v>681</v>
      </c>
      <c r="N514" s="5">
        <v>30807391</v>
      </c>
      <c r="O514" s="5">
        <v>3948</v>
      </c>
      <c r="P514" s="5">
        <v>750</v>
      </c>
      <c r="Q514" s="5">
        <v>4698</v>
      </c>
    </row>
    <row r="515" spans="1:17" x14ac:dyDescent="0.25">
      <c r="A515" t="s">
        <v>496</v>
      </c>
      <c r="B515" t="s">
        <v>502</v>
      </c>
      <c r="C515">
        <v>77260520</v>
      </c>
      <c r="D515">
        <v>1</v>
      </c>
      <c r="E515">
        <v>4500459261</v>
      </c>
      <c r="F515" t="s">
        <v>572</v>
      </c>
      <c r="G515" s="1">
        <v>45215</v>
      </c>
      <c r="H515">
        <v>5404899</v>
      </c>
      <c r="I515">
        <v>394</v>
      </c>
      <c r="J515" t="s">
        <v>224</v>
      </c>
      <c r="K515" s="8" t="s">
        <v>742</v>
      </c>
      <c r="L515" s="4" t="s">
        <v>6</v>
      </c>
      <c r="M515" t="s">
        <v>681</v>
      </c>
      <c r="N515" s="5">
        <v>30806131</v>
      </c>
      <c r="O515" s="5">
        <v>200277</v>
      </c>
      <c r="P515" s="5">
        <v>38053</v>
      </c>
      <c r="Q515" s="5">
        <v>238330</v>
      </c>
    </row>
    <row r="516" spans="1:17" x14ac:dyDescent="0.25">
      <c r="A516" t="s">
        <v>496</v>
      </c>
      <c r="B516" t="s">
        <v>502</v>
      </c>
      <c r="C516">
        <v>77260520</v>
      </c>
      <c r="D516">
        <v>1</v>
      </c>
      <c r="E516">
        <v>4500459243</v>
      </c>
      <c r="F516" t="s">
        <v>572</v>
      </c>
      <c r="G516" s="1">
        <v>45215</v>
      </c>
      <c r="H516">
        <v>5404970</v>
      </c>
      <c r="I516">
        <v>394</v>
      </c>
      <c r="J516" t="s">
        <v>224</v>
      </c>
      <c r="K516" s="8" t="s">
        <v>742</v>
      </c>
      <c r="L516" s="4" t="s">
        <v>6</v>
      </c>
      <c r="M516" t="s">
        <v>681</v>
      </c>
      <c r="N516" s="5">
        <v>30807426</v>
      </c>
      <c r="O516" s="5">
        <v>400553</v>
      </c>
      <c r="P516" s="5">
        <v>76105</v>
      </c>
      <c r="Q516" s="5">
        <v>476658</v>
      </c>
    </row>
    <row r="517" spans="1:17" x14ac:dyDescent="0.25">
      <c r="A517" t="s">
        <v>496</v>
      </c>
      <c r="B517" t="s">
        <v>502</v>
      </c>
      <c r="C517">
        <v>77260520</v>
      </c>
      <c r="D517">
        <v>1</v>
      </c>
      <c r="E517">
        <v>4500459254</v>
      </c>
      <c r="F517" t="s">
        <v>572</v>
      </c>
      <c r="G517" s="1">
        <v>45215</v>
      </c>
      <c r="H517">
        <v>5405257</v>
      </c>
      <c r="I517">
        <v>394</v>
      </c>
      <c r="J517" t="s">
        <v>224</v>
      </c>
      <c r="K517" s="8" t="s">
        <v>742</v>
      </c>
      <c r="L517" s="4" t="s">
        <v>6</v>
      </c>
      <c r="M517" t="s">
        <v>681</v>
      </c>
      <c r="N517" s="5">
        <v>30806156</v>
      </c>
      <c r="O517" s="5">
        <v>386565</v>
      </c>
      <c r="P517" s="5">
        <v>73447</v>
      </c>
      <c r="Q517" s="5">
        <v>460012</v>
      </c>
    </row>
    <row r="518" spans="1:17" x14ac:dyDescent="0.25">
      <c r="A518" t="s">
        <v>496</v>
      </c>
      <c r="B518" t="s">
        <v>502</v>
      </c>
      <c r="C518">
        <v>77260520</v>
      </c>
      <c r="D518">
        <v>1</v>
      </c>
      <c r="E518">
        <v>4500459236</v>
      </c>
      <c r="F518" t="s">
        <v>572</v>
      </c>
      <c r="G518" s="1">
        <v>45215</v>
      </c>
      <c r="H518">
        <v>5405258</v>
      </c>
      <c r="I518">
        <v>394</v>
      </c>
      <c r="J518" t="s">
        <v>224</v>
      </c>
      <c r="K518" s="8" t="s">
        <v>742</v>
      </c>
      <c r="L518" s="4" t="s">
        <v>6</v>
      </c>
      <c r="M518" t="s">
        <v>681</v>
      </c>
      <c r="N518" s="5">
        <v>30806123</v>
      </c>
      <c r="O518" s="5">
        <v>786460</v>
      </c>
      <c r="P518" s="5">
        <v>149427</v>
      </c>
      <c r="Q518" s="5">
        <v>935887</v>
      </c>
    </row>
    <row r="519" spans="1:17" x14ac:dyDescent="0.25">
      <c r="A519" t="s">
        <v>496</v>
      </c>
      <c r="B519" t="s">
        <v>502</v>
      </c>
      <c r="C519">
        <v>77260520</v>
      </c>
      <c r="D519">
        <v>1</v>
      </c>
      <c r="E519">
        <v>4500458731</v>
      </c>
      <c r="F519" t="s">
        <v>572</v>
      </c>
      <c r="G519" s="1">
        <v>45215</v>
      </c>
      <c r="H519">
        <v>5405259</v>
      </c>
      <c r="I519">
        <v>394</v>
      </c>
      <c r="J519" t="s">
        <v>224</v>
      </c>
      <c r="K519" s="8" t="s">
        <v>742</v>
      </c>
      <c r="L519" s="4" t="s">
        <v>6</v>
      </c>
      <c r="M519" t="s">
        <v>681</v>
      </c>
      <c r="N519" s="5">
        <v>30806271</v>
      </c>
      <c r="O519" s="5">
        <v>649540</v>
      </c>
      <c r="P519" s="5">
        <v>123413</v>
      </c>
      <c r="Q519" s="5">
        <v>772953</v>
      </c>
    </row>
    <row r="520" spans="1:17" x14ac:dyDescent="0.25">
      <c r="A520" t="s">
        <v>496</v>
      </c>
      <c r="B520" t="s">
        <v>502</v>
      </c>
      <c r="C520">
        <v>77260520</v>
      </c>
      <c r="D520">
        <v>0</v>
      </c>
      <c r="E520">
        <v>4500459598</v>
      </c>
      <c r="F520" t="s">
        <v>572</v>
      </c>
      <c r="G520" s="1">
        <v>45217</v>
      </c>
      <c r="H520">
        <v>5406149</v>
      </c>
      <c r="I520">
        <v>394</v>
      </c>
      <c r="J520" t="s">
        <v>224</v>
      </c>
      <c r="K520" s="8" t="s">
        <v>742</v>
      </c>
      <c r="L520" s="4" t="s">
        <v>6</v>
      </c>
      <c r="M520" t="s">
        <v>681</v>
      </c>
      <c r="N520" s="5">
        <v>30810965</v>
      </c>
      <c r="O520" s="5">
        <v>51672</v>
      </c>
      <c r="P520" s="5">
        <v>9818</v>
      </c>
      <c r="Q520" s="5">
        <v>61490</v>
      </c>
    </row>
    <row r="521" spans="1:17" x14ac:dyDescent="0.25">
      <c r="A521" t="s">
        <v>496</v>
      </c>
      <c r="B521" t="s">
        <v>502</v>
      </c>
      <c r="C521">
        <v>77260520</v>
      </c>
      <c r="D521">
        <v>0</v>
      </c>
      <c r="E521">
        <v>4500459592</v>
      </c>
      <c r="F521" t="s">
        <v>572</v>
      </c>
      <c r="G521" s="1">
        <v>45217</v>
      </c>
      <c r="H521">
        <v>5406150</v>
      </c>
      <c r="I521">
        <v>394</v>
      </c>
      <c r="J521" t="s">
        <v>224</v>
      </c>
      <c r="K521" s="8" t="s">
        <v>742</v>
      </c>
      <c r="L521" s="4" t="s">
        <v>6</v>
      </c>
      <c r="M521" t="s">
        <v>681</v>
      </c>
      <c r="N521" s="5">
        <v>30810994</v>
      </c>
      <c r="O521" s="5">
        <v>51672</v>
      </c>
      <c r="P521" s="5">
        <v>9818</v>
      </c>
      <c r="Q521" s="5">
        <v>61490</v>
      </c>
    </row>
    <row r="522" spans="1:17" x14ac:dyDescent="0.25">
      <c r="A522" t="s">
        <v>496</v>
      </c>
      <c r="B522" t="s">
        <v>502</v>
      </c>
      <c r="C522">
        <v>77260520</v>
      </c>
      <c r="D522">
        <v>0</v>
      </c>
      <c r="E522">
        <v>4500459431</v>
      </c>
      <c r="F522" t="s">
        <v>572</v>
      </c>
      <c r="G522" s="1">
        <v>45217</v>
      </c>
      <c r="H522">
        <v>5406151</v>
      </c>
      <c r="I522">
        <v>394</v>
      </c>
      <c r="J522" t="s">
        <v>224</v>
      </c>
      <c r="K522" s="8" t="s">
        <v>742</v>
      </c>
      <c r="L522" s="4" t="s">
        <v>6</v>
      </c>
      <c r="M522" t="s">
        <v>681</v>
      </c>
      <c r="N522" s="5">
        <v>30812293</v>
      </c>
      <c r="O522" s="5">
        <v>569626</v>
      </c>
      <c r="P522" s="5">
        <v>108229</v>
      </c>
      <c r="Q522" s="5">
        <v>677855</v>
      </c>
    </row>
    <row r="523" spans="1:17" x14ac:dyDescent="0.25">
      <c r="A523" t="s">
        <v>496</v>
      </c>
      <c r="B523" t="s">
        <v>502</v>
      </c>
      <c r="C523">
        <v>77260520</v>
      </c>
      <c r="D523">
        <v>0</v>
      </c>
      <c r="E523">
        <v>4500459873</v>
      </c>
      <c r="F523" t="s">
        <v>572</v>
      </c>
      <c r="G523" s="1">
        <v>45217</v>
      </c>
      <c r="H523">
        <v>5406152</v>
      </c>
      <c r="I523">
        <v>394</v>
      </c>
      <c r="J523" t="s">
        <v>224</v>
      </c>
      <c r="K523" s="8" t="s">
        <v>742</v>
      </c>
      <c r="L523" s="4" t="s">
        <v>6</v>
      </c>
      <c r="M523" t="s">
        <v>681</v>
      </c>
      <c r="N523" s="5">
        <v>30812313</v>
      </c>
      <c r="O523" s="5">
        <v>456718</v>
      </c>
      <c r="P523" s="5">
        <v>86776</v>
      </c>
      <c r="Q523" s="5">
        <v>543494</v>
      </c>
    </row>
    <row r="524" spans="1:17" x14ac:dyDescent="0.25">
      <c r="A524" t="s">
        <v>496</v>
      </c>
      <c r="B524" t="s">
        <v>502</v>
      </c>
      <c r="C524">
        <v>77260520</v>
      </c>
      <c r="D524">
        <v>5</v>
      </c>
      <c r="E524">
        <v>4500458456</v>
      </c>
      <c r="F524" t="s">
        <v>572</v>
      </c>
      <c r="G524" s="1">
        <v>45219</v>
      </c>
      <c r="H524">
        <v>5406920</v>
      </c>
      <c r="I524">
        <v>394</v>
      </c>
      <c r="J524" t="s">
        <v>224</v>
      </c>
      <c r="K524" s="8" t="s">
        <v>742</v>
      </c>
      <c r="L524" s="4" t="s">
        <v>6</v>
      </c>
      <c r="M524" t="s">
        <v>681</v>
      </c>
      <c r="N524" s="5">
        <v>30814856</v>
      </c>
      <c r="O524" s="5">
        <v>74059</v>
      </c>
      <c r="P524" s="5">
        <v>14071</v>
      </c>
      <c r="Q524" s="5">
        <v>88130</v>
      </c>
    </row>
    <row r="525" spans="1:17" x14ac:dyDescent="0.25">
      <c r="A525" t="s">
        <v>496</v>
      </c>
      <c r="B525" t="s">
        <v>502</v>
      </c>
      <c r="C525">
        <v>77260520</v>
      </c>
      <c r="D525">
        <v>1</v>
      </c>
      <c r="E525">
        <v>4500458573</v>
      </c>
      <c r="F525" t="s">
        <v>572</v>
      </c>
      <c r="G525" s="1">
        <v>45222</v>
      </c>
      <c r="H525">
        <v>5407704</v>
      </c>
      <c r="I525">
        <v>394</v>
      </c>
      <c r="J525" t="s">
        <v>224</v>
      </c>
      <c r="K525" s="8" t="s">
        <v>742</v>
      </c>
      <c r="L525" s="4" t="s">
        <v>6</v>
      </c>
      <c r="M525" t="s">
        <v>681</v>
      </c>
      <c r="N525" s="5">
        <v>30805587</v>
      </c>
      <c r="O525" s="5">
        <v>453243</v>
      </c>
      <c r="P525" s="5">
        <v>86116</v>
      </c>
      <c r="Q525" s="5">
        <v>539359</v>
      </c>
    </row>
    <row r="526" spans="1:17" x14ac:dyDescent="0.25">
      <c r="A526" t="s">
        <v>496</v>
      </c>
      <c r="B526" t="s">
        <v>502</v>
      </c>
      <c r="C526">
        <v>77260520</v>
      </c>
      <c r="D526">
        <v>1</v>
      </c>
      <c r="E526">
        <v>4500455194</v>
      </c>
      <c r="F526" t="s">
        <v>572</v>
      </c>
      <c r="G526" s="1">
        <v>45222</v>
      </c>
      <c r="H526">
        <v>5407707</v>
      </c>
      <c r="I526">
        <v>394</v>
      </c>
      <c r="J526" t="s">
        <v>224</v>
      </c>
      <c r="K526" s="8" t="s">
        <v>742</v>
      </c>
      <c r="L526" s="4" t="s">
        <v>6</v>
      </c>
      <c r="M526" t="s">
        <v>681</v>
      </c>
      <c r="N526" s="5">
        <v>30811456</v>
      </c>
      <c r="O526" s="5">
        <v>336488</v>
      </c>
      <c r="P526" s="5">
        <v>63933</v>
      </c>
      <c r="Q526" s="5">
        <v>400421</v>
      </c>
    </row>
    <row r="527" spans="1:17" x14ac:dyDescent="0.25">
      <c r="A527" t="s">
        <v>496</v>
      </c>
      <c r="B527" t="s">
        <v>502</v>
      </c>
      <c r="C527">
        <v>77260520</v>
      </c>
      <c r="D527">
        <v>1</v>
      </c>
      <c r="E527">
        <v>4500459704</v>
      </c>
      <c r="F527" t="s">
        <v>572</v>
      </c>
      <c r="G527" s="1">
        <v>45222</v>
      </c>
      <c r="H527">
        <v>5407709</v>
      </c>
      <c r="I527">
        <v>394</v>
      </c>
      <c r="J527" t="s">
        <v>224</v>
      </c>
      <c r="K527" s="8" t="s">
        <v>742</v>
      </c>
      <c r="L527" s="4" t="s">
        <v>6</v>
      </c>
      <c r="M527" t="s">
        <v>681</v>
      </c>
      <c r="N527" s="5">
        <v>30812117</v>
      </c>
      <c r="O527" s="5">
        <v>21185</v>
      </c>
      <c r="P527" s="5">
        <v>4025</v>
      </c>
      <c r="Q527" s="5">
        <v>25210</v>
      </c>
    </row>
    <row r="528" spans="1:17" x14ac:dyDescent="0.25">
      <c r="A528" t="s">
        <v>496</v>
      </c>
      <c r="B528" t="s">
        <v>502</v>
      </c>
      <c r="C528">
        <v>77260520</v>
      </c>
      <c r="D528">
        <v>1</v>
      </c>
      <c r="E528">
        <v>4500459899</v>
      </c>
      <c r="F528" t="s">
        <v>572</v>
      </c>
      <c r="G528" s="1">
        <v>45222</v>
      </c>
      <c r="H528">
        <v>5407715</v>
      </c>
      <c r="I528">
        <v>394</v>
      </c>
      <c r="J528" t="s">
        <v>224</v>
      </c>
      <c r="K528" s="8" t="s">
        <v>742</v>
      </c>
      <c r="L528" s="4" t="s">
        <v>6</v>
      </c>
      <c r="M528" t="s">
        <v>681</v>
      </c>
      <c r="N528" s="5">
        <v>30812839</v>
      </c>
      <c r="O528" s="5">
        <v>34800</v>
      </c>
      <c r="P528" s="5">
        <v>6612</v>
      </c>
      <c r="Q528" s="5">
        <v>41412</v>
      </c>
    </row>
    <row r="529" spans="1:17" x14ac:dyDescent="0.25">
      <c r="A529" t="s">
        <v>496</v>
      </c>
      <c r="B529" t="s">
        <v>502</v>
      </c>
      <c r="C529">
        <v>77260520</v>
      </c>
      <c r="D529">
        <v>1</v>
      </c>
      <c r="E529">
        <v>4500459930</v>
      </c>
      <c r="F529" t="s">
        <v>572</v>
      </c>
      <c r="G529" s="1">
        <v>45222</v>
      </c>
      <c r="H529">
        <v>5407728</v>
      </c>
      <c r="I529">
        <v>394</v>
      </c>
      <c r="J529" t="s">
        <v>224</v>
      </c>
      <c r="K529" s="8" t="s">
        <v>742</v>
      </c>
      <c r="L529" s="4" t="s">
        <v>6</v>
      </c>
      <c r="M529" t="s">
        <v>681</v>
      </c>
      <c r="N529" s="5">
        <v>30814202</v>
      </c>
      <c r="O529" s="5">
        <v>622750</v>
      </c>
      <c r="P529" s="5">
        <v>118323</v>
      </c>
      <c r="Q529" s="5">
        <v>741073</v>
      </c>
    </row>
    <row r="530" spans="1:17" x14ac:dyDescent="0.25">
      <c r="A530" t="s">
        <v>496</v>
      </c>
      <c r="B530" t="s">
        <v>502</v>
      </c>
      <c r="C530">
        <v>77260520</v>
      </c>
      <c r="D530">
        <v>1</v>
      </c>
      <c r="E530">
        <v>4500460214</v>
      </c>
      <c r="F530" t="s">
        <v>572</v>
      </c>
      <c r="G530" s="1">
        <v>45222</v>
      </c>
      <c r="H530">
        <v>5407729</v>
      </c>
      <c r="I530">
        <v>394</v>
      </c>
      <c r="J530" t="s">
        <v>224</v>
      </c>
      <c r="K530" s="8" t="s">
        <v>742</v>
      </c>
      <c r="L530" s="4" t="s">
        <v>6</v>
      </c>
      <c r="M530" t="s">
        <v>681</v>
      </c>
      <c r="N530" s="5">
        <v>30814217</v>
      </c>
      <c r="O530" s="5">
        <v>451963</v>
      </c>
      <c r="P530" s="5">
        <v>85873</v>
      </c>
      <c r="Q530" s="5">
        <v>537836</v>
      </c>
    </row>
    <row r="531" spans="1:17" x14ac:dyDescent="0.25">
      <c r="A531" t="s">
        <v>496</v>
      </c>
      <c r="B531" t="s">
        <v>502</v>
      </c>
      <c r="C531">
        <v>77260520</v>
      </c>
      <c r="D531">
        <v>1</v>
      </c>
      <c r="E531">
        <v>4500458741</v>
      </c>
      <c r="F531" t="s">
        <v>572</v>
      </c>
      <c r="G531" s="1">
        <v>45222</v>
      </c>
      <c r="H531">
        <v>5407734</v>
      </c>
      <c r="I531">
        <v>394</v>
      </c>
      <c r="J531" t="s">
        <v>224</v>
      </c>
      <c r="K531" s="8" t="s">
        <v>742</v>
      </c>
      <c r="L531" s="4" t="s">
        <v>6</v>
      </c>
      <c r="M531" t="s">
        <v>681</v>
      </c>
      <c r="N531" s="5">
        <v>30815048</v>
      </c>
      <c r="O531" s="5">
        <v>494930</v>
      </c>
      <c r="P531" s="5">
        <v>94037</v>
      </c>
      <c r="Q531" s="5">
        <v>591300</v>
      </c>
    </row>
    <row r="532" spans="1:17" x14ac:dyDescent="0.25">
      <c r="A532" t="s">
        <v>496</v>
      </c>
      <c r="B532" t="s">
        <v>502</v>
      </c>
      <c r="C532">
        <v>77260520</v>
      </c>
      <c r="D532">
        <v>1</v>
      </c>
      <c r="E532">
        <v>4500458494</v>
      </c>
      <c r="F532" t="s">
        <v>572</v>
      </c>
      <c r="G532" s="1">
        <v>45222</v>
      </c>
      <c r="H532">
        <v>5407774</v>
      </c>
      <c r="I532">
        <v>394</v>
      </c>
      <c r="J532" t="s">
        <v>224</v>
      </c>
      <c r="K532" s="8" t="s">
        <v>742</v>
      </c>
      <c r="L532" s="4" t="s">
        <v>6</v>
      </c>
      <c r="M532" t="s">
        <v>681</v>
      </c>
      <c r="N532" s="5">
        <v>30819957</v>
      </c>
      <c r="O532" s="5">
        <v>161097</v>
      </c>
      <c r="P532" s="5">
        <v>30608</v>
      </c>
      <c r="Q532" s="5">
        <v>191705</v>
      </c>
    </row>
    <row r="533" spans="1:17" x14ac:dyDescent="0.25">
      <c r="A533" t="s">
        <v>496</v>
      </c>
      <c r="B533" t="s">
        <v>502</v>
      </c>
      <c r="C533">
        <v>77260520</v>
      </c>
      <c r="D533">
        <v>1</v>
      </c>
      <c r="E533">
        <v>4500458820</v>
      </c>
      <c r="F533" t="s">
        <v>572</v>
      </c>
      <c r="G533" s="1">
        <v>45222</v>
      </c>
      <c r="H533">
        <v>5407828</v>
      </c>
      <c r="I533">
        <v>394</v>
      </c>
      <c r="J533" t="s">
        <v>224</v>
      </c>
      <c r="K533" s="8" t="s">
        <v>742</v>
      </c>
      <c r="L533" s="4" t="s">
        <v>6</v>
      </c>
      <c r="M533" t="s">
        <v>681</v>
      </c>
      <c r="N533" s="5">
        <v>30814871</v>
      </c>
      <c r="O533" s="5">
        <v>472544</v>
      </c>
      <c r="P533" s="5">
        <v>89783</v>
      </c>
      <c r="Q533" s="5">
        <v>562327</v>
      </c>
    </row>
    <row r="534" spans="1:17" x14ac:dyDescent="0.25">
      <c r="A534" t="s">
        <v>496</v>
      </c>
      <c r="B534" t="s">
        <v>502</v>
      </c>
      <c r="C534">
        <v>77260520</v>
      </c>
      <c r="D534">
        <v>0</v>
      </c>
      <c r="E534">
        <v>4500461049</v>
      </c>
      <c r="F534" t="s">
        <v>572</v>
      </c>
      <c r="G534" s="1">
        <v>45224</v>
      </c>
      <c r="H534">
        <v>5408709</v>
      </c>
      <c r="I534">
        <v>394</v>
      </c>
      <c r="J534" t="s">
        <v>224</v>
      </c>
      <c r="K534" s="8" t="s">
        <v>742</v>
      </c>
      <c r="L534" s="4" t="s">
        <v>6</v>
      </c>
      <c r="M534" t="s">
        <v>681</v>
      </c>
      <c r="N534" s="5">
        <v>30829699</v>
      </c>
      <c r="O534" s="5">
        <v>63580</v>
      </c>
      <c r="P534" s="5">
        <v>12080</v>
      </c>
      <c r="Q534" s="5">
        <v>75660</v>
      </c>
    </row>
    <row r="535" spans="1:17" x14ac:dyDescent="0.25">
      <c r="A535" t="s">
        <v>496</v>
      </c>
      <c r="B535" t="s">
        <v>502</v>
      </c>
      <c r="C535">
        <v>77260520</v>
      </c>
      <c r="D535">
        <v>5</v>
      </c>
      <c r="E535">
        <v>4500461486</v>
      </c>
      <c r="F535" t="s">
        <v>572</v>
      </c>
      <c r="G535" s="1">
        <v>45224</v>
      </c>
      <c r="H535">
        <v>5408739</v>
      </c>
      <c r="I535">
        <v>394</v>
      </c>
      <c r="J535" t="s">
        <v>224</v>
      </c>
      <c r="K535" s="8" t="s">
        <v>742</v>
      </c>
      <c r="L535" s="4" t="s">
        <v>6</v>
      </c>
      <c r="M535" t="s">
        <v>681</v>
      </c>
      <c r="N535" s="5">
        <v>30831042</v>
      </c>
      <c r="O535" s="5">
        <v>163828</v>
      </c>
      <c r="P535" s="5">
        <v>31127</v>
      </c>
      <c r="Q535" s="5">
        <v>194955</v>
      </c>
    </row>
    <row r="536" spans="1:17" x14ac:dyDescent="0.25">
      <c r="A536" t="s">
        <v>496</v>
      </c>
      <c r="B536" t="s">
        <v>502</v>
      </c>
      <c r="C536">
        <v>77260520</v>
      </c>
      <c r="D536">
        <v>1</v>
      </c>
      <c r="E536">
        <v>4500460015</v>
      </c>
      <c r="F536" t="s">
        <v>572</v>
      </c>
      <c r="G536" s="1">
        <v>45229</v>
      </c>
      <c r="H536">
        <v>5409838</v>
      </c>
      <c r="I536">
        <v>394</v>
      </c>
      <c r="J536" t="s">
        <v>224</v>
      </c>
      <c r="K536" s="8" t="s">
        <v>742</v>
      </c>
      <c r="L536" s="4" t="s">
        <v>6</v>
      </c>
      <c r="M536" t="s">
        <v>681</v>
      </c>
      <c r="N536" s="5">
        <v>30829579</v>
      </c>
      <c r="O536" s="5">
        <v>208800</v>
      </c>
      <c r="P536" s="5">
        <v>39672</v>
      </c>
      <c r="Q536" s="5">
        <v>248472</v>
      </c>
    </row>
    <row r="537" spans="1:17" x14ac:dyDescent="0.25">
      <c r="A537" t="s">
        <v>496</v>
      </c>
      <c r="B537" t="s">
        <v>502</v>
      </c>
      <c r="C537">
        <v>77260520</v>
      </c>
      <c r="D537">
        <v>1</v>
      </c>
      <c r="E537">
        <v>4500458709</v>
      </c>
      <c r="F537" t="s">
        <v>572</v>
      </c>
      <c r="G537" s="1">
        <v>45229</v>
      </c>
      <c r="H537">
        <v>5409839</v>
      </c>
      <c r="I537">
        <v>394</v>
      </c>
      <c r="J537" t="s">
        <v>224</v>
      </c>
      <c r="K537" s="8" t="s">
        <v>742</v>
      </c>
      <c r="L537" s="4" t="s">
        <v>6</v>
      </c>
      <c r="M537" t="s">
        <v>681</v>
      </c>
      <c r="N537" s="5">
        <v>30829710</v>
      </c>
      <c r="O537" s="5">
        <v>334067</v>
      </c>
      <c r="P537" s="5">
        <v>63473</v>
      </c>
      <c r="Q537" s="5">
        <v>397540</v>
      </c>
    </row>
    <row r="538" spans="1:17" x14ac:dyDescent="0.25">
      <c r="A538" t="s">
        <v>496</v>
      </c>
      <c r="B538" t="s">
        <v>502</v>
      </c>
      <c r="C538">
        <v>77260520</v>
      </c>
      <c r="D538">
        <v>1</v>
      </c>
      <c r="E538">
        <v>4500460545</v>
      </c>
      <c r="F538" t="s">
        <v>572</v>
      </c>
      <c r="G538" s="1">
        <v>45229</v>
      </c>
      <c r="H538">
        <v>5409840</v>
      </c>
      <c r="I538">
        <v>394</v>
      </c>
      <c r="J538" t="s">
        <v>224</v>
      </c>
      <c r="K538" s="8" t="s">
        <v>742</v>
      </c>
      <c r="L538" s="4" t="s">
        <v>6</v>
      </c>
      <c r="M538" t="s">
        <v>681</v>
      </c>
      <c r="N538" s="5">
        <v>30829732</v>
      </c>
      <c r="O538" s="5">
        <v>199280</v>
      </c>
      <c r="P538" s="5">
        <v>37863</v>
      </c>
      <c r="Q538" s="5">
        <v>237143</v>
      </c>
    </row>
    <row r="539" spans="1:17" x14ac:dyDescent="0.25">
      <c r="A539" t="s">
        <v>496</v>
      </c>
      <c r="B539" t="s">
        <v>502</v>
      </c>
      <c r="C539">
        <v>77260520</v>
      </c>
      <c r="D539">
        <v>1</v>
      </c>
      <c r="E539">
        <v>4500460896</v>
      </c>
      <c r="F539" t="s">
        <v>572</v>
      </c>
      <c r="G539" s="1">
        <v>45229</v>
      </c>
      <c r="H539">
        <v>5409841</v>
      </c>
      <c r="I539">
        <v>394</v>
      </c>
      <c r="J539" t="s">
        <v>224</v>
      </c>
      <c r="K539" s="8" t="s">
        <v>742</v>
      </c>
      <c r="L539" s="4" t="s">
        <v>6</v>
      </c>
      <c r="M539" t="s">
        <v>681</v>
      </c>
      <c r="N539" s="5">
        <v>30829743</v>
      </c>
      <c r="O539" s="5">
        <v>168799</v>
      </c>
      <c r="P539" s="5">
        <v>32072</v>
      </c>
      <c r="Q539" s="5">
        <v>200871</v>
      </c>
    </row>
    <row r="540" spans="1:17" x14ac:dyDescent="0.25">
      <c r="A540" t="s">
        <v>496</v>
      </c>
      <c r="B540" t="s">
        <v>502</v>
      </c>
      <c r="C540">
        <v>77260520</v>
      </c>
      <c r="D540">
        <v>1</v>
      </c>
      <c r="E540">
        <v>4500460825</v>
      </c>
      <c r="F540" t="s">
        <v>572</v>
      </c>
      <c r="G540" s="1">
        <v>45229</v>
      </c>
      <c r="H540">
        <v>5409842</v>
      </c>
      <c r="I540">
        <v>394</v>
      </c>
      <c r="J540" t="s">
        <v>224</v>
      </c>
      <c r="K540" s="8" t="s">
        <v>742</v>
      </c>
      <c r="L540" s="4" t="s">
        <v>6</v>
      </c>
      <c r="M540" t="s">
        <v>681</v>
      </c>
      <c r="N540" s="5">
        <v>30829782</v>
      </c>
      <c r="O540" s="5">
        <v>522000</v>
      </c>
      <c r="P540" s="5">
        <v>99180</v>
      </c>
      <c r="Q540" s="5">
        <v>621180</v>
      </c>
    </row>
    <row r="541" spans="1:17" x14ac:dyDescent="0.25">
      <c r="A541" t="s">
        <v>496</v>
      </c>
      <c r="B541" t="s">
        <v>502</v>
      </c>
      <c r="C541">
        <v>77260520</v>
      </c>
      <c r="D541">
        <v>1</v>
      </c>
      <c r="E541">
        <v>4500461328</v>
      </c>
      <c r="F541" t="s">
        <v>572</v>
      </c>
      <c r="G541" s="1">
        <v>45229</v>
      </c>
      <c r="H541">
        <v>5409846</v>
      </c>
      <c r="I541">
        <v>394</v>
      </c>
      <c r="J541" t="s">
        <v>224</v>
      </c>
      <c r="K541" s="8" t="s">
        <v>742</v>
      </c>
      <c r="L541" s="4" t="s">
        <v>6</v>
      </c>
      <c r="M541" t="s">
        <v>681</v>
      </c>
      <c r="N541" s="5">
        <v>30831001</v>
      </c>
      <c r="O541" s="5">
        <v>423470</v>
      </c>
      <c r="P541" s="5">
        <v>80459</v>
      </c>
      <c r="Q541" s="5">
        <v>503929</v>
      </c>
    </row>
    <row r="542" spans="1:17" x14ac:dyDescent="0.25">
      <c r="A542" t="s">
        <v>496</v>
      </c>
      <c r="B542" t="s">
        <v>502</v>
      </c>
      <c r="C542">
        <v>77260520</v>
      </c>
      <c r="D542">
        <v>1</v>
      </c>
      <c r="E542">
        <v>4500461210</v>
      </c>
      <c r="F542" t="s">
        <v>572</v>
      </c>
      <c r="G542" s="1">
        <v>45229</v>
      </c>
      <c r="H542">
        <v>5409848</v>
      </c>
      <c r="I542">
        <v>394</v>
      </c>
      <c r="J542" t="s">
        <v>224</v>
      </c>
      <c r="K542" s="8" t="s">
        <v>742</v>
      </c>
      <c r="L542" s="4" t="s">
        <v>6</v>
      </c>
      <c r="M542" t="s">
        <v>681</v>
      </c>
      <c r="N542" s="5">
        <v>30831123</v>
      </c>
      <c r="O542" s="5">
        <v>305293</v>
      </c>
      <c r="P542" s="5">
        <v>58006</v>
      </c>
      <c r="Q542" s="5">
        <v>363299</v>
      </c>
    </row>
    <row r="543" spans="1:17" x14ac:dyDescent="0.25">
      <c r="A543" t="s">
        <v>496</v>
      </c>
      <c r="B543" t="s">
        <v>502</v>
      </c>
      <c r="C543">
        <v>77260520</v>
      </c>
      <c r="D543">
        <v>1</v>
      </c>
      <c r="E543">
        <v>4500460959</v>
      </c>
      <c r="F543" t="s">
        <v>572</v>
      </c>
      <c r="G543" s="1">
        <v>45229</v>
      </c>
      <c r="H543">
        <v>5409851</v>
      </c>
      <c r="I543">
        <v>394</v>
      </c>
      <c r="J543" t="s">
        <v>224</v>
      </c>
      <c r="K543" s="8" t="s">
        <v>742</v>
      </c>
      <c r="L543" s="4" t="s">
        <v>6</v>
      </c>
      <c r="M543" t="s">
        <v>681</v>
      </c>
      <c r="N543" s="5">
        <v>30832757</v>
      </c>
      <c r="O543" s="5">
        <v>335764</v>
      </c>
      <c r="P543" s="5">
        <v>63795</v>
      </c>
      <c r="Q543" s="5">
        <v>399559</v>
      </c>
    </row>
    <row r="544" spans="1:17" x14ac:dyDescent="0.25">
      <c r="A544" t="s">
        <v>496</v>
      </c>
      <c r="B544" t="s">
        <v>502</v>
      </c>
      <c r="C544">
        <v>77260520</v>
      </c>
      <c r="D544">
        <v>1</v>
      </c>
      <c r="E544">
        <v>4500461257</v>
      </c>
      <c r="F544" t="s">
        <v>572</v>
      </c>
      <c r="G544" s="1">
        <v>45229</v>
      </c>
      <c r="H544">
        <v>5409852</v>
      </c>
      <c r="I544">
        <v>394</v>
      </c>
      <c r="J544" t="s">
        <v>224</v>
      </c>
      <c r="K544" s="8" t="s">
        <v>742</v>
      </c>
      <c r="L544" s="4" t="s">
        <v>6</v>
      </c>
      <c r="M544" t="s">
        <v>681</v>
      </c>
      <c r="N544" s="5">
        <v>30832773</v>
      </c>
      <c r="O544" s="5">
        <v>123010</v>
      </c>
      <c r="P544" s="5">
        <v>23372</v>
      </c>
      <c r="Q544" s="5">
        <v>146382</v>
      </c>
    </row>
    <row r="545" spans="1:17" x14ac:dyDescent="0.25">
      <c r="A545" t="s">
        <v>496</v>
      </c>
      <c r="B545" t="s">
        <v>502</v>
      </c>
      <c r="C545">
        <v>77260520</v>
      </c>
      <c r="D545">
        <v>1</v>
      </c>
      <c r="E545">
        <v>4500461289</v>
      </c>
      <c r="F545" t="s">
        <v>572</v>
      </c>
      <c r="G545" s="1">
        <v>45229</v>
      </c>
      <c r="H545">
        <v>5409853</v>
      </c>
      <c r="I545">
        <v>394</v>
      </c>
      <c r="J545" t="s">
        <v>224</v>
      </c>
      <c r="K545" s="8" t="s">
        <v>742</v>
      </c>
      <c r="L545" s="4" t="s">
        <v>6</v>
      </c>
      <c r="M545" t="s">
        <v>681</v>
      </c>
      <c r="N545" s="5">
        <v>30832858</v>
      </c>
      <c r="O545" s="5">
        <v>78192</v>
      </c>
      <c r="P545" s="5">
        <v>14856</v>
      </c>
      <c r="Q545" s="5">
        <v>93048</v>
      </c>
    </row>
    <row r="546" spans="1:17" x14ac:dyDescent="0.25">
      <c r="A546" t="s">
        <v>496</v>
      </c>
      <c r="B546" t="s">
        <v>502</v>
      </c>
      <c r="C546">
        <v>77260520</v>
      </c>
      <c r="D546">
        <v>1</v>
      </c>
      <c r="E546">
        <v>4500461333</v>
      </c>
      <c r="F546" t="s">
        <v>572</v>
      </c>
      <c r="G546" s="1">
        <v>45229</v>
      </c>
      <c r="H546">
        <v>5409854</v>
      </c>
      <c r="I546">
        <v>394</v>
      </c>
      <c r="J546" t="s">
        <v>224</v>
      </c>
      <c r="K546" s="8" t="s">
        <v>742</v>
      </c>
      <c r="L546" s="4" t="s">
        <v>6</v>
      </c>
      <c r="M546" t="s">
        <v>681</v>
      </c>
      <c r="N546" s="5">
        <v>30832878</v>
      </c>
      <c r="O546" s="5">
        <v>1036256</v>
      </c>
      <c r="P546" s="5">
        <v>196889</v>
      </c>
      <c r="Q546" s="5">
        <v>1233145</v>
      </c>
    </row>
    <row r="547" spans="1:17" x14ac:dyDescent="0.25">
      <c r="A547" t="s">
        <v>496</v>
      </c>
      <c r="B547" t="s">
        <v>502</v>
      </c>
      <c r="C547">
        <v>77260520</v>
      </c>
      <c r="D547">
        <v>1</v>
      </c>
      <c r="E547">
        <v>4500461256</v>
      </c>
      <c r="F547" t="s">
        <v>572</v>
      </c>
      <c r="G547" s="1">
        <v>45229</v>
      </c>
      <c r="H547">
        <v>5409855</v>
      </c>
      <c r="I547">
        <v>394</v>
      </c>
      <c r="J547" t="s">
        <v>224</v>
      </c>
      <c r="K547" s="8" t="s">
        <v>742</v>
      </c>
      <c r="L547" s="4" t="s">
        <v>6</v>
      </c>
      <c r="M547" t="s">
        <v>681</v>
      </c>
      <c r="N547" s="5">
        <v>30832885</v>
      </c>
      <c r="O547" s="5">
        <v>11070</v>
      </c>
      <c r="P547" s="5">
        <v>2103</v>
      </c>
      <c r="Q547" s="5">
        <v>13173</v>
      </c>
    </row>
    <row r="548" spans="1:17" x14ac:dyDescent="0.25">
      <c r="A548" t="s">
        <v>496</v>
      </c>
      <c r="B548" t="s">
        <v>502</v>
      </c>
      <c r="C548">
        <v>77260520</v>
      </c>
      <c r="D548">
        <v>1</v>
      </c>
      <c r="E548">
        <v>4500460816</v>
      </c>
      <c r="F548" t="s">
        <v>572</v>
      </c>
      <c r="G548" s="1">
        <v>45229</v>
      </c>
      <c r="H548">
        <v>5409882</v>
      </c>
      <c r="I548">
        <v>394</v>
      </c>
      <c r="J548" t="s">
        <v>224</v>
      </c>
      <c r="K548" s="8" t="s">
        <v>742</v>
      </c>
      <c r="L548" s="4" t="s">
        <v>6</v>
      </c>
      <c r="M548" t="s">
        <v>681</v>
      </c>
      <c r="N548" s="5">
        <v>30834292</v>
      </c>
      <c r="O548" s="5">
        <v>756000</v>
      </c>
      <c r="P548" s="5">
        <v>143640</v>
      </c>
      <c r="Q548" s="5">
        <v>899640</v>
      </c>
    </row>
    <row r="549" spans="1:17" x14ac:dyDescent="0.25">
      <c r="A549" t="s">
        <v>496</v>
      </c>
      <c r="B549" t="s">
        <v>502</v>
      </c>
      <c r="C549">
        <v>77260520</v>
      </c>
      <c r="D549">
        <v>1</v>
      </c>
      <c r="E549">
        <v>4500461550</v>
      </c>
      <c r="F549" t="s">
        <v>572</v>
      </c>
      <c r="G549" s="1">
        <v>45229</v>
      </c>
      <c r="H549">
        <v>5409884</v>
      </c>
      <c r="I549">
        <v>394</v>
      </c>
      <c r="J549" t="s">
        <v>224</v>
      </c>
      <c r="K549" s="8" t="s">
        <v>742</v>
      </c>
      <c r="L549" s="4" t="s">
        <v>6</v>
      </c>
      <c r="M549" t="s">
        <v>681</v>
      </c>
      <c r="N549" s="5">
        <v>30836788</v>
      </c>
      <c r="O549" s="5">
        <v>672570</v>
      </c>
      <c r="P549" s="5">
        <v>127788</v>
      </c>
      <c r="Q549" s="5">
        <v>800358</v>
      </c>
    </row>
    <row r="550" spans="1:17" x14ac:dyDescent="0.25">
      <c r="A550" t="s">
        <v>496</v>
      </c>
      <c r="B550" t="s">
        <v>502</v>
      </c>
      <c r="C550">
        <v>77260520</v>
      </c>
      <c r="D550">
        <v>1</v>
      </c>
      <c r="E550">
        <v>4500461569</v>
      </c>
      <c r="F550" t="s">
        <v>572</v>
      </c>
      <c r="G550" s="1">
        <v>45229</v>
      </c>
      <c r="H550">
        <v>5409885</v>
      </c>
      <c r="I550">
        <v>394</v>
      </c>
      <c r="J550" t="s">
        <v>224</v>
      </c>
      <c r="K550" s="8" t="s">
        <v>742</v>
      </c>
      <c r="L550" s="4" t="s">
        <v>6</v>
      </c>
      <c r="M550" t="s">
        <v>681</v>
      </c>
      <c r="N550" s="5">
        <v>30836797</v>
      </c>
      <c r="O550" s="5">
        <v>45294</v>
      </c>
      <c r="P550" s="5">
        <v>8606</v>
      </c>
      <c r="Q550" s="5">
        <v>53900</v>
      </c>
    </row>
    <row r="551" spans="1:17" x14ac:dyDescent="0.25">
      <c r="A551" t="s">
        <v>496</v>
      </c>
      <c r="B551" t="s">
        <v>502</v>
      </c>
      <c r="C551">
        <v>77260520</v>
      </c>
      <c r="D551">
        <v>1</v>
      </c>
      <c r="E551">
        <v>4500461683</v>
      </c>
      <c r="F551" t="s">
        <v>572</v>
      </c>
      <c r="G551" s="1">
        <v>45229</v>
      </c>
      <c r="H551">
        <v>5409911</v>
      </c>
      <c r="I551">
        <v>394</v>
      </c>
      <c r="J551" t="s">
        <v>224</v>
      </c>
      <c r="K551" s="8" t="s">
        <v>742</v>
      </c>
      <c r="L551" s="4" t="s">
        <v>6</v>
      </c>
      <c r="M551" t="s">
        <v>681</v>
      </c>
      <c r="N551" s="5">
        <v>30833702</v>
      </c>
      <c r="O551" s="5">
        <v>279177</v>
      </c>
      <c r="P551" s="5">
        <v>53044</v>
      </c>
      <c r="Q551" s="5">
        <v>332221</v>
      </c>
    </row>
    <row r="552" spans="1:17" x14ac:dyDescent="0.25">
      <c r="A552" t="s">
        <v>496</v>
      </c>
      <c r="B552" t="s">
        <v>502</v>
      </c>
      <c r="C552">
        <v>77260520</v>
      </c>
      <c r="D552">
        <v>1</v>
      </c>
      <c r="E552">
        <v>4500461648</v>
      </c>
      <c r="F552" t="s">
        <v>572</v>
      </c>
      <c r="G552" s="1">
        <v>45229</v>
      </c>
      <c r="H552">
        <v>5409912</v>
      </c>
      <c r="I552">
        <v>394</v>
      </c>
      <c r="J552" t="s">
        <v>224</v>
      </c>
      <c r="K552" s="8" t="s">
        <v>742</v>
      </c>
      <c r="L552" s="4" t="s">
        <v>6</v>
      </c>
      <c r="M552" t="s">
        <v>681</v>
      </c>
      <c r="N552" s="5">
        <v>30836823</v>
      </c>
      <c r="O552" s="5">
        <v>564687</v>
      </c>
      <c r="P552" s="5">
        <v>107291</v>
      </c>
      <c r="Q552" s="5">
        <v>671978</v>
      </c>
    </row>
    <row r="553" spans="1:17" x14ac:dyDescent="0.25">
      <c r="A553" t="s">
        <v>496</v>
      </c>
      <c r="B553" t="s">
        <v>502</v>
      </c>
      <c r="C553">
        <v>77260520</v>
      </c>
      <c r="D553">
        <v>1</v>
      </c>
      <c r="E553">
        <v>4500461574</v>
      </c>
      <c r="F553" t="s">
        <v>572</v>
      </c>
      <c r="G553" s="1">
        <v>45229</v>
      </c>
      <c r="H553">
        <v>5409913</v>
      </c>
      <c r="I553">
        <v>394</v>
      </c>
      <c r="J553" t="s">
        <v>224</v>
      </c>
      <c r="K553" s="8" t="s">
        <v>742</v>
      </c>
      <c r="L553" s="4" t="s">
        <v>6</v>
      </c>
      <c r="M553" t="s">
        <v>681</v>
      </c>
      <c r="N553" s="5">
        <v>30836753</v>
      </c>
      <c r="O553" s="5">
        <v>117520</v>
      </c>
      <c r="P553" s="5">
        <v>22329</v>
      </c>
      <c r="Q553" s="5">
        <v>139849</v>
      </c>
    </row>
    <row r="554" spans="1:17" x14ac:dyDescent="0.25">
      <c r="A554" t="s">
        <v>496</v>
      </c>
      <c r="B554" t="s">
        <v>502</v>
      </c>
      <c r="C554">
        <v>77260520</v>
      </c>
      <c r="D554">
        <v>1</v>
      </c>
      <c r="E554">
        <v>4500461476</v>
      </c>
      <c r="F554" t="s">
        <v>572</v>
      </c>
      <c r="G554" s="1">
        <v>45229</v>
      </c>
      <c r="H554">
        <v>5409914</v>
      </c>
      <c r="I554">
        <v>394</v>
      </c>
      <c r="J554" t="s">
        <v>224</v>
      </c>
      <c r="K554" s="8" t="s">
        <v>742</v>
      </c>
      <c r="L554" s="4" t="s">
        <v>6</v>
      </c>
      <c r="M554" t="s">
        <v>681</v>
      </c>
      <c r="N554" s="5">
        <v>30836770</v>
      </c>
      <c r="O554" s="5">
        <v>227890</v>
      </c>
      <c r="P554" s="5">
        <v>43299</v>
      </c>
      <c r="Q554" s="5">
        <v>271189</v>
      </c>
    </row>
    <row r="555" spans="1:17" x14ac:dyDescent="0.25">
      <c r="A555" t="s">
        <v>496</v>
      </c>
      <c r="B555" t="s">
        <v>502</v>
      </c>
      <c r="C555">
        <v>77260520</v>
      </c>
      <c r="D555">
        <v>5</v>
      </c>
      <c r="E555">
        <v>4500461695</v>
      </c>
      <c r="F555" t="s">
        <v>572</v>
      </c>
      <c r="G555" s="1">
        <v>45230</v>
      </c>
      <c r="H555">
        <v>5410277</v>
      </c>
      <c r="I555">
        <v>394</v>
      </c>
      <c r="J555" t="s">
        <v>224</v>
      </c>
      <c r="K555" s="8" t="s">
        <v>742</v>
      </c>
      <c r="L555" s="4" t="s">
        <v>6</v>
      </c>
      <c r="M555" t="s">
        <v>681</v>
      </c>
      <c r="N555" s="5">
        <v>30836877</v>
      </c>
      <c r="O555" s="5">
        <v>28800</v>
      </c>
      <c r="P555" s="5">
        <v>5472</v>
      </c>
      <c r="Q555" s="5">
        <v>34272</v>
      </c>
    </row>
    <row r="556" spans="1:17" x14ac:dyDescent="0.25">
      <c r="A556" t="s">
        <v>496</v>
      </c>
      <c r="B556" t="s">
        <v>502</v>
      </c>
      <c r="C556">
        <v>77260520</v>
      </c>
      <c r="D556">
        <v>3</v>
      </c>
      <c r="E556">
        <v>4500460797</v>
      </c>
      <c r="F556" t="s">
        <v>572</v>
      </c>
      <c r="G556" s="1">
        <v>45230</v>
      </c>
      <c r="H556">
        <v>5410280</v>
      </c>
      <c r="I556">
        <v>394</v>
      </c>
      <c r="J556" t="s">
        <v>224</v>
      </c>
      <c r="K556" s="8" t="s">
        <v>742</v>
      </c>
      <c r="L556" s="4" t="s">
        <v>6</v>
      </c>
      <c r="M556" t="s">
        <v>681</v>
      </c>
      <c r="N556" s="5">
        <v>30841245</v>
      </c>
      <c r="O556" s="5">
        <v>140814</v>
      </c>
      <c r="P556" s="5">
        <v>26755</v>
      </c>
      <c r="Q556" s="5">
        <v>167569</v>
      </c>
    </row>
    <row r="557" spans="1:17" x14ac:dyDescent="0.25">
      <c r="F557" t="s">
        <v>521</v>
      </c>
      <c r="K557" t="s">
        <v>681</v>
      </c>
      <c r="L557" s="4"/>
      <c r="M557" t="s">
        <v>681</v>
      </c>
      <c r="N557" s="5"/>
      <c r="O557" s="5">
        <v>14248718</v>
      </c>
      <c r="P557" s="5">
        <v>2707256</v>
      </c>
      <c r="Q557" s="5">
        <v>16958307</v>
      </c>
    </row>
    <row r="558" spans="1:17" x14ac:dyDescent="0.25">
      <c r="A558" t="s">
        <v>496</v>
      </c>
      <c r="B558" t="s">
        <v>494</v>
      </c>
      <c r="C558">
        <v>77441870</v>
      </c>
      <c r="D558">
        <v>9</v>
      </c>
      <c r="E558" t="s">
        <v>777</v>
      </c>
      <c r="F558" t="s">
        <v>778</v>
      </c>
      <c r="G558" s="1">
        <v>45229</v>
      </c>
      <c r="H558">
        <v>5409537</v>
      </c>
      <c r="I558">
        <v>364</v>
      </c>
      <c r="J558" t="s">
        <v>194</v>
      </c>
      <c r="K558" s="7" t="s">
        <v>743</v>
      </c>
      <c r="L558" s="4" t="s">
        <v>6</v>
      </c>
      <c r="M558">
        <v>23001553</v>
      </c>
      <c r="N558" s="5">
        <v>30831791</v>
      </c>
      <c r="O558" s="5">
        <v>427998</v>
      </c>
      <c r="P558" s="5">
        <v>81320</v>
      </c>
      <c r="Q558" s="5">
        <v>509318</v>
      </c>
    </row>
    <row r="559" spans="1:17" x14ac:dyDescent="0.25">
      <c r="F559" t="s">
        <v>495</v>
      </c>
      <c r="K559" t="s">
        <v>681</v>
      </c>
      <c r="L559" s="4"/>
      <c r="M559" t="s">
        <v>681</v>
      </c>
      <c r="N559" s="5"/>
      <c r="O559" s="5">
        <v>427998</v>
      </c>
      <c r="P559" s="5">
        <v>81320</v>
      </c>
      <c r="Q559" s="5">
        <v>509318</v>
      </c>
    </row>
    <row r="560" spans="1:17" x14ac:dyDescent="0.25">
      <c r="A560" t="s">
        <v>573</v>
      </c>
      <c r="B560" t="s">
        <v>494</v>
      </c>
      <c r="C560">
        <v>77460467</v>
      </c>
      <c r="D560">
        <v>2</v>
      </c>
      <c r="E560">
        <v>30776360</v>
      </c>
      <c r="F560" t="s">
        <v>574</v>
      </c>
      <c r="G560" s="1">
        <v>45203</v>
      </c>
      <c r="H560">
        <v>5396950</v>
      </c>
      <c r="I560">
        <v>112</v>
      </c>
      <c r="J560" t="s">
        <v>166</v>
      </c>
      <c r="K560" s="8" t="s">
        <v>742</v>
      </c>
      <c r="L560" s="4"/>
      <c r="M560" t="s">
        <v>681</v>
      </c>
      <c r="N560" s="5">
        <v>30776360</v>
      </c>
      <c r="O560" s="5">
        <v>122044</v>
      </c>
      <c r="P560" s="5">
        <v>23188</v>
      </c>
      <c r="Q560" s="5">
        <v>145232</v>
      </c>
    </row>
    <row r="561" spans="1:17" x14ac:dyDescent="0.25">
      <c r="A561" t="s">
        <v>573</v>
      </c>
      <c r="B561" t="s">
        <v>494</v>
      </c>
      <c r="C561">
        <v>77460467</v>
      </c>
      <c r="D561">
        <v>9</v>
      </c>
      <c r="E561">
        <v>30776362</v>
      </c>
      <c r="F561" t="s">
        <v>574</v>
      </c>
      <c r="G561" s="1">
        <v>45203</v>
      </c>
      <c r="H561">
        <v>5397269</v>
      </c>
      <c r="I561">
        <v>112</v>
      </c>
      <c r="J561" t="s">
        <v>166</v>
      </c>
      <c r="K561" s="8" t="s">
        <v>742</v>
      </c>
      <c r="L561" s="4"/>
      <c r="M561" t="s">
        <v>681</v>
      </c>
      <c r="N561" s="5">
        <v>30776362</v>
      </c>
      <c r="O561" s="5">
        <v>135514</v>
      </c>
      <c r="P561" s="5">
        <v>25748</v>
      </c>
      <c r="Q561" s="5">
        <v>161262</v>
      </c>
    </row>
    <row r="562" spans="1:17" x14ac:dyDescent="0.25">
      <c r="A562" t="s">
        <v>573</v>
      </c>
      <c r="B562" t="s">
        <v>494</v>
      </c>
      <c r="C562">
        <v>77460467</v>
      </c>
      <c r="D562">
        <v>9</v>
      </c>
      <c r="E562">
        <v>30777536</v>
      </c>
      <c r="F562" t="s">
        <v>574</v>
      </c>
      <c r="G562" s="1">
        <v>45204</v>
      </c>
      <c r="H562">
        <v>5398152</v>
      </c>
      <c r="I562">
        <v>112</v>
      </c>
      <c r="J562" t="s">
        <v>166</v>
      </c>
      <c r="K562" s="8" t="s">
        <v>742</v>
      </c>
      <c r="L562" s="4"/>
      <c r="M562" t="s">
        <v>681</v>
      </c>
      <c r="N562" s="5">
        <v>30777536</v>
      </c>
      <c r="O562" s="5">
        <v>76097</v>
      </c>
      <c r="P562" s="5">
        <v>14458</v>
      </c>
      <c r="Q562" s="5">
        <v>90555</v>
      </c>
    </row>
    <row r="563" spans="1:17" x14ac:dyDescent="0.25">
      <c r="A563" t="s">
        <v>573</v>
      </c>
      <c r="B563" t="s">
        <v>494</v>
      </c>
      <c r="C563">
        <v>77460467</v>
      </c>
      <c r="D563">
        <v>2</v>
      </c>
      <c r="E563">
        <v>30796686</v>
      </c>
      <c r="F563" t="s">
        <v>574</v>
      </c>
      <c r="G563" s="1">
        <v>45210</v>
      </c>
      <c r="H563">
        <v>5401880</v>
      </c>
      <c r="I563">
        <v>112</v>
      </c>
      <c r="J563" t="s">
        <v>166</v>
      </c>
      <c r="K563" s="8" t="s">
        <v>742</v>
      </c>
      <c r="L563" s="4"/>
      <c r="M563" t="s">
        <v>681</v>
      </c>
      <c r="N563" s="5">
        <v>30796686</v>
      </c>
      <c r="O563" s="5">
        <v>154464</v>
      </c>
      <c r="P563" s="5">
        <v>29348</v>
      </c>
      <c r="Q563" s="5">
        <v>188582</v>
      </c>
    </row>
    <row r="564" spans="1:17" x14ac:dyDescent="0.25">
      <c r="A564" t="s">
        <v>573</v>
      </c>
      <c r="B564" t="s">
        <v>494</v>
      </c>
      <c r="C564">
        <v>77460467</v>
      </c>
      <c r="D564">
        <v>9</v>
      </c>
      <c r="E564">
        <v>30811785</v>
      </c>
      <c r="F564" t="s">
        <v>574</v>
      </c>
      <c r="G564" s="1">
        <v>45216</v>
      </c>
      <c r="H564">
        <v>5405509</v>
      </c>
      <c r="I564">
        <v>112</v>
      </c>
      <c r="J564" t="s">
        <v>166</v>
      </c>
      <c r="K564" s="8" t="s">
        <v>742</v>
      </c>
      <c r="L564" s="4"/>
      <c r="M564" t="s">
        <v>681</v>
      </c>
      <c r="N564" s="5">
        <v>30811785</v>
      </c>
      <c r="O564" s="5">
        <v>44410</v>
      </c>
      <c r="P564" s="5">
        <v>8438</v>
      </c>
      <c r="Q564" s="5">
        <v>52848</v>
      </c>
    </row>
    <row r="565" spans="1:17" x14ac:dyDescent="0.25">
      <c r="A565" t="s">
        <v>573</v>
      </c>
      <c r="B565" t="s">
        <v>494</v>
      </c>
      <c r="C565">
        <v>77460467</v>
      </c>
      <c r="D565">
        <v>9</v>
      </c>
      <c r="E565">
        <v>30817554</v>
      </c>
      <c r="F565" t="s">
        <v>574</v>
      </c>
      <c r="G565" s="1">
        <v>45218</v>
      </c>
      <c r="H565">
        <v>5406354</v>
      </c>
      <c r="I565">
        <v>112</v>
      </c>
      <c r="J565" t="s">
        <v>166</v>
      </c>
      <c r="K565" s="8" t="s">
        <v>742</v>
      </c>
      <c r="L565" s="4"/>
      <c r="M565" t="s">
        <v>681</v>
      </c>
      <c r="N565" s="5">
        <v>30817554</v>
      </c>
      <c r="O565" s="5">
        <v>33840</v>
      </c>
      <c r="P565" s="5">
        <v>6430</v>
      </c>
      <c r="Q565" s="5">
        <v>40270</v>
      </c>
    </row>
    <row r="566" spans="1:17" x14ac:dyDescent="0.25">
      <c r="A566" t="s">
        <v>573</v>
      </c>
      <c r="B566" t="s">
        <v>494</v>
      </c>
      <c r="C566">
        <v>77460467</v>
      </c>
      <c r="D566">
        <v>9</v>
      </c>
      <c r="E566">
        <v>30825670</v>
      </c>
      <c r="F566" t="s">
        <v>574</v>
      </c>
      <c r="G566" s="1">
        <v>45222</v>
      </c>
      <c r="H566">
        <v>5407868</v>
      </c>
      <c r="I566">
        <v>112</v>
      </c>
      <c r="J566" t="s">
        <v>166</v>
      </c>
      <c r="K566" s="8" t="s">
        <v>742</v>
      </c>
      <c r="L566" s="4"/>
      <c r="M566" t="s">
        <v>681</v>
      </c>
      <c r="N566" s="5">
        <v>30825670</v>
      </c>
      <c r="O566" s="5">
        <v>174972</v>
      </c>
      <c r="P566" s="5">
        <v>33245</v>
      </c>
      <c r="Q566" s="5">
        <v>208217</v>
      </c>
    </row>
    <row r="567" spans="1:17" x14ac:dyDescent="0.25">
      <c r="F567" t="s">
        <v>537</v>
      </c>
      <c r="K567" t="s">
        <v>681</v>
      </c>
      <c r="L567" s="4"/>
      <c r="M567" t="s">
        <v>681</v>
      </c>
      <c r="N567" s="5"/>
      <c r="O567" s="5">
        <v>741341</v>
      </c>
      <c r="P567" s="5">
        <v>140855</v>
      </c>
      <c r="Q567" s="5">
        <v>886966</v>
      </c>
    </row>
    <row r="568" spans="1:17" x14ac:dyDescent="0.25">
      <c r="A568" t="s">
        <v>496</v>
      </c>
      <c r="B568" t="s">
        <v>494</v>
      </c>
      <c r="C568">
        <v>77478120</v>
      </c>
      <c r="D568">
        <v>16</v>
      </c>
      <c r="E568">
        <v>4501457325</v>
      </c>
      <c r="F568" t="s">
        <v>575</v>
      </c>
      <c r="G568" s="1">
        <v>45201</v>
      </c>
      <c r="H568">
        <v>5394768</v>
      </c>
      <c r="I568">
        <v>3</v>
      </c>
      <c r="J568" t="s">
        <v>291</v>
      </c>
      <c r="K568" s="8" t="s">
        <v>742</v>
      </c>
      <c r="L568" s="4" t="s">
        <v>6</v>
      </c>
      <c r="M568" t="s">
        <v>681</v>
      </c>
      <c r="N568" s="5">
        <v>30761739</v>
      </c>
      <c r="O568" s="5">
        <v>50767</v>
      </c>
      <c r="P568" s="5">
        <v>9646</v>
      </c>
      <c r="Q568" s="5">
        <v>61879</v>
      </c>
    </row>
    <row r="569" spans="1:17" x14ac:dyDescent="0.25">
      <c r="A569" t="s">
        <v>496</v>
      </c>
      <c r="B569" t="s">
        <v>494</v>
      </c>
      <c r="C569">
        <v>77478120</v>
      </c>
      <c r="D569">
        <v>13</v>
      </c>
      <c r="E569">
        <v>4501458973</v>
      </c>
      <c r="F569" t="s">
        <v>575</v>
      </c>
      <c r="G569" s="1">
        <v>45204</v>
      </c>
      <c r="H569">
        <v>5398320</v>
      </c>
      <c r="I569">
        <v>3</v>
      </c>
      <c r="J569" t="s">
        <v>291</v>
      </c>
      <c r="K569" s="8" t="s">
        <v>742</v>
      </c>
      <c r="L569" s="4" t="s">
        <v>6</v>
      </c>
      <c r="M569" t="s">
        <v>681</v>
      </c>
      <c r="N569" s="5">
        <v>30781338</v>
      </c>
      <c r="O569" s="5">
        <v>244508</v>
      </c>
      <c r="P569" s="5">
        <v>46457</v>
      </c>
      <c r="Q569" s="5">
        <v>290965</v>
      </c>
    </row>
    <row r="570" spans="1:17" x14ac:dyDescent="0.25">
      <c r="A570" t="s">
        <v>496</v>
      </c>
      <c r="B570" t="s">
        <v>494</v>
      </c>
      <c r="C570">
        <v>77478120</v>
      </c>
      <c r="D570">
        <v>5</v>
      </c>
      <c r="E570">
        <v>4501459333</v>
      </c>
      <c r="F570" t="s">
        <v>575</v>
      </c>
      <c r="G570" s="1">
        <v>45209</v>
      </c>
      <c r="H570">
        <v>5400895</v>
      </c>
      <c r="I570">
        <v>3</v>
      </c>
      <c r="J570" t="s">
        <v>291</v>
      </c>
      <c r="K570" s="8" t="s">
        <v>742</v>
      </c>
      <c r="L570" s="4" t="s">
        <v>6</v>
      </c>
      <c r="M570" t="s">
        <v>681</v>
      </c>
      <c r="N570" s="5">
        <v>30785576</v>
      </c>
      <c r="O570" s="5">
        <v>31697</v>
      </c>
      <c r="P570" s="5">
        <v>6022</v>
      </c>
      <c r="Q570" s="5">
        <v>37719</v>
      </c>
    </row>
    <row r="571" spans="1:17" x14ac:dyDescent="0.25">
      <c r="A571" t="s">
        <v>496</v>
      </c>
      <c r="B571" t="s">
        <v>494</v>
      </c>
      <c r="C571">
        <v>77478120</v>
      </c>
      <c r="D571">
        <v>14</v>
      </c>
      <c r="E571">
        <v>4501459713</v>
      </c>
      <c r="F571" t="s">
        <v>575</v>
      </c>
      <c r="G571" s="1">
        <v>45210</v>
      </c>
      <c r="H571">
        <v>5402098</v>
      </c>
      <c r="I571">
        <v>3</v>
      </c>
      <c r="J571" t="s">
        <v>291</v>
      </c>
      <c r="K571" s="8" t="s">
        <v>742</v>
      </c>
      <c r="L571" s="4" t="s">
        <v>6</v>
      </c>
      <c r="M571" t="s">
        <v>681</v>
      </c>
      <c r="N571" s="5">
        <v>30798057</v>
      </c>
      <c r="O571" s="5">
        <v>43945</v>
      </c>
      <c r="P571" s="5">
        <v>8350</v>
      </c>
      <c r="Q571" s="5">
        <v>52295</v>
      </c>
    </row>
    <row r="572" spans="1:17" x14ac:dyDescent="0.25">
      <c r="A572" t="s">
        <v>496</v>
      </c>
      <c r="B572" t="s">
        <v>494</v>
      </c>
      <c r="C572">
        <v>77478120</v>
      </c>
      <c r="D572">
        <v>13</v>
      </c>
      <c r="E572">
        <v>4501459198</v>
      </c>
      <c r="F572" t="s">
        <v>575</v>
      </c>
      <c r="G572" s="1">
        <v>45211</v>
      </c>
      <c r="H572">
        <v>5402404</v>
      </c>
      <c r="I572">
        <v>3</v>
      </c>
      <c r="J572" t="s">
        <v>291</v>
      </c>
      <c r="K572" s="8" t="s">
        <v>742</v>
      </c>
      <c r="L572" s="4" t="s">
        <v>6</v>
      </c>
      <c r="M572" t="s">
        <v>681</v>
      </c>
      <c r="N572" s="5">
        <v>30798810</v>
      </c>
      <c r="O572" s="5">
        <v>112370</v>
      </c>
      <c r="P572" s="5">
        <v>21350</v>
      </c>
      <c r="Q572" s="5">
        <v>133720</v>
      </c>
    </row>
    <row r="573" spans="1:17" x14ac:dyDescent="0.25">
      <c r="A573" t="s">
        <v>496</v>
      </c>
      <c r="B573" t="s">
        <v>494</v>
      </c>
      <c r="C573">
        <v>77478120</v>
      </c>
      <c r="D573">
        <v>16</v>
      </c>
      <c r="E573">
        <v>4501460499</v>
      </c>
      <c r="F573" t="s">
        <v>575</v>
      </c>
      <c r="G573" s="1">
        <v>45224</v>
      </c>
      <c r="H573">
        <v>5408915</v>
      </c>
      <c r="I573">
        <v>3</v>
      </c>
      <c r="J573" t="s">
        <v>291</v>
      </c>
      <c r="K573" s="8" t="s">
        <v>742</v>
      </c>
      <c r="L573" s="4" t="s">
        <v>6</v>
      </c>
      <c r="M573" t="s">
        <v>681</v>
      </c>
      <c r="N573" s="5">
        <v>30827965</v>
      </c>
      <c r="O573" s="5">
        <v>51061</v>
      </c>
      <c r="P573" s="5">
        <v>9702</v>
      </c>
      <c r="Q573" s="5">
        <v>60763</v>
      </c>
    </row>
    <row r="574" spans="1:17" x14ac:dyDescent="0.25">
      <c r="F574" t="s">
        <v>523</v>
      </c>
      <c r="K574" t="s">
        <v>681</v>
      </c>
      <c r="L574" s="4"/>
      <c r="M574" t="s">
        <v>681</v>
      </c>
      <c r="N574" s="5"/>
      <c r="O574" s="5">
        <v>534348</v>
      </c>
      <c r="P574" s="5">
        <v>101527</v>
      </c>
      <c r="Q574" s="5">
        <v>637341</v>
      </c>
    </row>
    <row r="575" spans="1:17" x14ac:dyDescent="0.25">
      <c r="A575" t="s">
        <v>3</v>
      </c>
      <c r="B575" t="s">
        <v>494</v>
      </c>
      <c r="C575">
        <v>77575984</v>
      </c>
      <c r="D575">
        <v>37</v>
      </c>
      <c r="E575">
        <v>30771549</v>
      </c>
      <c r="F575" t="s">
        <v>577</v>
      </c>
      <c r="G575" s="1">
        <v>45202</v>
      </c>
      <c r="H575">
        <v>5395824</v>
      </c>
      <c r="I575">
        <v>44</v>
      </c>
      <c r="J575" t="s">
        <v>148</v>
      </c>
      <c r="K575" s="8" t="s">
        <v>742</v>
      </c>
      <c r="L575" s="4"/>
      <c r="M575" t="s">
        <v>681</v>
      </c>
      <c r="N575" s="5">
        <v>30771549</v>
      </c>
      <c r="O575" s="5">
        <v>290961</v>
      </c>
      <c r="P575" s="5">
        <v>55283</v>
      </c>
      <c r="Q575" s="5">
        <v>346244</v>
      </c>
    </row>
    <row r="576" spans="1:17" x14ac:dyDescent="0.25">
      <c r="A576" t="s">
        <v>3</v>
      </c>
      <c r="B576" t="s">
        <v>494</v>
      </c>
      <c r="C576">
        <v>77575984</v>
      </c>
      <c r="D576">
        <v>37</v>
      </c>
      <c r="E576">
        <v>30776696</v>
      </c>
      <c r="F576" t="s">
        <v>577</v>
      </c>
      <c r="G576" s="1">
        <v>45203</v>
      </c>
      <c r="H576">
        <v>5397099</v>
      </c>
      <c r="I576">
        <v>44</v>
      </c>
      <c r="J576" t="s">
        <v>148</v>
      </c>
      <c r="K576" s="8" t="s">
        <v>742</v>
      </c>
      <c r="L576" s="4"/>
      <c r="M576" t="s">
        <v>681</v>
      </c>
      <c r="N576" s="5">
        <v>30776696</v>
      </c>
      <c r="O576" s="5">
        <v>813765</v>
      </c>
      <c r="P576" s="5">
        <v>154615</v>
      </c>
      <c r="Q576" s="5">
        <v>968380</v>
      </c>
    </row>
    <row r="577" spans="1:17" x14ac:dyDescent="0.25">
      <c r="A577" t="s">
        <v>3</v>
      </c>
      <c r="B577" t="s">
        <v>494</v>
      </c>
      <c r="C577">
        <v>77575984</v>
      </c>
      <c r="D577">
        <v>37</v>
      </c>
      <c r="E577">
        <v>30777910</v>
      </c>
      <c r="F577" t="s">
        <v>577</v>
      </c>
      <c r="G577" s="1">
        <v>45204</v>
      </c>
      <c r="H577">
        <v>5397562</v>
      </c>
      <c r="I577">
        <v>44</v>
      </c>
      <c r="J577" t="s">
        <v>148</v>
      </c>
      <c r="K577" s="8" t="s">
        <v>742</v>
      </c>
      <c r="L577" s="4"/>
      <c r="M577" t="s">
        <v>681</v>
      </c>
      <c r="N577" s="5">
        <v>30777910</v>
      </c>
      <c r="O577" s="5">
        <v>988207</v>
      </c>
      <c r="P577" s="5">
        <v>187759</v>
      </c>
      <c r="Q577" s="5">
        <v>1175966</v>
      </c>
    </row>
    <row r="578" spans="1:17" x14ac:dyDescent="0.25">
      <c r="A578" t="s">
        <v>3</v>
      </c>
      <c r="B578" t="s">
        <v>494</v>
      </c>
      <c r="C578">
        <v>77575984</v>
      </c>
      <c r="D578">
        <v>37</v>
      </c>
      <c r="E578">
        <v>30777910</v>
      </c>
      <c r="F578" t="s">
        <v>577</v>
      </c>
      <c r="G578" s="1">
        <v>45204</v>
      </c>
      <c r="H578">
        <v>5397563</v>
      </c>
      <c r="I578">
        <v>44</v>
      </c>
      <c r="J578" t="s">
        <v>148</v>
      </c>
      <c r="K578" s="8" t="s">
        <v>742</v>
      </c>
      <c r="L578" s="4"/>
      <c r="M578" t="s">
        <v>681</v>
      </c>
      <c r="N578" s="5">
        <v>30777910</v>
      </c>
      <c r="O578" s="5">
        <v>107414</v>
      </c>
      <c r="P578" s="5">
        <v>20409</v>
      </c>
      <c r="Q578" s="5">
        <v>127823</v>
      </c>
    </row>
    <row r="579" spans="1:17" x14ac:dyDescent="0.25">
      <c r="A579" t="s">
        <v>3</v>
      </c>
      <c r="B579" t="s">
        <v>494</v>
      </c>
      <c r="C579">
        <v>77575984</v>
      </c>
      <c r="D579">
        <v>26</v>
      </c>
      <c r="E579">
        <v>30776789</v>
      </c>
      <c r="F579" t="s">
        <v>577</v>
      </c>
      <c r="G579" s="1">
        <v>45204</v>
      </c>
      <c r="H579">
        <v>5397620</v>
      </c>
      <c r="I579">
        <v>44</v>
      </c>
      <c r="J579" t="s">
        <v>148</v>
      </c>
      <c r="K579" s="8" t="s">
        <v>742</v>
      </c>
      <c r="L579" s="4"/>
      <c r="M579" t="s">
        <v>681</v>
      </c>
      <c r="N579" s="5">
        <v>30776789</v>
      </c>
      <c r="O579" s="5">
        <v>199926</v>
      </c>
      <c r="P579" s="5">
        <v>37986</v>
      </c>
      <c r="Q579" s="5">
        <v>237912</v>
      </c>
    </row>
    <row r="580" spans="1:17" x14ac:dyDescent="0.25">
      <c r="A580" t="s">
        <v>3</v>
      </c>
      <c r="B580" t="s">
        <v>494</v>
      </c>
      <c r="C580">
        <v>77575984</v>
      </c>
      <c r="D580">
        <v>30</v>
      </c>
      <c r="E580">
        <v>30761339</v>
      </c>
      <c r="F580" t="s">
        <v>577</v>
      </c>
      <c r="G580" s="1">
        <v>45209</v>
      </c>
      <c r="H580">
        <v>5400018</v>
      </c>
      <c r="I580">
        <v>44</v>
      </c>
      <c r="J580" t="s">
        <v>148</v>
      </c>
      <c r="K580" s="8" t="s">
        <v>742</v>
      </c>
      <c r="L580" s="4"/>
      <c r="M580" t="s">
        <v>681</v>
      </c>
      <c r="N580" s="5">
        <v>30761339</v>
      </c>
      <c r="O580" s="5">
        <v>7110816</v>
      </c>
      <c r="P580" s="5">
        <v>1351055</v>
      </c>
      <c r="Q580" s="5">
        <v>8461871</v>
      </c>
    </row>
    <row r="581" spans="1:17" x14ac:dyDescent="0.25">
      <c r="A581" t="s">
        <v>3</v>
      </c>
      <c r="B581" t="s">
        <v>494</v>
      </c>
      <c r="C581">
        <v>77575984</v>
      </c>
      <c r="D581">
        <v>30</v>
      </c>
      <c r="E581">
        <v>30761426</v>
      </c>
      <c r="F581" t="s">
        <v>577</v>
      </c>
      <c r="G581" s="1">
        <v>45209</v>
      </c>
      <c r="H581">
        <v>5400224</v>
      </c>
      <c r="I581">
        <v>44</v>
      </c>
      <c r="J581" t="s">
        <v>148</v>
      </c>
      <c r="K581" s="8" t="s">
        <v>742</v>
      </c>
      <c r="L581" s="4"/>
      <c r="M581" t="s">
        <v>681</v>
      </c>
      <c r="N581" s="5">
        <v>30761426</v>
      </c>
      <c r="O581" s="5">
        <v>1753008</v>
      </c>
      <c r="P581" s="5">
        <v>333072</v>
      </c>
      <c r="Q581" s="5">
        <v>2086080</v>
      </c>
    </row>
    <row r="582" spans="1:17" x14ac:dyDescent="0.25">
      <c r="A582" t="s">
        <v>3</v>
      </c>
      <c r="B582" t="s">
        <v>494</v>
      </c>
      <c r="C582">
        <v>77575984</v>
      </c>
      <c r="D582">
        <v>30</v>
      </c>
      <c r="E582">
        <v>30741794</v>
      </c>
      <c r="F582" t="s">
        <v>577</v>
      </c>
      <c r="G582" s="1">
        <v>45209</v>
      </c>
      <c r="H582">
        <v>5400872</v>
      </c>
      <c r="I582">
        <v>44</v>
      </c>
      <c r="J582" t="s">
        <v>148</v>
      </c>
      <c r="K582" s="8" t="s">
        <v>742</v>
      </c>
      <c r="L582" s="4"/>
      <c r="M582" t="s">
        <v>681</v>
      </c>
      <c r="N582" s="5">
        <v>30741794</v>
      </c>
      <c r="O582" s="5">
        <v>5759003</v>
      </c>
      <c r="P582" s="5">
        <v>1094211</v>
      </c>
      <c r="Q582" s="5">
        <v>6853214</v>
      </c>
    </row>
    <row r="583" spans="1:17" x14ac:dyDescent="0.25">
      <c r="A583" t="s">
        <v>3</v>
      </c>
      <c r="B583" t="s">
        <v>494</v>
      </c>
      <c r="C583">
        <v>77575984</v>
      </c>
      <c r="D583">
        <v>30</v>
      </c>
      <c r="E583">
        <v>30741794</v>
      </c>
      <c r="F583" t="s">
        <v>577</v>
      </c>
      <c r="G583" s="1">
        <v>45209</v>
      </c>
      <c r="H583">
        <v>5400873</v>
      </c>
      <c r="I583">
        <v>44</v>
      </c>
      <c r="J583" t="s">
        <v>148</v>
      </c>
      <c r="K583" s="8" t="s">
        <v>742</v>
      </c>
      <c r="L583" s="4"/>
      <c r="M583" t="s">
        <v>681</v>
      </c>
      <c r="N583" s="5">
        <v>30741794</v>
      </c>
      <c r="O583" s="5">
        <v>219210</v>
      </c>
      <c r="P583" s="5">
        <v>41650</v>
      </c>
      <c r="Q583" s="5">
        <v>260860</v>
      </c>
    </row>
    <row r="584" spans="1:17" x14ac:dyDescent="0.25">
      <c r="A584" t="s">
        <v>3</v>
      </c>
      <c r="B584" t="s">
        <v>494</v>
      </c>
      <c r="C584">
        <v>77575984</v>
      </c>
      <c r="D584">
        <v>30</v>
      </c>
      <c r="E584">
        <v>30741653</v>
      </c>
      <c r="F584" t="s">
        <v>577</v>
      </c>
      <c r="G584" s="1">
        <v>45209</v>
      </c>
      <c r="H584">
        <v>5400944</v>
      </c>
      <c r="I584">
        <v>44</v>
      </c>
      <c r="J584" t="s">
        <v>148</v>
      </c>
      <c r="K584" s="8" t="s">
        <v>742</v>
      </c>
      <c r="L584" s="4"/>
      <c r="M584" t="s">
        <v>681</v>
      </c>
      <c r="N584" s="5">
        <v>30741653</v>
      </c>
      <c r="O584" s="5">
        <v>9959021</v>
      </c>
      <c r="P584" s="5">
        <v>1892214</v>
      </c>
      <c r="Q584" s="5">
        <v>11851235</v>
      </c>
    </row>
    <row r="585" spans="1:17" x14ac:dyDescent="0.25">
      <c r="A585" t="s">
        <v>3</v>
      </c>
      <c r="B585" t="s">
        <v>494</v>
      </c>
      <c r="C585">
        <v>77575984</v>
      </c>
      <c r="D585">
        <v>30</v>
      </c>
      <c r="E585">
        <v>30741653</v>
      </c>
      <c r="F585" t="s">
        <v>577</v>
      </c>
      <c r="G585" s="1">
        <v>45209</v>
      </c>
      <c r="H585">
        <v>5400945</v>
      </c>
      <c r="I585">
        <v>44</v>
      </c>
      <c r="J585" t="s">
        <v>148</v>
      </c>
      <c r="K585" s="8" t="s">
        <v>742</v>
      </c>
      <c r="L585" s="4"/>
      <c r="M585" t="s">
        <v>681</v>
      </c>
      <c r="N585" s="5">
        <v>30741653</v>
      </c>
      <c r="O585" s="5">
        <v>1619302</v>
      </c>
      <c r="P585" s="5">
        <v>307667</v>
      </c>
      <c r="Q585" s="5">
        <v>1926969</v>
      </c>
    </row>
    <row r="586" spans="1:17" x14ac:dyDescent="0.25">
      <c r="A586" t="s">
        <v>3</v>
      </c>
      <c r="B586" t="s">
        <v>494</v>
      </c>
      <c r="C586">
        <v>77575984</v>
      </c>
      <c r="D586">
        <v>30</v>
      </c>
      <c r="E586">
        <v>30741587</v>
      </c>
      <c r="F586" t="s">
        <v>577</v>
      </c>
      <c r="G586" s="1">
        <v>45209</v>
      </c>
      <c r="H586">
        <v>5401550</v>
      </c>
      <c r="I586">
        <v>44</v>
      </c>
      <c r="J586" t="s">
        <v>148</v>
      </c>
      <c r="K586" s="8" t="s">
        <v>742</v>
      </c>
      <c r="L586" s="4"/>
      <c r="M586" t="s">
        <v>681</v>
      </c>
      <c r="N586" s="5">
        <v>30741587</v>
      </c>
      <c r="O586" s="5">
        <v>5480640</v>
      </c>
      <c r="P586" s="5">
        <v>1041322</v>
      </c>
      <c r="Q586" s="5">
        <v>6521962</v>
      </c>
    </row>
    <row r="587" spans="1:17" x14ac:dyDescent="0.25">
      <c r="A587" t="s">
        <v>3</v>
      </c>
      <c r="B587" t="s">
        <v>494</v>
      </c>
      <c r="C587">
        <v>77575984</v>
      </c>
      <c r="D587">
        <v>30</v>
      </c>
      <c r="E587">
        <v>30741752</v>
      </c>
      <c r="F587" t="s">
        <v>577</v>
      </c>
      <c r="G587" s="1">
        <v>45209</v>
      </c>
      <c r="H587">
        <v>5401551</v>
      </c>
      <c r="I587">
        <v>44</v>
      </c>
      <c r="J587" t="s">
        <v>148</v>
      </c>
      <c r="K587" s="8" t="s">
        <v>742</v>
      </c>
      <c r="L587" s="4"/>
      <c r="M587" t="s">
        <v>681</v>
      </c>
      <c r="N587" s="5">
        <v>30741752</v>
      </c>
      <c r="O587" s="5">
        <v>8849057</v>
      </c>
      <c r="P587" s="5">
        <v>1681321</v>
      </c>
      <c r="Q587" s="5">
        <v>10530378</v>
      </c>
    </row>
    <row r="588" spans="1:17" x14ac:dyDescent="0.25">
      <c r="A588" t="s">
        <v>3</v>
      </c>
      <c r="B588" t="s">
        <v>494</v>
      </c>
      <c r="C588">
        <v>77575984</v>
      </c>
      <c r="D588">
        <v>30</v>
      </c>
      <c r="E588">
        <v>30741752</v>
      </c>
      <c r="F588" t="s">
        <v>577</v>
      </c>
      <c r="G588" s="1">
        <v>45209</v>
      </c>
      <c r="H588">
        <v>5401552</v>
      </c>
      <c r="I588">
        <v>44</v>
      </c>
      <c r="J588" t="s">
        <v>148</v>
      </c>
      <c r="K588" s="8" t="s">
        <v>742</v>
      </c>
      <c r="L588" s="4"/>
      <c r="M588" t="s">
        <v>681</v>
      </c>
      <c r="N588" s="5">
        <v>30741752</v>
      </c>
      <c r="O588" s="5">
        <v>1440813</v>
      </c>
      <c r="P588" s="5">
        <v>273754</v>
      </c>
      <c r="Q588" s="5">
        <v>1714567</v>
      </c>
    </row>
    <row r="589" spans="1:17" x14ac:dyDescent="0.25">
      <c r="A589" t="s">
        <v>3</v>
      </c>
      <c r="B589" t="s">
        <v>494</v>
      </c>
      <c r="C589">
        <v>77575984</v>
      </c>
      <c r="D589">
        <v>37</v>
      </c>
      <c r="E589">
        <v>30797007</v>
      </c>
      <c r="F589" t="s">
        <v>577</v>
      </c>
      <c r="G589" s="1">
        <v>45210</v>
      </c>
      <c r="H589">
        <v>5401892</v>
      </c>
      <c r="I589">
        <v>44</v>
      </c>
      <c r="J589" t="s">
        <v>148</v>
      </c>
      <c r="K589" s="8" t="s">
        <v>742</v>
      </c>
      <c r="L589" s="4"/>
      <c r="M589" t="s">
        <v>681</v>
      </c>
      <c r="N589" s="5">
        <v>30797007</v>
      </c>
      <c r="O589" s="5">
        <v>388132</v>
      </c>
      <c r="P589" s="5">
        <v>73745</v>
      </c>
      <c r="Q589" s="5">
        <v>461877</v>
      </c>
    </row>
    <row r="590" spans="1:17" x14ac:dyDescent="0.25">
      <c r="A590" t="s">
        <v>3</v>
      </c>
      <c r="B590" t="s">
        <v>494</v>
      </c>
      <c r="C590">
        <v>77575984</v>
      </c>
      <c r="D590">
        <v>37</v>
      </c>
      <c r="E590">
        <v>30799210</v>
      </c>
      <c r="F590" t="s">
        <v>577</v>
      </c>
      <c r="G590" s="1">
        <v>45211</v>
      </c>
      <c r="H590">
        <v>5402444</v>
      </c>
      <c r="I590">
        <v>44</v>
      </c>
      <c r="J590" t="s">
        <v>148</v>
      </c>
      <c r="K590" s="8" t="s">
        <v>742</v>
      </c>
      <c r="L590" s="4"/>
      <c r="M590" t="s">
        <v>681</v>
      </c>
      <c r="N590" s="5">
        <v>30799210</v>
      </c>
      <c r="O590" s="5">
        <v>285381</v>
      </c>
      <c r="P590" s="5">
        <v>54222</v>
      </c>
      <c r="Q590" s="5">
        <v>339603</v>
      </c>
    </row>
    <row r="591" spans="1:17" x14ac:dyDescent="0.25">
      <c r="A591" t="s">
        <v>3</v>
      </c>
      <c r="B591" t="s">
        <v>494</v>
      </c>
      <c r="C591">
        <v>77575984</v>
      </c>
      <c r="D591">
        <v>20</v>
      </c>
      <c r="E591">
        <v>30799523</v>
      </c>
      <c r="F591" t="s">
        <v>577</v>
      </c>
      <c r="G591" s="1">
        <v>45211</v>
      </c>
      <c r="H591">
        <v>5402509</v>
      </c>
      <c r="I591">
        <v>44</v>
      </c>
      <c r="J591" t="s">
        <v>148</v>
      </c>
      <c r="K591" s="8" t="s">
        <v>742</v>
      </c>
      <c r="L591" s="4"/>
      <c r="M591" t="s">
        <v>681</v>
      </c>
      <c r="N591" s="5">
        <v>30799523</v>
      </c>
      <c r="O591" s="5">
        <v>110537</v>
      </c>
      <c r="P591" s="5">
        <v>21002</v>
      </c>
      <c r="Q591" s="5">
        <v>131539</v>
      </c>
    </row>
    <row r="592" spans="1:17" x14ac:dyDescent="0.25">
      <c r="A592" t="s">
        <v>3</v>
      </c>
      <c r="B592" t="s">
        <v>494</v>
      </c>
      <c r="C592">
        <v>77575984</v>
      </c>
      <c r="D592">
        <v>37</v>
      </c>
      <c r="E592">
        <v>30776398</v>
      </c>
      <c r="F592" t="s">
        <v>577</v>
      </c>
      <c r="G592" s="1">
        <v>45211</v>
      </c>
      <c r="H592">
        <v>5403023</v>
      </c>
      <c r="I592">
        <v>44</v>
      </c>
      <c r="J592" t="s">
        <v>148</v>
      </c>
      <c r="K592" s="8" t="s">
        <v>742</v>
      </c>
      <c r="L592" s="4"/>
      <c r="M592" t="s">
        <v>681</v>
      </c>
      <c r="N592" s="5">
        <v>30776398</v>
      </c>
      <c r="O592" s="5">
        <v>487098</v>
      </c>
      <c r="P592" s="5">
        <v>92549</v>
      </c>
      <c r="Q592" s="5">
        <v>579647</v>
      </c>
    </row>
    <row r="593" spans="1:17" x14ac:dyDescent="0.25">
      <c r="A593" t="s">
        <v>3</v>
      </c>
      <c r="B593" t="s">
        <v>494</v>
      </c>
      <c r="C593">
        <v>77575984</v>
      </c>
      <c r="D593">
        <v>30</v>
      </c>
      <c r="E593">
        <v>30741849</v>
      </c>
      <c r="F593" t="s">
        <v>577</v>
      </c>
      <c r="G593" s="1">
        <v>45211</v>
      </c>
      <c r="H593">
        <v>5403073</v>
      </c>
      <c r="I593">
        <v>44</v>
      </c>
      <c r="J593" t="s">
        <v>148</v>
      </c>
      <c r="K593" s="8" t="s">
        <v>742</v>
      </c>
      <c r="L593" s="4"/>
      <c r="M593" t="s">
        <v>681</v>
      </c>
      <c r="N593" s="5">
        <v>30741849</v>
      </c>
      <c r="O593" s="5">
        <v>3331692</v>
      </c>
      <c r="P593" s="5">
        <v>633021</v>
      </c>
      <c r="Q593" s="5">
        <v>3964713</v>
      </c>
    </row>
    <row r="594" spans="1:17" x14ac:dyDescent="0.25">
      <c r="A594" t="s">
        <v>3</v>
      </c>
      <c r="B594" t="s">
        <v>494</v>
      </c>
      <c r="C594">
        <v>77575984</v>
      </c>
      <c r="D594">
        <v>20</v>
      </c>
      <c r="E594">
        <v>30741621</v>
      </c>
      <c r="F594" t="s">
        <v>577</v>
      </c>
      <c r="G594" s="1">
        <v>45212</v>
      </c>
      <c r="H594">
        <v>5403698</v>
      </c>
      <c r="I594">
        <v>44</v>
      </c>
      <c r="J594" t="s">
        <v>148</v>
      </c>
      <c r="K594" s="8" t="s">
        <v>742</v>
      </c>
      <c r="L594" s="4"/>
      <c r="M594" t="s">
        <v>681</v>
      </c>
      <c r="N594" s="5">
        <v>30741621</v>
      </c>
      <c r="O594" s="5">
        <v>96114</v>
      </c>
      <c r="P594" s="5">
        <v>18262</v>
      </c>
      <c r="Q594" s="5">
        <v>114376</v>
      </c>
    </row>
    <row r="595" spans="1:17" x14ac:dyDescent="0.25">
      <c r="A595" t="s">
        <v>3</v>
      </c>
      <c r="B595" t="s">
        <v>494</v>
      </c>
      <c r="C595">
        <v>77575984</v>
      </c>
      <c r="D595">
        <v>30</v>
      </c>
      <c r="E595">
        <v>30741849</v>
      </c>
      <c r="F595" t="s">
        <v>577</v>
      </c>
      <c r="G595" s="1">
        <v>45215</v>
      </c>
      <c r="H595">
        <v>5404804</v>
      </c>
      <c r="I595">
        <v>44</v>
      </c>
      <c r="J595" t="s">
        <v>148</v>
      </c>
      <c r="K595" s="8" t="s">
        <v>742</v>
      </c>
      <c r="L595" s="4"/>
      <c r="M595" t="s">
        <v>681</v>
      </c>
      <c r="N595" s="5">
        <v>30800311</v>
      </c>
      <c r="O595" s="5">
        <v>99456</v>
      </c>
      <c r="P595" s="5">
        <v>18897</v>
      </c>
      <c r="Q595" s="5">
        <v>118353</v>
      </c>
    </row>
    <row r="596" spans="1:17" x14ac:dyDescent="0.25">
      <c r="A596" t="s">
        <v>3</v>
      </c>
      <c r="B596" t="s">
        <v>494</v>
      </c>
      <c r="C596">
        <v>77575984</v>
      </c>
      <c r="D596">
        <v>37</v>
      </c>
      <c r="E596">
        <v>30812035</v>
      </c>
      <c r="F596" t="s">
        <v>577</v>
      </c>
      <c r="G596" s="1">
        <v>45216</v>
      </c>
      <c r="H596">
        <v>5405516</v>
      </c>
      <c r="I596">
        <v>44</v>
      </c>
      <c r="J596" t="s">
        <v>148</v>
      </c>
      <c r="K596" s="8" t="s">
        <v>742</v>
      </c>
      <c r="L596" s="4"/>
      <c r="M596" t="s">
        <v>681</v>
      </c>
      <c r="N596" s="5">
        <v>30812035</v>
      </c>
      <c r="O596" s="5">
        <v>913497</v>
      </c>
      <c r="P596" s="5">
        <v>173564</v>
      </c>
      <c r="Q596" s="5">
        <v>1087061</v>
      </c>
    </row>
    <row r="597" spans="1:17" x14ac:dyDescent="0.25">
      <c r="A597" t="s">
        <v>3</v>
      </c>
      <c r="B597" t="s">
        <v>494</v>
      </c>
      <c r="C597">
        <v>77575984</v>
      </c>
      <c r="D597">
        <v>30</v>
      </c>
      <c r="E597">
        <v>30741794</v>
      </c>
      <c r="F597" t="s">
        <v>577</v>
      </c>
      <c r="G597" s="1">
        <v>45222</v>
      </c>
      <c r="H597">
        <v>5407605</v>
      </c>
      <c r="I597">
        <v>44</v>
      </c>
      <c r="J597" t="s">
        <v>148</v>
      </c>
      <c r="K597" s="8" t="s">
        <v>742</v>
      </c>
      <c r="L597" s="4"/>
      <c r="M597" t="s">
        <v>681</v>
      </c>
      <c r="N597" s="5">
        <v>30789317</v>
      </c>
      <c r="O597" s="5">
        <v>934930</v>
      </c>
      <c r="P597" s="5">
        <v>177637</v>
      </c>
      <c r="Q597" s="5">
        <v>1112567</v>
      </c>
    </row>
    <row r="598" spans="1:17" x14ac:dyDescent="0.25">
      <c r="A598" t="s">
        <v>3</v>
      </c>
      <c r="B598" t="s">
        <v>494</v>
      </c>
      <c r="C598">
        <v>77575984</v>
      </c>
      <c r="D598">
        <v>30</v>
      </c>
      <c r="E598">
        <v>30741524</v>
      </c>
      <c r="F598" t="s">
        <v>577</v>
      </c>
      <c r="G598" s="1">
        <v>45222</v>
      </c>
      <c r="H598">
        <v>5407695</v>
      </c>
      <c r="I598">
        <v>44</v>
      </c>
      <c r="J598" t="s">
        <v>148</v>
      </c>
      <c r="K598" s="8" t="s">
        <v>742</v>
      </c>
      <c r="L598" s="4"/>
      <c r="M598" t="s">
        <v>681</v>
      </c>
      <c r="N598" s="5">
        <v>30741524</v>
      </c>
      <c r="O598" s="5">
        <v>4020675</v>
      </c>
      <c r="P598" s="5">
        <v>763928</v>
      </c>
      <c r="Q598" s="5">
        <v>4784603</v>
      </c>
    </row>
    <row r="599" spans="1:17" x14ac:dyDescent="0.25">
      <c r="A599" t="s">
        <v>3</v>
      </c>
      <c r="B599" t="s">
        <v>494</v>
      </c>
      <c r="C599">
        <v>77575984</v>
      </c>
      <c r="D599">
        <v>30</v>
      </c>
      <c r="E599">
        <v>30797443</v>
      </c>
      <c r="F599" t="s">
        <v>577</v>
      </c>
      <c r="G599" s="1">
        <v>45222</v>
      </c>
      <c r="H599">
        <v>5407816</v>
      </c>
      <c r="I599">
        <v>44</v>
      </c>
      <c r="J599" t="s">
        <v>148</v>
      </c>
      <c r="K599" s="8" t="s">
        <v>742</v>
      </c>
      <c r="L599" s="4"/>
      <c r="M599" t="s">
        <v>681</v>
      </c>
      <c r="N599" s="5">
        <v>30797443</v>
      </c>
      <c r="O599" s="5">
        <v>928332</v>
      </c>
      <c r="P599" s="5">
        <v>176383</v>
      </c>
      <c r="Q599" s="5">
        <v>1104715</v>
      </c>
    </row>
    <row r="600" spans="1:17" x14ac:dyDescent="0.25">
      <c r="F600" t="s">
        <v>507</v>
      </c>
      <c r="K600" t="s">
        <v>681</v>
      </c>
      <c r="L600" s="4"/>
      <c r="M600" t="s">
        <v>681</v>
      </c>
      <c r="N600" s="5"/>
      <c r="O600" s="5">
        <v>56186987</v>
      </c>
      <c r="P600" s="5">
        <v>10675528</v>
      </c>
      <c r="Q600" s="5">
        <v>66862515</v>
      </c>
    </row>
    <row r="601" spans="1:17" x14ac:dyDescent="0.25">
      <c r="A601" t="s">
        <v>503</v>
      </c>
      <c r="B601" t="s">
        <v>494</v>
      </c>
      <c r="C601">
        <v>77612410</v>
      </c>
      <c r="D601">
        <v>0</v>
      </c>
      <c r="E601">
        <v>6001022180</v>
      </c>
      <c r="F601" t="s">
        <v>700</v>
      </c>
      <c r="G601" s="1">
        <v>45217</v>
      </c>
      <c r="H601">
        <v>5402200</v>
      </c>
      <c r="I601">
        <v>122</v>
      </c>
      <c r="J601" t="s">
        <v>396</v>
      </c>
      <c r="K601" s="8" t="s">
        <v>742</v>
      </c>
      <c r="L601" s="4"/>
      <c r="M601" t="s">
        <v>681</v>
      </c>
      <c r="N601" s="5">
        <v>30811979</v>
      </c>
      <c r="O601" s="5">
        <v>52176</v>
      </c>
      <c r="P601" s="5">
        <v>9913</v>
      </c>
      <c r="Q601" s="5">
        <v>62089</v>
      </c>
    </row>
    <row r="602" spans="1:17" x14ac:dyDescent="0.25">
      <c r="F602" t="s">
        <v>495</v>
      </c>
      <c r="K602" t="s">
        <v>681</v>
      </c>
      <c r="L602" s="4"/>
      <c r="M602" t="s">
        <v>681</v>
      </c>
      <c r="N602" s="5"/>
      <c r="O602" s="5">
        <v>52176</v>
      </c>
      <c r="P602" s="5">
        <v>9913</v>
      </c>
      <c r="Q602" s="5">
        <v>62089</v>
      </c>
    </row>
    <row r="603" spans="1:17" x14ac:dyDescent="0.25">
      <c r="A603" t="s">
        <v>496</v>
      </c>
      <c r="B603" t="s">
        <v>494</v>
      </c>
      <c r="C603">
        <v>77695987</v>
      </c>
      <c r="D603">
        <v>0</v>
      </c>
      <c r="E603">
        <v>23300678</v>
      </c>
      <c r="F603" t="s">
        <v>578</v>
      </c>
      <c r="G603" s="1">
        <v>45206</v>
      </c>
      <c r="H603">
        <v>5400727</v>
      </c>
      <c r="I603">
        <v>82</v>
      </c>
      <c r="J603" t="s">
        <v>238</v>
      </c>
      <c r="K603" s="7" t="s">
        <v>743</v>
      </c>
      <c r="L603" s="4"/>
      <c r="M603">
        <v>550545</v>
      </c>
      <c r="N603" s="5">
        <v>30792818</v>
      </c>
      <c r="O603" s="5">
        <v>1112634</v>
      </c>
      <c r="P603" s="5">
        <v>211400</v>
      </c>
      <c r="Q603" s="5">
        <v>1324034</v>
      </c>
    </row>
    <row r="604" spans="1:17" x14ac:dyDescent="0.25">
      <c r="A604" t="s">
        <v>496</v>
      </c>
      <c r="B604" t="s">
        <v>494</v>
      </c>
      <c r="C604">
        <v>77695987</v>
      </c>
      <c r="D604">
        <v>0</v>
      </c>
      <c r="E604">
        <v>23300678</v>
      </c>
      <c r="F604" t="s">
        <v>578</v>
      </c>
      <c r="G604" s="1">
        <v>45227</v>
      </c>
      <c r="H604">
        <v>5409624</v>
      </c>
      <c r="I604">
        <v>82</v>
      </c>
      <c r="J604" t="s">
        <v>238</v>
      </c>
      <c r="K604" s="8" t="s">
        <v>742</v>
      </c>
      <c r="L604" s="4"/>
      <c r="M604" t="s">
        <v>681</v>
      </c>
      <c r="N604" s="5">
        <v>30792965</v>
      </c>
      <c r="O604" s="5">
        <v>557490</v>
      </c>
      <c r="P604" s="5">
        <v>105923</v>
      </c>
      <c r="Q604" s="5">
        <v>663413</v>
      </c>
    </row>
    <row r="605" spans="1:17" x14ac:dyDescent="0.25">
      <c r="F605" t="s">
        <v>497</v>
      </c>
      <c r="K605" t="s">
        <v>681</v>
      </c>
      <c r="L605" s="4"/>
      <c r="M605" t="s">
        <v>681</v>
      </c>
      <c r="N605" s="5"/>
      <c r="O605" s="5">
        <v>1670124</v>
      </c>
      <c r="P605" s="5">
        <v>317323</v>
      </c>
      <c r="Q605" s="5">
        <v>1987447</v>
      </c>
    </row>
    <row r="606" spans="1:17" x14ac:dyDescent="0.25">
      <c r="A606" t="s">
        <v>503</v>
      </c>
      <c r="B606" t="s">
        <v>494</v>
      </c>
      <c r="C606">
        <v>77755610</v>
      </c>
      <c r="D606">
        <v>0</v>
      </c>
      <c r="E606">
        <v>4502132143</v>
      </c>
      <c r="F606" t="s">
        <v>701</v>
      </c>
      <c r="G606" s="1">
        <v>45212</v>
      </c>
      <c r="H606">
        <v>5403291</v>
      </c>
      <c r="I606">
        <v>100</v>
      </c>
      <c r="J606" t="s">
        <v>384</v>
      </c>
      <c r="K606" s="8" t="s">
        <v>742</v>
      </c>
      <c r="L606" s="4"/>
      <c r="M606" t="s">
        <v>681</v>
      </c>
      <c r="N606" s="5">
        <v>30802131</v>
      </c>
      <c r="O606" s="5">
        <v>33787</v>
      </c>
      <c r="P606" s="5">
        <v>6420</v>
      </c>
      <c r="Q606" s="5">
        <v>40207</v>
      </c>
    </row>
    <row r="607" spans="1:17" x14ac:dyDescent="0.25">
      <c r="A607" t="s">
        <v>503</v>
      </c>
      <c r="B607" t="s">
        <v>494</v>
      </c>
      <c r="C607">
        <v>77755610</v>
      </c>
      <c r="D607">
        <v>0</v>
      </c>
      <c r="E607">
        <v>4502132114</v>
      </c>
      <c r="F607" t="s">
        <v>701</v>
      </c>
      <c r="G607" s="1">
        <v>45212</v>
      </c>
      <c r="H607">
        <v>5403293</v>
      </c>
      <c r="I607">
        <v>100</v>
      </c>
      <c r="J607" t="s">
        <v>384</v>
      </c>
      <c r="K607" s="8" t="s">
        <v>742</v>
      </c>
      <c r="L607" s="4"/>
      <c r="M607" t="s">
        <v>681</v>
      </c>
      <c r="N607" s="5">
        <v>30802018</v>
      </c>
      <c r="O607" s="5">
        <v>65837</v>
      </c>
      <c r="P607" s="5">
        <v>12509</v>
      </c>
      <c r="Q607" s="5">
        <v>78346</v>
      </c>
    </row>
    <row r="608" spans="1:17" x14ac:dyDescent="0.25">
      <c r="A608" t="s">
        <v>503</v>
      </c>
      <c r="B608" t="s">
        <v>494</v>
      </c>
      <c r="C608">
        <v>77755610</v>
      </c>
      <c r="D608">
        <v>0</v>
      </c>
      <c r="E608">
        <v>4502140402</v>
      </c>
      <c r="F608" t="s">
        <v>701</v>
      </c>
      <c r="G608" s="1">
        <v>45217</v>
      </c>
      <c r="H608">
        <v>5406006</v>
      </c>
      <c r="I608">
        <v>100</v>
      </c>
      <c r="J608" t="s">
        <v>384</v>
      </c>
      <c r="K608" s="8" t="s">
        <v>742</v>
      </c>
      <c r="L608" s="4"/>
      <c r="M608" t="s">
        <v>681</v>
      </c>
      <c r="N608" s="5">
        <v>30815967</v>
      </c>
      <c r="O608" s="5">
        <v>176044</v>
      </c>
      <c r="P608" s="5">
        <v>33448</v>
      </c>
      <c r="Q608" s="5">
        <v>209492</v>
      </c>
    </row>
    <row r="609" spans="1:17" x14ac:dyDescent="0.25">
      <c r="F609" t="s">
        <v>500</v>
      </c>
      <c r="K609" t="s">
        <v>681</v>
      </c>
      <c r="L609" s="4"/>
      <c r="M609" t="s">
        <v>681</v>
      </c>
      <c r="N609" s="5"/>
      <c r="O609" s="5">
        <v>275668</v>
      </c>
      <c r="P609" s="5">
        <v>52377</v>
      </c>
      <c r="Q609" s="5">
        <v>328045</v>
      </c>
    </row>
    <row r="610" spans="1:17" x14ac:dyDescent="0.25">
      <c r="A610" t="s">
        <v>496</v>
      </c>
      <c r="B610" t="s">
        <v>494</v>
      </c>
      <c r="C610">
        <v>77807840</v>
      </c>
      <c r="D610">
        <v>8</v>
      </c>
      <c r="E610">
        <v>4501459432</v>
      </c>
      <c r="F610" t="s">
        <v>579</v>
      </c>
      <c r="G610" s="1">
        <v>45209</v>
      </c>
      <c r="H610">
        <v>5401490</v>
      </c>
      <c r="I610">
        <v>3</v>
      </c>
      <c r="J610" t="s">
        <v>291</v>
      </c>
      <c r="K610" s="8" t="s">
        <v>742</v>
      </c>
      <c r="L610" s="4" t="s">
        <v>6</v>
      </c>
      <c r="M610" t="s">
        <v>681</v>
      </c>
      <c r="N610" s="5">
        <v>30793429</v>
      </c>
      <c r="O610" s="5">
        <v>54965</v>
      </c>
      <c r="P610" s="5">
        <v>10443</v>
      </c>
      <c r="Q610" s="5">
        <v>65408</v>
      </c>
    </row>
    <row r="611" spans="1:17" x14ac:dyDescent="0.25">
      <c r="A611" t="s">
        <v>496</v>
      </c>
      <c r="B611" t="s">
        <v>494</v>
      </c>
      <c r="C611">
        <v>77807840</v>
      </c>
      <c r="D611">
        <v>2</v>
      </c>
      <c r="E611">
        <v>4501459349</v>
      </c>
      <c r="F611" t="s">
        <v>579</v>
      </c>
      <c r="G611" s="1">
        <v>45211</v>
      </c>
      <c r="H611">
        <v>5402711</v>
      </c>
      <c r="I611">
        <v>3</v>
      </c>
      <c r="J611" t="s">
        <v>291</v>
      </c>
      <c r="K611" s="8" t="s">
        <v>742</v>
      </c>
      <c r="L611" s="4" t="s">
        <v>6</v>
      </c>
      <c r="M611" t="s">
        <v>681</v>
      </c>
      <c r="N611" s="5">
        <v>30798149</v>
      </c>
      <c r="O611" s="5">
        <v>35250</v>
      </c>
      <c r="P611" s="5">
        <v>6698</v>
      </c>
      <c r="Q611" s="5">
        <v>41948</v>
      </c>
    </row>
    <row r="612" spans="1:17" x14ac:dyDescent="0.25">
      <c r="A612" t="s">
        <v>496</v>
      </c>
      <c r="B612" t="s">
        <v>494</v>
      </c>
      <c r="C612">
        <v>77807840</v>
      </c>
      <c r="D612">
        <v>3</v>
      </c>
      <c r="E612">
        <v>4501460590</v>
      </c>
      <c r="F612" t="s">
        <v>579</v>
      </c>
      <c r="G612" s="1">
        <v>45215</v>
      </c>
      <c r="H612">
        <v>5405343</v>
      </c>
      <c r="I612">
        <v>3</v>
      </c>
      <c r="J612" t="s">
        <v>291</v>
      </c>
      <c r="K612" s="8" t="s">
        <v>742</v>
      </c>
      <c r="L612" s="4" t="s">
        <v>6</v>
      </c>
      <c r="M612" t="s">
        <v>681</v>
      </c>
      <c r="N612" s="5">
        <v>30810988</v>
      </c>
      <c r="O612" s="5">
        <v>490548</v>
      </c>
      <c r="P612" s="5">
        <v>93204</v>
      </c>
      <c r="Q612" s="5">
        <v>583752</v>
      </c>
    </row>
    <row r="613" spans="1:17" x14ac:dyDescent="0.25">
      <c r="A613" t="s">
        <v>496</v>
      </c>
      <c r="B613" t="s">
        <v>494</v>
      </c>
      <c r="C613">
        <v>77807840</v>
      </c>
      <c r="D613">
        <v>9</v>
      </c>
      <c r="E613">
        <v>4501459380</v>
      </c>
      <c r="F613" t="s">
        <v>579</v>
      </c>
      <c r="G613" s="1">
        <v>45224</v>
      </c>
      <c r="H613">
        <v>5408609</v>
      </c>
      <c r="I613">
        <v>3</v>
      </c>
      <c r="J613" t="s">
        <v>291</v>
      </c>
      <c r="K613" s="8" t="s">
        <v>742</v>
      </c>
      <c r="L613" s="4" t="s">
        <v>6</v>
      </c>
      <c r="M613" t="s">
        <v>681</v>
      </c>
      <c r="N613" s="5">
        <v>30831027</v>
      </c>
      <c r="O613" s="5">
        <v>136552</v>
      </c>
      <c r="P613" s="5">
        <v>25945</v>
      </c>
      <c r="Q613" s="5">
        <v>162497</v>
      </c>
    </row>
    <row r="614" spans="1:17" x14ac:dyDescent="0.25">
      <c r="A614" t="s">
        <v>496</v>
      </c>
      <c r="B614" t="s">
        <v>494</v>
      </c>
      <c r="C614">
        <v>77807840</v>
      </c>
      <c r="D614">
        <v>4</v>
      </c>
      <c r="E614">
        <v>4501461566</v>
      </c>
      <c r="F614" t="s">
        <v>579</v>
      </c>
      <c r="G614" s="1">
        <v>45224</v>
      </c>
      <c r="H614">
        <v>5408908</v>
      </c>
      <c r="I614">
        <v>3</v>
      </c>
      <c r="J614" t="s">
        <v>291</v>
      </c>
      <c r="K614" s="8" t="s">
        <v>742</v>
      </c>
      <c r="L614" s="4" t="s">
        <v>6</v>
      </c>
      <c r="M614" t="s">
        <v>681</v>
      </c>
      <c r="N614" s="5">
        <v>30830094</v>
      </c>
      <c r="O614" s="5">
        <v>363774</v>
      </c>
      <c r="P614" s="5">
        <v>69117</v>
      </c>
      <c r="Q614" s="5">
        <v>432891</v>
      </c>
    </row>
    <row r="615" spans="1:17" x14ac:dyDescent="0.25">
      <c r="F615" t="s">
        <v>499</v>
      </c>
      <c r="K615" t="s">
        <v>681</v>
      </c>
      <c r="L615" s="4"/>
      <c r="M615" t="s">
        <v>681</v>
      </c>
      <c r="N615" s="5"/>
      <c r="O615" s="5">
        <v>1081089</v>
      </c>
      <c r="P615" s="5">
        <v>205407</v>
      </c>
      <c r="Q615" s="5">
        <v>1286496</v>
      </c>
    </row>
    <row r="616" spans="1:17" x14ac:dyDescent="0.25">
      <c r="A616" t="s">
        <v>503</v>
      </c>
      <c r="B616" t="s">
        <v>494</v>
      </c>
      <c r="C616">
        <v>78057000</v>
      </c>
      <c r="D616">
        <v>20</v>
      </c>
      <c r="E616">
        <v>30778120</v>
      </c>
      <c r="F616" t="s">
        <v>580</v>
      </c>
      <c r="G616" s="1">
        <v>45203</v>
      </c>
      <c r="H616">
        <v>5397208</v>
      </c>
      <c r="I616">
        <v>268</v>
      </c>
      <c r="J616" t="s">
        <v>154</v>
      </c>
      <c r="K616" t="s">
        <v>681</v>
      </c>
      <c r="L616" s="4" t="s">
        <v>830</v>
      </c>
      <c r="M616" t="s">
        <v>681</v>
      </c>
      <c r="N616" s="5">
        <v>30778120</v>
      </c>
      <c r="O616" s="5">
        <v>199200</v>
      </c>
      <c r="P616" s="5">
        <v>37848</v>
      </c>
      <c r="Q616" s="5">
        <v>237048</v>
      </c>
    </row>
    <row r="617" spans="1:17" x14ac:dyDescent="0.25">
      <c r="A617" t="s">
        <v>503</v>
      </c>
      <c r="B617" t="s">
        <v>494</v>
      </c>
      <c r="C617">
        <v>78057000</v>
      </c>
      <c r="D617">
        <v>20</v>
      </c>
      <c r="E617">
        <v>30779324</v>
      </c>
      <c r="F617" t="s">
        <v>580</v>
      </c>
      <c r="G617" s="1">
        <v>45203</v>
      </c>
      <c r="H617">
        <v>5397447</v>
      </c>
      <c r="I617">
        <v>268</v>
      </c>
      <c r="J617" t="s">
        <v>154</v>
      </c>
      <c r="K617" t="s">
        <v>681</v>
      </c>
      <c r="L617" s="4" t="s">
        <v>830</v>
      </c>
      <c r="M617" t="s">
        <v>681</v>
      </c>
      <c r="N617" s="5">
        <v>30779324</v>
      </c>
      <c r="O617" s="5">
        <v>41386</v>
      </c>
      <c r="P617" s="5">
        <v>7863</v>
      </c>
      <c r="Q617" s="5">
        <v>49249</v>
      </c>
    </row>
    <row r="618" spans="1:17" x14ac:dyDescent="0.25">
      <c r="A618" t="s">
        <v>503</v>
      </c>
      <c r="B618" t="s">
        <v>494</v>
      </c>
      <c r="C618">
        <v>78057000</v>
      </c>
      <c r="D618">
        <v>30</v>
      </c>
      <c r="E618">
        <v>30792057</v>
      </c>
      <c r="F618" t="s">
        <v>580</v>
      </c>
      <c r="G618" s="1">
        <v>45209</v>
      </c>
      <c r="H618">
        <v>5401286</v>
      </c>
      <c r="I618">
        <v>268</v>
      </c>
      <c r="J618" t="s">
        <v>154</v>
      </c>
      <c r="K618" t="s">
        <v>681</v>
      </c>
      <c r="L618" s="4" t="s">
        <v>830</v>
      </c>
      <c r="M618" t="s">
        <v>681</v>
      </c>
      <c r="N618" s="5">
        <v>30792057</v>
      </c>
      <c r="O618" s="5">
        <v>71589</v>
      </c>
      <c r="P618" s="5">
        <v>13602</v>
      </c>
      <c r="Q618" s="5">
        <v>85191</v>
      </c>
    </row>
    <row r="619" spans="1:17" x14ac:dyDescent="0.25">
      <c r="A619" t="s">
        <v>503</v>
      </c>
      <c r="B619" t="s">
        <v>494</v>
      </c>
      <c r="C619">
        <v>78057000</v>
      </c>
      <c r="D619">
        <v>3</v>
      </c>
      <c r="E619">
        <v>30791146</v>
      </c>
      <c r="F619" t="s">
        <v>580</v>
      </c>
      <c r="G619" s="1">
        <v>45209</v>
      </c>
      <c r="H619">
        <v>5401397</v>
      </c>
      <c r="I619">
        <v>268</v>
      </c>
      <c r="J619" t="s">
        <v>154</v>
      </c>
      <c r="K619" t="s">
        <v>681</v>
      </c>
      <c r="L619" s="4" t="s">
        <v>830</v>
      </c>
      <c r="M619" t="s">
        <v>681</v>
      </c>
      <c r="N619" s="5">
        <v>30791146</v>
      </c>
      <c r="O619" s="5">
        <v>40733</v>
      </c>
      <c r="P619" s="5">
        <v>7739</v>
      </c>
      <c r="Q619" s="5">
        <v>48472</v>
      </c>
    </row>
    <row r="620" spans="1:17" x14ac:dyDescent="0.25">
      <c r="A620" t="s">
        <v>503</v>
      </c>
      <c r="B620" t="s">
        <v>494</v>
      </c>
      <c r="C620">
        <v>78057000</v>
      </c>
      <c r="D620">
        <v>8</v>
      </c>
      <c r="E620">
        <v>4400014076</v>
      </c>
      <c r="F620" t="s">
        <v>580</v>
      </c>
      <c r="G620" s="1">
        <v>45229</v>
      </c>
      <c r="H620">
        <v>5402258</v>
      </c>
      <c r="I620">
        <v>37</v>
      </c>
      <c r="J620" t="s">
        <v>156</v>
      </c>
      <c r="K620" t="s">
        <v>681</v>
      </c>
      <c r="L620" s="4" t="s">
        <v>830</v>
      </c>
      <c r="M620" t="s">
        <v>681</v>
      </c>
      <c r="N620" s="5">
        <v>30825648</v>
      </c>
      <c r="O620" s="5">
        <v>508813</v>
      </c>
      <c r="P620" s="5">
        <v>96674</v>
      </c>
      <c r="Q620" s="5">
        <v>605487</v>
      </c>
    </row>
    <row r="621" spans="1:17" x14ac:dyDescent="0.25">
      <c r="A621" t="s">
        <v>503</v>
      </c>
      <c r="B621" t="s">
        <v>494</v>
      </c>
      <c r="C621">
        <v>78057000</v>
      </c>
      <c r="D621">
        <v>0</v>
      </c>
      <c r="E621">
        <v>30803737</v>
      </c>
      <c r="F621" t="s">
        <v>580</v>
      </c>
      <c r="G621" s="1">
        <v>45214</v>
      </c>
      <c r="H621">
        <v>5404366</v>
      </c>
      <c r="I621">
        <v>37</v>
      </c>
      <c r="J621" t="s">
        <v>156</v>
      </c>
      <c r="K621" t="s">
        <v>681</v>
      </c>
      <c r="L621" s="4" t="s">
        <v>830</v>
      </c>
      <c r="M621" t="s">
        <v>681</v>
      </c>
      <c r="N621" s="5">
        <v>30803737</v>
      </c>
      <c r="O621" s="5">
        <v>407203</v>
      </c>
      <c r="P621" s="5">
        <v>77369</v>
      </c>
      <c r="Q621" s="5">
        <v>485261</v>
      </c>
    </row>
    <row r="622" spans="1:17" x14ac:dyDescent="0.25">
      <c r="A622" t="s">
        <v>503</v>
      </c>
      <c r="B622" t="s">
        <v>494</v>
      </c>
      <c r="C622">
        <v>78057000</v>
      </c>
      <c r="D622">
        <v>0</v>
      </c>
      <c r="E622">
        <v>30803737</v>
      </c>
      <c r="F622" t="s">
        <v>580</v>
      </c>
      <c r="G622" s="1">
        <v>45214</v>
      </c>
      <c r="H622">
        <v>5404367</v>
      </c>
      <c r="I622">
        <v>37</v>
      </c>
      <c r="J622" t="s">
        <v>156</v>
      </c>
      <c r="K622" t="s">
        <v>681</v>
      </c>
      <c r="L622" s="4" t="s">
        <v>830</v>
      </c>
      <c r="M622" t="s">
        <v>681</v>
      </c>
      <c r="N622" s="5">
        <v>30803737</v>
      </c>
      <c r="O622" s="5">
        <v>32384</v>
      </c>
      <c r="P622" s="5">
        <v>6153</v>
      </c>
      <c r="Q622" s="5">
        <v>38537</v>
      </c>
    </row>
    <row r="623" spans="1:17" x14ac:dyDescent="0.25">
      <c r="A623" t="s">
        <v>503</v>
      </c>
      <c r="B623" t="s">
        <v>494</v>
      </c>
      <c r="C623">
        <v>78057000</v>
      </c>
      <c r="D623">
        <v>11</v>
      </c>
      <c r="E623">
        <v>30805739</v>
      </c>
      <c r="F623" t="s">
        <v>580</v>
      </c>
      <c r="G623" s="1">
        <v>45215</v>
      </c>
      <c r="H623">
        <v>5404418</v>
      </c>
      <c r="I623">
        <v>37</v>
      </c>
      <c r="J623" t="s">
        <v>156</v>
      </c>
      <c r="K623" t="s">
        <v>681</v>
      </c>
      <c r="L623" s="4" t="s">
        <v>830</v>
      </c>
      <c r="M623" t="s">
        <v>681</v>
      </c>
      <c r="N623" s="5">
        <v>30805739</v>
      </c>
      <c r="O623" s="5">
        <v>78984</v>
      </c>
      <c r="P623" s="5">
        <v>15007</v>
      </c>
      <c r="Q623" s="5">
        <v>93991</v>
      </c>
    </row>
    <row r="624" spans="1:17" x14ac:dyDescent="0.25">
      <c r="A624" t="s">
        <v>503</v>
      </c>
      <c r="B624" t="s">
        <v>494</v>
      </c>
      <c r="C624">
        <v>78057000</v>
      </c>
      <c r="D624">
        <v>18</v>
      </c>
      <c r="E624">
        <v>30812030</v>
      </c>
      <c r="F624" t="s">
        <v>580</v>
      </c>
      <c r="G624" s="1">
        <v>45217</v>
      </c>
      <c r="H624">
        <v>5406308</v>
      </c>
      <c r="I624">
        <v>37</v>
      </c>
      <c r="J624" t="s">
        <v>156</v>
      </c>
      <c r="K624" t="s">
        <v>681</v>
      </c>
      <c r="L624" s="4" t="s">
        <v>830</v>
      </c>
      <c r="M624" t="s">
        <v>681</v>
      </c>
      <c r="N624" s="5">
        <v>30812030</v>
      </c>
      <c r="O624" s="5">
        <v>121980</v>
      </c>
      <c r="P624" s="5">
        <v>23176</v>
      </c>
      <c r="Q624" s="5">
        <v>145156</v>
      </c>
    </row>
    <row r="625" spans="1:17" x14ac:dyDescent="0.25">
      <c r="A625" t="s">
        <v>503</v>
      </c>
      <c r="B625" t="s">
        <v>494</v>
      </c>
      <c r="C625">
        <v>78057000</v>
      </c>
      <c r="D625">
        <v>6</v>
      </c>
      <c r="E625">
        <v>30822209</v>
      </c>
      <c r="F625" t="s">
        <v>580</v>
      </c>
      <c r="G625" s="1">
        <v>45219</v>
      </c>
      <c r="H625">
        <v>5407438</v>
      </c>
      <c r="I625">
        <v>37</v>
      </c>
      <c r="J625" t="s">
        <v>156</v>
      </c>
      <c r="K625" t="s">
        <v>681</v>
      </c>
      <c r="L625" s="4" t="s">
        <v>830</v>
      </c>
      <c r="M625" t="s">
        <v>681</v>
      </c>
      <c r="N625" s="5">
        <v>30822209</v>
      </c>
      <c r="O625" s="5">
        <v>59709</v>
      </c>
      <c r="P625" s="5">
        <v>11345</v>
      </c>
      <c r="Q625" s="5">
        <v>71054</v>
      </c>
    </row>
    <row r="626" spans="1:17" x14ac:dyDescent="0.25">
      <c r="A626" t="s">
        <v>503</v>
      </c>
      <c r="B626" t="s">
        <v>494</v>
      </c>
      <c r="C626">
        <v>78057000</v>
      </c>
      <c r="D626">
        <v>8</v>
      </c>
      <c r="E626">
        <v>4400014067</v>
      </c>
      <c r="F626" t="s">
        <v>580</v>
      </c>
      <c r="G626" s="1">
        <v>45222</v>
      </c>
      <c r="H626">
        <v>5408024</v>
      </c>
      <c r="I626">
        <v>37</v>
      </c>
      <c r="J626" t="s">
        <v>156</v>
      </c>
      <c r="K626" t="s">
        <v>681</v>
      </c>
      <c r="L626" s="4" t="s">
        <v>830</v>
      </c>
      <c r="M626" t="s">
        <v>681</v>
      </c>
      <c r="N626" s="5">
        <v>30803819</v>
      </c>
      <c r="O626" s="5">
        <v>337632</v>
      </c>
      <c r="P626" s="5">
        <v>64150</v>
      </c>
      <c r="Q626" s="5">
        <v>401782</v>
      </c>
    </row>
    <row r="627" spans="1:17" x14ac:dyDescent="0.25">
      <c r="A627" t="s">
        <v>503</v>
      </c>
      <c r="B627" t="s">
        <v>494</v>
      </c>
      <c r="C627">
        <v>78057000</v>
      </c>
      <c r="D627">
        <v>24</v>
      </c>
      <c r="E627">
        <v>30831395</v>
      </c>
      <c r="F627" t="s">
        <v>580</v>
      </c>
      <c r="G627" s="1">
        <v>45229</v>
      </c>
      <c r="H627">
        <v>5409567</v>
      </c>
      <c r="I627">
        <v>37</v>
      </c>
      <c r="J627" t="s">
        <v>156</v>
      </c>
      <c r="K627" t="s">
        <v>681</v>
      </c>
      <c r="L627" s="4" t="s">
        <v>830</v>
      </c>
      <c r="M627" t="s">
        <v>681</v>
      </c>
      <c r="N627" s="5">
        <v>30831395</v>
      </c>
      <c r="O627" s="5">
        <v>20356</v>
      </c>
      <c r="P627" s="5">
        <v>3868</v>
      </c>
      <c r="Q627" s="5">
        <v>24224</v>
      </c>
    </row>
    <row r="628" spans="1:17" x14ac:dyDescent="0.25">
      <c r="A628" t="s">
        <v>503</v>
      </c>
      <c r="B628" t="s">
        <v>494</v>
      </c>
      <c r="C628">
        <v>78057000</v>
      </c>
      <c r="D628">
        <v>20</v>
      </c>
      <c r="E628">
        <v>30839556</v>
      </c>
      <c r="F628" t="s">
        <v>580</v>
      </c>
      <c r="G628" s="1">
        <v>45229</v>
      </c>
      <c r="H628">
        <v>5409984</v>
      </c>
      <c r="I628">
        <v>37</v>
      </c>
      <c r="J628" t="s">
        <v>156</v>
      </c>
      <c r="K628" t="s">
        <v>681</v>
      </c>
      <c r="L628" s="4" t="s">
        <v>830</v>
      </c>
      <c r="M628" t="s">
        <v>681</v>
      </c>
      <c r="N628" s="5">
        <v>30839556</v>
      </c>
      <c r="O628" s="5">
        <v>31626</v>
      </c>
      <c r="P628" s="5">
        <v>6009</v>
      </c>
      <c r="Q628" s="5">
        <v>37635</v>
      </c>
    </row>
    <row r="629" spans="1:17" x14ac:dyDescent="0.25">
      <c r="F629" t="s">
        <v>544</v>
      </c>
      <c r="K629" t="s">
        <v>681</v>
      </c>
      <c r="L629" s="4"/>
      <c r="M629" t="s">
        <v>681</v>
      </c>
      <c r="N629" s="5"/>
      <c r="O629" s="5">
        <v>1951595</v>
      </c>
      <c r="P629" s="5">
        <v>370803</v>
      </c>
      <c r="Q629" s="5">
        <v>2323087</v>
      </c>
    </row>
    <row r="630" spans="1:17" x14ac:dyDescent="0.25">
      <c r="A630" t="s">
        <v>503</v>
      </c>
      <c r="B630" t="s">
        <v>494</v>
      </c>
      <c r="C630">
        <v>78119320</v>
      </c>
      <c r="D630">
        <v>0</v>
      </c>
      <c r="E630">
        <v>23008967</v>
      </c>
      <c r="F630" t="s">
        <v>581</v>
      </c>
      <c r="G630" s="1">
        <v>45212</v>
      </c>
      <c r="H630">
        <v>5403535</v>
      </c>
      <c r="I630">
        <v>420</v>
      </c>
      <c r="J630" t="s">
        <v>265</v>
      </c>
      <c r="K630" s="8" t="s">
        <v>742</v>
      </c>
      <c r="L630" s="4"/>
      <c r="M630" t="s">
        <v>681</v>
      </c>
      <c r="N630" s="5">
        <v>30801663</v>
      </c>
      <c r="O630" s="5">
        <v>373616</v>
      </c>
      <c r="P630" s="5">
        <v>70987</v>
      </c>
      <c r="Q630" s="5">
        <v>444603</v>
      </c>
    </row>
    <row r="631" spans="1:17" x14ac:dyDescent="0.25">
      <c r="A631" t="s">
        <v>503</v>
      </c>
      <c r="B631" t="s">
        <v>494</v>
      </c>
      <c r="C631">
        <v>78119320</v>
      </c>
      <c r="D631">
        <v>0</v>
      </c>
      <c r="E631">
        <v>23001684</v>
      </c>
      <c r="F631" t="s">
        <v>581</v>
      </c>
      <c r="G631" s="1">
        <v>45225</v>
      </c>
      <c r="H631">
        <v>5409314</v>
      </c>
      <c r="I631">
        <v>420</v>
      </c>
      <c r="J631" t="s">
        <v>265</v>
      </c>
      <c r="K631" s="8" t="s">
        <v>742</v>
      </c>
      <c r="L631" s="4"/>
      <c r="M631" t="s">
        <v>681</v>
      </c>
      <c r="N631" s="5">
        <v>30824449</v>
      </c>
      <c r="O631" s="5">
        <v>245733</v>
      </c>
      <c r="P631" s="5">
        <v>46689</v>
      </c>
      <c r="Q631" s="5">
        <v>292422</v>
      </c>
    </row>
    <row r="632" spans="1:17" x14ac:dyDescent="0.25">
      <c r="F632" t="s">
        <v>497</v>
      </c>
      <c r="K632" t="s">
        <v>681</v>
      </c>
      <c r="L632" s="4"/>
      <c r="M632" t="s">
        <v>681</v>
      </c>
      <c r="N632" s="5"/>
      <c r="O632" s="5">
        <v>619349</v>
      </c>
      <c r="P632" s="5">
        <v>117676</v>
      </c>
      <c r="Q632" s="5">
        <v>737025</v>
      </c>
    </row>
    <row r="633" spans="1:17" x14ac:dyDescent="0.25">
      <c r="A633" t="s">
        <v>496</v>
      </c>
      <c r="B633" t="s">
        <v>494</v>
      </c>
      <c r="C633">
        <v>78200830</v>
      </c>
      <c r="D633">
        <v>7</v>
      </c>
      <c r="E633">
        <v>4600007231</v>
      </c>
      <c r="F633" t="s">
        <v>779</v>
      </c>
      <c r="G633" s="1">
        <v>45229</v>
      </c>
      <c r="H633">
        <v>5409540</v>
      </c>
      <c r="I633">
        <v>136</v>
      </c>
      <c r="J633" t="s">
        <v>313</v>
      </c>
      <c r="K633" s="8" t="s">
        <v>742</v>
      </c>
      <c r="L633" s="4" t="s">
        <v>6</v>
      </c>
      <c r="M633" t="s">
        <v>681</v>
      </c>
      <c r="N633" s="5">
        <v>30828342</v>
      </c>
      <c r="O633" s="5">
        <v>510496</v>
      </c>
      <c r="P633" s="5">
        <v>96994</v>
      </c>
      <c r="Q633" s="5">
        <v>607490</v>
      </c>
    </row>
    <row r="634" spans="1:17" x14ac:dyDescent="0.25">
      <c r="A634" t="s">
        <v>496</v>
      </c>
      <c r="B634" t="s">
        <v>494</v>
      </c>
      <c r="C634">
        <v>78200830</v>
      </c>
      <c r="D634">
        <v>4</v>
      </c>
      <c r="E634">
        <v>4600007262</v>
      </c>
      <c r="F634" t="s">
        <v>779</v>
      </c>
      <c r="G634" s="1">
        <v>45230</v>
      </c>
      <c r="H634">
        <v>5410267</v>
      </c>
      <c r="I634">
        <v>136</v>
      </c>
      <c r="J634" t="s">
        <v>313</v>
      </c>
      <c r="K634" s="8" t="s">
        <v>742</v>
      </c>
      <c r="L634" s="4" t="s">
        <v>6</v>
      </c>
      <c r="M634" t="s">
        <v>681</v>
      </c>
      <c r="N634" s="5">
        <v>30842995</v>
      </c>
      <c r="O634" s="5">
        <v>14460</v>
      </c>
      <c r="P634" s="5">
        <v>2747</v>
      </c>
      <c r="Q634" s="5">
        <v>17207</v>
      </c>
    </row>
    <row r="635" spans="1:17" x14ac:dyDescent="0.25">
      <c r="F635" t="s">
        <v>497</v>
      </c>
      <c r="K635" t="s">
        <v>681</v>
      </c>
      <c r="L635" s="4"/>
      <c r="M635" t="s">
        <v>681</v>
      </c>
      <c r="N635" s="5"/>
      <c r="O635" s="5">
        <v>524956</v>
      </c>
      <c r="P635" s="5">
        <v>99741</v>
      </c>
      <c r="Q635" s="5">
        <v>624697</v>
      </c>
    </row>
    <row r="636" spans="1:17" x14ac:dyDescent="0.25">
      <c r="A636" t="s">
        <v>512</v>
      </c>
      <c r="B636" t="s">
        <v>494</v>
      </c>
      <c r="C636">
        <v>79588870</v>
      </c>
      <c r="D636">
        <v>112</v>
      </c>
      <c r="E636">
        <v>30771536</v>
      </c>
      <c r="F636" t="s">
        <v>583</v>
      </c>
      <c r="G636" s="1">
        <v>45202</v>
      </c>
      <c r="H636">
        <v>5395791</v>
      </c>
      <c r="I636">
        <v>321</v>
      </c>
      <c r="J636" t="s">
        <v>202</v>
      </c>
      <c r="K636" s="7" t="s">
        <v>743</v>
      </c>
      <c r="L636" s="4"/>
      <c r="M636" t="s">
        <v>780</v>
      </c>
      <c r="N636" s="5">
        <v>30771536</v>
      </c>
      <c r="O636" s="5">
        <v>88817</v>
      </c>
      <c r="P636" s="5">
        <v>16875</v>
      </c>
      <c r="Q636" s="5">
        <v>105692</v>
      </c>
    </row>
    <row r="637" spans="1:17" x14ac:dyDescent="0.25">
      <c r="A637" t="s">
        <v>512</v>
      </c>
      <c r="B637" t="s">
        <v>494</v>
      </c>
      <c r="C637">
        <v>79588870</v>
      </c>
      <c r="D637">
        <v>3</v>
      </c>
      <c r="E637">
        <v>30771523</v>
      </c>
      <c r="F637" t="s">
        <v>583</v>
      </c>
      <c r="G637" s="1">
        <v>45202</v>
      </c>
      <c r="H637">
        <v>5395885</v>
      </c>
      <c r="I637">
        <v>321</v>
      </c>
      <c r="J637" t="s">
        <v>202</v>
      </c>
      <c r="K637" s="7" t="s">
        <v>743</v>
      </c>
      <c r="L637" s="4"/>
      <c r="M637" t="s">
        <v>780</v>
      </c>
      <c r="N637" s="5">
        <v>30771523</v>
      </c>
      <c r="O637" s="5">
        <v>585361</v>
      </c>
      <c r="P637" s="5">
        <v>111219</v>
      </c>
      <c r="Q637" s="5">
        <v>696580</v>
      </c>
    </row>
    <row r="638" spans="1:17" x14ac:dyDescent="0.25">
      <c r="A638" t="s">
        <v>512</v>
      </c>
      <c r="B638" t="s">
        <v>494</v>
      </c>
      <c r="C638">
        <v>79588870</v>
      </c>
      <c r="D638">
        <v>109</v>
      </c>
      <c r="E638">
        <v>30773335</v>
      </c>
      <c r="F638" t="s">
        <v>583</v>
      </c>
      <c r="G638" s="1">
        <v>45203</v>
      </c>
      <c r="H638">
        <v>5396511</v>
      </c>
      <c r="I638">
        <v>321</v>
      </c>
      <c r="J638" t="s">
        <v>202</v>
      </c>
      <c r="K638" s="7" t="s">
        <v>743</v>
      </c>
      <c r="L638" s="4"/>
      <c r="M638" t="s">
        <v>780</v>
      </c>
      <c r="N638" s="5">
        <v>30773335</v>
      </c>
      <c r="O638" s="5">
        <v>477230</v>
      </c>
      <c r="P638" s="5">
        <v>90674</v>
      </c>
      <c r="Q638" s="5">
        <v>567904</v>
      </c>
    </row>
    <row r="639" spans="1:17" x14ac:dyDescent="0.25">
      <c r="A639" t="s">
        <v>512</v>
      </c>
      <c r="B639" t="s">
        <v>494</v>
      </c>
      <c r="C639">
        <v>79588870</v>
      </c>
      <c r="D639">
        <v>28</v>
      </c>
      <c r="E639">
        <v>30775299</v>
      </c>
      <c r="F639" t="s">
        <v>583</v>
      </c>
      <c r="G639" s="1">
        <v>45203</v>
      </c>
      <c r="H639">
        <v>5396686</v>
      </c>
      <c r="I639">
        <v>321</v>
      </c>
      <c r="J639" t="s">
        <v>202</v>
      </c>
      <c r="K639" s="7" t="s">
        <v>743</v>
      </c>
      <c r="L639" s="4"/>
      <c r="M639" t="s">
        <v>780</v>
      </c>
      <c r="N639" s="5">
        <v>30775299</v>
      </c>
      <c r="O639" s="5">
        <v>150336</v>
      </c>
      <c r="P639" s="5">
        <v>28564</v>
      </c>
      <c r="Q639" s="5">
        <v>178900</v>
      </c>
    </row>
    <row r="640" spans="1:17" x14ac:dyDescent="0.25">
      <c r="A640" t="s">
        <v>512</v>
      </c>
      <c r="B640" t="s">
        <v>494</v>
      </c>
      <c r="C640">
        <v>79588870</v>
      </c>
      <c r="D640">
        <v>13</v>
      </c>
      <c r="E640">
        <v>30782368</v>
      </c>
      <c r="F640" t="s">
        <v>583</v>
      </c>
      <c r="G640" s="1">
        <v>45209</v>
      </c>
      <c r="H640">
        <v>5399318</v>
      </c>
      <c r="I640">
        <v>321</v>
      </c>
      <c r="J640" t="s">
        <v>202</v>
      </c>
      <c r="K640" s="7" t="s">
        <v>743</v>
      </c>
      <c r="L640" s="4"/>
      <c r="M640" t="s">
        <v>780</v>
      </c>
      <c r="N640" s="5">
        <v>30782368</v>
      </c>
      <c r="O640" s="5">
        <v>250284</v>
      </c>
      <c r="P640" s="5">
        <v>47554</v>
      </c>
      <c r="Q640" s="5">
        <v>297838</v>
      </c>
    </row>
    <row r="641" spans="1:17" x14ac:dyDescent="0.25">
      <c r="A641" t="s">
        <v>512</v>
      </c>
      <c r="B641" t="s">
        <v>494</v>
      </c>
      <c r="C641">
        <v>79588870</v>
      </c>
      <c r="D641">
        <v>16</v>
      </c>
      <c r="E641">
        <v>30786569</v>
      </c>
      <c r="F641" t="s">
        <v>583</v>
      </c>
      <c r="G641" s="1">
        <v>45209</v>
      </c>
      <c r="H641">
        <v>5401564</v>
      </c>
      <c r="I641">
        <v>321</v>
      </c>
      <c r="J641" t="s">
        <v>202</v>
      </c>
      <c r="K641" s="7" t="s">
        <v>743</v>
      </c>
      <c r="L641" s="4"/>
      <c r="M641" t="s">
        <v>780</v>
      </c>
      <c r="N641" s="5">
        <v>30786569</v>
      </c>
      <c r="O641" s="5">
        <v>39123</v>
      </c>
      <c r="P641" s="5">
        <v>7433</v>
      </c>
      <c r="Q641" s="5">
        <v>46556</v>
      </c>
    </row>
    <row r="642" spans="1:17" x14ac:dyDescent="0.25">
      <c r="A642" t="s">
        <v>512</v>
      </c>
      <c r="B642" t="s">
        <v>494</v>
      </c>
      <c r="C642">
        <v>79588870</v>
      </c>
      <c r="D642">
        <v>3</v>
      </c>
      <c r="E642">
        <v>30790848</v>
      </c>
      <c r="F642" t="s">
        <v>583</v>
      </c>
      <c r="G642" s="1">
        <v>45209</v>
      </c>
      <c r="H642">
        <v>5401565</v>
      </c>
      <c r="I642">
        <v>321</v>
      </c>
      <c r="J642" t="s">
        <v>202</v>
      </c>
      <c r="K642" s="7" t="s">
        <v>743</v>
      </c>
      <c r="L642" s="4"/>
      <c r="M642" t="s">
        <v>780</v>
      </c>
      <c r="N642" s="5">
        <v>30790848</v>
      </c>
      <c r="O642" s="5">
        <v>48009</v>
      </c>
      <c r="P642" s="5">
        <v>9122</v>
      </c>
      <c r="Q642" s="5">
        <v>57131</v>
      </c>
    </row>
    <row r="643" spans="1:17" x14ac:dyDescent="0.25">
      <c r="A643" t="s">
        <v>512</v>
      </c>
      <c r="B643" t="s">
        <v>494</v>
      </c>
      <c r="C643">
        <v>79588870</v>
      </c>
      <c r="D643">
        <v>37</v>
      </c>
      <c r="E643">
        <v>30787133</v>
      </c>
      <c r="F643" t="s">
        <v>583</v>
      </c>
      <c r="G643" s="1">
        <v>45209</v>
      </c>
      <c r="H643">
        <v>5401566</v>
      </c>
      <c r="I643">
        <v>321</v>
      </c>
      <c r="J643" t="s">
        <v>202</v>
      </c>
      <c r="K643" s="7" t="s">
        <v>743</v>
      </c>
      <c r="L643" s="4"/>
      <c r="M643" t="s">
        <v>780</v>
      </c>
      <c r="N643" s="5">
        <v>30787133</v>
      </c>
      <c r="O643" s="5">
        <v>48221</v>
      </c>
      <c r="P643" s="5">
        <v>9162</v>
      </c>
      <c r="Q643" s="5">
        <v>57383</v>
      </c>
    </row>
    <row r="644" spans="1:17" x14ac:dyDescent="0.25">
      <c r="A644" t="s">
        <v>512</v>
      </c>
      <c r="B644" t="s">
        <v>494</v>
      </c>
      <c r="C644">
        <v>79588870</v>
      </c>
      <c r="D644">
        <v>111</v>
      </c>
      <c r="E644">
        <v>30796308</v>
      </c>
      <c r="F644" t="s">
        <v>583</v>
      </c>
      <c r="G644" s="1">
        <v>45210</v>
      </c>
      <c r="H644">
        <v>5401761</v>
      </c>
      <c r="I644">
        <v>321</v>
      </c>
      <c r="J644" t="s">
        <v>202</v>
      </c>
      <c r="K644" s="7" t="s">
        <v>743</v>
      </c>
      <c r="L644" s="4"/>
      <c r="M644" t="s">
        <v>780</v>
      </c>
      <c r="N644" s="5">
        <v>30796308</v>
      </c>
      <c r="O644" s="5">
        <v>295727</v>
      </c>
      <c r="P644" s="5">
        <v>56188</v>
      </c>
      <c r="Q644" s="5">
        <v>351915</v>
      </c>
    </row>
    <row r="645" spans="1:17" x14ac:dyDescent="0.25">
      <c r="A645" t="s">
        <v>512</v>
      </c>
      <c r="B645" t="s">
        <v>494</v>
      </c>
      <c r="C645">
        <v>79588870</v>
      </c>
      <c r="D645">
        <v>21</v>
      </c>
      <c r="E645">
        <v>30796766</v>
      </c>
      <c r="F645" t="s">
        <v>583</v>
      </c>
      <c r="G645" s="1">
        <v>45210</v>
      </c>
      <c r="H645">
        <v>5402018</v>
      </c>
      <c r="I645">
        <v>321</v>
      </c>
      <c r="J645" t="s">
        <v>202</v>
      </c>
      <c r="K645" s="7" t="s">
        <v>743</v>
      </c>
      <c r="L645" s="4"/>
      <c r="M645" t="s">
        <v>780</v>
      </c>
      <c r="N645" s="5">
        <v>30796766</v>
      </c>
      <c r="O645" s="5">
        <v>161900</v>
      </c>
      <c r="P645" s="5">
        <v>30761</v>
      </c>
      <c r="Q645" s="5">
        <v>192661</v>
      </c>
    </row>
    <row r="646" spans="1:17" x14ac:dyDescent="0.25">
      <c r="A646" t="s">
        <v>512</v>
      </c>
      <c r="B646" t="s">
        <v>494</v>
      </c>
      <c r="C646">
        <v>79588870</v>
      </c>
      <c r="D646">
        <v>64</v>
      </c>
      <c r="E646">
        <v>30796300</v>
      </c>
      <c r="F646" t="s">
        <v>583</v>
      </c>
      <c r="G646" s="1">
        <v>45210</v>
      </c>
      <c r="H646">
        <v>5402140</v>
      </c>
      <c r="I646">
        <v>321</v>
      </c>
      <c r="J646" t="s">
        <v>202</v>
      </c>
      <c r="K646" s="7" t="s">
        <v>743</v>
      </c>
      <c r="L646" s="4"/>
      <c r="M646" t="s">
        <v>780</v>
      </c>
      <c r="N646" s="5">
        <v>30796300</v>
      </c>
      <c r="O646" s="5">
        <v>290746</v>
      </c>
      <c r="P646" s="5">
        <v>55242</v>
      </c>
      <c r="Q646" s="5">
        <v>345988</v>
      </c>
    </row>
    <row r="647" spans="1:17" x14ac:dyDescent="0.25">
      <c r="A647" t="s">
        <v>512</v>
      </c>
      <c r="B647" t="s">
        <v>494</v>
      </c>
      <c r="C647">
        <v>79588870</v>
      </c>
      <c r="D647">
        <v>20</v>
      </c>
      <c r="E647">
        <v>30798612</v>
      </c>
      <c r="F647" t="s">
        <v>583</v>
      </c>
      <c r="G647" s="1">
        <v>45211</v>
      </c>
      <c r="H647">
        <v>5402430</v>
      </c>
      <c r="I647">
        <v>321</v>
      </c>
      <c r="J647" t="s">
        <v>202</v>
      </c>
      <c r="K647" s="7" t="s">
        <v>743</v>
      </c>
      <c r="L647" s="4"/>
      <c r="M647" t="s">
        <v>780</v>
      </c>
      <c r="N647" s="5">
        <v>30798612</v>
      </c>
      <c r="O647" s="5">
        <v>326061</v>
      </c>
      <c r="P647" s="5">
        <v>61952</v>
      </c>
      <c r="Q647" s="5">
        <v>388013</v>
      </c>
    </row>
    <row r="648" spans="1:17" x14ac:dyDescent="0.25">
      <c r="A648" t="s">
        <v>512</v>
      </c>
      <c r="B648" t="s">
        <v>494</v>
      </c>
      <c r="C648">
        <v>79588870</v>
      </c>
      <c r="D648">
        <v>13</v>
      </c>
      <c r="E648">
        <v>30799164</v>
      </c>
      <c r="F648" t="s">
        <v>583</v>
      </c>
      <c r="G648" s="1">
        <v>45211</v>
      </c>
      <c r="H648">
        <v>5402619</v>
      </c>
      <c r="I648">
        <v>321</v>
      </c>
      <c r="J648" t="s">
        <v>202</v>
      </c>
      <c r="K648" s="7" t="s">
        <v>743</v>
      </c>
      <c r="L648" s="4"/>
      <c r="M648" t="s">
        <v>780</v>
      </c>
      <c r="N648" s="5">
        <v>30799164</v>
      </c>
      <c r="O648" s="5">
        <v>187788</v>
      </c>
      <c r="P648" s="5">
        <v>35680</v>
      </c>
      <c r="Q648" s="5">
        <v>223468</v>
      </c>
    </row>
    <row r="649" spans="1:17" x14ac:dyDescent="0.25">
      <c r="A649" t="s">
        <v>512</v>
      </c>
      <c r="B649" t="s">
        <v>494</v>
      </c>
      <c r="C649">
        <v>79588870</v>
      </c>
      <c r="D649">
        <v>106</v>
      </c>
      <c r="E649">
        <v>30797234</v>
      </c>
      <c r="F649" t="s">
        <v>583</v>
      </c>
      <c r="G649" s="1">
        <v>45211</v>
      </c>
      <c r="H649">
        <v>5402781</v>
      </c>
      <c r="I649">
        <v>321</v>
      </c>
      <c r="J649" t="s">
        <v>202</v>
      </c>
      <c r="K649" s="7" t="s">
        <v>743</v>
      </c>
      <c r="L649" s="4"/>
      <c r="M649" t="s">
        <v>780</v>
      </c>
      <c r="N649" s="5">
        <v>30797234</v>
      </c>
      <c r="O649" s="5">
        <v>1694592</v>
      </c>
      <c r="P649" s="5">
        <v>321972</v>
      </c>
      <c r="Q649" s="5">
        <v>2016564</v>
      </c>
    </row>
    <row r="650" spans="1:17" x14ac:dyDescent="0.25">
      <c r="A650" t="s">
        <v>512</v>
      </c>
      <c r="B650" t="s">
        <v>494</v>
      </c>
      <c r="C650">
        <v>79588870</v>
      </c>
      <c r="D650">
        <v>32</v>
      </c>
      <c r="E650">
        <v>30800702</v>
      </c>
      <c r="F650" t="s">
        <v>583</v>
      </c>
      <c r="G650" s="1">
        <v>45211</v>
      </c>
      <c r="H650">
        <v>5402939</v>
      </c>
      <c r="I650">
        <v>321</v>
      </c>
      <c r="J650" t="s">
        <v>202</v>
      </c>
      <c r="K650" s="7" t="s">
        <v>743</v>
      </c>
      <c r="L650" s="4"/>
      <c r="M650" t="s">
        <v>780</v>
      </c>
      <c r="N650" s="5">
        <v>30800702</v>
      </c>
      <c r="O650" s="5">
        <v>26172</v>
      </c>
      <c r="P650" s="5">
        <v>4973</v>
      </c>
      <c r="Q650" s="5">
        <v>31145</v>
      </c>
    </row>
    <row r="651" spans="1:17" x14ac:dyDescent="0.25">
      <c r="A651" t="s">
        <v>512</v>
      </c>
      <c r="B651" t="s">
        <v>494</v>
      </c>
      <c r="C651">
        <v>79588870</v>
      </c>
      <c r="D651">
        <v>3</v>
      </c>
      <c r="E651">
        <v>30803907</v>
      </c>
      <c r="F651" t="s">
        <v>583</v>
      </c>
      <c r="G651" s="1">
        <v>45212</v>
      </c>
      <c r="H651">
        <v>5403296</v>
      </c>
      <c r="I651">
        <v>321</v>
      </c>
      <c r="J651" t="s">
        <v>202</v>
      </c>
      <c r="K651" s="7" t="s">
        <v>743</v>
      </c>
      <c r="L651" s="4"/>
      <c r="M651" t="s">
        <v>780</v>
      </c>
      <c r="N651" s="5">
        <v>30803907</v>
      </c>
      <c r="O651" s="5">
        <v>68113</v>
      </c>
      <c r="P651" s="5">
        <v>12941</v>
      </c>
      <c r="Q651" s="5">
        <v>81054</v>
      </c>
    </row>
    <row r="652" spans="1:17" x14ac:dyDescent="0.25">
      <c r="A652" t="s">
        <v>512</v>
      </c>
      <c r="B652" t="s">
        <v>494</v>
      </c>
      <c r="C652">
        <v>79588870</v>
      </c>
      <c r="D652">
        <v>69</v>
      </c>
      <c r="E652">
        <v>30799860</v>
      </c>
      <c r="F652" t="s">
        <v>583</v>
      </c>
      <c r="G652" s="1">
        <v>45215</v>
      </c>
      <c r="H652">
        <v>5404179</v>
      </c>
      <c r="I652">
        <v>321</v>
      </c>
      <c r="J652" t="s">
        <v>202</v>
      </c>
      <c r="K652" s="7" t="s">
        <v>743</v>
      </c>
      <c r="L652" s="4"/>
      <c r="M652" t="s">
        <v>780</v>
      </c>
      <c r="N652" s="5">
        <v>30799860</v>
      </c>
      <c r="O652" s="5">
        <v>326769</v>
      </c>
      <c r="P652" s="5">
        <v>62086</v>
      </c>
      <c r="Q652" s="5">
        <v>388855</v>
      </c>
    </row>
    <row r="653" spans="1:17" x14ac:dyDescent="0.25">
      <c r="A653" t="s">
        <v>512</v>
      </c>
      <c r="B653" t="s">
        <v>494</v>
      </c>
      <c r="C653">
        <v>79588870</v>
      </c>
      <c r="D653">
        <v>18</v>
      </c>
      <c r="E653">
        <v>30801696</v>
      </c>
      <c r="F653" t="s">
        <v>583</v>
      </c>
      <c r="G653" s="1">
        <v>45215</v>
      </c>
      <c r="H653">
        <v>5404181</v>
      </c>
      <c r="I653">
        <v>321</v>
      </c>
      <c r="J653" t="s">
        <v>202</v>
      </c>
      <c r="K653" s="7" t="s">
        <v>743</v>
      </c>
      <c r="L653" s="4"/>
      <c r="M653" t="s">
        <v>780</v>
      </c>
      <c r="N653" s="5">
        <v>30801696</v>
      </c>
      <c r="O653" s="5">
        <v>143941</v>
      </c>
      <c r="P653" s="5">
        <v>27349</v>
      </c>
      <c r="Q653" s="5">
        <v>171290</v>
      </c>
    </row>
    <row r="654" spans="1:17" x14ac:dyDescent="0.25">
      <c r="A654" t="s">
        <v>512</v>
      </c>
      <c r="B654" t="s">
        <v>494</v>
      </c>
      <c r="C654">
        <v>79588870</v>
      </c>
      <c r="D654">
        <v>18</v>
      </c>
      <c r="E654">
        <v>30801696</v>
      </c>
      <c r="F654" t="s">
        <v>583</v>
      </c>
      <c r="G654" s="1">
        <v>45215</v>
      </c>
      <c r="H654">
        <v>5404182</v>
      </c>
      <c r="I654">
        <v>321</v>
      </c>
      <c r="J654" t="s">
        <v>202</v>
      </c>
      <c r="K654" s="7" t="s">
        <v>743</v>
      </c>
      <c r="L654" s="4"/>
      <c r="M654" t="s">
        <v>780</v>
      </c>
      <c r="N654" s="5">
        <v>30801696</v>
      </c>
      <c r="O654" s="5">
        <v>3824</v>
      </c>
      <c r="P654" s="5">
        <v>727</v>
      </c>
      <c r="Q654" s="5">
        <v>4551</v>
      </c>
    </row>
    <row r="655" spans="1:17" x14ac:dyDescent="0.25">
      <c r="A655" t="s">
        <v>512</v>
      </c>
      <c r="B655" t="s">
        <v>494</v>
      </c>
      <c r="C655">
        <v>79588870</v>
      </c>
      <c r="D655">
        <v>19</v>
      </c>
      <c r="E655">
        <v>30808873</v>
      </c>
      <c r="F655" t="s">
        <v>583</v>
      </c>
      <c r="G655" s="1">
        <v>45215</v>
      </c>
      <c r="H655">
        <v>5405167</v>
      </c>
      <c r="I655">
        <v>321</v>
      </c>
      <c r="J655" t="s">
        <v>202</v>
      </c>
      <c r="K655" s="7" t="s">
        <v>743</v>
      </c>
      <c r="L655" s="4"/>
      <c r="M655" t="s">
        <v>780</v>
      </c>
      <c r="N655" s="5">
        <v>30808873</v>
      </c>
      <c r="O655" s="5">
        <v>49456</v>
      </c>
      <c r="P655" s="5">
        <v>9397</v>
      </c>
      <c r="Q655" s="5">
        <v>58853</v>
      </c>
    </row>
    <row r="656" spans="1:17" x14ac:dyDescent="0.25">
      <c r="A656" t="s">
        <v>512</v>
      </c>
      <c r="B656" t="s">
        <v>494</v>
      </c>
      <c r="C656">
        <v>79588870</v>
      </c>
      <c r="D656">
        <v>29</v>
      </c>
      <c r="E656">
        <v>30812077</v>
      </c>
      <c r="F656" t="s">
        <v>583</v>
      </c>
      <c r="G656" s="1">
        <v>45216</v>
      </c>
      <c r="H656">
        <v>5405513</v>
      </c>
      <c r="I656">
        <v>321</v>
      </c>
      <c r="J656" t="s">
        <v>202</v>
      </c>
      <c r="K656" s="7" t="s">
        <v>743</v>
      </c>
      <c r="L656" s="4"/>
      <c r="M656" t="s">
        <v>780</v>
      </c>
      <c r="N656" s="5">
        <v>30812077</v>
      </c>
      <c r="O656" s="5">
        <v>83190</v>
      </c>
      <c r="P656" s="5">
        <v>15806</v>
      </c>
      <c r="Q656" s="5">
        <v>98996</v>
      </c>
    </row>
    <row r="657" spans="1:17" x14ac:dyDescent="0.25">
      <c r="A657" t="s">
        <v>512</v>
      </c>
      <c r="B657" t="s">
        <v>494</v>
      </c>
      <c r="C657">
        <v>79588870</v>
      </c>
      <c r="D657">
        <v>21</v>
      </c>
      <c r="E657">
        <v>30813304</v>
      </c>
      <c r="F657" t="s">
        <v>583</v>
      </c>
      <c r="G657" s="1">
        <v>45216</v>
      </c>
      <c r="H657">
        <v>5405640</v>
      </c>
      <c r="I657">
        <v>321</v>
      </c>
      <c r="J657" t="s">
        <v>202</v>
      </c>
      <c r="K657" s="7" t="s">
        <v>743</v>
      </c>
      <c r="L657" s="4"/>
      <c r="M657" t="s">
        <v>780</v>
      </c>
      <c r="N657" s="5">
        <v>30813304</v>
      </c>
      <c r="O657" s="5">
        <v>25028</v>
      </c>
      <c r="P657" s="5">
        <v>4755</v>
      </c>
      <c r="Q657" s="5">
        <v>29783</v>
      </c>
    </row>
    <row r="658" spans="1:17" x14ac:dyDescent="0.25">
      <c r="A658" t="s">
        <v>512</v>
      </c>
      <c r="B658" t="s">
        <v>494</v>
      </c>
      <c r="C658">
        <v>79588870</v>
      </c>
      <c r="D658">
        <v>3</v>
      </c>
      <c r="E658">
        <v>30813361</v>
      </c>
      <c r="F658" t="s">
        <v>583</v>
      </c>
      <c r="G658" s="1">
        <v>45216</v>
      </c>
      <c r="H658">
        <v>5405709</v>
      </c>
      <c r="I658">
        <v>321</v>
      </c>
      <c r="J658" t="s">
        <v>202</v>
      </c>
      <c r="K658" s="7" t="s">
        <v>743</v>
      </c>
      <c r="L658" s="4"/>
      <c r="M658" t="s">
        <v>780</v>
      </c>
      <c r="N658" s="5">
        <v>30813361</v>
      </c>
      <c r="O658" s="5">
        <v>77512</v>
      </c>
      <c r="P658" s="5">
        <v>14727</v>
      </c>
      <c r="Q658" s="5">
        <v>92239</v>
      </c>
    </row>
    <row r="659" spans="1:17" x14ac:dyDescent="0.25">
      <c r="A659" t="s">
        <v>512</v>
      </c>
      <c r="B659" t="s">
        <v>494</v>
      </c>
      <c r="C659">
        <v>79588870</v>
      </c>
      <c r="D659">
        <v>5</v>
      </c>
      <c r="E659">
        <v>30812073</v>
      </c>
      <c r="F659" t="s">
        <v>583</v>
      </c>
      <c r="G659" s="1">
        <v>45217</v>
      </c>
      <c r="H659">
        <v>5405867</v>
      </c>
      <c r="I659">
        <v>321</v>
      </c>
      <c r="J659" t="s">
        <v>202</v>
      </c>
      <c r="K659" s="7" t="s">
        <v>743</v>
      </c>
      <c r="L659" s="4"/>
      <c r="M659" t="s">
        <v>780</v>
      </c>
      <c r="N659" s="5">
        <v>30812073</v>
      </c>
      <c r="O659" s="5">
        <v>419189</v>
      </c>
      <c r="P659" s="5">
        <v>79646</v>
      </c>
      <c r="Q659" s="5">
        <v>500004</v>
      </c>
    </row>
    <row r="660" spans="1:17" x14ac:dyDescent="0.25">
      <c r="A660" t="s">
        <v>512</v>
      </c>
      <c r="B660" t="s">
        <v>494</v>
      </c>
      <c r="C660">
        <v>79588870</v>
      </c>
      <c r="D660">
        <v>7</v>
      </c>
      <c r="E660">
        <v>30814100</v>
      </c>
      <c r="F660" t="s">
        <v>583</v>
      </c>
      <c r="G660" s="1">
        <v>45217</v>
      </c>
      <c r="H660">
        <v>5405924</v>
      </c>
      <c r="I660">
        <v>321</v>
      </c>
      <c r="J660" t="s">
        <v>202</v>
      </c>
      <c r="K660" s="7" t="s">
        <v>743</v>
      </c>
      <c r="L660" s="4"/>
      <c r="M660" t="s">
        <v>780</v>
      </c>
      <c r="N660" s="5">
        <v>30814100</v>
      </c>
      <c r="O660" s="5">
        <v>377600</v>
      </c>
      <c r="P660" s="5">
        <v>71744</v>
      </c>
      <c r="Q660" s="5">
        <v>449838</v>
      </c>
    </row>
    <row r="661" spans="1:17" x14ac:dyDescent="0.25">
      <c r="A661" t="s">
        <v>512</v>
      </c>
      <c r="B661" t="s">
        <v>494</v>
      </c>
      <c r="C661">
        <v>79588870</v>
      </c>
      <c r="D661">
        <v>17</v>
      </c>
      <c r="E661">
        <v>30816298</v>
      </c>
      <c r="F661" t="s">
        <v>583</v>
      </c>
      <c r="G661" s="1">
        <v>45217</v>
      </c>
      <c r="H661">
        <v>5406169</v>
      </c>
      <c r="I661">
        <v>321</v>
      </c>
      <c r="J661" t="s">
        <v>202</v>
      </c>
      <c r="K661" s="7" t="s">
        <v>743</v>
      </c>
      <c r="L661" s="4"/>
      <c r="M661" t="s">
        <v>780</v>
      </c>
      <c r="N661" s="5">
        <v>30816298</v>
      </c>
      <c r="O661" s="5">
        <v>49896</v>
      </c>
      <c r="P661" s="5">
        <v>9480</v>
      </c>
      <c r="Q661" s="5">
        <v>59376</v>
      </c>
    </row>
    <row r="662" spans="1:17" x14ac:dyDescent="0.25">
      <c r="A662" t="s">
        <v>512</v>
      </c>
      <c r="B662" t="s">
        <v>494</v>
      </c>
      <c r="C662">
        <v>79588870</v>
      </c>
      <c r="D662">
        <v>23</v>
      </c>
      <c r="E662">
        <v>30816474</v>
      </c>
      <c r="F662" t="s">
        <v>583</v>
      </c>
      <c r="G662" s="1">
        <v>45217</v>
      </c>
      <c r="H662">
        <v>5406271</v>
      </c>
      <c r="I662">
        <v>321</v>
      </c>
      <c r="J662" t="s">
        <v>202</v>
      </c>
      <c r="K662" s="7" t="s">
        <v>743</v>
      </c>
      <c r="L662" s="4"/>
      <c r="M662" t="s">
        <v>780</v>
      </c>
      <c r="N662" s="5">
        <v>30816474</v>
      </c>
      <c r="O662" s="5">
        <v>49463</v>
      </c>
      <c r="P662" s="5">
        <v>9398</v>
      </c>
      <c r="Q662" s="5">
        <v>58861</v>
      </c>
    </row>
    <row r="663" spans="1:17" x14ac:dyDescent="0.25">
      <c r="A663" t="s">
        <v>512</v>
      </c>
      <c r="B663" t="s">
        <v>494</v>
      </c>
      <c r="C663">
        <v>79588870</v>
      </c>
      <c r="D663">
        <v>20</v>
      </c>
      <c r="E663">
        <v>30819339</v>
      </c>
      <c r="F663" t="s">
        <v>583</v>
      </c>
      <c r="G663" s="1">
        <v>45218</v>
      </c>
      <c r="H663">
        <v>5406510</v>
      </c>
      <c r="I663">
        <v>321</v>
      </c>
      <c r="J663" t="s">
        <v>202</v>
      </c>
      <c r="K663" s="7" t="s">
        <v>743</v>
      </c>
      <c r="L663" s="4"/>
      <c r="M663" t="s">
        <v>780</v>
      </c>
      <c r="N663" s="5">
        <v>30819339</v>
      </c>
      <c r="O663" s="5">
        <v>55538</v>
      </c>
      <c r="P663" s="5">
        <v>10552</v>
      </c>
      <c r="Q663" s="5">
        <v>66090</v>
      </c>
    </row>
    <row r="664" spans="1:17" x14ac:dyDescent="0.25">
      <c r="A664" t="s">
        <v>512</v>
      </c>
      <c r="B664" t="s">
        <v>494</v>
      </c>
      <c r="C664">
        <v>79588870</v>
      </c>
      <c r="D664">
        <v>106</v>
      </c>
      <c r="E664">
        <v>30823605</v>
      </c>
      <c r="F664" t="s">
        <v>583</v>
      </c>
      <c r="G664" s="1">
        <v>45219</v>
      </c>
      <c r="H664">
        <v>5407047</v>
      </c>
      <c r="I664">
        <v>321</v>
      </c>
      <c r="J664" t="s">
        <v>202</v>
      </c>
      <c r="K664" s="7" t="s">
        <v>743</v>
      </c>
      <c r="L664" s="4"/>
      <c r="M664" t="s">
        <v>780</v>
      </c>
      <c r="N664" s="5">
        <v>30823605</v>
      </c>
      <c r="O664" s="5">
        <v>81996</v>
      </c>
      <c r="P664" s="5">
        <v>15579</v>
      </c>
      <c r="Q664" s="5">
        <v>97575</v>
      </c>
    </row>
    <row r="665" spans="1:17" x14ac:dyDescent="0.25">
      <c r="A665" t="s">
        <v>512</v>
      </c>
      <c r="B665" t="s">
        <v>494</v>
      </c>
      <c r="C665">
        <v>79588870</v>
      </c>
      <c r="D665">
        <v>28</v>
      </c>
      <c r="E665">
        <v>30825980</v>
      </c>
      <c r="F665" t="s">
        <v>583</v>
      </c>
      <c r="G665" s="1">
        <v>45222</v>
      </c>
      <c r="H665">
        <v>5407938</v>
      </c>
      <c r="I665">
        <v>321</v>
      </c>
      <c r="J665" t="s">
        <v>202</v>
      </c>
      <c r="K665" s="7" t="s">
        <v>743</v>
      </c>
      <c r="L665" s="4"/>
      <c r="M665" t="s">
        <v>780</v>
      </c>
      <c r="N665" s="5">
        <v>30825980</v>
      </c>
      <c r="O665" s="5">
        <v>152873</v>
      </c>
      <c r="P665" s="5">
        <v>29046</v>
      </c>
      <c r="Q665" s="5">
        <v>181919</v>
      </c>
    </row>
    <row r="666" spans="1:17" x14ac:dyDescent="0.25">
      <c r="F666" t="s">
        <v>582</v>
      </c>
      <c r="K666" t="s">
        <v>681</v>
      </c>
      <c r="L666" s="4"/>
      <c r="M666" t="s">
        <v>681</v>
      </c>
      <c r="N666" s="5"/>
      <c r="O666" s="5">
        <v>6634755</v>
      </c>
      <c r="P666" s="5">
        <v>1260604</v>
      </c>
      <c r="Q666" s="5">
        <v>7897022</v>
      </c>
    </row>
    <row r="667" spans="1:17" x14ac:dyDescent="0.25">
      <c r="A667" t="s">
        <v>3</v>
      </c>
      <c r="B667" t="s">
        <v>494</v>
      </c>
      <c r="C667">
        <v>79649970</v>
      </c>
      <c r="D667">
        <v>4</v>
      </c>
      <c r="E667">
        <v>30770866</v>
      </c>
      <c r="F667" t="s">
        <v>584</v>
      </c>
      <c r="G667" s="1">
        <v>45202</v>
      </c>
      <c r="H667">
        <v>5395844</v>
      </c>
      <c r="I667">
        <v>64</v>
      </c>
      <c r="J667" t="s">
        <v>138</v>
      </c>
      <c r="K667" t="s">
        <v>681</v>
      </c>
      <c r="L667" s="4"/>
      <c r="M667" t="s">
        <v>681</v>
      </c>
      <c r="N667" s="5">
        <v>30770866</v>
      </c>
      <c r="O667" s="5">
        <v>59245</v>
      </c>
      <c r="P667" s="5">
        <v>11257</v>
      </c>
      <c r="Q667" s="5">
        <v>70502</v>
      </c>
    </row>
    <row r="668" spans="1:17" x14ac:dyDescent="0.25">
      <c r="A668" t="s">
        <v>3</v>
      </c>
      <c r="B668" t="s">
        <v>494</v>
      </c>
      <c r="C668">
        <v>79649970</v>
      </c>
      <c r="D668">
        <v>7</v>
      </c>
      <c r="E668">
        <v>30771040</v>
      </c>
      <c r="F668" t="s">
        <v>584</v>
      </c>
      <c r="G668" s="1">
        <v>45202</v>
      </c>
      <c r="H668">
        <v>5396225</v>
      </c>
      <c r="I668">
        <v>64</v>
      </c>
      <c r="J668" t="s">
        <v>138</v>
      </c>
      <c r="K668" t="s">
        <v>681</v>
      </c>
      <c r="L668" s="4"/>
      <c r="M668" t="s">
        <v>681</v>
      </c>
      <c r="N668" s="5">
        <v>30771040</v>
      </c>
      <c r="O668" s="5">
        <v>234391</v>
      </c>
      <c r="P668" s="5">
        <v>44534</v>
      </c>
      <c r="Q668" s="5">
        <v>278925</v>
      </c>
    </row>
    <row r="669" spans="1:17" x14ac:dyDescent="0.25">
      <c r="A669" t="s">
        <v>3</v>
      </c>
      <c r="B669" t="s">
        <v>494</v>
      </c>
      <c r="C669">
        <v>79649970</v>
      </c>
      <c r="D669">
        <v>29</v>
      </c>
      <c r="E669">
        <v>30776545</v>
      </c>
      <c r="F669" t="s">
        <v>584</v>
      </c>
      <c r="G669" s="1">
        <v>45203</v>
      </c>
      <c r="H669">
        <v>5396919</v>
      </c>
      <c r="I669">
        <v>64</v>
      </c>
      <c r="J669" t="s">
        <v>138</v>
      </c>
      <c r="K669" t="s">
        <v>681</v>
      </c>
      <c r="L669" s="4"/>
      <c r="M669" t="s">
        <v>681</v>
      </c>
      <c r="N669" s="5">
        <v>30776545</v>
      </c>
      <c r="O669" s="5">
        <v>90862</v>
      </c>
      <c r="P669" s="5">
        <v>17264</v>
      </c>
      <c r="Q669" s="5">
        <v>108126</v>
      </c>
    </row>
    <row r="670" spans="1:17" x14ac:dyDescent="0.25">
      <c r="A670" t="s">
        <v>3</v>
      </c>
      <c r="B670" t="s">
        <v>494</v>
      </c>
      <c r="C670">
        <v>79649970</v>
      </c>
      <c r="D670">
        <v>20</v>
      </c>
      <c r="E670">
        <v>30775968</v>
      </c>
      <c r="F670" t="s">
        <v>584</v>
      </c>
      <c r="G670" s="1">
        <v>45203</v>
      </c>
      <c r="H670">
        <v>5396922</v>
      </c>
      <c r="I670">
        <v>64</v>
      </c>
      <c r="J670" t="s">
        <v>138</v>
      </c>
      <c r="K670" t="s">
        <v>681</v>
      </c>
      <c r="L670" s="4"/>
      <c r="M670" t="s">
        <v>681</v>
      </c>
      <c r="N670" s="5">
        <v>30775968</v>
      </c>
      <c r="O670" s="5">
        <v>45993</v>
      </c>
      <c r="P670" s="5">
        <v>8739</v>
      </c>
      <c r="Q670" s="5">
        <v>54732</v>
      </c>
    </row>
    <row r="671" spans="1:17" x14ac:dyDescent="0.25">
      <c r="A671" t="s">
        <v>3</v>
      </c>
      <c r="B671" t="s">
        <v>494</v>
      </c>
      <c r="C671">
        <v>79649970</v>
      </c>
      <c r="D671">
        <v>3</v>
      </c>
      <c r="E671">
        <v>30776801</v>
      </c>
      <c r="F671" t="s">
        <v>584</v>
      </c>
      <c r="G671" s="1">
        <v>45203</v>
      </c>
      <c r="H671">
        <v>5396937</v>
      </c>
      <c r="I671">
        <v>64</v>
      </c>
      <c r="J671" t="s">
        <v>138</v>
      </c>
      <c r="K671" t="s">
        <v>681</v>
      </c>
      <c r="L671" s="4"/>
      <c r="M671" t="s">
        <v>681</v>
      </c>
      <c r="N671" s="5">
        <v>30776801</v>
      </c>
      <c r="O671" s="5">
        <v>93299</v>
      </c>
      <c r="P671" s="5">
        <v>17727</v>
      </c>
      <c r="Q671" s="5">
        <v>111026</v>
      </c>
    </row>
    <row r="672" spans="1:17" x14ac:dyDescent="0.25">
      <c r="A672" t="s">
        <v>3</v>
      </c>
      <c r="B672" t="s">
        <v>494</v>
      </c>
      <c r="C672">
        <v>79649970</v>
      </c>
      <c r="D672">
        <v>30</v>
      </c>
      <c r="E672">
        <v>30776963</v>
      </c>
      <c r="F672" t="s">
        <v>584</v>
      </c>
      <c r="G672" s="1">
        <v>45203</v>
      </c>
      <c r="H672">
        <v>5397218</v>
      </c>
      <c r="I672">
        <v>64</v>
      </c>
      <c r="J672" t="s">
        <v>138</v>
      </c>
      <c r="K672" t="s">
        <v>681</v>
      </c>
      <c r="L672" s="4"/>
      <c r="M672" t="s">
        <v>681</v>
      </c>
      <c r="N672" s="5">
        <v>30776963</v>
      </c>
      <c r="O672" s="5">
        <v>22613</v>
      </c>
      <c r="P672" s="5">
        <v>4296</v>
      </c>
      <c r="Q672" s="5">
        <v>26909</v>
      </c>
    </row>
    <row r="673" spans="1:17" x14ac:dyDescent="0.25">
      <c r="A673" t="s">
        <v>3</v>
      </c>
      <c r="B673" t="s">
        <v>494</v>
      </c>
      <c r="C673">
        <v>79649970</v>
      </c>
      <c r="D673">
        <v>25</v>
      </c>
      <c r="E673">
        <v>30777050</v>
      </c>
      <c r="F673" t="s">
        <v>584</v>
      </c>
      <c r="G673" s="1">
        <v>45203</v>
      </c>
      <c r="H673">
        <v>5397265</v>
      </c>
      <c r="I673">
        <v>64</v>
      </c>
      <c r="J673" t="s">
        <v>138</v>
      </c>
      <c r="K673" t="s">
        <v>681</v>
      </c>
      <c r="L673" s="4"/>
      <c r="M673" t="s">
        <v>681</v>
      </c>
      <c r="N673" s="5">
        <v>30777050</v>
      </c>
      <c r="O673" s="5">
        <v>28154</v>
      </c>
      <c r="P673" s="5">
        <v>5349</v>
      </c>
      <c r="Q673" s="5">
        <v>33503</v>
      </c>
    </row>
    <row r="674" spans="1:17" x14ac:dyDescent="0.25">
      <c r="A674" t="s">
        <v>3</v>
      </c>
      <c r="B674" t="s">
        <v>494</v>
      </c>
      <c r="C674">
        <v>79649970</v>
      </c>
      <c r="D674">
        <v>10</v>
      </c>
      <c r="E674">
        <v>30780349</v>
      </c>
      <c r="F674" t="s">
        <v>584</v>
      </c>
      <c r="G674" s="1">
        <v>45206</v>
      </c>
      <c r="H674">
        <v>5399029</v>
      </c>
      <c r="I674">
        <v>64</v>
      </c>
      <c r="J674" t="s">
        <v>138</v>
      </c>
      <c r="K674" t="s">
        <v>681</v>
      </c>
      <c r="L674" s="4"/>
      <c r="M674" t="s">
        <v>681</v>
      </c>
      <c r="N674" s="5">
        <v>30780349</v>
      </c>
      <c r="O674" s="5">
        <v>39777</v>
      </c>
      <c r="P674" s="5">
        <v>7558</v>
      </c>
      <c r="Q674" s="5">
        <v>47335</v>
      </c>
    </row>
    <row r="675" spans="1:17" x14ac:dyDescent="0.25">
      <c r="A675" t="s">
        <v>3</v>
      </c>
      <c r="B675" t="s">
        <v>494</v>
      </c>
      <c r="C675">
        <v>79649970</v>
      </c>
      <c r="D675">
        <v>5</v>
      </c>
      <c r="E675">
        <v>30778649</v>
      </c>
      <c r="F675" t="s">
        <v>584</v>
      </c>
      <c r="G675" s="1">
        <v>45206</v>
      </c>
      <c r="H675">
        <v>5399037</v>
      </c>
      <c r="I675">
        <v>64</v>
      </c>
      <c r="J675" t="s">
        <v>138</v>
      </c>
      <c r="K675" t="s">
        <v>681</v>
      </c>
      <c r="L675" s="4"/>
      <c r="M675" t="s">
        <v>681</v>
      </c>
      <c r="N675" s="5">
        <v>30778649</v>
      </c>
      <c r="O675" s="5">
        <v>36718</v>
      </c>
      <c r="P675" s="5">
        <v>6976</v>
      </c>
      <c r="Q675" s="5">
        <v>43694</v>
      </c>
    </row>
    <row r="676" spans="1:17" x14ac:dyDescent="0.25">
      <c r="A676" t="s">
        <v>3</v>
      </c>
      <c r="B676" t="s">
        <v>494</v>
      </c>
      <c r="C676">
        <v>79649970</v>
      </c>
      <c r="D676">
        <v>1</v>
      </c>
      <c r="E676">
        <v>30784387</v>
      </c>
      <c r="F676" t="s">
        <v>584</v>
      </c>
      <c r="G676" s="1">
        <v>45206</v>
      </c>
      <c r="H676">
        <v>5399098</v>
      </c>
      <c r="I676">
        <v>64</v>
      </c>
      <c r="J676" t="s">
        <v>138</v>
      </c>
      <c r="K676" t="s">
        <v>681</v>
      </c>
      <c r="L676" s="4"/>
      <c r="M676" t="s">
        <v>681</v>
      </c>
      <c r="N676" s="5">
        <v>30784387</v>
      </c>
      <c r="O676" s="5">
        <v>178845</v>
      </c>
      <c r="P676" s="5">
        <v>33981</v>
      </c>
      <c r="Q676" s="5">
        <v>212826</v>
      </c>
    </row>
    <row r="677" spans="1:17" x14ac:dyDescent="0.25">
      <c r="A677" t="s">
        <v>3</v>
      </c>
      <c r="B677" t="s">
        <v>494</v>
      </c>
      <c r="C677">
        <v>79649970</v>
      </c>
      <c r="D677">
        <v>26</v>
      </c>
      <c r="E677">
        <v>30792966</v>
      </c>
      <c r="F677" t="s">
        <v>584</v>
      </c>
      <c r="G677" s="1">
        <v>45206</v>
      </c>
      <c r="H677">
        <v>5400539</v>
      </c>
      <c r="I677">
        <v>64</v>
      </c>
      <c r="J677" t="s">
        <v>138</v>
      </c>
      <c r="K677" t="s">
        <v>681</v>
      </c>
      <c r="L677" s="4"/>
      <c r="M677" t="s">
        <v>681</v>
      </c>
      <c r="N677" s="5">
        <v>30792966</v>
      </c>
      <c r="O677" s="5">
        <v>35184</v>
      </c>
      <c r="P677" s="5">
        <v>6685</v>
      </c>
      <c r="Q677" s="5">
        <v>41869</v>
      </c>
    </row>
    <row r="678" spans="1:17" x14ac:dyDescent="0.25">
      <c r="A678" t="s">
        <v>3</v>
      </c>
      <c r="B678" t="s">
        <v>494</v>
      </c>
      <c r="C678">
        <v>79649970</v>
      </c>
      <c r="D678">
        <v>0</v>
      </c>
      <c r="E678">
        <v>1651</v>
      </c>
      <c r="F678" t="s">
        <v>584</v>
      </c>
      <c r="G678" s="1">
        <v>45213</v>
      </c>
      <c r="H678">
        <v>5404954</v>
      </c>
      <c r="I678">
        <v>64</v>
      </c>
      <c r="J678" t="s">
        <v>138</v>
      </c>
      <c r="K678" t="s">
        <v>681</v>
      </c>
      <c r="L678" s="4"/>
      <c r="M678" t="s">
        <v>681</v>
      </c>
      <c r="N678" s="5">
        <v>30787672</v>
      </c>
      <c r="O678" s="5">
        <v>5279</v>
      </c>
      <c r="P678" s="5">
        <v>1003</v>
      </c>
      <c r="Q678" s="5">
        <v>6282</v>
      </c>
    </row>
    <row r="679" spans="1:17" x14ac:dyDescent="0.25">
      <c r="A679" t="s">
        <v>3</v>
      </c>
      <c r="B679" t="s">
        <v>494</v>
      </c>
      <c r="C679">
        <v>79649970</v>
      </c>
      <c r="D679">
        <v>27</v>
      </c>
      <c r="E679">
        <v>30822470</v>
      </c>
      <c r="F679" t="s">
        <v>584</v>
      </c>
      <c r="G679" s="1">
        <v>45220</v>
      </c>
      <c r="H679">
        <v>5407274</v>
      </c>
      <c r="I679">
        <v>64</v>
      </c>
      <c r="J679" t="s">
        <v>138</v>
      </c>
      <c r="K679" t="s">
        <v>681</v>
      </c>
      <c r="L679" s="4"/>
      <c r="M679" t="s">
        <v>681</v>
      </c>
      <c r="N679" s="5">
        <v>30822470</v>
      </c>
      <c r="O679" s="5">
        <v>45241</v>
      </c>
      <c r="P679" s="5">
        <v>8596</v>
      </c>
      <c r="Q679" s="5">
        <v>53837</v>
      </c>
    </row>
    <row r="680" spans="1:17" x14ac:dyDescent="0.25">
      <c r="A680" t="s">
        <v>3</v>
      </c>
      <c r="B680" t="s">
        <v>494</v>
      </c>
      <c r="C680">
        <v>79649970</v>
      </c>
      <c r="D680">
        <v>9</v>
      </c>
      <c r="E680">
        <v>30822487</v>
      </c>
      <c r="F680" t="s">
        <v>584</v>
      </c>
      <c r="G680" s="1">
        <v>45220</v>
      </c>
      <c r="H680">
        <v>5407279</v>
      </c>
      <c r="I680">
        <v>64</v>
      </c>
      <c r="J680" t="s">
        <v>138</v>
      </c>
      <c r="K680" t="s">
        <v>681</v>
      </c>
      <c r="L680" s="4"/>
      <c r="M680" t="s">
        <v>681</v>
      </c>
      <c r="N680" s="5">
        <v>30822487</v>
      </c>
      <c r="O680" s="5">
        <v>30248</v>
      </c>
      <c r="P680" s="5">
        <v>5747</v>
      </c>
      <c r="Q680" s="5">
        <v>35995</v>
      </c>
    </row>
    <row r="681" spans="1:17" x14ac:dyDescent="0.25">
      <c r="F681" t="s">
        <v>576</v>
      </c>
      <c r="K681" t="s">
        <v>681</v>
      </c>
      <c r="L681" s="4"/>
      <c r="M681" t="s">
        <v>681</v>
      </c>
      <c r="N681" s="5"/>
      <c r="O681" s="5">
        <v>945849</v>
      </c>
      <c r="P681" s="5">
        <v>179712</v>
      </c>
      <c r="Q681" s="5">
        <v>1125561</v>
      </c>
    </row>
    <row r="682" spans="1:17" x14ac:dyDescent="0.25">
      <c r="A682" t="s">
        <v>496</v>
      </c>
      <c r="B682" t="s">
        <v>494</v>
      </c>
      <c r="C682">
        <v>79693930</v>
      </c>
      <c r="D682">
        <v>0</v>
      </c>
      <c r="E682" t="s">
        <v>732</v>
      </c>
      <c r="F682" t="s">
        <v>585</v>
      </c>
      <c r="G682" s="1">
        <v>45223</v>
      </c>
      <c r="H682">
        <v>5408432</v>
      </c>
      <c r="I682">
        <v>192</v>
      </c>
      <c r="J682" t="s">
        <v>378</v>
      </c>
      <c r="K682" t="s">
        <v>681</v>
      </c>
      <c r="L682" s="4" t="s">
        <v>65</v>
      </c>
      <c r="M682" t="s">
        <v>681</v>
      </c>
      <c r="N682" s="5">
        <v>30652097</v>
      </c>
      <c r="O682" s="5">
        <v>147720</v>
      </c>
      <c r="P682" s="5">
        <v>28067</v>
      </c>
      <c r="Q682" s="5">
        <v>175787</v>
      </c>
    </row>
    <row r="683" spans="1:17" x14ac:dyDescent="0.25">
      <c r="F683" t="s">
        <v>495</v>
      </c>
      <c r="K683" t="s">
        <v>681</v>
      </c>
      <c r="L683" s="4"/>
      <c r="M683" t="s">
        <v>681</v>
      </c>
      <c r="N683" s="5"/>
      <c r="O683" s="5">
        <v>147720</v>
      </c>
      <c r="P683" s="5">
        <v>28067</v>
      </c>
      <c r="Q683" s="5">
        <v>175787</v>
      </c>
    </row>
    <row r="684" spans="1:17" x14ac:dyDescent="0.25">
      <c r="A684" t="s">
        <v>513</v>
      </c>
      <c r="B684" t="s">
        <v>494</v>
      </c>
      <c r="C684">
        <v>79740770</v>
      </c>
      <c r="D684">
        <v>0</v>
      </c>
      <c r="E684">
        <v>30828325</v>
      </c>
      <c r="F684" t="s">
        <v>586</v>
      </c>
      <c r="G684" s="1">
        <v>45223</v>
      </c>
      <c r="H684">
        <v>5408485</v>
      </c>
      <c r="I684">
        <v>132</v>
      </c>
      <c r="J684" t="s">
        <v>416</v>
      </c>
      <c r="K684" s="8" t="s">
        <v>742</v>
      </c>
      <c r="L684" s="4" t="s">
        <v>6</v>
      </c>
      <c r="M684" t="s">
        <v>681</v>
      </c>
      <c r="N684" s="5">
        <v>30828325</v>
      </c>
      <c r="O684" s="5">
        <v>506382</v>
      </c>
      <c r="P684" s="5">
        <v>96213</v>
      </c>
      <c r="Q684" s="5">
        <v>602595</v>
      </c>
    </row>
    <row r="685" spans="1:17" x14ac:dyDescent="0.25">
      <c r="A685" t="s">
        <v>513</v>
      </c>
      <c r="B685" t="s">
        <v>494</v>
      </c>
      <c r="C685">
        <v>79740770</v>
      </c>
      <c r="D685">
        <v>0</v>
      </c>
      <c r="E685">
        <v>30828325</v>
      </c>
      <c r="F685" t="s">
        <v>586</v>
      </c>
      <c r="G685" s="1">
        <v>45223</v>
      </c>
      <c r="H685">
        <v>5408486</v>
      </c>
      <c r="I685">
        <v>132</v>
      </c>
      <c r="J685" t="s">
        <v>416</v>
      </c>
      <c r="K685" s="8" t="s">
        <v>742</v>
      </c>
      <c r="L685" s="4" t="s">
        <v>6</v>
      </c>
      <c r="M685" t="s">
        <v>681</v>
      </c>
      <c r="N685" s="5">
        <v>30828325</v>
      </c>
      <c r="O685" s="5">
        <v>32452</v>
      </c>
      <c r="P685" s="5">
        <v>6166</v>
      </c>
      <c r="Q685" s="5">
        <v>38618</v>
      </c>
    </row>
    <row r="686" spans="1:17" x14ac:dyDescent="0.25">
      <c r="F686" t="s">
        <v>497</v>
      </c>
      <c r="K686" t="s">
        <v>681</v>
      </c>
      <c r="L686" s="4"/>
      <c r="M686" t="s">
        <v>681</v>
      </c>
      <c r="N686" s="5"/>
      <c r="O686" s="5">
        <v>538834</v>
      </c>
      <c r="P686" s="5">
        <v>102379</v>
      </c>
      <c r="Q686" s="5">
        <v>641213</v>
      </c>
    </row>
    <row r="687" spans="1:17" x14ac:dyDescent="0.25">
      <c r="A687" t="s">
        <v>522</v>
      </c>
      <c r="B687" t="s">
        <v>494</v>
      </c>
      <c r="C687">
        <v>79797990</v>
      </c>
      <c r="D687">
        <v>5</v>
      </c>
      <c r="E687">
        <v>30801514</v>
      </c>
      <c r="F687" t="s">
        <v>702</v>
      </c>
      <c r="G687" s="1">
        <v>45213</v>
      </c>
      <c r="H687">
        <v>5403966</v>
      </c>
      <c r="I687">
        <v>394</v>
      </c>
      <c r="J687" t="s">
        <v>224</v>
      </c>
      <c r="K687" s="8" t="s">
        <v>742</v>
      </c>
      <c r="L687" s="4"/>
      <c r="M687" t="s">
        <v>681</v>
      </c>
      <c r="N687" s="5">
        <v>30801514</v>
      </c>
      <c r="O687" s="5">
        <v>494630</v>
      </c>
      <c r="P687" s="5">
        <v>93980</v>
      </c>
      <c r="Q687" s="5">
        <v>588610</v>
      </c>
    </row>
    <row r="688" spans="1:17" x14ac:dyDescent="0.25">
      <c r="A688" t="s">
        <v>522</v>
      </c>
      <c r="B688" t="s">
        <v>494</v>
      </c>
      <c r="C688">
        <v>79797990</v>
      </c>
      <c r="D688">
        <v>5</v>
      </c>
      <c r="E688">
        <v>30801514</v>
      </c>
      <c r="F688" t="s">
        <v>702</v>
      </c>
      <c r="G688" s="1">
        <v>45213</v>
      </c>
      <c r="H688">
        <v>5403967</v>
      </c>
      <c r="I688">
        <v>394</v>
      </c>
      <c r="J688" t="s">
        <v>224</v>
      </c>
      <c r="K688" s="8" t="s">
        <v>742</v>
      </c>
      <c r="L688" s="4"/>
      <c r="M688" t="s">
        <v>681</v>
      </c>
      <c r="N688" s="5">
        <v>30801514</v>
      </c>
      <c r="O688" s="5">
        <v>53400</v>
      </c>
      <c r="P688" s="5">
        <v>10146</v>
      </c>
      <c r="Q688" s="5">
        <v>63546</v>
      </c>
    </row>
    <row r="689" spans="1:17" x14ac:dyDescent="0.25">
      <c r="A689" t="s">
        <v>522</v>
      </c>
      <c r="B689" t="s">
        <v>494</v>
      </c>
      <c r="C689">
        <v>79797990</v>
      </c>
      <c r="D689">
        <v>5</v>
      </c>
      <c r="E689">
        <v>4500006898</v>
      </c>
      <c r="F689" t="s">
        <v>702</v>
      </c>
      <c r="G689" s="1">
        <v>45217</v>
      </c>
      <c r="H689">
        <v>5405981</v>
      </c>
      <c r="I689">
        <v>71</v>
      </c>
      <c r="J689" t="s">
        <v>250</v>
      </c>
      <c r="K689" s="8" t="s">
        <v>742</v>
      </c>
      <c r="L689" s="4"/>
      <c r="M689" t="s">
        <v>681</v>
      </c>
      <c r="N689" s="5">
        <v>30767963</v>
      </c>
      <c r="O689" s="5">
        <v>220334</v>
      </c>
      <c r="P689" s="5">
        <v>41863</v>
      </c>
      <c r="Q689" s="5">
        <v>262197</v>
      </c>
    </row>
    <row r="690" spans="1:17" x14ac:dyDescent="0.25">
      <c r="A690" t="s">
        <v>522</v>
      </c>
      <c r="B690" t="s">
        <v>494</v>
      </c>
      <c r="C690">
        <v>79797990</v>
      </c>
      <c r="D690">
        <v>5</v>
      </c>
      <c r="E690">
        <v>4500006053</v>
      </c>
      <c r="F690" t="s">
        <v>702</v>
      </c>
      <c r="G690" s="1">
        <v>45227</v>
      </c>
      <c r="H690">
        <v>5409432</v>
      </c>
      <c r="I690">
        <v>394</v>
      </c>
      <c r="J690" t="s">
        <v>224</v>
      </c>
      <c r="K690" s="8" t="s">
        <v>742</v>
      </c>
      <c r="L690" s="4"/>
      <c r="M690" t="s">
        <v>681</v>
      </c>
      <c r="N690" s="5">
        <v>30830061</v>
      </c>
      <c r="O690" s="5">
        <v>182076</v>
      </c>
      <c r="P690" s="5">
        <v>34594</v>
      </c>
      <c r="Q690" s="5">
        <v>216670</v>
      </c>
    </row>
    <row r="691" spans="1:17" x14ac:dyDescent="0.25">
      <c r="F691" t="s">
        <v>498</v>
      </c>
      <c r="K691" t="s">
        <v>681</v>
      </c>
      <c r="L691" s="4"/>
      <c r="M691" t="s">
        <v>681</v>
      </c>
      <c r="N691" s="5"/>
      <c r="O691" s="5">
        <v>950440</v>
      </c>
      <c r="P691" s="5">
        <v>180583</v>
      </c>
      <c r="Q691" s="5">
        <v>1131023</v>
      </c>
    </row>
    <row r="692" spans="1:17" x14ac:dyDescent="0.25">
      <c r="A692" t="s">
        <v>496</v>
      </c>
      <c r="B692" t="s">
        <v>494</v>
      </c>
      <c r="C692">
        <v>79812520</v>
      </c>
      <c r="D692">
        <v>6</v>
      </c>
      <c r="E692">
        <v>4600007253</v>
      </c>
      <c r="F692" t="s">
        <v>587</v>
      </c>
      <c r="G692" s="1">
        <v>45230</v>
      </c>
      <c r="H692">
        <v>5410393</v>
      </c>
      <c r="I692">
        <v>136</v>
      </c>
      <c r="J692" t="s">
        <v>313</v>
      </c>
      <c r="K692" s="8" t="s">
        <v>742</v>
      </c>
      <c r="L692" s="4" t="s">
        <v>6</v>
      </c>
      <c r="M692" t="s">
        <v>681</v>
      </c>
      <c r="N692" s="5">
        <v>30844410</v>
      </c>
      <c r="O692" s="5">
        <v>2590</v>
      </c>
      <c r="P692" s="5">
        <v>492</v>
      </c>
      <c r="Q692" s="5">
        <v>3082</v>
      </c>
    </row>
    <row r="693" spans="1:17" x14ac:dyDescent="0.25">
      <c r="A693" t="s">
        <v>496</v>
      </c>
      <c r="B693" t="s">
        <v>494</v>
      </c>
      <c r="C693">
        <v>79812520</v>
      </c>
      <c r="D693">
        <v>6</v>
      </c>
      <c r="E693">
        <v>4300029933</v>
      </c>
      <c r="F693" t="s">
        <v>587</v>
      </c>
      <c r="G693" s="1">
        <v>45230</v>
      </c>
      <c r="H693">
        <v>5410460</v>
      </c>
      <c r="I693">
        <v>136</v>
      </c>
      <c r="J693" t="s">
        <v>313</v>
      </c>
      <c r="K693" s="8" t="s">
        <v>742</v>
      </c>
      <c r="L693" s="4" t="s">
        <v>6</v>
      </c>
      <c r="M693" t="s">
        <v>681</v>
      </c>
      <c r="N693" s="5">
        <v>30844433</v>
      </c>
      <c r="O693" s="5">
        <v>60570</v>
      </c>
      <c r="P693" s="5">
        <v>11508</v>
      </c>
      <c r="Q693" s="5">
        <v>72078</v>
      </c>
    </row>
    <row r="694" spans="1:17" x14ac:dyDescent="0.25">
      <c r="F694" t="s">
        <v>497</v>
      </c>
      <c r="K694" t="s">
        <v>681</v>
      </c>
      <c r="L694" s="4"/>
      <c r="M694" t="s">
        <v>681</v>
      </c>
      <c r="N694" s="5"/>
      <c r="O694" s="5">
        <v>63160</v>
      </c>
      <c r="P694" s="5">
        <v>12000</v>
      </c>
      <c r="Q694" s="5">
        <v>75160</v>
      </c>
    </row>
    <row r="695" spans="1:17" x14ac:dyDescent="0.25">
      <c r="A695" t="s">
        <v>503</v>
      </c>
      <c r="B695" t="s">
        <v>494</v>
      </c>
      <c r="C695">
        <v>79862750</v>
      </c>
      <c r="D695">
        <v>8</v>
      </c>
      <c r="E695">
        <v>4502102240</v>
      </c>
      <c r="F695" t="s">
        <v>588</v>
      </c>
      <c r="G695" s="1">
        <v>45202</v>
      </c>
      <c r="H695">
        <v>5396136</v>
      </c>
      <c r="I695">
        <v>100</v>
      </c>
      <c r="J695" t="s">
        <v>384</v>
      </c>
      <c r="K695" s="8" t="s">
        <v>742</v>
      </c>
      <c r="L695" s="4"/>
      <c r="M695" t="s">
        <v>681</v>
      </c>
      <c r="N695" s="5">
        <v>30773199</v>
      </c>
      <c r="O695" s="5">
        <v>297243</v>
      </c>
      <c r="P695" s="5">
        <v>56476</v>
      </c>
      <c r="Q695" s="5">
        <v>353719</v>
      </c>
    </row>
    <row r="696" spans="1:17" x14ac:dyDescent="0.25">
      <c r="A696" t="s">
        <v>503</v>
      </c>
      <c r="B696" t="s">
        <v>494</v>
      </c>
      <c r="C696">
        <v>79862750</v>
      </c>
      <c r="D696">
        <v>1</v>
      </c>
      <c r="E696">
        <v>4502132067</v>
      </c>
      <c r="F696" t="s">
        <v>588</v>
      </c>
      <c r="G696" s="1">
        <v>45212</v>
      </c>
      <c r="H696">
        <v>5403449</v>
      </c>
      <c r="I696">
        <v>100</v>
      </c>
      <c r="J696" t="s">
        <v>384</v>
      </c>
      <c r="K696" s="8" t="s">
        <v>742</v>
      </c>
      <c r="L696" s="4"/>
      <c r="M696" t="s">
        <v>681</v>
      </c>
      <c r="N696" s="5">
        <v>30802307</v>
      </c>
      <c r="O696" s="5">
        <v>691244</v>
      </c>
      <c r="P696" s="5">
        <v>131336</v>
      </c>
      <c r="Q696" s="5">
        <v>822580</v>
      </c>
    </row>
    <row r="697" spans="1:17" x14ac:dyDescent="0.25">
      <c r="A697" t="s">
        <v>503</v>
      </c>
      <c r="B697" t="s">
        <v>494</v>
      </c>
      <c r="C697">
        <v>79862750</v>
      </c>
      <c r="D697">
        <v>1</v>
      </c>
      <c r="E697">
        <v>4502132067</v>
      </c>
      <c r="F697" t="s">
        <v>588</v>
      </c>
      <c r="G697" s="1">
        <v>45212</v>
      </c>
      <c r="H697">
        <v>5403450</v>
      </c>
      <c r="I697">
        <v>100</v>
      </c>
      <c r="J697" t="s">
        <v>384</v>
      </c>
      <c r="K697" s="8" t="s">
        <v>742</v>
      </c>
      <c r="L697" s="4"/>
      <c r="M697" t="s">
        <v>681</v>
      </c>
      <c r="N697" s="5">
        <v>30802307</v>
      </c>
      <c r="O697" s="5">
        <v>627223</v>
      </c>
      <c r="P697" s="5">
        <v>119172</v>
      </c>
      <c r="Q697" s="5">
        <v>746395</v>
      </c>
    </row>
    <row r="698" spans="1:17" x14ac:dyDescent="0.25">
      <c r="A698" t="s">
        <v>503</v>
      </c>
      <c r="B698" t="s">
        <v>494</v>
      </c>
      <c r="C698">
        <v>79862750</v>
      </c>
      <c r="D698">
        <v>49</v>
      </c>
      <c r="E698">
        <v>4502123084</v>
      </c>
      <c r="F698" t="s">
        <v>588</v>
      </c>
      <c r="G698" s="1">
        <v>45215</v>
      </c>
      <c r="H698">
        <v>5404232</v>
      </c>
      <c r="I698">
        <v>100</v>
      </c>
      <c r="J698" t="s">
        <v>384</v>
      </c>
      <c r="K698" s="8" t="s">
        <v>742</v>
      </c>
      <c r="L698" s="4"/>
      <c r="M698" t="s">
        <v>681</v>
      </c>
      <c r="N698" s="5">
        <v>30797355</v>
      </c>
      <c r="O698" s="5">
        <v>250536</v>
      </c>
      <c r="P698" s="5">
        <v>47602</v>
      </c>
      <c r="Q698" s="5">
        <v>298138</v>
      </c>
    </row>
    <row r="699" spans="1:17" x14ac:dyDescent="0.25">
      <c r="F699" t="s">
        <v>498</v>
      </c>
      <c r="K699" t="s">
        <v>681</v>
      </c>
      <c r="L699" s="4"/>
      <c r="M699" t="s">
        <v>681</v>
      </c>
      <c r="N699" s="5"/>
      <c r="O699" s="5">
        <v>1866246</v>
      </c>
      <c r="P699" s="5">
        <v>354586</v>
      </c>
      <c r="Q699" s="5">
        <v>2220832</v>
      </c>
    </row>
    <row r="700" spans="1:17" x14ac:dyDescent="0.25">
      <c r="A700" t="s">
        <v>496</v>
      </c>
      <c r="B700" t="s">
        <v>494</v>
      </c>
      <c r="C700">
        <v>81148200</v>
      </c>
      <c r="D700">
        <v>85</v>
      </c>
      <c r="E700">
        <v>30776925</v>
      </c>
      <c r="F700" t="s">
        <v>589</v>
      </c>
      <c r="G700" s="1">
        <v>45203</v>
      </c>
      <c r="H700">
        <v>5397004</v>
      </c>
      <c r="I700">
        <v>132</v>
      </c>
      <c r="J700" t="s">
        <v>416</v>
      </c>
      <c r="K700" s="8" t="s">
        <v>742</v>
      </c>
      <c r="L700" s="4" t="s">
        <v>6</v>
      </c>
      <c r="M700" t="s">
        <v>681</v>
      </c>
      <c r="N700" s="5">
        <v>30776925</v>
      </c>
      <c r="O700" s="5">
        <v>148822</v>
      </c>
      <c r="P700" s="5">
        <v>28276</v>
      </c>
      <c r="Q700" s="5">
        <v>177098</v>
      </c>
    </row>
    <row r="701" spans="1:17" x14ac:dyDescent="0.25">
      <c r="A701" t="s">
        <v>496</v>
      </c>
      <c r="B701" t="s">
        <v>494</v>
      </c>
      <c r="C701">
        <v>81148200</v>
      </c>
      <c r="D701">
        <v>32</v>
      </c>
      <c r="E701">
        <v>30780712</v>
      </c>
      <c r="F701" t="s">
        <v>589</v>
      </c>
      <c r="G701" s="1">
        <v>45206</v>
      </c>
      <c r="H701">
        <v>5399166</v>
      </c>
      <c r="I701">
        <v>132</v>
      </c>
      <c r="J701" t="s">
        <v>416</v>
      </c>
      <c r="K701" s="8" t="s">
        <v>742</v>
      </c>
      <c r="L701" s="4" t="s">
        <v>6</v>
      </c>
      <c r="M701" t="s">
        <v>681</v>
      </c>
      <c r="N701" s="5">
        <v>30780712</v>
      </c>
      <c r="O701" s="5">
        <v>365953</v>
      </c>
      <c r="P701" s="5">
        <v>69531</v>
      </c>
      <c r="Q701" s="5">
        <v>435484</v>
      </c>
    </row>
    <row r="702" spans="1:17" x14ac:dyDescent="0.25">
      <c r="A702" t="s">
        <v>496</v>
      </c>
      <c r="B702" t="s">
        <v>494</v>
      </c>
      <c r="C702">
        <v>81148200</v>
      </c>
      <c r="D702">
        <v>32</v>
      </c>
      <c r="E702">
        <v>30780712</v>
      </c>
      <c r="F702" t="s">
        <v>589</v>
      </c>
      <c r="G702" s="1">
        <v>45206</v>
      </c>
      <c r="H702">
        <v>5399167</v>
      </c>
      <c r="I702">
        <v>132</v>
      </c>
      <c r="J702" t="s">
        <v>416</v>
      </c>
      <c r="K702" s="8" t="s">
        <v>742</v>
      </c>
      <c r="L702" s="4" t="s">
        <v>6</v>
      </c>
      <c r="M702" t="s">
        <v>681</v>
      </c>
      <c r="N702" s="5">
        <v>30780712</v>
      </c>
      <c r="O702" s="5">
        <v>49700</v>
      </c>
      <c r="P702" s="5">
        <v>9443</v>
      </c>
      <c r="Q702" s="5">
        <v>59143</v>
      </c>
    </row>
    <row r="703" spans="1:17" x14ac:dyDescent="0.25">
      <c r="A703" t="s">
        <v>496</v>
      </c>
      <c r="B703" t="s">
        <v>494</v>
      </c>
      <c r="C703">
        <v>81148200</v>
      </c>
      <c r="D703">
        <v>73</v>
      </c>
      <c r="E703">
        <v>30785665</v>
      </c>
      <c r="F703" t="s">
        <v>589</v>
      </c>
      <c r="G703" s="1">
        <v>45206</v>
      </c>
      <c r="H703">
        <v>5399178</v>
      </c>
      <c r="I703">
        <v>132</v>
      </c>
      <c r="J703" t="s">
        <v>416</v>
      </c>
      <c r="K703" s="8" t="s">
        <v>742</v>
      </c>
      <c r="L703" s="4" t="s">
        <v>6</v>
      </c>
      <c r="M703" t="s">
        <v>681</v>
      </c>
      <c r="N703" s="5">
        <v>30785665</v>
      </c>
      <c r="O703" s="5">
        <v>99630</v>
      </c>
      <c r="P703" s="5">
        <v>18930</v>
      </c>
      <c r="Q703" s="5">
        <v>118560</v>
      </c>
    </row>
    <row r="704" spans="1:17" x14ac:dyDescent="0.25">
      <c r="A704" t="s">
        <v>496</v>
      </c>
      <c r="B704" t="s">
        <v>494</v>
      </c>
      <c r="C704">
        <v>81148200</v>
      </c>
      <c r="D704">
        <v>72</v>
      </c>
      <c r="E704">
        <v>30785796</v>
      </c>
      <c r="F704" t="s">
        <v>589</v>
      </c>
      <c r="G704" s="1">
        <v>45206</v>
      </c>
      <c r="H704">
        <v>5399802</v>
      </c>
      <c r="I704">
        <v>132</v>
      </c>
      <c r="J704" t="s">
        <v>416</v>
      </c>
      <c r="K704" s="8" t="s">
        <v>742</v>
      </c>
      <c r="L704" s="4" t="s">
        <v>6</v>
      </c>
      <c r="M704" t="s">
        <v>681</v>
      </c>
      <c r="N704" s="5">
        <v>30785796</v>
      </c>
      <c r="O704" s="5">
        <v>52059</v>
      </c>
      <c r="P704" s="5">
        <v>9891</v>
      </c>
      <c r="Q704" s="5">
        <v>61950</v>
      </c>
    </row>
    <row r="705" spans="1:17" x14ac:dyDescent="0.25">
      <c r="A705" t="s">
        <v>496</v>
      </c>
      <c r="B705" t="s">
        <v>494</v>
      </c>
      <c r="C705">
        <v>81148200</v>
      </c>
      <c r="D705">
        <v>14</v>
      </c>
      <c r="E705">
        <v>30798605</v>
      </c>
      <c r="F705" t="s">
        <v>589</v>
      </c>
      <c r="G705" s="1">
        <v>45210</v>
      </c>
      <c r="H705">
        <v>5402131</v>
      </c>
      <c r="I705">
        <v>132</v>
      </c>
      <c r="J705" t="s">
        <v>416</v>
      </c>
      <c r="K705" s="8" t="s">
        <v>742</v>
      </c>
      <c r="L705" s="4" t="s">
        <v>6</v>
      </c>
      <c r="M705" t="s">
        <v>681</v>
      </c>
      <c r="N705" s="5">
        <v>30798605</v>
      </c>
      <c r="O705" s="5">
        <v>121896</v>
      </c>
      <c r="P705" s="5">
        <v>23160</v>
      </c>
      <c r="Q705" s="5">
        <v>145056</v>
      </c>
    </row>
    <row r="706" spans="1:17" x14ac:dyDescent="0.25">
      <c r="A706" t="s">
        <v>496</v>
      </c>
      <c r="B706" t="s">
        <v>494</v>
      </c>
      <c r="C706">
        <v>81148200</v>
      </c>
      <c r="D706">
        <v>5</v>
      </c>
      <c r="E706">
        <v>30799993</v>
      </c>
      <c r="F706" t="s">
        <v>589</v>
      </c>
      <c r="G706" s="1">
        <v>45210</v>
      </c>
      <c r="H706">
        <v>5402364</v>
      </c>
      <c r="I706">
        <v>132</v>
      </c>
      <c r="J706" t="s">
        <v>416</v>
      </c>
      <c r="K706" s="8" t="s">
        <v>742</v>
      </c>
      <c r="L706" s="4" t="s">
        <v>6</v>
      </c>
      <c r="M706" t="s">
        <v>681</v>
      </c>
      <c r="N706" s="5">
        <v>30799993</v>
      </c>
      <c r="O706" s="5">
        <v>113566</v>
      </c>
      <c r="P706" s="5">
        <v>21578</v>
      </c>
      <c r="Q706" s="5">
        <v>135144</v>
      </c>
    </row>
    <row r="707" spans="1:17" x14ac:dyDescent="0.25">
      <c r="A707" t="s">
        <v>496</v>
      </c>
      <c r="B707" t="s">
        <v>494</v>
      </c>
      <c r="C707">
        <v>81148200</v>
      </c>
      <c r="D707">
        <v>84</v>
      </c>
      <c r="E707">
        <v>30799015</v>
      </c>
      <c r="F707" t="s">
        <v>589</v>
      </c>
      <c r="G707" s="1">
        <v>45210</v>
      </c>
      <c r="H707">
        <v>5402367</v>
      </c>
      <c r="I707">
        <v>132</v>
      </c>
      <c r="J707" t="s">
        <v>416</v>
      </c>
      <c r="K707" s="8" t="s">
        <v>742</v>
      </c>
      <c r="L707" s="4" t="s">
        <v>6</v>
      </c>
      <c r="M707" t="s">
        <v>681</v>
      </c>
      <c r="N707" s="5">
        <v>30799015</v>
      </c>
      <c r="O707" s="5">
        <v>69032</v>
      </c>
      <c r="P707" s="5">
        <v>13116</v>
      </c>
      <c r="Q707" s="5">
        <v>82148</v>
      </c>
    </row>
    <row r="708" spans="1:17" x14ac:dyDescent="0.25">
      <c r="A708" t="s">
        <v>496</v>
      </c>
      <c r="B708" t="s">
        <v>494</v>
      </c>
      <c r="C708">
        <v>81148200</v>
      </c>
      <c r="D708">
        <v>21</v>
      </c>
      <c r="E708">
        <v>30799271</v>
      </c>
      <c r="F708" t="s">
        <v>589</v>
      </c>
      <c r="G708" s="1">
        <v>45210</v>
      </c>
      <c r="H708">
        <v>5402436</v>
      </c>
      <c r="I708">
        <v>132</v>
      </c>
      <c r="J708" t="s">
        <v>416</v>
      </c>
      <c r="K708" s="8" t="s">
        <v>742</v>
      </c>
      <c r="L708" s="4" t="s">
        <v>6</v>
      </c>
      <c r="M708" t="s">
        <v>681</v>
      </c>
      <c r="N708" s="5">
        <v>30799271</v>
      </c>
      <c r="O708" s="5">
        <v>118676</v>
      </c>
      <c r="P708" s="5">
        <v>22548</v>
      </c>
      <c r="Q708" s="5">
        <v>141224</v>
      </c>
    </row>
    <row r="709" spans="1:17" x14ac:dyDescent="0.25">
      <c r="A709" t="s">
        <v>496</v>
      </c>
      <c r="B709" t="s">
        <v>494</v>
      </c>
      <c r="C709">
        <v>81148200</v>
      </c>
      <c r="D709">
        <v>84</v>
      </c>
      <c r="E709">
        <v>30799533</v>
      </c>
      <c r="F709" t="s">
        <v>589</v>
      </c>
      <c r="G709" s="1">
        <v>45211</v>
      </c>
      <c r="H709">
        <v>5402491</v>
      </c>
      <c r="I709">
        <v>132</v>
      </c>
      <c r="J709" t="s">
        <v>416</v>
      </c>
      <c r="K709" s="8" t="s">
        <v>742</v>
      </c>
      <c r="L709" s="4" t="s">
        <v>6</v>
      </c>
      <c r="M709" t="s">
        <v>681</v>
      </c>
      <c r="N709" s="5">
        <v>30799533</v>
      </c>
      <c r="O709" s="5">
        <v>67273</v>
      </c>
      <c r="P709" s="5">
        <v>12782</v>
      </c>
      <c r="Q709" s="5">
        <v>80055</v>
      </c>
    </row>
    <row r="710" spans="1:17" x14ac:dyDescent="0.25">
      <c r="A710" t="s">
        <v>496</v>
      </c>
      <c r="B710" t="s">
        <v>494</v>
      </c>
      <c r="C710">
        <v>81148200</v>
      </c>
      <c r="D710">
        <v>64</v>
      </c>
      <c r="E710">
        <v>30796348</v>
      </c>
      <c r="F710" t="s">
        <v>589</v>
      </c>
      <c r="G710" s="1">
        <v>45211</v>
      </c>
      <c r="H710">
        <v>5402536</v>
      </c>
      <c r="I710">
        <v>132</v>
      </c>
      <c r="J710" t="s">
        <v>416</v>
      </c>
      <c r="K710" s="8" t="s">
        <v>742</v>
      </c>
      <c r="L710" s="4" t="s">
        <v>6</v>
      </c>
      <c r="M710" t="s">
        <v>681</v>
      </c>
      <c r="N710" s="5">
        <v>30796348</v>
      </c>
      <c r="O710" s="5">
        <v>89466</v>
      </c>
      <c r="P710" s="5">
        <v>16999</v>
      </c>
      <c r="Q710" s="5">
        <v>106465</v>
      </c>
    </row>
    <row r="711" spans="1:17" x14ac:dyDescent="0.25">
      <c r="A711" t="s">
        <v>496</v>
      </c>
      <c r="B711" t="s">
        <v>494</v>
      </c>
      <c r="C711">
        <v>81148200</v>
      </c>
      <c r="D711">
        <v>41</v>
      </c>
      <c r="E711">
        <v>30809610</v>
      </c>
      <c r="F711" t="s">
        <v>589</v>
      </c>
      <c r="G711" s="1">
        <v>45213</v>
      </c>
      <c r="H711">
        <v>5404952</v>
      </c>
      <c r="I711">
        <v>132</v>
      </c>
      <c r="J711" t="s">
        <v>416</v>
      </c>
      <c r="K711" s="8" t="s">
        <v>742</v>
      </c>
      <c r="L711" s="4" t="s">
        <v>6</v>
      </c>
      <c r="M711" t="s">
        <v>681</v>
      </c>
      <c r="N711" s="5">
        <v>30809610</v>
      </c>
      <c r="O711" s="5">
        <v>7682</v>
      </c>
      <c r="P711" s="5">
        <v>1460</v>
      </c>
      <c r="Q711" s="5">
        <v>9142</v>
      </c>
    </row>
    <row r="712" spans="1:17" x14ac:dyDescent="0.25">
      <c r="A712" t="s">
        <v>496</v>
      </c>
      <c r="B712" t="s">
        <v>494</v>
      </c>
      <c r="C712">
        <v>81148200</v>
      </c>
      <c r="D712">
        <v>39</v>
      </c>
      <c r="E712">
        <v>30811184</v>
      </c>
      <c r="F712" t="s">
        <v>589</v>
      </c>
      <c r="G712" s="1">
        <v>45216</v>
      </c>
      <c r="H712">
        <v>5405455</v>
      </c>
      <c r="I712">
        <v>132</v>
      </c>
      <c r="J712" t="s">
        <v>416</v>
      </c>
      <c r="K712" s="8" t="s">
        <v>742</v>
      </c>
      <c r="L712" s="4" t="s">
        <v>6</v>
      </c>
      <c r="M712" t="s">
        <v>681</v>
      </c>
      <c r="N712" s="5">
        <v>30811184</v>
      </c>
      <c r="O712" s="5">
        <v>182765</v>
      </c>
      <c r="P712" s="5">
        <v>34725</v>
      </c>
      <c r="Q712" s="5">
        <v>217490</v>
      </c>
    </row>
    <row r="713" spans="1:17" x14ac:dyDescent="0.25">
      <c r="A713" t="s">
        <v>496</v>
      </c>
      <c r="B713" t="s">
        <v>494</v>
      </c>
      <c r="C713">
        <v>81148200</v>
      </c>
      <c r="D713">
        <v>39</v>
      </c>
      <c r="E713">
        <v>30811184</v>
      </c>
      <c r="F713" t="s">
        <v>589</v>
      </c>
      <c r="G713" s="1">
        <v>45216</v>
      </c>
      <c r="H713">
        <v>5405456</v>
      </c>
      <c r="I713">
        <v>132</v>
      </c>
      <c r="J713" t="s">
        <v>416</v>
      </c>
      <c r="K713" s="8" t="s">
        <v>742</v>
      </c>
      <c r="L713" s="4" t="s">
        <v>6</v>
      </c>
      <c r="M713" t="s">
        <v>681</v>
      </c>
      <c r="N713" s="5">
        <v>30811184</v>
      </c>
      <c r="O713" s="5">
        <v>35697</v>
      </c>
      <c r="P713" s="5">
        <v>6782</v>
      </c>
      <c r="Q713" s="5">
        <v>42479</v>
      </c>
    </row>
    <row r="714" spans="1:17" x14ac:dyDescent="0.25">
      <c r="A714" t="s">
        <v>496</v>
      </c>
      <c r="B714" t="s">
        <v>494</v>
      </c>
      <c r="C714">
        <v>81148200</v>
      </c>
      <c r="D714">
        <v>22</v>
      </c>
      <c r="E714">
        <v>30811763</v>
      </c>
      <c r="F714" t="s">
        <v>589</v>
      </c>
      <c r="G714" s="1">
        <v>45216</v>
      </c>
      <c r="H714">
        <v>5405579</v>
      </c>
      <c r="I714">
        <v>132</v>
      </c>
      <c r="J714" t="s">
        <v>416</v>
      </c>
      <c r="K714" s="8" t="s">
        <v>742</v>
      </c>
      <c r="L714" s="4" t="s">
        <v>6</v>
      </c>
      <c r="M714" t="s">
        <v>681</v>
      </c>
      <c r="N714" s="5">
        <v>30811763</v>
      </c>
      <c r="O714" s="5">
        <v>93264</v>
      </c>
      <c r="P714" s="5">
        <v>17720</v>
      </c>
      <c r="Q714" s="5">
        <v>110984</v>
      </c>
    </row>
    <row r="715" spans="1:17" x14ac:dyDescent="0.25">
      <c r="A715" t="s">
        <v>496</v>
      </c>
      <c r="B715" t="s">
        <v>494</v>
      </c>
      <c r="C715">
        <v>81148200</v>
      </c>
      <c r="D715">
        <v>70</v>
      </c>
      <c r="E715">
        <v>30814643</v>
      </c>
      <c r="F715" t="s">
        <v>589</v>
      </c>
      <c r="G715" s="1">
        <v>45217</v>
      </c>
      <c r="H715">
        <v>5406055</v>
      </c>
      <c r="I715">
        <v>132</v>
      </c>
      <c r="J715" t="s">
        <v>416</v>
      </c>
      <c r="K715" s="8" t="s">
        <v>742</v>
      </c>
      <c r="L715" s="4" t="s">
        <v>6</v>
      </c>
      <c r="M715" t="s">
        <v>681</v>
      </c>
      <c r="N715" s="5">
        <v>30814643</v>
      </c>
      <c r="O715" s="5">
        <v>107746</v>
      </c>
      <c r="P715" s="5">
        <v>20472</v>
      </c>
      <c r="Q715" s="5">
        <v>128218</v>
      </c>
    </row>
    <row r="716" spans="1:17" x14ac:dyDescent="0.25">
      <c r="A716" t="s">
        <v>496</v>
      </c>
      <c r="B716" t="s">
        <v>494</v>
      </c>
      <c r="C716">
        <v>81148200</v>
      </c>
      <c r="D716">
        <v>6</v>
      </c>
      <c r="E716">
        <v>30842375</v>
      </c>
      <c r="F716" t="s">
        <v>589</v>
      </c>
      <c r="G716" s="1">
        <v>45230</v>
      </c>
      <c r="H716">
        <v>5410306</v>
      </c>
      <c r="I716">
        <v>132</v>
      </c>
      <c r="J716" t="s">
        <v>416</v>
      </c>
      <c r="K716" s="8" t="s">
        <v>742</v>
      </c>
      <c r="L716" s="4" t="s">
        <v>6</v>
      </c>
      <c r="M716" t="s">
        <v>681</v>
      </c>
      <c r="N716" s="5">
        <v>30842375</v>
      </c>
      <c r="O716" s="5">
        <v>21024</v>
      </c>
      <c r="P716" s="5">
        <v>3995</v>
      </c>
      <c r="Q716" s="5">
        <v>25019</v>
      </c>
    </row>
    <row r="717" spans="1:17" x14ac:dyDescent="0.25">
      <c r="F717" t="s">
        <v>567</v>
      </c>
      <c r="K717" t="s">
        <v>681</v>
      </c>
      <c r="L717" s="4"/>
      <c r="M717" t="s">
        <v>681</v>
      </c>
      <c r="N717" s="5"/>
      <c r="O717" s="5">
        <v>1744251</v>
      </c>
      <c r="P717" s="5">
        <v>331408</v>
      </c>
      <c r="Q717" s="5">
        <v>2075659</v>
      </c>
    </row>
    <row r="718" spans="1:17" x14ac:dyDescent="0.25">
      <c r="A718" t="s">
        <v>512</v>
      </c>
      <c r="B718" t="s">
        <v>494</v>
      </c>
      <c r="C718">
        <v>81458500</v>
      </c>
      <c r="D718">
        <v>9</v>
      </c>
      <c r="E718">
        <v>30775643</v>
      </c>
      <c r="F718" t="s">
        <v>590</v>
      </c>
      <c r="G718" s="1">
        <v>45204</v>
      </c>
      <c r="H718">
        <v>5397828</v>
      </c>
      <c r="I718">
        <v>134</v>
      </c>
      <c r="J718" t="s">
        <v>208</v>
      </c>
      <c r="K718" s="8" t="s">
        <v>742</v>
      </c>
      <c r="L718" s="4"/>
      <c r="M718" t="s">
        <v>681</v>
      </c>
      <c r="N718" s="5">
        <v>30775643</v>
      </c>
      <c r="O718" s="5">
        <v>191590</v>
      </c>
      <c r="P718" s="5">
        <v>36402</v>
      </c>
      <c r="Q718" s="5">
        <v>227992</v>
      </c>
    </row>
    <row r="719" spans="1:17" x14ac:dyDescent="0.25">
      <c r="A719" t="s">
        <v>512</v>
      </c>
      <c r="B719" t="s">
        <v>494</v>
      </c>
      <c r="C719">
        <v>81458500</v>
      </c>
      <c r="D719">
        <v>9</v>
      </c>
      <c r="E719">
        <v>30827521</v>
      </c>
      <c r="F719" t="s">
        <v>590</v>
      </c>
      <c r="G719" s="1">
        <v>45222</v>
      </c>
      <c r="H719">
        <v>5408013</v>
      </c>
      <c r="I719">
        <v>134</v>
      </c>
      <c r="J719" t="s">
        <v>208</v>
      </c>
      <c r="K719" s="8" t="s">
        <v>742</v>
      </c>
      <c r="L719" s="4"/>
      <c r="M719" t="s">
        <v>681</v>
      </c>
      <c r="N719" s="5">
        <v>30827521</v>
      </c>
      <c r="O719" s="5">
        <v>163900</v>
      </c>
      <c r="P719" s="5">
        <v>31141</v>
      </c>
      <c r="Q719" s="5">
        <v>195041</v>
      </c>
    </row>
    <row r="720" spans="1:17" x14ac:dyDescent="0.25">
      <c r="A720" t="s">
        <v>512</v>
      </c>
      <c r="B720" t="s">
        <v>494</v>
      </c>
      <c r="C720">
        <v>81458500</v>
      </c>
      <c r="D720">
        <v>9</v>
      </c>
      <c r="E720">
        <v>30827553</v>
      </c>
      <c r="F720" t="s">
        <v>590</v>
      </c>
      <c r="G720" s="1">
        <v>45222</v>
      </c>
      <c r="H720">
        <v>5408058</v>
      </c>
      <c r="I720">
        <v>134</v>
      </c>
      <c r="J720" t="s">
        <v>208</v>
      </c>
      <c r="K720" s="8" t="s">
        <v>742</v>
      </c>
      <c r="L720" s="4"/>
      <c r="M720" t="s">
        <v>681</v>
      </c>
      <c r="N720" s="5">
        <v>30827553</v>
      </c>
      <c r="O720" s="5">
        <v>408830</v>
      </c>
      <c r="P720" s="5">
        <v>77678</v>
      </c>
      <c r="Q720" s="5">
        <v>486508</v>
      </c>
    </row>
    <row r="721" spans="1:17" x14ac:dyDescent="0.25">
      <c r="A721" t="s">
        <v>512</v>
      </c>
      <c r="B721" t="s">
        <v>494</v>
      </c>
      <c r="C721">
        <v>81458500</v>
      </c>
      <c r="D721">
        <v>9</v>
      </c>
      <c r="E721">
        <v>30827547</v>
      </c>
      <c r="F721" t="s">
        <v>590</v>
      </c>
      <c r="G721" s="1">
        <v>45222</v>
      </c>
      <c r="H721">
        <v>5408093</v>
      </c>
      <c r="I721">
        <v>134</v>
      </c>
      <c r="J721" t="s">
        <v>208</v>
      </c>
      <c r="K721" s="8" t="s">
        <v>742</v>
      </c>
      <c r="L721" s="4"/>
      <c r="M721" t="s">
        <v>681</v>
      </c>
      <c r="N721" s="5">
        <v>30827547</v>
      </c>
      <c r="O721" s="5">
        <v>126624</v>
      </c>
      <c r="P721" s="5">
        <v>24059</v>
      </c>
      <c r="Q721" s="5">
        <v>163345</v>
      </c>
    </row>
    <row r="722" spans="1:17" x14ac:dyDescent="0.25">
      <c r="A722" t="s">
        <v>512</v>
      </c>
      <c r="B722" t="s">
        <v>494</v>
      </c>
      <c r="C722">
        <v>81458500</v>
      </c>
      <c r="D722">
        <v>9</v>
      </c>
      <c r="E722">
        <v>30838594</v>
      </c>
      <c r="F722" t="s">
        <v>590</v>
      </c>
      <c r="G722" s="1">
        <v>45229</v>
      </c>
      <c r="H722">
        <v>5409696</v>
      </c>
      <c r="I722">
        <v>134</v>
      </c>
      <c r="J722" t="s">
        <v>208</v>
      </c>
      <c r="K722" s="8" t="s">
        <v>742</v>
      </c>
      <c r="L722" s="4"/>
      <c r="M722" t="s">
        <v>681</v>
      </c>
      <c r="N722" s="5">
        <v>30838594</v>
      </c>
      <c r="O722" s="5">
        <v>159446</v>
      </c>
      <c r="P722" s="5">
        <v>30295</v>
      </c>
      <c r="Q722" s="5">
        <v>189741</v>
      </c>
    </row>
    <row r="723" spans="1:17" x14ac:dyDescent="0.25">
      <c r="F723" t="s">
        <v>499</v>
      </c>
      <c r="K723" t="s">
        <v>681</v>
      </c>
      <c r="L723" s="4"/>
      <c r="M723" t="s">
        <v>681</v>
      </c>
      <c r="N723" s="5"/>
      <c r="O723" s="5">
        <v>1050390</v>
      </c>
      <c r="P723" s="5">
        <v>199575</v>
      </c>
      <c r="Q723" s="5">
        <v>1262627</v>
      </c>
    </row>
    <row r="724" spans="1:17" x14ac:dyDescent="0.25">
      <c r="A724" t="s">
        <v>496</v>
      </c>
      <c r="B724" t="s">
        <v>494</v>
      </c>
      <c r="C724">
        <v>81698900</v>
      </c>
      <c r="D724">
        <v>3611</v>
      </c>
      <c r="E724" t="s">
        <v>592</v>
      </c>
      <c r="F724" t="s">
        <v>591</v>
      </c>
      <c r="G724" s="1">
        <v>45204</v>
      </c>
      <c r="H724">
        <v>5397701</v>
      </c>
      <c r="I724">
        <v>357</v>
      </c>
      <c r="J724" t="s">
        <v>299</v>
      </c>
      <c r="K724" s="8" t="s">
        <v>742</v>
      </c>
      <c r="L724" s="4" t="s">
        <v>6</v>
      </c>
      <c r="M724" t="s">
        <v>681</v>
      </c>
      <c r="N724" s="5">
        <v>30773996</v>
      </c>
      <c r="O724" s="5">
        <v>76226</v>
      </c>
      <c r="P724" s="5">
        <v>14483</v>
      </c>
      <c r="Q724" s="5">
        <v>90709</v>
      </c>
    </row>
    <row r="725" spans="1:17" x14ac:dyDescent="0.25">
      <c r="A725" t="s">
        <v>496</v>
      </c>
      <c r="B725" t="s">
        <v>494</v>
      </c>
      <c r="C725">
        <v>81698900</v>
      </c>
      <c r="D725">
        <v>68</v>
      </c>
      <c r="E725" t="s">
        <v>593</v>
      </c>
      <c r="F725" t="s">
        <v>591</v>
      </c>
      <c r="G725" s="1">
        <v>45205</v>
      </c>
      <c r="H725">
        <v>5398876</v>
      </c>
      <c r="I725">
        <v>357</v>
      </c>
      <c r="J725" t="s">
        <v>299</v>
      </c>
      <c r="K725" s="8" t="s">
        <v>742</v>
      </c>
      <c r="L725" s="4" t="s">
        <v>6</v>
      </c>
      <c r="M725" t="s">
        <v>681</v>
      </c>
      <c r="N725" s="5">
        <v>30784429</v>
      </c>
      <c r="O725" s="5">
        <v>43385</v>
      </c>
      <c r="P725" s="5">
        <v>8243</v>
      </c>
      <c r="Q725" s="5">
        <v>51628</v>
      </c>
    </row>
    <row r="726" spans="1:17" x14ac:dyDescent="0.25">
      <c r="A726" t="s">
        <v>496</v>
      </c>
      <c r="B726" t="s">
        <v>494</v>
      </c>
      <c r="C726">
        <v>81698900</v>
      </c>
      <c r="D726">
        <v>7040</v>
      </c>
      <c r="E726" t="s">
        <v>703</v>
      </c>
      <c r="F726" t="s">
        <v>591</v>
      </c>
      <c r="G726" s="1">
        <v>45218</v>
      </c>
      <c r="H726">
        <v>5406747</v>
      </c>
      <c r="I726">
        <v>357</v>
      </c>
      <c r="J726" t="s">
        <v>299</v>
      </c>
      <c r="K726" s="8" t="s">
        <v>742</v>
      </c>
      <c r="L726" s="4" t="s">
        <v>6</v>
      </c>
      <c r="M726" t="s">
        <v>681</v>
      </c>
      <c r="N726" s="5">
        <v>30803359</v>
      </c>
      <c r="O726" s="5">
        <v>155641</v>
      </c>
      <c r="P726" s="5">
        <v>29572</v>
      </c>
      <c r="Q726" s="5">
        <v>185213</v>
      </c>
    </row>
    <row r="727" spans="1:17" x14ac:dyDescent="0.25">
      <c r="A727" t="s">
        <v>496</v>
      </c>
      <c r="B727" t="s">
        <v>494</v>
      </c>
      <c r="C727">
        <v>81698900</v>
      </c>
      <c r="D727">
        <v>7201</v>
      </c>
      <c r="E727" t="s">
        <v>704</v>
      </c>
      <c r="F727" t="s">
        <v>591</v>
      </c>
      <c r="G727" s="1">
        <v>45218</v>
      </c>
      <c r="H727">
        <v>5406778</v>
      </c>
      <c r="I727">
        <v>357</v>
      </c>
      <c r="J727" t="s">
        <v>299</v>
      </c>
      <c r="K727" s="8" t="s">
        <v>742</v>
      </c>
      <c r="L727" s="4" t="s">
        <v>6</v>
      </c>
      <c r="M727" t="s">
        <v>681</v>
      </c>
      <c r="N727" s="5">
        <v>30821198</v>
      </c>
      <c r="O727" s="5">
        <v>256659</v>
      </c>
      <c r="P727" s="5">
        <v>48765</v>
      </c>
      <c r="Q727" s="5">
        <v>305424</v>
      </c>
    </row>
    <row r="728" spans="1:17" x14ac:dyDescent="0.25">
      <c r="A728" t="s">
        <v>496</v>
      </c>
      <c r="B728" t="s">
        <v>494</v>
      </c>
      <c r="C728">
        <v>81698900</v>
      </c>
      <c r="D728">
        <v>4006</v>
      </c>
      <c r="E728" t="s">
        <v>705</v>
      </c>
      <c r="F728" t="s">
        <v>591</v>
      </c>
      <c r="G728" s="1">
        <v>45218</v>
      </c>
      <c r="H728">
        <v>5406877</v>
      </c>
      <c r="I728">
        <v>357</v>
      </c>
      <c r="J728" t="s">
        <v>299</v>
      </c>
      <c r="K728" s="8" t="s">
        <v>742</v>
      </c>
      <c r="L728" s="4" t="s">
        <v>6</v>
      </c>
      <c r="M728" t="s">
        <v>681</v>
      </c>
      <c r="N728" s="5">
        <v>30784341</v>
      </c>
      <c r="O728" s="5">
        <v>281703</v>
      </c>
      <c r="P728" s="5">
        <v>53524</v>
      </c>
      <c r="Q728" s="5">
        <v>335227</v>
      </c>
    </row>
    <row r="729" spans="1:17" x14ac:dyDescent="0.25">
      <c r="A729" t="s">
        <v>496</v>
      </c>
      <c r="B729" t="s">
        <v>494</v>
      </c>
      <c r="C729">
        <v>81698900</v>
      </c>
      <c r="D729">
        <v>68</v>
      </c>
      <c r="E729" t="s">
        <v>706</v>
      </c>
      <c r="F729" t="s">
        <v>591</v>
      </c>
      <c r="G729" s="1">
        <v>45219</v>
      </c>
      <c r="H729">
        <v>5407159</v>
      </c>
      <c r="I729">
        <v>357</v>
      </c>
      <c r="J729" t="s">
        <v>299</v>
      </c>
      <c r="K729" s="8" t="s">
        <v>742</v>
      </c>
      <c r="L729" s="4" t="s">
        <v>6</v>
      </c>
      <c r="M729" t="s">
        <v>681</v>
      </c>
      <c r="N729" s="5">
        <v>30824802</v>
      </c>
      <c r="O729" s="5">
        <v>20397</v>
      </c>
      <c r="P729" s="5">
        <v>3875</v>
      </c>
      <c r="Q729" s="5">
        <v>24272</v>
      </c>
    </row>
    <row r="730" spans="1:17" x14ac:dyDescent="0.25">
      <c r="A730" t="s">
        <v>496</v>
      </c>
      <c r="B730" t="s">
        <v>494</v>
      </c>
      <c r="C730">
        <v>81698900</v>
      </c>
      <c r="D730">
        <v>68</v>
      </c>
      <c r="E730" t="s">
        <v>707</v>
      </c>
      <c r="F730" t="s">
        <v>591</v>
      </c>
      <c r="G730" s="1">
        <v>45219</v>
      </c>
      <c r="H730">
        <v>5407534</v>
      </c>
      <c r="I730">
        <v>357</v>
      </c>
      <c r="J730" t="s">
        <v>299</v>
      </c>
      <c r="K730" s="8" t="s">
        <v>742</v>
      </c>
      <c r="L730" s="4" t="s">
        <v>6</v>
      </c>
      <c r="M730" t="s">
        <v>681</v>
      </c>
      <c r="N730" s="5">
        <v>30824726</v>
      </c>
      <c r="O730" s="5">
        <v>20401</v>
      </c>
      <c r="P730" s="5">
        <v>3876</v>
      </c>
      <c r="Q730" s="5">
        <v>24277</v>
      </c>
    </row>
    <row r="731" spans="1:17" x14ac:dyDescent="0.25">
      <c r="A731" t="s">
        <v>496</v>
      </c>
      <c r="B731" t="s">
        <v>494</v>
      </c>
      <c r="C731">
        <v>81698900</v>
      </c>
      <c r="D731">
        <v>1011</v>
      </c>
      <c r="E731" t="s">
        <v>733</v>
      </c>
      <c r="F731" t="s">
        <v>591</v>
      </c>
      <c r="G731" s="1">
        <v>45222</v>
      </c>
      <c r="H731">
        <v>5407592</v>
      </c>
      <c r="I731">
        <v>357</v>
      </c>
      <c r="J731" t="s">
        <v>299</v>
      </c>
      <c r="K731" s="8" t="s">
        <v>742</v>
      </c>
      <c r="L731" s="4" t="s">
        <v>6</v>
      </c>
      <c r="M731" t="s">
        <v>681</v>
      </c>
      <c r="N731" s="5">
        <v>30781634</v>
      </c>
      <c r="O731" s="5">
        <v>50400</v>
      </c>
      <c r="P731" s="5">
        <v>9576</v>
      </c>
      <c r="Q731" s="5">
        <v>59976</v>
      </c>
    </row>
    <row r="732" spans="1:17" x14ac:dyDescent="0.25">
      <c r="A732" t="s">
        <v>496</v>
      </c>
      <c r="B732" t="s">
        <v>494</v>
      </c>
      <c r="C732">
        <v>81698900</v>
      </c>
      <c r="D732">
        <v>124</v>
      </c>
      <c r="E732" t="s">
        <v>734</v>
      </c>
      <c r="F732" t="s">
        <v>591</v>
      </c>
      <c r="G732" s="1">
        <v>45222</v>
      </c>
      <c r="H732">
        <v>5408072</v>
      </c>
      <c r="I732">
        <v>357</v>
      </c>
      <c r="J732" t="s">
        <v>299</v>
      </c>
      <c r="K732" s="8" t="s">
        <v>742</v>
      </c>
      <c r="L732" s="4" t="s">
        <v>6</v>
      </c>
      <c r="M732" t="s">
        <v>681</v>
      </c>
      <c r="N732" s="5">
        <v>30827566</v>
      </c>
      <c r="O732" s="5">
        <v>45530</v>
      </c>
      <c r="P732" s="5">
        <v>8651</v>
      </c>
      <c r="Q732" s="5">
        <v>54181</v>
      </c>
    </row>
    <row r="733" spans="1:17" x14ac:dyDescent="0.25">
      <c r="A733" t="s">
        <v>496</v>
      </c>
      <c r="B733" t="s">
        <v>494</v>
      </c>
      <c r="C733">
        <v>81698900</v>
      </c>
      <c r="D733">
        <v>124</v>
      </c>
      <c r="E733" t="s">
        <v>735</v>
      </c>
      <c r="F733" t="s">
        <v>591</v>
      </c>
      <c r="G733" s="1">
        <v>45222</v>
      </c>
      <c r="H733">
        <v>5408073</v>
      </c>
      <c r="I733">
        <v>357</v>
      </c>
      <c r="J733" t="s">
        <v>299</v>
      </c>
      <c r="K733" s="8" t="s">
        <v>742</v>
      </c>
      <c r="L733" s="4" t="s">
        <v>6</v>
      </c>
      <c r="M733" t="s">
        <v>681</v>
      </c>
      <c r="N733" s="5">
        <v>30827540</v>
      </c>
      <c r="O733" s="5">
        <v>121190</v>
      </c>
      <c r="P733" s="5">
        <v>23026</v>
      </c>
      <c r="Q733" s="5">
        <v>144216</v>
      </c>
    </row>
    <row r="734" spans="1:17" x14ac:dyDescent="0.25">
      <c r="A734" t="s">
        <v>496</v>
      </c>
      <c r="B734" t="s">
        <v>494</v>
      </c>
      <c r="C734">
        <v>81698900</v>
      </c>
      <c r="D734">
        <v>32</v>
      </c>
      <c r="E734" t="s">
        <v>736</v>
      </c>
      <c r="F734" t="s">
        <v>591</v>
      </c>
      <c r="G734" s="1">
        <v>45222</v>
      </c>
      <c r="H734">
        <v>5408156</v>
      </c>
      <c r="I734">
        <v>357</v>
      </c>
      <c r="J734" t="s">
        <v>299</v>
      </c>
      <c r="K734" s="8" t="s">
        <v>742</v>
      </c>
      <c r="L734" s="4" t="s">
        <v>6</v>
      </c>
      <c r="M734" t="s">
        <v>681</v>
      </c>
      <c r="N734" s="5">
        <v>30826932</v>
      </c>
      <c r="O734" s="5">
        <v>56060</v>
      </c>
      <c r="P734" s="5">
        <v>10651</v>
      </c>
      <c r="Q734" s="5">
        <v>66711</v>
      </c>
    </row>
    <row r="735" spans="1:17" x14ac:dyDescent="0.25">
      <c r="A735" t="s">
        <v>496</v>
      </c>
      <c r="B735" t="s">
        <v>494</v>
      </c>
      <c r="C735">
        <v>81698900</v>
      </c>
      <c r="D735">
        <v>4006</v>
      </c>
      <c r="E735" t="s">
        <v>737</v>
      </c>
      <c r="F735" t="s">
        <v>591</v>
      </c>
      <c r="G735" s="1">
        <v>45223</v>
      </c>
      <c r="H735">
        <v>5408272</v>
      </c>
      <c r="I735">
        <v>357</v>
      </c>
      <c r="J735" t="s">
        <v>299</v>
      </c>
      <c r="K735" s="8" t="s">
        <v>742</v>
      </c>
      <c r="L735" s="4" t="s">
        <v>6</v>
      </c>
      <c r="M735" t="s">
        <v>681</v>
      </c>
      <c r="N735" s="5">
        <v>30807937</v>
      </c>
      <c r="O735" s="5">
        <v>298665</v>
      </c>
      <c r="P735" s="5">
        <v>56746</v>
      </c>
      <c r="Q735" s="5">
        <v>355411</v>
      </c>
    </row>
    <row r="736" spans="1:17" x14ac:dyDescent="0.25">
      <c r="A736" t="s">
        <v>496</v>
      </c>
      <c r="B736" t="s">
        <v>494</v>
      </c>
      <c r="C736">
        <v>81698900</v>
      </c>
      <c r="D736">
        <v>4006</v>
      </c>
      <c r="E736" t="s">
        <v>738</v>
      </c>
      <c r="F736" t="s">
        <v>591</v>
      </c>
      <c r="G736" s="1">
        <v>45223</v>
      </c>
      <c r="H736">
        <v>5408375</v>
      </c>
      <c r="I736">
        <v>357</v>
      </c>
      <c r="J736" t="s">
        <v>299</v>
      </c>
      <c r="K736" s="8" t="s">
        <v>742</v>
      </c>
      <c r="L736" s="4" t="s">
        <v>6</v>
      </c>
      <c r="M736" t="s">
        <v>681</v>
      </c>
      <c r="N736" s="5">
        <v>30827811</v>
      </c>
      <c r="O736" s="5">
        <v>132426</v>
      </c>
      <c r="P736" s="5">
        <v>25161</v>
      </c>
      <c r="Q736" s="5">
        <v>157587</v>
      </c>
    </row>
    <row r="737" spans="1:17" x14ac:dyDescent="0.25">
      <c r="A737" t="s">
        <v>496</v>
      </c>
      <c r="B737" t="s">
        <v>494</v>
      </c>
      <c r="C737">
        <v>81698900</v>
      </c>
      <c r="D737">
        <v>9029</v>
      </c>
      <c r="E737" t="s">
        <v>739</v>
      </c>
      <c r="F737" t="s">
        <v>591</v>
      </c>
      <c r="G737" s="1">
        <v>45223</v>
      </c>
      <c r="H737">
        <v>5408531</v>
      </c>
      <c r="I737">
        <v>348</v>
      </c>
      <c r="J737" t="s">
        <v>293</v>
      </c>
      <c r="K737" s="8" t="s">
        <v>742</v>
      </c>
      <c r="L737" s="4" t="s">
        <v>6</v>
      </c>
      <c r="M737" t="s">
        <v>681</v>
      </c>
      <c r="N737" s="5">
        <v>30830004</v>
      </c>
      <c r="O737" s="5">
        <v>23177</v>
      </c>
      <c r="P737" s="5">
        <v>4404</v>
      </c>
      <c r="Q737" s="5">
        <v>27581</v>
      </c>
    </row>
    <row r="738" spans="1:17" x14ac:dyDescent="0.25">
      <c r="A738" t="s">
        <v>496</v>
      </c>
      <c r="B738" t="s">
        <v>494</v>
      </c>
      <c r="C738">
        <v>81698900</v>
      </c>
      <c r="D738">
        <v>504</v>
      </c>
      <c r="E738" t="s">
        <v>781</v>
      </c>
      <c r="F738" t="s">
        <v>591</v>
      </c>
      <c r="G738" s="1">
        <v>45223</v>
      </c>
      <c r="H738">
        <v>5408582</v>
      </c>
      <c r="I738">
        <v>357</v>
      </c>
      <c r="J738" t="s">
        <v>299</v>
      </c>
      <c r="K738" s="8" t="s">
        <v>742</v>
      </c>
      <c r="L738" s="4" t="s">
        <v>6</v>
      </c>
      <c r="M738" t="s">
        <v>681</v>
      </c>
      <c r="N738" s="5">
        <v>30830864</v>
      </c>
      <c r="O738" s="5">
        <v>382906</v>
      </c>
      <c r="P738" s="5">
        <v>72752</v>
      </c>
      <c r="Q738" s="5">
        <v>455658</v>
      </c>
    </row>
    <row r="739" spans="1:17" x14ac:dyDescent="0.25">
      <c r="A739" t="s">
        <v>496</v>
      </c>
      <c r="B739" t="s">
        <v>494</v>
      </c>
      <c r="C739">
        <v>81698900</v>
      </c>
      <c r="D739">
        <v>7217</v>
      </c>
      <c r="E739" t="s">
        <v>782</v>
      </c>
      <c r="F739" t="s">
        <v>591</v>
      </c>
      <c r="G739" s="1">
        <v>45224</v>
      </c>
      <c r="H739">
        <v>5408634</v>
      </c>
      <c r="I739">
        <v>357</v>
      </c>
      <c r="J739" t="s">
        <v>299</v>
      </c>
      <c r="K739" s="8" t="s">
        <v>742</v>
      </c>
      <c r="L739" s="4" t="s">
        <v>6</v>
      </c>
      <c r="M739" t="s">
        <v>681</v>
      </c>
      <c r="N739" s="5">
        <v>30778137</v>
      </c>
      <c r="O739" s="5">
        <v>123253</v>
      </c>
      <c r="P739" s="5">
        <v>23418</v>
      </c>
      <c r="Q739" s="5">
        <v>146671</v>
      </c>
    </row>
    <row r="740" spans="1:17" x14ac:dyDescent="0.25">
      <c r="A740" t="s">
        <v>496</v>
      </c>
      <c r="B740" t="s">
        <v>494</v>
      </c>
      <c r="C740">
        <v>81698900</v>
      </c>
      <c r="D740">
        <v>68</v>
      </c>
      <c r="E740" t="s">
        <v>783</v>
      </c>
      <c r="F740" t="s">
        <v>591</v>
      </c>
      <c r="G740" s="1">
        <v>45224</v>
      </c>
      <c r="H740">
        <v>5408702</v>
      </c>
      <c r="I740">
        <v>357</v>
      </c>
      <c r="J740" t="s">
        <v>299</v>
      </c>
      <c r="K740" s="8" t="s">
        <v>742</v>
      </c>
      <c r="L740" s="4" t="s">
        <v>6</v>
      </c>
      <c r="M740" t="s">
        <v>681</v>
      </c>
      <c r="N740" s="5">
        <v>30795474</v>
      </c>
      <c r="O740" s="5">
        <v>23127</v>
      </c>
      <c r="P740" s="5">
        <v>4394</v>
      </c>
      <c r="Q740" s="5">
        <v>27521</v>
      </c>
    </row>
    <row r="741" spans="1:17" x14ac:dyDescent="0.25">
      <c r="A741" t="s">
        <v>496</v>
      </c>
      <c r="B741" t="s">
        <v>494</v>
      </c>
      <c r="C741">
        <v>81698900</v>
      </c>
      <c r="D741">
        <v>4009</v>
      </c>
      <c r="E741" t="s">
        <v>784</v>
      </c>
      <c r="F741" t="s">
        <v>591</v>
      </c>
      <c r="G741" s="1">
        <v>45224</v>
      </c>
      <c r="H741">
        <v>5408753</v>
      </c>
      <c r="I741">
        <v>357</v>
      </c>
      <c r="J741" t="s">
        <v>299</v>
      </c>
      <c r="K741" s="8" t="s">
        <v>742</v>
      </c>
      <c r="L741" s="4" t="s">
        <v>6</v>
      </c>
      <c r="M741" t="s">
        <v>681</v>
      </c>
      <c r="N741" s="5">
        <v>30813679</v>
      </c>
      <c r="O741" s="5">
        <v>294161</v>
      </c>
      <c r="P741" s="5">
        <v>55891</v>
      </c>
      <c r="Q741" s="5">
        <v>350052</v>
      </c>
    </row>
    <row r="742" spans="1:17" x14ac:dyDescent="0.25">
      <c r="A742" t="s">
        <v>496</v>
      </c>
      <c r="B742" t="s">
        <v>494</v>
      </c>
      <c r="C742">
        <v>81698900</v>
      </c>
      <c r="D742">
        <v>24</v>
      </c>
      <c r="E742" t="s">
        <v>785</v>
      </c>
      <c r="F742" t="s">
        <v>591</v>
      </c>
      <c r="G742" s="1">
        <v>45224</v>
      </c>
      <c r="H742">
        <v>5408755</v>
      </c>
      <c r="I742">
        <v>357</v>
      </c>
      <c r="J742" t="s">
        <v>299</v>
      </c>
      <c r="K742" s="8" t="s">
        <v>742</v>
      </c>
      <c r="L742" s="4" t="s">
        <v>6</v>
      </c>
      <c r="M742" t="s">
        <v>681</v>
      </c>
      <c r="N742" s="5">
        <v>30812754</v>
      </c>
      <c r="O742" s="5">
        <v>228329</v>
      </c>
      <c r="P742" s="5">
        <v>43383</v>
      </c>
      <c r="Q742" s="5">
        <v>271712</v>
      </c>
    </row>
    <row r="743" spans="1:17" x14ac:dyDescent="0.25">
      <c r="A743" t="s">
        <v>496</v>
      </c>
      <c r="B743" t="s">
        <v>494</v>
      </c>
      <c r="C743">
        <v>81698900</v>
      </c>
      <c r="D743">
        <v>61</v>
      </c>
      <c r="E743" t="s">
        <v>786</v>
      </c>
      <c r="F743" t="s">
        <v>591</v>
      </c>
      <c r="G743" s="1">
        <v>45224</v>
      </c>
      <c r="H743">
        <v>5408756</v>
      </c>
      <c r="I743">
        <v>357</v>
      </c>
      <c r="J743" t="s">
        <v>299</v>
      </c>
      <c r="K743" s="8" t="s">
        <v>742</v>
      </c>
      <c r="L743" s="4" t="s">
        <v>6</v>
      </c>
      <c r="M743" t="s">
        <v>681</v>
      </c>
      <c r="N743" s="5">
        <v>30831608</v>
      </c>
      <c r="O743" s="5">
        <v>142145</v>
      </c>
      <c r="P743" s="5">
        <v>27008</v>
      </c>
      <c r="Q743" s="5">
        <v>169153</v>
      </c>
    </row>
    <row r="744" spans="1:17" x14ac:dyDescent="0.25">
      <c r="A744" t="s">
        <v>496</v>
      </c>
      <c r="B744" t="s">
        <v>494</v>
      </c>
      <c r="C744">
        <v>81698900</v>
      </c>
      <c r="D744">
        <v>24</v>
      </c>
      <c r="E744" t="s">
        <v>787</v>
      </c>
      <c r="F744" t="s">
        <v>591</v>
      </c>
      <c r="G744" s="1">
        <v>45224</v>
      </c>
      <c r="H744">
        <v>5408791</v>
      </c>
      <c r="I744">
        <v>357</v>
      </c>
      <c r="J744" t="s">
        <v>299</v>
      </c>
      <c r="K744" s="7" t="s">
        <v>743</v>
      </c>
      <c r="L744" s="4" t="s">
        <v>6</v>
      </c>
      <c r="M744">
        <v>94854</v>
      </c>
      <c r="N744" s="5">
        <v>30816207</v>
      </c>
      <c r="O744" s="5">
        <v>49544</v>
      </c>
      <c r="P744" s="5">
        <v>9413</v>
      </c>
      <c r="Q744" s="5">
        <v>58957</v>
      </c>
    </row>
    <row r="745" spans="1:17" x14ac:dyDescent="0.25">
      <c r="A745" t="s">
        <v>496</v>
      </c>
      <c r="B745" t="s">
        <v>494</v>
      </c>
      <c r="C745">
        <v>81698900</v>
      </c>
      <c r="D745">
        <v>708</v>
      </c>
      <c r="E745" t="s">
        <v>788</v>
      </c>
      <c r="F745" t="s">
        <v>591</v>
      </c>
      <c r="G745" s="1">
        <v>45224</v>
      </c>
      <c r="H745">
        <v>5408810</v>
      </c>
      <c r="I745">
        <v>357</v>
      </c>
      <c r="J745" t="s">
        <v>299</v>
      </c>
      <c r="K745" s="8" t="s">
        <v>742</v>
      </c>
      <c r="L745" s="4" t="s">
        <v>6</v>
      </c>
      <c r="M745" t="s">
        <v>681</v>
      </c>
      <c r="N745" s="5">
        <v>30811610</v>
      </c>
      <c r="O745" s="5">
        <v>8348</v>
      </c>
      <c r="P745" s="5">
        <v>1586</v>
      </c>
      <c r="Q745" s="5">
        <v>9934</v>
      </c>
    </row>
    <row r="746" spans="1:17" x14ac:dyDescent="0.25">
      <c r="A746" t="s">
        <v>496</v>
      </c>
      <c r="B746" t="s">
        <v>494</v>
      </c>
      <c r="C746">
        <v>81698900</v>
      </c>
      <c r="D746">
        <v>4009</v>
      </c>
      <c r="E746" t="s">
        <v>789</v>
      </c>
      <c r="F746" t="s">
        <v>591</v>
      </c>
      <c r="G746" s="1">
        <v>45224</v>
      </c>
      <c r="H746">
        <v>5408818</v>
      </c>
      <c r="I746">
        <v>357</v>
      </c>
      <c r="J746" t="s">
        <v>299</v>
      </c>
      <c r="K746" s="8" t="s">
        <v>742</v>
      </c>
      <c r="L746" s="4" t="s">
        <v>6</v>
      </c>
      <c r="M746" t="s">
        <v>681</v>
      </c>
      <c r="N746" s="5">
        <v>30812737</v>
      </c>
      <c r="O746" s="5">
        <v>4404</v>
      </c>
      <c r="P746" s="5">
        <v>837</v>
      </c>
      <c r="Q746" s="5">
        <v>5241</v>
      </c>
    </row>
    <row r="747" spans="1:17" x14ac:dyDescent="0.25">
      <c r="A747" t="s">
        <v>496</v>
      </c>
      <c r="B747" t="s">
        <v>494</v>
      </c>
      <c r="C747">
        <v>81698900</v>
      </c>
      <c r="D747">
        <v>3007</v>
      </c>
      <c r="E747" t="s">
        <v>790</v>
      </c>
      <c r="F747" t="s">
        <v>591</v>
      </c>
      <c r="G747" s="1">
        <v>45224</v>
      </c>
      <c r="H747">
        <v>5408868</v>
      </c>
      <c r="I747">
        <v>357</v>
      </c>
      <c r="J747" t="s">
        <v>299</v>
      </c>
      <c r="K747" s="8" t="s">
        <v>742</v>
      </c>
      <c r="L747" s="4" t="s">
        <v>6</v>
      </c>
      <c r="M747" t="s">
        <v>681</v>
      </c>
      <c r="N747" s="5">
        <v>30832652</v>
      </c>
      <c r="O747" s="5">
        <v>9740</v>
      </c>
      <c r="P747" s="5">
        <v>1851</v>
      </c>
      <c r="Q747" s="5">
        <v>11591</v>
      </c>
    </row>
    <row r="748" spans="1:17" x14ac:dyDescent="0.25">
      <c r="A748" t="s">
        <v>496</v>
      </c>
      <c r="B748" t="s">
        <v>494</v>
      </c>
      <c r="C748">
        <v>81698900</v>
      </c>
      <c r="D748">
        <v>2220</v>
      </c>
      <c r="E748" t="s">
        <v>791</v>
      </c>
      <c r="F748" t="s">
        <v>591</v>
      </c>
      <c r="G748" s="1">
        <v>45224</v>
      </c>
      <c r="H748">
        <v>5408938</v>
      </c>
      <c r="I748">
        <v>357</v>
      </c>
      <c r="J748" t="s">
        <v>299</v>
      </c>
      <c r="K748" s="8" t="s">
        <v>742</v>
      </c>
      <c r="L748" s="4" t="s">
        <v>6</v>
      </c>
      <c r="M748" t="s">
        <v>681</v>
      </c>
      <c r="N748" s="5">
        <v>30775556</v>
      </c>
      <c r="O748" s="5">
        <v>142850</v>
      </c>
      <c r="P748" s="5">
        <v>27142</v>
      </c>
      <c r="Q748" s="5">
        <v>177393</v>
      </c>
    </row>
    <row r="749" spans="1:17" x14ac:dyDescent="0.25">
      <c r="A749" t="s">
        <v>496</v>
      </c>
      <c r="B749" t="s">
        <v>494</v>
      </c>
      <c r="C749">
        <v>81698900</v>
      </c>
      <c r="D749">
        <v>61</v>
      </c>
      <c r="E749" t="s">
        <v>792</v>
      </c>
      <c r="F749" t="s">
        <v>591</v>
      </c>
      <c r="G749" s="1">
        <v>45224</v>
      </c>
      <c r="H749">
        <v>5408952</v>
      </c>
      <c r="I749">
        <v>357</v>
      </c>
      <c r="J749" t="s">
        <v>299</v>
      </c>
      <c r="K749" s="8" t="s">
        <v>742</v>
      </c>
      <c r="L749" s="4" t="s">
        <v>6</v>
      </c>
      <c r="M749" t="s">
        <v>681</v>
      </c>
      <c r="N749" s="5">
        <v>30817146</v>
      </c>
      <c r="O749" s="5">
        <v>11381</v>
      </c>
      <c r="P749" s="5">
        <v>2162</v>
      </c>
      <c r="Q749" s="5">
        <v>13543</v>
      </c>
    </row>
    <row r="750" spans="1:17" x14ac:dyDescent="0.25">
      <c r="A750" t="s">
        <v>496</v>
      </c>
      <c r="B750" t="s">
        <v>494</v>
      </c>
      <c r="C750">
        <v>81698900</v>
      </c>
      <c r="D750">
        <v>2220</v>
      </c>
      <c r="E750" t="s">
        <v>793</v>
      </c>
      <c r="F750" t="s">
        <v>591</v>
      </c>
      <c r="G750" s="1">
        <v>45225</v>
      </c>
      <c r="H750">
        <v>5409062</v>
      </c>
      <c r="I750">
        <v>357</v>
      </c>
      <c r="J750" t="s">
        <v>299</v>
      </c>
      <c r="K750" s="8" t="s">
        <v>742</v>
      </c>
      <c r="L750" s="4" t="s">
        <v>6</v>
      </c>
      <c r="M750" t="s">
        <v>681</v>
      </c>
      <c r="N750" s="5">
        <v>30775555</v>
      </c>
      <c r="O750" s="5">
        <v>611280</v>
      </c>
      <c r="P750" s="5">
        <v>116143</v>
      </c>
      <c r="Q750" s="5">
        <v>727423</v>
      </c>
    </row>
    <row r="751" spans="1:17" x14ac:dyDescent="0.25">
      <c r="A751" t="s">
        <v>496</v>
      </c>
      <c r="B751" t="s">
        <v>494</v>
      </c>
      <c r="C751">
        <v>81698900</v>
      </c>
      <c r="D751">
        <v>7015</v>
      </c>
      <c r="E751" t="s">
        <v>794</v>
      </c>
      <c r="F751" t="s">
        <v>591</v>
      </c>
      <c r="G751" s="1">
        <v>45225</v>
      </c>
      <c r="H751">
        <v>5409083</v>
      </c>
      <c r="I751">
        <v>357</v>
      </c>
      <c r="J751" t="s">
        <v>299</v>
      </c>
      <c r="K751" s="8" t="s">
        <v>742</v>
      </c>
      <c r="L751" s="4" t="s">
        <v>6</v>
      </c>
      <c r="M751" t="s">
        <v>681</v>
      </c>
      <c r="N751" s="5">
        <v>30834471</v>
      </c>
      <c r="O751" s="5">
        <v>62400</v>
      </c>
      <c r="P751" s="5">
        <v>11856</v>
      </c>
      <c r="Q751" s="5">
        <v>74256</v>
      </c>
    </row>
    <row r="752" spans="1:17" x14ac:dyDescent="0.25">
      <c r="A752" t="s">
        <v>496</v>
      </c>
      <c r="B752" t="s">
        <v>494</v>
      </c>
      <c r="C752">
        <v>81698900</v>
      </c>
      <c r="D752">
        <v>7015</v>
      </c>
      <c r="E752" t="s">
        <v>795</v>
      </c>
      <c r="F752" t="s">
        <v>591</v>
      </c>
      <c r="G752" s="1">
        <v>45225</v>
      </c>
      <c r="H752">
        <v>5409202</v>
      </c>
      <c r="I752">
        <v>357</v>
      </c>
      <c r="J752" t="s">
        <v>299</v>
      </c>
      <c r="K752" s="8" t="s">
        <v>742</v>
      </c>
      <c r="L752" s="4" t="s">
        <v>6</v>
      </c>
      <c r="M752" t="s">
        <v>681</v>
      </c>
      <c r="N752" s="5">
        <v>30827819</v>
      </c>
      <c r="O752" s="5">
        <v>50810</v>
      </c>
      <c r="P752" s="5">
        <v>9654</v>
      </c>
      <c r="Q752" s="5">
        <v>60464</v>
      </c>
    </row>
    <row r="753" spans="1:17" x14ac:dyDescent="0.25">
      <c r="A753" t="s">
        <v>496</v>
      </c>
      <c r="B753" t="s">
        <v>494</v>
      </c>
      <c r="C753">
        <v>81698900</v>
      </c>
      <c r="D753">
        <v>7015</v>
      </c>
      <c r="E753" t="s">
        <v>796</v>
      </c>
      <c r="F753" t="s">
        <v>591</v>
      </c>
      <c r="G753" s="1">
        <v>45225</v>
      </c>
      <c r="H753">
        <v>5409204</v>
      </c>
      <c r="I753">
        <v>357</v>
      </c>
      <c r="J753" t="s">
        <v>299</v>
      </c>
      <c r="K753" s="8" t="s">
        <v>742</v>
      </c>
      <c r="L753" s="4" t="s">
        <v>6</v>
      </c>
      <c r="M753" t="s">
        <v>681</v>
      </c>
      <c r="N753" s="5">
        <v>30827817</v>
      </c>
      <c r="O753" s="5">
        <v>193837</v>
      </c>
      <c r="P753" s="5">
        <v>36829</v>
      </c>
      <c r="Q753" s="5">
        <v>230666</v>
      </c>
    </row>
    <row r="754" spans="1:17" x14ac:dyDescent="0.25">
      <c r="A754" t="s">
        <v>496</v>
      </c>
      <c r="B754" t="s">
        <v>494</v>
      </c>
      <c r="C754">
        <v>81698900</v>
      </c>
      <c r="D754">
        <v>9077</v>
      </c>
      <c r="E754" t="s">
        <v>797</v>
      </c>
      <c r="F754" t="s">
        <v>591</v>
      </c>
      <c r="G754" s="1">
        <v>45225</v>
      </c>
      <c r="H754">
        <v>5409229</v>
      </c>
      <c r="I754">
        <v>348</v>
      </c>
      <c r="J754" t="s">
        <v>293</v>
      </c>
      <c r="K754" s="8" t="s">
        <v>742</v>
      </c>
      <c r="L754" s="4" t="s">
        <v>6</v>
      </c>
      <c r="M754" t="s">
        <v>681</v>
      </c>
      <c r="N754" s="5">
        <v>30836497</v>
      </c>
      <c r="O754" s="5">
        <v>833170</v>
      </c>
      <c r="P754" s="5">
        <v>158302</v>
      </c>
      <c r="Q754" s="5">
        <v>991472</v>
      </c>
    </row>
    <row r="755" spans="1:17" x14ac:dyDescent="0.25">
      <c r="A755" t="s">
        <v>496</v>
      </c>
      <c r="B755" t="s">
        <v>494</v>
      </c>
      <c r="C755">
        <v>81698900</v>
      </c>
      <c r="D755">
        <v>7015</v>
      </c>
      <c r="E755" t="s">
        <v>798</v>
      </c>
      <c r="F755" t="s">
        <v>591</v>
      </c>
      <c r="G755" s="1">
        <v>45225</v>
      </c>
      <c r="H755">
        <v>5409230</v>
      </c>
      <c r="I755">
        <v>357</v>
      </c>
      <c r="J755" t="s">
        <v>299</v>
      </c>
      <c r="K755" s="7" t="s">
        <v>743</v>
      </c>
      <c r="L755" s="4" t="s">
        <v>6</v>
      </c>
      <c r="M755">
        <v>94861</v>
      </c>
      <c r="N755" s="5">
        <v>30827814</v>
      </c>
      <c r="O755" s="5">
        <v>167559</v>
      </c>
      <c r="P755" s="5">
        <v>31836</v>
      </c>
      <c r="Q755" s="5">
        <v>199395</v>
      </c>
    </row>
    <row r="756" spans="1:17" x14ac:dyDescent="0.25">
      <c r="A756" t="s">
        <v>496</v>
      </c>
      <c r="B756" t="s">
        <v>494</v>
      </c>
      <c r="C756">
        <v>81698900</v>
      </c>
      <c r="D756">
        <v>4009</v>
      </c>
      <c r="E756" t="s">
        <v>799</v>
      </c>
      <c r="F756" t="s">
        <v>591</v>
      </c>
      <c r="G756" s="1">
        <v>45225</v>
      </c>
      <c r="H756">
        <v>5409283</v>
      </c>
      <c r="I756">
        <v>357</v>
      </c>
      <c r="J756" t="s">
        <v>299</v>
      </c>
      <c r="K756" s="8" t="s">
        <v>742</v>
      </c>
      <c r="L756" s="4" t="s">
        <v>6</v>
      </c>
      <c r="M756" t="s">
        <v>681</v>
      </c>
      <c r="N756" s="5">
        <v>30801025</v>
      </c>
      <c r="O756" s="5">
        <v>18060</v>
      </c>
      <c r="P756" s="5">
        <v>3431</v>
      </c>
      <c r="Q756" s="5">
        <v>21491</v>
      </c>
    </row>
    <row r="757" spans="1:17" x14ac:dyDescent="0.25">
      <c r="A757" t="s">
        <v>496</v>
      </c>
      <c r="B757" t="s">
        <v>494</v>
      </c>
      <c r="C757">
        <v>81698900</v>
      </c>
      <c r="D757">
        <v>64</v>
      </c>
      <c r="E757" t="s">
        <v>800</v>
      </c>
      <c r="F757" t="s">
        <v>591</v>
      </c>
      <c r="G757" s="1">
        <v>45225</v>
      </c>
      <c r="H757">
        <v>5409288</v>
      </c>
      <c r="I757">
        <v>357</v>
      </c>
      <c r="J757" t="s">
        <v>299</v>
      </c>
      <c r="K757" s="8" t="s">
        <v>742</v>
      </c>
      <c r="L757" s="4" t="s">
        <v>6</v>
      </c>
      <c r="M757" t="s">
        <v>681</v>
      </c>
      <c r="N757" s="5">
        <v>30836198</v>
      </c>
      <c r="O757" s="5">
        <v>60610</v>
      </c>
      <c r="P757" s="5">
        <v>11516</v>
      </c>
      <c r="Q757" s="5">
        <v>72126</v>
      </c>
    </row>
    <row r="758" spans="1:17" x14ac:dyDescent="0.25">
      <c r="A758" t="s">
        <v>496</v>
      </c>
      <c r="B758" t="s">
        <v>494</v>
      </c>
      <c r="C758">
        <v>81698900</v>
      </c>
      <c r="D758">
        <v>11</v>
      </c>
      <c r="E758" t="s">
        <v>801</v>
      </c>
      <c r="F758" t="s">
        <v>591</v>
      </c>
      <c r="G758" s="1">
        <v>45229</v>
      </c>
      <c r="H758">
        <v>5409707</v>
      </c>
      <c r="I758">
        <v>357</v>
      </c>
      <c r="J758" t="s">
        <v>299</v>
      </c>
      <c r="K758" s="8" t="s">
        <v>742</v>
      </c>
      <c r="L758" s="4" t="s">
        <v>6</v>
      </c>
      <c r="M758" t="s">
        <v>681</v>
      </c>
      <c r="N758" s="5">
        <v>30831443</v>
      </c>
      <c r="O758" s="5">
        <v>47070</v>
      </c>
      <c r="P758" s="5">
        <v>8943</v>
      </c>
      <c r="Q758" s="5">
        <v>56013</v>
      </c>
    </row>
    <row r="759" spans="1:17" x14ac:dyDescent="0.25">
      <c r="A759" t="s">
        <v>496</v>
      </c>
      <c r="B759" t="s">
        <v>494</v>
      </c>
      <c r="C759">
        <v>81698900</v>
      </c>
      <c r="D759">
        <v>5168</v>
      </c>
      <c r="E759" t="s">
        <v>802</v>
      </c>
      <c r="F759" t="s">
        <v>591</v>
      </c>
      <c r="G759" s="1">
        <v>45229</v>
      </c>
      <c r="H759">
        <v>5409809</v>
      </c>
      <c r="I759">
        <v>348</v>
      </c>
      <c r="J759" t="s">
        <v>293</v>
      </c>
      <c r="K759" s="8" t="s">
        <v>742</v>
      </c>
      <c r="L759" s="4" t="s">
        <v>6</v>
      </c>
      <c r="M759" t="s">
        <v>681</v>
      </c>
      <c r="N759" s="5">
        <v>30838795</v>
      </c>
      <c r="O759" s="5">
        <v>40076</v>
      </c>
      <c r="P759" s="5">
        <v>7614</v>
      </c>
      <c r="Q759" s="5">
        <v>47690</v>
      </c>
    </row>
    <row r="760" spans="1:17" x14ac:dyDescent="0.25">
      <c r="A760" t="s">
        <v>496</v>
      </c>
      <c r="B760" t="s">
        <v>494</v>
      </c>
      <c r="C760">
        <v>81698900</v>
      </c>
      <c r="D760">
        <v>708</v>
      </c>
      <c r="E760" t="s">
        <v>803</v>
      </c>
      <c r="F760" t="s">
        <v>591</v>
      </c>
      <c r="G760" s="1">
        <v>45229</v>
      </c>
      <c r="H760">
        <v>5409988</v>
      </c>
      <c r="I760">
        <v>357</v>
      </c>
      <c r="J760" t="s">
        <v>299</v>
      </c>
      <c r="K760" s="8" t="s">
        <v>742</v>
      </c>
      <c r="L760" s="4" t="s">
        <v>6</v>
      </c>
      <c r="M760" t="s">
        <v>681</v>
      </c>
      <c r="N760" s="5">
        <v>30840066</v>
      </c>
      <c r="O760" s="5">
        <v>64778</v>
      </c>
      <c r="P760" s="5">
        <v>12308</v>
      </c>
      <c r="Q760" s="5">
        <v>77086</v>
      </c>
    </row>
    <row r="761" spans="1:17" x14ac:dyDescent="0.25">
      <c r="A761" t="s">
        <v>496</v>
      </c>
      <c r="B761" t="s">
        <v>494</v>
      </c>
      <c r="C761">
        <v>81698900</v>
      </c>
      <c r="D761">
        <v>504</v>
      </c>
      <c r="E761" t="s">
        <v>804</v>
      </c>
      <c r="F761" t="s">
        <v>591</v>
      </c>
      <c r="G761" s="1">
        <v>45229</v>
      </c>
      <c r="H761">
        <v>5410030</v>
      </c>
      <c r="I761">
        <v>357</v>
      </c>
      <c r="J761" t="s">
        <v>299</v>
      </c>
      <c r="K761" s="7" t="s">
        <v>743</v>
      </c>
      <c r="L761" s="4" t="s">
        <v>6</v>
      </c>
      <c r="M761">
        <v>94867</v>
      </c>
      <c r="N761" s="5">
        <v>30839014</v>
      </c>
      <c r="O761" s="5">
        <v>329960</v>
      </c>
      <c r="P761" s="5">
        <v>62692</v>
      </c>
      <c r="Q761" s="5">
        <v>395933</v>
      </c>
    </row>
    <row r="762" spans="1:17" x14ac:dyDescent="0.25">
      <c r="F762" t="s">
        <v>805</v>
      </c>
      <c r="K762" t="s">
        <v>681</v>
      </c>
      <c r="L762" s="4"/>
      <c r="M762" t="s">
        <v>681</v>
      </c>
      <c r="N762" s="5"/>
      <c r="O762" s="5">
        <v>5481658</v>
      </c>
      <c r="P762" s="5">
        <v>1041514</v>
      </c>
      <c r="Q762" s="5">
        <v>6533854</v>
      </c>
    </row>
    <row r="763" spans="1:17" x14ac:dyDescent="0.25">
      <c r="A763" t="s">
        <v>3</v>
      </c>
      <c r="B763" t="s">
        <v>494</v>
      </c>
      <c r="C763">
        <v>81873700</v>
      </c>
      <c r="D763">
        <v>18</v>
      </c>
      <c r="E763">
        <v>30789336</v>
      </c>
      <c r="F763" t="s">
        <v>594</v>
      </c>
      <c r="G763" s="1">
        <v>45209</v>
      </c>
      <c r="H763">
        <v>5400799</v>
      </c>
      <c r="I763">
        <v>18</v>
      </c>
      <c r="J763" t="s">
        <v>168</v>
      </c>
      <c r="K763" s="8" t="s">
        <v>742</v>
      </c>
      <c r="L763" s="4"/>
      <c r="M763" t="s">
        <v>681</v>
      </c>
      <c r="N763" s="5">
        <v>30789336</v>
      </c>
      <c r="O763" s="5">
        <v>36766</v>
      </c>
      <c r="P763" s="5">
        <v>6986</v>
      </c>
      <c r="Q763" s="5">
        <v>43752</v>
      </c>
    </row>
    <row r="764" spans="1:17" x14ac:dyDescent="0.25">
      <c r="A764" t="s">
        <v>3</v>
      </c>
      <c r="B764" t="s">
        <v>494</v>
      </c>
      <c r="C764">
        <v>81873700</v>
      </c>
      <c r="D764">
        <v>32</v>
      </c>
      <c r="E764">
        <v>30791026</v>
      </c>
      <c r="F764" t="s">
        <v>594</v>
      </c>
      <c r="G764" s="1">
        <v>45209</v>
      </c>
      <c r="H764">
        <v>5401215</v>
      </c>
      <c r="I764">
        <v>18</v>
      </c>
      <c r="J764" t="s">
        <v>168</v>
      </c>
      <c r="K764" s="8" t="s">
        <v>742</v>
      </c>
      <c r="L764" s="4"/>
      <c r="M764" t="s">
        <v>681</v>
      </c>
      <c r="N764" s="5">
        <v>30791026</v>
      </c>
      <c r="O764" s="5">
        <v>124259</v>
      </c>
      <c r="P764" s="5">
        <v>23609</v>
      </c>
      <c r="Q764" s="5">
        <v>147868</v>
      </c>
    </row>
    <row r="765" spans="1:17" x14ac:dyDescent="0.25">
      <c r="A765" t="s">
        <v>3</v>
      </c>
      <c r="B765" t="s">
        <v>494</v>
      </c>
      <c r="C765">
        <v>81873700</v>
      </c>
      <c r="D765">
        <v>17</v>
      </c>
      <c r="E765">
        <v>30808197</v>
      </c>
      <c r="F765" t="s">
        <v>594</v>
      </c>
      <c r="G765" s="1">
        <v>45215</v>
      </c>
      <c r="H765">
        <v>5405231</v>
      </c>
      <c r="I765">
        <v>18</v>
      </c>
      <c r="J765" t="s">
        <v>168</v>
      </c>
      <c r="K765" s="8" t="s">
        <v>742</v>
      </c>
      <c r="L765" s="4"/>
      <c r="M765" t="s">
        <v>681</v>
      </c>
      <c r="N765" s="5">
        <v>30808197</v>
      </c>
      <c r="O765" s="5">
        <v>79560</v>
      </c>
      <c r="P765" s="5">
        <v>15116</v>
      </c>
      <c r="Q765" s="5">
        <v>94676</v>
      </c>
    </row>
    <row r="766" spans="1:17" x14ac:dyDescent="0.25">
      <c r="A766" t="s">
        <v>3</v>
      </c>
      <c r="B766" t="s">
        <v>494</v>
      </c>
      <c r="C766">
        <v>81873700</v>
      </c>
      <c r="D766">
        <v>31</v>
      </c>
      <c r="E766">
        <v>30821505</v>
      </c>
      <c r="F766" t="s">
        <v>594</v>
      </c>
      <c r="G766" s="1">
        <v>45219</v>
      </c>
      <c r="H766">
        <v>5406822</v>
      </c>
      <c r="I766">
        <v>18</v>
      </c>
      <c r="J766" t="s">
        <v>168</v>
      </c>
      <c r="K766" s="8" t="s">
        <v>742</v>
      </c>
      <c r="L766" s="4"/>
      <c r="M766" t="s">
        <v>681</v>
      </c>
      <c r="N766" s="5">
        <v>30821505</v>
      </c>
      <c r="O766" s="5">
        <v>88036</v>
      </c>
      <c r="P766" s="5">
        <v>16727</v>
      </c>
      <c r="Q766" s="5">
        <v>104763</v>
      </c>
    </row>
    <row r="767" spans="1:17" x14ac:dyDescent="0.25">
      <c r="A767" t="s">
        <v>3</v>
      </c>
      <c r="B767" t="s">
        <v>494</v>
      </c>
      <c r="C767">
        <v>81873700</v>
      </c>
      <c r="D767">
        <v>3</v>
      </c>
      <c r="E767">
        <v>30837378</v>
      </c>
      <c r="F767" t="s">
        <v>594</v>
      </c>
      <c r="G767" s="1">
        <v>45225</v>
      </c>
      <c r="H767">
        <v>5409335</v>
      </c>
      <c r="I767">
        <v>176</v>
      </c>
      <c r="J767" t="s">
        <v>158</v>
      </c>
      <c r="K767" s="8" t="s">
        <v>742</v>
      </c>
      <c r="L767" s="4"/>
      <c r="M767" t="s">
        <v>681</v>
      </c>
      <c r="N767" s="5">
        <v>30837378</v>
      </c>
      <c r="O767" s="5">
        <v>63840</v>
      </c>
      <c r="P767" s="5">
        <v>12130</v>
      </c>
      <c r="Q767" s="5">
        <v>75970</v>
      </c>
    </row>
    <row r="768" spans="1:17" x14ac:dyDescent="0.25">
      <c r="F768" t="s">
        <v>499</v>
      </c>
      <c r="K768" t="s">
        <v>681</v>
      </c>
      <c r="L768" s="4"/>
      <c r="M768" t="s">
        <v>681</v>
      </c>
      <c r="N768" s="5"/>
      <c r="O768" s="5">
        <v>392461</v>
      </c>
      <c r="P768" s="5">
        <v>74568</v>
      </c>
      <c r="Q768" s="5">
        <v>467029</v>
      </c>
    </row>
    <row r="769" spans="1:17" x14ac:dyDescent="0.25">
      <c r="A769" t="s">
        <v>512</v>
      </c>
      <c r="B769" t="s">
        <v>494</v>
      </c>
      <c r="C769">
        <v>83382700</v>
      </c>
      <c r="D769">
        <v>212</v>
      </c>
      <c r="E769">
        <v>30770218</v>
      </c>
      <c r="F769" t="s">
        <v>595</v>
      </c>
      <c r="G769" s="1">
        <v>45202</v>
      </c>
      <c r="H769">
        <v>5395661</v>
      </c>
      <c r="I769">
        <v>272</v>
      </c>
      <c r="J769" t="s">
        <v>398</v>
      </c>
      <c r="K769" s="8" t="s">
        <v>742</v>
      </c>
      <c r="L769" s="4" t="s">
        <v>68</v>
      </c>
      <c r="M769" t="s">
        <v>681</v>
      </c>
      <c r="N769" s="5">
        <v>30770218</v>
      </c>
      <c r="O769" s="5">
        <v>490296</v>
      </c>
      <c r="P769" s="5">
        <v>93156</v>
      </c>
      <c r="Q769" s="5">
        <v>583452</v>
      </c>
    </row>
    <row r="770" spans="1:17" x14ac:dyDescent="0.25">
      <c r="A770" t="s">
        <v>512</v>
      </c>
      <c r="B770" t="s">
        <v>494</v>
      </c>
      <c r="C770">
        <v>83382700</v>
      </c>
      <c r="D770">
        <v>215</v>
      </c>
      <c r="E770">
        <v>30770217</v>
      </c>
      <c r="F770" t="s">
        <v>595</v>
      </c>
      <c r="G770" s="1">
        <v>45202</v>
      </c>
      <c r="H770">
        <v>5395680</v>
      </c>
      <c r="I770">
        <v>272</v>
      </c>
      <c r="J770" t="s">
        <v>398</v>
      </c>
      <c r="K770" s="8" t="s">
        <v>742</v>
      </c>
      <c r="L770" s="4" t="s">
        <v>68</v>
      </c>
      <c r="M770" t="s">
        <v>681</v>
      </c>
      <c r="N770" s="5">
        <v>30770217</v>
      </c>
      <c r="O770" s="5">
        <v>390018</v>
      </c>
      <c r="P770" s="5">
        <v>74103</v>
      </c>
      <c r="Q770" s="5">
        <v>464121</v>
      </c>
    </row>
    <row r="771" spans="1:17" x14ac:dyDescent="0.25">
      <c r="A771" t="s">
        <v>512</v>
      </c>
      <c r="B771" t="s">
        <v>494</v>
      </c>
      <c r="C771">
        <v>83382700</v>
      </c>
      <c r="D771">
        <v>192</v>
      </c>
      <c r="E771">
        <v>30771546</v>
      </c>
      <c r="F771" t="s">
        <v>595</v>
      </c>
      <c r="G771" s="1">
        <v>45202</v>
      </c>
      <c r="H771">
        <v>5395749</v>
      </c>
      <c r="I771">
        <v>272</v>
      </c>
      <c r="J771" t="s">
        <v>398</v>
      </c>
      <c r="K771" s="8" t="s">
        <v>742</v>
      </c>
      <c r="L771" s="4" t="s">
        <v>68</v>
      </c>
      <c r="M771" t="s">
        <v>681</v>
      </c>
      <c r="N771" s="5">
        <v>30771546</v>
      </c>
      <c r="O771" s="5">
        <v>649925</v>
      </c>
      <c r="P771" s="5">
        <v>123486</v>
      </c>
      <c r="Q771" s="5">
        <v>773411</v>
      </c>
    </row>
    <row r="772" spans="1:17" x14ac:dyDescent="0.25">
      <c r="A772" t="s">
        <v>512</v>
      </c>
      <c r="B772" t="s">
        <v>494</v>
      </c>
      <c r="C772">
        <v>83382700</v>
      </c>
      <c r="D772">
        <v>216</v>
      </c>
      <c r="E772">
        <v>30770216</v>
      </c>
      <c r="F772" t="s">
        <v>595</v>
      </c>
      <c r="G772" s="1">
        <v>45202</v>
      </c>
      <c r="H772">
        <v>5395833</v>
      </c>
      <c r="I772">
        <v>272</v>
      </c>
      <c r="J772" t="s">
        <v>398</v>
      </c>
      <c r="K772" s="8" t="s">
        <v>742</v>
      </c>
      <c r="L772" s="4" t="s">
        <v>68</v>
      </c>
      <c r="M772" t="s">
        <v>681</v>
      </c>
      <c r="N772" s="5">
        <v>30770216</v>
      </c>
      <c r="O772" s="5">
        <v>949961</v>
      </c>
      <c r="P772" s="5">
        <v>180493</v>
      </c>
      <c r="Q772" s="5">
        <v>1130454</v>
      </c>
    </row>
    <row r="773" spans="1:17" x14ac:dyDescent="0.25">
      <c r="A773" t="s">
        <v>512</v>
      </c>
      <c r="B773" t="s">
        <v>494</v>
      </c>
      <c r="C773">
        <v>83382700</v>
      </c>
      <c r="D773">
        <v>109</v>
      </c>
      <c r="E773">
        <v>30771522</v>
      </c>
      <c r="F773" t="s">
        <v>595</v>
      </c>
      <c r="G773" s="1">
        <v>45202</v>
      </c>
      <c r="H773">
        <v>5395887</v>
      </c>
      <c r="I773">
        <v>272</v>
      </c>
      <c r="J773" t="s">
        <v>398</v>
      </c>
      <c r="K773" s="8" t="s">
        <v>742</v>
      </c>
      <c r="L773" s="4" t="s">
        <v>68</v>
      </c>
      <c r="M773" t="s">
        <v>681</v>
      </c>
      <c r="N773" s="5">
        <v>30771522</v>
      </c>
      <c r="O773" s="5">
        <v>119879</v>
      </c>
      <c r="P773" s="5">
        <v>22777</v>
      </c>
      <c r="Q773" s="5">
        <v>149911</v>
      </c>
    </row>
    <row r="774" spans="1:17" x14ac:dyDescent="0.25">
      <c r="A774" t="s">
        <v>512</v>
      </c>
      <c r="B774" t="s">
        <v>494</v>
      </c>
      <c r="C774">
        <v>83382700</v>
      </c>
      <c r="D774">
        <v>203</v>
      </c>
      <c r="E774">
        <v>30770220</v>
      </c>
      <c r="F774" t="s">
        <v>595</v>
      </c>
      <c r="G774" s="1">
        <v>45203</v>
      </c>
      <c r="H774">
        <v>5396312</v>
      </c>
      <c r="I774">
        <v>272</v>
      </c>
      <c r="J774" t="s">
        <v>398</v>
      </c>
      <c r="K774" s="8" t="s">
        <v>742</v>
      </c>
      <c r="L774" s="4" t="s">
        <v>68</v>
      </c>
      <c r="M774" t="s">
        <v>681</v>
      </c>
      <c r="N774" s="5">
        <v>30770220</v>
      </c>
      <c r="O774" s="5">
        <v>518260</v>
      </c>
      <c r="P774" s="5">
        <v>98469</v>
      </c>
      <c r="Q774" s="5">
        <v>616729</v>
      </c>
    </row>
    <row r="775" spans="1:17" x14ac:dyDescent="0.25">
      <c r="A775" t="s">
        <v>512</v>
      </c>
      <c r="B775" t="s">
        <v>494</v>
      </c>
      <c r="C775">
        <v>83382700</v>
      </c>
      <c r="D775">
        <v>209</v>
      </c>
      <c r="E775">
        <v>30771500</v>
      </c>
      <c r="F775" t="s">
        <v>595</v>
      </c>
      <c r="G775" s="1">
        <v>45203</v>
      </c>
      <c r="H775">
        <v>5396343</v>
      </c>
      <c r="I775">
        <v>272</v>
      </c>
      <c r="J775" t="s">
        <v>398</v>
      </c>
      <c r="K775" s="8" t="s">
        <v>742</v>
      </c>
      <c r="L775" s="4" t="s">
        <v>68</v>
      </c>
      <c r="M775" t="s">
        <v>681</v>
      </c>
      <c r="N775" s="5">
        <v>30771500</v>
      </c>
      <c r="O775" s="5">
        <v>599780</v>
      </c>
      <c r="P775" s="5">
        <v>113958</v>
      </c>
      <c r="Q775" s="5">
        <v>713738</v>
      </c>
    </row>
    <row r="776" spans="1:17" x14ac:dyDescent="0.25">
      <c r="A776" t="s">
        <v>512</v>
      </c>
      <c r="B776" t="s">
        <v>494</v>
      </c>
      <c r="C776">
        <v>83382700</v>
      </c>
      <c r="D776">
        <v>182</v>
      </c>
      <c r="E776">
        <v>30771511</v>
      </c>
      <c r="F776" t="s">
        <v>595</v>
      </c>
      <c r="G776" s="1">
        <v>45203</v>
      </c>
      <c r="H776">
        <v>5396380</v>
      </c>
      <c r="I776">
        <v>272</v>
      </c>
      <c r="J776" t="s">
        <v>398</v>
      </c>
      <c r="K776" s="8" t="s">
        <v>742</v>
      </c>
      <c r="L776" s="4" t="s">
        <v>68</v>
      </c>
      <c r="M776" t="s">
        <v>681</v>
      </c>
      <c r="N776" s="5">
        <v>30771511</v>
      </c>
      <c r="O776" s="5">
        <v>675612</v>
      </c>
      <c r="P776" s="5">
        <v>128366</v>
      </c>
      <c r="Q776" s="5">
        <v>803978</v>
      </c>
    </row>
    <row r="777" spans="1:17" x14ac:dyDescent="0.25">
      <c r="A777" t="s">
        <v>512</v>
      </c>
      <c r="B777" t="s">
        <v>494</v>
      </c>
      <c r="C777">
        <v>83382700</v>
      </c>
      <c r="D777">
        <v>314</v>
      </c>
      <c r="E777">
        <v>30771568</v>
      </c>
      <c r="F777" t="s">
        <v>595</v>
      </c>
      <c r="G777" s="1">
        <v>45203</v>
      </c>
      <c r="H777">
        <v>5396392</v>
      </c>
      <c r="I777">
        <v>272</v>
      </c>
      <c r="J777" t="s">
        <v>398</v>
      </c>
      <c r="K777" s="8" t="s">
        <v>742</v>
      </c>
      <c r="L777" s="4" t="s">
        <v>68</v>
      </c>
      <c r="M777" t="s">
        <v>681</v>
      </c>
      <c r="N777" s="5">
        <v>30771568</v>
      </c>
      <c r="O777" s="5">
        <v>849877</v>
      </c>
      <c r="P777" s="5">
        <v>161477</v>
      </c>
      <c r="Q777" s="5">
        <v>1011354</v>
      </c>
    </row>
    <row r="778" spans="1:17" x14ac:dyDescent="0.25">
      <c r="A778" t="s">
        <v>512</v>
      </c>
      <c r="B778" t="s">
        <v>494</v>
      </c>
      <c r="C778">
        <v>83382700</v>
      </c>
      <c r="D778">
        <v>214</v>
      </c>
      <c r="E778">
        <v>30773778</v>
      </c>
      <c r="F778" t="s">
        <v>595</v>
      </c>
      <c r="G778" s="1">
        <v>45203</v>
      </c>
      <c r="H778">
        <v>5396506</v>
      </c>
      <c r="I778">
        <v>272</v>
      </c>
      <c r="J778" t="s">
        <v>398</v>
      </c>
      <c r="K778" s="8" t="s">
        <v>742</v>
      </c>
      <c r="L778" s="4" t="s">
        <v>68</v>
      </c>
      <c r="M778" t="s">
        <v>681</v>
      </c>
      <c r="N778" s="5">
        <v>30773778</v>
      </c>
      <c r="O778" s="5">
        <v>642424</v>
      </c>
      <c r="P778" s="5">
        <v>122061</v>
      </c>
      <c r="Q778" s="5">
        <v>764485</v>
      </c>
    </row>
    <row r="779" spans="1:17" x14ac:dyDescent="0.25">
      <c r="A779" t="s">
        <v>512</v>
      </c>
      <c r="B779" t="s">
        <v>494</v>
      </c>
      <c r="C779">
        <v>83382700</v>
      </c>
      <c r="D779">
        <v>202</v>
      </c>
      <c r="E779">
        <v>30773734</v>
      </c>
      <c r="F779" t="s">
        <v>595</v>
      </c>
      <c r="G779" s="1">
        <v>45203</v>
      </c>
      <c r="H779">
        <v>5396671</v>
      </c>
      <c r="I779">
        <v>272</v>
      </c>
      <c r="J779" t="s">
        <v>398</v>
      </c>
      <c r="K779" s="8" t="s">
        <v>742</v>
      </c>
      <c r="L779" s="4" t="s">
        <v>68</v>
      </c>
      <c r="M779" t="s">
        <v>681</v>
      </c>
      <c r="N779" s="5">
        <v>30773734</v>
      </c>
      <c r="O779" s="5">
        <v>512931</v>
      </c>
      <c r="P779" s="5">
        <v>97457</v>
      </c>
      <c r="Q779" s="5">
        <v>610388</v>
      </c>
    </row>
    <row r="780" spans="1:17" x14ac:dyDescent="0.25">
      <c r="A780" t="s">
        <v>512</v>
      </c>
      <c r="B780" t="s">
        <v>494</v>
      </c>
      <c r="C780">
        <v>83382700</v>
      </c>
      <c r="D780">
        <v>29</v>
      </c>
      <c r="E780">
        <v>30772421</v>
      </c>
      <c r="F780" t="s">
        <v>595</v>
      </c>
      <c r="G780" s="1">
        <v>45203</v>
      </c>
      <c r="H780">
        <v>5396680</v>
      </c>
      <c r="I780">
        <v>272</v>
      </c>
      <c r="J780" t="s">
        <v>398</v>
      </c>
      <c r="K780" s="8" t="s">
        <v>742</v>
      </c>
      <c r="L780" s="4" t="s">
        <v>68</v>
      </c>
      <c r="M780" t="s">
        <v>681</v>
      </c>
      <c r="N780" s="5">
        <v>30772421</v>
      </c>
      <c r="O780" s="5">
        <v>593509</v>
      </c>
      <c r="P780" s="5">
        <v>112767</v>
      </c>
      <c r="Q780" s="5">
        <v>706276</v>
      </c>
    </row>
    <row r="781" spans="1:17" x14ac:dyDescent="0.25">
      <c r="A781" t="s">
        <v>512</v>
      </c>
      <c r="B781" t="s">
        <v>494</v>
      </c>
      <c r="C781">
        <v>83382700</v>
      </c>
      <c r="D781">
        <v>186</v>
      </c>
      <c r="E781">
        <v>30773746</v>
      </c>
      <c r="F781" t="s">
        <v>595</v>
      </c>
      <c r="G781" s="1">
        <v>45203</v>
      </c>
      <c r="H781">
        <v>5396791</v>
      </c>
      <c r="I781">
        <v>272</v>
      </c>
      <c r="J781" t="s">
        <v>398</v>
      </c>
      <c r="K781" s="8" t="s">
        <v>742</v>
      </c>
      <c r="L781" s="4" t="s">
        <v>68</v>
      </c>
      <c r="M781" t="s">
        <v>681</v>
      </c>
      <c r="N781" s="5">
        <v>30773746</v>
      </c>
      <c r="O781" s="5">
        <v>499530</v>
      </c>
      <c r="P781" s="5">
        <v>94911</v>
      </c>
      <c r="Q781" s="5">
        <v>594441</v>
      </c>
    </row>
    <row r="782" spans="1:17" x14ac:dyDescent="0.25">
      <c r="A782" t="s">
        <v>512</v>
      </c>
      <c r="B782" t="s">
        <v>494</v>
      </c>
      <c r="C782">
        <v>83382700</v>
      </c>
      <c r="D782">
        <v>212</v>
      </c>
      <c r="E782">
        <v>30770218</v>
      </c>
      <c r="F782" t="s">
        <v>595</v>
      </c>
      <c r="G782" s="1">
        <v>45203</v>
      </c>
      <c r="H782">
        <v>5397153</v>
      </c>
      <c r="I782">
        <v>272</v>
      </c>
      <c r="J782" t="s">
        <v>398</v>
      </c>
      <c r="K782" s="8" t="s">
        <v>742</v>
      </c>
      <c r="L782" s="4" t="s">
        <v>68</v>
      </c>
      <c r="M782" t="s">
        <v>681</v>
      </c>
      <c r="N782" s="5">
        <v>30770219</v>
      </c>
      <c r="O782" s="5">
        <v>19554</v>
      </c>
      <c r="P782" s="5">
        <v>3715</v>
      </c>
      <c r="Q782" s="5">
        <v>23269</v>
      </c>
    </row>
    <row r="783" spans="1:17" x14ac:dyDescent="0.25">
      <c r="A783" t="s">
        <v>512</v>
      </c>
      <c r="B783" t="s">
        <v>494</v>
      </c>
      <c r="C783">
        <v>83382700</v>
      </c>
      <c r="D783">
        <v>188</v>
      </c>
      <c r="E783">
        <v>30773855</v>
      </c>
      <c r="F783" t="s">
        <v>595</v>
      </c>
      <c r="G783" s="1">
        <v>45203</v>
      </c>
      <c r="H783">
        <v>5397419</v>
      </c>
      <c r="I783">
        <v>272</v>
      </c>
      <c r="J783" t="s">
        <v>398</v>
      </c>
      <c r="K783" s="8" t="s">
        <v>742</v>
      </c>
      <c r="L783" s="4" t="s">
        <v>68</v>
      </c>
      <c r="M783" t="s">
        <v>681</v>
      </c>
      <c r="N783" s="5">
        <v>30773855</v>
      </c>
      <c r="O783" s="5">
        <v>520594</v>
      </c>
      <c r="P783" s="5">
        <v>98913</v>
      </c>
      <c r="Q783" s="5">
        <v>619507</v>
      </c>
    </row>
    <row r="784" spans="1:17" x14ac:dyDescent="0.25">
      <c r="A784" t="s">
        <v>512</v>
      </c>
      <c r="B784" t="s">
        <v>494</v>
      </c>
      <c r="C784">
        <v>83382700</v>
      </c>
      <c r="D784">
        <v>230</v>
      </c>
      <c r="E784">
        <v>30776768</v>
      </c>
      <c r="F784" t="s">
        <v>595</v>
      </c>
      <c r="G784" s="1">
        <v>45204</v>
      </c>
      <c r="H784">
        <v>5398299</v>
      </c>
      <c r="I784">
        <v>272</v>
      </c>
      <c r="J784" t="s">
        <v>398</v>
      </c>
      <c r="K784" s="8" t="s">
        <v>742</v>
      </c>
      <c r="L784" s="4" t="s">
        <v>68</v>
      </c>
      <c r="M784" t="s">
        <v>681</v>
      </c>
      <c r="N784" s="5">
        <v>30776768</v>
      </c>
      <c r="O784" s="5">
        <v>376977</v>
      </c>
      <c r="P784" s="5">
        <v>71626</v>
      </c>
      <c r="Q784" s="5">
        <v>448603</v>
      </c>
    </row>
    <row r="785" spans="1:17" x14ac:dyDescent="0.25">
      <c r="A785" t="s">
        <v>512</v>
      </c>
      <c r="B785" t="s">
        <v>494</v>
      </c>
      <c r="C785">
        <v>83382700</v>
      </c>
      <c r="D785">
        <v>220</v>
      </c>
      <c r="E785">
        <v>30776792</v>
      </c>
      <c r="F785" t="s">
        <v>595</v>
      </c>
      <c r="G785" s="1">
        <v>45204</v>
      </c>
      <c r="H785">
        <v>5398336</v>
      </c>
      <c r="I785">
        <v>272</v>
      </c>
      <c r="J785" t="s">
        <v>398</v>
      </c>
      <c r="K785" s="8" t="s">
        <v>742</v>
      </c>
      <c r="L785" s="4" t="s">
        <v>68</v>
      </c>
      <c r="M785" t="s">
        <v>681</v>
      </c>
      <c r="N785" s="5">
        <v>30776792</v>
      </c>
      <c r="O785" s="5">
        <v>439217</v>
      </c>
      <c r="P785" s="5">
        <v>83451</v>
      </c>
      <c r="Q785" s="5">
        <v>522668</v>
      </c>
    </row>
    <row r="786" spans="1:17" x14ac:dyDescent="0.25">
      <c r="A786" t="s">
        <v>512</v>
      </c>
      <c r="B786" t="s">
        <v>494</v>
      </c>
      <c r="C786">
        <v>83382700</v>
      </c>
      <c r="D786">
        <v>164</v>
      </c>
      <c r="E786">
        <v>30783330</v>
      </c>
      <c r="F786" t="s">
        <v>595</v>
      </c>
      <c r="G786" s="1">
        <v>45205</v>
      </c>
      <c r="H786">
        <v>5398434</v>
      </c>
      <c r="I786">
        <v>272</v>
      </c>
      <c r="J786" t="s">
        <v>398</v>
      </c>
      <c r="K786" s="8" t="s">
        <v>742</v>
      </c>
      <c r="L786" s="4" t="s">
        <v>68</v>
      </c>
      <c r="M786" t="s">
        <v>681</v>
      </c>
      <c r="N786" s="5">
        <v>30783330</v>
      </c>
      <c r="O786" s="5">
        <v>574895</v>
      </c>
      <c r="P786" s="5">
        <v>109230</v>
      </c>
      <c r="Q786" s="5">
        <v>684125</v>
      </c>
    </row>
    <row r="787" spans="1:17" x14ac:dyDescent="0.25">
      <c r="A787" t="s">
        <v>512</v>
      </c>
      <c r="B787" t="s">
        <v>494</v>
      </c>
      <c r="C787">
        <v>83382700</v>
      </c>
      <c r="D787">
        <v>68</v>
      </c>
      <c r="E787">
        <v>30779987</v>
      </c>
      <c r="F787" t="s">
        <v>595</v>
      </c>
      <c r="G787" s="1">
        <v>45205</v>
      </c>
      <c r="H787">
        <v>5398530</v>
      </c>
      <c r="I787">
        <v>272</v>
      </c>
      <c r="J787" t="s">
        <v>398</v>
      </c>
      <c r="K787" s="8" t="s">
        <v>742</v>
      </c>
      <c r="L787" s="4" t="s">
        <v>68</v>
      </c>
      <c r="M787" t="s">
        <v>681</v>
      </c>
      <c r="N787" s="5">
        <v>30779987</v>
      </c>
      <c r="O787" s="5">
        <v>598649</v>
      </c>
      <c r="P787" s="5">
        <v>113743</v>
      </c>
      <c r="Q787" s="5">
        <v>712392</v>
      </c>
    </row>
    <row r="788" spans="1:17" x14ac:dyDescent="0.25">
      <c r="A788" t="s">
        <v>512</v>
      </c>
      <c r="B788" t="s">
        <v>494</v>
      </c>
      <c r="C788">
        <v>83382700</v>
      </c>
      <c r="D788">
        <v>267</v>
      </c>
      <c r="E788">
        <v>30783345</v>
      </c>
      <c r="F788" t="s">
        <v>595</v>
      </c>
      <c r="G788" s="1">
        <v>45205</v>
      </c>
      <c r="H788">
        <v>5398565</v>
      </c>
      <c r="I788">
        <v>272</v>
      </c>
      <c r="J788" t="s">
        <v>398</v>
      </c>
      <c r="K788" s="8" t="s">
        <v>742</v>
      </c>
      <c r="L788" s="4" t="s">
        <v>68</v>
      </c>
      <c r="M788" t="s">
        <v>681</v>
      </c>
      <c r="N788" s="5">
        <v>30783345</v>
      </c>
      <c r="O788" s="5">
        <v>165796</v>
      </c>
      <c r="P788" s="5">
        <v>31501</v>
      </c>
      <c r="Q788" s="5">
        <v>197297</v>
      </c>
    </row>
    <row r="789" spans="1:17" x14ac:dyDescent="0.25">
      <c r="A789" t="s">
        <v>512</v>
      </c>
      <c r="B789" t="s">
        <v>494</v>
      </c>
      <c r="C789">
        <v>83382700</v>
      </c>
      <c r="D789">
        <v>233</v>
      </c>
      <c r="E789">
        <v>30785270</v>
      </c>
      <c r="F789" t="s">
        <v>595</v>
      </c>
      <c r="G789" s="1">
        <v>45205</v>
      </c>
      <c r="H789">
        <v>5398888</v>
      </c>
      <c r="I789">
        <v>272</v>
      </c>
      <c r="J789" t="s">
        <v>398</v>
      </c>
      <c r="K789" s="8" t="s">
        <v>742</v>
      </c>
      <c r="L789" s="4" t="s">
        <v>68</v>
      </c>
      <c r="M789" t="s">
        <v>681</v>
      </c>
      <c r="N789" s="5">
        <v>30785270</v>
      </c>
      <c r="O789" s="5">
        <v>65636</v>
      </c>
      <c r="P789" s="5">
        <v>12471</v>
      </c>
      <c r="Q789" s="5">
        <v>79552</v>
      </c>
    </row>
    <row r="790" spans="1:17" x14ac:dyDescent="0.25">
      <c r="A790" t="s">
        <v>512</v>
      </c>
      <c r="B790" t="s">
        <v>494</v>
      </c>
      <c r="C790">
        <v>83382700</v>
      </c>
      <c r="D790">
        <v>300</v>
      </c>
      <c r="E790">
        <v>30773812</v>
      </c>
      <c r="F790" t="s">
        <v>595</v>
      </c>
      <c r="G790" s="1">
        <v>45206</v>
      </c>
      <c r="H790">
        <v>5399109</v>
      </c>
      <c r="I790">
        <v>272</v>
      </c>
      <c r="J790" t="s">
        <v>398</v>
      </c>
      <c r="K790" s="8" t="s">
        <v>742</v>
      </c>
      <c r="L790" s="4" t="s">
        <v>68</v>
      </c>
      <c r="M790" t="s">
        <v>681</v>
      </c>
      <c r="N790" s="5">
        <v>30773812</v>
      </c>
      <c r="O790" s="5">
        <v>391458</v>
      </c>
      <c r="P790" s="5">
        <v>74377</v>
      </c>
      <c r="Q790" s="5">
        <v>465835</v>
      </c>
    </row>
    <row r="791" spans="1:17" x14ac:dyDescent="0.25">
      <c r="A791" t="s">
        <v>512</v>
      </c>
      <c r="B791" t="s">
        <v>494</v>
      </c>
      <c r="C791">
        <v>83382700</v>
      </c>
      <c r="D791">
        <v>207</v>
      </c>
      <c r="E791">
        <v>30778150</v>
      </c>
      <c r="F791" t="s">
        <v>595</v>
      </c>
      <c r="G791" s="1">
        <v>45206</v>
      </c>
      <c r="H791">
        <v>5399212</v>
      </c>
      <c r="I791">
        <v>272</v>
      </c>
      <c r="J791" t="s">
        <v>398</v>
      </c>
      <c r="K791" s="8" t="s">
        <v>742</v>
      </c>
      <c r="L791" s="4" t="s">
        <v>68</v>
      </c>
      <c r="M791" t="s">
        <v>681</v>
      </c>
      <c r="N791" s="5">
        <v>30778150</v>
      </c>
      <c r="O791" s="5">
        <v>415188</v>
      </c>
      <c r="P791" s="5">
        <v>78886</v>
      </c>
      <c r="Q791" s="5">
        <v>494074</v>
      </c>
    </row>
    <row r="792" spans="1:17" x14ac:dyDescent="0.25">
      <c r="A792" t="s">
        <v>512</v>
      </c>
      <c r="B792" t="s">
        <v>494</v>
      </c>
      <c r="C792">
        <v>83382700</v>
      </c>
      <c r="D792">
        <v>157</v>
      </c>
      <c r="E792">
        <v>30784455</v>
      </c>
      <c r="F792" t="s">
        <v>595</v>
      </c>
      <c r="G792" s="1">
        <v>45209</v>
      </c>
      <c r="H792">
        <v>5399525</v>
      </c>
      <c r="I792">
        <v>272</v>
      </c>
      <c r="J792" t="s">
        <v>398</v>
      </c>
      <c r="K792" s="8" t="s">
        <v>742</v>
      </c>
      <c r="L792" s="4" t="s">
        <v>68</v>
      </c>
      <c r="M792" t="s">
        <v>681</v>
      </c>
      <c r="N792" s="5">
        <v>30784455</v>
      </c>
      <c r="O792" s="5">
        <v>703965</v>
      </c>
      <c r="P792" s="5">
        <v>133753</v>
      </c>
      <c r="Q792" s="5">
        <v>837718</v>
      </c>
    </row>
    <row r="793" spans="1:17" x14ac:dyDescent="0.25">
      <c r="A793" t="s">
        <v>512</v>
      </c>
      <c r="B793" t="s">
        <v>494</v>
      </c>
      <c r="C793">
        <v>83382700</v>
      </c>
      <c r="D793">
        <v>302</v>
      </c>
      <c r="E793">
        <v>30792993</v>
      </c>
      <c r="F793" t="s">
        <v>595</v>
      </c>
      <c r="G793" s="1">
        <v>45208</v>
      </c>
      <c r="H793">
        <v>5400703</v>
      </c>
      <c r="I793">
        <v>272</v>
      </c>
      <c r="J793" t="s">
        <v>398</v>
      </c>
      <c r="K793" s="8" t="s">
        <v>742</v>
      </c>
      <c r="L793" s="4" t="s">
        <v>68</v>
      </c>
      <c r="M793" t="s">
        <v>681</v>
      </c>
      <c r="N793" s="5">
        <v>30792993</v>
      </c>
      <c r="O793" s="5">
        <v>456219</v>
      </c>
      <c r="P793" s="5">
        <v>86682</v>
      </c>
      <c r="Q793" s="5">
        <v>542901</v>
      </c>
    </row>
    <row r="794" spans="1:17" x14ac:dyDescent="0.25">
      <c r="A794" t="s">
        <v>512</v>
      </c>
      <c r="B794" t="s">
        <v>494</v>
      </c>
      <c r="C794">
        <v>83382700</v>
      </c>
      <c r="D794">
        <v>301</v>
      </c>
      <c r="E794">
        <v>30795125</v>
      </c>
      <c r="F794" t="s">
        <v>595</v>
      </c>
      <c r="G794" s="1">
        <v>45210</v>
      </c>
      <c r="H794">
        <v>5401579</v>
      </c>
      <c r="I794">
        <v>272</v>
      </c>
      <c r="J794" t="s">
        <v>398</v>
      </c>
      <c r="K794" s="8" t="s">
        <v>742</v>
      </c>
      <c r="L794" s="4" t="s">
        <v>68</v>
      </c>
      <c r="M794" t="s">
        <v>681</v>
      </c>
      <c r="N794" s="5">
        <v>30795125</v>
      </c>
      <c r="O794" s="5">
        <v>395207</v>
      </c>
      <c r="P794" s="5">
        <v>75089</v>
      </c>
      <c r="Q794" s="5">
        <v>470296</v>
      </c>
    </row>
    <row r="795" spans="1:17" x14ac:dyDescent="0.25">
      <c r="A795" t="s">
        <v>512</v>
      </c>
      <c r="B795" t="s">
        <v>494</v>
      </c>
      <c r="C795">
        <v>83382700</v>
      </c>
      <c r="D795">
        <v>235</v>
      </c>
      <c r="E795">
        <v>30795421</v>
      </c>
      <c r="F795" t="s">
        <v>595</v>
      </c>
      <c r="G795" s="1">
        <v>45210</v>
      </c>
      <c r="H795">
        <v>5401676</v>
      </c>
      <c r="I795">
        <v>272</v>
      </c>
      <c r="J795" t="s">
        <v>398</v>
      </c>
      <c r="K795" s="8" t="s">
        <v>742</v>
      </c>
      <c r="L795" s="4" t="s">
        <v>68</v>
      </c>
      <c r="M795" t="s">
        <v>681</v>
      </c>
      <c r="N795" s="5">
        <v>30795421</v>
      </c>
      <c r="O795" s="5">
        <v>173971</v>
      </c>
      <c r="P795" s="5">
        <v>33054</v>
      </c>
      <c r="Q795" s="5">
        <v>222105</v>
      </c>
    </row>
    <row r="796" spans="1:17" x14ac:dyDescent="0.25">
      <c r="A796" t="s">
        <v>512</v>
      </c>
      <c r="B796" t="s">
        <v>494</v>
      </c>
      <c r="C796">
        <v>83382700</v>
      </c>
      <c r="D796">
        <v>213</v>
      </c>
      <c r="E796">
        <v>30801508</v>
      </c>
      <c r="F796" t="s">
        <v>595</v>
      </c>
      <c r="G796" s="1">
        <v>45211</v>
      </c>
      <c r="H796">
        <v>5403060</v>
      </c>
      <c r="I796">
        <v>272</v>
      </c>
      <c r="J796" t="s">
        <v>398</v>
      </c>
      <c r="K796" s="8" t="s">
        <v>742</v>
      </c>
      <c r="L796" s="4" t="s">
        <v>68</v>
      </c>
      <c r="M796" t="s">
        <v>681</v>
      </c>
      <c r="N796" s="5">
        <v>30801508</v>
      </c>
      <c r="O796" s="5">
        <v>519509</v>
      </c>
      <c r="P796" s="5">
        <v>98707</v>
      </c>
      <c r="Q796" s="5">
        <v>618216</v>
      </c>
    </row>
    <row r="797" spans="1:17" x14ac:dyDescent="0.25">
      <c r="A797" t="s">
        <v>512</v>
      </c>
      <c r="B797" t="s">
        <v>494</v>
      </c>
      <c r="C797">
        <v>83382700</v>
      </c>
      <c r="D797">
        <v>235</v>
      </c>
      <c r="E797">
        <v>30788847</v>
      </c>
      <c r="F797" t="s">
        <v>595</v>
      </c>
      <c r="G797" s="1">
        <v>45212</v>
      </c>
      <c r="H797">
        <v>5403456</v>
      </c>
      <c r="I797">
        <v>272</v>
      </c>
      <c r="J797" t="s">
        <v>398</v>
      </c>
      <c r="K797" s="8" t="s">
        <v>742</v>
      </c>
      <c r="L797" s="4" t="s">
        <v>68</v>
      </c>
      <c r="M797" t="s">
        <v>681</v>
      </c>
      <c r="N797" s="5">
        <v>30788847</v>
      </c>
      <c r="O797" s="5">
        <v>125090</v>
      </c>
      <c r="P797" s="5">
        <v>23767</v>
      </c>
      <c r="Q797" s="5">
        <v>148857</v>
      </c>
    </row>
    <row r="798" spans="1:17" x14ac:dyDescent="0.25">
      <c r="A798" t="s">
        <v>512</v>
      </c>
      <c r="B798" t="s">
        <v>494</v>
      </c>
      <c r="C798">
        <v>83382700</v>
      </c>
      <c r="D798">
        <v>317</v>
      </c>
      <c r="E798">
        <v>30804116</v>
      </c>
      <c r="F798" t="s">
        <v>595</v>
      </c>
      <c r="G798" s="1">
        <v>45212</v>
      </c>
      <c r="H798">
        <v>5403539</v>
      </c>
      <c r="I798">
        <v>272</v>
      </c>
      <c r="J798" t="s">
        <v>398</v>
      </c>
      <c r="K798" s="8" t="s">
        <v>742</v>
      </c>
      <c r="L798" s="4" t="s">
        <v>68</v>
      </c>
      <c r="M798" t="s">
        <v>681</v>
      </c>
      <c r="N798" s="5">
        <v>30804116</v>
      </c>
      <c r="O798" s="5">
        <v>257665</v>
      </c>
      <c r="P798" s="5">
        <v>48956</v>
      </c>
      <c r="Q798" s="5">
        <v>310165</v>
      </c>
    </row>
    <row r="799" spans="1:17" x14ac:dyDescent="0.25">
      <c r="A799" t="s">
        <v>512</v>
      </c>
      <c r="B799" t="s">
        <v>494</v>
      </c>
      <c r="C799">
        <v>83382700</v>
      </c>
      <c r="D799">
        <v>256</v>
      </c>
      <c r="E799">
        <v>30804841</v>
      </c>
      <c r="F799" t="s">
        <v>595</v>
      </c>
      <c r="G799" s="1">
        <v>45212</v>
      </c>
      <c r="H799">
        <v>5403594</v>
      </c>
      <c r="I799">
        <v>272</v>
      </c>
      <c r="J799" t="s">
        <v>398</v>
      </c>
      <c r="K799" s="8" t="s">
        <v>742</v>
      </c>
      <c r="L799" s="4" t="s">
        <v>68</v>
      </c>
      <c r="M799" t="s">
        <v>681</v>
      </c>
      <c r="N799" s="5">
        <v>30804841</v>
      </c>
      <c r="O799" s="5">
        <v>124645</v>
      </c>
      <c r="P799" s="5">
        <v>23683</v>
      </c>
      <c r="Q799" s="5">
        <v>148328</v>
      </c>
    </row>
    <row r="800" spans="1:17" x14ac:dyDescent="0.25">
      <c r="A800" t="s">
        <v>512</v>
      </c>
      <c r="B800" t="s">
        <v>494</v>
      </c>
      <c r="C800">
        <v>83382700</v>
      </c>
      <c r="D800">
        <v>255</v>
      </c>
      <c r="E800">
        <v>30804849</v>
      </c>
      <c r="F800" t="s">
        <v>595</v>
      </c>
      <c r="G800" s="1">
        <v>45212</v>
      </c>
      <c r="H800">
        <v>5403599</v>
      </c>
      <c r="I800">
        <v>272</v>
      </c>
      <c r="J800" t="s">
        <v>398</v>
      </c>
      <c r="K800" s="8" t="s">
        <v>742</v>
      </c>
      <c r="L800" s="4" t="s">
        <v>68</v>
      </c>
      <c r="M800" t="s">
        <v>681</v>
      </c>
      <c r="N800" s="5">
        <v>30804849</v>
      </c>
      <c r="O800" s="5">
        <v>89694</v>
      </c>
      <c r="P800" s="5">
        <v>17042</v>
      </c>
      <c r="Q800" s="5">
        <v>106736</v>
      </c>
    </row>
    <row r="801" spans="1:17" x14ac:dyDescent="0.25">
      <c r="A801" t="s">
        <v>512</v>
      </c>
      <c r="B801" t="s">
        <v>494</v>
      </c>
      <c r="C801">
        <v>83382700</v>
      </c>
      <c r="D801">
        <v>254</v>
      </c>
      <c r="E801">
        <v>30804723</v>
      </c>
      <c r="F801" t="s">
        <v>595</v>
      </c>
      <c r="G801" s="1">
        <v>45212</v>
      </c>
      <c r="H801">
        <v>5403674</v>
      </c>
      <c r="I801">
        <v>272</v>
      </c>
      <c r="J801" t="s">
        <v>398</v>
      </c>
      <c r="K801" s="8" t="s">
        <v>742</v>
      </c>
      <c r="L801" s="4" t="s">
        <v>68</v>
      </c>
      <c r="M801" t="s">
        <v>681</v>
      </c>
      <c r="N801" s="5">
        <v>30804723</v>
      </c>
      <c r="O801" s="5">
        <v>85934</v>
      </c>
      <c r="P801" s="5">
        <v>16327</v>
      </c>
      <c r="Q801" s="5">
        <v>102261</v>
      </c>
    </row>
    <row r="802" spans="1:17" x14ac:dyDescent="0.25">
      <c r="A802" t="s">
        <v>512</v>
      </c>
      <c r="B802" t="s">
        <v>494</v>
      </c>
      <c r="C802">
        <v>83382700</v>
      </c>
      <c r="D802">
        <v>317</v>
      </c>
      <c r="E802">
        <v>30804116</v>
      </c>
      <c r="F802" t="s">
        <v>595</v>
      </c>
      <c r="G802" s="1">
        <v>45215</v>
      </c>
      <c r="H802">
        <v>5404792</v>
      </c>
      <c r="I802">
        <v>272</v>
      </c>
      <c r="J802" t="s">
        <v>398</v>
      </c>
      <c r="K802" s="8" t="s">
        <v>742</v>
      </c>
      <c r="L802" s="4" t="s">
        <v>68</v>
      </c>
      <c r="M802" t="s">
        <v>681</v>
      </c>
      <c r="N802" s="5">
        <v>30804117</v>
      </c>
      <c r="O802" s="5">
        <v>16240</v>
      </c>
      <c r="P802" s="5">
        <v>3086</v>
      </c>
      <c r="Q802" s="5">
        <v>19326</v>
      </c>
    </row>
    <row r="803" spans="1:17" x14ac:dyDescent="0.25">
      <c r="F803" t="s">
        <v>689</v>
      </c>
      <c r="K803" t="s">
        <v>681</v>
      </c>
      <c r="L803" s="4"/>
      <c r="M803" t="s">
        <v>681</v>
      </c>
      <c r="N803" s="5"/>
      <c r="O803" s="5">
        <v>14008105</v>
      </c>
      <c r="P803" s="5">
        <v>2661540</v>
      </c>
      <c r="Q803" s="5">
        <v>16696969</v>
      </c>
    </row>
    <row r="804" spans="1:17" x14ac:dyDescent="0.25">
      <c r="A804" t="s">
        <v>496</v>
      </c>
      <c r="B804" t="s">
        <v>494</v>
      </c>
      <c r="C804">
        <v>84554900</v>
      </c>
      <c r="D804">
        <v>0</v>
      </c>
      <c r="E804">
        <v>4500219770</v>
      </c>
      <c r="F804" t="s">
        <v>708</v>
      </c>
      <c r="G804" s="1">
        <v>45213</v>
      </c>
      <c r="H804">
        <v>5403934</v>
      </c>
      <c r="I804">
        <v>440</v>
      </c>
      <c r="J804" t="s">
        <v>115</v>
      </c>
      <c r="K804" s="8" t="s">
        <v>742</v>
      </c>
      <c r="L804" s="4"/>
      <c r="M804" t="s">
        <v>681</v>
      </c>
      <c r="N804" s="5">
        <v>30804287</v>
      </c>
      <c r="O804" s="5">
        <v>96675</v>
      </c>
      <c r="P804" s="5">
        <v>18368</v>
      </c>
      <c r="Q804" s="5">
        <v>115043</v>
      </c>
    </row>
    <row r="805" spans="1:17" x14ac:dyDescent="0.25">
      <c r="A805" t="s">
        <v>496</v>
      </c>
      <c r="B805" t="s">
        <v>494</v>
      </c>
      <c r="C805">
        <v>84554900</v>
      </c>
      <c r="D805">
        <v>0</v>
      </c>
      <c r="E805">
        <v>4500214907</v>
      </c>
      <c r="F805" t="s">
        <v>708</v>
      </c>
      <c r="G805" s="1">
        <v>45213</v>
      </c>
      <c r="H805">
        <v>5403942</v>
      </c>
      <c r="I805">
        <v>441</v>
      </c>
      <c r="J805" t="s">
        <v>119</v>
      </c>
      <c r="K805" s="8" t="s">
        <v>742</v>
      </c>
      <c r="L805" s="4"/>
      <c r="M805" t="s">
        <v>681</v>
      </c>
      <c r="N805" s="5">
        <v>30721117</v>
      </c>
      <c r="O805" s="5">
        <v>104720</v>
      </c>
      <c r="P805" s="5">
        <v>19897</v>
      </c>
      <c r="Q805" s="5">
        <v>124617</v>
      </c>
    </row>
    <row r="806" spans="1:17" x14ac:dyDescent="0.25">
      <c r="F806" t="s">
        <v>497</v>
      </c>
      <c r="K806" t="s">
        <v>681</v>
      </c>
      <c r="L806" s="4"/>
      <c r="M806" t="s">
        <v>681</v>
      </c>
      <c r="N806" s="5"/>
      <c r="O806" s="5">
        <v>201395</v>
      </c>
      <c r="P806" s="5">
        <v>38265</v>
      </c>
      <c r="Q806" s="5">
        <v>239660</v>
      </c>
    </row>
    <row r="807" spans="1:17" x14ac:dyDescent="0.25">
      <c r="A807" t="s">
        <v>496</v>
      </c>
      <c r="B807" t="s">
        <v>494</v>
      </c>
      <c r="C807">
        <v>84716400</v>
      </c>
      <c r="D807">
        <v>0</v>
      </c>
      <c r="E807">
        <v>5500177810</v>
      </c>
      <c r="F807" t="s">
        <v>596</v>
      </c>
      <c r="G807" s="1">
        <v>45204</v>
      </c>
      <c r="H807">
        <v>5398226</v>
      </c>
      <c r="I807">
        <v>348</v>
      </c>
      <c r="J807" t="s">
        <v>293</v>
      </c>
      <c r="K807" s="8" t="s">
        <v>742</v>
      </c>
      <c r="L807" s="4"/>
      <c r="M807" t="s">
        <v>681</v>
      </c>
      <c r="N807" s="5">
        <v>30782663</v>
      </c>
      <c r="O807" s="5">
        <v>19804</v>
      </c>
      <c r="P807" s="5">
        <v>3763</v>
      </c>
      <c r="Q807" s="5">
        <v>23567</v>
      </c>
    </row>
    <row r="808" spans="1:17" x14ac:dyDescent="0.25">
      <c r="A808" t="s">
        <v>496</v>
      </c>
      <c r="B808" t="s">
        <v>494</v>
      </c>
      <c r="C808">
        <v>84716400</v>
      </c>
      <c r="D808">
        <v>0</v>
      </c>
      <c r="E808">
        <v>5100001337</v>
      </c>
      <c r="F808" t="s">
        <v>596</v>
      </c>
      <c r="G808" s="1">
        <v>45205</v>
      </c>
      <c r="H808">
        <v>5398783</v>
      </c>
      <c r="I808">
        <v>348</v>
      </c>
      <c r="J808" t="s">
        <v>293</v>
      </c>
      <c r="K808" s="8" t="s">
        <v>742</v>
      </c>
      <c r="L808" s="4"/>
      <c r="M808" t="s">
        <v>681</v>
      </c>
      <c r="N808" s="5">
        <v>30784537</v>
      </c>
      <c r="O808" s="5">
        <v>275510</v>
      </c>
      <c r="P808" s="5">
        <v>52347</v>
      </c>
      <c r="Q808" s="5">
        <v>327857</v>
      </c>
    </row>
    <row r="809" spans="1:17" x14ac:dyDescent="0.25">
      <c r="A809" t="s">
        <v>496</v>
      </c>
      <c r="B809" t="s">
        <v>494</v>
      </c>
      <c r="C809">
        <v>84716400</v>
      </c>
      <c r="D809">
        <v>3</v>
      </c>
      <c r="E809">
        <v>5500178814</v>
      </c>
      <c r="F809" t="s">
        <v>596</v>
      </c>
      <c r="G809" s="1">
        <v>45230</v>
      </c>
      <c r="H809">
        <v>5410239</v>
      </c>
      <c r="I809">
        <v>348</v>
      </c>
      <c r="J809" t="s">
        <v>293</v>
      </c>
      <c r="K809" s="8" t="s">
        <v>742</v>
      </c>
      <c r="L809" s="4"/>
      <c r="M809" t="s">
        <v>681</v>
      </c>
      <c r="N809" s="5">
        <v>30841902</v>
      </c>
      <c r="O809" s="5">
        <v>44750</v>
      </c>
      <c r="P809" s="5">
        <v>8503</v>
      </c>
      <c r="Q809" s="5">
        <v>53253</v>
      </c>
    </row>
    <row r="810" spans="1:17" x14ac:dyDescent="0.25">
      <c r="F810" t="s">
        <v>500</v>
      </c>
      <c r="K810" t="s">
        <v>681</v>
      </c>
      <c r="L810" s="4"/>
      <c r="M810" t="s">
        <v>681</v>
      </c>
      <c r="N810" s="5"/>
      <c r="O810" s="5">
        <v>340064</v>
      </c>
      <c r="P810" s="5">
        <v>64613</v>
      </c>
      <c r="Q810" s="5">
        <v>404677</v>
      </c>
    </row>
    <row r="811" spans="1:17" x14ac:dyDescent="0.25">
      <c r="A811" t="s">
        <v>496</v>
      </c>
      <c r="B811" t="s">
        <v>502</v>
      </c>
      <c r="C811">
        <v>84865000</v>
      </c>
      <c r="D811">
        <v>3</v>
      </c>
      <c r="E811">
        <v>55500</v>
      </c>
      <c r="F811" t="s">
        <v>597</v>
      </c>
      <c r="G811" s="1">
        <v>45206</v>
      </c>
      <c r="H811">
        <v>5399862</v>
      </c>
      <c r="I811">
        <v>12</v>
      </c>
      <c r="J811" t="s">
        <v>319</v>
      </c>
      <c r="K811" s="8" t="s">
        <v>742</v>
      </c>
      <c r="L811" s="4" t="s">
        <v>70</v>
      </c>
      <c r="M811" t="s">
        <v>681</v>
      </c>
      <c r="N811" s="5">
        <v>30781129</v>
      </c>
      <c r="O811" s="5">
        <v>95767</v>
      </c>
      <c r="P811" s="5">
        <v>18196</v>
      </c>
      <c r="Q811" s="5">
        <v>113963</v>
      </c>
    </row>
    <row r="812" spans="1:17" x14ac:dyDescent="0.25">
      <c r="A812" t="s">
        <v>496</v>
      </c>
      <c r="B812" t="s">
        <v>502</v>
      </c>
      <c r="C812">
        <v>84865000</v>
      </c>
      <c r="D812">
        <v>78</v>
      </c>
      <c r="E812">
        <v>55623</v>
      </c>
      <c r="F812" t="s">
        <v>597</v>
      </c>
      <c r="G812" s="1">
        <v>45211</v>
      </c>
      <c r="H812">
        <v>5402943</v>
      </c>
      <c r="I812">
        <v>12</v>
      </c>
      <c r="J812" t="s">
        <v>319</v>
      </c>
      <c r="K812" s="8" t="s">
        <v>742</v>
      </c>
      <c r="L812" s="4" t="s">
        <v>70</v>
      </c>
      <c r="M812" t="s">
        <v>681</v>
      </c>
      <c r="N812" s="5">
        <v>30791578</v>
      </c>
      <c r="O812" s="5">
        <v>191224</v>
      </c>
      <c r="P812" s="5">
        <v>36333</v>
      </c>
      <c r="Q812" s="5">
        <v>227557</v>
      </c>
    </row>
    <row r="813" spans="1:17" x14ac:dyDescent="0.25">
      <c r="A813" t="s">
        <v>496</v>
      </c>
      <c r="B813" t="s">
        <v>502</v>
      </c>
      <c r="C813">
        <v>84865000</v>
      </c>
      <c r="D813">
        <v>36</v>
      </c>
      <c r="E813">
        <v>55747</v>
      </c>
      <c r="F813" t="s">
        <v>597</v>
      </c>
      <c r="G813" s="1">
        <v>45215</v>
      </c>
      <c r="H813">
        <v>5404842</v>
      </c>
      <c r="I813">
        <v>12</v>
      </c>
      <c r="J813" t="s">
        <v>319</v>
      </c>
      <c r="K813" s="8" t="s">
        <v>742</v>
      </c>
      <c r="L813" s="4" t="s">
        <v>70</v>
      </c>
      <c r="M813" t="s">
        <v>681</v>
      </c>
      <c r="N813" s="5">
        <v>30801482</v>
      </c>
      <c r="O813" s="5">
        <v>84895</v>
      </c>
      <c r="P813" s="5">
        <v>16130</v>
      </c>
      <c r="Q813" s="5">
        <v>101025</v>
      </c>
    </row>
    <row r="814" spans="1:17" x14ac:dyDescent="0.25">
      <c r="A814" t="s">
        <v>496</v>
      </c>
      <c r="B814" t="s">
        <v>502</v>
      </c>
      <c r="C814">
        <v>84865000</v>
      </c>
      <c r="D814">
        <v>101</v>
      </c>
      <c r="E814">
        <v>55837</v>
      </c>
      <c r="F814" t="s">
        <v>597</v>
      </c>
      <c r="G814" s="1">
        <v>45217</v>
      </c>
      <c r="H814">
        <v>5406303</v>
      </c>
      <c r="I814">
        <v>12</v>
      </c>
      <c r="J814" t="s">
        <v>319</v>
      </c>
      <c r="K814" s="8" t="s">
        <v>742</v>
      </c>
      <c r="L814" s="4" t="s">
        <v>70</v>
      </c>
      <c r="M814" t="s">
        <v>681</v>
      </c>
      <c r="N814" s="5">
        <v>30812785</v>
      </c>
      <c r="O814" s="5">
        <v>94248</v>
      </c>
      <c r="P814" s="5">
        <v>17907</v>
      </c>
      <c r="Q814" s="5">
        <v>112155</v>
      </c>
    </row>
    <row r="815" spans="1:17" x14ac:dyDescent="0.25">
      <c r="A815" t="s">
        <v>496</v>
      </c>
      <c r="B815" t="s">
        <v>502</v>
      </c>
      <c r="C815">
        <v>84865000</v>
      </c>
      <c r="D815">
        <v>21</v>
      </c>
      <c r="E815">
        <v>55990</v>
      </c>
      <c r="F815" t="s">
        <v>597</v>
      </c>
      <c r="G815" s="1">
        <v>45223</v>
      </c>
      <c r="H815">
        <v>5408305</v>
      </c>
      <c r="I815">
        <v>12</v>
      </c>
      <c r="J815" t="s">
        <v>319</v>
      </c>
      <c r="K815" s="8" t="s">
        <v>742</v>
      </c>
      <c r="L815" s="4" t="s">
        <v>70</v>
      </c>
      <c r="M815" t="s">
        <v>681</v>
      </c>
      <c r="N815" s="5">
        <v>30811544</v>
      </c>
      <c r="O815" s="5">
        <v>40527</v>
      </c>
      <c r="P815" s="5">
        <v>7700</v>
      </c>
      <c r="Q815" s="5">
        <v>48227</v>
      </c>
    </row>
    <row r="816" spans="1:17" x14ac:dyDescent="0.25">
      <c r="A816" t="s">
        <v>496</v>
      </c>
      <c r="B816" t="s">
        <v>502</v>
      </c>
      <c r="C816">
        <v>84865000</v>
      </c>
      <c r="D816">
        <v>90</v>
      </c>
      <c r="E816">
        <v>55997</v>
      </c>
      <c r="F816" t="s">
        <v>597</v>
      </c>
      <c r="G816" s="1">
        <v>45223</v>
      </c>
      <c r="H816">
        <v>5408512</v>
      </c>
      <c r="I816">
        <v>12</v>
      </c>
      <c r="J816" t="s">
        <v>319</v>
      </c>
      <c r="K816" s="8" t="s">
        <v>742</v>
      </c>
      <c r="L816" s="4" t="s">
        <v>70</v>
      </c>
      <c r="M816" t="s">
        <v>681</v>
      </c>
      <c r="N816" s="5">
        <v>30794753</v>
      </c>
      <c r="O816" s="5">
        <v>65699</v>
      </c>
      <c r="P816" s="5">
        <v>12483</v>
      </c>
      <c r="Q816" s="5">
        <v>78182</v>
      </c>
    </row>
    <row r="817" spans="1:17" x14ac:dyDescent="0.25">
      <c r="A817" t="s">
        <v>496</v>
      </c>
      <c r="B817" t="s">
        <v>502</v>
      </c>
      <c r="C817">
        <v>84865000</v>
      </c>
      <c r="D817">
        <v>61</v>
      </c>
      <c r="E817">
        <v>55913</v>
      </c>
      <c r="F817" t="s">
        <v>597</v>
      </c>
      <c r="G817" s="1">
        <v>45224</v>
      </c>
      <c r="H817">
        <v>5409038</v>
      </c>
      <c r="I817">
        <v>12</v>
      </c>
      <c r="J817" t="s">
        <v>319</v>
      </c>
      <c r="K817" s="8" t="s">
        <v>742</v>
      </c>
      <c r="L817" s="4" t="s">
        <v>70</v>
      </c>
      <c r="M817" t="s">
        <v>681</v>
      </c>
      <c r="N817" s="5">
        <v>30829670</v>
      </c>
      <c r="O817" s="5">
        <v>13218</v>
      </c>
      <c r="P817" s="5">
        <v>2511</v>
      </c>
      <c r="Q817" s="5">
        <v>15729</v>
      </c>
    </row>
    <row r="818" spans="1:17" x14ac:dyDescent="0.25">
      <c r="A818" t="s">
        <v>496</v>
      </c>
      <c r="B818" t="s">
        <v>502</v>
      </c>
      <c r="C818">
        <v>84865000</v>
      </c>
      <c r="D818">
        <v>27</v>
      </c>
      <c r="E818">
        <v>56094</v>
      </c>
      <c r="F818" t="s">
        <v>597</v>
      </c>
      <c r="G818" s="1">
        <v>45225</v>
      </c>
      <c r="H818">
        <v>5409194</v>
      </c>
      <c r="I818">
        <v>12</v>
      </c>
      <c r="J818" t="s">
        <v>319</v>
      </c>
      <c r="K818" s="8" t="s">
        <v>742</v>
      </c>
      <c r="L818" s="4" t="s">
        <v>70</v>
      </c>
      <c r="M818" t="s">
        <v>681</v>
      </c>
      <c r="N818" s="5">
        <v>30831154</v>
      </c>
      <c r="O818" s="5">
        <v>88198</v>
      </c>
      <c r="P818" s="5">
        <v>16758</v>
      </c>
      <c r="Q818" s="5">
        <v>106342</v>
      </c>
    </row>
    <row r="819" spans="1:17" x14ac:dyDescent="0.25">
      <c r="A819" t="s">
        <v>496</v>
      </c>
      <c r="B819" t="s">
        <v>502</v>
      </c>
      <c r="C819">
        <v>84865000</v>
      </c>
      <c r="D819">
        <v>23</v>
      </c>
      <c r="E819">
        <v>56087</v>
      </c>
      <c r="F819" t="s">
        <v>597</v>
      </c>
      <c r="G819" s="1">
        <v>45225</v>
      </c>
      <c r="H819">
        <v>5409209</v>
      </c>
      <c r="I819">
        <v>12</v>
      </c>
      <c r="J819" t="s">
        <v>319</v>
      </c>
      <c r="K819" s="8" t="s">
        <v>742</v>
      </c>
      <c r="L819" s="4" t="s">
        <v>70</v>
      </c>
      <c r="M819" t="s">
        <v>681</v>
      </c>
      <c r="N819" s="5">
        <v>30830865</v>
      </c>
      <c r="O819" s="5">
        <v>20012</v>
      </c>
      <c r="P819" s="5">
        <v>3802</v>
      </c>
      <c r="Q819" s="5">
        <v>23814</v>
      </c>
    </row>
    <row r="820" spans="1:17" x14ac:dyDescent="0.25">
      <c r="A820" t="s">
        <v>496</v>
      </c>
      <c r="B820" t="s">
        <v>502</v>
      </c>
      <c r="C820">
        <v>84865000</v>
      </c>
      <c r="D820">
        <v>21</v>
      </c>
      <c r="E820">
        <v>56096</v>
      </c>
      <c r="F820" t="s">
        <v>597</v>
      </c>
      <c r="G820" s="1">
        <v>45229</v>
      </c>
      <c r="H820">
        <v>5409601</v>
      </c>
      <c r="I820">
        <v>12</v>
      </c>
      <c r="J820" t="s">
        <v>319</v>
      </c>
      <c r="K820" s="8" t="s">
        <v>742</v>
      </c>
      <c r="L820" s="4" t="s">
        <v>70</v>
      </c>
      <c r="M820" t="s">
        <v>681</v>
      </c>
      <c r="N820" s="5">
        <v>30830784</v>
      </c>
      <c r="O820" s="5">
        <v>344846</v>
      </c>
      <c r="P820" s="5">
        <v>65521</v>
      </c>
      <c r="Q820" s="5">
        <v>410367</v>
      </c>
    </row>
    <row r="821" spans="1:17" x14ac:dyDescent="0.25">
      <c r="A821" t="s">
        <v>496</v>
      </c>
      <c r="B821" t="s">
        <v>502</v>
      </c>
      <c r="C821">
        <v>84865000</v>
      </c>
      <c r="D821">
        <v>8</v>
      </c>
      <c r="E821">
        <v>56156</v>
      </c>
      <c r="F821" t="s">
        <v>597</v>
      </c>
      <c r="G821" s="1">
        <v>45230</v>
      </c>
      <c r="H821">
        <v>5410305</v>
      </c>
      <c r="I821">
        <v>12</v>
      </c>
      <c r="J821" t="s">
        <v>319</v>
      </c>
      <c r="K821" s="8" t="s">
        <v>742</v>
      </c>
      <c r="L821" s="4" t="s">
        <v>70</v>
      </c>
      <c r="M821" t="s">
        <v>681</v>
      </c>
      <c r="N821" s="5">
        <v>30842578</v>
      </c>
      <c r="O821" s="5">
        <v>197805</v>
      </c>
      <c r="P821" s="5">
        <v>37583</v>
      </c>
      <c r="Q821" s="5">
        <v>235388</v>
      </c>
    </row>
    <row r="822" spans="1:17" x14ac:dyDescent="0.25">
      <c r="F822" t="s">
        <v>510</v>
      </c>
      <c r="K822" t="s">
        <v>681</v>
      </c>
      <c r="L822" s="4"/>
      <c r="M822" t="s">
        <v>681</v>
      </c>
      <c r="N822" s="5"/>
      <c r="O822" s="5">
        <v>1236439</v>
      </c>
      <c r="P822" s="5">
        <v>234924</v>
      </c>
      <c r="Q822" s="5">
        <v>1472749</v>
      </c>
    </row>
    <row r="823" spans="1:17" x14ac:dyDescent="0.25">
      <c r="A823" t="s">
        <v>512</v>
      </c>
      <c r="B823" t="s">
        <v>509</v>
      </c>
      <c r="C823">
        <v>85555900</v>
      </c>
      <c r="D823">
        <v>0</v>
      </c>
      <c r="E823">
        <v>30785452</v>
      </c>
      <c r="F823" t="s">
        <v>598</v>
      </c>
      <c r="G823" s="1">
        <v>45209</v>
      </c>
      <c r="H823">
        <v>5401013</v>
      </c>
      <c r="I823">
        <v>134</v>
      </c>
      <c r="J823" t="s">
        <v>208</v>
      </c>
      <c r="K823" t="s">
        <v>681</v>
      </c>
      <c r="L823" s="4"/>
      <c r="M823" t="s">
        <v>681</v>
      </c>
      <c r="N823" s="5">
        <v>30785452</v>
      </c>
      <c r="O823" s="5">
        <v>196659</v>
      </c>
      <c r="P823" s="5">
        <v>37365</v>
      </c>
      <c r="Q823" s="5">
        <v>234024</v>
      </c>
    </row>
    <row r="824" spans="1:17" x14ac:dyDescent="0.25">
      <c r="A824" t="s">
        <v>512</v>
      </c>
      <c r="B824" t="s">
        <v>509</v>
      </c>
      <c r="C824">
        <v>85555900</v>
      </c>
      <c r="D824">
        <v>0</v>
      </c>
      <c r="E824">
        <v>30823612</v>
      </c>
      <c r="F824" t="s">
        <v>598</v>
      </c>
      <c r="G824" s="1">
        <v>45219</v>
      </c>
      <c r="H824">
        <v>5407067</v>
      </c>
      <c r="I824">
        <v>134</v>
      </c>
      <c r="J824" t="s">
        <v>208</v>
      </c>
      <c r="K824" t="s">
        <v>681</v>
      </c>
      <c r="L824" s="4"/>
      <c r="M824" t="s">
        <v>681</v>
      </c>
      <c r="N824" s="5">
        <v>30823612</v>
      </c>
      <c r="O824" s="5">
        <v>57117</v>
      </c>
      <c r="P824" s="5">
        <v>10852</v>
      </c>
      <c r="Q824" s="5">
        <v>67969</v>
      </c>
    </row>
    <row r="825" spans="1:17" x14ac:dyDescent="0.25">
      <c r="A825" t="s">
        <v>512</v>
      </c>
      <c r="B825" t="s">
        <v>509</v>
      </c>
      <c r="C825">
        <v>85555900</v>
      </c>
      <c r="D825">
        <v>0</v>
      </c>
      <c r="E825">
        <v>30837752</v>
      </c>
      <c r="F825" t="s">
        <v>598</v>
      </c>
      <c r="G825" s="1">
        <v>45229</v>
      </c>
      <c r="H825">
        <v>5409765</v>
      </c>
      <c r="I825">
        <v>134</v>
      </c>
      <c r="J825" t="s">
        <v>208</v>
      </c>
      <c r="K825" t="s">
        <v>681</v>
      </c>
      <c r="L825" s="4"/>
      <c r="M825" t="s">
        <v>681</v>
      </c>
      <c r="N825" s="5">
        <v>30837752</v>
      </c>
      <c r="O825" s="5">
        <v>85163</v>
      </c>
      <c r="P825" s="5">
        <v>16181</v>
      </c>
      <c r="Q825" s="5">
        <v>101344</v>
      </c>
    </row>
    <row r="826" spans="1:17" x14ac:dyDescent="0.25">
      <c r="F826" t="s">
        <v>500</v>
      </c>
      <c r="K826" t="s">
        <v>681</v>
      </c>
      <c r="L826" s="4"/>
      <c r="M826" t="s">
        <v>681</v>
      </c>
      <c r="N826" s="5"/>
      <c r="O826" s="5">
        <v>338939</v>
      </c>
      <c r="P826" s="5">
        <v>64398</v>
      </c>
      <c r="Q826" s="5">
        <v>403337</v>
      </c>
    </row>
    <row r="827" spans="1:17" x14ac:dyDescent="0.25">
      <c r="A827" t="s">
        <v>496</v>
      </c>
      <c r="B827" t="s">
        <v>494</v>
      </c>
      <c r="C827">
        <v>85805200</v>
      </c>
      <c r="D827">
        <v>4</v>
      </c>
      <c r="E827">
        <v>4506322002</v>
      </c>
      <c r="F827" t="s">
        <v>599</v>
      </c>
      <c r="G827" s="1">
        <v>45202</v>
      </c>
      <c r="H827">
        <v>5395547</v>
      </c>
      <c r="I827">
        <v>81</v>
      </c>
      <c r="J827" t="s">
        <v>144</v>
      </c>
      <c r="K827" s="8" t="s">
        <v>742</v>
      </c>
      <c r="L827" s="4" t="s">
        <v>6</v>
      </c>
      <c r="M827" t="s">
        <v>681</v>
      </c>
      <c r="N827" s="5">
        <v>30769162</v>
      </c>
      <c r="O827" s="5">
        <v>31671</v>
      </c>
      <c r="P827" s="5">
        <v>6017</v>
      </c>
      <c r="Q827" s="5">
        <v>37688</v>
      </c>
    </row>
    <row r="828" spans="1:17" x14ac:dyDescent="0.25">
      <c r="A828" t="s">
        <v>496</v>
      </c>
      <c r="B828" t="s">
        <v>494</v>
      </c>
      <c r="C828">
        <v>85805200</v>
      </c>
      <c r="D828">
        <v>6</v>
      </c>
      <c r="E828">
        <v>4506340316</v>
      </c>
      <c r="F828" t="s">
        <v>599</v>
      </c>
      <c r="G828" s="1">
        <v>45215</v>
      </c>
      <c r="H828">
        <v>5404580</v>
      </c>
      <c r="I828">
        <v>81</v>
      </c>
      <c r="J828" t="s">
        <v>144</v>
      </c>
      <c r="K828" s="8" t="s">
        <v>742</v>
      </c>
      <c r="L828" s="4" t="s">
        <v>6</v>
      </c>
      <c r="M828" t="s">
        <v>681</v>
      </c>
      <c r="N828" s="5">
        <v>30806410</v>
      </c>
      <c r="O828" s="5">
        <v>352440</v>
      </c>
      <c r="P828" s="5">
        <v>66964</v>
      </c>
      <c r="Q828" s="5">
        <v>419404</v>
      </c>
    </row>
    <row r="829" spans="1:17" x14ac:dyDescent="0.25">
      <c r="A829" t="s">
        <v>496</v>
      </c>
      <c r="B829" t="s">
        <v>494</v>
      </c>
      <c r="C829">
        <v>85805200</v>
      </c>
      <c r="D829">
        <v>5</v>
      </c>
      <c r="E829">
        <v>4506343794</v>
      </c>
      <c r="F829" t="s">
        <v>599</v>
      </c>
      <c r="G829" s="1">
        <v>45219</v>
      </c>
      <c r="H829">
        <v>5407444</v>
      </c>
      <c r="I829">
        <v>81</v>
      </c>
      <c r="J829" t="s">
        <v>144</v>
      </c>
      <c r="K829" s="8" t="s">
        <v>742</v>
      </c>
      <c r="L829" s="4" t="s">
        <v>6</v>
      </c>
      <c r="M829" t="s">
        <v>681</v>
      </c>
      <c r="N829" s="5">
        <v>30815455</v>
      </c>
      <c r="O829" s="5">
        <v>80760</v>
      </c>
      <c r="P829" s="5">
        <v>15344</v>
      </c>
      <c r="Q829" s="5">
        <v>96104</v>
      </c>
    </row>
    <row r="830" spans="1:17" x14ac:dyDescent="0.25">
      <c r="F830" t="s">
        <v>500</v>
      </c>
      <c r="K830" t="s">
        <v>681</v>
      </c>
      <c r="L830" s="4"/>
      <c r="M830" t="s">
        <v>681</v>
      </c>
      <c r="N830" s="5"/>
      <c r="O830" s="5">
        <v>464871</v>
      </c>
      <c r="P830" s="5">
        <v>88325</v>
      </c>
      <c r="Q830" s="5">
        <v>553196</v>
      </c>
    </row>
    <row r="831" spans="1:17" x14ac:dyDescent="0.25">
      <c r="A831" t="s">
        <v>496</v>
      </c>
      <c r="B831" t="s">
        <v>494</v>
      </c>
      <c r="C831">
        <v>85840100</v>
      </c>
      <c r="D831">
        <v>35</v>
      </c>
      <c r="E831">
        <v>4502620969</v>
      </c>
      <c r="F831" t="s">
        <v>806</v>
      </c>
      <c r="G831" s="1">
        <v>45222</v>
      </c>
      <c r="H831">
        <v>5407559</v>
      </c>
      <c r="I831">
        <v>364</v>
      </c>
      <c r="J831" t="s">
        <v>194</v>
      </c>
      <c r="K831" s="8" t="s">
        <v>742</v>
      </c>
      <c r="L831" s="4" t="s">
        <v>6</v>
      </c>
      <c r="M831" t="s">
        <v>681</v>
      </c>
      <c r="N831" s="5">
        <v>30816426</v>
      </c>
      <c r="O831" s="5">
        <v>2354460</v>
      </c>
      <c r="P831" s="5">
        <v>447347</v>
      </c>
      <c r="Q831" s="5">
        <v>2801807</v>
      </c>
    </row>
    <row r="832" spans="1:17" x14ac:dyDescent="0.25">
      <c r="A832" t="s">
        <v>496</v>
      </c>
      <c r="B832" t="s">
        <v>494</v>
      </c>
      <c r="C832">
        <v>85840100</v>
      </c>
      <c r="D832">
        <v>9</v>
      </c>
      <c r="E832">
        <v>4502623124</v>
      </c>
      <c r="F832" t="s">
        <v>806</v>
      </c>
      <c r="G832" s="1">
        <v>45223</v>
      </c>
      <c r="H832">
        <v>5408685</v>
      </c>
      <c r="I832">
        <v>364</v>
      </c>
      <c r="J832" t="s">
        <v>194</v>
      </c>
      <c r="K832" s="8" t="s">
        <v>742</v>
      </c>
      <c r="L832" s="4" t="s">
        <v>6</v>
      </c>
      <c r="M832" t="s">
        <v>681</v>
      </c>
      <c r="N832" s="5">
        <v>30829463</v>
      </c>
      <c r="O832" s="5">
        <v>46789</v>
      </c>
      <c r="P832" s="5">
        <v>8890</v>
      </c>
      <c r="Q832" s="5">
        <v>55679</v>
      </c>
    </row>
    <row r="833" spans="1:17" x14ac:dyDescent="0.25">
      <c r="F833" t="s">
        <v>497</v>
      </c>
      <c r="K833" t="s">
        <v>681</v>
      </c>
      <c r="L833" s="4"/>
      <c r="M833" t="s">
        <v>681</v>
      </c>
      <c r="N833" s="5"/>
      <c r="O833" s="5">
        <v>2401249</v>
      </c>
      <c r="P833" s="5">
        <v>456237</v>
      </c>
      <c r="Q833" s="5">
        <v>2857486</v>
      </c>
    </row>
    <row r="834" spans="1:17" x14ac:dyDescent="0.25">
      <c r="A834" t="s">
        <v>522</v>
      </c>
      <c r="B834" t="s">
        <v>494</v>
      </c>
      <c r="C834">
        <v>85896100</v>
      </c>
      <c r="D834">
        <v>3</v>
      </c>
      <c r="E834">
        <v>30767737</v>
      </c>
      <c r="F834" t="s">
        <v>600</v>
      </c>
      <c r="G834" s="1">
        <v>45201</v>
      </c>
      <c r="H834">
        <v>5395105</v>
      </c>
      <c r="I834">
        <v>455</v>
      </c>
      <c r="J834" t="s">
        <v>123</v>
      </c>
      <c r="K834" t="s">
        <v>681</v>
      </c>
      <c r="L834" s="4" t="s">
        <v>91</v>
      </c>
      <c r="M834" t="s">
        <v>681</v>
      </c>
      <c r="N834" s="5">
        <v>30767737</v>
      </c>
      <c r="O834" s="5">
        <v>106645</v>
      </c>
      <c r="P834" s="5">
        <v>20263</v>
      </c>
      <c r="Q834" s="5">
        <v>126908</v>
      </c>
    </row>
    <row r="835" spans="1:17" x14ac:dyDescent="0.25">
      <c r="A835" t="s">
        <v>522</v>
      </c>
      <c r="B835" t="s">
        <v>494</v>
      </c>
      <c r="C835">
        <v>85896100</v>
      </c>
      <c r="D835">
        <v>10</v>
      </c>
      <c r="E835">
        <v>30771910</v>
      </c>
      <c r="F835" t="s">
        <v>600</v>
      </c>
      <c r="G835" s="1">
        <v>45202</v>
      </c>
      <c r="H835">
        <v>5396006</v>
      </c>
      <c r="I835">
        <v>455</v>
      </c>
      <c r="J835" t="s">
        <v>123</v>
      </c>
      <c r="K835" t="s">
        <v>681</v>
      </c>
      <c r="L835" s="4" t="s">
        <v>91</v>
      </c>
      <c r="M835" t="s">
        <v>681</v>
      </c>
      <c r="N835" s="5">
        <v>30771910</v>
      </c>
      <c r="O835" s="5">
        <v>257910</v>
      </c>
      <c r="P835" s="5">
        <v>49003</v>
      </c>
      <c r="Q835" s="5">
        <v>306913</v>
      </c>
    </row>
    <row r="836" spans="1:17" x14ac:dyDescent="0.25">
      <c r="A836" t="s">
        <v>522</v>
      </c>
      <c r="B836" t="s">
        <v>494</v>
      </c>
      <c r="C836">
        <v>85896100</v>
      </c>
      <c r="D836">
        <v>100</v>
      </c>
      <c r="E836">
        <v>30781910</v>
      </c>
      <c r="F836" t="s">
        <v>600</v>
      </c>
      <c r="G836" s="1">
        <v>45204</v>
      </c>
      <c r="H836">
        <v>5398191</v>
      </c>
      <c r="I836">
        <v>455</v>
      </c>
      <c r="J836" t="s">
        <v>123</v>
      </c>
      <c r="K836" t="s">
        <v>681</v>
      </c>
      <c r="L836" s="4" t="s">
        <v>91</v>
      </c>
      <c r="M836" t="s">
        <v>681</v>
      </c>
      <c r="N836" s="5">
        <v>30781910</v>
      </c>
      <c r="O836" s="5">
        <v>85051</v>
      </c>
      <c r="P836" s="5">
        <v>16160</v>
      </c>
      <c r="Q836" s="5">
        <v>101211</v>
      </c>
    </row>
    <row r="837" spans="1:17" x14ac:dyDescent="0.25">
      <c r="A837" t="s">
        <v>522</v>
      </c>
      <c r="B837" t="s">
        <v>494</v>
      </c>
      <c r="C837">
        <v>85896100</v>
      </c>
      <c r="D837">
        <v>101</v>
      </c>
      <c r="E837">
        <v>30781915</v>
      </c>
      <c r="F837" t="s">
        <v>600</v>
      </c>
      <c r="G837" s="1">
        <v>45205</v>
      </c>
      <c r="H837">
        <v>5398824</v>
      </c>
      <c r="I837">
        <v>455</v>
      </c>
      <c r="J837" t="s">
        <v>123</v>
      </c>
      <c r="K837" t="s">
        <v>681</v>
      </c>
      <c r="L837" s="4" t="s">
        <v>91</v>
      </c>
      <c r="M837" t="s">
        <v>681</v>
      </c>
      <c r="N837" s="5">
        <v>30781915</v>
      </c>
      <c r="O837" s="5">
        <v>127859</v>
      </c>
      <c r="P837" s="5">
        <v>24293</v>
      </c>
      <c r="Q837" s="5">
        <v>152152</v>
      </c>
    </row>
    <row r="838" spans="1:17" x14ac:dyDescent="0.25">
      <c r="A838" t="s">
        <v>522</v>
      </c>
      <c r="B838" t="s">
        <v>494</v>
      </c>
      <c r="C838">
        <v>85896100</v>
      </c>
      <c r="D838">
        <v>102</v>
      </c>
      <c r="E838">
        <v>30796887</v>
      </c>
      <c r="F838" t="s">
        <v>600</v>
      </c>
      <c r="G838" s="1">
        <v>45210</v>
      </c>
      <c r="H838">
        <v>5401897</v>
      </c>
      <c r="I838">
        <v>455</v>
      </c>
      <c r="J838" t="s">
        <v>123</v>
      </c>
      <c r="K838" t="s">
        <v>681</v>
      </c>
      <c r="L838" s="4" t="s">
        <v>91</v>
      </c>
      <c r="M838" t="s">
        <v>681</v>
      </c>
      <c r="N838" s="5">
        <v>30796887</v>
      </c>
      <c r="O838" s="5">
        <v>108408</v>
      </c>
      <c r="P838" s="5">
        <v>20598</v>
      </c>
      <c r="Q838" s="5">
        <v>129006</v>
      </c>
    </row>
    <row r="839" spans="1:17" x14ac:dyDescent="0.25">
      <c r="A839" t="s">
        <v>522</v>
      </c>
      <c r="B839" t="s">
        <v>494</v>
      </c>
      <c r="C839">
        <v>85896100</v>
      </c>
      <c r="D839">
        <v>3</v>
      </c>
      <c r="E839">
        <v>30799036</v>
      </c>
      <c r="F839" t="s">
        <v>600</v>
      </c>
      <c r="G839" s="1">
        <v>45211</v>
      </c>
      <c r="H839">
        <v>5402883</v>
      </c>
      <c r="I839">
        <v>455</v>
      </c>
      <c r="J839" t="s">
        <v>123</v>
      </c>
      <c r="K839" t="s">
        <v>681</v>
      </c>
      <c r="L839" s="4" t="s">
        <v>91</v>
      </c>
      <c r="M839" t="s">
        <v>681</v>
      </c>
      <c r="N839" s="5">
        <v>30799036</v>
      </c>
      <c r="O839" s="5">
        <v>120613</v>
      </c>
      <c r="P839" s="5">
        <v>22916</v>
      </c>
      <c r="Q839" s="5">
        <v>143529</v>
      </c>
    </row>
    <row r="840" spans="1:17" x14ac:dyDescent="0.25">
      <c r="A840" t="s">
        <v>522</v>
      </c>
      <c r="B840" t="s">
        <v>494</v>
      </c>
      <c r="C840">
        <v>85896100</v>
      </c>
      <c r="D840">
        <v>3</v>
      </c>
      <c r="E840">
        <v>30804770</v>
      </c>
      <c r="F840" t="s">
        <v>600</v>
      </c>
      <c r="G840" s="1">
        <v>45212</v>
      </c>
      <c r="H840">
        <v>5403633</v>
      </c>
      <c r="I840">
        <v>455</v>
      </c>
      <c r="J840" t="s">
        <v>123</v>
      </c>
      <c r="K840" t="s">
        <v>681</v>
      </c>
      <c r="L840" s="4" t="s">
        <v>91</v>
      </c>
      <c r="M840" t="s">
        <v>681</v>
      </c>
      <c r="N840" s="5">
        <v>30804770</v>
      </c>
      <c r="O840" s="5">
        <v>36937</v>
      </c>
      <c r="P840" s="5">
        <v>7018</v>
      </c>
      <c r="Q840" s="5">
        <v>43955</v>
      </c>
    </row>
    <row r="841" spans="1:17" x14ac:dyDescent="0.25">
      <c r="F841" t="s">
        <v>537</v>
      </c>
      <c r="K841" t="s">
        <v>681</v>
      </c>
      <c r="L841" s="4"/>
      <c r="M841" t="s">
        <v>681</v>
      </c>
      <c r="N841" s="5"/>
      <c r="O841" s="5">
        <v>843423</v>
      </c>
      <c r="P841" s="5">
        <v>160251</v>
      </c>
      <c r="Q841" s="5">
        <v>1003674</v>
      </c>
    </row>
    <row r="842" spans="1:17" x14ac:dyDescent="0.25">
      <c r="A842" t="s">
        <v>496</v>
      </c>
      <c r="B842" t="s">
        <v>494</v>
      </c>
      <c r="C842">
        <v>86113000</v>
      </c>
      <c r="D842">
        <v>0</v>
      </c>
      <c r="E842">
        <v>4012219011</v>
      </c>
      <c r="F842" t="s">
        <v>601</v>
      </c>
      <c r="G842" s="1">
        <v>45230</v>
      </c>
      <c r="H842">
        <v>5410396</v>
      </c>
      <c r="I842">
        <v>417</v>
      </c>
      <c r="J842" t="s">
        <v>261</v>
      </c>
      <c r="K842" s="8" t="s">
        <v>742</v>
      </c>
      <c r="L842" s="4"/>
      <c r="M842" t="s">
        <v>681</v>
      </c>
      <c r="N842" s="5">
        <v>30838531</v>
      </c>
      <c r="O842" s="5">
        <v>10548</v>
      </c>
      <c r="P842" s="5">
        <v>2004</v>
      </c>
      <c r="Q842" s="5">
        <v>12552</v>
      </c>
    </row>
    <row r="843" spans="1:17" x14ac:dyDescent="0.25">
      <c r="F843" t="s">
        <v>495</v>
      </c>
      <c r="K843" t="s">
        <v>681</v>
      </c>
      <c r="L843" s="4"/>
      <c r="M843" t="s">
        <v>681</v>
      </c>
      <c r="N843" s="5"/>
      <c r="O843" s="5">
        <v>10548</v>
      </c>
      <c r="P843" s="5">
        <v>2004</v>
      </c>
      <c r="Q843" s="5">
        <v>12552</v>
      </c>
    </row>
    <row r="844" spans="1:17" x14ac:dyDescent="0.25">
      <c r="A844" t="s">
        <v>503</v>
      </c>
      <c r="B844" t="s">
        <v>494</v>
      </c>
      <c r="C844">
        <v>86150200</v>
      </c>
      <c r="D844">
        <v>0</v>
      </c>
      <c r="E844">
        <v>4502058112</v>
      </c>
      <c r="F844" t="s">
        <v>602</v>
      </c>
      <c r="G844" s="1">
        <v>45230</v>
      </c>
      <c r="H844">
        <v>5410242</v>
      </c>
      <c r="I844">
        <v>100</v>
      </c>
      <c r="J844" t="s">
        <v>384</v>
      </c>
      <c r="K844" s="8" t="s">
        <v>742</v>
      </c>
      <c r="L844" s="4"/>
      <c r="M844" t="s">
        <v>681</v>
      </c>
      <c r="N844" s="5">
        <v>30740151</v>
      </c>
      <c r="O844" s="5">
        <v>187953</v>
      </c>
      <c r="P844" s="5">
        <v>35711</v>
      </c>
      <c r="Q844" s="5">
        <v>223664</v>
      </c>
    </row>
    <row r="845" spans="1:17" x14ac:dyDescent="0.25">
      <c r="F845" t="s">
        <v>495</v>
      </c>
      <c r="K845" t="s">
        <v>681</v>
      </c>
      <c r="L845" s="4"/>
      <c r="M845" t="s">
        <v>681</v>
      </c>
      <c r="N845" s="5"/>
      <c r="O845" s="5">
        <v>187953</v>
      </c>
      <c r="P845" s="5">
        <v>35711</v>
      </c>
      <c r="Q845" s="5">
        <v>223664</v>
      </c>
    </row>
    <row r="846" spans="1:17" x14ac:dyDescent="0.25">
      <c r="A846" t="s">
        <v>496</v>
      </c>
      <c r="B846" t="s">
        <v>494</v>
      </c>
      <c r="C846">
        <v>86247400</v>
      </c>
      <c r="D846">
        <v>0</v>
      </c>
      <c r="E846">
        <v>4500823718</v>
      </c>
      <c r="F846" t="s">
        <v>603</v>
      </c>
      <c r="G846" s="1">
        <v>45206</v>
      </c>
      <c r="H846">
        <v>5398987</v>
      </c>
      <c r="I846">
        <v>81</v>
      </c>
      <c r="J846" t="s">
        <v>144</v>
      </c>
      <c r="K846" s="8" t="s">
        <v>742</v>
      </c>
      <c r="L846" s="4"/>
      <c r="M846" t="s">
        <v>681</v>
      </c>
      <c r="N846" s="5">
        <v>30783638</v>
      </c>
      <c r="O846" s="5">
        <v>468330</v>
      </c>
      <c r="P846" s="5">
        <v>88983</v>
      </c>
      <c r="Q846" s="5">
        <v>557313</v>
      </c>
    </row>
    <row r="847" spans="1:17" x14ac:dyDescent="0.25">
      <c r="A847" t="s">
        <v>496</v>
      </c>
      <c r="B847" t="s">
        <v>494</v>
      </c>
      <c r="C847">
        <v>86247400</v>
      </c>
      <c r="D847">
        <v>0</v>
      </c>
      <c r="E847">
        <v>4500824901</v>
      </c>
      <c r="F847" t="s">
        <v>603</v>
      </c>
      <c r="G847" s="1">
        <v>45213</v>
      </c>
      <c r="H847">
        <v>5404902</v>
      </c>
      <c r="I847">
        <v>81</v>
      </c>
      <c r="J847" t="s">
        <v>144</v>
      </c>
      <c r="K847" s="8" t="s">
        <v>742</v>
      </c>
      <c r="L847" s="4"/>
      <c r="M847" t="s">
        <v>681</v>
      </c>
      <c r="N847" s="5">
        <v>30799513</v>
      </c>
      <c r="O847" s="5">
        <v>451106</v>
      </c>
      <c r="P847" s="5">
        <v>85710</v>
      </c>
      <c r="Q847" s="5">
        <v>536816</v>
      </c>
    </row>
    <row r="848" spans="1:17" x14ac:dyDescent="0.25">
      <c r="A848" t="s">
        <v>496</v>
      </c>
      <c r="B848" t="s">
        <v>494</v>
      </c>
      <c r="C848">
        <v>86247400</v>
      </c>
      <c r="D848">
        <v>0</v>
      </c>
      <c r="E848">
        <v>4500826821</v>
      </c>
      <c r="F848" t="s">
        <v>603</v>
      </c>
      <c r="G848" s="1">
        <v>45227</v>
      </c>
      <c r="H848">
        <v>5409428</v>
      </c>
      <c r="I848">
        <v>81</v>
      </c>
      <c r="J848" t="s">
        <v>144</v>
      </c>
      <c r="K848" s="8" t="s">
        <v>742</v>
      </c>
      <c r="L848" s="4"/>
      <c r="M848" t="s">
        <v>681</v>
      </c>
      <c r="N848" s="5">
        <v>30835687</v>
      </c>
      <c r="O848" s="5">
        <v>318597</v>
      </c>
      <c r="P848" s="5">
        <v>60533</v>
      </c>
      <c r="Q848" s="5">
        <v>379130</v>
      </c>
    </row>
    <row r="849" spans="1:17" x14ac:dyDescent="0.25">
      <c r="F849" t="s">
        <v>500</v>
      </c>
      <c r="K849" t="s">
        <v>681</v>
      </c>
      <c r="L849" s="4"/>
      <c r="M849" t="s">
        <v>681</v>
      </c>
      <c r="N849" s="5"/>
      <c r="O849" s="5">
        <v>1238033</v>
      </c>
      <c r="P849" s="5">
        <v>235226</v>
      </c>
      <c r="Q849" s="5">
        <v>1473259</v>
      </c>
    </row>
    <row r="850" spans="1:17" x14ac:dyDescent="0.25">
      <c r="A850" t="s">
        <v>512</v>
      </c>
      <c r="B850" t="s">
        <v>494</v>
      </c>
      <c r="C850">
        <v>86359300</v>
      </c>
      <c r="D850">
        <v>1</v>
      </c>
      <c r="E850">
        <v>4702716716</v>
      </c>
      <c r="F850" t="s">
        <v>604</v>
      </c>
      <c r="G850" s="1">
        <v>45211</v>
      </c>
      <c r="H850">
        <v>5402751</v>
      </c>
      <c r="I850">
        <v>112</v>
      </c>
      <c r="J850" t="s">
        <v>166</v>
      </c>
      <c r="K850" s="8" t="s">
        <v>742</v>
      </c>
      <c r="L850" s="4"/>
      <c r="M850" t="s">
        <v>681</v>
      </c>
      <c r="N850" s="5">
        <v>30800028</v>
      </c>
      <c r="O850" s="5">
        <v>52563</v>
      </c>
      <c r="P850" s="5">
        <v>9987</v>
      </c>
      <c r="Q850" s="5">
        <v>62550</v>
      </c>
    </row>
    <row r="851" spans="1:17" x14ac:dyDescent="0.25">
      <c r="F851" t="s">
        <v>495</v>
      </c>
      <c r="K851" t="s">
        <v>681</v>
      </c>
      <c r="L851" s="4"/>
      <c r="M851" t="s">
        <v>681</v>
      </c>
      <c r="N851" s="5"/>
      <c r="O851" s="5">
        <v>52563</v>
      </c>
      <c r="P851" s="5">
        <v>9987</v>
      </c>
      <c r="Q851" s="5">
        <v>62550</v>
      </c>
    </row>
    <row r="852" spans="1:17" x14ac:dyDescent="0.25">
      <c r="A852" t="s">
        <v>496</v>
      </c>
      <c r="B852" t="s">
        <v>494</v>
      </c>
      <c r="C852">
        <v>86386700</v>
      </c>
      <c r="D852">
        <v>0</v>
      </c>
      <c r="E852">
        <v>103025</v>
      </c>
      <c r="F852" t="s">
        <v>605</v>
      </c>
      <c r="G852" s="1">
        <v>45201</v>
      </c>
      <c r="H852">
        <v>5395462</v>
      </c>
      <c r="I852">
        <v>64</v>
      </c>
      <c r="J852" t="s">
        <v>138</v>
      </c>
      <c r="K852" s="8" t="s">
        <v>742</v>
      </c>
      <c r="L852" s="4"/>
      <c r="M852" t="s">
        <v>681</v>
      </c>
      <c r="N852" s="5">
        <v>30746671</v>
      </c>
      <c r="O852" s="5">
        <v>15120</v>
      </c>
      <c r="P852" s="5">
        <v>2873</v>
      </c>
      <c r="Q852" s="5">
        <v>17993</v>
      </c>
    </row>
    <row r="853" spans="1:17" x14ac:dyDescent="0.25">
      <c r="A853" t="s">
        <v>496</v>
      </c>
      <c r="B853" t="s">
        <v>494</v>
      </c>
      <c r="C853">
        <v>86386700</v>
      </c>
      <c r="D853">
        <v>0</v>
      </c>
      <c r="E853">
        <v>103239</v>
      </c>
      <c r="F853" t="s">
        <v>605</v>
      </c>
      <c r="G853" s="1">
        <v>45209</v>
      </c>
      <c r="H853">
        <v>5401137</v>
      </c>
      <c r="I853">
        <v>64</v>
      </c>
      <c r="J853" t="s">
        <v>138</v>
      </c>
      <c r="K853" s="8" t="s">
        <v>742</v>
      </c>
      <c r="L853" s="4"/>
      <c r="M853" t="s">
        <v>681</v>
      </c>
      <c r="N853" s="5">
        <v>30783798</v>
      </c>
      <c r="O853" s="5">
        <v>63000</v>
      </c>
      <c r="P853" s="5">
        <v>11970</v>
      </c>
      <c r="Q853" s="5">
        <v>74970</v>
      </c>
    </row>
    <row r="854" spans="1:17" x14ac:dyDescent="0.25">
      <c r="A854" t="s">
        <v>496</v>
      </c>
      <c r="B854" t="s">
        <v>494</v>
      </c>
      <c r="C854">
        <v>86386700</v>
      </c>
      <c r="D854">
        <v>0</v>
      </c>
      <c r="E854">
        <v>103240</v>
      </c>
      <c r="F854" t="s">
        <v>605</v>
      </c>
      <c r="G854" s="1">
        <v>45209</v>
      </c>
      <c r="H854">
        <v>5401338</v>
      </c>
      <c r="I854">
        <v>64</v>
      </c>
      <c r="J854" t="s">
        <v>138</v>
      </c>
      <c r="K854" s="8" t="s">
        <v>742</v>
      </c>
      <c r="L854" s="4"/>
      <c r="M854" t="s">
        <v>681</v>
      </c>
      <c r="N854" s="5">
        <v>30783831</v>
      </c>
      <c r="O854" s="5">
        <v>484086</v>
      </c>
      <c r="P854" s="5">
        <v>91976</v>
      </c>
      <c r="Q854" s="5">
        <v>576062</v>
      </c>
    </row>
    <row r="855" spans="1:17" x14ac:dyDescent="0.25">
      <c r="A855" t="s">
        <v>496</v>
      </c>
      <c r="B855" t="s">
        <v>494</v>
      </c>
      <c r="C855">
        <v>86386700</v>
      </c>
      <c r="D855">
        <v>0</v>
      </c>
      <c r="E855">
        <v>103280</v>
      </c>
      <c r="F855" t="s">
        <v>605</v>
      </c>
      <c r="G855" s="1">
        <v>45212</v>
      </c>
      <c r="H855">
        <v>5403620</v>
      </c>
      <c r="I855">
        <v>64</v>
      </c>
      <c r="J855" t="s">
        <v>138</v>
      </c>
      <c r="K855" s="8" t="s">
        <v>742</v>
      </c>
      <c r="L855" s="4"/>
      <c r="M855" t="s">
        <v>681</v>
      </c>
      <c r="N855" s="5">
        <v>30791539</v>
      </c>
      <c r="O855" s="5">
        <v>274759</v>
      </c>
      <c r="P855" s="5">
        <v>52204</v>
      </c>
      <c r="Q855" s="5">
        <v>328054</v>
      </c>
    </row>
    <row r="856" spans="1:17" x14ac:dyDescent="0.25">
      <c r="A856" t="s">
        <v>496</v>
      </c>
      <c r="B856" t="s">
        <v>494</v>
      </c>
      <c r="C856">
        <v>86386700</v>
      </c>
      <c r="D856">
        <v>0</v>
      </c>
      <c r="E856">
        <v>103231</v>
      </c>
      <c r="F856" t="s">
        <v>605</v>
      </c>
      <c r="G856" s="1">
        <v>45215</v>
      </c>
      <c r="H856">
        <v>5405154</v>
      </c>
      <c r="I856">
        <v>64</v>
      </c>
      <c r="J856" t="s">
        <v>138</v>
      </c>
      <c r="K856" s="8" t="s">
        <v>742</v>
      </c>
      <c r="L856" s="4"/>
      <c r="M856" t="s">
        <v>681</v>
      </c>
      <c r="N856" s="5">
        <v>30731846</v>
      </c>
      <c r="O856" s="5">
        <v>265769</v>
      </c>
      <c r="P856" s="5">
        <v>50496</v>
      </c>
      <c r="Q856" s="5">
        <v>316265</v>
      </c>
    </row>
    <row r="857" spans="1:17" x14ac:dyDescent="0.25">
      <c r="A857" t="s">
        <v>496</v>
      </c>
      <c r="B857" t="s">
        <v>494</v>
      </c>
      <c r="C857">
        <v>86386700</v>
      </c>
      <c r="D857">
        <v>0</v>
      </c>
      <c r="E857">
        <v>103380</v>
      </c>
      <c r="F857" t="s">
        <v>605</v>
      </c>
      <c r="G857" s="1">
        <v>45219</v>
      </c>
      <c r="H857">
        <v>5406864</v>
      </c>
      <c r="I857">
        <v>64</v>
      </c>
      <c r="J857" t="s">
        <v>138</v>
      </c>
      <c r="K857" s="8" t="s">
        <v>742</v>
      </c>
      <c r="L857" s="4"/>
      <c r="M857" t="s">
        <v>681</v>
      </c>
      <c r="N857" s="5">
        <v>30818025</v>
      </c>
      <c r="O857" s="5">
        <v>253264</v>
      </c>
      <c r="P857" s="5">
        <v>48120</v>
      </c>
      <c r="Q857" s="5">
        <v>301384</v>
      </c>
    </row>
    <row r="858" spans="1:17" x14ac:dyDescent="0.25">
      <c r="F858" t="s">
        <v>523</v>
      </c>
      <c r="K858" t="s">
        <v>681</v>
      </c>
      <c r="L858" s="4"/>
      <c r="M858" t="s">
        <v>681</v>
      </c>
      <c r="N858" s="5"/>
      <c r="O858" s="5">
        <v>1355998</v>
      </c>
      <c r="P858" s="5">
        <v>257639</v>
      </c>
      <c r="Q858" s="5">
        <v>1614728</v>
      </c>
    </row>
    <row r="859" spans="1:17" x14ac:dyDescent="0.25">
      <c r="A859" t="s">
        <v>496</v>
      </c>
      <c r="B859" t="s">
        <v>494</v>
      </c>
      <c r="C859">
        <v>87996400</v>
      </c>
      <c r="D859">
        <v>1</v>
      </c>
      <c r="E859" t="s">
        <v>710</v>
      </c>
      <c r="F859" t="s">
        <v>606</v>
      </c>
      <c r="G859" s="1">
        <v>45217</v>
      </c>
      <c r="H859">
        <v>5405933</v>
      </c>
      <c r="I859">
        <v>178</v>
      </c>
      <c r="J859" t="s">
        <v>303</v>
      </c>
      <c r="K859" s="8" t="s">
        <v>742</v>
      </c>
      <c r="L859" s="4"/>
      <c r="M859" t="s">
        <v>681</v>
      </c>
      <c r="N859" s="5">
        <v>30808797</v>
      </c>
      <c r="O859" s="5">
        <v>29905</v>
      </c>
      <c r="P859" s="5">
        <v>5682</v>
      </c>
      <c r="Q859" s="5">
        <v>35587</v>
      </c>
    </row>
    <row r="860" spans="1:17" x14ac:dyDescent="0.25">
      <c r="F860" t="s">
        <v>495</v>
      </c>
      <c r="K860" t="s">
        <v>681</v>
      </c>
      <c r="L860" s="4"/>
      <c r="M860" t="s">
        <v>681</v>
      </c>
      <c r="N860" s="5"/>
      <c r="O860" s="5">
        <v>29905</v>
      </c>
      <c r="P860" s="5">
        <v>5682</v>
      </c>
      <c r="Q860" s="5">
        <v>35587</v>
      </c>
    </row>
    <row r="861" spans="1:17" x14ac:dyDescent="0.25">
      <c r="A861" t="s">
        <v>607</v>
      </c>
      <c r="B861" t="s">
        <v>494</v>
      </c>
      <c r="C861">
        <v>88006900</v>
      </c>
      <c r="D861">
        <v>1</v>
      </c>
      <c r="E861">
        <v>4500061478</v>
      </c>
      <c r="F861" t="s">
        <v>608</v>
      </c>
      <c r="G861" s="1">
        <v>45203</v>
      </c>
      <c r="H861">
        <v>5394447</v>
      </c>
      <c r="I861">
        <v>44</v>
      </c>
      <c r="J861" t="s">
        <v>148</v>
      </c>
      <c r="K861" s="8" t="s">
        <v>742</v>
      </c>
      <c r="L861" s="4"/>
      <c r="M861" t="s">
        <v>681</v>
      </c>
      <c r="N861" s="5">
        <v>30784204</v>
      </c>
      <c r="O861" s="5">
        <v>160957</v>
      </c>
      <c r="P861" s="5">
        <v>30582</v>
      </c>
      <c r="Q861" s="5">
        <v>191539</v>
      </c>
    </row>
    <row r="862" spans="1:17" x14ac:dyDescent="0.25">
      <c r="F862" t="s">
        <v>495</v>
      </c>
      <c r="K862" t="s">
        <v>681</v>
      </c>
      <c r="L862" s="4"/>
      <c r="M862" t="s">
        <v>681</v>
      </c>
      <c r="N862" s="5"/>
      <c r="O862" s="5">
        <v>160957</v>
      </c>
      <c r="P862" s="5">
        <v>30582</v>
      </c>
      <c r="Q862" s="5">
        <v>191539</v>
      </c>
    </row>
    <row r="863" spans="1:17" x14ac:dyDescent="0.25">
      <c r="A863" t="s">
        <v>503</v>
      </c>
      <c r="B863" t="s">
        <v>494</v>
      </c>
      <c r="C863">
        <v>88056400</v>
      </c>
      <c r="D863">
        <v>3</v>
      </c>
      <c r="E863">
        <v>4700448811</v>
      </c>
      <c r="F863" t="s">
        <v>609</v>
      </c>
      <c r="G863" s="1">
        <v>45213</v>
      </c>
      <c r="H863">
        <v>5403872</v>
      </c>
      <c r="I863">
        <v>100</v>
      </c>
      <c r="J863" t="s">
        <v>384</v>
      </c>
      <c r="K863" s="8" t="s">
        <v>742</v>
      </c>
      <c r="L863" s="4"/>
      <c r="M863" t="s">
        <v>681</v>
      </c>
      <c r="N863" s="5">
        <v>30792406</v>
      </c>
      <c r="O863" s="5">
        <v>97430</v>
      </c>
      <c r="P863" s="5">
        <v>18512</v>
      </c>
      <c r="Q863" s="5">
        <v>115942</v>
      </c>
    </row>
    <row r="864" spans="1:17" x14ac:dyDescent="0.25">
      <c r="A864" t="s">
        <v>503</v>
      </c>
      <c r="B864" t="s">
        <v>494</v>
      </c>
      <c r="C864">
        <v>88056400</v>
      </c>
      <c r="D864">
        <v>1</v>
      </c>
      <c r="E864">
        <v>4700452203</v>
      </c>
      <c r="F864" t="s">
        <v>609</v>
      </c>
      <c r="G864" s="1">
        <v>45227</v>
      </c>
      <c r="H864">
        <v>5409482</v>
      </c>
      <c r="I864">
        <v>100</v>
      </c>
      <c r="J864" t="s">
        <v>384</v>
      </c>
      <c r="K864" s="8" t="s">
        <v>742</v>
      </c>
      <c r="L864" s="4"/>
      <c r="M864" t="s">
        <v>681</v>
      </c>
      <c r="N864" s="5">
        <v>30835550</v>
      </c>
      <c r="O864" s="5">
        <v>140420</v>
      </c>
      <c r="P864" s="5">
        <v>26680</v>
      </c>
      <c r="Q864" s="5">
        <v>167100</v>
      </c>
    </row>
    <row r="865" spans="1:17" x14ac:dyDescent="0.25">
      <c r="A865" t="s">
        <v>503</v>
      </c>
      <c r="B865" t="s">
        <v>494</v>
      </c>
      <c r="C865">
        <v>88056400</v>
      </c>
      <c r="D865">
        <v>1</v>
      </c>
      <c r="E865">
        <v>4700452241</v>
      </c>
      <c r="F865" t="s">
        <v>609</v>
      </c>
      <c r="G865" s="1">
        <v>45228</v>
      </c>
      <c r="H865">
        <v>5409745</v>
      </c>
      <c r="I865">
        <v>100</v>
      </c>
      <c r="J865" t="s">
        <v>384</v>
      </c>
      <c r="K865" s="8" t="s">
        <v>742</v>
      </c>
      <c r="L865" s="4"/>
      <c r="M865" t="s">
        <v>681</v>
      </c>
      <c r="N865" s="5">
        <v>30830401</v>
      </c>
      <c r="O865" s="5">
        <v>332304</v>
      </c>
      <c r="P865" s="5">
        <v>63138</v>
      </c>
      <c r="Q865" s="5">
        <v>399995</v>
      </c>
    </row>
    <row r="866" spans="1:17" x14ac:dyDescent="0.25">
      <c r="F866" t="s">
        <v>500</v>
      </c>
      <c r="K866" t="s">
        <v>681</v>
      </c>
      <c r="L866" s="4"/>
      <c r="M866" t="s">
        <v>681</v>
      </c>
      <c r="N866" s="5"/>
      <c r="O866" s="5">
        <v>570154</v>
      </c>
      <c r="P866" s="5">
        <v>108330</v>
      </c>
      <c r="Q866" s="5">
        <v>683037</v>
      </c>
    </row>
    <row r="867" spans="1:17" x14ac:dyDescent="0.25">
      <c r="A867" t="s">
        <v>610</v>
      </c>
      <c r="B867" t="s">
        <v>494</v>
      </c>
      <c r="C867">
        <v>88566900</v>
      </c>
      <c r="D867">
        <v>0</v>
      </c>
      <c r="E867">
        <v>30773956</v>
      </c>
      <c r="F867" t="s">
        <v>611</v>
      </c>
      <c r="G867" s="1">
        <v>45203</v>
      </c>
      <c r="H867">
        <v>5396694</v>
      </c>
      <c r="I867">
        <v>112</v>
      </c>
      <c r="J867" t="s">
        <v>166</v>
      </c>
      <c r="K867" s="8" t="s">
        <v>742</v>
      </c>
      <c r="L867" s="4" t="s">
        <v>10</v>
      </c>
      <c r="M867" t="s">
        <v>681</v>
      </c>
      <c r="N867" s="5">
        <v>30773956</v>
      </c>
      <c r="O867" s="5">
        <v>1511480</v>
      </c>
      <c r="P867" s="5">
        <v>287181</v>
      </c>
      <c r="Q867" s="5">
        <v>1798661</v>
      </c>
    </row>
    <row r="868" spans="1:17" x14ac:dyDescent="0.25">
      <c r="F868" t="s">
        <v>495</v>
      </c>
      <c r="K868" t="s">
        <v>681</v>
      </c>
      <c r="L868" s="4"/>
      <c r="M868" t="s">
        <v>681</v>
      </c>
      <c r="N868" s="5"/>
      <c r="O868" s="5">
        <v>1511480</v>
      </c>
      <c r="P868" s="5">
        <v>287181</v>
      </c>
      <c r="Q868" s="5">
        <v>1798661</v>
      </c>
    </row>
    <row r="869" spans="1:17" x14ac:dyDescent="0.25">
      <c r="A869" t="s">
        <v>496</v>
      </c>
      <c r="B869" t="s">
        <v>502</v>
      </c>
      <c r="C869">
        <v>88689100</v>
      </c>
      <c r="D869">
        <v>57</v>
      </c>
      <c r="E869">
        <v>4500158517</v>
      </c>
      <c r="F869" t="s">
        <v>711</v>
      </c>
      <c r="G869" s="1">
        <v>45218</v>
      </c>
      <c r="H869">
        <v>5402209</v>
      </c>
      <c r="I869">
        <v>63</v>
      </c>
      <c r="J869" t="s">
        <v>170</v>
      </c>
      <c r="K869" s="8" t="s">
        <v>742</v>
      </c>
      <c r="L869" s="4"/>
      <c r="M869" t="s">
        <v>681</v>
      </c>
      <c r="N869" s="5">
        <v>30811986</v>
      </c>
      <c r="O869" s="5">
        <v>451469</v>
      </c>
      <c r="P869" s="5">
        <v>85779</v>
      </c>
      <c r="Q869" s="5">
        <v>537248</v>
      </c>
    </row>
    <row r="870" spans="1:17" x14ac:dyDescent="0.25">
      <c r="F870" t="s">
        <v>495</v>
      </c>
      <c r="K870" t="s">
        <v>681</v>
      </c>
      <c r="L870" s="4"/>
      <c r="M870" t="s">
        <v>681</v>
      </c>
      <c r="N870" s="5"/>
      <c r="O870" s="5">
        <v>451469</v>
      </c>
      <c r="P870" s="5">
        <v>85779</v>
      </c>
      <c r="Q870" s="5">
        <v>537248</v>
      </c>
    </row>
    <row r="871" spans="1:17" x14ac:dyDescent="0.25">
      <c r="A871" t="s">
        <v>496</v>
      </c>
      <c r="B871" t="s">
        <v>494</v>
      </c>
      <c r="C871">
        <v>89201400</v>
      </c>
      <c r="D871">
        <v>5</v>
      </c>
      <c r="E871">
        <v>4702721212</v>
      </c>
      <c r="F871" t="s">
        <v>612</v>
      </c>
      <c r="G871" s="1">
        <v>45213</v>
      </c>
      <c r="H871">
        <v>5403927</v>
      </c>
      <c r="I871">
        <v>112</v>
      </c>
      <c r="J871" t="s">
        <v>166</v>
      </c>
      <c r="K871" s="8" t="s">
        <v>742</v>
      </c>
      <c r="L871" s="4" t="s">
        <v>10</v>
      </c>
      <c r="M871" t="s">
        <v>681</v>
      </c>
      <c r="N871" s="5">
        <v>30803853</v>
      </c>
      <c r="O871" s="5">
        <v>208320</v>
      </c>
      <c r="P871" s="5">
        <v>39581</v>
      </c>
      <c r="Q871" s="5">
        <v>247901</v>
      </c>
    </row>
    <row r="872" spans="1:17" x14ac:dyDescent="0.25">
      <c r="A872" t="s">
        <v>496</v>
      </c>
      <c r="B872" t="s">
        <v>494</v>
      </c>
      <c r="C872">
        <v>89201400</v>
      </c>
      <c r="D872">
        <v>5</v>
      </c>
      <c r="E872">
        <v>4702721211</v>
      </c>
      <c r="F872" t="s">
        <v>612</v>
      </c>
      <c r="G872" s="1">
        <v>45213</v>
      </c>
      <c r="H872">
        <v>5403928</v>
      </c>
      <c r="I872">
        <v>112</v>
      </c>
      <c r="J872" t="s">
        <v>166</v>
      </c>
      <c r="K872" s="8" t="s">
        <v>742</v>
      </c>
      <c r="L872" s="4" t="s">
        <v>10</v>
      </c>
      <c r="M872" t="s">
        <v>681</v>
      </c>
      <c r="N872" s="5">
        <v>30804212</v>
      </c>
      <c r="O872" s="5">
        <v>16200</v>
      </c>
      <c r="P872" s="5">
        <v>3078</v>
      </c>
      <c r="Q872" s="5">
        <v>19278</v>
      </c>
    </row>
    <row r="873" spans="1:17" x14ac:dyDescent="0.25">
      <c r="A873" t="s">
        <v>496</v>
      </c>
      <c r="B873" t="s">
        <v>494</v>
      </c>
      <c r="C873">
        <v>89201400</v>
      </c>
      <c r="D873">
        <v>5</v>
      </c>
      <c r="E873">
        <v>4702723892</v>
      </c>
      <c r="F873" t="s">
        <v>612</v>
      </c>
      <c r="G873" s="1">
        <v>45220</v>
      </c>
      <c r="H873">
        <v>5407166</v>
      </c>
      <c r="I873">
        <v>112</v>
      </c>
      <c r="J873" t="s">
        <v>166</v>
      </c>
      <c r="K873" s="8" t="s">
        <v>742</v>
      </c>
      <c r="L873" s="4" t="s">
        <v>10</v>
      </c>
      <c r="M873" t="s">
        <v>681</v>
      </c>
      <c r="N873" s="5">
        <v>30819754</v>
      </c>
      <c r="O873" s="5">
        <v>1802160</v>
      </c>
      <c r="P873" s="5">
        <v>342410</v>
      </c>
      <c r="Q873" s="5">
        <v>2144570</v>
      </c>
    </row>
    <row r="874" spans="1:17" x14ac:dyDescent="0.25">
      <c r="A874" t="s">
        <v>496</v>
      </c>
      <c r="B874" t="s">
        <v>494</v>
      </c>
      <c r="C874">
        <v>89201400</v>
      </c>
      <c r="D874">
        <v>0</v>
      </c>
      <c r="E874">
        <v>4702726812</v>
      </c>
      <c r="F874" t="s">
        <v>612</v>
      </c>
      <c r="G874" s="1">
        <v>45229</v>
      </c>
      <c r="H874">
        <v>5409752</v>
      </c>
      <c r="I874">
        <v>112</v>
      </c>
      <c r="J874" t="s">
        <v>166</v>
      </c>
      <c r="K874" s="8" t="s">
        <v>742</v>
      </c>
      <c r="L874" s="4" t="s">
        <v>10</v>
      </c>
      <c r="M874" t="s">
        <v>681</v>
      </c>
      <c r="N874" s="5">
        <v>30834976</v>
      </c>
      <c r="O874" s="5">
        <v>221802</v>
      </c>
      <c r="P874" s="5">
        <v>42142</v>
      </c>
      <c r="Q874" s="5">
        <v>263944</v>
      </c>
    </row>
    <row r="875" spans="1:17" x14ac:dyDescent="0.25">
      <c r="A875" t="s">
        <v>496</v>
      </c>
      <c r="B875" t="s">
        <v>494</v>
      </c>
      <c r="C875">
        <v>89201400</v>
      </c>
      <c r="D875">
        <v>3</v>
      </c>
      <c r="E875">
        <v>4702727243</v>
      </c>
      <c r="F875" t="s">
        <v>612</v>
      </c>
      <c r="G875" s="1">
        <v>45227</v>
      </c>
      <c r="H875">
        <v>5409786</v>
      </c>
      <c r="I875">
        <v>63</v>
      </c>
      <c r="J875" t="s">
        <v>170</v>
      </c>
      <c r="K875" s="8" t="s">
        <v>742</v>
      </c>
      <c r="L875" s="4" t="s">
        <v>10</v>
      </c>
      <c r="M875" t="s">
        <v>681</v>
      </c>
      <c r="N875" s="5">
        <v>30839127</v>
      </c>
      <c r="O875" s="5">
        <v>360480</v>
      </c>
      <c r="P875" s="5">
        <v>68491</v>
      </c>
      <c r="Q875" s="5">
        <v>428971</v>
      </c>
    </row>
    <row r="876" spans="1:17" x14ac:dyDescent="0.25">
      <c r="A876" t="s">
        <v>496</v>
      </c>
      <c r="B876" t="s">
        <v>494</v>
      </c>
      <c r="C876">
        <v>89201400</v>
      </c>
      <c r="D876">
        <v>5</v>
      </c>
      <c r="E876">
        <v>4702727231</v>
      </c>
      <c r="F876" t="s">
        <v>612</v>
      </c>
      <c r="G876" s="1">
        <v>45227</v>
      </c>
      <c r="H876">
        <v>5409788</v>
      </c>
      <c r="I876">
        <v>63</v>
      </c>
      <c r="J876" t="s">
        <v>170</v>
      </c>
      <c r="K876" s="8" t="s">
        <v>742</v>
      </c>
      <c r="L876" s="4" t="s">
        <v>10</v>
      </c>
      <c r="M876" t="s">
        <v>681</v>
      </c>
      <c r="N876" s="5">
        <v>30839104</v>
      </c>
      <c r="O876" s="5">
        <v>951552</v>
      </c>
      <c r="P876" s="5">
        <v>180795</v>
      </c>
      <c r="Q876" s="5">
        <v>1132347</v>
      </c>
    </row>
    <row r="877" spans="1:17" x14ac:dyDescent="0.25">
      <c r="A877" t="s">
        <v>496</v>
      </c>
      <c r="B877" t="s">
        <v>494</v>
      </c>
      <c r="C877">
        <v>89201400</v>
      </c>
      <c r="D877">
        <v>5</v>
      </c>
      <c r="E877">
        <v>4702727245</v>
      </c>
      <c r="F877" t="s">
        <v>612</v>
      </c>
      <c r="G877" s="1">
        <v>45229</v>
      </c>
      <c r="H877">
        <v>5409823</v>
      </c>
      <c r="I877">
        <v>63</v>
      </c>
      <c r="J877" t="s">
        <v>170</v>
      </c>
      <c r="K877" s="8" t="s">
        <v>742</v>
      </c>
      <c r="L877" s="4" t="s">
        <v>10</v>
      </c>
      <c r="M877" t="s">
        <v>681</v>
      </c>
      <c r="N877" s="5">
        <v>30839218</v>
      </c>
      <c r="O877" s="5">
        <v>208320</v>
      </c>
      <c r="P877" s="5">
        <v>39581</v>
      </c>
      <c r="Q877" s="5">
        <v>247901</v>
      </c>
    </row>
    <row r="878" spans="1:17" x14ac:dyDescent="0.25">
      <c r="A878" t="s">
        <v>496</v>
      </c>
      <c r="B878" t="s">
        <v>494</v>
      </c>
      <c r="C878">
        <v>89201400</v>
      </c>
      <c r="D878">
        <v>0</v>
      </c>
      <c r="E878">
        <v>4702727244</v>
      </c>
      <c r="F878" t="s">
        <v>612</v>
      </c>
      <c r="G878" s="1">
        <v>45229</v>
      </c>
      <c r="H878">
        <v>5409927</v>
      </c>
      <c r="I878">
        <v>63</v>
      </c>
      <c r="J878" t="s">
        <v>170</v>
      </c>
      <c r="K878" s="8" t="s">
        <v>742</v>
      </c>
      <c r="L878" s="4" t="s">
        <v>10</v>
      </c>
      <c r="M878" t="s">
        <v>681</v>
      </c>
      <c r="N878" s="5">
        <v>30839176</v>
      </c>
      <c r="O878" s="5">
        <v>106526</v>
      </c>
      <c r="P878" s="5">
        <v>20240</v>
      </c>
      <c r="Q878" s="5">
        <v>126766</v>
      </c>
    </row>
    <row r="879" spans="1:17" x14ac:dyDescent="0.25">
      <c r="A879" t="s">
        <v>496</v>
      </c>
      <c r="B879" t="s">
        <v>494</v>
      </c>
      <c r="C879">
        <v>89201400</v>
      </c>
      <c r="D879">
        <v>5</v>
      </c>
      <c r="E879">
        <v>4702727244</v>
      </c>
      <c r="F879" t="s">
        <v>612</v>
      </c>
      <c r="G879" s="1">
        <v>45230</v>
      </c>
      <c r="H879">
        <v>5410358</v>
      </c>
      <c r="I879">
        <v>112</v>
      </c>
      <c r="J879" t="s">
        <v>166</v>
      </c>
      <c r="K879" s="8" t="s">
        <v>742</v>
      </c>
      <c r="L879" s="4" t="s">
        <v>10</v>
      </c>
      <c r="M879" t="s">
        <v>681</v>
      </c>
      <c r="N879" s="5">
        <v>30843665</v>
      </c>
      <c r="O879" s="5">
        <v>106526</v>
      </c>
      <c r="P879" s="5">
        <v>20240</v>
      </c>
      <c r="Q879" s="5">
        <v>126766</v>
      </c>
    </row>
    <row r="880" spans="1:17" x14ac:dyDescent="0.25">
      <c r="F880" t="s">
        <v>514</v>
      </c>
      <c r="K880" t="s">
        <v>681</v>
      </c>
      <c r="L880" s="4"/>
      <c r="M880" t="s">
        <v>681</v>
      </c>
      <c r="N880" s="5"/>
      <c r="O880" s="5">
        <v>3981886</v>
      </c>
      <c r="P880" s="5">
        <v>756558</v>
      </c>
      <c r="Q880" s="5">
        <v>4738444</v>
      </c>
    </row>
    <row r="881" spans="1:17" x14ac:dyDescent="0.25">
      <c r="A881" t="s">
        <v>503</v>
      </c>
      <c r="B881" t="s">
        <v>494</v>
      </c>
      <c r="C881">
        <v>90222000</v>
      </c>
      <c r="D881">
        <v>8</v>
      </c>
      <c r="E881">
        <v>30767153</v>
      </c>
      <c r="F881" t="s">
        <v>613</v>
      </c>
      <c r="G881" s="1">
        <v>45201</v>
      </c>
      <c r="H881">
        <v>5395155</v>
      </c>
      <c r="I881">
        <v>112</v>
      </c>
      <c r="J881" t="s">
        <v>166</v>
      </c>
      <c r="K881" s="8" t="s">
        <v>742</v>
      </c>
      <c r="L881" s="4" t="s">
        <v>73</v>
      </c>
      <c r="M881" t="s">
        <v>681</v>
      </c>
      <c r="N881" s="5">
        <v>30767153</v>
      </c>
      <c r="O881" s="5">
        <v>122960</v>
      </c>
      <c r="P881" s="5">
        <v>23362</v>
      </c>
      <c r="Q881" s="5">
        <v>146322</v>
      </c>
    </row>
    <row r="882" spans="1:17" x14ac:dyDescent="0.25">
      <c r="A882" t="s">
        <v>503</v>
      </c>
      <c r="B882" t="s">
        <v>494</v>
      </c>
      <c r="C882">
        <v>90222000</v>
      </c>
      <c r="D882">
        <v>21</v>
      </c>
      <c r="E882">
        <v>30771106</v>
      </c>
      <c r="F882" t="s">
        <v>613</v>
      </c>
      <c r="G882" s="1">
        <v>45202</v>
      </c>
      <c r="H882">
        <v>5395739</v>
      </c>
      <c r="I882">
        <v>112</v>
      </c>
      <c r="J882" t="s">
        <v>166</v>
      </c>
      <c r="K882" s="8" t="s">
        <v>742</v>
      </c>
      <c r="L882" s="4" t="s">
        <v>73</v>
      </c>
      <c r="M882" t="s">
        <v>681</v>
      </c>
      <c r="N882" s="5">
        <v>30771106</v>
      </c>
      <c r="O882" s="5">
        <v>136770</v>
      </c>
      <c r="P882" s="5">
        <v>25986</v>
      </c>
      <c r="Q882" s="5">
        <v>171542</v>
      </c>
    </row>
    <row r="883" spans="1:17" x14ac:dyDescent="0.25">
      <c r="A883" t="s">
        <v>503</v>
      </c>
      <c r="B883" t="s">
        <v>494</v>
      </c>
      <c r="C883">
        <v>90222000</v>
      </c>
      <c r="D883">
        <v>16</v>
      </c>
      <c r="E883">
        <v>30776133</v>
      </c>
      <c r="F883" t="s">
        <v>613</v>
      </c>
      <c r="G883" s="1">
        <v>45203</v>
      </c>
      <c r="H883">
        <v>5397418</v>
      </c>
      <c r="I883">
        <v>112</v>
      </c>
      <c r="J883" t="s">
        <v>166</v>
      </c>
      <c r="K883" s="8" t="s">
        <v>742</v>
      </c>
      <c r="L883" s="4" t="s">
        <v>73</v>
      </c>
      <c r="M883" t="s">
        <v>681</v>
      </c>
      <c r="N883" s="5">
        <v>30776133</v>
      </c>
      <c r="O883" s="5">
        <v>10586454</v>
      </c>
      <c r="P883" s="5">
        <v>2011426</v>
      </c>
      <c r="Q883" s="5">
        <v>12597880</v>
      </c>
    </row>
    <row r="884" spans="1:17" x14ac:dyDescent="0.25">
      <c r="A884" t="s">
        <v>503</v>
      </c>
      <c r="B884" t="s">
        <v>494</v>
      </c>
      <c r="C884">
        <v>90222000</v>
      </c>
      <c r="D884">
        <v>2</v>
      </c>
      <c r="E884">
        <v>30775622</v>
      </c>
      <c r="F884" t="s">
        <v>613</v>
      </c>
      <c r="G884" s="1">
        <v>45203</v>
      </c>
      <c r="H884">
        <v>5397491</v>
      </c>
      <c r="I884">
        <v>112</v>
      </c>
      <c r="J884" t="s">
        <v>166</v>
      </c>
      <c r="K884" s="8" t="s">
        <v>742</v>
      </c>
      <c r="L884" s="4" t="s">
        <v>73</v>
      </c>
      <c r="M884" t="s">
        <v>681</v>
      </c>
      <c r="N884" s="5">
        <v>30775622</v>
      </c>
      <c r="O884" s="5">
        <v>89256</v>
      </c>
      <c r="P884" s="5">
        <v>16959</v>
      </c>
      <c r="Q884" s="5">
        <v>111325</v>
      </c>
    </row>
    <row r="885" spans="1:17" x14ac:dyDescent="0.25">
      <c r="A885" t="s">
        <v>503</v>
      </c>
      <c r="B885" t="s">
        <v>494</v>
      </c>
      <c r="C885">
        <v>90222000</v>
      </c>
      <c r="D885">
        <v>8</v>
      </c>
      <c r="E885">
        <v>30774393</v>
      </c>
      <c r="F885" t="s">
        <v>613</v>
      </c>
      <c r="G885" s="1">
        <v>45204</v>
      </c>
      <c r="H885">
        <v>5397599</v>
      </c>
      <c r="I885">
        <v>112</v>
      </c>
      <c r="J885" t="s">
        <v>166</v>
      </c>
      <c r="K885" s="8" t="s">
        <v>742</v>
      </c>
      <c r="L885" s="4" t="s">
        <v>73</v>
      </c>
      <c r="M885" t="s">
        <v>681</v>
      </c>
      <c r="N885" s="5">
        <v>30774393</v>
      </c>
      <c r="O885" s="5">
        <v>592281</v>
      </c>
      <c r="P885" s="5">
        <v>112533</v>
      </c>
      <c r="Q885" s="5">
        <v>727710</v>
      </c>
    </row>
    <row r="886" spans="1:17" x14ac:dyDescent="0.25">
      <c r="A886" t="s">
        <v>503</v>
      </c>
      <c r="B886" t="s">
        <v>494</v>
      </c>
      <c r="C886">
        <v>90222000</v>
      </c>
      <c r="D886">
        <v>16</v>
      </c>
      <c r="E886">
        <v>30776143</v>
      </c>
      <c r="F886" t="s">
        <v>613</v>
      </c>
      <c r="G886" s="1">
        <v>45204</v>
      </c>
      <c r="H886">
        <v>5397613</v>
      </c>
      <c r="I886">
        <v>112</v>
      </c>
      <c r="J886" t="s">
        <v>166</v>
      </c>
      <c r="K886" s="8" t="s">
        <v>742</v>
      </c>
      <c r="L886" s="4" t="s">
        <v>73</v>
      </c>
      <c r="M886" t="s">
        <v>681</v>
      </c>
      <c r="N886" s="5">
        <v>30776143</v>
      </c>
      <c r="O886" s="5">
        <v>67911</v>
      </c>
      <c r="P886" s="5">
        <v>12903</v>
      </c>
      <c r="Q886" s="5">
        <v>80814</v>
      </c>
    </row>
    <row r="887" spans="1:17" x14ac:dyDescent="0.25">
      <c r="A887" t="s">
        <v>503</v>
      </c>
      <c r="B887" t="s">
        <v>494</v>
      </c>
      <c r="C887">
        <v>90222000</v>
      </c>
      <c r="D887">
        <v>11</v>
      </c>
      <c r="E887">
        <v>30778933</v>
      </c>
      <c r="F887" t="s">
        <v>613</v>
      </c>
      <c r="G887" s="1">
        <v>45204</v>
      </c>
      <c r="H887">
        <v>5397766</v>
      </c>
      <c r="I887">
        <v>112</v>
      </c>
      <c r="J887" t="s">
        <v>166</v>
      </c>
      <c r="K887" s="8" t="s">
        <v>742</v>
      </c>
      <c r="L887" s="4" t="s">
        <v>73</v>
      </c>
      <c r="M887" t="s">
        <v>681</v>
      </c>
      <c r="N887" s="5">
        <v>30778933</v>
      </c>
      <c r="O887" s="5">
        <v>195599</v>
      </c>
      <c r="P887" s="5">
        <v>37164</v>
      </c>
      <c r="Q887" s="5">
        <v>232763</v>
      </c>
    </row>
    <row r="888" spans="1:17" x14ac:dyDescent="0.25">
      <c r="A888" t="s">
        <v>503</v>
      </c>
      <c r="B888" t="s">
        <v>494</v>
      </c>
      <c r="C888">
        <v>90222000</v>
      </c>
      <c r="D888">
        <v>16</v>
      </c>
      <c r="E888">
        <v>30776334</v>
      </c>
      <c r="F888" t="s">
        <v>613</v>
      </c>
      <c r="G888" s="1">
        <v>45204</v>
      </c>
      <c r="H888">
        <v>5398168</v>
      </c>
      <c r="I888">
        <v>112</v>
      </c>
      <c r="J888" t="s">
        <v>166</v>
      </c>
      <c r="K888" s="8" t="s">
        <v>742</v>
      </c>
      <c r="L888" s="4" t="s">
        <v>73</v>
      </c>
      <c r="M888" t="s">
        <v>681</v>
      </c>
      <c r="N888" s="5">
        <v>30776334</v>
      </c>
      <c r="O888" s="5">
        <v>188064</v>
      </c>
      <c r="P888" s="5">
        <v>35732</v>
      </c>
      <c r="Q888" s="5">
        <v>234250</v>
      </c>
    </row>
    <row r="889" spans="1:17" x14ac:dyDescent="0.25">
      <c r="A889" t="s">
        <v>503</v>
      </c>
      <c r="B889" t="s">
        <v>494</v>
      </c>
      <c r="C889">
        <v>90222000</v>
      </c>
      <c r="D889">
        <v>8</v>
      </c>
      <c r="E889">
        <v>30793213</v>
      </c>
      <c r="F889" t="s">
        <v>613</v>
      </c>
      <c r="G889" s="1">
        <v>45209</v>
      </c>
      <c r="H889">
        <v>5401121</v>
      </c>
      <c r="I889">
        <v>112</v>
      </c>
      <c r="J889" t="s">
        <v>166</v>
      </c>
      <c r="K889" s="8" t="s">
        <v>742</v>
      </c>
      <c r="L889" s="4" t="s">
        <v>73</v>
      </c>
      <c r="M889" t="s">
        <v>681</v>
      </c>
      <c r="N889" s="5">
        <v>30793213</v>
      </c>
      <c r="O889" s="5">
        <v>49100</v>
      </c>
      <c r="P889" s="5">
        <v>9329</v>
      </c>
      <c r="Q889" s="5">
        <v>58429</v>
      </c>
    </row>
    <row r="890" spans="1:17" x14ac:dyDescent="0.25">
      <c r="A890" t="s">
        <v>503</v>
      </c>
      <c r="B890" t="s">
        <v>494</v>
      </c>
      <c r="C890">
        <v>90222000</v>
      </c>
      <c r="D890">
        <v>6</v>
      </c>
      <c r="E890">
        <v>30795301</v>
      </c>
      <c r="F890" t="s">
        <v>613</v>
      </c>
      <c r="G890" s="1">
        <v>45210</v>
      </c>
      <c r="H890">
        <v>5401811</v>
      </c>
      <c r="I890">
        <v>112</v>
      </c>
      <c r="J890" t="s">
        <v>166</v>
      </c>
      <c r="K890" s="8" t="s">
        <v>742</v>
      </c>
      <c r="L890" s="4" t="s">
        <v>73</v>
      </c>
      <c r="M890" t="s">
        <v>681</v>
      </c>
      <c r="N890" s="5">
        <v>30795301</v>
      </c>
      <c r="O890" s="5">
        <v>836889</v>
      </c>
      <c r="P890" s="5">
        <v>159009</v>
      </c>
      <c r="Q890" s="5">
        <v>995898</v>
      </c>
    </row>
    <row r="891" spans="1:17" x14ac:dyDescent="0.25">
      <c r="A891" t="s">
        <v>503</v>
      </c>
      <c r="B891" t="s">
        <v>494</v>
      </c>
      <c r="C891">
        <v>90222000</v>
      </c>
      <c r="D891">
        <v>6</v>
      </c>
      <c r="E891">
        <v>30795301</v>
      </c>
      <c r="F891" t="s">
        <v>613</v>
      </c>
      <c r="G891" s="1">
        <v>45210</v>
      </c>
      <c r="H891">
        <v>5401812</v>
      </c>
      <c r="I891">
        <v>112</v>
      </c>
      <c r="J891" t="s">
        <v>166</v>
      </c>
      <c r="K891" s="8" t="s">
        <v>742</v>
      </c>
      <c r="L891" s="4" t="s">
        <v>73</v>
      </c>
      <c r="M891" t="s">
        <v>681</v>
      </c>
      <c r="N891" s="5">
        <v>30795301</v>
      </c>
      <c r="O891" s="5">
        <v>118206</v>
      </c>
      <c r="P891" s="5">
        <v>22459</v>
      </c>
      <c r="Q891" s="5">
        <v>140665</v>
      </c>
    </row>
    <row r="892" spans="1:17" x14ac:dyDescent="0.25">
      <c r="A892" t="s">
        <v>503</v>
      </c>
      <c r="B892" t="s">
        <v>494</v>
      </c>
      <c r="C892">
        <v>90222000</v>
      </c>
      <c r="D892">
        <v>8</v>
      </c>
      <c r="E892">
        <v>30797010</v>
      </c>
      <c r="F892" t="s">
        <v>613</v>
      </c>
      <c r="G892" s="1">
        <v>45210</v>
      </c>
      <c r="H892">
        <v>5401885</v>
      </c>
      <c r="I892">
        <v>112</v>
      </c>
      <c r="J892" t="s">
        <v>166</v>
      </c>
      <c r="K892" s="8" t="s">
        <v>742</v>
      </c>
      <c r="L892" s="4" t="s">
        <v>73</v>
      </c>
      <c r="M892" t="s">
        <v>681</v>
      </c>
      <c r="N892" s="5">
        <v>30797010</v>
      </c>
      <c r="O892" s="5">
        <v>44080</v>
      </c>
      <c r="P892" s="5">
        <v>8375</v>
      </c>
      <c r="Q892" s="5">
        <v>52455</v>
      </c>
    </row>
    <row r="893" spans="1:17" x14ac:dyDescent="0.25">
      <c r="A893" t="s">
        <v>503</v>
      </c>
      <c r="B893" t="s">
        <v>494</v>
      </c>
      <c r="C893">
        <v>90222000</v>
      </c>
      <c r="D893">
        <v>9</v>
      </c>
      <c r="E893">
        <v>30798908</v>
      </c>
      <c r="F893" t="s">
        <v>613</v>
      </c>
      <c r="G893" s="1">
        <v>45211</v>
      </c>
      <c r="H893">
        <v>5402406</v>
      </c>
      <c r="I893">
        <v>112</v>
      </c>
      <c r="J893" t="s">
        <v>166</v>
      </c>
      <c r="K893" s="8" t="s">
        <v>742</v>
      </c>
      <c r="L893" s="4" t="s">
        <v>73</v>
      </c>
      <c r="M893" t="s">
        <v>681</v>
      </c>
      <c r="N893" s="5">
        <v>30798908</v>
      </c>
      <c r="O893" s="5">
        <v>199153</v>
      </c>
      <c r="P893" s="5">
        <v>37839</v>
      </c>
      <c r="Q893" s="5">
        <v>236992</v>
      </c>
    </row>
    <row r="894" spans="1:17" x14ac:dyDescent="0.25">
      <c r="A894" t="s">
        <v>503</v>
      </c>
      <c r="B894" t="s">
        <v>494</v>
      </c>
      <c r="C894">
        <v>90222000</v>
      </c>
      <c r="D894">
        <v>8</v>
      </c>
      <c r="E894">
        <v>30818304</v>
      </c>
      <c r="F894" t="s">
        <v>613</v>
      </c>
      <c r="G894" s="1">
        <v>45218</v>
      </c>
      <c r="H894">
        <v>5406454</v>
      </c>
      <c r="I894">
        <v>112</v>
      </c>
      <c r="J894" t="s">
        <v>166</v>
      </c>
      <c r="K894" s="8" t="s">
        <v>742</v>
      </c>
      <c r="L894" s="4" t="s">
        <v>73</v>
      </c>
      <c r="M894" t="s">
        <v>681</v>
      </c>
      <c r="N894" s="5">
        <v>30818304</v>
      </c>
      <c r="O894" s="5">
        <v>177280</v>
      </c>
      <c r="P894" s="5">
        <v>33683</v>
      </c>
      <c r="Q894" s="5">
        <v>210963</v>
      </c>
    </row>
    <row r="895" spans="1:17" x14ac:dyDescent="0.25">
      <c r="A895" t="s">
        <v>503</v>
      </c>
      <c r="B895" t="s">
        <v>494</v>
      </c>
      <c r="C895">
        <v>90222000</v>
      </c>
      <c r="D895">
        <v>21</v>
      </c>
      <c r="E895">
        <v>30820219</v>
      </c>
      <c r="F895" t="s">
        <v>613</v>
      </c>
      <c r="G895" s="1">
        <v>45218</v>
      </c>
      <c r="H895">
        <v>5406684</v>
      </c>
      <c r="I895">
        <v>112</v>
      </c>
      <c r="J895" t="s">
        <v>166</v>
      </c>
      <c r="K895" s="8" t="s">
        <v>742</v>
      </c>
      <c r="L895" s="4" t="s">
        <v>73</v>
      </c>
      <c r="M895" t="s">
        <v>681</v>
      </c>
      <c r="N895" s="5">
        <v>30820219</v>
      </c>
      <c r="O895" s="5">
        <v>166860</v>
      </c>
      <c r="P895" s="5">
        <v>31703</v>
      </c>
      <c r="Q895" s="5">
        <v>209734</v>
      </c>
    </row>
    <row r="896" spans="1:17" x14ac:dyDescent="0.25">
      <c r="A896" t="s">
        <v>503</v>
      </c>
      <c r="B896" t="s">
        <v>494</v>
      </c>
      <c r="C896">
        <v>90222000</v>
      </c>
      <c r="D896">
        <v>3</v>
      </c>
      <c r="E896">
        <v>30820874</v>
      </c>
      <c r="F896" t="s">
        <v>613</v>
      </c>
      <c r="G896" s="1">
        <v>45218</v>
      </c>
      <c r="H896">
        <v>5406714</v>
      </c>
      <c r="I896">
        <v>112</v>
      </c>
      <c r="J896" t="s">
        <v>166</v>
      </c>
      <c r="K896" s="8" t="s">
        <v>742</v>
      </c>
      <c r="L896" s="4" t="s">
        <v>73</v>
      </c>
      <c r="M896" t="s">
        <v>681</v>
      </c>
      <c r="N896" s="5">
        <v>30820874</v>
      </c>
      <c r="O896" s="5">
        <v>497037</v>
      </c>
      <c r="P896" s="5">
        <v>94437</v>
      </c>
      <c r="Q896" s="5">
        <v>591474</v>
      </c>
    </row>
    <row r="897" spans="1:17" x14ac:dyDescent="0.25">
      <c r="A897" t="s">
        <v>503</v>
      </c>
      <c r="B897" t="s">
        <v>494</v>
      </c>
      <c r="C897">
        <v>90222000</v>
      </c>
      <c r="D897">
        <v>8</v>
      </c>
      <c r="E897">
        <v>30824375</v>
      </c>
      <c r="F897" t="s">
        <v>613</v>
      </c>
      <c r="G897" s="1">
        <v>45219</v>
      </c>
      <c r="H897">
        <v>5407109</v>
      </c>
      <c r="I897">
        <v>112</v>
      </c>
      <c r="J897" t="s">
        <v>166</v>
      </c>
      <c r="K897" s="8" t="s">
        <v>742</v>
      </c>
      <c r="L897" s="4" t="s">
        <v>73</v>
      </c>
      <c r="M897" t="s">
        <v>681</v>
      </c>
      <c r="N897" s="5">
        <v>30824375</v>
      </c>
      <c r="O897" s="5">
        <v>46494</v>
      </c>
      <c r="P897" s="5">
        <v>8834</v>
      </c>
      <c r="Q897" s="5">
        <v>55328</v>
      </c>
    </row>
    <row r="898" spans="1:17" x14ac:dyDescent="0.25">
      <c r="A898" t="s">
        <v>503</v>
      </c>
      <c r="B898" t="s">
        <v>494</v>
      </c>
      <c r="C898">
        <v>90222000</v>
      </c>
      <c r="D898">
        <v>8</v>
      </c>
      <c r="E898">
        <v>30824330</v>
      </c>
      <c r="F898" t="s">
        <v>613</v>
      </c>
      <c r="G898" s="1">
        <v>45219</v>
      </c>
      <c r="H898">
        <v>5407111</v>
      </c>
      <c r="I898">
        <v>112</v>
      </c>
      <c r="J898" t="s">
        <v>166</v>
      </c>
      <c r="K898" s="8" t="s">
        <v>742</v>
      </c>
      <c r="L898" s="4" t="s">
        <v>73</v>
      </c>
      <c r="M898" t="s">
        <v>681</v>
      </c>
      <c r="N898" s="5">
        <v>30824330</v>
      </c>
      <c r="O898" s="5">
        <v>41720</v>
      </c>
      <c r="P898" s="5">
        <v>7927</v>
      </c>
      <c r="Q898" s="5">
        <v>49647</v>
      </c>
    </row>
    <row r="899" spans="1:17" x14ac:dyDescent="0.25">
      <c r="A899" t="s">
        <v>503</v>
      </c>
      <c r="B899" t="s">
        <v>494</v>
      </c>
      <c r="C899">
        <v>90222000</v>
      </c>
      <c r="D899">
        <v>8</v>
      </c>
      <c r="E899">
        <v>30824515</v>
      </c>
      <c r="F899" t="s">
        <v>613</v>
      </c>
      <c r="G899" s="1">
        <v>45222</v>
      </c>
      <c r="H899">
        <v>5407614</v>
      </c>
      <c r="I899">
        <v>112</v>
      </c>
      <c r="J899" t="s">
        <v>166</v>
      </c>
      <c r="K899" s="8" t="s">
        <v>742</v>
      </c>
      <c r="L899" s="4" t="s">
        <v>73</v>
      </c>
      <c r="M899" t="s">
        <v>681</v>
      </c>
      <c r="N899" s="5">
        <v>30824515</v>
      </c>
      <c r="O899" s="5">
        <v>213017</v>
      </c>
      <c r="P899" s="5">
        <v>40473</v>
      </c>
      <c r="Q899" s="5">
        <v>264938</v>
      </c>
    </row>
    <row r="900" spans="1:17" x14ac:dyDescent="0.25">
      <c r="A900" t="s">
        <v>503</v>
      </c>
      <c r="B900" t="s">
        <v>494</v>
      </c>
      <c r="C900">
        <v>90222000</v>
      </c>
      <c r="D900">
        <v>8</v>
      </c>
      <c r="E900">
        <v>30829883</v>
      </c>
      <c r="F900" t="s">
        <v>613</v>
      </c>
      <c r="G900" s="1">
        <v>45223</v>
      </c>
      <c r="H900">
        <v>5408437</v>
      </c>
      <c r="I900">
        <v>112</v>
      </c>
      <c r="J900" t="s">
        <v>166</v>
      </c>
      <c r="K900" s="8" t="s">
        <v>742</v>
      </c>
      <c r="L900" s="4" t="s">
        <v>73</v>
      </c>
      <c r="M900" t="s">
        <v>681</v>
      </c>
      <c r="N900" s="5">
        <v>30829883</v>
      </c>
      <c r="O900" s="5">
        <v>132960</v>
      </c>
      <c r="P900" s="5">
        <v>25262</v>
      </c>
      <c r="Q900" s="5">
        <v>158222</v>
      </c>
    </row>
    <row r="901" spans="1:17" x14ac:dyDescent="0.25">
      <c r="A901" t="s">
        <v>503</v>
      </c>
      <c r="B901" t="s">
        <v>494</v>
      </c>
      <c r="C901">
        <v>90222000</v>
      </c>
      <c r="D901">
        <v>7</v>
      </c>
      <c r="E901">
        <v>30831993</v>
      </c>
      <c r="F901" t="s">
        <v>613</v>
      </c>
      <c r="G901" s="1">
        <v>45224</v>
      </c>
      <c r="H901">
        <v>5408827</v>
      </c>
      <c r="I901">
        <v>112</v>
      </c>
      <c r="J901" t="s">
        <v>166</v>
      </c>
      <c r="K901" s="8" t="s">
        <v>742</v>
      </c>
      <c r="L901" s="4" t="s">
        <v>73</v>
      </c>
      <c r="M901" t="s">
        <v>681</v>
      </c>
      <c r="N901" s="5">
        <v>30831993</v>
      </c>
      <c r="O901" s="5">
        <v>23142</v>
      </c>
      <c r="P901" s="5">
        <v>4397</v>
      </c>
      <c r="Q901" s="5">
        <v>27539</v>
      </c>
    </row>
    <row r="902" spans="1:17" x14ac:dyDescent="0.25">
      <c r="F902" t="s">
        <v>534</v>
      </c>
      <c r="K902" t="s">
        <v>681</v>
      </c>
      <c r="L902" s="4"/>
      <c r="M902" t="s">
        <v>681</v>
      </c>
      <c r="N902" s="5"/>
      <c r="O902" s="5">
        <v>14525233</v>
      </c>
      <c r="P902" s="5">
        <v>2759792</v>
      </c>
      <c r="Q902" s="5">
        <v>17354890</v>
      </c>
    </row>
    <row r="903" spans="1:17" x14ac:dyDescent="0.25">
      <c r="A903" t="s">
        <v>496</v>
      </c>
      <c r="B903" t="s">
        <v>494</v>
      </c>
      <c r="C903">
        <v>90703000</v>
      </c>
      <c r="D903">
        <v>91</v>
      </c>
      <c r="E903">
        <v>4573716576</v>
      </c>
      <c r="F903" t="s">
        <v>614</v>
      </c>
      <c r="G903" s="1">
        <v>45209</v>
      </c>
      <c r="H903">
        <v>5399515</v>
      </c>
      <c r="I903">
        <v>364</v>
      </c>
      <c r="J903" t="s">
        <v>194</v>
      </c>
      <c r="K903" s="8" t="s">
        <v>742</v>
      </c>
      <c r="L903" s="4"/>
      <c r="M903" t="s">
        <v>681</v>
      </c>
      <c r="N903" s="5">
        <v>30787640</v>
      </c>
      <c r="O903" s="5">
        <v>1410053</v>
      </c>
      <c r="P903" s="5">
        <v>267910</v>
      </c>
      <c r="Q903" s="5">
        <v>1677963</v>
      </c>
    </row>
    <row r="904" spans="1:17" x14ac:dyDescent="0.25">
      <c r="A904" t="s">
        <v>496</v>
      </c>
      <c r="B904" t="s">
        <v>494</v>
      </c>
      <c r="C904">
        <v>90703000</v>
      </c>
      <c r="D904">
        <v>76</v>
      </c>
      <c r="E904">
        <v>3301266376</v>
      </c>
      <c r="F904" t="s">
        <v>614</v>
      </c>
      <c r="G904" s="1">
        <v>45225</v>
      </c>
      <c r="H904">
        <v>5409237</v>
      </c>
      <c r="I904">
        <v>364</v>
      </c>
      <c r="J904" t="s">
        <v>194</v>
      </c>
      <c r="K904" s="8" t="s">
        <v>742</v>
      </c>
      <c r="L904" s="4"/>
      <c r="M904" t="s">
        <v>681</v>
      </c>
      <c r="N904" s="5">
        <v>30829334</v>
      </c>
      <c r="O904" s="5">
        <v>597429</v>
      </c>
      <c r="P904" s="5">
        <v>113512</v>
      </c>
      <c r="Q904" s="5">
        <v>710941</v>
      </c>
    </row>
    <row r="905" spans="1:17" x14ac:dyDescent="0.25">
      <c r="A905" t="s">
        <v>496</v>
      </c>
      <c r="B905" t="s">
        <v>494</v>
      </c>
      <c r="C905">
        <v>90703000</v>
      </c>
      <c r="D905">
        <v>76</v>
      </c>
      <c r="E905">
        <v>3301242654</v>
      </c>
      <c r="F905" t="s">
        <v>614</v>
      </c>
      <c r="G905" s="1">
        <v>45225</v>
      </c>
      <c r="H905">
        <v>5409241</v>
      </c>
      <c r="I905">
        <v>364</v>
      </c>
      <c r="J905" t="s">
        <v>194</v>
      </c>
      <c r="K905" s="8" t="s">
        <v>742</v>
      </c>
      <c r="L905" s="4"/>
      <c r="M905" t="s">
        <v>681</v>
      </c>
      <c r="N905" s="5">
        <v>30829360</v>
      </c>
      <c r="O905" s="5">
        <v>642240</v>
      </c>
      <c r="P905" s="5">
        <v>122026</v>
      </c>
      <c r="Q905" s="5">
        <v>764266</v>
      </c>
    </row>
    <row r="906" spans="1:17" x14ac:dyDescent="0.25">
      <c r="A906" t="s">
        <v>496</v>
      </c>
      <c r="B906" t="s">
        <v>494</v>
      </c>
      <c r="C906">
        <v>90703000</v>
      </c>
      <c r="D906">
        <v>76</v>
      </c>
      <c r="E906">
        <v>4573867596</v>
      </c>
      <c r="F906" t="s">
        <v>614</v>
      </c>
      <c r="G906" s="1">
        <v>45225</v>
      </c>
      <c r="H906">
        <v>5409277</v>
      </c>
      <c r="I906">
        <v>364</v>
      </c>
      <c r="J906" t="s">
        <v>194</v>
      </c>
      <c r="K906" s="8" t="s">
        <v>742</v>
      </c>
      <c r="L906" s="4"/>
      <c r="M906" t="s">
        <v>681</v>
      </c>
      <c r="N906" s="5">
        <v>30828535</v>
      </c>
      <c r="O906" s="5">
        <v>673280</v>
      </c>
      <c r="P906" s="5">
        <v>127923</v>
      </c>
      <c r="Q906" s="5">
        <v>801203</v>
      </c>
    </row>
    <row r="907" spans="1:17" x14ac:dyDescent="0.25">
      <c r="A907" t="s">
        <v>496</v>
      </c>
      <c r="B907" t="s">
        <v>494</v>
      </c>
      <c r="C907">
        <v>90703000</v>
      </c>
      <c r="D907">
        <v>86</v>
      </c>
      <c r="E907">
        <v>3301269239</v>
      </c>
      <c r="F907" t="s">
        <v>614</v>
      </c>
      <c r="G907" s="1">
        <v>45229</v>
      </c>
      <c r="H907">
        <v>5409529</v>
      </c>
      <c r="I907">
        <v>364</v>
      </c>
      <c r="J907" t="s">
        <v>194</v>
      </c>
      <c r="K907" s="8" t="s">
        <v>742</v>
      </c>
      <c r="L907" s="4"/>
      <c r="M907" t="s">
        <v>681</v>
      </c>
      <c r="N907" s="5">
        <v>30829377</v>
      </c>
      <c r="O907" s="5">
        <v>85305</v>
      </c>
      <c r="P907" s="5">
        <v>16208</v>
      </c>
      <c r="Q907" s="5">
        <v>101513</v>
      </c>
    </row>
    <row r="908" spans="1:17" x14ac:dyDescent="0.25">
      <c r="A908" t="s">
        <v>496</v>
      </c>
      <c r="B908" t="s">
        <v>494</v>
      </c>
      <c r="C908">
        <v>90703000</v>
      </c>
      <c r="D908">
        <v>10</v>
      </c>
      <c r="E908">
        <v>3301285774</v>
      </c>
      <c r="F908" t="s">
        <v>614</v>
      </c>
      <c r="G908" s="1">
        <v>45229</v>
      </c>
      <c r="H908">
        <v>5409741</v>
      </c>
      <c r="I908">
        <v>364</v>
      </c>
      <c r="J908" t="s">
        <v>194</v>
      </c>
      <c r="K908" s="8" t="s">
        <v>742</v>
      </c>
      <c r="L908" s="4"/>
      <c r="M908" t="s">
        <v>681</v>
      </c>
      <c r="N908" s="5">
        <v>30838793</v>
      </c>
      <c r="O908" s="5">
        <v>123468</v>
      </c>
      <c r="P908" s="5">
        <v>23459</v>
      </c>
      <c r="Q908" s="5">
        <v>146927</v>
      </c>
    </row>
    <row r="909" spans="1:17" x14ac:dyDescent="0.25">
      <c r="F909" t="s">
        <v>523</v>
      </c>
      <c r="K909" t="s">
        <v>681</v>
      </c>
      <c r="L909" s="4"/>
      <c r="M909" t="s">
        <v>681</v>
      </c>
      <c r="N909" s="5"/>
      <c r="O909" s="5">
        <v>3531775</v>
      </c>
      <c r="P909" s="5">
        <v>671038</v>
      </c>
      <c r="Q909" s="5">
        <v>4202813</v>
      </c>
    </row>
    <row r="910" spans="1:17" x14ac:dyDescent="0.25">
      <c r="A910" t="s">
        <v>503</v>
      </c>
      <c r="B910" t="s">
        <v>494</v>
      </c>
      <c r="C910">
        <v>90749000</v>
      </c>
      <c r="D910">
        <v>0</v>
      </c>
      <c r="E910">
        <v>6001106245</v>
      </c>
      <c r="F910" t="s">
        <v>807</v>
      </c>
      <c r="G910" s="1">
        <v>45230</v>
      </c>
      <c r="H910">
        <v>5410467</v>
      </c>
      <c r="I910">
        <v>122</v>
      </c>
      <c r="J910" t="s">
        <v>396</v>
      </c>
      <c r="K910" s="8" t="s">
        <v>742</v>
      </c>
      <c r="L910" s="4"/>
      <c r="M910" t="s">
        <v>681</v>
      </c>
      <c r="N910" s="5">
        <v>30844677</v>
      </c>
      <c r="O910" s="5">
        <v>219480</v>
      </c>
      <c r="P910" s="5">
        <v>41701</v>
      </c>
      <c r="Q910" s="5">
        <v>261181</v>
      </c>
    </row>
    <row r="911" spans="1:17" x14ac:dyDescent="0.25">
      <c r="F911" t="s">
        <v>495</v>
      </c>
      <c r="K911" t="s">
        <v>681</v>
      </c>
      <c r="L911" s="4"/>
      <c r="M911" t="s">
        <v>681</v>
      </c>
      <c r="N911" s="5"/>
      <c r="O911" s="5">
        <v>219480</v>
      </c>
      <c r="P911" s="5">
        <v>41701</v>
      </c>
      <c r="Q911" s="5">
        <v>261181</v>
      </c>
    </row>
    <row r="912" spans="1:17" x14ac:dyDescent="0.25">
      <c r="A912" t="s">
        <v>496</v>
      </c>
      <c r="B912" t="s">
        <v>494</v>
      </c>
      <c r="C912">
        <v>91297000</v>
      </c>
      <c r="D912">
        <v>0</v>
      </c>
      <c r="E912">
        <v>4531612460</v>
      </c>
      <c r="F912" t="s">
        <v>615</v>
      </c>
      <c r="G912" s="1">
        <v>45215</v>
      </c>
      <c r="H912">
        <v>5404529</v>
      </c>
      <c r="I912">
        <v>81</v>
      </c>
      <c r="J912" t="s">
        <v>144</v>
      </c>
      <c r="K912" s="8" t="s">
        <v>742</v>
      </c>
      <c r="L912" s="4"/>
      <c r="M912" t="s">
        <v>681</v>
      </c>
      <c r="N912" s="5">
        <v>30804977</v>
      </c>
      <c r="O912" s="5">
        <v>4360</v>
      </c>
      <c r="P912" s="5">
        <v>828</v>
      </c>
      <c r="Q912" s="5">
        <v>5188</v>
      </c>
    </row>
    <row r="913" spans="1:17" x14ac:dyDescent="0.25">
      <c r="A913" t="s">
        <v>496</v>
      </c>
      <c r="B913" t="s">
        <v>494</v>
      </c>
      <c r="C913">
        <v>91297000</v>
      </c>
      <c r="D913">
        <v>0</v>
      </c>
      <c r="E913">
        <v>4531611549</v>
      </c>
      <c r="F913" t="s">
        <v>615</v>
      </c>
      <c r="G913" s="1">
        <v>45217</v>
      </c>
      <c r="H913">
        <v>5406069</v>
      </c>
      <c r="I913">
        <v>81</v>
      </c>
      <c r="J913" t="s">
        <v>144</v>
      </c>
      <c r="K913" s="8" t="s">
        <v>742</v>
      </c>
      <c r="L913" s="4"/>
      <c r="M913" t="s">
        <v>681</v>
      </c>
      <c r="N913" s="5">
        <v>30706466</v>
      </c>
      <c r="O913" s="5">
        <v>78981</v>
      </c>
      <c r="P913" s="5">
        <v>15006</v>
      </c>
      <c r="Q913" s="5">
        <v>93987</v>
      </c>
    </row>
    <row r="914" spans="1:17" x14ac:dyDescent="0.25">
      <c r="F914" t="s">
        <v>497</v>
      </c>
      <c r="K914" t="s">
        <v>681</v>
      </c>
      <c r="L914" s="4"/>
      <c r="M914" t="s">
        <v>681</v>
      </c>
      <c r="N914" s="5"/>
      <c r="O914" s="5">
        <v>83341</v>
      </c>
      <c r="P914" s="5">
        <v>15834</v>
      </c>
      <c r="Q914" s="5">
        <v>99175</v>
      </c>
    </row>
    <row r="915" spans="1:17" x14ac:dyDescent="0.25">
      <c r="A915" t="s">
        <v>503</v>
      </c>
      <c r="B915" t="s">
        <v>494</v>
      </c>
      <c r="C915">
        <v>91336000</v>
      </c>
      <c r="D915">
        <v>40</v>
      </c>
      <c r="E915" t="s">
        <v>616</v>
      </c>
      <c r="F915" t="s">
        <v>617</v>
      </c>
      <c r="G915" s="1">
        <v>45200</v>
      </c>
      <c r="H915">
        <v>5394509</v>
      </c>
      <c r="I915">
        <v>268</v>
      </c>
      <c r="J915" t="s">
        <v>154</v>
      </c>
      <c r="K915" s="8" t="s">
        <v>742</v>
      </c>
      <c r="L915" s="4"/>
      <c r="M915" t="s">
        <v>681</v>
      </c>
      <c r="N915" s="5">
        <v>30752872</v>
      </c>
      <c r="O915" s="5">
        <v>268708</v>
      </c>
      <c r="P915" s="5">
        <v>51055</v>
      </c>
      <c r="Q915" s="5">
        <v>319763</v>
      </c>
    </row>
    <row r="916" spans="1:17" x14ac:dyDescent="0.25">
      <c r="A916" t="s">
        <v>503</v>
      </c>
      <c r="B916" t="s">
        <v>494</v>
      </c>
      <c r="C916">
        <v>91336000</v>
      </c>
      <c r="D916">
        <v>1</v>
      </c>
      <c r="E916" t="s">
        <v>808</v>
      </c>
      <c r="F916" t="s">
        <v>617</v>
      </c>
      <c r="G916" s="1">
        <v>45229</v>
      </c>
      <c r="H916">
        <v>5409772</v>
      </c>
      <c r="I916">
        <v>37</v>
      </c>
      <c r="J916" t="s">
        <v>156</v>
      </c>
      <c r="K916" s="8" t="s">
        <v>742</v>
      </c>
      <c r="L916" s="4"/>
      <c r="M916" t="s">
        <v>681</v>
      </c>
      <c r="N916" s="5">
        <v>30835292</v>
      </c>
      <c r="O916" s="5">
        <v>180300</v>
      </c>
      <c r="P916" s="5">
        <v>34257</v>
      </c>
      <c r="Q916" s="5">
        <v>214557</v>
      </c>
    </row>
    <row r="917" spans="1:17" x14ac:dyDescent="0.25">
      <c r="F917" t="s">
        <v>497</v>
      </c>
      <c r="K917" t="s">
        <v>681</v>
      </c>
      <c r="L917" s="4"/>
      <c r="M917" t="s">
        <v>681</v>
      </c>
      <c r="N917" s="5"/>
      <c r="O917" s="5">
        <v>449008</v>
      </c>
      <c r="P917" s="5">
        <v>85312</v>
      </c>
      <c r="Q917" s="5">
        <v>534320</v>
      </c>
    </row>
    <row r="918" spans="1:17" x14ac:dyDescent="0.25">
      <c r="A918" t="s">
        <v>496</v>
      </c>
      <c r="B918" t="s">
        <v>494</v>
      </c>
      <c r="C918">
        <v>91440000</v>
      </c>
      <c r="D918">
        <v>11</v>
      </c>
      <c r="E918">
        <v>30778867</v>
      </c>
      <c r="F918" t="s">
        <v>618</v>
      </c>
      <c r="G918" s="1">
        <v>45206</v>
      </c>
      <c r="H918">
        <v>5399148</v>
      </c>
      <c r="I918">
        <v>112</v>
      </c>
      <c r="J918" t="s">
        <v>166</v>
      </c>
      <c r="K918" s="8" t="s">
        <v>742</v>
      </c>
      <c r="L918" s="4"/>
      <c r="M918" t="s">
        <v>681</v>
      </c>
      <c r="N918" s="5">
        <v>30778867</v>
      </c>
      <c r="O918" s="5">
        <v>1131655</v>
      </c>
      <c r="P918" s="5">
        <v>215014</v>
      </c>
      <c r="Q918" s="5">
        <v>1346669</v>
      </c>
    </row>
    <row r="919" spans="1:17" x14ac:dyDescent="0.25">
      <c r="A919" t="s">
        <v>496</v>
      </c>
      <c r="B919" t="s">
        <v>494</v>
      </c>
      <c r="C919">
        <v>91440000</v>
      </c>
      <c r="D919">
        <v>1</v>
      </c>
      <c r="E919">
        <v>30778985</v>
      </c>
      <c r="F919" t="s">
        <v>618</v>
      </c>
      <c r="G919" s="1">
        <v>45211</v>
      </c>
      <c r="H919">
        <v>5403068</v>
      </c>
      <c r="I919">
        <v>112</v>
      </c>
      <c r="J919" t="s">
        <v>166</v>
      </c>
      <c r="K919" s="8" t="s">
        <v>742</v>
      </c>
      <c r="L919" s="4"/>
      <c r="M919" t="s">
        <v>681</v>
      </c>
      <c r="N919" s="5">
        <v>30778986</v>
      </c>
      <c r="O919" s="5">
        <v>398580</v>
      </c>
      <c r="P919" s="5">
        <v>75730</v>
      </c>
      <c r="Q919" s="5">
        <v>474310</v>
      </c>
    </row>
    <row r="920" spans="1:17" x14ac:dyDescent="0.25">
      <c r="A920" t="s">
        <v>496</v>
      </c>
      <c r="B920" t="s">
        <v>494</v>
      </c>
      <c r="C920">
        <v>91440000</v>
      </c>
      <c r="D920">
        <v>15</v>
      </c>
      <c r="E920">
        <v>30812189</v>
      </c>
      <c r="F920" t="s">
        <v>618</v>
      </c>
      <c r="G920" s="1">
        <v>45217</v>
      </c>
      <c r="H920">
        <v>5406336</v>
      </c>
      <c r="I920">
        <v>112</v>
      </c>
      <c r="J920" t="s">
        <v>166</v>
      </c>
      <c r="K920" s="8" t="s">
        <v>742</v>
      </c>
      <c r="L920" s="4"/>
      <c r="M920" t="s">
        <v>681</v>
      </c>
      <c r="N920" s="5">
        <v>30812189</v>
      </c>
      <c r="O920" s="5">
        <v>1873671</v>
      </c>
      <c r="P920" s="5">
        <v>355997</v>
      </c>
      <c r="Q920" s="5">
        <v>2229668</v>
      </c>
    </row>
    <row r="921" spans="1:17" x14ac:dyDescent="0.25">
      <c r="A921" t="s">
        <v>496</v>
      </c>
      <c r="B921" t="s">
        <v>494</v>
      </c>
      <c r="C921">
        <v>91440000</v>
      </c>
      <c r="D921">
        <v>15</v>
      </c>
      <c r="E921">
        <v>30817564</v>
      </c>
      <c r="F921" t="s">
        <v>618</v>
      </c>
      <c r="G921" s="1">
        <v>45219</v>
      </c>
      <c r="H921">
        <v>5407431</v>
      </c>
      <c r="I921">
        <v>112</v>
      </c>
      <c r="J921" t="s">
        <v>166</v>
      </c>
      <c r="K921" s="8" t="s">
        <v>742</v>
      </c>
      <c r="L921" s="4"/>
      <c r="M921" t="s">
        <v>681</v>
      </c>
      <c r="N921" s="5">
        <v>30817564</v>
      </c>
      <c r="O921" s="5">
        <v>146344</v>
      </c>
      <c r="P921" s="5">
        <v>27805</v>
      </c>
      <c r="Q921" s="5">
        <v>174149</v>
      </c>
    </row>
    <row r="922" spans="1:17" x14ac:dyDescent="0.25">
      <c r="A922" t="s">
        <v>496</v>
      </c>
      <c r="B922" t="s">
        <v>494</v>
      </c>
      <c r="C922">
        <v>91440000</v>
      </c>
      <c r="D922">
        <v>15</v>
      </c>
      <c r="E922">
        <v>30821260</v>
      </c>
      <c r="F922" t="s">
        <v>618</v>
      </c>
      <c r="G922" s="1">
        <v>45219</v>
      </c>
      <c r="H922">
        <v>5407435</v>
      </c>
      <c r="I922">
        <v>112</v>
      </c>
      <c r="J922" t="s">
        <v>166</v>
      </c>
      <c r="K922" s="8" t="s">
        <v>742</v>
      </c>
      <c r="L922" s="4"/>
      <c r="M922" t="s">
        <v>681</v>
      </c>
      <c r="N922" s="5">
        <v>30821260</v>
      </c>
      <c r="O922" s="5">
        <v>104134</v>
      </c>
      <c r="P922" s="5">
        <v>19785</v>
      </c>
      <c r="Q922" s="5">
        <v>123919</v>
      </c>
    </row>
    <row r="923" spans="1:17" x14ac:dyDescent="0.25">
      <c r="A923" t="s">
        <v>496</v>
      </c>
      <c r="B923" t="s">
        <v>494</v>
      </c>
      <c r="C923">
        <v>91440000</v>
      </c>
      <c r="D923">
        <v>2</v>
      </c>
      <c r="E923">
        <v>30821643</v>
      </c>
      <c r="F923" t="s">
        <v>618</v>
      </c>
      <c r="G923" s="1">
        <v>45219</v>
      </c>
      <c r="H923">
        <v>5407515</v>
      </c>
      <c r="I923">
        <v>112</v>
      </c>
      <c r="J923" t="s">
        <v>166</v>
      </c>
      <c r="K923" s="8" t="s">
        <v>742</v>
      </c>
      <c r="L923" s="4"/>
      <c r="M923" t="s">
        <v>681</v>
      </c>
      <c r="N923" s="5">
        <v>30821643</v>
      </c>
      <c r="O923" s="5">
        <v>398272</v>
      </c>
      <c r="P923" s="5">
        <v>75672</v>
      </c>
      <c r="Q923" s="5">
        <v>477036</v>
      </c>
    </row>
    <row r="924" spans="1:17" x14ac:dyDescent="0.25">
      <c r="A924" t="s">
        <v>496</v>
      </c>
      <c r="B924" t="s">
        <v>494</v>
      </c>
      <c r="C924">
        <v>91440000</v>
      </c>
      <c r="D924">
        <v>2</v>
      </c>
      <c r="E924">
        <v>30821643</v>
      </c>
      <c r="F924" t="s">
        <v>618</v>
      </c>
      <c r="G924" s="1">
        <v>45219</v>
      </c>
      <c r="H924">
        <v>5407516</v>
      </c>
      <c r="I924">
        <v>112</v>
      </c>
      <c r="J924" t="s">
        <v>166</v>
      </c>
      <c r="K924" s="8" t="s">
        <v>742</v>
      </c>
      <c r="L924" s="4"/>
      <c r="M924" t="s">
        <v>681</v>
      </c>
      <c r="N924" s="5">
        <v>30821643</v>
      </c>
      <c r="O924" s="5">
        <v>601870</v>
      </c>
      <c r="P924" s="5">
        <v>114355</v>
      </c>
      <c r="Q924" s="5">
        <v>716225</v>
      </c>
    </row>
    <row r="925" spans="1:17" x14ac:dyDescent="0.25">
      <c r="A925" t="s">
        <v>496</v>
      </c>
      <c r="B925" t="s">
        <v>494</v>
      </c>
      <c r="C925">
        <v>91440000</v>
      </c>
      <c r="D925">
        <v>15</v>
      </c>
      <c r="E925">
        <v>30825350</v>
      </c>
      <c r="F925" t="s">
        <v>618</v>
      </c>
      <c r="G925" s="1">
        <v>45222</v>
      </c>
      <c r="H925">
        <v>5407589</v>
      </c>
      <c r="I925">
        <v>112</v>
      </c>
      <c r="J925" t="s">
        <v>166</v>
      </c>
      <c r="K925" s="8" t="s">
        <v>742</v>
      </c>
      <c r="L925" s="4"/>
      <c r="M925" t="s">
        <v>681</v>
      </c>
      <c r="N925" s="5">
        <v>30825350</v>
      </c>
      <c r="O925" s="5">
        <v>180545</v>
      </c>
      <c r="P925" s="5">
        <v>34304</v>
      </c>
      <c r="Q925" s="5">
        <v>214849</v>
      </c>
    </row>
    <row r="926" spans="1:17" x14ac:dyDescent="0.25">
      <c r="A926" t="s">
        <v>496</v>
      </c>
      <c r="B926" t="s">
        <v>494</v>
      </c>
      <c r="C926">
        <v>91440000</v>
      </c>
      <c r="D926">
        <v>14</v>
      </c>
      <c r="E926">
        <v>30834409</v>
      </c>
      <c r="F926" t="s">
        <v>618</v>
      </c>
      <c r="G926" s="1">
        <v>45228</v>
      </c>
      <c r="H926">
        <v>5409505</v>
      </c>
      <c r="I926">
        <v>112</v>
      </c>
      <c r="J926" t="s">
        <v>166</v>
      </c>
      <c r="K926" s="8" t="s">
        <v>742</v>
      </c>
      <c r="L926" s="4"/>
      <c r="M926" t="s">
        <v>681</v>
      </c>
      <c r="N926" s="5">
        <v>30834409</v>
      </c>
      <c r="O926" s="5">
        <v>355128</v>
      </c>
      <c r="P926" s="5">
        <v>67474</v>
      </c>
      <c r="Q926" s="5">
        <v>425872</v>
      </c>
    </row>
    <row r="927" spans="1:17" x14ac:dyDescent="0.25">
      <c r="F927" t="s">
        <v>514</v>
      </c>
      <c r="K927" t="s">
        <v>681</v>
      </c>
      <c r="L927" s="4"/>
      <c r="M927" t="s">
        <v>681</v>
      </c>
      <c r="N927" s="5"/>
      <c r="O927" s="5">
        <v>5190199</v>
      </c>
      <c r="P927" s="5">
        <v>986136</v>
      </c>
      <c r="Q927" s="5">
        <v>6182697</v>
      </c>
    </row>
    <row r="928" spans="1:17" x14ac:dyDescent="0.25">
      <c r="A928" t="s">
        <v>71</v>
      </c>
      <c r="B928" t="s">
        <v>494</v>
      </c>
      <c r="C928">
        <v>91489000</v>
      </c>
      <c r="D928">
        <v>15</v>
      </c>
      <c r="E928">
        <v>4300064456</v>
      </c>
      <c r="F928" t="s">
        <v>619</v>
      </c>
      <c r="G928" s="1">
        <v>45202</v>
      </c>
      <c r="H928">
        <v>5395868</v>
      </c>
      <c r="I928">
        <v>411</v>
      </c>
      <c r="J928" t="s">
        <v>204</v>
      </c>
      <c r="K928" s="8" t="s">
        <v>742</v>
      </c>
      <c r="L928" s="4"/>
      <c r="M928" t="s">
        <v>681</v>
      </c>
      <c r="N928" s="5">
        <v>30763846</v>
      </c>
      <c r="O928" s="5">
        <v>8034</v>
      </c>
      <c r="P928" s="5">
        <v>1526</v>
      </c>
      <c r="Q928" s="5">
        <v>9560</v>
      </c>
    </row>
    <row r="929" spans="1:17" x14ac:dyDescent="0.25">
      <c r="A929" t="s">
        <v>71</v>
      </c>
      <c r="B929" t="s">
        <v>494</v>
      </c>
      <c r="C929">
        <v>91489000</v>
      </c>
      <c r="D929">
        <v>15</v>
      </c>
      <c r="E929">
        <v>4300064543</v>
      </c>
      <c r="F929" t="s">
        <v>619</v>
      </c>
      <c r="G929" s="1">
        <v>45203</v>
      </c>
      <c r="H929">
        <v>5397495</v>
      </c>
      <c r="I929">
        <v>411</v>
      </c>
      <c r="J929" t="s">
        <v>204</v>
      </c>
      <c r="K929" s="8" t="s">
        <v>742</v>
      </c>
      <c r="L929" s="4"/>
      <c r="M929" t="s">
        <v>681</v>
      </c>
      <c r="N929" s="5">
        <v>30774421</v>
      </c>
      <c r="O929" s="5">
        <v>78223</v>
      </c>
      <c r="P929" s="5">
        <v>14862</v>
      </c>
      <c r="Q929" s="5">
        <v>93085</v>
      </c>
    </row>
    <row r="930" spans="1:17" x14ac:dyDescent="0.25">
      <c r="A930" t="s">
        <v>71</v>
      </c>
      <c r="B930" t="s">
        <v>494</v>
      </c>
      <c r="C930">
        <v>91489000</v>
      </c>
      <c r="D930">
        <v>15</v>
      </c>
      <c r="E930">
        <v>4300064534</v>
      </c>
      <c r="F930" t="s">
        <v>619</v>
      </c>
      <c r="G930" s="1">
        <v>45204</v>
      </c>
      <c r="H930">
        <v>5398178</v>
      </c>
      <c r="I930">
        <v>411</v>
      </c>
      <c r="J930" t="s">
        <v>204</v>
      </c>
      <c r="K930" s="8" t="s">
        <v>742</v>
      </c>
      <c r="L930" s="4"/>
      <c r="M930" t="s">
        <v>681</v>
      </c>
      <c r="N930" s="5">
        <v>30773312</v>
      </c>
      <c r="O930" s="5">
        <v>69773</v>
      </c>
      <c r="P930" s="5">
        <v>13257</v>
      </c>
      <c r="Q930" s="5">
        <v>83030</v>
      </c>
    </row>
    <row r="931" spans="1:17" x14ac:dyDescent="0.25">
      <c r="A931" t="s">
        <v>71</v>
      </c>
      <c r="B931" t="s">
        <v>494</v>
      </c>
      <c r="C931">
        <v>91489000</v>
      </c>
      <c r="D931">
        <v>15</v>
      </c>
      <c r="E931">
        <v>4300064532</v>
      </c>
      <c r="F931" t="s">
        <v>619</v>
      </c>
      <c r="G931" s="1">
        <v>45204</v>
      </c>
      <c r="H931">
        <v>5398181</v>
      </c>
      <c r="I931">
        <v>411</v>
      </c>
      <c r="J931" t="s">
        <v>204</v>
      </c>
      <c r="K931" s="8" t="s">
        <v>742</v>
      </c>
      <c r="L931" s="4"/>
      <c r="M931" t="s">
        <v>681</v>
      </c>
      <c r="N931" s="5">
        <v>30772977</v>
      </c>
      <c r="O931" s="5">
        <v>11210</v>
      </c>
      <c r="P931" s="5">
        <v>2130</v>
      </c>
      <c r="Q931" s="5">
        <v>13340</v>
      </c>
    </row>
    <row r="932" spans="1:17" x14ac:dyDescent="0.25">
      <c r="A932" t="s">
        <v>71</v>
      </c>
      <c r="B932" t="s">
        <v>494</v>
      </c>
      <c r="C932">
        <v>91489000</v>
      </c>
      <c r="D932">
        <v>15</v>
      </c>
      <c r="E932">
        <v>4300066436</v>
      </c>
      <c r="F932" t="s">
        <v>619</v>
      </c>
      <c r="G932" s="1">
        <v>45219</v>
      </c>
      <c r="H932">
        <v>5407164</v>
      </c>
      <c r="I932">
        <v>411</v>
      </c>
      <c r="J932" t="s">
        <v>204</v>
      </c>
      <c r="K932" s="8" t="s">
        <v>742</v>
      </c>
      <c r="L932" s="4"/>
      <c r="M932" t="s">
        <v>681</v>
      </c>
      <c r="N932" s="5">
        <v>30816477</v>
      </c>
      <c r="O932" s="5">
        <v>13142</v>
      </c>
      <c r="P932" s="5">
        <v>2497</v>
      </c>
      <c r="Q932" s="5">
        <v>15639</v>
      </c>
    </row>
    <row r="933" spans="1:17" x14ac:dyDescent="0.25">
      <c r="A933" t="s">
        <v>71</v>
      </c>
      <c r="B933" t="s">
        <v>494</v>
      </c>
      <c r="C933">
        <v>91489000</v>
      </c>
      <c r="D933">
        <v>4</v>
      </c>
      <c r="E933">
        <v>4300067485</v>
      </c>
      <c r="F933" t="s">
        <v>619</v>
      </c>
      <c r="G933" s="1">
        <v>45224</v>
      </c>
      <c r="H933">
        <v>5408865</v>
      </c>
      <c r="I933">
        <v>411</v>
      </c>
      <c r="J933" t="s">
        <v>204</v>
      </c>
      <c r="K933" s="8" t="s">
        <v>742</v>
      </c>
      <c r="L933" s="4"/>
      <c r="M933" t="s">
        <v>681</v>
      </c>
      <c r="N933" s="5">
        <v>30833164</v>
      </c>
      <c r="O933" s="5">
        <v>78568</v>
      </c>
      <c r="P933" s="5">
        <v>14928</v>
      </c>
      <c r="Q933" s="5">
        <v>93496</v>
      </c>
    </row>
    <row r="934" spans="1:17" x14ac:dyDescent="0.25">
      <c r="A934" t="s">
        <v>71</v>
      </c>
      <c r="B934" t="s">
        <v>494</v>
      </c>
      <c r="C934">
        <v>91489000</v>
      </c>
      <c r="D934">
        <v>19</v>
      </c>
      <c r="E934">
        <v>4300067821</v>
      </c>
      <c r="F934" t="s">
        <v>619</v>
      </c>
      <c r="G934" s="1">
        <v>45229</v>
      </c>
      <c r="H934">
        <v>5409977</v>
      </c>
      <c r="I934">
        <v>411</v>
      </c>
      <c r="J934" t="s">
        <v>204</v>
      </c>
      <c r="K934" s="8" t="s">
        <v>742</v>
      </c>
      <c r="L934" s="4"/>
      <c r="M934" t="s">
        <v>681</v>
      </c>
      <c r="N934" s="5">
        <v>30833564</v>
      </c>
      <c r="O934" s="5">
        <v>32172</v>
      </c>
      <c r="P934" s="5">
        <v>6113</v>
      </c>
      <c r="Q934" s="5">
        <v>38285</v>
      </c>
    </row>
    <row r="935" spans="1:17" x14ac:dyDescent="0.25">
      <c r="A935" t="s">
        <v>71</v>
      </c>
      <c r="B935" t="s">
        <v>494</v>
      </c>
      <c r="C935">
        <v>91489000</v>
      </c>
      <c r="D935">
        <v>4</v>
      </c>
      <c r="E935">
        <v>4300068161</v>
      </c>
      <c r="F935" t="s">
        <v>619</v>
      </c>
      <c r="G935" s="1">
        <v>45230</v>
      </c>
      <c r="H935">
        <v>5410325</v>
      </c>
      <c r="I935">
        <v>411</v>
      </c>
      <c r="J935" t="s">
        <v>204</v>
      </c>
      <c r="K935" s="8" t="s">
        <v>742</v>
      </c>
      <c r="L935" s="4"/>
      <c r="M935" t="s">
        <v>681</v>
      </c>
      <c r="N935" s="5">
        <v>30839006</v>
      </c>
      <c r="O935" s="5">
        <v>75548</v>
      </c>
      <c r="P935" s="5">
        <v>14354</v>
      </c>
      <c r="Q935" s="5">
        <v>89902</v>
      </c>
    </row>
    <row r="936" spans="1:17" x14ac:dyDescent="0.25">
      <c r="A936" t="s">
        <v>71</v>
      </c>
      <c r="B936" t="s">
        <v>494</v>
      </c>
      <c r="C936">
        <v>91489000</v>
      </c>
      <c r="D936">
        <v>4</v>
      </c>
      <c r="E936">
        <v>4300067485</v>
      </c>
      <c r="F936" t="s">
        <v>619</v>
      </c>
      <c r="G936" s="1">
        <v>45230</v>
      </c>
      <c r="H936">
        <v>5410409</v>
      </c>
      <c r="I936">
        <v>411</v>
      </c>
      <c r="J936" t="s">
        <v>204</v>
      </c>
      <c r="K936" s="8" t="s">
        <v>742</v>
      </c>
      <c r="L936" s="4"/>
      <c r="M936" t="s">
        <v>681</v>
      </c>
      <c r="N936" s="5">
        <v>30844413</v>
      </c>
      <c r="O936" s="5">
        <v>16884</v>
      </c>
      <c r="P936" s="5">
        <v>3208</v>
      </c>
      <c r="Q936" s="5">
        <v>20092</v>
      </c>
    </row>
    <row r="937" spans="1:17" x14ac:dyDescent="0.25">
      <c r="F937" t="s">
        <v>514</v>
      </c>
      <c r="K937" t="s">
        <v>681</v>
      </c>
      <c r="L937" s="4"/>
      <c r="M937" t="s">
        <v>681</v>
      </c>
      <c r="N937" s="5"/>
      <c r="O937" s="5">
        <v>383554</v>
      </c>
      <c r="P937" s="5">
        <v>72875</v>
      </c>
      <c r="Q937" s="5">
        <v>456429</v>
      </c>
    </row>
    <row r="938" spans="1:17" x14ac:dyDescent="0.25">
      <c r="A938" t="s">
        <v>496</v>
      </c>
      <c r="B938" t="s">
        <v>494</v>
      </c>
      <c r="C938">
        <v>91546000</v>
      </c>
      <c r="D938">
        <v>13</v>
      </c>
      <c r="E938">
        <v>4501458924</v>
      </c>
      <c r="F938" t="s">
        <v>620</v>
      </c>
      <c r="G938" s="1">
        <v>45204</v>
      </c>
      <c r="H938">
        <v>5397695</v>
      </c>
      <c r="I938">
        <v>3</v>
      </c>
      <c r="J938" t="s">
        <v>291</v>
      </c>
      <c r="K938" s="8" t="s">
        <v>742</v>
      </c>
      <c r="L938" s="4"/>
      <c r="M938" t="s">
        <v>681</v>
      </c>
      <c r="N938" s="5">
        <v>30777526</v>
      </c>
      <c r="O938" s="5">
        <v>31189</v>
      </c>
      <c r="P938" s="5">
        <v>5926</v>
      </c>
      <c r="Q938" s="5">
        <v>37115</v>
      </c>
    </row>
    <row r="939" spans="1:17" x14ac:dyDescent="0.25">
      <c r="A939" t="s">
        <v>496</v>
      </c>
      <c r="B939" t="s">
        <v>494</v>
      </c>
      <c r="C939">
        <v>91546000</v>
      </c>
      <c r="D939">
        <v>24</v>
      </c>
      <c r="E939">
        <v>4501459756</v>
      </c>
      <c r="F939" t="s">
        <v>620</v>
      </c>
      <c r="G939" s="1">
        <v>45210</v>
      </c>
      <c r="H939">
        <v>5401872</v>
      </c>
      <c r="I939">
        <v>3</v>
      </c>
      <c r="J939" t="s">
        <v>291</v>
      </c>
      <c r="K939" s="8" t="s">
        <v>742</v>
      </c>
      <c r="L939" s="4"/>
      <c r="M939" t="s">
        <v>681</v>
      </c>
      <c r="N939" s="5">
        <v>30796329</v>
      </c>
      <c r="O939" s="5">
        <v>169932</v>
      </c>
      <c r="P939" s="5">
        <v>32287</v>
      </c>
      <c r="Q939" s="5">
        <v>202219</v>
      </c>
    </row>
    <row r="940" spans="1:17" x14ac:dyDescent="0.25">
      <c r="A940" t="s">
        <v>496</v>
      </c>
      <c r="B940" t="s">
        <v>494</v>
      </c>
      <c r="C940">
        <v>91546000</v>
      </c>
      <c r="D940">
        <v>6</v>
      </c>
      <c r="E940">
        <v>4501460346</v>
      </c>
      <c r="F940" t="s">
        <v>620</v>
      </c>
      <c r="G940" s="1">
        <v>45211</v>
      </c>
      <c r="H940">
        <v>5403046</v>
      </c>
      <c r="I940">
        <v>3</v>
      </c>
      <c r="J940" t="s">
        <v>291</v>
      </c>
      <c r="K940" s="8" t="s">
        <v>742</v>
      </c>
      <c r="L940" s="4"/>
      <c r="M940" t="s">
        <v>681</v>
      </c>
      <c r="N940" s="5">
        <v>30801285</v>
      </c>
      <c r="O940" s="5">
        <v>215863</v>
      </c>
      <c r="P940" s="5">
        <v>41014</v>
      </c>
      <c r="Q940" s="5">
        <v>256877</v>
      </c>
    </row>
    <row r="941" spans="1:17" x14ac:dyDescent="0.25">
      <c r="A941" t="s">
        <v>496</v>
      </c>
      <c r="B941" t="s">
        <v>494</v>
      </c>
      <c r="C941">
        <v>91546000</v>
      </c>
      <c r="D941">
        <v>12</v>
      </c>
      <c r="E941">
        <v>4501460526</v>
      </c>
      <c r="F941" t="s">
        <v>620</v>
      </c>
      <c r="G941" s="1">
        <v>45215</v>
      </c>
      <c r="H941">
        <v>5405126</v>
      </c>
      <c r="I941">
        <v>3</v>
      </c>
      <c r="J941" t="s">
        <v>291</v>
      </c>
      <c r="K941" s="8" t="s">
        <v>742</v>
      </c>
      <c r="L941" s="4"/>
      <c r="M941" t="s">
        <v>681</v>
      </c>
      <c r="N941" s="5">
        <v>30809203</v>
      </c>
      <c r="O941" s="5">
        <v>192476</v>
      </c>
      <c r="P941" s="5">
        <v>36570</v>
      </c>
      <c r="Q941" s="5">
        <v>229046</v>
      </c>
    </row>
    <row r="942" spans="1:17" x14ac:dyDescent="0.25">
      <c r="A942" t="s">
        <v>496</v>
      </c>
      <c r="B942" t="s">
        <v>494</v>
      </c>
      <c r="C942">
        <v>91546000</v>
      </c>
      <c r="D942">
        <v>36</v>
      </c>
      <c r="E942">
        <v>4501460633</v>
      </c>
      <c r="F942" t="s">
        <v>620</v>
      </c>
      <c r="G942" s="1">
        <v>45215</v>
      </c>
      <c r="H942">
        <v>5405198</v>
      </c>
      <c r="I942">
        <v>3</v>
      </c>
      <c r="J942" t="s">
        <v>291</v>
      </c>
      <c r="K942" s="8" t="s">
        <v>742</v>
      </c>
      <c r="L942" s="4"/>
      <c r="M942" t="s">
        <v>681</v>
      </c>
      <c r="N942" s="5">
        <v>30809247</v>
      </c>
      <c r="O942" s="5">
        <v>165847</v>
      </c>
      <c r="P942" s="5">
        <v>31511</v>
      </c>
      <c r="Q942" s="5">
        <v>197358</v>
      </c>
    </row>
    <row r="943" spans="1:17" x14ac:dyDescent="0.25">
      <c r="A943" t="s">
        <v>496</v>
      </c>
      <c r="B943" t="s">
        <v>494</v>
      </c>
      <c r="C943">
        <v>91546000</v>
      </c>
      <c r="D943">
        <v>18</v>
      </c>
      <c r="E943">
        <v>4501460205</v>
      </c>
      <c r="F943" t="s">
        <v>620</v>
      </c>
      <c r="G943" s="1">
        <v>45218</v>
      </c>
      <c r="H943">
        <v>5406461</v>
      </c>
      <c r="I943">
        <v>3</v>
      </c>
      <c r="J943" t="s">
        <v>291</v>
      </c>
      <c r="K943" s="8" t="s">
        <v>742</v>
      </c>
      <c r="L943" s="4"/>
      <c r="M943" t="s">
        <v>681</v>
      </c>
      <c r="N943" s="5">
        <v>30817295</v>
      </c>
      <c r="O943" s="5">
        <v>205773</v>
      </c>
      <c r="P943" s="5">
        <v>39097</v>
      </c>
      <c r="Q943" s="5">
        <v>244870</v>
      </c>
    </row>
    <row r="944" spans="1:17" x14ac:dyDescent="0.25">
      <c r="A944" t="s">
        <v>496</v>
      </c>
      <c r="B944" t="s">
        <v>494</v>
      </c>
      <c r="C944">
        <v>91546000</v>
      </c>
      <c r="D944">
        <v>11</v>
      </c>
      <c r="E944">
        <v>4501461275</v>
      </c>
      <c r="F944" t="s">
        <v>620</v>
      </c>
      <c r="G944" s="1">
        <v>45223</v>
      </c>
      <c r="H944">
        <v>5408277</v>
      </c>
      <c r="I944">
        <v>3</v>
      </c>
      <c r="J944" t="s">
        <v>291</v>
      </c>
      <c r="K944" s="8" t="s">
        <v>742</v>
      </c>
      <c r="L944" s="4"/>
      <c r="M944" t="s">
        <v>681</v>
      </c>
      <c r="N944" s="5">
        <v>30827974</v>
      </c>
      <c r="O944" s="5">
        <v>189691</v>
      </c>
      <c r="P944" s="5">
        <v>36041</v>
      </c>
      <c r="Q944" s="5">
        <v>225732</v>
      </c>
    </row>
    <row r="945" spans="1:17" x14ac:dyDescent="0.25">
      <c r="A945" t="s">
        <v>496</v>
      </c>
      <c r="B945" t="s">
        <v>494</v>
      </c>
      <c r="C945">
        <v>91546000</v>
      </c>
      <c r="D945">
        <v>22</v>
      </c>
      <c r="E945">
        <v>4501462557</v>
      </c>
      <c r="F945" t="s">
        <v>620</v>
      </c>
      <c r="G945" s="1">
        <v>45224</v>
      </c>
      <c r="H945">
        <v>5408635</v>
      </c>
      <c r="I945">
        <v>3</v>
      </c>
      <c r="J945" t="s">
        <v>291</v>
      </c>
      <c r="K945" s="8" t="s">
        <v>742</v>
      </c>
      <c r="L945" s="4"/>
      <c r="M945" t="s">
        <v>681</v>
      </c>
      <c r="N945" s="5">
        <v>30830826</v>
      </c>
      <c r="O945" s="5">
        <v>218432</v>
      </c>
      <c r="P945" s="5">
        <v>41502</v>
      </c>
      <c r="Q945" s="5">
        <v>259934</v>
      </c>
    </row>
    <row r="946" spans="1:17" x14ac:dyDescent="0.25">
      <c r="A946" t="s">
        <v>496</v>
      </c>
      <c r="B946" t="s">
        <v>494</v>
      </c>
      <c r="C946">
        <v>91546000</v>
      </c>
      <c r="D946">
        <v>20</v>
      </c>
      <c r="E946">
        <v>4501462082</v>
      </c>
      <c r="F946" t="s">
        <v>620</v>
      </c>
      <c r="G946" s="1">
        <v>45224</v>
      </c>
      <c r="H946">
        <v>5408949</v>
      </c>
      <c r="I946">
        <v>3</v>
      </c>
      <c r="J946" t="s">
        <v>291</v>
      </c>
      <c r="K946" s="8" t="s">
        <v>742</v>
      </c>
      <c r="L946" s="4"/>
      <c r="M946" t="s">
        <v>681</v>
      </c>
      <c r="N946" s="5">
        <v>30833904</v>
      </c>
      <c r="O946" s="5">
        <v>55409</v>
      </c>
      <c r="P946" s="5">
        <v>10528</v>
      </c>
      <c r="Q946" s="5">
        <v>65937</v>
      </c>
    </row>
    <row r="947" spans="1:17" x14ac:dyDescent="0.25">
      <c r="A947" t="s">
        <v>496</v>
      </c>
      <c r="B947" t="s">
        <v>494</v>
      </c>
      <c r="C947">
        <v>91546000</v>
      </c>
      <c r="D947">
        <v>26</v>
      </c>
      <c r="E947">
        <v>4501463141</v>
      </c>
      <c r="F947" t="s">
        <v>620</v>
      </c>
      <c r="G947" s="1">
        <v>45224</v>
      </c>
      <c r="H947">
        <v>5409005</v>
      </c>
      <c r="I947">
        <v>3</v>
      </c>
      <c r="J947" t="s">
        <v>291</v>
      </c>
      <c r="K947" s="8" t="s">
        <v>742</v>
      </c>
      <c r="L947" s="4"/>
      <c r="M947" t="s">
        <v>681</v>
      </c>
      <c r="N947" s="5">
        <v>30833898</v>
      </c>
      <c r="O947" s="5">
        <v>249852</v>
      </c>
      <c r="P947" s="5">
        <v>47472</v>
      </c>
      <c r="Q947" s="5">
        <v>301431</v>
      </c>
    </row>
    <row r="948" spans="1:17" x14ac:dyDescent="0.25">
      <c r="F948" t="s">
        <v>533</v>
      </c>
      <c r="K948" t="s">
        <v>681</v>
      </c>
      <c r="L948" s="4"/>
      <c r="M948" t="s">
        <v>681</v>
      </c>
      <c r="N948" s="5"/>
      <c r="O948" s="5">
        <v>1694464</v>
      </c>
      <c r="P948" s="5">
        <v>321948</v>
      </c>
      <c r="Q948" s="5">
        <v>2020519</v>
      </c>
    </row>
    <row r="949" spans="1:17" x14ac:dyDescent="0.25">
      <c r="A949" t="s">
        <v>621</v>
      </c>
      <c r="B949" t="s">
        <v>502</v>
      </c>
      <c r="C949">
        <v>91637000</v>
      </c>
      <c r="D949">
        <v>63</v>
      </c>
      <c r="E949">
        <v>4100187692</v>
      </c>
      <c r="F949" t="s">
        <v>622</v>
      </c>
      <c r="G949" s="1">
        <v>45222</v>
      </c>
      <c r="H949">
        <v>5408011</v>
      </c>
      <c r="I949">
        <v>96</v>
      </c>
      <c r="J949" t="s">
        <v>140</v>
      </c>
      <c r="K949" s="8" t="s">
        <v>742</v>
      </c>
      <c r="L949" s="4" t="s">
        <v>75</v>
      </c>
      <c r="M949" t="s">
        <v>681</v>
      </c>
      <c r="N949" s="5">
        <v>30827352</v>
      </c>
      <c r="O949" s="5">
        <v>82250</v>
      </c>
      <c r="P949" s="5">
        <v>15628</v>
      </c>
      <c r="Q949" s="5">
        <v>97878</v>
      </c>
    </row>
    <row r="950" spans="1:17" x14ac:dyDescent="0.25">
      <c r="F950" t="s">
        <v>495</v>
      </c>
      <c r="K950" t="s">
        <v>681</v>
      </c>
      <c r="L950" s="4"/>
      <c r="M950" t="s">
        <v>681</v>
      </c>
      <c r="N950" s="5"/>
      <c r="O950" s="5">
        <v>82250</v>
      </c>
      <c r="P950" s="5">
        <v>15628</v>
      </c>
      <c r="Q950" s="5">
        <v>97878</v>
      </c>
    </row>
    <row r="951" spans="1:17" x14ac:dyDescent="0.25">
      <c r="C951">
        <v>91650000</v>
      </c>
      <c r="D951">
        <v>0</v>
      </c>
      <c r="E951" t="s">
        <v>712</v>
      </c>
      <c r="F951" t="s">
        <v>713</v>
      </c>
      <c r="G951" s="1">
        <v>45217</v>
      </c>
      <c r="H951">
        <v>5406116</v>
      </c>
      <c r="I951">
        <v>344</v>
      </c>
      <c r="J951" t="s">
        <v>301</v>
      </c>
      <c r="K951" s="8" t="s">
        <v>742</v>
      </c>
      <c r="L951" s="4"/>
      <c r="M951" t="s">
        <v>681</v>
      </c>
      <c r="N951" s="5">
        <v>30806259</v>
      </c>
      <c r="O951" s="5">
        <v>209444</v>
      </c>
      <c r="P951" s="5">
        <v>39794</v>
      </c>
      <c r="Q951" s="5">
        <v>249238</v>
      </c>
    </row>
    <row r="952" spans="1:17" x14ac:dyDescent="0.25">
      <c r="C952">
        <v>91650000</v>
      </c>
      <c r="D952">
        <v>0</v>
      </c>
      <c r="E952" t="s">
        <v>712</v>
      </c>
      <c r="F952" t="s">
        <v>713</v>
      </c>
      <c r="G952" s="1">
        <v>45224</v>
      </c>
      <c r="H952">
        <v>5408963</v>
      </c>
      <c r="I952">
        <v>344</v>
      </c>
      <c r="J952" t="s">
        <v>301</v>
      </c>
      <c r="K952" s="8" t="s">
        <v>742</v>
      </c>
      <c r="L952" s="4"/>
      <c r="M952" t="s">
        <v>681</v>
      </c>
      <c r="N952" s="5">
        <v>30832667</v>
      </c>
      <c r="O952" s="5">
        <v>30888</v>
      </c>
      <c r="P952" s="5">
        <v>5869</v>
      </c>
      <c r="Q952" s="5">
        <v>36757</v>
      </c>
    </row>
    <row r="953" spans="1:17" x14ac:dyDescent="0.25">
      <c r="F953" t="s">
        <v>497</v>
      </c>
      <c r="K953" t="s">
        <v>681</v>
      </c>
      <c r="L953" s="4"/>
      <c r="M953" t="s">
        <v>681</v>
      </c>
      <c r="N953" s="5"/>
      <c r="O953" s="5">
        <v>240332</v>
      </c>
      <c r="P953" s="5">
        <v>45663</v>
      </c>
      <c r="Q953" s="5">
        <v>285995</v>
      </c>
    </row>
    <row r="954" spans="1:17" x14ac:dyDescent="0.25">
      <c r="A954" t="s">
        <v>503</v>
      </c>
      <c r="B954" t="s">
        <v>509</v>
      </c>
      <c r="C954">
        <v>91915000</v>
      </c>
      <c r="D954">
        <v>32</v>
      </c>
      <c r="E954">
        <v>4501901380</v>
      </c>
      <c r="F954" t="s">
        <v>623</v>
      </c>
      <c r="G954" s="1">
        <v>45201</v>
      </c>
      <c r="H954">
        <v>5395170</v>
      </c>
      <c r="I954">
        <v>132</v>
      </c>
      <c r="J954" t="s">
        <v>416</v>
      </c>
      <c r="K954" s="8" t="s">
        <v>742</v>
      </c>
      <c r="L954" s="4"/>
      <c r="M954" t="s">
        <v>681</v>
      </c>
      <c r="N954" s="5">
        <v>30766675</v>
      </c>
      <c r="O954" s="5">
        <v>158284</v>
      </c>
      <c r="P954" s="5">
        <v>30074</v>
      </c>
      <c r="Q954" s="5">
        <v>188358</v>
      </c>
    </row>
    <row r="955" spans="1:17" x14ac:dyDescent="0.25">
      <c r="A955" t="s">
        <v>503</v>
      </c>
      <c r="B955" t="s">
        <v>509</v>
      </c>
      <c r="C955">
        <v>91915000</v>
      </c>
      <c r="D955">
        <v>5</v>
      </c>
      <c r="E955">
        <v>4501711823</v>
      </c>
      <c r="F955" t="s">
        <v>623</v>
      </c>
      <c r="G955" s="1">
        <v>45203</v>
      </c>
      <c r="H955">
        <v>5397451</v>
      </c>
      <c r="I955">
        <v>132</v>
      </c>
      <c r="J955" t="s">
        <v>416</v>
      </c>
      <c r="K955" s="8" t="s">
        <v>742</v>
      </c>
      <c r="L955" s="4"/>
      <c r="M955" t="s">
        <v>681</v>
      </c>
      <c r="N955" s="5">
        <v>30776274</v>
      </c>
      <c r="O955" s="5">
        <v>927925</v>
      </c>
      <c r="P955" s="5">
        <v>176306</v>
      </c>
      <c r="Q955" s="5">
        <v>1104231</v>
      </c>
    </row>
    <row r="956" spans="1:17" x14ac:dyDescent="0.25">
      <c r="A956" t="s">
        <v>503</v>
      </c>
      <c r="B956" t="s">
        <v>509</v>
      </c>
      <c r="C956">
        <v>91915000</v>
      </c>
      <c r="D956">
        <v>10</v>
      </c>
      <c r="E956">
        <v>30782815</v>
      </c>
      <c r="F956" t="s">
        <v>623</v>
      </c>
      <c r="G956" s="1">
        <v>45205</v>
      </c>
      <c r="H956">
        <v>5398614</v>
      </c>
      <c r="I956">
        <v>132</v>
      </c>
      <c r="J956" t="s">
        <v>416</v>
      </c>
      <c r="K956" s="8" t="s">
        <v>742</v>
      </c>
      <c r="L956" s="4"/>
      <c r="M956" t="s">
        <v>681</v>
      </c>
      <c r="N956" s="5">
        <v>30782815</v>
      </c>
      <c r="O956" s="5">
        <v>166701</v>
      </c>
      <c r="P956" s="5">
        <v>31673</v>
      </c>
      <c r="Q956" s="5">
        <v>198374</v>
      </c>
    </row>
    <row r="957" spans="1:17" x14ac:dyDescent="0.25">
      <c r="A957" t="s">
        <v>503</v>
      </c>
      <c r="B957" t="s">
        <v>509</v>
      </c>
      <c r="C957">
        <v>91915000</v>
      </c>
      <c r="D957">
        <v>32</v>
      </c>
      <c r="E957">
        <v>4501901380</v>
      </c>
      <c r="F957" t="s">
        <v>623</v>
      </c>
      <c r="G957" s="1">
        <v>45205</v>
      </c>
      <c r="H957">
        <v>5398905</v>
      </c>
      <c r="I957">
        <v>132</v>
      </c>
      <c r="J957" t="s">
        <v>416</v>
      </c>
      <c r="K957" s="8" t="s">
        <v>742</v>
      </c>
      <c r="L957" s="4"/>
      <c r="M957" t="s">
        <v>681</v>
      </c>
      <c r="N957" s="5">
        <v>30786641</v>
      </c>
      <c r="O957" s="5">
        <v>25331</v>
      </c>
      <c r="P957" s="5">
        <v>4813</v>
      </c>
      <c r="Q957" s="5">
        <v>30144</v>
      </c>
    </row>
    <row r="958" spans="1:17" x14ac:dyDescent="0.25">
      <c r="A958" t="s">
        <v>503</v>
      </c>
      <c r="B958" t="s">
        <v>509</v>
      </c>
      <c r="C958">
        <v>91915000</v>
      </c>
      <c r="D958">
        <v>5</v>
      </c>
      <c r="E958">
        <v>4501711823</v>
      </c>
      <c r="F958" t="s">
        <v>623</v>
      </c>
      <c r="G958" s="1">
        <v>45211</v>
      </c>
      <c r="H958">
        <v>5402944</v>
      </c>
      <c r="I958">
        <v>132</v>
      </c>
      <c r="J958" t="s">
        <v>416</v>
      </c>
      <c r="K958" s="8" t="s">
        <v>742</v>
      </c>
      <c r="L958" s="4"/>
      <c r="M958" t="s">
        <v>681</v>
      </c>
      <c r="N958" s="5">
        <v>30801103</v>
      </c>
      <c r="O958" s="5">
        <v>747184</v>
      </c>
      <c r="P958" s="5">
        <v>141965</v>
      </c>
      <c r="Q958" s="5">
        <v>889149</v>
      </c>
    </row>
    <row r="959" spans="1:17" x14ac:dyDescent="0.25">
      <c r="A959" t="s">
        <v>503</v>
      </c>
      <c r="B959" t="s">
        <v>509</v>
      </c>
      <c r="C959">
        <v>91915000</v>
      </c>
      <c r="D959">
        <v>5</v>
      </c>
      <c r="E959">
        <v>30801087</v>
      </c>
      <c r="F959" t="s">
        <v>623</v>
      </c>
      <c r="G959" s="1">
        <v>45211</v>
      </c>
      <c r="H959">
        <v>5403237</v>
      </c>
      <c r="I959">
        <v>132</v>
      </c>
      <c r="J959" t="s">
        <v>416</v>
      </c>
      <c r="K959" s="8" t="s">
        <v>742</v>
      </c>
      <c r="L959" s="4"/>
      <c r="M959" t="s">
        <v>681</v>
      </c>
      <c r="N959" s="5">
        <v>30801087</v>
      </c>
      <c r="O959" s="5">
        <v>245710</v>
      </c>
      <c r="P959" s="5">
        <v>46685</v>
      </c>
      <c r="Q959" s="5">
        <v>292395</v>
      </c>
    </row>
    <row r="960" spans="1:17" x14ac:dyDescent="0.25">
      <c r="A960" t="s">
        <v>503</v>
      </c>
      <c r="B960" t="s">
        <v>509</v>
      </c>
      <c r="C960">
        <v>91915000</v>
      </c>
      <c r="D960">
        <v>626</v>
      </c>
      <c r="E960">
        <v>4800859063</v>
      </c>
      <c r="F960" t="s">
        <v>623</v>
      </c>
      <c r="G960" s="1">
        <v>45212</v>
      </c>
      <c r="H960">
        <v>5403690</v>
      </c>
      <c r="I960">
        <v>132</v>
      </c>
      <c r="J960" t="s">
        <v>416</v>
      </c>
      <c r="K960" s="8" t="s">
        <v>742</v>
      </c>
      <c r="L960" s="4"/>
      <c r="M960" t="s">
        <v>681</v>
      </c>
      <c r="N960" s="5">
        <v>30805382</v>
      </c>
      <c r="O960" s="5">
        <v>33429</v>
      </c>
      <c r="P960" s="5">
        <v>6352</v>
      </c>
      <c r="Q960" s="5">
        <v>39781</v>
      </c>
    </row>
    <row r="961" spans="1:17" x14ac:dyDescent="0.25">
      <c r="A961" t="s">
        <v>503</v>
      </c>
      <c r="B961" t="s">
        <v>509</v>
      </c>
      <c r="C961">
        <v>91915000</v>
      </c>
      <c r="D961">
        <v>8344</v>
      </c>
      <c r="E961">
        <v>4502209131</v>
      </c>
      <c r="F961" t="s">
        <v>623</v>
      </c>
      <c r="G961" s="1">
        <v>45215</v>
      </c>
      <c r="H961">
        <v>5404531</v>
      </c>
      <c r="I961">
        <v>132</v>
      </c>
      <c r="J961" t="s">
        <v>416</v>
      </c>
      <c r="K961" s="8" t="s">
        <v>742</v>
      </c>
      <c r="L961" s="4"/>
      <c r="M961" t="s">
        <v>681</v>
      </c>
      <c r="N961" s="5">
        <v>30807078</v>
      </c>
      <c r="O961" s="5">
        <v>279144</v>
      </c>
      <c r="P961" s="5">
        <v>53037</v>
      </c>
      <c r="Q961" s="5">
        <v>332181</v>
      </c>
    </row>
    <row r="962" spans="1:17" x14ac:dyDescent="0.25">
      <c r="A962" t="s">
        <v>503</v>
      </c>
      <c r="B962" t="s">
        <v>509</v>
      </c>
      <c r="C962">
        <v>91915000</v>
      </c>
      <c r="D962">
        <v>8344</v>
      </c>
      <c r="E962">
        <v>4502209131</v>
      </c>
      <c r="F962" t="s">
        <v>623</v>
      </c>
      <c r="G962" s="1">
        <v>45215</v>
      </c>
      <c r="H962">
        <v>5404536</v>
      </c>
      <c r="I962">
        <v>132</v>
      </c>
      <c r="J962" t="s">
        <v>416</v>
      </c>
      <c r="K962" s="8" t="s">
        <v>742</v>
      </c>
      <c r="L962" s="4"/>
      <c r="M962" t="s">
        <v>681</v>
      </c>
      <c r="N962" s="5">
        <v>30807012</v>
      </c>
      <c r="O962" s="5">
        <v>62200</v>
      </c>
      <c r="P962" s="5">
        <v>11818</v>
      </c>
      <c r="Q962" s="5">
        <v>74018</v>
      </c>
    </row>
    <row r="963" spans="1:17" x14ac:dyDescent="0.25">
      <c r="A963" t="s">
        <v>503</v>
      </c>
      <c r="B963" t="s">
        <v>509</v>
      </c>
      <c r="C963">
        <v>91915000</v>
      </c>
      <c r="D963">
        <v>5</v>
      </c>
      <c r="E963">
        <v>4501711823</v>
      </c>
      <c r="F963" t="s">
        <v>623</v>
      </c>
      <c r="G963" s="1">
        <v>45216</v>
      </c>
      <c r="H963">
        <v>5405399</v>
      </c>
      <c r="I963">
        <v>132</v>
      </c>
      <c r="J963" t="s">
        <v>416</v>
      </c>
      <c r="K963" s="8" t="s">
        <v>742</v>
      </c>
      <c r="L963" s="4"/>
      <c r="M963" t="s">
        <v>681</v>
      </c>
      <c r="N963" s="5">
        <v>30811223</v>
      </c>
      <c r="O963" s="5">
        <v>34728</v>
      </c>
      <c r="P963" s="5">
        <v>6598</v>
      </c>
      <c r="Q963" s="5">
        <v>41326</v>
      </c>
    </row>
    <row r="964" spans="1:17" x14ac:dyDescent="0.25">
      <c r="A964" t="s">
        <v>503</v>
      </c>
      <c r="B964" t="s">
        <v>509</v>
      </c>
      <c r="C964">
        <v>91915000</v>
      </c>
      <c r="D964">
        <v>400</v>
      </c>
      <c r="E964">
        <v>30814958</v>
      </c>
      <c r="F964" t="s">
        <v>623</v>
      </c>
      <c r="G964" s="1">
        <v>45217</v>
      </c>
      <c r="H964">
        <v>5406000</v>
      </c>
      <c r="I964">
        <v>132</v>
      </c>
      <c r="J964" t="s">
        <v>416</v>
      </c>
      <c r="K964" s="8" t="s">
        <v>742</v>
      </c>
      <c r="L964" s="4"/>
      <c r="M964" t="s">
        <v>681</v>
      </c>
      <c r="N964" s="5">
        <v>30814958</v>
      </c>
      <c r="O964" s="5">
        <v>136555</v>
      </c>
      <c r="P964" s="5">
        <v>25945</v>
      </c>
      <c r="Q964" s="5">
        <v>162500</v>
      </c>
    </row>
    <row r="965" spans="1:17" x14ac:dyDescent="0.25">
      <c r="A965" t="s">
        <v>503</v>
      </c>
      <c r="B965" t="s">
        <v>509</v>
      </c>
      <c r="C965">
        <v>91915000</v>
      </c>
      <c r="D965">
        <v>5</v>
      </c>
      <c r="E965">
        <v>4501711823</v>
      </c>
      <c r="F965" t="s">
        <v>623</v>
      </c>
      <c r="G965" s="1">
        <v>45218</v>
      </c>
      <c r="H965">
        <v>5406476</v>
      </c>
      <c r="I965">
        <v>132</v>
      </c>
      <c r="J965" t="s">
        <v>416</v>
      </c>
      <c r="K965" s="8" t="s">
        <v>742</v>
      </c>
      <c r="L965" s="4"/>
      <c r="M965" t="s">
        <v>681</v>
      </c>
      <c r="N965" s="5">
        <v>30818969</v>
      </c>
      <c r="O965" s="5">
        <v>451722</v>
      </c>
      <c r="P965" s="5">
        <v>85827</v>
      </c>
      <c r="Q965" s="5">
        <v>537549</v>
      </c>
    </row>
    <row r="966" spans="1:17" x14ac:dyDescent="0.25">
      <c r="A966" t="s">
        <v>503</v>
      </c>
      <c r="B966" t="s">
        <v>509</v>
      </c>
      <c r="C966">
        <v>91915000</v>
      </c>
      <c r="D966">
        <v>8344</v>
      </c>
      <c r="E966">
        <v>4502209131</v>
      </c>
      <c r="F966" t="s">
        <v>623</v>
      </c>
      <c r="G966" s="1">
        <v>45219</v>
      </c>
      <c r="H966">
        <v>5407036</v>
      </c>
      <c r="I966">
        <v>132</v>
      </c>
      <c r="J966" t="s">
        <v>416</v>
      </c>
      <c r="K966" s="8" t="s">
        <v>742</v>
      </c>
      <c r="L966" s="4"/>
      <c r="M966" t="s">
        <v>681</v>
      </c>
      <c r="N966" s="5">
        <v>30823180</v>
      </c>
      <c r="O966" s="5">
        <v>2702132</v>
      </c>
      <c r="P966" s="5">
        <v>513405</v>
      </c>
      <c r="Q966" s="5">
        <v>3215537</v>
      </c>
    </row>
    <row r="967" spans="1:17" x14ac:dyDescent="0.25">
      <c r="A967" t="s">
        <v>503</v>
      </c>
      <c r="B967" t="s">
        <v>509</v>
      </c>
      <c r="C967">
        <v>91915000</v>
      </c>
      <c r="D967">
        <v>8344</v>
      </c>
      <c r="E967">
        <v>4502209131</v>
      </c>
      <c r="F967" t="s">
        <v>623</v>
      </c>
      <c r="G967" s="1">
        <v>45219</v>
      </c>
      <c r="H967">
        <v>5407037</v>
      </c>
      <c r="I967">
        <v>132</v>
      </c>
      <c r="J967" t="s">
        <v>416</v>
      </c>
      <c r="K967" s="8" t="s">
        <v>742</v>
      </c>
      <c r="L967" s="4"/>
      <c r="M967" t="s">
        <v>681</v>
      </c>
      <c r="N967" s="5">
        <v>30823180</v>
      </c>
      <c r="O967" s="5">
        <v>544661</v>
      </c>
      <c r="P967" s="5">
        <v>103486</v>
      </c>
      <c r="Q967" s="5">
        <v>648147</v>
      </c>
    </row>
    <row r="968" spans="1:17" x14ac:dyDescent="0.25">
      <c r="A968" t="s">
        <v>503</v>
      </c>
      <c r="B968" t="s">
        <v>509</v>
      </c>
      <c r="C968">
        <v>91915000</v>
      </c>
      <c r="D968">
        <v>8344</v>
      </c>
      <c r="E968">
        <v>4502209131</v>
      </c>
      <c r="F968" t="s">
        <v>623</v>
      </c>
      <c r="G968" s="1">
        <v>45223</v>
      </c>
      <c r="H968">
        <v>5408259</v>
      </c>
      <c r="I968">
        <v>132</v>
      </c>
      <c r="J968" t="s">
        <v>416</v>
      </c>
      <c r="K968" s="8" t="s">
        <v>742</v>
      </c>
      <c r="L968" s="4"/>
      <c r="M968" t="s">
        <v>681</v>
      </c>
      <c r="N968" s="5">
        <v>30823140</v>
      </c>
      <c r="O968" s="5">
        <v>445480</v>
      </c>
      <c r="P968" s="5">
        <v>84641</v>
      </c>
      <c r="Q968" s="5">
        <v>530121</v>
      </c>
    </row>
    <row r="969" spans="1:17" x14ac:dyDescent="0.25">
      <c r="A969" t="s">
        <v>503</v>
      </c>
      <c r="B969" t="s">
        <v>509</v>
      </c>
      <c r="C969">
        <v>91915000</v>
      </c>
      <c r="D969">
        <v>32</v>
      </c>
      <c r="E969">
        <v>4501901380</v>
      </c>
      <c r="F969" t="s">
        <v>623</v>
      </c>
      <c r="G969" s="1">
        <v>45223</v>
      </c>
      <c r="H969">
        <v>5408379</v>
      </c>
      <c r="I969">
        <v>132</v>
      </c>
      <c r="J969" t="s">
        <v>416</v>
      </c>
      <c r="K969" s="8" t="s">
        <v>742</v>
      </c>
      <c r="L969" s="4"/>
      <c r="M969" t="s">
        <v>681</v>
      </c>
      <c r="N969" s="5">
        <v>30829556</v>
      </c>
      <c r="O969" s="5">
        <v>185653</v>
      </c>
      <c r="P969" s="5">
        <v>35274</v>
      </c>
      <c r="Q969" s="5">
        <v>220927</v>
      </c>
    </row>
    <row r="970" spans="1:17" x14ac:dyDescent="0.25">
      <c r="A970" t="s">
        <v>503</v>
      </c>
      <c r="B970" t="s">
        <v>509</v>
      </c>
      <c r="C970">
        <v>91915000</v>
      </c>
      <c r="D970">
        <v>32</v>
      </c>
      <c r="E970">
        <v>4501901380</v>
      </c>
      <c r="F970" t="s">
        <v>623</v>
      </c>
      <c r="G970" s="1">
        <v>45223</v>
      </c>
      <c r="H970">
        <v>5408380</v>
      </c>
      <c r="I970">
        <v>132</v>
      </c>
      <c r="J970" t="s">
        <v>416</v>
      </c>
      <c r="K970" s="8" t="s">
        <v>742</v>
      </c>
      <c r="L970" s="4"/>
      <c r="M970" t="s">
        <v>681</v>
      </c>
      <c r="N970" s="5">
        <v>30829545</v>
      </c>
      <c r="O970" s="5">
        <v>79677</v>
      </c>
      <c r="P970" s="5">
        <v>15139</v>
      </c>
      <c r="Q970" s="5">
        <v>94816</v>
      </c>
    </row>
    <row r="971" spans="1:17" x14ac:dyDescent="0.25">
      <c r="A971" t="s">
        <v>503</v>
      </c>
      <c r="B971" t="s">
        <v>509</v>
      </c>
      <c r="C971">
        <v>91915000</v>
      </c>
      <c r="D971">
        <v>5</v>
      </c>
      <c r="E971">
        <v>4501711823</v>
      </c>
      <c r="F971" t="s">
        <v>623</v>
      </c>
      <c r="G971" s="1">
        <v>45223</v>
      </c>
      <c r="H971">
        <v>5408477</v>
      </c>
      <c r="I971">
        <v>132</v>
      </c>
      <c r="J971" t="s">
        <v>416</v>
      </c>
      <c r="K971" s="8" t="s">
        <v>742</v>
      </c>
      <c r="L971" s="4"/>
      <c r="M971" t="s">
        <v>681</v>
      </c>
      <c r="N971" s="5">
        <v>30830365</v>
      </c>
      <c r="O971" s="5">
        <v>1263472</v>
      </c>
      <c r="P971" s="5">
        <v>240060</v>
      </c>
      <c r="Q971" s="5">
        <v>1503532</v>
      </c>
    </row>
    <row r="972" spans="1:17" x14ac:dyDescent="0.25">
      <c r="A972" t="s">
        <v>503</v>
      </c>
      <c r="B972" t="s">
        <v>509</v>
      </c>
      <c r="C972">
        <v>91915000</v>
      </c>
      <c r="D972">
        <v>5</v>
      </c>
      <c r="E972">
        <v>4501711823</v>
      </c>
      <c r="F972" t="s">
        <v>623</v>
      </c>
      <c r="G972" s="1">
        <v>45224</v>
      </c>
      <c r="H972">
        <v>5408643</v>
      </c>
      <c r="I972">
        <v>132</v>
      </c>
      <c r="J972" t="s">
        <v>416</v>
      </c>
      <c r="K972" s="8" t="s">
        <v>742</v>
      </c>
      <c r="L972" s="4"/>
      <c r="M972" t="s">
        <v>681</v>
      </c>
      <c r="N972" s="5">
        <v>30831525</v>
      </c>
      <c r="O972" s="5">
        <v>752320</v>
      </c>
      <c r="P972" s="5">
        <v>142941</v>
      </c>
      <c r="Q972" s="5">
        <v>895261</v>
      </c>
    </row>
    <row r="973" spans="1:17" x14ac:dyDescent="0.25">
      <c r="A973" t="s">
        <v>503</v>
      </c>
      <c r="B973" t="s">
        <v>509</v>
      </c>
      <c r="C973">
        <v>91915000</v>
      </c>
      <c r="D973">
        <v>700</v>
      </c>
      <c r="E973">
        <v>4501765737</v>
      </c>
      <c r="F973" t="s">
        <v>623</v>
      </c>
      <c r="G973" s="1">
        <v>45224</v>
      </c>
      <c r="H973">
        <v>5408767</v>
      </c>
      <c r="I973">
        <v>132</v>
      </c>
      <c r="J973" t="s">
        <v>416</v>
      </c>
      <c r="K973" s="8" t="s">
        <v>742</v>
      </c>
      <c r="L973" s="4"/>
      <c r="M973" t="s">
        <v>681</v>
      </c>
      <c r="N973" s="5">
        <v>30832308</v>
      </c>
      <c r="O973" s="5">
        <v>230740</v>
      </c>
      <c r="P973" s="5">
        <v>43841</v>
      </c>
      <c r="Q973" s="5">
        <v>274581</v>
      </c>
    </row>
    <row r="974" spans="1:17" x14ac:dyDescent="0.25">
      <c r="A974" t="s">
        <v>503</v>
      </c>
      <c r="B974" t="s">
        <v>509</v>
      </c>
      <c r="C974">
        <v>91915000</v>
      </c>
      <c r="D974">
        <v>38</v>
      </c>
      <c r="E974">
        <v>30840689</v>
      </c>
      <c r="F974" t="s">
        <v>623</v>
      </c>
      <c r="G974" s="1">
        <v>45229</v>
      </c>
      <c r="H974">
        <v>5410072</v>
      </c>
      <c r="I974">
        <v>132</v>
      </c>
      <c r="J974" t="s">
        <v>416</v>
      </c>
      <c r="K974" s="8" t="s">
        <v>742</v>
      </c>
      <c r="L974" s="4"/>
      <c r="M974" t="s">
        <v>681</v>
      </c>
      <c r="N974" s="5">
        <v>30840689</v>
      </c>
      <c r="O974" s="5">
        <v>427022</v>
      </c>
      <c r="P974" s="5">
        <v>81134</v>
      </c>
      <c r="Q974" s="5">
        <v>508156</v>
      </c>
    </row>
    <row r="975" spans="1:17" x14ac:dyDescent="0.25">
      <c r="A975" t="s">
        <v>503</v>
      </c>
      <c r="B975" t="s">
        <v>509</v>
      </c>
      <c r="C975">
        <v>91915000</v>
      </c>
      <c r="D975">
        <v>5</v>
      </c>
      <c r="E975">
        <v>4501711823</v>
      </c>
      <c r="F975" t="s">
        <v>623</v>
      </c>
      <c r="G975" s="1">
        <v>45230</v>
      </c>
      <c r="H975">
        <v>5410222</v>
      </c>
      <c r="I975">
        <v>132</v>
      </c>
      <c r="J975" t="s">
        <v>416</v>
      </c>
      <c r="K975" s="8" t="s">
        <v>742</v>
      </c>
      <c r="L975" s="4"/>
      <c r="M975" t="s">
        <v>681</v>
      </c>
      <c r="N975" s="5">
        <v>30841776</v>
      </c>
      <c r="O975" s="5">
        <v>2918000</v>
      </c>
      <c r="P975" s="5">
        <v>554420</v>
      </c>
      <c r="Q975" s="5">
        <v>3472420</v>
      </c>
    </row>
    <row r="976" spans="1:17" x14ac:dyDescent="0.25">
      <c r="A976" t="s">
        <v>503</v>
      </c>
      <c r="B976" t="s">
        <v>509</v>
      </c>
      <c r="C976">
        <v>91915000</v>
      </c>
      <c r="D976">
        <v>8344</v>
      </c>
      <c r="E976">
        <v>4502209131</v>
      </c>
      <c r="F976" t="s">
        <v>623</v>
      </c>
      <c r="G976" s="1">
        <v>45230</v>
      </c>
      <c r="H976">
        <v>5410245</v>
      </c>
      <c r="I976">
        <v>132</v>
      </c>
      <c r="J976" t="s">
        <v>416</v>
      </c>
      <c r="K976" s="8" t="s">
        <v>742</v>
      </c>
      <c r="L976" s="4"/>
      <c r="M976" t="s">
        <v>681</v>
      </c>
      <c r="N976" s="5">
        <v>30841671</v>
      </c>
      <c r="O976" s="5">
        <v>187719</v>
      </c>
      <c r="P976" s="5">
        <v>35667</v>
      </c>
      <c r="Q976" s="5">
        <v>223386</v>
      </c>
    </row>
    <row r="977" spans="1:17" x14ac:dyDescent="0.25">
      <c r="F977" t="s">
        <v>636</v>
      </c>
      <c r="K977" t="s">
        <v>681</v>
      </c>
      <c r="L977" s="4"/>
      <c r="M977" t="s">
        <v>681</v>
      </c>
      <c r="N977" s="5"/>
      <c r="O977" s="5">
        <v>13005789</v>
      </c>
      <c r="P977" s="5">
        <v>2471101</v>
      </c>
      <c r="Q977" s="5">
        <v>15476890</v>
      </c>
    </row>
    <row r="978" spans="1:17" x14ac:dyDescent="0.25">
      <c r="A978" t="s">
        <v>496</v>
      </c>
      <c r="B978" t="s">
        <v>494</v>
      </c>
      <c r="C978">
        <v>92117000</v>
      </c>
      <c r="D978">
        <v>100</v>
      </c>
      <c r="E978">
        <v>4300119352</v>
      </c>
      <c r="F978" t="s">
        <v>624</v>
      </c>
      <c r="G978" s="1">
        <v>45201</v>
      </c>
      <c r="H978">
        <v>5395097</v>
      </c>
      <c r="I978">
        <v>3</v>
      </c>
      <c r="J978" t="s">
        <v>291</v>
      </c>
      <c r="K978" s="8" t="s">
        <v>742</v>
      </c>
      <c r="L978" s="4" t="s">
        <v>6</v>
      </c>
      <c r="M978" t="s">
        <v>681</v>
      </c>
      <c r="N978" s="5">
        <v>30746610</v>
      </c>
      <c r="O978" s="5">
        <v>158346</v>
      </c>
      <c r="P978" s="5">
        <v>30086</v>
      </c>
      <c r="Q978" s="5">
        <v>188432</v>
      </c>
    </row>
    <row r="979" spans="1:17" x14ac:dyDescent="0.25">
      <c r="A979" t="s">
        <v>496</v>
      </c>
      <c r="B979" t="s">
        <v>494</v>
      </c>
      <c r="C979">
        <v>92117000</v>
      </c>
      <c r="D979">
        <v>0</v>
      </c>
      <c r="E979">
        <v>4300119260</v>
      </c>
      <c r="F979" t="s">
        <v>624</v>
      </c>
      <c r="G979" s="1">
        <v>45201</v>
      </c>
      <c r="H979">
        <v>5395225</v>
      </c>
      <c r="I979">
        <v>3</v>
      </c>
      <c r="J979" t="s">
        <v>291</v>
      </c>
      <c r="K979" s="8" t="s">
        <v>742</v>
      </c>
      <c r="L979" s="4" t="s">
        <v>6</v>
      </c>
      <c r="M979" t="s">
        <v>681</v>
      </c>
      <c r="N979" s="5">
        <v>30754264</v>
      </c>
      <c r="O979" s="5">
        <v>422000</v>
      </c>
      <c r="P979" s="5">
        <v>80180</v>
      </c>
      <c r="Q979" s="5">
        <v>502180</v>
      </c>
    </row>
    <row r="980" spans="1:17" x14ac:dyDescent="0.25">
      <c r="A980" t="s">
        <v>496</v>
      </c>
      <c r="B980" t="s">
        <v>494</v>
      </c>
      <c r="C980">
        <v>92117000</v>
      </c>
      <c r="D980">
        <v>100</v>
      </c>
      <c r="E980">
        <v>4400070072</v>
      </c>
      <c r="F980" t="s">
        <v>624</v>
      </c>
      <c r="G980" s="1">
        <v>45225</v>
      </c>
      <c r="H980">
        <v>5409081</v>
      </c>
      <c r="I980">
        <v>3</v>
      </c>
      <c r="J980" t="s">
        <v>291</v>
      </c>
      <c r="K980" s="8" t="s">
        <v>742</v>
      </c>
      <c r="L980" s="4" t="s">
        <v>6</v>
      </c>
      <c r="M980" t="s">
        <v>681</v>
      </c>
      <c r="N980" s="5">
        <v>30827320</v>
      </c>
      <c r="O980" s="5">
        <v>55573</v>
      </c>
      <c r="P980" s="5">
        <v>10559</v>
      </c>
      <c r="Q980" s="5">
        <v>66132</v>
      </c>
    </row>
    <row r="981" spans="1:17" x14ac:dyDescent="0.25">
      <c r="F981" t="s">
        <v>500</v>
      </c>
      <c r="K981" t="s">
        <v>681</v>
      </c>
      <c r="L981" s="4"/>
      <c r="M981" t="s">
        <v>681</v>
      </c>
      <c r="N981" s="5"/>
      <c r="O981" s="5">
        <v>635919</v>
      </c>
      <c r="P981" s="5">
        <v>120825</v>
      </c>
      <c r="Q981" s="5">
        <v>756744</v>
      </c>
    </row>
    <row r="982" spans="1:17" x14ac:dyDescent="0.25">
      <c r="A982" t="s">
        <v>496</v>
      </c>
      <c r="B982" t="s">
        <v>494</v>
      </c>
      <c r="C982">
        <v>93458000</v>
      </c>
      <c r="D982">
        <v>5</v>
      </c>
      <c r="E982">
        <v>4506350528</v>
      </c>
      <c r="F982" t="s">
        <v>625</v>
      </c>
      <c r="G982" s="1">
        <v>45228</v>
      </c>
      <c r="H982">
        <v>5409496</v>
      </c>
      <c r="I982">
        <v>81</v>
      </c>
      <c r="J982" t="s">
        <v>144</v>
      </c>
      <c r="K982" s="8" t="s">
        <v>742</v>
      </c>
      <c r="L982" s="4" t="s">
        <v>6</v>
      </c>
      <c r="M982" t="s">
        <v>681</v>
      </c>
      <c r="N982" s="5">
        <v>30833169</v>
      </c>
      <c r="O982" s="5">
        <v>1076800</v>
      </c>
      <c r="P982" s="5">
        <v>204592</v>
      </c>
      <c r="Q982" s="5">
        <v>1281392</v>
      </c>
    </row>
    <row r="983" spans="1:17" x14ac:dyDescent="0.25">
      <c r="F983" t="s">
        <v>495</v>
      </c>
      <c r="K983" t="s">
        <v>681</v>
      </c>
      <c r="L983" s="4"/>
      <c r="M983" t="s">
        <v>681</v>
      </c>
      <c r="N983" s="5"/>
      <c r="O983" s="5">
        <v>1076800</v>
      </c>
      <c r="P983" s="5">
        <v>204592</v>
      </c>
      <c r="Q983" s="5">
        <v>1281392</v>
      </c>
    </row>
    <row r="984" spans="1:17" x14ac:dyDescent="0.25">
      <c r="A984" t="s">
        <v>496</v>
      </c>
      <c r="B984" t="s">
        <v>494</v>
      </c>
      <c r="C984">
        <v>93628000</v>
      </c>
      <c r="D984">
        <v>38</v>
      </c>
      <c r="E984">
        <v>30784045</v>
      </c>
      <c r="F984" t="s">
        <v>626</v>
      </c>
      <c r="G984" s="1">
        <v>45205</v>
      </c>
      <c r="H984">
        <v>5398735</v>
      </c>
      <c r="I984">
        <v>96</v>
      </c>
      <c r="J984" t="s">
        <v>140</v>
      </c>
      <c r="K984" s="8" t="s">
        <v>742</v>
      </c>
      <c r="L984" s="4" t="s">
        <v>827</v>
      </c>
      <c r="M984" t="s">
        <v>681</v>
      </c>
      <c r="N984" s="5">
        <v>30784045</v>
      </c>
      <c r="O984" s="5">
        <v>106475</v>
      </c>
      <c r="P984" s="5">
        <v>20230</v>
      </c>
      <c r="Q984" s="5">
        <v>126705</v>
      </c>
    </row>
    <row r="985" spans="1:17" x14ac:dyDescent="0.25">
      <c r="A985" t="s">
        <v>496</v>
      </c>
      <c r="B985" t="s">
        <v>494</v>
      </c>
      <c r="C985">
        <v>93628000</v>
      </c>
      <c r="D985">
        <v>43</v>
      </c>
      <c r="E985">
        <v>30810069</v>
      </c>
      <c r="F985" t="s">
        <v>626</v>
      </c>
      <c r="G985" s="1">
        <v>45215</v>
      </c>
      <c r="H985">
        <v>5405219</v>
      </c>
      <c r="I985">
        <v>96</v>
      </c>
      <c r="J985" t="s">
        <v>140</v>
      </c>
      <c r="K985" s="8" t="s">
        <v>742</v>
      </c>
      <c r="L985" s="4" t="s">
        <v>827</v>
      </c>
      <c r="M985" t="s">
        <v>681</v>
      </c>
      <c r="N985" s="5">
        <v>30810069</v>
      </c>
      <c r="O985" s="5">
        <v>27254</v>
      </c>
      <c r="P985" s="5">
        <v>5178</v>
      </c>
      <c r="Q985" s="5">
        <v>32432</v>
      </c>
    </row>
    <row r="986" spans="1:17" x14ac:dyDescent="0.25">
      <c r="A986" t="s">
        <v>496</v>
      </c>
      <c r="B986" t="s">
        <v>494</v>
      </c>
      <c r="C986">
        <v>93628000</v>
      </c>
      <c r="D986">
        <v>43</v>
      </c>
      <c r="E986">
        <v>30810051</v>
      </c>
      <c r="F986" t="s">
        <v>626</v>
      </c>
      <c r="G986" s="1">
        <v>45215</v>
      </c>
      <c r="H986">
        <v>5405334</v>
      </c>
      <c r="I986">
        <v>96</v>
      </c>
      <c r="J986" t="s">
        <v>140</v>
      </c>
      <c r="K986" s="8" t="s">
        <v>742</v>
      </c>
      <c r="L986" s="4" t="s">
        <v>827</v>
      </c>
      <c r="M986" t="s">
        <v>681</v>
      </c>
      <c r="N986" s="5">
        <v>30810051</v>
      </c>
      <c r="O986" s="5">
        <v>449850</v>
      </c>
      <c r="P986" s="5">
        <v>85472</v>
      </c>
      <c r="Q986" s="5">
        <v>535322</v>
      </c>
    </row>
    <row r="987" spans="1:17" x14ac:dyDescent="0.25">
      <c r="A987" t="s">
        <v>496</v>
      </c>
      <c r="B987" t="s">
        <v>494</v>
      </c>
      <c r="C987">
        <v>93628000</v>
      </c>
      <c r="D987">
        <v>3</v>
      </c>
      <c r="E987">
        <v>30819356</v>
      </c>
      <c r="F987" t="s">
        <v>626</v>
      </c>
      <c r="G987" s="1">
        <v>45218</v>
      </c>
      <c r="H987">
        <v>5406505</v>
      </c>
      <c r="I987">
        <v>96</v>
      </c>
      <c r="J987" t="s">
        <v>140</v>
      </c>
      <c r="K987" s="8" t="s">
        <v>742</v>
      </c>
      <c r="L987" s="4" t="s">
        <v>827</v>
      </c>
      <c r="M987" t="s">
        <v>681</v>
      </c>
      <c r="N987" s="5">
        <v>30819356</v>
      </c>
      <c r="O987" s="5">
        <v>30714</v>
      </c>
      <c r="P987" s="5">
        <v>5836</v>
      </c>
      <c r="Q987" s="5">
        <v>36550</v>
      </c>
    </row>
    <row r="988" spans="1:17" x14ac:dyDescent="0.25">
      <c r="A988" t="s">
        <v>496</v>
      </c>
      <c r="B988" t="s">
        <v>494</v>
      </c>
      <c r="C988">
        <v>93628000</v>
      </c>
      <c r="D988">
        <v>36</v>
      </c>
      <c r="E988">
        <v>30820786</v>
      </c>
      <c r="F988" t="s">
        <v>626</v>
      </c>
      <c r="G988" s="1">
        <v>45218</v>
      </c>
      <c r="H988">
        <v>5406704</v>
      </c>
      <c r="I988">
        <v>96</v>
      </c>
      <c r="J988" t="s">
        <v>140</v>
      </c>
      <c r="K988" s="8" t="s">
        <v>742</v>
      </c>
      <c r="L988" s="4" t="s">
        <v>827</v>
      </c>
      <c r="M988" t="s">
        <v>681</v>
      </c>
      <c r="N988" s="5">
        <v>30820786</v>
      </c>
      <c r="O988" s="5">
        <v>30714</v>
      </c>
      <c r="P988" s="5">
        <v>5836</v>
      </c>
      <c r="Q988" s="5">
        <v>36550</v>
      </c>
    </row>
    <row r="989" spans="1:17" x14ac:dyDescent="0.25">
      <c r="A989" t="s">
        <v>496</v>
      </c>
      <c r="B989" t="s">
        <v>494</v>
      </c>
      <c r="C989">
        <v>93628000</v>
      </c>
      <c r="D989">
        <v>43</v>
      </c>
      <c r="E989">
        <v>30821251</v>
      </c>
      <c r="F989" t="s">
        <v>626</v>
      </c>
      <c r="G989" s="1">
        <v>45218</v>
      </c>
      <c r="H989">
        <v>5406730</v>
      </c>
      <c r="I989">
        <v>96</v>
      </c>
      <c r="J989" t="s">
        <v>140</v>
      </c>
      <c r="K989" s="8" t="s">
        <v>742</v>
      </c>
      <c r="L989" s="4" t="s">
        <v>827</v>
      </c>
      <c r="M989" t="s">
        <v>681</v>
      </c>
      <c r="N989" s="5">
        <v>30821251</v>
      </c>
      <c r="O989" s="5">
        <v>41283</v>
      </c>
      <c r="P989" s="5">
        <v>7844</v>
      </c>
      <c r="Q989" s="5">
        <v>49127</v>
      </c>
    </row>
    <row r="990" spans="1:17" x14ac:dyDescent="0.25">
      <c r="F990" t="s">
        <v>523</v>
      </c>
      <c r="K990" t="s">
        <v>681</v>
      </c>
      <c r="L990" s="4"/>
      <c r="M990" t="s">
        <v>681</v>
      </c>
      <c r="N990" s="5"/>
      <c r="O990" s="5">
        <v>686290</v>
      </c>
      <c r="P990" s="5">
        <v>130396</v>
      </c>
      <c r="Q990" s="5">
        <v>816686</v>
      </c>
    </row>
    <row r="991" spans="1:17" x14ac:dyDescent="0.25">
      <c r="A991" t="s">
        <v>496</v>
      </c>
      <c r="B991" t="s">
        <v>494</v>
      </c>
      <c r="C991">
        <v>94528000</v>
      </c>
      <c r="D991">
        <v>119</v>
      </c>
      <c r="E991" t="s">
        <v>628</v>
      </c>
      <c r="F991" t="s">
        <v>627</v>
      </c>
      <c r="G991" s="1">
        <v>45209</v>
      </c>
      <c r="H991">
        <v>5400721</v>
      </c>
      <c r="I991">
        <v>17</v>
      </c>
      <c r="J991" t="s">
        <v>305</v>
      </c>
      <c r="K991" s="8" t="s">
        <v>742</v>
      </c>
      <c r="L991" s="4" t="s">
        <v>6</v>
      </c>
      <c r="M991" t="s">
        <v>681</v>
      </c>
      <c r="N991" s="5">
        <v>30792979</v>
      </c>
      <c r="O991" s="5">
        <v>285726</v>
      </c>
      <c r="P991" s="5">
        <v>54288</v>
      </c>
      <c r="Q991" s="5">
        <v>340014</v>
      </c>
    </row>
    <row r="992" spans="1:17" x14ac:dyDescent="0.25">
      <c r="A992" t="s">
        <v>496</v>
      </c>
      <c r="B992" t="s">
        <v>494</v>
      </c>
      <c r="C992">
        <v>94528000</v>
      </c>
      <c r="D992">
        <v>9</v>
      </c>
      <c r="E992" t="s">
        <v>629</v>
      </c>
      <c r="F992" t="s">
        <v>627</v>
      </c>
      <c r="G992" s="1">
        <v>45209</v>
      </c>
      <c r="H992">
        <v>5401074</v>
      </c>
      <c r="I992">
        <v>17</v>
      </c>
      <c r="J992" t="s">
        <v>305</v>
      </c>
      <c r="K992" s="8" t="s">
        <v>742</v>
      </c>
      <c r="L992" s="4" t="s">
        <v>6</v>
      </c>
      <c r="M992" t="s">
        <v>681</v>
      </c>
      <c r="N992" s="5">
        <v>30742108</v>
      </c>
      <c r="O992" s="5">
        <v>367894</v>
      </c>
      <c r="P992" s="5">
        <v>69900</v>
      </c>
      <c r="Q992" s="5">
        <v>437794</v>
      </c>
    </row>
    <row r="993" spans="1:17" x14ac:dyDescent="0.25">
      <c r="A993" t="s">
        <v>496</v>
      </c>
      <c r="B993" t="s">
        <v>494</v>
      </c>
      <c r="C993">
        <v>94528000</v>
      </c>
      <c r="D993">
        <v>24</v>
      </c>
      <c r="E993" t="s">
        <v>630</v>
      </c>
      <c r="F993" t="s">
        <v>627</v>
      </c>
      <c r="G993" s="1">
        <v>45209</v>
      </c>
      <c r="H993">
        <v>5401364</v>
      </c>
      <c r="I993">
        <v>17</v>
      </c>
      <c r="J993" t="s">
        <v>305</v>
      </c>
      <c r="K993" s="8" t="s">
        <v>742</v>
      </c>
      <c r="L993" s="4" t="s">
        <v>6</v>
      </c>
      <c r="M993" t="s">
        <v>681</v>
      </c>
      <c r="N993" s="5">
        <v>30735998</v>
      </c>
      <c r="O993" s="5">
        <v>815087</v>
      </c>
      <c r="P993" s="5">
        <v>154867</v>
      </c>
      <c r="Q993" s="5">
        <v>969954</v>
      </c>
    </row>
    <row r="994" spans="1:17" x14ac:dyDescent="0.25">
      <c r="A994" t="s">
        <v>496</v>
      </c>
      <c r="B994" t="s">
        <v>494</v>
      </c>
      <c r="C994">
        <v>94528000</v>
      </c>
      <c r="D994">
        <v>300</v>
      </c>
      <c r="E994" t="s">
        <v>714</v>
      </c>
      <c r="F994" t="s">
        <v>627</v>
      </c>
      <c r="G994" s="1">
        <v>45211</v>
      </c>
      <c r="H994">
        <v>5403183</v>
      </c>
      <c r="I994">
        <v>17</v>
      </c>
      <c r="J994" t="s">
        <v>305</v>
      </c>
      <c r="K994" s="8" t="s">
        <v>742</v>
      </c>
      <c r="L994" s="4" t="s">
        <v>6</v>
      </c>
      <c r="M994" t="s">
        <v>681</v>
      </c>
      <c r="N994" s="5">
        <v>30802424</v>
      </c>
      <c r="O994" s="5">
        <v>34786</v>
      </c>
      <c r="P994" s="5">
        <v>6609</v>
      </c>
      <c r="Q994" s="5">
        <v>41395</v>
      </c>
    </row>
    <row r="995" spans="1:17" x14ac:dyDescent="0.25">
      <c r="A995" t="s">
        <v>496</v>
      </c>
      <c r="B995" t="s">
        <v>494</v>
      </c>
      <c r="C995">
        <v>94528000</v>
      </c>
      <c r="D995">
        <v>132</v>
      </c>
      <c r="E995">
        <v>411843166</v>
      </c>
      <c r="F995" t="s">
        <v>627</v>
      </c>
      <c r="G995" s="1">
        <v>45230</v>
      </c>
      <c r="H995">
        <v>5410264</v>
      </c>
      <c r="I995">
        <v>17</v>
      </c>
      <c r="J995" t="s">
        <v>305</v>
      </c>
      <c r="K995" s="8" t="s">
        <v>742</v>
      </c>
      <c r="L995" s="4" t="s">
        <v>6</v>
      </c>
      <c r="M995" t="s">
        <v>681</v>
      </c>
      <c r="N995" s="5">
        <v>30827604</v>
      </c>
      <c r="O995" s="5">
        <v>368004</v>
      </c>
      <c r="P995" s="5">
        <v>69921</v>
      </c>
      <c r="Q995" s="5">
        <v>437925</v>
      </c>
    </row>
    <row r="996" spans="1:17" x14ac:dyDescent="0.25">
      <c r="A996" t="s">
        <v>496</v>
      </c>
      <c r="B996" t="s">
        <v>494</v>
      </c>
      <c r="C996">
        <v>94528000</v>
      </c>
      <c r="D996">
        <v>24</v>
      </c>
      <c r="E996" t="s">
        <v>809</v>
      </c>
      <c r="F996" t="s">
        <v>627</v>
      </c>
      <c r="G996" s="1">
        <v>45230</v>
      </c>
      <c r="H996">
        <v>5410351</v>
      </c>
      <c r="I996">
        <v>17</v>
      </c>
      <c r="J996" t="s">
        <v>305</v>
      </c>
      <c r="K996" s="8" t="s">
        <v>742</v>
      </c>
      <c r="L996" s="4" t="s">
        <v>6</v>
      </c>
      <c r="M996" t="s">
        <v>681</v>
      </c>
      <c r="N996" s="5">
        <v>30831342</v>
      </c>
      <c r="O996" s="5">
        <v>267075</v>
      </c>
      <c r="P996" s="5">
        <v>50744</v>
      </c>
      <c r="Q996" s="5">
        <v>317819</v>
      </c>
    </row>
    <row r="997" spans="1:17" x14ac:dyDescent="0.25">
      <c r="F997" t="s">
        <v>523</v>
      </c>
      <c r="K997" t="s">
        <v>681</v>
      </c>
      <c r="L997" s="4"/>
      <c r="M997" t="s">
        <v>681</v>
      </c>
      <c r="N997" s="5"/>
      <c r="O997" s="5">
        <v>2138572</v>
      </c>
      <c r="P997" s="5">
        <v>406329</v>
      </c>
      <c r="Q997" s="5">
        <v>2544901</v>
      </c>
    </row>
    <row r="998" spans="1:17" x14ac:dyDescent="0.25">
      <c r="A998" t="s">
        <v>503</v>
      </c>
      <c r="B998" t="s">
        <v>494</v>
      </c>
      <c r="C998">
        <v>95304000</v>
      </c>
      <c r="D998">
        <v>4</v>
      </c>
      <c r="E998">
        <v>4702376034</v>
      </c>
      <c r="F998" t="s">
        <v>631</v>
      </c>
      <c r="G998" s="1">
        <v>45217</v>
      </c>
      <c r="H998">
        <v>5406330</v>
      </c>
      <c r="I998">
        <v>112</v>
      </c>
      <c r="J998" t="s">
        <v>166</v>
      </c>
      <c r="K998" s="8" t="s">
        <v>742</v>
      </c>
      <c r="L998" s="4" t="s">
        <v>78</v>
      </c>
      <c r="M998" t="s">
        <v>681</v>
      </c>
      <c r="N998" s="5">
        <v>30810893</v>
      </c>
      <c r="O998" s="5">
        <v>23936</v>
      </c>
      <c r="P998" s="5">
        <v>4548</v>
      </c>
      <c r="Q998" s="5">
        <v>28484</v>
      </c>
    </row>
    <row r="999" spans="1:17" x14ac:dyDescent="0.25">
      <c r="A999" t="s">
        <v>503</v>
      </c>
      <c r="B999" t="s">
        <v>494</v>
      </c>
      <c r="C999">
        <v>95304000</v>
      </c>
      <c r="D999">
        <v>4</v>
      </c>
      <c r="E999">
        <v>4702719973</v>
      </c>
      <c r="F999" t="s">
        <v>631</v>
      </c>
      <c r="G999" s="1">
        <v>45229</v>
      </c>
      <c r="H999">
        <v>5409637</v>
      </c>
      <c r="I999">
        <v>112</v>
      </c>
      <c r="J999" t="s">
        <v>166</v>
      </c>
      <c r="K999" s="8" t="s">
        <v>742</v>
      </c>
      <c r="L999" s="4" t="s">
        <v>78</v>
      </c>
      <c r="M999" t="s">
        <v>681</v>
      </c>
      <c r="N999" s="5">
        <v>30838541</v>
      </c>
      <c r="O999" s="5">
        <v>51392</v>
      </c>
      <c r="P999" s="5">
        <v>9764</v>
      </c>
      <c r="Q999" s="5">
        <v>61156</v>
      </c>
    </row>
    <row r="1000" spans="1:17" x14ac:dyDescent="0.25">
      <c r="F1000" t="s">
        <v>497</v>
      </c>
      <c r="K1000" t="s">
        <v>681</v>
      </c>
      <c r="L1000" s="4"/>
      <c r="M1000" t="s">
        <v>681</v>
      </c>
      <c r="N1000" s="5"/>
      <c r="O1000" s="5">
        <v>75328</v>
      </c>
      <c r="P1000" s="5">
        <v>14312</v>
      </c>
      <c r="Q1000" s="5">
        <v>89640</v>
      </c>
    </row>
    <row r="1001" spans="1:17" x14ac:dyDescent="0.25">
      <c r="A1001" t="s">
        <v>496</v>
      </c>
      <c r="B1001" t="s">
        <v>494</v>
      </c>
      <c r="C1001">
        <v>96505760</v>
      </c>
      <c r="D1001">
        <v>0</v>
      </c>
      <c r="E1001">
        <v>4700028045</v>
      </c>
      <c r="F1001" t="s">
        <v>632</v>
      </c>
      <c r="G1001" s="1">
        <v>45201</v>
      </c>
      <c r="H1001">
        <v>5395119</v>
      </c>
      <c r="I1001">
        <v>96</v>
      </c>
      <c r="J1001" t="s">
        <v>140</v>
      </c>
      <c r="K1001" s="7" t="s">
        <v>743</v>
      </c>
      <c r="L1001" s="4" t="s">
        <v>6</v>
      </c>
      <c r="M1001">
        <v>1000090587</v>
      </c>
      <c r="N1001" s="5">
        <v>30656191</v>
      </c>
      <c r="O1001" s="5">
        <v>152348</v>
      </c>
      <c r="P1001" s="5">
        <v>28946</v>
      </c>
      <c r="Q1001" s="5">
        <v>181294</v>
      </c>
    </row>
    <row r="1002" spans="1:17" x14ac:dyDescent="0.25">
      <c r="A1002" t="s">
        <v>496</v>
      </c>
      <c r="B1002" t="s">
        <v>494</v>
      </c>
      <c r="C1002">
        <v>96505760</v>
      </c>
      <c r="D1002">
        <v>16</v>
      </c>
      <c r="E1002">
        <v>4700028095</v>
      </c>
      <c r="F1002" t="s">
        <v>632</v>
      </c>
      <c r="G1002" s="1">
        <v>45201</v>
      </c>
      <c r="H1002">
        <v>5395438</v>
      </c>
      <c r="I1002">
        <v>96</v>
      </c>
      <c r="J1002" t="s">
        <v>140</v>
      </c>
      <c r="K1002" s="8" t="s">
        <v>742</v>
      </c>
      <c r="L1002" s="4" t="s">
        <v>6</v>
      </c>
      <c r="M1002" t="s">
        <v>681</v>
      </c>
      <c r="N1002" s="5">
        <v>30769590</v>
      </c>
      <c r="O1002" s="5">
        <v>192424</v>
      </c>
      <c r="P1002" s="5">
        <v>36561</v>
      </c>
      <c r="Q1002" s="5">
        <v>228985</v>
      </c>
    </row>
    <row r="1003" spans="1:17" x14ac:dyDescent="0.25">
      <c r="A1003" t="s">
        <v>496</v>
      </c>
      <c r="B1003" t="s">
        <v>494</v>
      </c>
      <c r="C1003">
        <v>96505760</v>
      </c>
      <c r="D1003">
        <v>16</v>
      </c>
      <c r="E1003">
        <v>4700028095</v>
      </c>
      <c r="F1003" t="s">
        <v>632</v>
      </c>
      <c r="G1003" s="1">
        <v>45209</v>
      </c>
      <c r="H1003">
        <v>5400355</v>
      </c>
      <c r="I1003">
        <v>96</v>
      </c>
      <c r="J1003" t="s">
        <v>140</v>
      </c>
      <c r="K1003" s="7" t="s">
        <v>743</v>
      </c>
      <c r="L1003" s="4" t="s">
        <v>6</v>
      </c>
      <c r="M1003">
        <v>1000090584</v>
      </c>
      <c r="N1003" s="5">
        <v>30789554</v>
      </c>
      <c r="O1003" s="5">
        <v>54284</v>
      </c>
      <c r="P1003" s="5">
        <v>10314</v>
      </c>
      <c r="Q1003" s="5">
        <v>64598</v>
      </c>
    </row>
    <row r="1004" spans="1:17" x14ac:dyDescent="0.25">
      <c r="A1004" t="s">
        <v>496</v>
      </c>
      <c r="B1004" t="s">
        <v>494</v>
      </c>
      <c r="C1004">
        <v>96505760</v>
      </c>
      <c r="D1004">
        <v>0</v>
      </c>
      <c r="E1004">
        <v>4700028782</v>
      </c>
      <c r="F1004" t="s">
        <v>632</v>
      </c>
      <c r="G1004" s="1">
        <v>45215</v>
      </c>
      <c r="H1004">
        <v>5404981</v>
      </c>
      <c r="I1004">
        <v>96</v>
      </c>
      <c r="J1004" t="s">
        <v>140</v>
      </c>
      <c r="K1004" s="7" t="s">
        <v>743</v>
      </c>
      <c r="L1004" s="4" t="s">
        <v>6</v>
      </c>
      <c r="M1004">
        <v>1000093854</v>
      </c>
      <c r="N1004" s="5">
        <v>30808968</v>
      </c>
      <c r="O1004" s="5">
        <v>180553</v>
      </c>
      <c r="P1004" s="5">
        <v>34305</v>
      </c>
      <c r="Q1004" s="5">
        <v>218092</v>
      </c>
    </row>
    <row r="1005" spans="1:17" x14ac:dyDescent="0.25">
      <c r="A1005" t="s">
        <v>496</v>
      </c>
      <c r="B1005" t="s">
        <v>494</v>
      </c>
      <c r="C1005">
        <v>96505760</v>
      </c>
      <c r="D1005">
        <v>45</v>
      </c>
      <c r="E1005">
        <v>4700028974</v>
      </c>
      <c r="F1005" t="s">
        <v>632</v>
      </c>
      <c r="G1005" s="1">
        <v>45222</v>
      </c>
      <c r="H1005">
        <v>5408070</v>
      </c>
      <c r="I1005">
        <v>96</v>
      </c>
      <c r="J1005" t="s">
        <v>140</v>
      </c>
      <c r="K1005" s="7" t="s">
        <v>743</v>
      </c>
      <c r="L1005" s="4" t="s">
        <v>6</v>
      </c>
      <c r="M1005">
        <v>1000093778</v>
      </c>
      <c r="N1005" s="5">
        <v>30827283</v>
      </c>
      <c r="O1005" s="5">
        <v>278873</v>
      </c>
      <c r="P1005" s="5">
        <v>52986</v>
      </c>
      <c r="Q1005" s="5">
        <v>331859</v>
      </c>
    </row>
    <row r="1006" spans="1:17" x14ac:dyDescent="0.25">
      <c r="F1006" t="s">
        <v>499</v>
      </c>
      <c r="K1006" t="s">
        <v>681</v>
      </c>
      <c r="L1006" s="4"/>
      <c r="M1006" t="s">
        <v>681</v>
      </c>
      <c r="N1006" s="5"/>
      <c r="O1006" s="5">
        <v>858482</v>
      </c>
      <c r="P1006" s="5">
        <v>163112</v>
      </c>
      <c r="Q1006" s="5">
        <v>1024828</v>
      </c>
    </row>
    <row r="1007" spans="1:17" x14ac:dyDescent="0.25">
      <c r="A1007" t="s">
        <v>496</v>
      </c>
      <c r="B1007" t="s">
        <v>494</v>
      </c>
      <c r="C1007">
        <v>96510970</v>
      </c>
      <c r="D1007">
        <v>9</v>
      </c>
      <c r="E1007">
        <v>4506350390</v>
      </c>
      <c r="F1007" t="s">
        <v>633</v>
      </c>
      <c r="G1007" s="1">
        <v>45228</v>
      </c>
      <c r="H1007">
        <v>5409497</v>
      </c>
      <c r="I1007">
        <v>81</v>
      </c>
      <c r="J1007" t="s">
        <v>144</v>
      </c>
      <c r="K1007" s="8" t="s">
        <v>742</v>
      </c>
      <c r="L1007" s="4" t="s">
        <v>6</v>
      </c>
      <c r="M1007" t="s">
        <v>681</v>
      </c>
      <c r="N1007" s="5">
        <v>30833020</v>
      </c>
      <c r="O1007" s="5">
        <v>269200</v>
      </c>
      <c r="P1007" s="5">
        <v>51148</v>
      </c>
      <c r="Q1007" s="5">
        <v>320348</v>
      </c>
    </row>
    <row r="1008" spans="1:17" x14ac:dyDescent="0.25">
      <c r="F1008" t="s">
        <v>495</v>
      </c>
      <c r="K1008" t="s">
        <v>681</v>
      </c>
      <c r="L1008" s="4"/>
      <c r="M1008" t="s">
        <v>681</v>
      </c>
      <c r="N1008" s="5"/>
      <c r="O1008" s="5">
        <v>269200</v>
      </c>
      <c r="P1008" s="5">
        <v>51148</v>
      </c>
      <c r="Q1008" s="5">
        <v>320348</v>
      </c>
    </row>
    <row r="1009" spans="1:17" x14ac:dyDescent="0.25">
      <c r="A1009" t="s">
        <v>496</v>
      </c>
      <c r="B1009" t="s">
        <v>494</v>
      </c>
      <c r="C1009">
        <v>96522300</v>
      </c>
      <c r="D1009">
        <v>1</v>
      </c>
      <c r="E1009">
        <v>8018577</v>
      </c>
      <c r="F1009" t="s">
        <v>715</v>
      </c>
      <c r="G1009" s="1">
        <v>45215</v>
      </c>
      <c r="H1009">
        <v>5404740</v>
      </c>
      <c r="I1009">
        <v>18</v>
      </c>
      <c r="J1009" t="s">
        <v>168</v>
      </c>
      <c r="K1009" s="8" t="s">
        <v>742</v>
      </c>
      <c r="L1009" s="4"/>
      <c r="M1009" t="s">
        <v>681</v>
      </c>
      <c r="N1009" s="5">
        <v>30762125</v>
      </c>
      <c r="O1009" s="5">
        <v>127415</v>
      </c>
      <c r="P1009" s="5">
        <v>24209</v>
      </c>
      <c r="Q1009" s="5">
        <v>151624</v>
      </c>
    </row>
    <row r="1010" spans="1:17" x14ac:dyDescent="0.25">
      <c r="F1010" t="s">
        <v>495</v>
      </c>
      <c r="K1010" t="s">
        <v>681</v>
      </c>
      <c r="L1010" s="4"/>
      <c r="M1010" t="s">
        <v>681</v>
      </c>
      <c r="N1010" s="5"/>
      <c r="O1010" s="5">
        <v>127415</v>
      </c>
      <c r="P1010" s="5">
        <v>24209</v>
      </c>
      <c r="Q1010" s="5">
        <v>151624</v>
      </c>
    </row>
    <row r="1011" spans="1:17" x14ac:dyDescent="0.25">
      <c r="A1011" t="s">
        <v>512</v>
      </c>
      <c r="B1011" t="s">
        <v>494</v>
      </c>
      <c r="C1011">
        <v>96529310</v>
      </c>
      <c r="D1011">
        <v>59</v>
      </c>
      <c r="E1011">
        <v>30743574</v>
      </c>
      <c r="F1011" t="s">
        <v>634</v>
      </c>
      <c r="G1011" s="1">
        <v>45201</v>
      </c>
      <c r="H1011">
        <v>5395109</v>
      </c>
      <c r="I1011">
        <v>63</v>
      </c>
      <c r="J1011" t="s">
        <v>170</v>
      </c>
      <c r="K1011" s="8" t="s">
        <v>742</v>
      </c>
      <c r="L1011" s="4" t="s">
        <v>78</v>
      </c>
      <c r="M1011" t="s">
        <v>681</v>
      </c>
      <c r="N1011" s="5">
        <v>30743574</v>
      </c>
      <c r="O1011" s="5">
        <v>55425</v>
      </c>
      <c r="P1011" s="5">
        <v>10531</v>
      </c>
      <c r="Q1011" s="5">
        <v>65956</v>
      </c>
    </row>
    <row r="1012" spans="1:17" x14ac:dyDescent="0.25">
      <c r="A1012" t="s">
        <v>512</v>
      </c>
      <c r="B1012" t="s">
        <v>494</v>
      </c>
      <c r="C1012">
        <v>96529310</v>
      </c>
      <c r="D1012">
        <v>90</v>
      </c>
      <c r="E1012">
        <v>30754547</v>
      </c>
      <c r="F1012" t="s">
        <v>634</v>
      </c>
      <c r="G1012" s="1">
        <v>45201</v>
      </c>
      <c r="H1012">
        <v>5395222</v>
      </c>
      <c r="I1012">
        <v>112</v>
      </c>
      <c r="J1012" t="s">
        <v>166</v>
      </c>
      <c r="K1012" s="8" t="s">
        <v>742</v>
      </c>
      <c r="L1012" s="4" t="s">
        <v>78</v>
      </c>
      <c r="M1012" t="s">
        <v>681</v>
      </c>
      <c r="N1012" s="5">
        <v>30754547</v>
      </c>
      <c r="O1012" s="5">
        <v>238513</v>
      </c>
      <c r="P1012" s="5">
        <v>45317</v>
      </c>
      <c r="Q1012" s="5">
        <v>283830</v>
      </c>
    </row>
    <row r="1013" spans="1:17" x14ac:dyDescent="0.25">
      <c r="A1013" t="s">
        <v>512</v>
      </c>
      <c r="B1013" t="s">
        <v>494</v>
      </c>
      <c r="C1013">
        <v>96529310</v>
      </c>
      <c r="D1013">
        <v>19</v>
      </c>
      <c r="E1013">
        <v>30743626</v>
      </c>
      <c r="F1013" t="s">
        <v>634</v>
      </c>
      <c r="G1013" s="1">
        <v>45205</v>
      </c>
      <c r="H1013">
        <v>5398761</v>
      </c>
      <c r="I1013">
        <v>63</v>
      </c>
      <c r="J1013" t="s">
        <v>170</v>
      </c>
      <c r="K1013" s="8" t="s">
        <v>742</v>
      </c>
      <c r="L1013" s="4" t="s">
        <v>78</v>
      </c>
      <c r="M1013" t="s">
        <v>681</v>
      </c>
      <c r="N1013" s="5">
        <v>30743627</v>
      </c>
      <c r="O1013" s="5">
        <v>29300</v>
      </c>
      <c r="P1013" s="5">
        <v>5567</v>
      </c>
      <c r="Q1013" s="5">
        <v>34867</v>
      </c>
    </row>
    <row r="1014" spans="1:17" x14ac:dyDescent="0.25">
      <c r="A1014" t="s">
        <v>512</v>
      </c>
      <c r="B1014" t="s">
        <v>494</v>
      </c>
      <c r="C1014">
        <v>96529310</v>
      </c>
      <c r="D1014">
        <v>58</v>
      </c>
      <c r="E1014">
        <v>30795265</v>
      </c>
      <c r="F1014" t="s">
        <v>634</v>
      </c>
      <c r="G1014" s="1">
        <v>45210</v>
      </c>
      <c r="H1014">
        <v>5401589</v>
      </c>
      <c r="I1014">
        <v>112</v>
      </c>
      <c r="J1014" t="s">
        <v>166</v>
      </c>
      <c r="K1014" s="8" t="s">
        <v>742</v>
      </c>
      <c r="L1014" s="4" t="s">
        <v>78</v>
      </c>
      <c r="M1014" t="s">
        <v>681</v>
      </c>
      <c r="N1014" s="5">
        <v>30795265</v>
      </c>
      <c r="O1014" s="5">
        <v>26310</v>
      </c>
      <c r="P1014" s="5">
        <v>4999</v>
      </c>
      <c r="Q1014" s="5">
        <v>31309</v>
      </c>
    </row>
    <row r="1015" spans="1:17" x14ac:dyDescent="0.25">
      <c r="A1015" t="s">
        <v>512</v>
      </c>
      <c r="B1015" t="s">
        <v>494</v>
      </c>
      <c r="C1015">
        <v>96529310</v>
      </c>
      <c r="D1015">
        <v>41</v>
      </c>
      <c r="E1015">
        <v>30795272</v>
      </c>
      <c r="F1015" t="s">
        <v>634</v>
      </c>
      <c r="G1015" s="1">
        <v>45210</v>
      </c>
      <c r="H1015">
        <v>5401590</v>
      </c>
      <c r="I1015">
        <v>112</v>
      </c>
      <c r="J1015" t="s">
        <v>166</v>
      </c>
      <c r="K1015" s="8" t="s">
        <v>742</v>
      </c>
      <c r="L1015" s="4" t="s">
        <v>78</v>
      </c>
      <c r="M1015" t="s">
        <v>681</v>
      </c>
      <c r="N1015" s="5">
        <v>30795272</v>
      </c>
      <c r="O1015" s="5">
        <v>52297</v>
      </c>
      <c r="P1015" s="5">
        <v>9936</v>
      </c>
      <c r="Q1015" s="5">
        <v>62233</v>
      </c>
    </row>
    <row r="1016" spans="1:17" x14ac:dyDescent="0.25">
      <c r="A1016" t="s">
        <v>512</v>
      </c>
      <c r="B1016" t="s">
        <v>494</v>
      </c>
      <c r="C1016">
        <v>96529310</v>
      </c>
      <c r="D1016">
        <v>111</v>
      </c>
      <c r="E1016">
        <v>30795268</v>
      </c>
      <c r="F1016" t="s">
        <v>634</v>
      </c>
      <c r="G1016" s="1">
        <v>45210</v>
      </c>
      <c r="H1016">
        <v>5401592</v>
      </c>
      <c r="I1016">
        <v>112</v>
      </c>
      <c r="J1016" t="s">
        <v>166</v>
      </c>
      <c r="K1016" s="8" t="s">
        <v>742</v>
      </c>
      <c r="L1016" s="4" t="s">
        <v>78</v>
      </c>
      <c r="M1016" t="s">
        <v>681</v>
      </c>
      <c r="N1016" s="5">
        <v>30795268</v>
      </c>
      <c r="O1016" s="5">
        <v>49613</v>
      </c>
      <c r="P1016" s="5">
        <v>9426</v>
      </c>
      <c r="Q1016" s="5">
        <v>59039</v>
      </c>
    </row>
    <row r="1017" spans="1:17" x14ac:dyDescent="0.25">
      <c r="A1017" t="s">
        <v>512</v>
      </c>
      <c r="B1017" t="s">
        <v>494</v>
      </c>
      <c r="C1017">
        <v>96529310</v>
      </c>
      <c r="D1017">
        <v>9510</v>
      </c>
      <c r="E1017">
        <v>30795248</v>
      </c>
      <c r="F1017" t="s">
        <v>634</v>
      </c>
      <c r="G1017" s="1">
        <v>45210</v>
      </c>
      <c r="H1017">
        <v>5401593</v>
      </c>
      <c r="I1017">
        <v>112</v>
      </c>
      <c r="J1017" t="s">
        <v>166</v>
      </c>
      <c r="K1017" s="8" t="s">
        <v>742</v>
      </c>
      <c r="L1017" s="4" t="s">
        <v>78</v>
      </c>
      <c r="M1017" t="s">
        <v>681</v>
      </c>
      <c r="N1017" s="5">
        <v>30795248</v>
      </c>
      <c r="O1017" s="5">
        <v>57800</v>
      </c>
      <c r="P1017" s="5">
        <v>10982</v>
      </c>
      <c r="Q1017" s="5">
        <v>68782</v>
      </c>
    </row>
    <row r="1018" spans="1:17" x14ac:dyDescent="0.25">
      <c r="A1018" t="s">
        <v>512</v>
      </c>
      <c r="B1018" t="s">
        <v>494</v>
      </c>
      <c r="C1018">
        <v>96529310</v>
      </c>
      <c r="D1018">
        <v>20</v>
      </c>
      <c r="E1018">
        <v>30795257</v>
      </c>
      <c r="F1018" t="s">
        <v>634</v>
      </c>
      <c r="G1018" s="1">
        <v>45210</v>
      </c>
      <c r="H1018">
        <v>5401595</v>
      </c>
      <c r="I1018">
        <v>112</v>
      </c>
      <c r="J1018" t="s">
        <v>166</v>
      </c>
      <c r="K1018" s="8" t="s">
        <v>742</v>
      </c>
      <c r="L1018" s="4" t="s">
        <v>78</v>
      </c>
      <c r="M1018" t="s">
        <v>681</v>
      </c>
      <c r="N1018" s="5">
        <v>30795257</v>
      </c>
      <c r="O1018" s="5">
        <v>52954</v>
      </c>
      <c r="P1018" s="5">
        <v>10061</v>
      </c>
      <c r="Q1018" s="5">
        <v>63015</v>
      </c>
    </row>
    <row r="1019" spans="1:17" x14ac:dyDescent="0.25">
      <c r="A1019" t="s">
        <v>512</v>
      </c>
      <c r="B1019" t="s">
        <v>494</v>
      </c>
      <c r="C1019">
        <v>96529310</v>
      </c>
      <c r="D1019">
        <v>12</v>
      </c>
      <c r="E1019">
        <v>30795259</v>
      </c>
      <c r="F1019" t="s">
        <v>634</v>
      </c>
      <c r="G1019" s="1">
        <v>45210</v>
      </c>
      <c r="H1019">
        <v>5401618</v>
      </c>
      <c r="I1019">
        <v>112</v>
      </c>
      <c r="J1019" t="s">
        <v>166</v>
      </c>
      <c r="K1019" s="8" t="s">
        <v>742</v>
      </c>
      <c r="L1019" s="4" t="s">
        <v>78</v>
      </c>
      <c r="M1019" t="s">
        <v>681</v>
      </c>
      <c r="N1019" s="5">
        <v>30795259</v>
      </c>
      <c r="O1019" s="5">
        <v>27580</v>
      </c>
      <c r="P1019" s="5">
        <v>5240</v>
      </c>
      <c r="Q1019" s="5">
        <v>32820</v>
      </c>
    </row>
    <row r="1020" spans="1:17" x14ac:dyDescent="0.25">
      <c r="A1020" t="s">
        <v>512</v>
      </c>
      <c r="B1020" t="s">
        <v>494</v>
      </c>
      <c r="C1020">
        <v>96529310</v>
      </c>
      <c r="D1020">
        <v>9509</v>
      </c>
      <c r="E1020">
        <v>30795254</v>
      </c>
      <c r="F1020" t="s">
        <v>634</v>
      </c>
      <c r="G1020" s="1">
        <v>45210</v>
      </c>
      <c r="H1020">
        <v>5401620</v>
      </c>
      <c r="I1020">
        <v>112</v>
      </c>
      <c r="J1020" t="s">
        <v>166</v>
      </c>
      <c r="K1020" s="8" t="s">
        <v>742</v>
      </c>
      <c r="L1020" s="4" t="s">
        <v>78</v>
      </c>
      <c r="M1020" t="s">
        <v>681</v>
      </c>
      <c r="N1020" s="5">
        <v>30795254</v>
      </c>
      <c r="O1020" s="5">
        <v>66312</v>
      </c>
      <c r="P1020" s="5">
        <v>12599</v>
      </c>
      <c r="Q1020" s="5">
        <v>78911</v>
      </c>
    </row>
    <row r="1021" spans="1:17" x14ac:dyDescent="0.25">
      <c r="A1021" t="s">
        <v>512</v>
      </c>
      <c r="B1021" t="s">
        <v>494</v>
      </c>
      <c r="C1021">
        <v>96529310</v>
      </c>
      <c r="D1021">
        <v>7</v>
      </c>
      <c r="E1021">
        <v>30795270</v>
      </c>
      <c r="F1021" t="s">
        <v>634</v>
      </c>
      <c r="G1021" s="1">
        <v>45210</v>
      </c>
      <c r="H1021">
        <v>5401621</v>
      </c>
      <c r="I1021">
        <v>112</v>
      </c>
      <c r="J1021" t="s">
        <v>166</v>
      </c>
      <c r="K1021" s="8" t="s">
        <v>742</v>
      </c>
      <c r="L1021" s="4" t="s">
        <v>78</v>
      </c>
      <c r="M1021" t="s">
        <v>681</v>
      </c>
      <c r="N1021" s="5">
        <v>30795270</v>
      </c>
      <c r="O1021" s="5">
        <v>79530</v>
      </c>
      <c r="P1021" s="5">
        <v>15111</v>
      </c>
      <c r="Q1021" s="5">
        <v>94641</v>
      </c>
    </row>
    <row r="1022" spans="1:17" x14ac:dyDescent="0.25">
      <c r="A1022" t="s">
        <v>512</v>
      </c>
      <c r="B1022" t="s">
        <v>494</v>
      </c>
      <c r="C1022">
        <v>96529310</v>
      </c>
      <c r="D1022">
        <v>109</v>
      </c>
      <c r="E1022">
        <v>30795276</v>
      </c>
      <c r="F1022" t="s">
        <v>634</v>
      </c>
      <c r="G1022" s="1">
        <v>45210</v>
      </c>
      <c r="H1022">
        <v>5401623</v>
      </c>
      <c r="I1022">
        <v>112</v>
      </c>
      <c r="J1022" t="s">
        <v>166</v>
      </c>
      <c r="K1022" s="8" t="s">
        <v>742</v>
      </c>
      <c r="L1022" s="4" t="s">
        <v>78</v>
      </c>
      <c r="M1022" t="s">
        <v>681</v>
      </c>
      <c r="N1022" s="5">
        <v>30795276</v>
      </c>
      <c r="O1022" s="5">
        <v>139126</v>
      </c>
      <c r="P1022" s="5">
        <v>26434</v>
      </c>
      <c r="Q1022" s="5">
        <v>165560</v>
      </c>
    </row>
    <row r="1023" spans="1:17" x14ac:dyDescent="0.25">
      <c r="A1023" t="s">
        <v>512</v>
      </c>
      <c r="B1023" t="s">
        <v>494</v>
      </c>
      <c r="C1023">
        <v>96529310</v>
      </c>
      <c r="D1023">
        <v>23</v>
      </c>
      <c r="E1023">
        <v>30795242</v>
      </c>
      <c r="F1023" t="s">
        <v>634</v>
      </c>
      <c r="G1023" s="1">
        <v>45210</v>
      </c>
      <c r="H1023">
        <v>5401624</v>
      </c>
      <c r="I1023">
        <v>112</v>
      </c>
      <c r="J1023" t="s">
        <v>166</v>
      </c>
      <c r="K1023" s="8" t="s">
        <v>742</v>
      </c>
      <c r="L1023" s="4" t="s">
        <v>78</v>
      </c>
      <c r="M1023" t="s">
        <v>681</v>
      </c>
      <c r="N1023" s="5">
        <v>30795242</v>
      </c>
      <c r="O1023" s="5">
        <v>80680</v>
      </c>
      <c r="P1023" s="5">
        <v>15329</v>
      </c>
      <c r="Q1023" s="5">
        <v>96009</v>
      </c>
    </row>
    <row r="1024" spans="1:17" x14ac:dyDescent="0.25">
      <c r="A1024" t="s">
        <v>512</v>
      </c>
      <c r="B1024" t="s">
        <v>494</v>
      </c>
      <c r="C1024">
        <v>96529310</v>
      </c>
      <c r="D1024">
        <v>10</v>
      </c>
      <c r="E1024">
        <v>30795241</v>
      </c>
      <c r="F1024" t="s">
        <v>634</v>
      </c>
      <c r="G1024" s="1">
        <v>45210</v>
      </c>
      <c r="H1024">
        <v>5401637</v>
      </c>
      <c r="I1024">
        <v>112</v>
      </c>
      <c r="J1024" t="s">
        <v>166</v>
      </c>
      <c r="K1024" s="8" t="s">
        <v>742</v>
      </c>
      <c r="L1024" s="4" t="s">
        <v>78</v>
      </c>
      <c r="M1024" t="s">
        <v>681</v>
      </c>
      <c r="N1024" s="5">
        <v>30795241</v>
      </c>
      <c r="O1024" s="5">
        <v>111620</v>
      </c>
      <c r="P1024" s="5">
        <v>21208</v>
      </c>
      <c r="Q1024" s="5">
        <v>132828</v>
      </c>
    </row>
    <row r="1025" spans="1:17" x14ac:dyDescent="0.25">
      <c r="A1025" t="s">
        <v>512</v>
      </c>
      <c r="B1025" t="s">
        <v>494</v>
      </c>
      <c r="C1025">
        <v>96529310</v>
      </c>
      <c r="D1025">
        <v>29</v>
      </c>
      <c r="E1025">
        <v>30795252</v>
      </c>
      <c r="F1025" t="s">
        <v>634</v>
      </c>
      <c r="G1025" s="1">
        <v>45210</v>
      </c>
      <c r="H1025">
        <v>5401638</v>
      </c>
      <c r="I1025">
        <v>112</v>
      </c>
      <c r="J1025" t="s">
        <v>166</v>
      </c>
      <c r="K1025" s="8" t="s">
        <v>742</v>
      </c>
      <c r="L1025" s="4" t="s">
        <v>78</v>
      </c>
      <c r="M1025" t="s">
        <v>681</v>
      </c>
      <c r="N1025" s="5">
        <v>30795252</v>
      </c>
      <c r="O1025" s="5">
        <v>36743</v>
      </c>
      <c r="P1025" s="5">
        <v>6981</v>
      </c>
      <c r="Q1025" s="5">
        <v>43724</v>
      </c>
    </row>
    <row r="1026" spans="1:17" x14ac:dyDescent="0.25">
      <c r="A1026" t="s">
        <v>512</v>
      </c>
      <c r="B1026" t="s">
        <v>494</v>
      </c>
      <c r="C1026">
        <v>96529310</v>
      </c>
      <c r="D1026">
        <v>101</v>
      </c>
      <c r="E1026">
        <v>30795283</v>
      </c>
      <c r="F1026" t="s">
        <v>634</v>
      </c>
      <c r="G1026" s="1">
        <v>45210</v>
      </c>
      <c r="H1026">
        <v>5401639</v>
      </c>
      <c r="I1026">
        <v>112</v>
      </c>
      <c r="J1026" t="s">
        <v>166</v>
      </c>
      <c r="K1026" s="8" t="s">
        <v>742</v>
      </c>
      <c r="L1026" s="4" t="s">
        <v>78</v>
      </c>
      <c r="M1026" t="s">
        <v>681</v>
      </c>
      <c r="N1026" s="5">
        <v>30795283</v>
      </c>
      <c r="O1026" s="5">
        <v>147616</v>
      </c>
      <c r="P1026" s="5">
        <v>28047</v>
      </c>
      <c r="Q1026" s="5">
        <v>175663</v>
      </c>
    </row>
    <row r="1027" spans="1:17" x14ac:dyDescent="0.25">
      <c r="A1027" t="s">
        <v>512</v>
      </c>
      <c r="B1027" t="s">
        <v>494</v>
      </c>
      <c r="C1027">
        <v>96529310</v>
      </c>
      <c r="D1027">
        <v>146</v>
      </c>
      <c r="E1027">
        <v>30795277</v>
      </c>
      <c r="F1027" t="s">
        <v>634</v>
      </c>
      <c r="G1027" s="1">
        <v>45210</v>
      </c>
      <c r="H1027">
        <v>5401647</v>
      </c>
      <c r="I1027">
        <v>112</v>
      </c>
      <c r="J1027" t="s">
        <v>166</v>
      </c>
      <c r="K1027" s="8" t="s">
        <v>742</v>
      </c>
      <c r="L1027" s="4" t="s">
        <v>78</v>
      </c>
      <c r="M1027" t="s">
        <v>681</v>
      </c>
      <c r="N1027" s="5">
        <v>30795277</v>
      </c>
      <c r="O1027" s="5">
        <v>105268</v>
      </c>
      <c r="P1027" s="5">
        <v>20001</v>
      </c>
      <c r="Q1027" s="5">
        <v>125269</v>
      </c>
    </row>
    <row r="1028" spans="1:17" x14ac:dyDescent="0.25">
      <c r="A1028" t="s">
        <v>512</v>
      </c>
      <c r="B1028" t="s">
        <v>494</v>
      </c>
      <c r="C1028">
        <v>96529310</v>
      </c>
      <c r="D1028">
        <v>109</v>
      </c>
      <c r="E1028">
        <v>30795275</v>
      </c>
      <c r="F1028" t="s">
        <v>634</v>
      </c>
      <c r="G1028" s="1">
        <v>45210</v>
      </c>
      <c r="H1028">
        <v>5401651</v>
      </c>
      <c r="I1028">
        <v>112</v>
      </c>
      <c r="J1028" t="s">
        <v>166</v>
      </c>
      <c r="K1028" s="8" t="s">
        <v>742</v>
      </c>
      <c r="L1028" s="4" t="s">
        <v>78</v>
      </c>
      <c r="M1028" t="s">
        <v>681</v>
      </c>
      <c r="N1028" s="5">
        <v>30795275</v>
      </c>
      <c r="O1028" s="5">
        <v>96504</v>
      </c>
      <c r="P1028" s="5">
        <v>18336</v>
      </c>
      <c r="Q1028" s="5">
        <v>114840</v>
      </c>
    </row>
    <row r="1029" spans="1:17" x14ac:dyDescent="0.25">
      <c r="A1029" t="s">
        <v>512</v>
      </c>
      <c r="B1029" t="s">
        <v>494</v>
      </c>
      <c r="C1029">
        <v>96529310</v>
      </c>
      <c r="D1029">
        <v>121</v>
      </c>
      <c r="E1029">
        <v>30795263</v>
      </c>
      <c r="F1029" t="s">
        <v>634</v>
      </c>
      <c r="G1029" s="1">
        <v>45210</v>
      </c>
      <c r="H1029">
        <v>5401652</v>
      </c>
      <c r="I1029">
        <v>112</v>
      </c>
      <c r="J1029" t="s">
        <v>166</v>
      </c>
      <c r="K1029" s="8" t="s">
        <v>742</v>
      </c>
      <c r="L1029" s="4" t="s">
        <v>78</v>
      </c>
      <c r="M1029" t="s">
        <v>681</v>
      </c>
      <c r="N1029" s="5">
        <v>30795263</v>
      </c>
      <c r="O1029" s="5">
        <v>43165</v>
      </c>
      <c r="P1029" s="5">
        <v>8201</v>
      </c>
      <c r="Q1029" s="5">
        <v>51366</v>
      </c>
    </row>
    <row r="1030" spans="1:17" x14ac:dyDescent="0.25">
      <c r="A1030" t="s">
        <v>512</v>
      </c>
      <c r="B1030" t="s">
        <v>494</v>
      </c>
      <c r="C1030">
        <v>96529310</v>
      </c>
      <c r="D1030">
        <v>6</v>
      </c>
      <c r="E1030">
        <v>30795269</v>
      </c>
      <c r="F1030" t="s">
        <v>634</v>
      </c>
      <c r="G1030" s="1">
        <v>45210</v>
      </c>
      <c r="H1030">
        <v>5401680</v>
      </c>
      <c r="I1030">
        <v>112</v>
      </c>
      <c r="J1030" t="s">
        <v>166</v>
      </c>
      <c r="K1030" s="8" t="s">
        <v>742</v>
      </c>
      <c r="L1030" s="4" t="s">
        <v>78</v>
      </c>
      <c r="M1030" t="s">
        <v>681</v>
      </c>
      <c r="N1030" s="5">
        <v>30795269</v>
      </c>
      <c r="O1030" s="5">
        <v>22977</v>
      </c>
      <c r="P1030" s="5">
        <v>4366</v>
      </c>
      <c r="Q1030" s="5">
        <v>27343</v>
      </c>
    </row>
    <row r="1031" spans="1:17" x14ac:dyDescent="0.25">
      <c r="A1031" t="s">
        <v>512</v>
      </c>
      <c r="B1031" t="s">
        <v>494</v>
      </c>
      <c r="C1031">
        <v>96529310</v>
      </c>
      <c r="D1031">
        <v>67</v>
      </c>
      <c r="E1031">
        <v>30795282</v>
      </c>
      <c r="F1031" t="s">
        <v>634</v>
      </c>
      <c r="G1031" s="1">
        <v>45210</v>
      </c>
      <c r="H1031">
        <v>5401681</v>
      </c>
      <c r="I1031">
        <v>112</v>
      </c>
      <c r="J1031" t="s">
        <v>166</v>
      </c>
      <c r="K1031" s="8" t="s">
        <v>742</v>
      </c>
      <c r="L1031" s="4" t="s">
        <v>78</v>
      </c>
      <c r="M1031" t="s">
        <v>681</v>
      </c>
      <c r="N1031" s="5">
        <v>30795282</v>
      </c>
      <c r="O1031" s="5">
        <v>51042</v>
      </c>
      <c r="P1031" s="5">
        <v>9698</v>
      </c>
      <c r="Q1031" s="5">
        <v>60740</v>
      </c>
    </row>
    <row r="1032" spans="1:17" x14ac:dyDescent="0.25">
      <c r="A1032" t="s">
        <v>512</v>
      </c>
      <c r="B1032" t="s">
        <v>494</v>
      </c>
      <c r="C1032">
        <v>96529310</v>
      </c>
      <c r="D1032">
        <v>12</v>
      </c>
      <c r="E1032">
        <v>30795258</v>
      </c>
      <c r="F1032" t="s">
        <v>634</v>
      </c>
      <c r="G1032" s="1">
        <v>45210</v>
      </c>
      <c r="H1032">
        <v>5401683</v>
      </c>
      <c r="I1032">
        <v>112</v>
      </c>
      <c r="J1032" t="s">
        <v>166</v>
      </c>
      <c r="K1032" s="8" t="s">
        <v>742</v>
      </c>
      <c r="L1032" s="4" t="s">
        <v>78</v>
      </c>
      <c r="M1032" t="s">
        <v>681</v>
      </c>
      <c r="N1032" s="5">
        <v>30795258</v>
      </c>
      <c r="O1032" s="5">
        <v>27047</v>
      </c>
      <c r="P1032" s="5">
        <v>5139</v>
      </c>
      <c r="Q1032" s="5">
        <v>32186</v>
      </c>
    </row>
    <row r="1033" spans="1:17" x14ac:dyDescent="0.25">
      <c r="A1033" t="s">
        <v>512</v>
      </c>
      <c r="B1033" t="s">
        <v>494</v>
      </c>
      <c r="C1033">
        <v>96529310</v>
      </c>
      <c r="D1033">
        <v>41</v>
      </c>
      <c r="E1033">
        <v>30795273</v>
      </c>
      <c r="F1033" t="s">
        <v>634</v>
      </c>
      <c r="G1033" s="1">
        <v>45210</v>
      </c>
      <c r="H1033">
        <v>5401685</v>
      </c>
      <c r="I1033">
        <v>112</v>
      </c>
      <c r="J1033" t="s">
        <v>166</v>
      </c>
      <c r="K1033" s="8" t="s">
        <v>742</v>
      </c>
      <c r="L1033" s="4" t="s">
        <v>78</v>
      </c>
      <c r="M1033" t="s">
        <v>681</v>
      </c>
      <c r="N1033" s="5">
        <v>30795273</v>
      </c>
      <c r="O1033" s="5">
        <v>46630</v>
      </c>
      <c r="P1033" s="5">
        <v>8860</v>
      </c>
      <c r="Q1033" s="5">
        <v>55490</v>
      </c>
    </row>
    <row r="1034" spans="1:17" x14ac:dyDescent="0.25">
      <c r="A1034" t="s">
        <v>512</v>
      </c>
      <c r="B1034" t="s">
        <v>494</v>
      </c>
      <c r="C1034">
        <v>96529310</v>
      </c>
      <c r="D1034">
        <v>38</v>
      </c>
      <c r="E1034">
        <v>30795281</v>
      </c>
      <c r="F1034" t="s">
        <v>634</v>
      </c>
      <c r="G1034" s="1">
        <v>45210</v>
      </c>
      <c r="H1034">
        <v>5401701</v>
      </c>
      <c r="I1034">
        <v>112</v>
      </c>
      <c r="J1034" t="s">
        <v>166</v>
      </c>
      <c r="K1034" s="8" t="s">
        <v>742</v>
      </c>
      <c r="L1034" s="4" t="s">
        <v>78</v>
      </c>
      <c r="M1034" t="s">
        <v>681</v>
      </c>
      <c r="N1034" s="5">
        <v>30795281</v>
      </c>
      <c r="O1034" s="5">
        <v>111712</v>
      </c>
      <c r="P1034" s="5">
        <v>21225</v>
      </c>
      <c r="Q1034" s="5">
        <v>132937</v>
      </c>
    </row>
    <row r="1035" spans="1:17" x14ac:dyDescent="0.25">
      <c r="A1035" t="s">
        <v>512</v>
      </c>
      <c r="B1035" t="s">
        <v>494</v>
      </c>
      <c r="C1035">
        <v>96529310</v>
      </c>
      <c r="D1035">
        <v>57</v>
      </c>
      <c r="E1035">
        <v>30795256</v>
      </c>
      <c r="F1035" t="s">
        <v>634</v>
      </c>
      <c r="G1035" s="1">
        <v>45210</v>
      </c>
      <c r="H1035">
        <v>5401772</v>
      </c>
      <c r="I1035">
        <v>112</v>
      </c>
      <c r="J1035" t="s">
        <v>166</v>
      </c>
      <c r="K1035" s="8" t="s">
        <v>742</v>
      </c>
      <c r="L1035" s="4" t="s">
        <v>78</v>
      </c>
      <c r="M1035" t="s">
        <v>681</v>
      </c>
      <c r="N1035" s="5">
        <v>30795256</v>
      </c>
      <c r="O1035" s="5">
        <v>56244</v>
      </c>
      <c r="P1035" s="5">
        <v>10686</v>
      </c>
      <c r="Q1035" s="5">
        <v>66930</v>
      </c>
    </row>
    <row r="1036" spans="1:17" x14ac:dyDescent="0.25">
      <c r="A1036" t="s">
        <v>512</v>
      </c>
      <c r="B1036" t="s">
        <v>494</v>
      </c>
      <c r="C1036">
        <v>96529310</v>
      </c>
      <c r="D1036">
        <v>6</v>
      </c>
      <c r="E1036">
        <v>30795266</v>
      </c>
      <c r="F1036" t="s">
        <v>634</v>
      </c>
      <c r="G1036" s="1">
        <v>45210</v>
      </c>
      <c r="H1036">
        <v>5401775</v>
      </c>
      <c r="I1036">
        <v>112</v>
      </c>
      <c r="J1036" t="s">
        <v>166</v>
      </c>
      <c r="K1036" s="8" t="s">
        <v>742</v>
      </c>
      <c r="L1036" s="4" t="s">
        <v>78</v>
      </c>
      <c r="M1036" t="s">
        <v>681</v>
      </c>
      <c r="N1036" s="5">
        <v>30795266</v>
      </c>
      <c r="O1036" s="5">
        <v>85205</v>
      </c>
      <c r="P1036" s="5">
        <v>16189</v>
      </c>
      <c r="Q1036" s="5">
        <v>101394</v>
      </c>
    </row>
    <row r="1037" spans="1:17" x14ac:dyDescent="0.25">
      <c r="A1037" t="s">
        <v>512</v>
      </c>
      <c r="B1037" t="s">
        <v>494</v>
      </c>
      <c r="C1037">
        <v>96529310</v>
      </c>
      <c r="D1037">
        <v>24</v>
      </c>
      <c r="E1037">
        <v>30795267</v>
      </c>
      <c r="F1037" t="s">
        <v>634</v>
      </c>
      <c r="G1037" s="1">
        <v>45210</v>
      </c>
      <c r="H1037">
        <v>5401786</v>
      </c>
      <c r="I1037">
        <v>112</v>
      </c>
      <c r="J1037" t="s">
        <v>166</v>
      </c>
      <c r="K1037" s="8" t="s">
        <v>742</v>
      </c>
      <c r="L1037" s="4" t="s">
        <v>78</v>
      </c>
      <c r="M1037" t="s">
        <v>681</v>
      </c>
      <c r="N1037" s="5">
        <v>30795267</v>
      </c>
      <c r="O1037" s="5">
        <v>105539</v>
      </c>
      <c r="P1037" s="5">
        <v>20052</v>
      </c>
      <c r="Q1037" s="5">
        <v>125591</v>
      </c>
    </row>
    <row r="1038" spans="1:17" x14ac:dyDescent="0.25">
      <c r="A1038" t="s">
        <v>512</v>
      </c>
      <c r="B1038" t="s">
        <v>494</v>
      </c>
      <c r="C1038">
        <v>96529310</v>
      </c>
      <c r="D1038">
        <v>9511</v>
      </c>
      <c r="E1038">
        <v>30795245</v>
      </c>
      <c r="F1038" t="s">
        <v>634</v>
      </c>
      <c r="G1038" s="1">
        <v>45210</v>
      </c>
      <c r="H1038">
        <v>5401787</v>
      </c>
      <c r="I1038">
        <v>112</v>
      </c>
      <c r="J1038" t="s">
        <v>166</v>
      </c>
      <c r="K1038" s="8" t="s">
        <v>742</v>
      </c>
      <c r="L1038" s="4" t="s">
        <v>78</v>
      </c>
      <c r="M1038" t="s">
        <v>681</v>
      </c>
      <c r="N1038" s="5">
        <v>30795245</v>
      </c>
      <c r="O1038" s="5">
        <v>30922</v>
      </c>
      <c r="P1038" s="5">
        <v>5875</v>
      </c>
      <c r="Q1038" s="5">
        <v>36797</v>
      </c>
    </row>
    <row r="1039" spans="1:17" x14ac:dyDescent="0.25">
      <c r="A1039" t="s">
        <v>512</v>
      </c>
      <c r="B1039" t="s">
        <v>494</v>
      </c>
      <c r="C1039">
        <v>96529310</v>
      </c>
      <c r="D1039">
        <v>58</v>
      </c>
      <c r="E1039">
        <v>30795246</v>
      </c>
      <c r="F1039" t="s">
        <v>634</v>
      </c>
      <c r="G1039" s="1">
        <v>45210</v>
      </c>
      <c r="H1039">
        <v>5401789</v>
      </c>
      <c r="I1039">
        <v>112</v>
      </c>
      <c r="J1039" t="s">
        <v>166</v>
      </c>
      <c r="K1039" s="8" t="s">
        <v>742</v>
      </c>
      <c r="L1039" s="4" t="s">
        <v>78</v>
      </c>
      <c r="M1039" t="s">
        <v>681</v>
      </c>
      <c r="N1039" s="5">
        <v>30795246</v>
      </c>
      <c r="O1039" s="5">
        <v>70317</v>
      </c>
      <c r="P1039" s="5">
        <v>13360</v>
      </c>
      <c r="Q1039" s="5">
        <v>83677</v>
      </c>
    </row>
    <row r="1040" spans="1:17" x14ac:dyDescent="0.25">
      <c r="A1040" t="s">
        <v>512</v>
      </c>
      <c r="B1040" t="s">
        <v>494</v>
      </c>
      <c r="C1040">
        <v>96529310</v>
      </c>
      <c r="D1040">
        <v>9511</v>
      </c>
      <c r="E1040">
        <v>30795247</v>
      </c>
      <c r="F1040" t="s">
        <v>634</v>
      </c>
      <c r="G1040" s="1">
        <v>45210</v>
      </c>
      <c r="H1040">
        <v>5401805</v>
      </c>
      <c r="I1040">
        <v>112</v>
      </c>
      <c r="J1040" t="s">
        <v>166</v>
      </c>
      <c r="K1040" s="8" t="s">
        <v>742</v>
      </c>
      <c r="L1040" s="4" t="s">
        <v>78</v>
      </c>
      <c r="M1040" t="s">
        <v>681</v>
      </c>
      <c r="N1040" s="5">
        <v>30795247</v>
      </c>
      <c r="O1040" s="5">
        <v>41141</v>
      </c>
      <c r="P1040" s="5">
        <v>7817</v>
      </c>
      <c r="Q1040" s="5">
        <v>48958</v>
      </c>
    </row>
    <row r="1041" spans="1:17" x14ac:dyDescent="0.25">
      <c r="A1041" t="s">
        <v>512</v>
      </c>
      <c r="B1041" t="s">
        <v>494</v>
      </c>
      <c r="C1041">
        <v>96529310</v>
      </c>
      <c r="D1041">
        <v>23</v>
      </c>
      <c r="E1041">
        <v>30795250</v>
      </c>
      <c r="F1041" t="s">
        <v>634</v>
      </c>
      <c r="G1041" s="1">
        <v>45210</v>
      </c>
      <c r="H1041">
        <v>5401813</v>
      </c>
      <c r="I1041">
        <v>112</v>
      </c>
      <c r="J1041" t="s">
        <v>166</v>
      </c>
      <c r="K1041" s="8" t="s">
        <v>742</v>
      </c>
      <c r="L1041" s="4" t="s">
        <v>78</v>
      </c>
      <c r="M1041" t="s">
        <v>681</v>
      </c>
      <c r="N1041" s="5">
        <v>30795250</v>
      </c>
      <c r="O1041" s="5">
        <v>113753</v>
      </c>
      <c r="P1041" s="5">
        <v>21613</v>
      </c>
      <c r="Q1041" s="5">
        <v>135366</v>
      </c>
    </row>
    <row r="1042" spans="1:17" x14ac:dyDescent="0.25">
      <c r="A1042" t="s">
        <v>512</v>
      </c>
      <c r="B1042" t="s">
        <v>494</v>
      </c>
      <c r="C1042">
        <v>96529310</v>
      </c>
      <c r="D1042">
        <v>57</v>
      </c>
      <c r="E1042">
        <v>30795243</v>
      </c>
      <c r="F1042" t="s">
        <v>634</v>
      </c>
      <c r="G1042" s="1">
        <v>45210</v>
      </c>
      <c r="H1042">
        <v>5401832</v>
      </c>
      <c r="I1042">
        <v>112</v>
      </c>
      <c r="J1042" t="s">
        <v>166</v>
      </c>
      <c r="K1042" s="8" t="s">
        <v>742</v>
      </c>
      <c r="L1042" s="4" t="s">
        <v>78</v>
      </c>
      <c r="M1042" t="s">
        <v>681</v>
      </c>
      <c r="N1042" s="5">
        <v>30795243</v>
      </c>
      <c r="O1042" s="5">
        <v>143507</v>
      </c>
      <c r="P1042" s="5">
        <v>27266</v>
      </c>
      <c r="Q1042" s="5">
        <v>170773</v>
      </c>
    </row>
    <row r="1043" spans="1:17" x14ac:dyDescent="0.25">
      <c r="A1043" t="s">
        <v>512</v>
      </c>
      <c r="B1043" t="s">
        <v>494</v>
      </c>
      <c r="C1043">
        <v>96529310</v>
      </c>
      <c r="D1043">
        <v>58</v>
      </c>
      <c r="E1043">
        <v>30795244</v>
      </c>
      <c r="F1043" t="s">
        <v>634</v>
      </c>
      <c r="G1043" s="1">
        <v>45210</v>
      </c>
      <c r="H1043">
        <v>5401834</v>
      </c>
      <c r="I1043">
        <v>112</v>
      </c>
      <c r="J1043" t="s">
        <v>166</v>
      </c>
      <c r="K1043" s="8" t="s">
        <v>742</v>
      </c>
      <c r="L1043" s="4" t="s">
        <v>78</v>
      </c>
      <c r="M1043" t="s">
        <v>681</v>
      </c>
      <c r="N1043" s="5">
        <v>30795244</v>
      </c>
      <c r="O1043" s="5">
        <v>75727</v>
      </c>
      <c r="P1043" s="5">
        <v>14388</v>
      </c>
      <c r="Q1043" s="5">
        <v>90672</v>
      </c>
    </row>
    <row r="1044" spans="1:17" x14ac:dyDescent="0.25">
      <c r="A1044" t="s">
        <v>512</v>
      </c>
      <c r="B1044" t="s">
        <v>494</v>
      </c>
      <c r="C1044">
        <v>96529310</v>
      </c>
      <c r="D1044">
        <v>1</v>
      </c>
      <c r="E1044">
        <v>30795274</v>
      </c>
      <c r="F1044" t="s">
        <v>634</v>
      </c>
      <c r="G1044" s="1">
        <v>45210</v>
      </c>
      <c r="H1044">
        <v>5401836</v>
      </c>
      <c r="I1044">
        <v>112</v>
      </c>
      <c r="J1044" t="s">
        <v>166</v>
      </c>
      <c r="K1044" s="8" t="s">
        <v>742</v>
      </c>
      <c r="L1044" s="4" t="s">
        <v>78</v>
      </c>
      <c r="M1044" t="s">
        <v>681</v>
      </c>
      <c r="N1044" s="5">
        <v>30795274</v>
      </c>
      <c r="O1044" s="5">
        <v>81449</v>
      </c>
      <c r="P1044" s="5">
        <v>15475</v>
      </c>
      <c r="Q1044" s="5">
        <v>96924</v>
      </c>
    </row>
    <row r="1045" spans="1:17" x14ac:dyDescent="0.25">
      <c r="A1045" t="s">
        <v>512</v>
      </c>
      <c r="B1045" t="s">
        <v>494</v>
      </c>
      <c r="C1045">
        <v>96529310</v>
      </c>
      <c r="D1045">
        <v>53</v>
      </c>
      <c r="E1045">
        <v>30795264</v>
      </c>
      <c r="F1045" t="s">
        <v>634</v>
      </c>
      <c r="G1045" s="1">
        <v>45210</v>
      </c>
      <c r="H1045">
        <v>5401838</v>
      </c>
      <c r="I1045">
        <v>112</v>
      </c>
      <c r="J1045" t="s">
        <v>166</v>
      </c>
      <c r="K1045" s="8" t="s">
        <v>742</v>
      </c>
      <c r="L1045" s="4" t="s">
        <v>78</v>
      </c>
      <c r="M1045" t="s">
        <v>681</v>
      </c>
      <c r="N1045" s="5">
        <v>30795264</v>
      </c>
      <c r="O1045" s="5">
        <v>60211</v>
      </c>
      <c r="P1045" s="5">
        <v>11440</v>
      </c>
      <c r="Q1045" s="5">
        <v>71651</v>
      </c>
    </row>
    <row r="1046" spans="1:17" x14ac:dyDescent="0.25">
      <c r="A1046" t="s">
        <v>512</v>
      </c>
      <c r="B1046" t="s">
        <v>494</v>
      </c>
      <c r="C1046">
        <v>96529310</v>
      </c>
      <c r="D1046">
        <v>39</v>
      </c>
      <c r="E1046">
        <v>30796921</v>
      </c>
      <c r="F1046" t="s">
        <v>634</v>
      </c>
      <c r="G1046" s="1">
        <v>45210</v>
      </c>
      <c r="H1046">
        <v>5401848</v>
      </c>
      <c r="I1046">
        <v>112</v>
      </c>
      <c r="J1046" t="s">
        <v>166</v>
      </c>
      <c r="K1046" s="8" t="s">
        <v>742</v>
      </c>
      <c r="L1046" s="4" t="s">
        <v>78</v>
      </c>
      <c r="M1046" t="s">
        <v>681</v>
      </c>
      <c r="N1046" s="5">
        <v>30796921</v>
      </c>
      <c r="O1046" s="5">
        <v>26246</v>
      </c>
      <c r="P1046" s="5">
        <v>4987</v>
      </c>
      <c r="Q1046" s="5">
        <v>31233</v>
      </c>
    </row>
    <row r="1047" spans="1:17" x14ac:dyDescent="0.25">
      <c r="A1047" t="s">
        <v>512</v>
      </c>
      <c r="B1047" t="s">
        <v>494</v>
      </c>
      <c r="C1047">
        <v>96529310</v>
      </c>
      <c r="D1047">
        <v>38</v>
      </c>
      <c r="E1047">
        <v>30795261</v>
      </c>
      <c r="F1047" t="s">
        <v>634</v>
      </c>
      <c r="G1047" s="1">
        <v>45210</v>
      </c>
      <c r="H1047">
        <v>5401854</v>
      </c>
      <c r="I1047">
        <v>112</v>
      </c>
      <c r="J1047" t="s">
        <v>166</v>
      </c>
      <c r="K1047" s="8" t="s">
        <v>742</v>
      </c>
      <c r="L1047" s="4" t="s">
        <v>78</v>
      </c>
      <c r="M1047" t="s">
        <v>681</v>
      </c>
      <c r="N1047" s="5">
        <v>30795261</v>
      </c>
      <c r="O1047" s="5">
        <v>62280</v>
      </c>
      <c r="P1047" s="5">
        <v>11833</v>
      </c>
      <c r="Q1047" s="5">
        <v>74113</v>
      </c>
    </row>
    <row r="1048" spans="1:17" x14ac:dyDescent="0.25">
      <c r="A1048" t="s">
        <v>512</v>
      </c>
      <c r="B1048" t="s">
        <v>494</v>
      </c>
      <c r="C1048">
        <v>96529310</v>
      </c>
      <c r="D1048">
        <v>116</v>
      </c>
      <c r="E1048">
        <v>30795251</v>
      </c>
      <c r="F1048" t="s">
        <v>634</v>
      </c>
      <c r="G1048" s="1">
        <v>45210</v>
      </c>
      <c r="H1048">
        <v>5401855</v>
      </c>
      <c r="I1048">
        <v>112</v>
      </c>
      <c r="J1048" t="s">
        <v>166</v>
      </c>
      <c r="K1048" s="8" t="s">
        <v>742</v>
      </c>
      <c r="L1048" s="4" t="s">
        <v>78</v>
      </c>
      <c r="M1048" t="s">
        <v>681</v>
      </c>
      <c r="N1048" s="5">
        <v>30795251</v>
      </c>
      <c r="O1048" s="5">
        <v>132999</v>
      </c>
      <c r="P1048" s="5">
        <v>25270</v>
      </c>
      <c r="Q1048" s="5">
        <v>158269</v>
      </c>
    </row>
    <row r="1049" spans="1:17" x14ac:dyDescent="0.25">
      <c r="A1049" t="s">
        <v>512</v>
      </c>
      <c r="B1049" t="s">
        <v>494</v>
      </c>
      <c r="C1049">
        <v>96529310</v>
      </c>
      <c r="D1049">
        <v>20</v>
      </c>
      <c r="E1049">
        <v>30795253</v>
      </c>
      <c r="F1049" t="s">
        <v>634</v>
      </c>
      <c r="G1049" s="1">
        <v>45210</v>
      </c>
      <c r="H1049">
        <v>5401858</v>
      </c>
      <c r="I1049">
        <v>112</v>
      </c>
      <c r="J1049" t="s">
        <v>166</v>
      </c>
      <c r="K1049" s="8" t="s">
        <v>742</v>
      </c>
      <c r="L1049" s="4" t="s">
        <v>78</v>
      </c>
      <c r="M1049" t="s">
        <v>681</v>
      </c>
      <c r="N1049" s="5">
        <v>30795253</v>
      </c>
      <c r="O1049" s="5">
        <v>156442</v>
      </c>
      <c r="P1049" s="5">
        <v>29724</v>
      </c>
      <c r="Q1049" s="5">
        <v>186166</v>
      </c>
    </row>
    <row r="1050" spans="1:17" x14ac:dyDescent="0.25">
      <c r="A1050" t="s">
        <v>512</v>
      </c>
      <c r="B1050" t="s">
        <v>494</v>
      </c>
      <c r="C1050">
        <v>96529310</v>
      </c>
      <c r="D1050">
        <v>56</v>
      </c>
      <c r="E1050">
        <v>30795260</v>
      </c>
      <c r="F1050" t="s">
        <v>634</v>
      </c>
      <c r="G1050" s="1">
        <v>45210</v>
      </c>
      <c r="H1050">
        <v>5401860</v>
      </c>
      <c r="I1050">
        <v>112</v>
      </c>
      <c r="J1050" t="s">
        <v>166</v>
      </c>
      <c r="K1050" s="8" t="s">
        <v>742</v>
      </c>
      <c r="L1050" s="4" t="s">
        <v>78</v>
      </c>
      <c r="M1050" t="s">
        <v>681</v>
      </c>
      <c r="N1050" s="5">
        <v>30795260</v>
      </c>
      <c r="O1050" s="5">
        <v>118273</v>
      </c>
      <c r="P1050" s="5">
        <v>22472</v>
      </c>
      <c r="Q1050" s="5">
        <v>140745</v>
      </c>
    </row>
    <row r="1051" spans="1:17" x14ac:dyDescent="0.25">
      <c r="A1051" t="s">
        <v>512</v>
      </c>
      <c r="B1051" t="s">
        <v>494</v>
      </c>
      <c r="C1051">
        <v>96529310</v>
      </c>
      <c r="D1051">
        <v>10</v>
      </c>
      <c r="E1051">
        <v>30795279</v>
      </c>
      <c r="F1051" t="s">
        <v>634</v>
      </c>
      <c r="G1051" s="1">
        <v>45210</v>
      </c>
      <c r="H1051">
        <v>5401862</v>
      </c>
      <c r="I1051">
        <v>112</v>
      </c>
      <c r="J1051" t="s">
        <v>166</v>
      </c>
      <c r="K1051" s="8" t="s">
        <v>742</v>
      </c>
      <c r="L1051" s="4" t="s">
        <v>78</v>
      </c>
      <c r="M1051" t="s">
        <v>681</v>
      </c>
      <c r="N1051" s="5">
        <v>30795279</v>
      </c>
      <c r="O1051" s="5">
        <v>47954</v>
      </c>
      <c r="P1051" s="5">
        <v>9111</v>
      </c>
      <c r="Q1051" s="5">
        <v>57065</v>
      </c>
    </row>
    <row r="1052" spans="1:17" x14ac:dyDescent="0.25">
      <c r="A1052" t="s">
        <v>512</v>
      </c>
      <c r="B1052" t="s">
        <v>494</v>
      </c>
      <c r="C1052">
        <v>96529310</v>
      </c>
      <c r="D1052">
        <v>20</v>
      </c>
      <c r="E1052">
        <v>30795249</v>
      </c>
      <c r="F1052" t="s">
        <v>634</v>
      </c>
      <c r="G1052" s="1">
        <v>45210</v>
      </c>
      <c r="H1052">
        <v>5401867</v>
      </c>
      <c r="I1052">
        <v>112</v>
      </c>
      <c r="J1052" t="s">
        <v>166</v>
      </c>
      <c r="K1052" s="8" t="s">
        <v>742</v>
      </c>
      <c r="L1052" s="4" t="s">
        <v>78</v>
      </c>
      <c r="M1052" t="s">
        <v>681</v>
      </c>
      <c r="N1052" s="5">
        <v>30795249</v>
      </c>
      <c r="O1052" s="5">
        <v>121549</v>
      </c>
      <c r="P1052" s="5">
        <v>23094</v>
      </c>
      <c r="Q1052" s="5">
        <v>144643</v>
      </c>
    </row>
    <row r="1053" spans="1:17" x14ac:dyDescent="0.25">
      <c r="A1053" t="s">
        <v>512</v>
      </c>
      <c r="B1053" t="s">
        <v>494</v>
      </c>
      <c r="C1053">
        <v>96529310</v>
      </c>
      <c r="D1053">
        <v>90</v>
      </c>
      <c r="E1053">
        <v>30795240</v>
      </c>
      <c r="F1053" t="s">
        <v>634</v>
      </c>
      <c r="G1053" s="1">
        <v>45210</v>
      </c>
      <c r="H1053">
        <v>5401881</v>
      </c>
      <c r="I1053">
        <v>112</v>
      </c>
      <c r="J1053" t="s">
        <v>166</v>
      </c>
      <c r="K1053" s="8" t="s">
        <v>742</v>
      </c>
      <c r="L1053" s="4" t="s">
        <v>78</v>
      </c>
      <c r="M1053" t="s">
        <v>681</v>
      </c>
      <c r="N1053" s="5">
        <v>30795240</v>
      </c>
      <c r="O1053" s="5">
        <v>262854</v>
      </c>
      <c r="P1053" s="5">
        <v>49942</v>
      </c>
      <c r="Q1053" s="5">
        <v>312796</v>
      </c>
    </row>
    <row r="1054" spans="1:17" x14ac:dyDescent="0.25">
      <c r="A1054" t="s">
        <v>512</v>
      </c>
      <c r="B1054" t="s">
        <v>494</v>
      </c>
      <c r="C1054">
        <v>96529310</v>
      </c>
      <c r="D1054">
        <v>79</v>
      </c>
      <c r="E1054">
        <v>30795271</v>
      </c>
      <c r="F1054" t="s">
        <v>634</v>
      </c>
      <c r="G1054" s="1">
        <v>45210</v>
      </c>
      <c r="H1054">
        <v>5401883</v>
      </c>
      <c r="I1054">
        <v>112</v>
      </c>
      <c r="J1054" t="s">
        <v>166</v>
      </c>
      <c r="K1054" s="8" t="s">
        <v>742</v>
      </c>
      <c r="L1054" s="4" t="s">
        <v>78</v>
      </c>
      <c r="M1054" t="s">
        <v>681</v>
      </c>
      <c r="N1054" s="5">
        <v>30795271</v>
      </c>
      <c r="O1054" s="5">
        <v>139789</v>
      </c>
      <c r="P1054" s="5">
        <v>26560</v>
      </c>
      <c r="Q1054" s="5">
        <v>166349</v>
      </c>
    </row>
    <row r="1055" spans="1:17" x14ac:dyDescent="0.25">
      <c r="A1055" t="s">
        <v>512</v>
      </c>
      <c r="B1055" t="s">
        <v>494</v>
      </c>
      <c r="C1055">
        <v>96529310</v>
      </c>
      <c r="D1055">
        <v>146</v>
      </c>
      <c r="E1055">
        <v>30795278</v>
      </c>
      <c r="F1055" t="s">
        <v>634</v>
      </c>
      <c r="G1055" s="1">
        <v>45210</v>
      </c>
      <c r="H1055">
        <v>5401884</v>
      </c>
      <c r="I1055">
        <v>112</v>
      </c>
      <c r="J1055" t="s">
        <v>166</v>
      </c>
      <c r="K1055" s="8" t="s">
        <v>742</v>
      </c>
      <c r="L1055" s="4" t="s">
        <v>78</v>
      </c>
      <c r="M1055" t="s">
        <v>681</v>
      </c>
      <c r="N1055" s="5">
        <v>30795278</v>
      </c>
      <c r="O1055" s="5">
        <v>65169</v>
      </c>
      <c r="P1055" s="5">
        <v>12382</v>
      </c>
      <c r="Q1055" s="5">
        <v>77551</v>
      </c>
    </row>
    <row r="1056" spans="1:17" x14ac:dyDescent="0.25">
      <c r="A1056" t="s">
        <v>512</v>
      </c>
      <c r="B1056" t="s">
        <v>494</v>
      </c>
      <c r="C1056">
        <v>96529310</v>
      </c>
      <c r="D1056">
        <v>22</v>
      </c>
      <c r="E1056">
        <v>30796899</v>
      </c>
      <c r="F1056" t="s">
        <v>634</v>
      </c>
      <c r="G1056" s="1">
        <v>45210</v>
      </c>
      <c r="H1056">
        <v>5401902</v>
      </c>
      <c r="I1056">
        <v>112</v>
      </c>
      <c r="J1056" t="s">
        <v>166</v>
      </c>
      <c r="K1056" s="8" t="s">
        <v>742</v>
      </c>
      <c r="L1056" s="4" t="s">
        <v>78</v>
      </c>
      <c r="M1056" t="s">
        <v>681</v>
      </c>
      <c r="N1056" s="5">
        <v>30796899</v>
      </c>
      <c r="O1056" s="5">
        <v>70481</v>
      </c>
      <c r="P1056" s="5">
        <v>13391</v>
      </c>
      <c r="Q1056" s="5">
        <v>83872</v>
      </c>
    </row>
    <row r="1057" spans="1:17" x14ac:dyDescent="0.25">
      <c r="A1057" t="s">
        <v>512</v>
      </c>
      <c r="B1057" t="s">
        <v>494</v>
      </c>
      <c r="C1057">
        <v>96529310</v>
      </c>
      <c r="D1057">
        <v>39</v>
      </c>
      <c r="E1057">
        <v>30796914</v>
      </c>
      <c r="F1057" t="s">
        <v>634</v>
      </c>
      <c r="G1057" s="1">
        <v>45210</v>
      </c>
      <c r="H1057">
        <v>5401922</v>
      </c>
      <c r="I1057">
        <v>112</v>
      </c>
      <c r="J1057" t="s">
        <v>166</v>
      </c>
      <c r="K1057" s="8" t="s">
        <v>742</v>
      </c>
      <c r="L1057" s="4" t="s">
        <v>78</v>
      </c>
      <c r="M1057" t="s">
        <v>681</v>
      </c>
      <c r="N1057" s="5">
        <v>30796914</v>
      </c>
      <c r="O1057" s="5">
        <v>41698</v>
      </c>
      <c r="P1057" s="5">
        <v>7923</v>
      </c>
      <c r="Q1057" s="5">
        <v>49621</v>
      </c>
    </row>
    <row r="1058" spans="1:17" x14ac:dyDescent="0.25">
      <c r="A1058" t="s">
        <v>512</v>
      </c>
      <c r="B1058" t="s">
        <v>494</v>
      </c>
      <c r="C1058">
        <v>96529310</v>
      </c>
      <c r="D1058">
        <v>39</v>
      </c>
      <c r="E1058">
        <v>30796925</v>
      </c>
      <c r="F1058" t="s">
        <v>634</v>
      </c>
      <c r="G1058" s="1">
        <v>45210</v>
      </c>
      <c r="H1058">
        <v>5401923</v>
      </c>
      <c r="I1058">
        <v>112</v>
      </c>
      <c r="J1058" t="s">
        <v>166</v>
      </c>
      <c r="K1058" s="8" t="s">
        <v>742</v>
      </c>
      <c r="L1058" s="4" t="s">
        <v>78</v>
      </c>
      <c r="M1058" t="s">
        <v>681</v>
      </c>
      <c r="N1058" s="5">
        <v>30796925</v>
      </c>
      <c r="O1058" s="5">
        <v>23621</v>
      </c>
      <c r="P1058" s="5">
        <v>4488</v>
      </c>
      <c r="Q1058" s="5">
        <v>28109</v>
      </c>
    </row>
    <row r="1059" spans="1:17" x14ac:dyDescent="0.25">
      <c r="A1059" t="s">
        <v>512</v>
      </c>
      <c r="B1059" t="s">
        <v>494</v>
      </c>
      <c r="C1059">
        <v>96529310</v>
      </c>
      <c r="D1059">
        <v>22</v>
      </c>
      <c r="E1059">
        <v>30796907</v>
      </c>
      <c r="F1059" t="s">
        <v>634</v>
      </c>
      <c r="G1059" s="1">
        <v>45210</v>
      </c>
      <c r="H1059">
        <v>5401925</v>
      </c>
      <c r="I1059">
        <v>112</v>
      </c>
      <c r="J1059" t="s">
        <v>166</v>
      </c>
      <c r="K1059" s="8" t="s">
        <v>742</v>
      </c>
      <c r="L1059" s="4" t="s">
        <v>78</v>
      </c>
      <c r="M1059" t="s">
        <v>681</v>
      </c>
      <c r="N1059" s="5">
        <v>30796907</v>
      </c>
      <c r="O1059" s="5">
        <v>44231</v>
      </c>
      <c r="P1059" s="5">
        <v>8404</v>
      </c>
      <c r="Q1059" s="5">
        <v>52635</v>
      </c>
    </row>
    <row r="1060" spans="1:17" x14ac:dyDescent="0.25">
      <c r="A1060" t="s">
        <v>512</v>
      </c>
      <c r="B1060" t="s">
        <v>494</v>
      </c>
      <c r="C1060">
        <v>96529310</v>
      </c>
      <c r="D1060">
        <v>70</v>
      </c>
      <c r="E1060">
        <v>30796891</v>
      </c>
      <c r="F1060" t="s">
        <v>634</v>
      </c>
      <c r="G1060" s="1">
        <v>45210</v>
      </c>
      <c r="H1060">
        <v>5402090</v>
      </c>
      <c r="I1060">
        <v>112</v>
      </c>
      <c r="J1060" t="s">
        <v>166</v>
      </c>
      <c r="K1060" s="8" t="s">
        <v>742</v>
      </c>
      <c r="L1060" s="4" t="s">
        <v>78</v>
      </c>
      <c r="M1060" t="s">
        <v>681</v>
      </c>
      <c r="N1060" s="5">
        <v>30796891</v>
      </c>
      <c r="O1060" s="5">
        <v>52870</v>
      </c>
      <c r="P1060" s="5">
        <v>10045</v>
      </c>
      <c r="Q1060" s="5">
        <v>62915</v>
      </c>
    </row>
    <row r="1061" spans="1:17" x14ac:dyDescent="0.25">
      <c r="A1061" t="s">
        <v>512</v>
      </c>
      <c r="B1061" t="s">
        <v>494</v>
      </c>
      <c r="C1061">
        <v>96529310</v>
      </c>
      <c r="D1061">
        <v>63</v>
      </c>
      <c r="E1061">
        <v>30800872</v>
      </c>
      <c r="F1061" t="s">
        <v>634</v>
      </c>
      <c r="G1061" s="1">
        <v>45211</v>
      </c>
      <c r="H1061">
        <v>5402578</v>
      </c>
      <c r="I1061">
        <v>112</v>
      </c>
      <c r="J1061" t="s">
        <v>166</v>
      </c>
      <c r="K1061" s="8" t="s">
        <v>742</v>
      </c>
      <c r="L1061" s="4" t="s">
        <v>78</v>
      </c>
      <c r="M1061" t="s">
        <v>681</v>
      </c>
      <c r="N1061" s="5">
        <v>30800872</v>
      </c>
      <c r="O1061" s="5">
        <v>49733</v>
      </c>
      <c r="P1061" s="5">
        <v>9449</v>
      </c>
      <c r="Q1061" s="5">
        <v>59182</v>
      </c>
    </row>
    <row r="1062" spans="1:17" x14ac:dyDescent="0.25">
      <c r="A1062" t="s">
        <v>512</v>
      </c>
      <c r="B1062" t="s">
        <v>494</v>
      </c>
      <c r="C1062">
        <v>96529310</v>
      </c>
      <c r="D1062">
        <v>59</v>
      </c>
      <c r="E1062">
        <v>30800862</v>
      </c>
      <c r="F1062" t="s">
        <v>634</v>
      </c>
      <c r="G1062" s="1">
        <v>45211</v>
      </c>
      <c r="H1062">
        <v>5402791</v>
      </c>
      <c r="I1062">
        <v>112</v>
      </c>
      <c r="J1062" t="s">
        <v>166</v>
      </c>
      <c r="K1062" s="8" t="s">
        <v>742</v>
      </c>
      <c r="L1062" s="4" t="s">
        <v>78</v>
      </c>
      <c r="M1062" t="s">
        <v>681</v>
      </c>
      <c r="N1062" s="5">
        <v>30800862</v>
      </c>
      <c r="O1062" s="5">
        <v>60843</v>
      </c>
      <c r="P1062" s="5">
        <v>11560</v>
      </c>
      <c r="Q1062" s="5">
        <v>72403</v>
      </c>
    </row>
    <row r="1063" spans="1:17" x14ac:dyDescent="0.25">
      <c r="A1063" t="s">
        <v>512</v>
      </c>
      <c r="B1063" t="s">
        <v>494</v>
      </c>
      <c r="C1063">
        <v>96529310</v>
      </c>
      <c r="D1063">
        <v>59</v>
      </c>
      <c r="E1063">
        <v>30800927</v>
      </c>
      <c r="F1063" t="s">
        <v>634</v>
      </c>
      <c r="G1063" s="1">
        <v>45211</v>
      </c>
      <c r="H1063">
        <v>5402806</v>
      </c>
      <c r="I1063">
        <v>112</v>
      </c>
      <c r="J1063" t="s">
        <v>166</v>
      </c>
      <c r="K1063" s="8" t="s">
        <v>742</v>
      </c>
      <c r="L1063" s="4" t="s">
        <v>78</v>
      </c>
      <c r="M1063" t="s">
        <v>681</v>
      </c>
      <c r="N1063" s="5">
        <v>30800927</v>
      </c>
      <c r="O1063" s="5">
        <v>60156</v>
      </c>
      <c r="P1063" s="5">
        <v>11430</v>
      </c>
      <c r="Q1063" s="5">
        <v>71586</v>
      </c>
    </row>
    <row r="1064" spans="1:17" x14ac:dyDescent="0.25">
      <c r="A1064" t="s">
        <v>512</v>
      </c>
      <c r="B1064" t="s">
        <v>494</v>
      </c>
      <c r="C1064">
        <v>96529310</v>
      </c>
      <c r="D1064">
        <v>64</v>
      </c>
      <c r="E1064">
        <v>30800883</v>
      </c>
      <c r="F1064" t="s">
        <v>634</v>
      </c>
      <c r="G1064" s="1">
        <v>45211</v>
      </c>
      <c r="H1064">
        <v>5402831</v>
      </c>
      <c r="I1064">
        <v>112</v>
      </c>
      <c r="J1064" t="s">
        <v>166</v>
      </c>
      <c r="K1064" s="8" t="s">
        <v>742</v>
      </c>
      <c r="L1064" s="4" t="s">
        <v>78</v>
      </c>
      <c r="M1064" t="s">
        <v>681</v>
      </c>
      <c r="N1064" s="5">
        <v>30800883</v>
      </c>
      <c r="O1064" s="5">
        <v>66177</v>
      </c>
      <c r="P1064" s="5">
        <v>12574</v>
      </c>
      <c r="Q1064" s="5">
        <v>78751</v>
      </c>
    </row>
    <row r="1065" spans="1:17" x14ac:dyDescent="0.25">
      <c r="A1065" t="s">
        <v>512</v>
      </c>
      <c r="B1065" t="s">
        <v>494</v>
      </c>
      <c r="C1065">
        <v>96529310</v>
      </c>
      <c r="D1065">
        <v>64</v>
      </c>
      <c r="E1065">
        <v>30800891</v>
      </c>
      <c r="F1065" t="s">
        <v>634</v>
      </c>
      <c r="G1065" s="1">
        <v>45211</v>
      </c>
      <c r="H1065">
        <v>5402947</v>
      </c>
      <c r="I1065">
        <v>112</v>
      </c>
      <c r="J1065" t="s">
        <v>166</v>
      </c>
      <c r="K1065" s="8" t="s">
        <v>742</v>
      </c>
      <c r="L1065" s="4" t="s">
        <v>78</v>
      </c>
      <c r="M1065" t="s">
        <v>681</v>
      </c>
      <c r="N1065" s="5">
        <v>30800891</v>
      </c>
      <c r="O1065" s="5">
        <v>82919</v>
      </c>
      <c r="P1065" s="5">
        <v>15755</v>
      </c>
      <c r="Q1065" s="5">
        <v>98674</v>
      </c>
    </row>
    <row r="1066" spans="1:17" x14ac:dyDescent="0.25">
      <c r="A1066" t="s">
        <v>512</v>
      </c>
      <c r="B1066" t="s">
        <v>494</v>
      </c>
      <c r="C1066">
        <v>96529310</v>
      </c>
      <c r="D1066">
        <v>90</v>
      </c>
      <c r="E1066">
        <v>30801189</v>
      </c>
      <c r="F1066" t="s">
        <v>634</v>
      </c>
      <c r="G1066" s="1">
        <v>45211</v>
      </c>
      <c r="H1066">
        <v>5402980</v>
      </c>
      <c r="I1066">
        <v>112</v>
      </c>
      <c r="J1066" t="s">
        <v>166</v>
      </c>
      <c r="K1066" s="8" t="s">
        <v>742</v>
      </c>
      <c r="L1066" s="4" t="s">
        <v>78</v>
      </c>
      <c r="M1066" t="s">
        <v>681</v>
      </c>
      <c r="N1066" s="5">
        <v>30801189</v>
      </c>
      <c r="O1066" s="5">
        <v>64076</v>
      </c>
      <c r="P1066" s="5">
        <v>12174</v>
      </c>
      <c r="Q1066" s="5">
        <v>76250</v>
      </c>
    </row>
    <row r="1067" spans="1:17" x14ac:dyDescent="0.25">
      <c r="A1067" t="s">
        <v>512</v>
      </c>
      <c r="B1067" t="s">
        <v>494</v>
      </c>
      <c r="C1067">
        <v>96529310</v>
      </c>
      <c r="D1067">
        <v>68</v>
      </c>
      <c r="E1067">
        <v>30804284</v>
      </c>
      <c r="F1067" t="s">
        <v>634</v>
      </c>
      <c r="G1067" s="1">
        <v>45212</v>
      </c>
      <c r="H1067">
        <v>5403546</v>
      </c>
      <c r="I1067">
        <v>112</v>
      </c>
      <c r="J1067" t="s">
        <v>166</v>
      </c>
      <c r="K1067" s="8" t="s">
        <v>742</v>
      </c>
      <c r="L1067" s="4" t="s">
        <v>78</v>
      </c>
      <c r="M1067" t="s">
        <v>681</v>
      </c>
      <c r="N1067" s="5">
        <v>30804284</v>
      </c>
      <c r="O1067" s="5">
        <v>66012</v>
      </c>
      <c r="P1067" s="5">
        <v>12542</v>
      </c>
      <c r="Q1067" s="5">
        <v>78554</v>
      </c>
    </row>
    <row r="1068" spans="1:17" x14ac:dyDescent="0.25">
      <c r="A1068" t="s">
        <v>512</v>
      </c>
      <c r="B1068" t="s">
        <v>494</v>
      </c>
      <c r="C1068">
        <v>96529310</v>
      </c>
      <c r="D1068">
        <v>19</v>
      </c>
      <c r="E1068">
        <v>30809206</v>
      </c>
      <c r="F1068" t="s">
        <v>634</v>
      </c>
      <c r="G1068" s="1">
        <v>45215</v>
      </c>
      <c r="H1068">
        <v>5404801</v>
      </c>
      <c r="I1068">
        <v>112</v>
      </c>
      <c r="J1068" t="s">
        <v>166</v>
      </c>
      <c r="K1068" s="8" t="s">
        <v>742</v>
      </c>
      <c r="L1068" s="4" t="s">
        <v>78</v>
      </c>
      <c r="M1068" t="s">
        <v>681</v>
      </c>
      <c r="N1068" s="5">
        <v>30809206</v>
      </c>
      <c r="O1068" s="5">
        <v>26997</v>
      </c>
      <c r="P1068" s="5">
        <v>5129</v>
      </c>
      <c r="Q1068" s="5">
        <v>32126</v>
      </c>
    </row>
    <row r="1069" spans="1:17" x14ac:dyDescent="0.25">
      <c r="A1069" t="s">
        <v>512</v>
      </c>
      <c r="B1069" t="s">
        <v>494</v>
      </c>
      <c r="C1069">
        <v>96529310</v>
      </c>
      <c r="D1069">
        <v>69</v>
      </c>
      <c r="E1069">
        <v>30809189</v>
      </c>
      <c r="F1069" t="s">
        <v>634</v>
      </c>
      <c r="G1069" s="1">
        <v>45215</v>
      </c>
      <c r="H1069">
        <v>5404977</v>
      </c>
      <c r="I1069">
        <v>112</v>
      </c>
      <c r="J1069" t="s">
        <v>166</v>
      </c>
      <c r="K1069" s="8" t="s">
        <v>742</v>
      </c>
      <c r="L1069" s="4" t="s">
        <v>78</v>
      </c>
      <c r="M1069" t="s">
        <v>681</v>
      </c>
      <c r="N1069" s="5">
        <v>30809189</v>
      </c>
      <c r="O1069" s="5">
        <v>39194</v>
      </c>
      <c r="P1069" s="5">
        <v>7447</v>
      </c>
      <c r="Q1069" s="5">
        <v>46641</v>
      </c>
    </row>
    <row r="1070" spans="1:17" x14ac:dyDescent="0.25">
      <c r="A1070" t="s">
        <v>512</v>
      </c>
      <c r="B1070" t="s">
        <v>494</v>
      </c>
      <c r="C1070">
        <v>96529310</v>
      </c>
      <c r="D1070">
        <v>66</v>
      </c>
      <c r="E1070">
        <v>30809195</v>
      </c>
      <c r="F1070" t="s">
        <v>634</v>
      </c>
      <c r="G1070" s="1">
        <v>45215</v>
      </c>
      <c r="H1070">
        <v>5404978</v>
      </c>
      <c r="I1070">
        <v>112</v>
      </c>
      <c r="J1070" t="s">
        <v>166</v>
      </c>
      <c r="K1070" s="8" t="s">
        <v>742</v>
      </c>
      <c r="L1070" s="4" t="s">
        <v>78</v>
      </c>
      <c r="M1070" t="s">
        <v>681</v>
      </c>
      <c r="N1070" s="5">
        <v>30809195</v>
      </c>
      <c r="O1070" s="5">
        <v>49412</v>
      </c>
      <c r="P1070" s="5">
        <v>9388</v>
      </c>
      <c r="Q1070" s="5">
        <v>58800</v>
      </c>
    </row>
    <row r="1071" spans="1:17" x14ac:dyDescent="0.25">
      <c r="A1071" t="s">
        <v>512</v>
      </c>
      <c r="B1071" t="s">
        <v>494</v>
      </c>
      <c r="C1071">
        <v>96529310</v>
      </c>
      <c r="D1071">
        <v>2</v>
      </c>
      <c r="E1071">
        <v>30809222</v>
      </c>
      <c r="F1071" t="s">
        <v>634</v>
      </c>
      <c r="G1071" s="1">
        <v>45215</v>
      </c>
      <c r="H1071">
        <v>5404980</v>
      </c>
      <c r="I1071">
        <v>112</v>
      </c>
      <c r="J1071" t="s">
        <v>166</v>
      </c>
      <c r="K1071" s="8" t="s">
        <v>742</v>
      </c>
      <c r="L1071" s="4" t="s">
        <v>78</v>
      </c>
      <c r="M1071" t="s">
        <v>681</v>
      </c>
      <c r="N1071" s="5">
        <v>30809222</v>
      </c>
      <c r="O1071" s="5">
        <v>39937</v>
      </c>
      <c r="P1071" s="5">
        <v>7588</v>
      </c>
      <c r="Q1071" s="5">
        <v>47525</v>
      </c>
    </row>
    <row r="1072" spans="1:17" x14ac:dyDescent="0.25">
      <c r="A1072" t="s">
        <v>512</v>
      </c>
      <c r="B1072" t="s">
        <v>494</v>
      </c>
      <c r="C1072">
        <v>96529310</v>
      </c>
      <c r="D1072">
        <v>21</v>
      </c>
      <c r="E1072">
        <v>30809252</v>
      </c>
      <c r="F1072" t="s">
        <v>634</v>
      </c>
      <c r="G1072" s="1">
        <v>45215</v>
      </c>
      <c r="H1072">
        <v>5404987</v>
      </c>
      <c r="I1072">
        <v>112</v>
      </c>
      <c r="J1072" t="s">
        <v>166</v>
      </c>
      <c r="K1072" s="8" t="s">
        <v>742</v>
      </c>
      <c r="L1072" s="4" t="s">
        <v>78</v>
      </c>
      <c r="M1072" t="s">
        <v>681</v>
      </c>
      <c r="N1072" s="5">
        <v>30809252</v>
      </c>
      <c r="O1072" s="5">
        <v>54872</v>
      </c>
      <c r="P1072" s="5">
        <v>10426</v>
      </c>
      <c r="Q1072" s="5">
        <v>65298</v>
      </c>
    </row>
    <row r="1073" spans="1:17" x14ac:dyDescent="0.25">
      <c r="A1073" t="s">
        <v>512</v>
      </c>
      <c r="B1073" t="s">
        <v>494</v>
      </c>
      <c r="C1073">
        <v>96529310</v>
      </c>
      <c r="D1073">
        <v>19</v>
      </c>
      <c r="E1073">
        <v>30809199</v>
      </c>
      <c r="F1073" t="s">
        <v>634</v>
      </c>
      <c r="G1073" s="1">
        <v>45215</v>
      </c>
      <c r="H1073">
        <v>5404995</v>
      </c>
      <c r="I1073">
        <v>112</v>
      </c>
      <c r="J1073" t="s">
        <v>166</v>
      </c>
      <c r="K1073" s="8" t="s">
        <v>742</v>
      </c>
      <c r="L1073" s="4" t="s">
        <v>78</v>
      </c>
      <c r="M1073" t="s">
        <v>681</v>
      </c>
      <c r="N1073" s="5">
        <v>30809199</v>
      </c>
      <c r="O1073" s="5">
        <v>61085</v>
      </c>
      <c r="P1073" s="5">
        <v>11606</v>
      </c>
      <c r="Q1073" s="5">
        <v>72691</v>
      </c>
    </row>
    <row r="1074" spans="1:17" x14ac:dyDescent="0.25">
      <c r="A1074" t="s">
        <v>512</v>
      </c>
      <c r="B1074" t="s">
        <v>494</v>
      </c>
      <c r="C1074">
        <v>96529310</v>
      </c>
      <c r="D1074">
        <v>21</v>
      </c>
      <c r="E1074">
        <v>30809285</v>
      </c>
      <c r="F1074" t="s">
        <v>634</v>
      </c>
      <c r="G1074" s="1">
        <v>45215</v>
      </c>
      <c r="H1074">
        <v>5404997</v>
      </c>
      <c r="I1074">
        <v>112</v>
      </c>
      <c r="J1074" t="s">
        <v>166</v>
      </c>
      <c r="K1074" s="8" t="s">
        <v>742</v>
      </c>
      <c r="L1074" s="4" t="s">
        <v>78</v>
      </c>
      <c r="M1074" t="s">
        <v>681</v>
      </c>
      <c r="N1074" s="5">
        <v>30809285</v>
      </c>
      <c r="O1074" s="5">
        <v>17662</v>
      </c>
      <c r="P1074" s="5">
        <v>3356</v>
      </c>
      <c r="Q1074" s="5">
        <v>21018</v>
      </c>
    </row>
    <row r="1075" spans="1:17" x14ac:dyDescent="0.25">
      <c r="A1075" t="s">
        <v>512</v>
      </c>
      <c r="B1075" t="s">
        <v>494</v>
      </c>
      <c r="C1075">
        <v>96529310</v>
      </c>
      <c r="D1075">
        <v>2</v>
      </c>
      <c r="E1075">
        <v>30809230</v>
      </c>
      <c r="F1075" t="s">
        <v>634</v>
      </c>
      <c r="G1075" s="1">
        <v>45215</v>
      </c>
      <c r="H1075">
        <v>5404998</v>
      </c>
      <c r="I1075">
        <v>112</v>
      </c>
      <c r="J1075" t="s">
        <v>166</v>
      </c>
      <c r="K1075" s="8" t="s">
        <v>742</v>
      </c>
      <c r="L1075" s="4" t="s">
        <v>78</v>
      </c>
      <c r="M1075" t="s">
        <v>681</v>
      </c>
      <c r="N1075" s="5">
        <v>30809230</v>
      </c>
      <c r="O1075" s="5">
        <v>90249</v>
      </c>
      <c r="P1075" s="5">
        <v>17147</v>
      </c>
      <c r="Q1075" s="5">
        <v>107396</v>
      </c>
    </row>
    <row r="1076" spans="1:17" x14ac:dyDescent="0.25">
      <c r="A1076" t="s">
        <v>512</v>
      </c>
      <c r="B1076" t="s">
        <v>494</v>
      </c>
      <c r="C1076">
        <v>96529310</v>
      </c>
      <c r="D1076">
        <v>57</v>
      </c>
      <c r="E1076">
        <v>30809239</v>
      </c>
      <c r="F1076" t="s">
        <v>634</v>
      </c>
      <c r="G1076" s="1">
        <v>45215</v>
      </c>
      <c r="H1076">
        <v>5405002</v>
      </c>
      <c r="I1076">
        <v>112</v>
      </c>
      <c r="J1076" t="s">
        <v>166</v>
      </c>
      <c r="K1076" s="8" t="s">
        <v>742</v>
      </c>
      <c r="L1076" s="4" t="s">
        <v>78</v>
      </c>
      <c r="M1076" t="s">
        <v>681</v>
      </c>
      <c r="N1076" s="5">
        <v>30809239</v>
      </c>
      <c r="O1076" s="5">
        <v>73420</v>
      </c>
      <c r="P1076" s="5">
        <v>13950</v>
      </c>
      <c r="Q1076" s="5">
        <v>87370</v>
      </c>
    </row>
    <row r="1077" spans="1:17" x14ac:dyDescent="0.25">
      <c r="A1077" t="s">
        <v>512</v>
      </c>
      <c r="B1077" t="s">
        <v>494</v>
      </c>
      <c r="C1077">
        <v>96529310</v>
      </c>
      <c r="D1077">
        <v>17</v>
      </c>
      <c r="E1077">
        <v>30809277</v>
      </c>
      <c r="F1077" t="s">
        <v>634</v>
      </c>
      <c r="G1077" s="1">
        <v>45215</v>
      </c>
      <c r="H1077">
        <v>5405003</v>
      </c>
      <c r="I1077">
        <v>112</v>
      </c>
      <c r="J1077" t="s">
        <v>166</v>
      </c>
      <c r="K1077" s="8" t="s">
        <v>742</v>
      </c>
      <c r="L1077" s="4" t="s">
        <v>78</v>
      </c>
      <c r="M1077" t="s">
        <v>681</v>
      </c>
      <c r="N1077" s="5">
        <v>30809277</v>
      </c>
      <c r="O1077" s="5">
        <v>74139</v>
      </c>
      <c r="P1077" s="5">
        <v>14086</v>
      </c>
      <c r="Q1077" s="5">
        <v>88225</v>
      </c>
    </row>
    <row r="1078" spans="1:17" x14ac:dyDescent="0.25">
      <c r="A1078" t="s">
        <v>512</v>
      </c>
      <c r="B1078" t="s">
        <v>494</v>
      </c>
      <c r="C1078">
        <v>96529310</v>
      </c>
      <c r="D1078">
        <v>69</v>
      </c>
      <c r="E1078">
        <v>30809177</v>
      </c>
      <c r="F1078" t="s">
        <v>634</v>
      </c>
      <c r="G1078" s="1">
        <v>45215</v>
      </c>
      <c r="H1078">
        <v>5405036</v>
      </c>
      <c r="I1078">
        <v>112</v>
      </c>
      <c r="J1078" t="s">
        <v>166</v>
      </c>
      <c r="K1078" s="8" t="s">
        <v>742</v>
      </c>
      <c r="L1078" s="4" t="s">
        <v>78</v>
      </c>
      <c r="M1078" t="s">
        <v>681</v>
      </c>
      <c r="N1078" s="5">
        <v>30809177</v>
      </c>
      <c r="O1078" s="5">
        <v>28212</v>
      </c>
      <c r="P1078" s="5">
        <v>5360</v>
      </c>
      <c r="Q1078" s="5">
        <v>33572</v>
      </c>
    </row>
    <row r="1079" spans="1:17" x14ac:dyDescent="0.25">
      <c r="A1079" t="s">
        <v>512</v>
      </c>
      <c r="B1079" t="s">
        <v>494</v>
      </c>
      <c r="C1079">
        <v>96529310</v>
      </c>
      <c r="D1079">
        <v>21</v>
      </c>
      <c r="E1079">
        <v>30809264</v>
      </c>
      <c r="F1079" t="s">
        <v>634</v>
      </c>
      <c r="G1079" s="1">
        <v>45215</v>
      </c>
      <c r="H1079">
        <v>5405113</v>
      </c>
      <c r="I1079">
        <v>112</v>
      </c>
      <c r="J1079" t="s">
        <v>166</v>
      </c>
      <c r="K1079" s="8" t="s">
        <v>742</v>
      </c>
      <c r="L1079" s="4" t="s">
        <v>78</v>
      </c>
      <c r="M1079" t="s">
        <v>681</v>
      </c>
      <c r="N1079" s="5">
        <v>30809264</v>
      </c>
      <c r="O1079" s="5">
        <v>33996</v>
      </c>
      <c r="P1079" s="5">
        <v>6459</v>
      </c>
      <c r="Q1079" s="5">
        <v>40455</v>
      </c>
    </row>
    <row r="1080" spans="1:17" x14ac:dyDescent="0.25">
      <c r="A1080" t="s">
        <v>512</v>
      </c>
      <c r="B1080" t="s">
        <v>494</v>
      </c>
      <c r="C1080">
        <v>96529310</v>
      </c>
      <c r="D1080">
        <v>147</v>
      </c>
      <c r="E1080">
        <v>30809217</v>
      </c>
      <c r="F1080" t="s">
        <v>634</v>
      </c>
      <c r="G1080" s="1">
        <v>45215</v>
      </c>
      <c r="H1080">
        <v>5405204</v>
      </c>
      <c r="I1080">
        <v>112</v>
      </c>
      <c r="J1080" t="s">
        <v>166</v>
      </c>
      <c r="K1080" s="8" t="s">
        <v>742</v>
      </c>
      <c r="L1080" s="4" t="s">
        <v>78</v>
      </c>
      <c r="M1080" t="s">
        <v>681</v>
      </c>
      <c r="N1080" s="5">
        <v>30809217</v>
      </c>
      <c r="O1080" s="5">
        <v>189295</v>
      </c>
      <c r="P1080" s="5">
        <v>35966</v>
      </c>
      <c r="Q1080" s="5">
        <v>225261</v>
      </c>
    </row>
    <row r="1081" spans="1:17" x14ac:dyDescent="0.25">
      <c r="A1081" t="s">
        <v>512</v>
      </c>
      <c r="B1081" t="s">
        <v>494</v>
      </c>
      <c r="C1081">
        <v>96529310</v>
      </c>
      <c r="D1081">
        <v>20</v>
      </c>
      <c r="E1081">
        <v>30814711</v>
      </c>
      <c r="F1081" t="s">
        <v>634</v>
      </c>
      <c r="G1081" s="1">
        <v>45217</v>
      </c>
      <c r="H1081">
        <v>5405877</v>
      </c>
      <c r="I1081">
        <v>112</v>
      </c>
      <c r="J1081" t="s">
        <v>166</v>
      </c>
      <c r="K1081" s="8" t="s">
        <v>742</v>
      </c>
      <c r="L1081" s="4" t="s">
        <v>78</v>
      </c>
      <c r="M1081" t="s">
        <v>681</v>
      </c>
      <c r="N1081" s="5">
        <v>30814711</v>
      </c>
      <c r="O1081" s="5">
        <v>31574</v>
      </c>
      <c r="P1081" s="5">
        <v>5999</v>
      </c>
      <c r="Q1081" s="5">
        <v>37573</v>
      </c>
    </row>
    <row r="1082" spans="1:17" x14ac:dyDescent="0.25">
      <c r="A1082" t="s">
        <v>512</v>
      </c>
      <c r="B1082" t="s">
        <v>494</v>
      </c>
      <c r="C1082">
        <v>96529310</v>
      </c>
      <c r="D1082">
        <v>22</v>
      </c>
      <c r="E1082">
        <v>30814710</v>
      </c>
      <c r="F1082" t="s">
        <v>634</v>
      </c>
      <c r="G1082" s="1">
        <v>45217</v>
      </c>
      <c r="H1082">
        <v>5405878</v>
      </c>
      <c r="I1082">
        <v>112</v>
      </c>
      <c r="J1082" t="s">
        <v>166</v>
      </c>
      <c r="K1082" s="8" t="s">
        <v>742</v>
      </c>
      <c r="L1082" s="4" t="s">
        <v>78</v>
      </c>
      <c r="M1082" t="s">
        <v>681</v>
      </c>
      <c r="N1082" s="5">
        <v>30814710</v>
      </c>
      <c r="O1082" s="5">
        <v>26796</v>
      </c>
      <c r="P1082" s="5">
        <v>5091</v>
      </c>
      <c r="Q1082" s="5">
        <v>31887</v>
      </c>
    </row>
    <row r="1083" spans="1:17" x14ac:dyDescent="0.25">
      <c r="A1083" t="s">
        <v>512</v>
      </c>
      <c r="B1083" t="s">
        <v>494</v>
      </c>
      <c r="C1083">
        <v>96529310</v>
      </c>
      <c r="D1083">
        <v>65</v>
      </c>
      <c r="E1083">
        <v>30814709</v>
      </c>
      <c r="F1083" t="s">
        <v>634</v>
      </c>
      <c r="G1083" s="1">
        <v>45217</v>
      </c>
      <c r="H1083">
        <v>5405916</v>
      </c>
      <c r="I1083">
        <v>112</v>
      </c>
      <c r="J1083" t="s">
        <v>166</v>
      </c>
      <c r="K1083" s="8" t="s">
        <v>742</v>
      </c>
      <c r="L1083" s="4" t="s">
        <v>78</v>
      </c>
      <c r="M1083" t="s">
        <v>681</v>
      </c>
      <c r="N1083" s="5">
        <v>30814709</v>
      </c>
      <c r="O1083" s="5">
        <v>107864</v>
      </c>
      <c r="P1083" s="5">
        <v>20494</v>
      </c>
      <c r="Q1083" s="5">
        <v>128358</v>
      </c>
    </row>
    <row r="1084" spans="1:17" x14ac:dyDescent="0.25">
      <c r="A1084" t="s">
        <v>512</v>
      </c>
      <c r="B1084" t="s">
        <v>494</v>
      </c>
      <c r="C1084">
        <v>96529310</v>
      </c>
      <c r="D1084">
        <v>8</v>
      </c>
      <c r="E1084">
        <v>30814708</v>
      </c>
      <c r="F1084" t="s">
        <v>634</v>
      </c>
      <c r="G1084" s="1">
        <v>45217</v>
      </c>
      <c r="H1084">
        <v>5405920</v>
      </c>
      <c r="I1084">
        <v>112</v>
      </c>
      <c r="J1084" t="s">
        <v>166</v>
      </c>
      <c r="K1084" s="8" t="s">
        <v>742</v>
      </c>
      <c r="L1084" s="4" t="s">
        <v>78</v>
      </c>
      <c r="M1084" t="s">
        <v>681</v>
      </c>
      <c r="N1084" s="5">
        <v>30814708</v>
      </c>
      <c r="O1084" s="5">
        <v>40222</v>
      </c>
      <c r="P1084" s="5">
        <v>7642</v>
      </c>
      <c r="Q1084" s="5">
        <v>48487</v>
      </c>
    </row>
    <row r="1085" spans="1:17" x14ac:dyDescent="0.25">
      <c r="A1085" t="s">
        <v>512</v>
      </c>
      <c r="B1085" t="s">
        <v>494</v>
      </c>
      <c r="C1085">
        <v>96529310</v>
      </c>
      <c r="D1085">
        <v>17</v>
      </c>
      <c r="E1085">
        <v>30817960</v>
      </c>
      <c r="F1085" t="s">
        <v>634</v>
      </c>
      <c r="G1085" s="1">
        <v>45218</v>
      </c>
      <c r="H1085">
        <v>5406388</v>
      </c>
      <c r="I1085">
        <v>112</v>
      </c>
      <c r="J1085" t="s">
        <v>166</v>
      </c>
      <c r="K1085" s="8" t="s">
        <v>742</v>
      </c>
      <c r="L1085" s="4" t="s">
        <v>78</v>
      </c>
      <c r="M1085" t="s">
        <v>681</v>
      </c>
      <c r="N1085" s="5">
        <v>30817960</v>
      </c>
      <c r="O1085" s="5">
        <v>45792</v>
      </c>
      <c r="P1085" s="5">
        <v>8700</v>
      </c>
      <c r="Q1085" s="5">
        <v>54492</v>
      </c>
    </row>
    <row r="1086" spans="1:17" x14ac:dyDescent="0.25">
      <c r="A1086" t="s">
        <v>512</v>
      </c>
      <c r="B1086" t="s">
        <v>494</v>
      </c>
      <c r="C1086">
        <v>96529310</v>
      </c>
      <c r="D1086">
        <v>40</v>
      </c>
      <c r="E1086">
        <v>4702726354</v>
      </c>
      <c r="F1086" t="s">
        <v>634</v>
      </c>
      <c r="G1086" s="1">
        <v>45224</v>
      </c>
      <c r="H1086">
        <v>5408737</v>
      </c>
      <c r="I1086">
        <v>112</v>
      </c>
      <c r="J1086" t="s">
        <v>166</v>
      </c>
      <c r="K1086" s="8" t="s">
        <v>742</v>
      </c>
      <c r="L1086" s="4" t="s">
        <v>78</v>
      </c>
      <c r="M1086" t="s">
        <v>681</v>
      </c>
      <c r="N1086" s="5">
        <v>30831592</v>
      </c>
      <c r="O1086" s="5">
        <v>18820</v>
      </c>
      <c r="P1086" s="5">
        <v>3576</v>
      </c>
      <c r="Q1086" s="5">
        <v>22396</v>
      </c>
    </row>
    <row r="1087" spans="1:17" x14ac:dyDescent="0.25">
      <c r="F1087" t="s">
        <v>637</v>
      </c>
      <c r="K1087" t="s">
        <v>681</v>
      </c>
      <c r="L1087" s="4"/>
      <c r="M1087" t="s">
        <v>681</v>
      </c>
      <c r="N1087" s="5"/>
      <c r="O1087" s="5">
        <v>5485689</v>
      </c>
      <c r="P1087" s="5">
        <v>1042275</v>
      </c>
      <c r="Q1087" s="5">
        <v>6529144</v>
      </c>
    </row>
    <row r="1088" spans="1:17" x14ac:dyDescent="0.25">
      <c r="A1088" t="s">
        <v>503</v>
      </c>
      <c r="B1088" t="s">
        <v>494</v>
      </c>
      <c r="C1088">
        <v>96532330</v>
      </c>
      <c r="D1088">
        <v>4</v>
      </c>
      <c r="E1088">
        <v>4702613775</v>
      </c>
      <c r="F1088" t="s">
        <v>635</v>
      </c>
      <c r="G1088" s="1">
        <v>45209</v>
      </c>
      <c r="H1088">
        <v>5394484</v>
      </c>
      <c r="I1088">
        <v>112</v>
      </c>
      <c r="J1088" t="s">
        <v>166</v>
      </c>
      <c r="K1088" s="8" t="s">
        <v>742</v>
      </c>
      <c r="L1088" s="4" t="s">
        <v>73</v>
      </c>
      <c r="M1088" t="s">
        <v>681</v>
      </c>
      <c r="N1088" s="5">
        <v>30796230</v>
      </c>
      <c r="O1088" s="5">
        <v>2298144</v>
      </c>
      <c r="P1088" s="5">
        <v>436647</v>
      </c>
      <c r="Q1088" s="5">
        <v>2734791</v>
      </c>
    </row>
    <row r="1089" spans="1:17" x14ac:dyDescent="0.25">
      <c r="A1089" t="s">
        <v>503</v>
      </c>
      <c r="B1089" t="s">
        <v>494</v>
      </c>
      <c r="C1089">
        <v>96532330</v>
      </c>
      <c r="D1089">
        <v>3</v>
      </c>
      <c r="E1089">
        <v>30789307</v>
      </c>
      <c r="F1089" t="s">
        <v>635</v>
      </c>
      <c r="G1089" s="1">
        <v>45209</v>
      </c>
      <c r="H1089">
        <v>5399942</v>
      </c>
      <c r="I1089">
        <v>112</v>
      </c>
      <c r="J1089" t="s">
        <v>166</v>
      </c>
      <c r="K1089" s="7" t="s">
        <v>743</v>
      </c>
      <c r="L1089" s="4" t="s">
        <v>73</v>
      </c>
      <c r="M1089">
        <v>1017730779</v>
      </c>
      <c r="N1089" s="5">
        <v>30789307</v>
      </c>
      <c r="O1089" s="5">
        <v>31816</v>
      </c>
      <c r="P1089" s="5">
        <v>6045</v>
      </c>
      <c r="Q1089" s="5">
        <v>37861</v>
      </c>
    </row>
    <row r="1090" spans="1:17" x14ac:dyDescent="0.25">
      <c r="A1090" t="s">
        <v>503</v>
      </c>
      <c r="B1090" t="s">
        <v>494</v>
      </c>
      <c r="C1090">
        <v>96532330</v>
      </c>
      <c r="D1090">
        <v>2</v>
      </c>
      <c r="E1090">
        <v>30806491</v>
      </c>
      <c r="F1090" t="s">
        <v>635</v>
      </c>
      <c r="G1090" s="1">
        <v>45215</v>
      </c>
      <c r="H1090">
        <v>5404386</v>
      </c>
      <c r="I1090">
        <v>112</v>
      </c>
      <c r="J1090" t="s">
        <v>166</v>
      </c>
      <c r="K1090" s="8" t="s">
        <v>742</v>
      </c>
      <c r="L1090" s="4" t="s">
        <v>73</v>
      </c>
      <c r="M1090" t="s">
        <v>681</v>
      </c>
      <c r="N1090" s="5">
        <v>30806491</v>
      </c>
      <c r="O1090" s="5">
        <v>539821</v>
      </c>
      <c r="P1090" s="5">
        <v>102566</v>
      </c>
      <c r="Q1090" s="5">
        <v>642387</v>
      </c>
    </row>
    <row r="1091" spans="1:17" x14ac:dyDescent="0.25">
      <c r="F1091" t="s">
        <v>500</v>
      </c>
      <c r="K1091" t="s">
        <v>681</v>
      </c>
      <c r="L1091" s="4"/>
      <c r="M1091" t="s">
        <v>681</v>
      </c>
      <c r="N1091" s="5"/>
      <c r="O1091" s="5">
        <v>2869781</v>
      </c>
      <c r="P1091" s="5">
        <v>545258</v>
      </c>
      <c r="Q1091" s="5">
        <v>3415039</v>
      </c>
    </row>
    <row r="1092" spans="1:17" x14ac:dyDescent="0.25">
      <c r="A1092" t="s">
        <v>503</v>
      </c>
      <c r="B1092" t="s">
        <v>494</v>
      </c>
      <c r="C1092">
        <v>96543670</v>
      </c>
      <c r="D1092">
        <v>33</v>
      </c>
      <c r="E1092">
        <v>4500162380</v>
      </c>
      <c r="F1092" t="s">
        <v>740</v>
      </c>
      <c r="G1092" s="1">
        <v>45224</v>
      </c>
      <c r="H1092">
        <v>5408598</v>
      </c>
      <c r="I1092">
        <v>63</v>
      </c>
      <c r="J1092" t="s">
        <v>170</v>
      </c>
      <c r="K1092" s="8" t="s">
        <v>742</v>
      </c>
      <c r="L1092" s="4"/>
      <c r="M1092" t="s">
        <v>681</v>
      </c>
      <c r="N1092" s="5">
        <v>30796258</v>
      </c>
      <c r="O1092" s="5">
        <v>329646</v>
      </c>
      <c r="P1092" s="5">
        <v>62633</v>
      </c>
      <c r="Q1092" s="5">
        <v>392279</v>
      </c>
    </row>
    <row r="1093" spans="1:17" x14ac:dyDescent="0.25">
      <c r="F1093" t="s">
        <v>495</v>
      </c>
      <c r="K1093" t="s">
        <v>681</v>
      </c>
      <c r="L1093" s="4"/>
      <c r="M1093" t="s">
        <v>681</v>
      </c>
      <c r="N1093" s="5"/>
      <c r="O1093" s="5">
        <v>329646</v>
      </c>
      <c r="P1093" s="5">
        <v>62633</v>
      </c>
      <c r="Q1093" s="5">
        <v>392279</v>
      </c>
    </row>
    <row r="1094" spans="1:17" x14ac:dyDescent="0.25">
      <c r="A1094" t="s">
        <v>496</v>
      </c>
      <c r="B1094" t="s">
        <v>494</v>
      </c>
      <c r="C1094">
        <v>96609320</v>
      </c>
      <c r="D1094">
        <v>0</v>
      </c>
      <c r="E1094">
        <v>4500221121</v>
      </c>
      <c r="F1094" t="s">
        <v>810</v>
      </c>
      <c r="G1094" s="1">
        <v>45227</v>
      </c>
      <c r="H1094">
        <v>5409429</v>
      </c>
      <c r="I1094">
        <v>441</v>
      </c>
      <c r="J1094" t="s">
        <v>119</v>
      </c>
      <c r="K1094" s="8" t="s">
        <v>742</v>
      </c>
      <c r="L1094" s="4" t="s">
        <v>46</v>
      </c>
      <c r="M1094" t="s">
        <v>681</v>
      </c>
      <c r="N1094" s="5">
        <v>30833625</v>
      </c>
      <c r="O1094" s="5">
        <v>52630</v>
      </c>
      <c r="P1094" s="5">
        <v>10000</v>
      </c>
      <c r="Q1094" s="5">
        <v>62630</v>
      </c>
    </row>
    <row r="1095" spans="1:17" x14ac:dyDescent="0.25">
      <c r="A1095" t="s">
        <v>496</v>
      </c>
      <c r="B1095" t="s">
        <v>494</v>
      </c>
      <c r="C1095">
        <v>96609320</v>
      </c>
      <c r="D1095">
        <v>0</v>
      </c>
      <c r="E1095">
        <v>4500221138</v>
      </c>
      <c r="F1095" t="s">
        <v>810</v>
      </c>
      <c r="G1095" s="1">
        <v>45230</v>
      </c>
      <c r="H1095">
        <v>5410282</v>
      </c>
      <c r="I1095">
        <v>441</v>
      </c>
      <c r="J1095" t="s">
        <v>119</v>
      </c>
      <c r="K1095" s="8" t="s">
        <v>742</v>
      </c>
      <c r="L1095" s="4" t="s">
        <v>46</v>
      </c>
      <c r="M1095" t="s">
        <v>681</v>
      </c>
      <c r="N1095" s="5">
        <v>30837953</v>
      </c>
      <c r="O1095" s="5">
        <v>184412</v>
      </c>
      <c r="P1095" s="5">
        <v>35038</v>
      </c>
      <c r="Q1095" s="5">
        <v>219450</v>
      </c>
    </row>
    <row r="1096" spans="1:17" x14ac:dyDescent="0.25">
      <c r="A1096" t="s">
        <v>496</v>
      </c>
      <c r="B1096" t="s">
        <v>494</v>
      </c>
      <c r="C1096">
        <v>96609320</v>
      </c>
      <c r="D1096">
        <v>0</v>
      </c>
      <c r="E1096">
        <v>4500221129</v>
      </c>
      <c r="F1096" t="s">
        <v>810</v>
      </c>
      <c r="G1096" s="1">
        <v>45230</v>
      </c>
      <c r="H1096">
        <v>5410284</v>
      </c>
      <c r="I1096">
        <v>441</v>
      </c>
      <c r="J1096" t="s">
        <v>119</v>
      </c>
      <c r="K1096" s="8" t="s">
        <v>742</v>
      </c>
      <c r="L1096" s="4" t="s">
        <v>46</v>
      </c>
      <c r="M1096" t="s">
        <v>681</v>
      </c>
      <c r="N1096" s="5">
        <v>30834473</v>
      </c>
      <c r="O1096" s="5">
        <v>286435</v>
      </c>
      <c r="P1096" s="5">
        <v>54423</v>
      </c>
      <c r="Q1096" s="5">
        <v>340858</v>
      </c>
    </row>
    <row r="1097" spans="1:17" x14ac:dyDescent="0.25">
      <c r="A1097" t="s">
        <v>496</v>
      </c>
      <c r="B1097" t="s">
        <v>494</v>
      </c>
      <c r="C1097">
        <v>96609320</v>
      </c>
      <c r="D1097">
        <v>0</v>
      </c>
      <c r="E1097">
        <v>4500221125</v>
      </c>
      <c r="F1097" t="s">
        <v>810</v>
      </c>
      <c r="G1097" s="1">
        <v>45230</v>
      </c>
      <c r="H1097">
        <v>5410285</v>
      </c>
      <c r="I1097">
        <v>441</v>
      </c>
      <c r="J1097" t="s">
        <v>119</v>
      </c>
      <c r="K1097" s="8" t="s">
        <v>742</v>
      </c>
      <c r="L1097" s="4" t="s">
        <v>46</v>
      </c>
      <c r="M1097" t="s">
        <v>681</v>
      </c>
      <c r="N1097" s="5">
        <v>30833633</v>
      </c>
      <c r="O1097" s="5">
        <v>152665</v>
      </c>
      <c r="P1097" s="5">
        <v>29006</v>
      </c>
      <c r="Q1097" s="5">
        <v>181671</v>
      </c>
    </row>
    <row r="1098" spans="1:17" x14ac:dyDescent="0.25">
      <c r="A1098" t="s">
        <v>496</v>
      </c>
      <c r="B1098" t="s">
        <v>494</v>
      </c>
      <c r="C1098">
        <v>96609320</v>
      </c>
      <c r="D1098">
        <v>0</v>
      </c>
      <c r="E1098">
        <v>4500221162</v>
      </c>
      <c r="F1098" t="s">
        <v>810</v>
      </c>
      <c r="G1098" s="1">
        <v>45230</v>
      </c>
      <c r="H1098">
        <v>5410289</v>
      </c>
      <c r="I1098">
        <v>441</v>
      </c>
      <c r="J1098" t="s">
        <v>119</v>
      </c>
      <c r="K1098" s="8" t="s">
        <v>742</v>
      </c>
      <c r="L1098" s="4" t="s">
        <v>46</v>
      </c>
      <c r="M1098" t="s">
        <v>681</v>
      </c>
      <c r="N1098" s="5">
        <v>30833129</v>
      </c>
      <c r="O1098" s="5">
        <v>138134</v>
      </c>
      <c r="P1098" s="5">
        <v>26245</v>
      </c>
      <c r="Q1098" s="5">
        <v>164379</v>
      </c>
    </row>
    <row r="1099" spans="1:17" x14ac:dyDescent="0.25">
      <c r="A1099" t="s">
        <v>496</v>
      </c>
      <c r="B1099" t="s">
        <v>494</v>
      </c>
      <c r="C1099">
        <v>96609320</v>
      </c>
      <c r="D1099">
        <v>0</v>
      </c>
      <c r="E1099">
        <v>4500221157</v>
      </c>
      <c r="F1099" t="s">
        <v>810</v>
      </c>
      <c r="G1099" s="1">
        <v>45230</v>
      </c>
      <c r="H1099">
        <v>5410290</v>
      </c>
      <c r="I1099">
        <v>441</v>
      </c>
      <c r="J1099" t="s">
        <v>119</v>
      </c>
      <c r="K1099" s="8" t="s">
        <v>742</v>
      </c>
      <c r="L1099" s="4" t="s">
        <v>46</v>
      </c>
      <c r="M1099" t="s">
        <v>681</v>
      </c>
      <c r="N1099" s="5">
        <v>30834563</v>
      </c>
      <c r="O1099" s="5">
        <v>112386</v>
      </c>
      <c r="P1099" s="5">
        <v>21353</v>
      </c>
      <c r="Q1099" s="5">
        <v>133739</v>
      </c>
    </row>
    <row r="1100" spans="1:17" x14ac:dyDescent="0.25">
      <c r="A1100" t="s">
        <v>496</v>
      </c>
      <c r="B1100" t="s">
        <v>494</v>
      </c>
      <c r="C1100">
        <v>96609320</v>
      </c>
      <c r="D1100">
        <v>0</v>
      </c>
      <c r="E1100">
        <v>4500221188</v>
      </c>
      <c r="F1100" t="s">
        <v>810</v>
      </c>
      <c r="G1100" s="1">
        <v>45230</v>
      </c>
      <c r="H1100">
        <v>5410311</v>
      </c>
      <c r="I1100">
        <v>441</v>
      </c>
      <c r="J1100" t="s">
        <v>119</v>
      </c>
      <c r="K1100" s="8" t="s">
        <v>742</v>
      </c>
      <c r="L1100" s="4" t="s">
        <v>46</v>
      </c>
      <c r="M1100" t="s">
        <v>681</v>
      </c>
      <c r="N1100" s="5">
        <v>30833597</v>
      </c>
      <c r="O1100" s="5">
        <v>2616</v>
      </c>
      <c r="P1100" s="5">
        <v>497</v>
      </c>
      <c r="Q1100" s="5">
        <v>3113</v>
      </c>
    </row>
    <row r="1101" spans="1:17" x14ac:dyDescent="0.25">
      <c r="A1101" t="s">
        <v>496</v>
      </c>
      <c r="B1101" t="s">
        <v>494</v>
      </c>
      <c r="C1101">
        <v>96609320</v>
      </c>
      <c r="D1101">
        <v>0</v>
      </c>
      <c r="E1101">
        <v>4500221190</v>
      </c>
      <c r="F1101" t="s">
        <v>810</v>
      </c>
      <c r="G1101" s="1">
        <v>45230</v>
      </c>
      <c r="H1101">
        <v>5410336</v>
      </c>
      <c r="I1101">
        <v>441</v>
      </c>
      <c r="J1101" t="s">
        <v>119</v>
      </c>
      <c r="K1101" s="8" t="s">
        <v>742</v>
      </c>
      <c r="L1101" s="4" t="s">
        <v>46</v>
      </c>
      <c r="M1101" t="s">
        <v>681</v>
      </c>
      <c r="N1101" s="5">
        <v>30833601</v>
      </c>
      <c r="O1101" s="5">
        <v>905</v>
      </c>
      <c r="P1101" s="5">
        <v>172</v>
      </c>
      <c r="Q1101" s="5">
        <v>1077</v>
      </c>
    </row>
    <row r="1102" spans="1:17" x14ac:dyDescent="0.25">
      <c r="A1102" t="s">
        <v>496</v>
      </c>
      <c r="B1102" t="s">
        <v>494</v>
      </c>
      <c r="C1102">
        <v>96609320</v>
      </c>
      <c r="D1102">
        <v>0</v>
      </c>
      <c r="E1102">
        <v>4500221149</v>
      </c>
      <c r="F1102" t="s">
        <v>810</v>
      </c>
      <c r="G1102" s="1">
        <v>45230</v>
      </c>
      <c r="H1102">
        <v>5410337</v>
      </c>
      <c r="I1102">
        <v>441</v>
      </c>
      <c r="J1102" t="s">
        <v>119</v>
      </c>
      <c r="K1102" s="8" t="s">
        <v>742</v>
      </c>
      <c r="L1102" s="4" t="s">
        <v>46</v>
      </c>
      <c r="M1102" t="s">
        <v>681</v>
      </c>
      <c r="N1102" s="5">
        <v>30834266</v>
      </c>
      <c r="O1102" s="5">
        <v>326201</v>
      </c>
      <c r="P1102" s="5">
        <v>61978</v>
      </c>
      <c r="Q1102" s="5">
        <v>388179</v>
      </c>
    </row>
    <row r="1103" spans="1:17" x14ac:dyDescent="0.25">
      <c r="A1103" t="s">
        <v>496</v>
      </c>
      <c r="B1103" t="s">
        <v>494</v>
      </c>
      <c r="C1103">
        <v>96609320</v>
      </c>
      <c r="D1103">
        <v>0</v>
      </c>
      <c r="E1103">
        <v>4500221149</v>
      </c>
      <c r="F1103" t="s">
        <v>810</v>
      </c>
      <c r="G1103" s="1">
        <v>45230</v>
      </c>
      <c r="H1103">
        <v>5410338</v>
      </c>
      <c r="I1103">
        <v>441</v>
      </c>
      <c r="J1103" t="s">
        <v>119</v>
      </c>
      <c r="K1103" s="8" t="s">
        <v>742</v>
      </c>
      <c r="L1103" s="4" t="s">
        <v>46</v>
      </c>
      <c r="M1103" t="s">
        <v>681</v>
      </c>
      <c r="N1103" s="5">
        <v>30834266</v>
      </c>
      <c r="O1103" s="5">
        <v>82333</v>
      </c>
      <c r="P1103" s="5">
        <v>15643</v>
      </c>
      <c r="Q1103" s="5">
        <v>97976</v>
      </c>
    </row>
    <row r="1104" spans="1:17" x14ac:dyDescent="0.25">
      <c r="F1104" t="s">
        <v>533</v>
      </c>
      <c r="K1104" t="s">
        <v>681</v>
      </c>
      <c r="L1104" s="4"/>
      <c r="M1104" t="s">
        <v>681</v>
      </c>
      <c r="N1104" s="5"/>
      <c r="O1104" s="5">
        <v>1338717</v>
      </c>
      <c r="P1104" s="5">
        <v>254355</v>
      </c>
      <c r="Q1104" s="5">
        <v>1593072</v>
      </c>
    </row>
    <row r="1105" spans="1:17" x14ac:dyDescent="0.25">
      <c r="A1105" t="s">
        <v>520</v>
      </c>
      <c r="B1105" t="s">
        <v>494</v>
      </c>
      <c r="C1105">
        <v>96667560</v>
      </c>
      <c r="D1105">
        <v>36</v>
      </c>
      <c r="E1105">
        <v>30790500</v>
      </c>
      <c r="F1105" t="s">
        <v>638</v>
      </c>
      <c r="G1105" s="1">
        <v>45210</v>
      </c>
      <c r="H1105">
        <v>5400096</v>
      </c>
      <c r="I1105">
        <v>81</v>
      </c>
      <c r="J1105" t="s">
        <v>144</v>
      </c>
      <c r="K1105" s="8" t="s">
        <v>742</v>
      </c>
      <c r="L1105" s="4"/>
      <c r="M1105" t="s">
        <v>681</v>
      </c>
      <c r="N1105" s="5">
        <v>30790500</v>
      </c>
      <c r="O1105" s="5">
        <v>43806</v>
      </c>
      <c r="P1105" s="5">
        <v>8323</v>
      </c>
      <c r="Q1105" s="5">
        <v>52129</v>
      </c>
    </row>
    <row r="1106" spans="1:17" x14ac:dyDescent="0.25">
      <c r="A1106" t="s">
        <v>520</v>
      </c>
      <c r="B1106" t="s">
        <v>494</v>
      </c>
      <c r="C1106">
        <v>96667560</v>
      </c>
      <c r="D1106">
        <v>49</v>
      </c>
      <c r="E1106">
        <v>30790396</v>
      </c>
      <c r="F1106" t="s">
        <v>638</v>
      </c>
      <c r="G1106" s="1">
        <v>45209</v>
      </c>
      <c r="H1106">
        <v>5400163</v>
      </c>
      <c r="I1106">
        <v>81</v>
      </c>
      <c r="J1106" t="s">
        <v>144</v>
      </c>
      <c r="K1106" s="8" t="s">
        <v>742</v>
      </c>
      <c r="L1106" s="4"/>
      <c r="M1106" t="s">
        <v>681</v>
      </c>
      <c r="N1106" s="5">
        <v>30790396</v>
      </c>
      <c r="O1106" s="5">
        <v>24409</v>
      </c>
      <c r="P1106" s="5">
        <v>4638</v>
      </c>
      <c r="Q1106" s="5">
        <v>29047</v>
      </c>
    </row>
    <row r="1107" spans="1:17" x14ac:dyDescent="0.25">
      <c r="A1107" t="s">
        <v>520</v>
      </c>
      <c r="B1107" t="s">
        <v>494</v>
      </c>
      <c r="C1107">
        <v>96667560</v>
      </c>
      <c r="D1107">
        <v>30</v>
      </c>
      <c r="E1107">
        <v>30790403</v>
      </c>
      <c r="F1107" t="s">
        <v>638</v>
      </c>
      <c r="G1107" s="1">
        <v>45209</v>
      </c>
      <c r="H1107">
        <v>5400177</v>
      </c>
      <c r="I1107">
        <v>81</v>
      </c>
      <c r="J1107" t="s">
        <v>144</v>
      </c>
      <c r="K1107" s="8" t="s">
        <v>742</v>
      </c>
      <c r="L1107" s="4"/>
      <c r="M1107" t="s">
        <v>681</v>
      </c>
      <c r="N1107" s="5">
        <v>30790403</v>
      </c>
      <c r="O1107" s="5">
        <v>23753</v>
      </c>
      <c r="P1107" s="5">
        <v>4513</v>
      </c>
      <c r="Q1107" s="5">
        <v>28266</v>
      </c>
    </row>
    <row r="1108" spans="1:17" x14ac:dyDescent="0.25">
      <c r="A1108" t="s">
        <v>520</v>
      </c>
      <c r="B1108" t="s">
        <v>494</v>
      </c>
      <c r="C1108">
        <v>96667560</v>
      </c>
      <c r="D1108">
        <v>2</v>
      </c>
      <c r="E1108">
        <v>30791355</v>
      </c>
      <c r="F1108" t="s">
        <v>638</v>
      </c>
      <c r="G1108" s="1">
        <v>45206</v>
      </c>
      <c r="H1108">
        <v>5400339</v>
      </c>
      <c r="I1108">
        <v>81</v>
      </c>
      <c r="J1108" t="s">
        <v>144</v>
      </c>
      <c r="K1108" s="8" t="s">
        <v>742</v>
      </c>
      <c r="L1108" s="4"/>
      <c r="M1108" t="s">
        <v>681</v>
      </c>
      <c r="N1108" s="5">
        <v>30791355</v>
      </c>
      <c r="O1108" s="5">
        <v>26881</v>
      </c>
      <c r="P1108" s="5">
        <v>5107</v>
      </c>
      <c r="Q1108" s="5">
        <v>31988</v>
      </c>
    </row>
    <row r="1109" spans="1:17" x14ac:dyDescent="0.25">
      <c r="A1109" t="s">
        <v>520</v>
      </c>
      <c r="B1109" t="s">
        <v>494</v>
      </c>
      <c r="C1109">
        <v>96667560</v>
      </c>
      <c r="D1109">
        <v>27</v>
      </c>
      <c r="E1109">
        <v>30791900</v>
      </c>
      <c r="F1109" t="s">
        <v>638</v>
      </c>
      <c r="G1109" s="1">
        <v>45206</v>
      </c>
      <c r="H1109">
        <v>5400370</v>
      </c>
      <c r="I1109">
        <v>81</v>
      </c>
      <c r="J1109" t="s">
        <v>144</v>
      </c>
      <c r="K1109" s="8" t="s">
        <v>742</v>
      </c>
      <c r="L1109" s="4"/>
      <c r="M1109" t="s">
        <v>681</v>
      </c>
      <c r="N1109" s="5">
        <v>30791900</v>
      </c>
      <c r="O1109" s="5">
        <v>22912</v>
      </c>
      <c r="P1109" s="5">
        <v>4353</v>
      </c>
      <c r="Q1109" s="5">
        <v>27265</v>
      </c>
    </row>
    <row r="1110" spans="1:17" x14ac:dyDescent="0.25">
      <c r="A1110" t="s">
        <v>520</v>
      </c>
      <c r="B1110" t="s">
        <v>494</v>
      </c>
      <c r="C1110">
        <v>96667560</v>
      </c>
      <c r="D1110">
        <v>45</v>
      </c>
      <c r="E1110">
        <v>30792496</v>
      </c>
      <c r="F1110" t="s">
        <v>638</v>
      </c>
      <c r="G1110" s="1">
        <v>45209</v>
      </c>
      <c r="H1110">
        <v>5400399</v>
      </c>
      <c r="I1110">
        <v>81</v>
      </c>
      <c r="J1110" t="s">
        <v>144</v>
      </c>
      <c r="K1110" s="8" t="s">
        <v>742</v>
      </c>
      <c r="L1110" s="4"/>
      <c r="M1110" t="s">
        <v>681</v>
      </c>
      <c r="N1110" s="5">
        <v>30792496</v>
      </c>
      <c r="O1110" s="5">
        <v>24376</v>
      </c>
      <c r="P1110" s="5">
        <v>4631</v>
      </c>
      <c r="Q1110" s="5">
        <v>29007</v>
      </c>
    </row>
    <row r="1111" spans="1:17" x14ac:dyDescent="0.25">
      <c r="A1111" t="s">
        <v>520</v>
      </c>
      <c r="B1111" t="s">
        <v>494</v>
      </c>
      <c r="C1111">
        <v>96667560</v>
      </c>
      <c r="D1111">
        <v>15</v>
      </c>
      <c r="E1111">
        <v>30792318</v>
      </c>
      <c r="F1111" t="s">
        <v>638</v>
      </c>
      <c r="G1111" s="1">
        <v>45206</v>
      </c>
      <c r="H1111">
        <v>5400447</v>
      </c>
      <c r="I1111">
        <v>81</v>
      </c>
      <c r="J1111" t="s">
        <v>144</v>
      </c>
      <c r="K1111" s="8" t="s">
        <v>742</v>
      </c>
      <c r="L1111" s="4"/>
      <c r="M1111" t="s">
        <v>681</v>
      </c>
      <c r="N1111" s="5">
        <v>30792318</v>
      </c>
      <c r="O1111" s="5">
        <v>40489</v>
      </c>
      <c r="P1111" s="5">
        <v>7693</v>
      </c>
      <c r="Q1111" s="5">
        <v>48182</v>
      </c>
    </row>
    <row r="1112" spans="1:17" x14ac:dyDescent="0.25">
      <c r="A1112" t="s">
        <v>520</v>
      </c>
      <c r="B1112" t="s">
        <v>494</v>
      </c>
      <c r="C1112">
        <v>96667560</v>
      </c>
      <c r="D1112">
        <v>8</v>
      </c>
      <c r="E1112">
        <v>30791235</v>
      </c>
      <c r="F1112" t="s">
        <v>638</v>
      </c>
      <c r="G1112" s="1">
        <v>45206</v>
      </c>
      <c r="H1112">
        <v>5400449</v>
      </c>
      <c r="I1112">
        <v>81</v>
      </c>
      <c r="J1112" t="s">
        <v>144</v>
      </c>
      <c r="K1112" s="8" t="s">
        <v>742</v>
      </c>
      <c r="L1112" s="4"/>
      <c r="M1112" t="s">
        <v>681</v>
      </c>
      <c r="N1112" s="5">
        <v>30791235</v>
      </c>
      <c r="O1112" s="5">
        <v>27541</v>
      </c>
      <c r="P1112" s="5">
        <v>5233</v>
      </c>
      <c r="Q1112" s="5">
        <v>32774</v>
      </c>
    </row>
    <row r="1113" spans="1:17" x14ac:dyDescent="0.25">
      <c r="A1113" t="s">
        <v>520</v>
      </c>
      <c r="B1113" t="s">
        <v>494</v>
      </c>
      <c r="C1113">
        <v>96667560</v>
      </c>
      <c r="D1113">
        <v>14</v>
      </c>
      <c r="E1113">
        <v>30792506</v>
      </c>
      <c r="F1113" t="s">
        <v>638</v>
      </c>
      <c r="G1113" s="1">
        <v>45209</v>
      </c>
      <c r="H1113">
        <v>5400459</v>
      </c>
      <c r="I1113">
        <v>81</v>
      </c>
      <c r="J1113" t="s">
        <v>144</v>
      </c>
      <c r="K1113" s="8" t="s">
        <v>742</v>
      </c>
      <c r="L1113" s="4"/>
      <c r="M1113" t="s">
        <v>681</v>
      </c>
      <c r="N1113" s="5">
        <v>30792506</v>
      </c>
      <c r="O1113" s="5">
        <v>29022</v>
      </c>
      <c r="P1113" s="5">
        <v>5514</v>
      </c>
      <c r="Q1113" s="5">
        <v>34536</v>
      </c>
    </row>
    <row r="1114" spans="1:17" x14ac:dyDescent="0.25">
      <c r="A1114" t="s">
        <v>520</v>
      </c>
      <c r="B1114" t="s">
        <v>494</v>
      </c>
      <c r="C1114">
        <v>96667560</v>
      </c>
      <c r="D1114">
        <v>16</v>
      </c>
      <c r="E1114">
        <v>30792103</v>
      </c>
      <c r="F1114" t="s">
        <v>638</v>
      </c>
      <c r="G1114" s="1">
        <v>45209</v>
      </c>
      <c r="H1114">
        <v>5400473</v>
      </c>
      <c r="I1114">
        <v>81</v>
      </c>
      <c r="J1114" t="s">
        <v>144</v>
      </c>
      <c r="K1114" s="8" t="s">
        <v>742</v>
      </c>
      <c r="L1114" s="4"/>
      <c r="M1114" t="s">
        <v>681</v>
      </c>
      <c r="N1114" s="5">
        <v>30792103</v>
      </c>
      <c r="O1114" s="5">
        <v>20293</v>
      </c>
      <c r="P1114" s="5">
        <v>3856</v>
      </c>
      <c r="Q1114" s="5">
        <v>24149</v>
      </c>
    </row>
    <row r="1115" spans="1:17" x14ac:dyDescent="0.25">
      <c r="A1115" t="s">
        <v>520</v>
      </c>
      <c r="B1115" t="s">
        <v>494</v>
      </c>
      <c r="C1115">
        <v>96667560</v>
      </c>
      <c r="D1115">
        <v>13</v>
      </c>
      <c r="E1115">
        <v>30792637</v>
      </c>
      <c r="F1115" t="s">
        <v>638</v>
      </c>
      <c r="G1115" s="1">
        <v>45206</v>
      </c>
      <c r="H1115">
        <v>5400479</v>
      </c>
      <c r="I1115">
        <v>81</v>
      </c>
      <c r="J1115" t="s">
        <v>144</v>
      </c>
      <c r="K1115" s="8" t="s">
        <v>742</v>
      </c>
      <c r="L1115" s="4"/>
      <c r="M1115" t="s">
        <v>681</v>
      </c>
      <c r="N1115" s="5">
        <v>30792637</v>
      </c>
      <c r="O1115" s="5">
        <v>34018</v>
      </c>
      <c r="P1115" s="5">
        <v>6463</v>
      </c>
      <c r="Q1115" s="5">
        <v>40481</v>
      </c>
    </row>
    <row r="1116" spans="1:17" x14ac:dyDescent="0.25">
      <c r="A1116" t="s">
        <v>520</v>
      </c>
      <c r="B1116" t="s">
        <v>494</v>
      </c>
      <c r="C1116">
        <v>96667560</v>
      </c>
      <c r="D1116">
        <v>10</v>
      </c>
      <c r="E1116">
        <v>30792127</v>
      </c>
      <c r="F1116" t="s">
        <v>638</v>
      </c>
      <c r="G1116" s="1">
        <v>45209</v>
      </c>
      <c r="H1116">
        <v>5400497</v>
      </c>
      <c r="I1116">
        <v>81</v>
      </c>
      <c r="J1116" t="s">
        <v>144</v>
      </c>
      <c r="K1116" s="8" t="s">
        <v>742</v>
      </c>
      <c r="L1116" s="4"/>
      <c r="M1116" t="s">
        <v>681</v>
      </c>
      <c r="N1116" s="5">
        <v>30792127</v>
      </c>
      <c r="O1116" s="5">
        <v>30004</v>
      </c>
      <c r="P1116" s="5">
        <v>5701</v>
      </c>
      <c r="Q1116" s="5">
        <v>35705</v>
      </c>
    </row>
    <row r="1117" spans="1:17" x14ac:dyDescent="0.25">
      <c r="A1117" t="s">
        <v>520</v>
      </c>
      <c r="B1117" t="s">
        <v>494</v>
      </c>
      <c r="C1117">
        <v>96667560</v>
      </c>
      <c r="D1117">
        <v>29</v>
      </c>
      <c r="E1117">
        <v>30792465</v>
      </c>
      <c r="F1117" t="s">
        <v>638</v>
      </c>
      <c r="G1117" s="1">
        <v>45209</v>
      </c>
      <c r="H1117">
        <v>5400506</v>
      </c>
      <c r="I1117">
        <v>81</v>
      </c>
      <c r="J1117" t="s">
        <v>144</v>
      </c>
      <c r="K1117" s="8" t="s">
        <v>742</v>
      </c>
      <c r="L1117" s="4"/>
      <c r="M1117" t="s">
        <v>681</v>
      </c>
      <c r="N1117" s="5">
        <v>30792465</v>
      </c>
      <c r="O1117" s="5">
        <v>20448</v>
      </c>
      <c r="P1117" s="5">
        <v>3885</v>
      </c>
      <c r="Q1117" s="5">
        <v>24333</v>
      </c>
    </row>
    <row r="1118" spans="1:17" x14ac:dyDescent="0.25">
      <c r="A1118" t="s">
        <v>520</v>
      </c>
      <c r="B1118" t="s">
        <v>494</v>
      </c>
      <c r="C1118">
        <v>96667560</v>
      </c>
      <c r="D1118">
        <v>40</v>
      </c>
      <c r="E1118">
        <v>30791837</v>
      </c>
      <c r="F1118" t="s">
        <v>638</v>
      </c>
      <c r="G1118" s="1">
        <v>45206</v>
      </c>
      <c r="H1118">
        <v>5400605</v>
      </c>
      <c r="I1118">
        <v>81</v>
      </c>
      <c r="J1118" t="s">
        <v>144</v>
      </c>
      <c r="K1118" s="8" t="s">
        <v>742</v>
      </c>
      <c r="L1118" s="4"/>
      <c r="M1118" t="s">
        <v>681</v>
      </c>
      <c r="N1118" s="5">
        <v>30791837</v>
      </c>
      <c r="O1118" s="5">
        <v>28289</v>
      </c>
      <c r="P1118" s="5">
        <v>5375</v>
      </c>
      <c r="Q1118" s="5">
        <v>33664</v>
      </c>
    </row>
    <row r="1119" spans="1:17" x14ac:dyDescent="0.25">
      <c r="A1119" t="s">
        <v>520</v>
      </c>
      <c r="B1119" t="s">
        <v>494</v>
      </c>
      <c r="C1119">
        <v>96667560</v>
      </c>
      <c r="D1119">
        <v>22</v>
      </c>
      <c r="E1119">
        <v>30792674</v>
      </c>
      <c r="F1119" t="s">
        <v>638</v>
      </c>
      <c r="G1119" s="1">
        <v>45206</v>
      </c>
      <c r="H1119">
        <v>5400610</v>
      </c>
      <c r="I1119">
        <v>81</v>
      </c>
      <c r="J1119" t="s">
        <v>144</v>
      </c>
      <c r="K1119" s="8" t="s">
        <v>742</v>
      </c>
      <c r="L1119" s="4"/>
      <c r="M1119" t="s">
        <v>681</v>
      </c>
      <c r="N1119" s="5">
        <v>30792674</v>
      </c>
      <c r="O1119" s="5">
        <v>37909</v>
      </c>
      <c r="P1119" s="5">
        <v>7203</v>
      </c>
      <c r="Q1119" s="5">
        <v>45112</v>
      </c>
    </row>
    <row r="1120" spans="1:17" x14ac:dyDescent="0.25">
      <c r="A1120" t="s">
        <v>520</v>
      </c>
      <c r="B1120" t="s">
        <v>494</v>
      </c>
      <c r="C1120">
        <v>96667560</v>
      </c>
      <c r="D1120">
        <v>12</v>
      </c>
      <c r="E1120">
        <v>30792251</v>
      </c>
      <c r="F1120" t="s">
        <v>638</v>
      </c>
      <c r="G1120" s="1">
        <v>45209</v>
      </c>
      <c r="H1120">
        <v>5400635</v>
      </c>
      <c r="I1120">
        <v>81</v>
      </c>
      <c r="J1120" t="s">
        <v>144</v>
      </c>
      <c r="K1120" s="8" t="s">
        <v>742</v>
      </c>
      <c r="L1120" s="4"/>
      <c r="M1120" t="s">
        <v>681</v>
      </c>
      <c r="N1120" s="5">
        <v>30792251</v>
      </c>
      <c r="O1120" s="5">
        <v>22633</v>
      </c>
      <c r="P1120" s="5">
        <v>4300</v>
      </c>
      <c r="Q1120" s="5">
        <v>26933</v>
      </c>
    </row>
    <row r="1121" spans="1:17" x14ac:dyDescent="0.25">
      <c r="A1121" t="s">
        <v>520</v>
      </c>
      <c r="B1121" t="s">
        <v>494</v>
      </c>
      <c r="C1121">
        <v>96667560</v>
      </c>
      <c r="D1121">
        <v>1</v>
      </c>
      <c r="E1121">
        <v>30792867</v>
      </c>
      <c r="F1121" t="s">
        <v>638</v>
      </c>
      <c r="G1121" s="1">
        <v>45209</v>
      </c>
      <c r="H1121">
        <v>5400650</v>
      </c>
      <c r="I1121">
        <v>81</v>
      </c>
      <c r="J1121" t="s">
        <v>144</v>
      </c>
      <c r="K1121" s="8" t="s">
        <v>742</v>
      </c>
      <c r="L1121" s="4"/>
      <c r="M1121" t="s">
        <v>681</v>
      </c>
      <c r="N1121" s="5">
        <v>30792867</v>
      </c>
      <c r="O1121" s="5">
        <v>22872</v>
      </c>
      <c r="P1121" s="5">
        <v>4346</v>
      </c>
      <c r="Q1121" s="5">
        <v>27218</v>
      </c>
    </row>
    <row r="1122" spans="1:17" x14ac:dyDescent="0.25">
      <c r="A1122" t="s">
        <v>520</v>
      </c>
      <c r="B1122" t="s">
        <v>494</v>
      </c>
      <c r="C1122">
        <v>96667560</v>
      </c>
      <c r="D1122">
        <v>37</v>
      </c>
      <c r="E1122">
        <v>30792653</v>
      </c>
      <c r="F1122" t="s">
        <v>638</v>
      </c>
      <c r="G1122" s="1">
        <v>45209</v>
      </c>
      <c r="H1122">
        <v>5400653</v>
      </c>
      <c r="I1122">
        <v>81</v>
      </c>
      <c r="J1122" t="s">
        <v>144</v>
      </c>
      <c r="K1122" s="8" t="s">
        <v>742</v>
      </c>
      <c r="L1122" s="4"/>
      <c r="M1122" t="s">
        <v>681</v>
      </c>
      <c r="N1122" s="5">
        <v>30792653</v>
      </c>
      <c r="O1122" s="5">
        <v>42430</v>
      </c>
      <c r="P1122" s="5">
        <v>8062</v>
      </c>
      <c r="Q1122" s="5">
        <v>50492</v>
      </c>
    </row>
    <row r="1123" spans="1:17" x14ac:dyDescent="0.25">
      <c r="A1123" t="s">
        <v>520</v>
      </c>
      <c r="B1123" t="s">
        <v>494</v>
      </c>
      <c r="C1123">
        <v>96667560</v>
      </c>
      <c r="D1123">
        <v>26</v>
      </c>
      <c r="E1123">
        <v>30791880</v>
      </c>
      <c r="F1123" t="s">
        <v>638</v>
      </c>
      <c r="G1123" s="1">
        <v>45209</v>
      </c>
      <c r="H1123">
        <v>5400654</v>
      </c>
      <c r="I1123">
        <v>81</v>
      </c>
      <c r="J1123" t="s">
        <v>144</v>
      </c>
      <c r="K1123" s="8" t="s">
        <v>742</v>
      </c>
      <c r="L1123" s="4"/>
      <c r="M1123" t="s">
        <v>681</v>
      </c>
      <c r="N1123" s="5">
        <v>30791880</v>
      </c>
      <c r="O1123" s="5">
        <v>24106</v>
      </c>
      <c r="P1123" s="5">
        <v>4580</v>
      </c>
      <c r="Q1123" s="5">
        <v>28686</v>
      </c>
    </row>
    <row r="1124" spans="1:17" x14ac:dyDescent="0.25">
      <c r="A1124" t="s">
        <v>520</v>
      </c>
      <c r="B1124" t="s">
        <v>494</v>
      </c>
      <c r="C1124">
        <v>96667560</v>
      </c>
      <c r="D1124">
        <v>48</v>
      </c>
      <c r="E1124">
        <v>30791862</v>
      </c>
      <c r="F1124" t="s">
        <v>638</v>
      </c>
      <c r="G1124" s="1">
        <v>45208</v>
      </c>
      <c r="H1124">
        <v>5400670</v>
      </c>
      <c r="I1124">
        <v>81</v>
      </c>
      <c r="J1124" t="s">
        <v>144</v>
      </c>
      <c r="K1124" s="8" t="s">
        <v>742</v>
      </c>
      <c r="L1124" s="4"/>
      <c r="M1124" t="s">
        <v>681</v>
      </c>
      <c r="N1124" s="5">
        <v>30791862</v>
      </c>
      <c r="O1124" s="5">
        <v>28080</v>
      </c>
      <c r="P1124" s="5">
        <v>5335</v>
      </c>
      <c r="Q1124" s="5">
        <v>33415</v>
      </c>
    </row>
    <row r="1125" spans="1:17" x14ac:dyDescent="0.25">
      <c r="A1125" t="s">
        <v>520</v>
      </c>
      <c r="B1125" t="s">
        <v>494</v>
      </c>
      <c r="C1125">
        <v>96667560</v>
      </c>
      <c r="D1125">
        <v>4</v>
      </c>
      <c r="E1125">
        <v>30792409</v>
      </c>
      <c r="F1125" t="s">
        <v>638</v>
      </c>
      <c r="G1125" s="1">
        <v>45209</v>
      </c>
      <c r="H1125">
        <v>5400733</v>
      </c>
      <c r="I1125">
        <v>81</v>
      </c>
      <c r="J1125" t="s">
        <v>144</v>
      </c>
      <c r="K1125" s="8" t="s">
        <v>742</v>
      </c>
      <c r="L1125" s="4"/>
      <c r="M1125" t="s">
        <v>681</v>
      </c>
      <c r="N1125" s="5">
        <v>30792409</v>
      </c>
      <c r="O1125" s="5">
        <v>23584</v>
      </c>
      <c r="P1125" s="5">
        <v>4481</v>
      </c>
      <c r="Q1125" s="5">
        <v>28065</v>
      </c>
    </row>
    <row r="1126" spans="1:17" x14ac:dyDescent="0.25">
      <c r="A1126" t="s">
        <v>520</v>
      </c>
      <c r="B1126" t="s">
        <v>494</v>
      </c>
      <c r="C1126">
        <v>96667560</v>
      </c>
      <c r="D1126">
        <v>6</v>
      </c>
      <c r="E1126">
        <v>30790452</v>
      </c>
      <c r="F1126" t="s">
        <v>638</v>
      </c>
      <c r="G1126" s="1">
        <v>45209</v>
      </c>
      <c r="H1126">
        <v>5400858</v>
      </c>
      <c r="I1126">
        <v>81</v>
      </c>
      <c r="J1126" t="s">
        <v>144</v>
      </c>
      <c r="K1126" s="8" t="s">
        <v>742</v>
      </c>
      <c r="L1126" s="4"/>
      <c r="M1126" t="s">
        <v>681</v>
      </c>
      <c r="N1126" s="5">
        <v>30790452</v>
      </c>
      <c r="O1126" s="5">
        <v>165171</v>
      </c>
      <c r="P1126" s="5">
        <v>31382</v>
      </c>
      <c r="Q1126" s="5">
        <v>196553</v>
      </c>
    </row>
    <row r="1127" spans="1:17" x14ac:dyDescent="0.25">
      <c r="A1127" t="s">
        <v>520</v>
      </c>
      <c r="B1127" t="s">
        <v>494</v>
      </c>
      <c r="C1127">
        <v>96667560</v>
      </c>
      <c r="D1127">
        <v>20</v>
      </c>
      <c r="E1127">
        <v>30790493</v>
      </c>
      <c r="F1127" t="s">
        <v>638</v>
      </c>
      <c r="G1127" s="1">
        <v>45209</v>
      </c>
      <c r="H1127">
        <v>5400869</v>
      </c>
      <c r="I1127">
        <v>81</v>
      </c>
      <c r="J1127" t="s">
        <v>144</v>
      </c>
      <c r="K1127" s="8" t="s">
        <v>742</v>
      </c>
      <c r="L1127" s="4"/>
      <c r="M1127" t="s">
        <v>681</v>
      </c>
      <c r="N1127" s="5">
        <v>30790493</v>
      </c>
      <c r="O1127" s="5">
        <v>30271</v>
      </c>
      <c r="P1127" s="5">
        <v>5751</v>
      </c>
      <c r="Q1127" s="5">
        <v>36022</v>
      </c>
    </row>
    <row r="1128" spans="1:17" x14ac:dyDescent="0.25">
      <c r="A1128" t="s">
        <v>520</v>
      </c>
      <c r="B1128" t="s">
        <v>494</v>
      </c>
      <c r="C1128">
        <v>96667560</v>
      </c>
      <c r="D1128">
        <v>47</v>
      </c>
      <c r="E1128">
        <v>30790478</v>
      </c>
      <c r="F1128" t="s">
        <v>638</v>
      </c>
      <c r="G1128" s="1">
        <v>45209</v>
      </c>
      <c r="H1128">
        <v>5400974</v>
      </c>
      <c r="I1128">
        <v>81</v>
      </c>
      <c r="J1128" t="s">
        <v>144</v>
      </c>
      <c r="K1128" s="8" t="s">
        <v>742</v>
      </c>
      <c r="L1128" s="4"/>
      <c r="M1128" t="s">
        <v>681</v>
      </c>
      <c r="N1128" s="5">
        <v>30790478</v>
      </c>
      <c r="O1128" s="5">
        <v>141125</v>
      </c>
      <c r="P1128" s="5">
        <v>26814</v>
      </c>
      <c r="Q1128" s="5">
        <v>171373</v>
      </c>
    </row>
    <row r="1129" spans="1:17" x14ac:dyDescent="0.25">
      <c r="A1129" t="s">
        <v>520</v>
      </c>
      <c r="B1129" t="s">
        <v>494</v>
      </c>
      <c r="C1129">
        <v>96667560</v>
      </c>
      <c r="D1129">
        <v>43</v>
      </c>
      <c r="E1129">
        <v>30793055</v>
      </c>
      <c r="F1129" t="s">
        <v>638</v>
      </c>
      <c r="G1129" s="1">
        <v>45209</v>
      </c>
      <c r="H1129">
        <v>5400996</v>
      </c>
      <c r="I1129">
        <v>81</v>
      </c>
      <c r="J1129" t="s">
        <v>144</v>
      </c>
      <c r="K1129" s="8" t="s">
        <v>742</v>
      </c>
      <c r="L1129" s="4"/>
      <c r="M1129" t="s">
        <v>681</v>
      </c>
      <c r="N1129" s="5">
        <v>30793055</v>
      </c>
      <c r="O1129" s="5">
        <v>24355</v>
      </c>
      <c r="P1129" s="5">
        <v>4627</v>
      </c>
      <c r="Q1129" s="5">
        <v>28982</v>
      </c>
    </row>
    <row r="1130" spans="1:17" x14ac:dyDescent="0.25">
      <c r="A1130" t="s">
        <v>520</v>
      </c>
      <c r="B1130" t="s">
        <v>494</v>
      </c>
      <c r="C1130">
        <v>96667560</v>
      </c>
      <c r="D1130">
        <v>21</v>
      </c>
      <c r="E1130">
        <v>30791402</v>
      </c>
      <c r="F1130" t="s">
        <v>638</v>
      </c>
      <c r="G1130" s="1">
        <v>45209</v>
      </c>
      <c r="H1130">
        <v>5401125</v>
      </c>
      <c r="I1130">
        <v>81</v>
      </c>
      <c r="J1130" t="s">
        <v>144</v>
      </c>
      <c r="K1130" s="8" t="s">
        <v>742</v>
      </c>
      <c r="L1130" s="4"/>
      <c r="M1130" t="s">
        <v>681</v>
      </c>
      <c r="N1130" s="5">
        <v>30791402</v>
      </c>
      <c r="O1130" s="5">
        <v>24396</v>
      </c>
      <c r="P1130" s="5">
        <v>4635</v>
      </c>
      <c r="Q1130" s="5">
        <v>29031</v>
      </c>
    </row>
    <row r="1131" spans="1:17" x14ac:dyDescent="0.25">
      <c r="A1131" t="s">
        <v>520</v>
      </c>
      <c r="B1131" t="s">
        <v>494</v>
      </c>
      <c r="C1131">
        <v>96667560</v>
      </c>
      <c r="D1131">
        <v>19</v>
      </c>
      <c r="E1131">
        <v>30790386</v>
      </c>
      <c r="F1131" t="s">
        <v>638</v>
      </c>
      <c r="G1131" s="1">
        <v>45209</v>
      </c>
      <c r="H1131">
        <v>5401182</v>
      </c>
      <c r="I1131">
        <v>81</v>
      </c>
      <c r="J1131" t="s">
        <v>144</v>
      </c>
      <c r="K1131" s="8" t="s">
        <v>742</v>
      </c>
      <c r="L1131" s="4"/>
      <c r="M1131" t="s">
        <v>681</v>
      </c>
      <c r="N1131" s="5">
        <v>30790386</v>
      </c>
      <c r="O1131" s="5">
        <v>128893</v>
      </c>
      <c r="P1131" s="5">
        <v>24490</v>
      </c>
      <c r="Q1131" s="5">
        <v>153383</v>
      </c>
    </row>
    <row r="1132" spans="1:17" x14ac:dyDescent="0.25">
      <c r="A1132" t="s">
        <v>520</v>
      </c>
      <c r="B1132" t="s">
        <v>494</v>
      </c>
      <c r="C1132">
        <v>96667560</v>
      </c>
      <c r="D1132">
        <v>19</v>
      </c>
      <c r="E1132">
        <v>30792445</v>
      </c>
      <c r="F1132" t="s">
        <v>638</v>
      </c>
      <c r="G1132" s="1">
        <v>45209</v>
      </c>
      <c r="H1132">
        <v>5401372</v>
      </c>
      <c r="I1132">
        <v>81</v>
      </c>
      <c r="J1132" t="s">
        <v>144</v>
      </c>
      <c r="K1132" s="8" t="s">
        <v>742</v>
      </c>
      <c r="L1132" s="4"/>
      <c r="M1132" t="s">
        <v>681</v>
      </c>
      <c r="N1132" s="5">
        <v>30792445</v>
      </c>
      <c r="O1132" s="5">
        <v>49191</v>
      </c>
      <c r="P1132" s="5">
        <v>9346</v>
      </c>
      <c r="Q1132" s="5">
        <v>58537</v>
      </c>
    </row>
    <row r="1133" spans="1:17" x14ac:dyDescent="0.25">
      <c r="A1133" t="s">
        <v>520</v>
      </c>
      <c r="B1133" t="s">
        <v>494</v>
      </c>
      <c r="C1133">
        <v>96667560</v>
      </c>
      <c r="D1133">
        <v>33</v>
      </c>
      <c r="E1133">
        <v>30791797</v>
      </c>
      <c r="F1133" t="s">
        <v>638</v>
      </c>
      <c r="G1133" s="1">
        <v>45209</v>
      </c>
      <c r="H1133">
        <v>5401383</v>
      </c>
      <c r="I1133">
        <v>81</v>
      </c>
      <c r="J1133" t="s">
        <v>144</v>
      </c>
      <c r="K1133" s="8" t="s">
        <v>742</v>
      </c>
      <c r="L1133" s="4"/>
      <c r="M1133" t="s">
        <v>681</v>
      </c>
      <c r="N1133" s="5">
        <v>30791797</v>
      </c>
      <c r="O1133" s="5">
        <v>132026</v>
      </c>
      <c r="P1133" s="5">
        <v>25085</v>
      </c>
      <c r="Q1133" s="5">
        <v>157111</v>
      </c>
    </row>
    <row r="1134" spans="1:17" x14ac:dyDescent="0.25">
      <c r="A1134" t="s">
        <v>520</v>
      </c>
      <c r="B1134" t="s">
        <v>494</v>
      </c>
      <c r="C1134">
        <v>96667560</v>
      </c>
      <c r="D1134">
        <v>52</v>
      </c>
      <c r="E1134">
        <v>30793451</v>
      </c>
      <c r="F1134" t="s">
        <v>638</v>
      </c>
      <c r="G1134" s="1">
        <v>45209</v>
      </c>
      <c r="H1134">
        <v>5401384</v>
      </c>
      <c r="I1134">
        <v>81</v>
      </c>
      <c r="J1134" t="s">
        <v>144</v>
      </c>
      <c r="K1134" s="8" t="s">
        <v>742</v>
      </c>
      <c r="L1134" s="4"/>
      <c r="M1134" t="s">
        <v>681</v>
      </c>
      <c r="N1134" s="5">
        <v>30793451</v>
      </c>
      <c r="O1134" s="5">
        <v>81140</v>
      </c>
      <c r="P1134" s="5">
        <v>15417</v>
      </c>
      <c r="Q1134" s="5">
        <v>96557</v>
      </c>
    </row>
    <row r="1135" spans="1:17" x14ac:dyDescent="0.25">
      <c r="A1135" t="s">
        <v>520</v>
      </c>
      <c r="B1135" t="s">
        <v>494</v>
      </c>
      <c r="C1135">
        <v>96667560</v>
      </c>
      <c r="D1135">
        <v>58</v>
      </c>
      <c r="E1135">
        <v>30792997</v>
      </c>
      <c r="F1135" t="s">
        <v>638</v>
      </c>
      <c r="G1135" s="1">
        <v>45209</v>
      </c>
      <c r="H1135">
        <v>5401387</v>
      </c>
      <c r="I1135">
        <v>81</v>
      </c>
      <c r="J1135" t="s">
        <v>144</v>
      </c>
      <c r="K1135" s="8" t="s">
        <v>742</v>
      </c>
      <c r="L1135" s="4"/>
      <c r="M1135" t="s">
        <v>681</v>
      </c>
      <c r="N1135" s="5">
        <v>30792997</v>
      </c>
      <c r="O1135" s="5">
        <v>27670</v>
      </c>
      <c r="P1135" s="5">
        <v>5257</v>
      </c>
      <c r="Q1135" s="5">
        <v>32927</v>
      </c>
    </row>
    <row r="1136" spans="1:17" x14ac:dyDescent="0.25">
      <c r="A1136" t="s">
        <v>520</v>
      </c>
      <c r="B1136" t="s">
        <v>494</v>
      </c>
      <c r="C1136">
        <v>96667560</v>
      </c>
      <c r="D1136">
        <v>11</v>
      </c>
      <c r="E1136">
        <v>30793102</v>
      </c>
      <c r="F1136" t="s">
        <v>638</v>
      </c>
      <c r="G1136" s="1">
        <v>45209</v>
      </c>
      <c r="H1136">
        <v>5401388</v>
      </c>
      <c r="I1136">
        <v>81</v>
      </c>
      <c r="J1136" t="s">
        <v>144</v>
      </c>
      <c r="K1136" s="8" t="s">
        <v>742</v>
      </c>
      <c r="L1136" s="4"/>
      <c r="M1136" t="s">
        <v>681</v>
      </c>
      <c r="N1136" s="5">
        <v>30793102</v>
      </c>
      <c r="O1136" s="5">
        <v>23333</v>
      </c>
      <c r="P1136" s="5">
        <v>4433</v>
      </c>
      <c r="Q1136" s="5">
        <v>27766</v>
      </c>
    </row>
    <row r="1137" spans="1:17" x14ac:dyDescent="0.25">
      <c r="A1137" t="s">
        <v>520</v>
      </c>
      <c r="B1137" t="s">
        <v>494</v>
      </c>
      <c r="C1137">
        <v>96667560</v>
      </c>
      <c r="D1137">
        <v>31</v>
      </c>
      <c r="E1137">
        <v>30792082</v>
      </c>
      <c r="F1137" t="s">
        <v>638</v>
      </c>
      <c r="G1137" s="1">
        <v>45209</v>
      </c>
      <c r="H1137">
        <v>5401412</v>
      </c>
      <c r="I1137">
        <v>81</v>
      </c>
      <c r="J1137" t="s">
        <v>144</v>
      </c>
      <c r="K1137" s="8" t="s">
        <v>742</v>
      </c>
      <c r="L1137" s="4"/>
      <c r="M1137" t="s">
        <v>681</v>
      </c>
      <c r="N1137" s="5">
        <v>30792082</v>
      </c>
      <c r="O1137" s="5">
        <v>367547</v>
      </c>
      <c r="P1137" s="5">
        <v>69834</v>
      </c>
      <c r="Q1137" s="5">
        <v>437381</v>
      </c>
    </row>
    <row r="1138" spans="1:17" x14ac:dyDescent="0.25">
      <c r="A1138" t="s">
        <v>520</v>
      </c>
      <c r="B1138" t="s">
        <v>494</v>
      </c>
      <c r="C1138">
        <v>96667560</v>
      </c>
      <c r="D1138">
        <v>41</v>
      </c>
      <c r="E1138">
        <v>30791178</v>
      </c>
      <c r="F1138" t="s">
        <v>638</v>
      </c>
      <c r="G1138" s="1">
        <v>45209</v>
      </c>
      <c r="H1138">
        <v>5401414</v>
      </c>
      <c r="I1138">
        <v>81</v>
      </c>
      <c r="J1138" t="s">
        <v>144</v>
      </c>
      <c r="K1138" s="8" t="s">
        <v>742</v>
      </c>
      <c r="L1138" s="4"/>
      <c r="M1138" t="s">
        <v>681</v>
      </c>
      <c r="N1138" s="5">
        <v>30791178</v>
      </c>
      <c r="O1138" s="5">
        <v>28374</v>
      </c>
      <c r="P1138" s="5">
        <v>5391</v>
      </c>
      <c r="Q1138" s="5">
        <v>35891</v>
      </c>
    </row>
    <row r="1139" spans="1:17" x14ac:dyDescent="0.25">
      <c r="A1139" t="s">
        <v>520</v>
      </c>
      <c r="B1139" t="s">
        <v>494</v>
      </c>
      <c r="C1139">
        <v>96667560</v>
      </c>
      <c r="D1139">
        <v>25</v>
      </c>
      <c r="E1139">
        <v>30791472</v>
      </c>
      <c r="F1139" t="s">
        <v>638</v>
      </c>
      <c r="G1139" s="1">
        <v>45209</v>
      </c>
      <c r="H1139">
        <v>5401461</v>
      </c>
      <c r="I1139">
        <v>81</v>
      </c>
      <c r="J1139" t="s">
        <v>144</v>
      </c>
      <c r="K1139" s="8" t="s">
        <v>742</v>
      </c>
      <c r="L1139" s="4"/>
      <c r="M1139" t="s">
        <v>681</v>
      </c>
      <c r="N1139" s="5">
        <v>30791472</v>
      </c>
      <c r="O1139" s="5">
        <v>22456</v>
      </c>
      <c r="P1139" s="5">
        <v>4267</v>
      </c>
      <c r="Q1139" s="5">
        <v>26723</v>
      </c>
    </row>
    <row r="1140" spans="1:17" x14ac:dyDescent="0.25">
      <c r="A1140" t="s">
        <v>520</v>
      </c>
      <c r="B1140" t="s">
        <v>494</v>
      </c>
      <c r="C1140">
        <v>96667560</v>
      </c>
      <c r="D1140">
        <v>7</v>
      </c>
      <c r="E1140">
        <v>30792390</v>
      </c>
      <c r="F1140" t="s">
        <v>638</v>
      </c>
      <c r="G1140" s="1">
        <v>45209</v>
      </c>
      <c r="H1140">
        <v>5401515</v>
      </c>
      <c r="I1140">
        <v>81</v>
      </c>
      <c r="J1140" t="s">
        <v>144</v>
      </c>
      <c r="K1140" s="8" t="s">
        <v>742</v>
      </c>
      <c r="L1140" s="4"/>
      <c r="M1140" t="s">
        <v>681</v>
      </c>
      <c r="N1140" s="5">
        <v>30792390</v>
      </c>
      <c r="O1140" s="5">
        <v>44229</v>
      </c>
      <c r="P1140" s="5">
        <v>8404</v>
      </c>
      <c r="Q1140" s="5">
        <v>52633</v>
      </c>
    </row>
    <row r="1141" spans="1:17" x14ac:dyDescent="0.25">
      <c r="A1141" t="s">
        <v>520</v>
      </c>
      <c r="B1141" t="s">
        <v>494</v>
      </c>
      <c r="C1141">
        <v>96667560</v>
      </c>
      <c r="D1141">
        <v>9</v>
      </c>
      <c r="E1141">
        <v>30790488</v>
      </c>
      <c r="F1141" t="s">
        <v>638</v>
      </c>
      <c r="G1141" s="1">
        <v>45210</v>
      </c>
      <c r="H1141">
        <v>5402008</v>
      </c>
      <c r="I1141">
        <v>81</v>
      </c>
      <c r="J1141" t="s">
        <v>144</v>
      </c>
      <c r="K1141" s="8" t="s">
        <v>742</v>
      </c>
      <c r="L1141" s="4"/>
      <c r="M1141" t="s">
        <v>681</v>
      </c>
      <c r="N1141" s="5">
        <v>30790488</v>
      </c>
      <c r="O1141" s="5">
        <v>56519</v>
      </c>
      <c r="P1141" s="5">
        <v>10739</v>
      </c>
      <c r="Q1141" s="5">
        <v>67258</v>
      </c>
    </row>
    <row r="1142" spans="1:17" x14ac:dyDescent="0.25">
      <c r="A1142" t="s">
        <v>520</v>
      </c>
      <c r="B1142" t="s">
        <v>494</v>
      </c>
      <c r="C1142">
        <v>96667560</v>
      </c>
      <c r="D1142">
        <v>17</v>
      </c>
      <c r="E1142">
        <v>30793080</v>
      </c>
      <c r="F1142" t="s">
        <v>638</v>
      </c>
      <c r="G1142" s="1">
        <v>45211</v>
      </c>
      <c r="H1142">
        <v>5402477</v>
      </c>
      <c r="I1142">
        <v>81</v>
      </c>
      <c r="J1142" t="s">
        <v>144</v>
      </c>
      <c r="K1142" s="8" t="s">
        <v>742</v>
      </c>
      <c r="L1142" s="4"/>
      <c r="M1142" t="s">
        <v>681</v>
      </c>
      <c r="N1142" s="5">
        <v>30793080</v>
      </c>
      <c r="O1142" s="5">
        <v>54070</v>
      </c>
      <c r="P1142" s="5">
        <v>10273</v>
      </c>
      <c r="Q1142" s="5">
        <v>64343</v>
      </c>
    </row>
    <row r="1143" spans="1:17" x14ac:dyDescent="0.25">
      <c r="A1143" t="s">
        <v>520</v>
      </c>
      <c r="B1143" t="s">
        <v>494</v>
      </c>
      <c r="C1143">
        <v>96667560</v>
      </c>
      <c r="D1143">
        <v>57</v>
      </c>
      <c r="E1143">
        <v>30793425</v>
      </c>
      <c r="F1143" t="s">
        <v>638</v>
      </c>
      <c r="G1143" s="1">
        <v>45211</v>
      </c>
      <c r="H1143">
        <v>5402678</v>
      </c>
      <c r="I1143">
        <v>81</v>
      </c>
      <c r="J1143" t="s">
        <v>144</v>
      </c>
      <c r="K1143" s="8" t="s">
        <v>742</v>
      </c>
      <c r="L1143" s="4"/>
      <c r="M1143" t="s">
        <v>681</v>
      </c>
      <c r="N1143" s="5">
        <v>30793425</v>
      </c>
      <c r="O1143" s="5">
        <v>31343</v>
      </c>
      <c r="P1143" s="5">
        <v>5955</v>
      </c>
      <c r="Q1143" s="5">
        <v>37298</v>
      </c>
    </row>
    <row r="1144" spans="1:17" x14ac:dyDescent="0.25">
      <c r="A1144" t="s">
        <v>520</v>
      </c>
      <c r="B1144" t="s">
        <v>494</v>
      </c>
      <c r="C1144">
        <v>96667560</v>
      </c>
      <c r="D1144">
        <v>54</v>
      </c>
      <c r="E1144">
        <v>30800895</v>
      </c>
      <c r="F1144" t="s">
        <v>638</v>
      </c>
      <c r="G1144" s="1">
        <v>45211</v>
      </c>
      <c r="H1144">
        <v>5402770</v>
      </c>
      <c r="I1144">
        <v>81</v>
      </c>
      <c r="J1144" t="s">
        <v>144</v>
      </c>
      <c r="K1144" s="8" t="s">
        <v>742</v>
      </c>
      <c r="L1144" s="4"/>
      <c r="M1144" t="s">
        <v>681</v>
      </c>
      <c r="N1144" s="5">
        <v>30800895</v>
      </c>
      <c r="O1144" s="5">
        <v>36305</v>
      </c>
      <c r="P1144" s="5">
        <v>6898</v>
      </c>
      <c r="Q1144" s="5">
        <v>43203</v>
      </c>
    </row>
    <row r="1145" spans="1:17" x14ac:dyDescent="0.25">
      <c r="A1145" t="s">
        <v>520</v>
      </c>
      <c r="B1145" t="s">
        <v>494</v>
      </c>
      <c r="C1145">
        <v>96667560</v>
      </c>
      <c r="D1145">
        <v>44</v>
      </c>
      <c r="E1145">
        <v>30800672</v>
      </c>
      <c r="F1145" t="s">
        <v>638</v>
      </c>
      <c r="G1145" s="1">
        <v>45211</v>
      </c>
      <c r="H1145">
        <v>5402788</v>
      </c>
      <c r="I1145">
        <v>81</v>
      </c>
      <c r="J1145" t="s">
        <v>144</v>
      </c>
      <c r="K1145" s="8" t="s">
        <v>742</v>
      </c>
      <c r="L1145" s="4"/>
      <c r="M1145" t="s">
        <v>681</v>
      </c>
      <c r="N1145" s="5">
        <v>30800672</v>
      </c>
      <c r="O1145" s="5">
        <v>45636</v>
      </c>
      <c r="P1145" s="5">
        <v>8671</v>
      </c>
      <c r="Q1145" s="5">
        <v>54307</v>
      </c>
    </row>
    <row r="1146" spans="1:17" x14ac:dyDescent="0.25">
      <c r="A1146" t="s">
        <v>520</v>
      </c>
      <c r="B1146" t="s">
        <v>494</v>
      </c>
      <c r="C1146">
        <v>96667560</v>
      </c>
      <c r="D1146">
        <v>59</v>
      </c>
      <c r="E1146">
        <v>30800627</v>
      </c>
      <c r="F1146" t="s">
        <v>638</v>
      </c>
      <c r="G1146" s="1">
        <v>45211</v>
      </c>
      <c r="H1146">
        <v>5402859</v>
      </c>
      <c r="I1146">
        <v>81</v>
      </c>
      <c r="J1146" t="s">
        <v>144</v>
      </c>
      <c r="K1146" s="8" t="s">
        <v>742</v>
      </c>
      <c r="L1146" s="4"/>
      <c r="M1146" t="s">
        <v>681</v>
      </c>
      <c r="N1146" s="5">
        <v>30800627</v>
      </c>
      <c r="O1146" s="5">
        <v>50400</v>
      </c>
      <c r="P1146" s="5">
        <v>9576</v>
      </c>
      <c r="Q1146" s="5">
        <v>59976</v>
      </c>
    </row>
    <row r="1147" spans="1:17" x14ac:dyDescent="0.25">
      <c r="A1147" t="s">
        <v>520</v>
      </c>
      <c r="B1147" t="s">
        <v>494</v>
      </c>
      <c r="C1147">
        <v>96667560</v>
      </c>
      <c r="D1147">
        <v>46</v>
      </c>
      <c r="E1147">
        <v>30800530</v>
      </c>
      <c r="F1147" t="s">
        <v>638</v>
      </c>
      <c r="G1147" s="1">
        <v>45212</v>
      </c>
      <c r="H1147">
        <v>5403747</v>
      </c>
      <c r="I1147">
        <v>81</v>
      </c>
      <c r="J1147" t="s">
        <v>144</v>
      </c>
      <c r="K1147" s="8" t="s">
        <v>742</v>
      </c>
      <c r="L1147" s="4"/>
      <c r="M1147" t="s">
        <v>681</v>
      </c>
      <c r="N1147" s="5">
        <v>30800530</v>
      </c>
      <c r="O1147" s="5">
        <v>75708</v>
      </c>
      <c r="P1147" s="5">
        <v>14385</v>
      </c>
      <c r="Q1147" s="5">
        <v>90093</v>
      </c>
    </row>
    <row r="1148" spans="1:17" x14ac:dyDescent="0.25">
      <c r="A1148" t="s">
        <v>520</v>
      </c>
      <c r="B1148" t="s">
        <v>494</v>
      </c>
      <c r="C1148">
        <v>96667560</v>
      </c>
      <c r="D1148">
        <v>31</v>
      </c>
      <c r="E1148">
        <v>30813719</v>
      </c>
      <c r="F1148" t="s">
        <v>638</v>
      </c>
      <c r="G1148" s="1">
        <v>45216</v>
      </c>
      <c r="H1148">
        <v>5405733</v>
      </c>
      <c r="I1148">
        <v>81</v>
      </c>
      <c r="J1148" t="s">
        <v>144</v>
      </c>
      <c r="K1148" s="8" t="s">
        <v>742</v>
      </c>
      <c r="L1148" s="4"/>
      <c r="M1148" t="s">
        <v>681</v>
      </c>
      <c r="N1148" s="5">
        <v>30813719</v>
      </c>
      <c r="O1148" s="5">
        <v>31026</v>
      </c>
      <c r="P1148" s="5">
        <v>5895</v>
      </c>
      <c r="Q1148" s="5">
        <v>36921</v>
      </c>
    </row>
    <row r="1149" spans="1:17" x14ac:dyDescent="0.25">
      <c r="F1149" t="s">
        <v>661</v>
      </c>
      <c r="K1149" t="s">
        <v>681</v>
      </c>
      <c r="L1149" s="4"/>
      <c r="M1149" t="s">
        <v>681</v>
      </c>
      <c r="N1149" s="5"/>
      <c r="O1149" s="5">
        <v>2269039</v>
      </c>
      <c r="P1149" s="5">
        <v>431117</v>
      </c>
      <c r="Q1149" s="5">
        <v>2705716</v>
      </c>
    </row>
    <row r="1150" spans="1:17" x14ac:dyDescent="0.25">
      <c r="A1150" t="s">
        <v>512</v>
      </c>
      <c r="B1150" t="s">
        <v>494</v>
      </c>
      <c r="C1150">
        <v>96676150</v>
      </c>
      <c r="D1150">
        <v>0</v>
      </c>
      <c r="E1150">
        <v>30834004</v>
      </c>
      <c r="F1150" t="s">
        <v>811</v>
      </c>
      <c r="G1150" s="1">
        <v>45224</v>
      </c>
      <c r="H1150">
        <v>5402238</v>
      </c>
      <c r="I1150">
        <v>315</v>
      </c>
      <c r="J1150" t="s">
        <v>380</v>
      </c>
      <c r="K1150" t="s">
        <v>681</v>
      </c>
      <c r="L1150" s="4"/>
      <c r="M1150" t="s">
        <v>681</v>
      </c>
      <c r="N1150" s="5">
        <v>30834004</v>
      </c>
      <c r="O1150" s="5">
        <v>118984</v>
      </c>
      <c r="P1150" s="5">
        <v>22607</v>
      </c>
      <c r="Q1150" s="5">
        <v>141591</v>
      </c>
    </row>
    <row r="1151" spans="1:17" x14ac:dyDescent="0.25">
      <c r="F1151" t="s">
        <v>495</v>
      </c>
      <c r="K1151" t="s">
        <v>681</v>
      </c>
      <c r="L1151" s="4"/>
      <c r="M1151" t="s">
        <v>681</v>
      </c>
      <c r="N1151" s="5"/>
      <c r="O1151" s="5">
        <v>118984</v>
      </c>
      <c r="P1151" s="5">
        <v>22607</v>
      </c>
      <c r="Q1151" s="5">
        <v>141591</v>
      </c>
    </row>
    <row r="1152" spans="1:17" x14ac:dyDescent="0.25">
      <c r="A1152" t="s">
        <v>496</v>
      </c>
      <c r="B1152" t="s">
        <v>494</v>
      </c>
      <c r="C1152">
        <v>96677260</v>
      </c>
      <c r="D1152">
        <v>0</v>
      </c>
      <c r="E1152">
        <v>4511525145</v>
      </c>
      <c r="F1152" t="s">
        <v>639</v>
      </c>
      <c r="G1152" s="1">
        <v>45227</v>
      </c>
      <c r="H1152">
        <v>5409964</v>
      </c>
      <c r="I1152">
        <v>396</v>
      </c>
      <c r="J1152" t="s">
        <v>184</v>
      </c>
      <c r="K1152" s="8" t="s">
        <v>742</v>
      </c>
      <c r="L1152" s="4"/>
      <c r="M1152" t="s">
        <v>681</v>
      </c>
      <c r="N1152" s="5">
        <v>30823940</v>
      </c>
      <c r="O1152" s="5">
        <v>161260</v>
      </c>
      <c r="P1152" s="5">
        <v>30639</v>
      </c>
      <c r="Q1152" s="5">
        <v>191899</v>
      </c>
    </row>
    <row r="1153" spans="1:17" x14ac:dyDescent="0.25">
      <c r="F1153" t="s">
        <v>495</v>
      </c>
      <c r="K1153" t="s">
        <v>681</v>
      </c>
      <c r="L1153" s="4"/>
      <c r="M1153" t="s">
        <v>681</v>
      </c>
      <c r="N1153" s="5"/>
      <c r="O1153" s="5">
        <v>161260</v>
      </c>
      <c r="P1153" s="5">
        <v>30639</v>
      </c>
      <c r="Q1153" s="5">
        <v>191899</v>
      </c>
    </row>
    <row r="1154" spans="1:17" x14ac:dyDescent="0.25">
      <c r="A1154" t="s">
        <v>501</v>
      </c>
      <c r="B1154" t="s">
        <v>494</v>
      </c>
      <c r="C1154">
        <v>96684580</v>
      </c>
      <c r="D1154">
        <v>54</v>
      </c>
      <c r="E1154">
        <v>30768046</v>
      </c>
      <c r="F1154" t="s">
        <v>640</v>
      </c>
      <c r="G1154" s="1">
        <v>45201</v>
      </c>
      <c r="H1154">
        <v>5394760</v>
      </c>
      <c r="I1154">
        <v>178</v>
      </c>
      <c r="J1154" t="s">
        <v>303</v>
      </c>
      <c r="K1154" t="s">
        <v>681</v>
      </c>
      <c r="L1154" s="4" t="s">
        <v>83</v>
      </c>
      <c r="M1154" t="s">
        <v>681</v>
      </c>
      <c r="N1154" s="5">
        <v>30768046</v>
      </c>
      <c r="O1154" s="5">
        <v>68017</v>
      </c>
      <c r="P1154" s="5">
        <v>12923</v>
      </c>
      <c r="Q1154" s="5">
        <v>80940</v>
      </c>
    </row>
    <row r="1155" spans="1:17" x14ac:dyDescent="0.25">
      <c r="A1155" t="s">
        <v>501</v>
      </c>
      <c r="B1155" t="s">
        <v>494</v>
      </c>
      <c r="C1155">
        <v>96684580</v>
      </c>
      <c r="D1155">
        <v>54</v>
      </c>
      <c r="E1155">
        <v>30768033</v>
      </c>
      <c r="F1155" t="s">
        <v>640</v>
      </c>
      <c r="G1155" s="1">
        <v>45201</v>
      </c>
      <c r="H1155">
        <v>5394867</v>
      </c>
      <c r="I1155">
        <v>178</v>
      </c>
      <c r="J1155" t="s">
        <v>303</v>
      </c>
      <c r="K1155" t="s">
        <v>681</v>
      </c>
      <c r="L1155" s="4" t="s">
        <v>83</v>
      </c>
      <c r="M1155" t="s">
        <v>681</v>
      </c>
      <c r="N1155" s="5">
        <v>30768033</v>
      </c>
      <c r="O1155" s="5">
        <v>29156</v>
      </c>
      <c r="P1155" s="5">
        <v>5540</v>
      </c>
      <c r="Q1155" s="5">
        <v>34696</v>
      </c>
    </row>
    <row r="1156" spans="1:17" x14ac:dyDescent="0.25">
      <c r="A1156" t="s">
        <v>501</v>
      </c>
      <c r="B1156" t="s">
        <v>494</v>
      </c>
      <c r="C1156">
        <v>96684580</v>
      </c>
      <c r="D1156">
        <v>19</v>
      </c>
      <c r="E1156">
        <v>30768053</v>
      </c>
      <c r="F1156" t="s">
        <v>640</v>
      </c>
      <c r="G1156" s="1">
        <v>45201</v>
      </c>
      <c r="H1156">
        <v>5394948</v>
      </c>
      <c r="I1156">
        <v>178</v>
      </c>
      <c r="J1156" t="s">
        <v>303</v>
      </c>
      <c r="K1156" t="s">
        <v>681</v>
      </c>
      <c r="L1156" s="4" t="s">
        <v>83</v>
      </c>
      <c r="M1156" t="s">
        <v>681</v>
      </c>
      <c r="N1156" s="5">
        <v>30768053</v>
      </c>
      <c r="O1156" s="5">
        <v>70024</v>
      </c>
      <c r="P1156" s="5">
        <v>13305</v>
      </c>
      <c r="Q1156" s="5">
        <v>83329</v>
      </c>
    </row>
    <row r="1157" spans="1:17" x14ac:dyDescent="0.25">
      <c r="A1157" t="s">
        <v>501</v>
      </c>
      <c r="B1157" t="s">
        <v>494</v>
      </c>
      <c r="C1157">
        <v>96684580</v>
      </c>
      <c r="D1157">
        <v>92</v>
      </c>
      <c r="E1157">
        <v>30768081</v>
      </c>
      <c r="F1157" t="s">
        <v>640</v>
      </c>
      <c r="G1157" s="1">
        <v>45201</v>
      </c>
      <c r="H1157">
        <v>5394994</v>
      </c>
      <c r="I1157">
        <v>178</v>
      </c>
      <c r="J1157" t="s">
        <v>303</v>
      </c>
      <c r="K1157" t="s">
        <v>681</v>
      </c>
      <c r="L1157" s="4" t="s">
        <v>83</v>
      </c>
      <c r="M1157" t="s">
        <v>681</v>
      </c>
      <c r="N1157" s="5">
        <v>30768081</v>
      </c>
      <c r="O1157" s="5">
        <v>90889</v>
      </c>
      <c r="P1157" s="5">
        <v>17269</v>
      </c>
      <c r="Q1157" s="5">
        <v>108158</v>
      </c>
    </row>
    <row r="1158" spans="1:17" x14ac:dyDescent="0.25">
      <c r="A1158" t="s">
        <v>501</v>
      </c>
      <c r="B1158" t="s">
        <v>494</v>
      </c>
      <c r="C1158">
        <v>96684580</v>
      </c>
      <c r="D1158">
        <v>209</v>
      </c>
      <c r="E1158">
        <v>30768063</v>
      </c>
      <c r="F1158" t="s">
        <v>640</v>
      </c>
      <c r="G1158" s="1">
        <v>45201</v>
      </c>
      <c r="H1158">
        <v>5395202</v>
      </c>
      <c r="I1158">
        <v>178</v>
      </c>
      <c r="J1158" t="s">
        <v>303</v>
      </c>
      <c r="K1158" t="s">
        <v>681</v>
      </c>
      <c r="L1158" s="4" t="s">
        <v>83</v>
      </c>
      <c r="M1158" t="s">
        <v>681</v>
      </c>
      <c r="N1158" s="5">
        <v>30768063</v>
      </c>
      <c r="O1158" s="5">
        <v>60180</v>
      </c>
      <c r="P1158" s="5">
        <v>11434</v>
      </c>
      <c r="Q1158" s="5">
        <v>71614</v>
      </c>
    </row>
    <row r="1159" spans="1:17" x14ac:dyDescent="0.25">
      <c r="A1159" t="s">
        <v>501</v>
      </c>
      <c r="B1159" t="s">
        <v>494</v>
      </c>
      <c r="C1159">
        <v>96684580</v>
      </c>
      <c r="D1159">
        <v>58</v>
      </c>
      <c r="E1159">
        <v>30768060</v>
      </c>
      <c r="F1159" t="s">
        <v>640</v>
      </c>
      <c r="G1159" s="1">
        <v>45201</v>
      </c>
      <c r="H1159">
        <v>5395220</v>
      </c>
      <c r="I1159">
        <v>178</v>
      </c>
      <c r="J1159" t="s">
        <v>303</v>
      </c>
      <c r="K1159" t="s">
        <v>681</v>
      </c>
      <c r="L1159" s="4" t="s">
        <v>83</v>
      </c>
      <c r="M1159" t="s">
        <v>681</v>
      </c>
      <c r="N1159" s="5">
        <v>30768060</v>
      </c>
      <c r="O1159" s="5">
        <v>60889</v>
      </c>
      <c r="P1159" s="5">
        <v>11569</v>
      </c>
      <c r="Q1159" s="5">
        <v>72458</v>
      </c>
    </row>
    <row r="1160" spans="1:17" x14ac:dyDescent="0.25">
      <c r="A1160" t="s">
        <v>501</v>
      </c>
      <c r="B1160" t="s">
        <v>494</v>
      </c>
      <c r="C1160">
        <v>96684580</v>
      </c>
      <c r="D1160">
        <v>273</v>
      </c>
      <c r="E1160">
        <v>30786738</v>
      </c>
      <c r="F1160" t="s">
        <v>640</v>
      </c>
      <c r="G1160" s="1">
        <v>45209</v>
      </c>
      <c r="H1160">
        <v>5400219</v>
      </c>
      <c r="I1160">
        <v>348</v>
      </c>
      <c r="J1160" t="s">
        <v>293</v>
      </c>
      <c r="K1160" t="s">
        <v>681</v>
      </c>
      <c r="L1160" s="4" t="s">
        <v>83</v>
      </c>
      <c r="M1160" t="s">
        <v>681</v>
      </c>
      <c r="N1160" s="5">
        <v>30786738</v>
      </c>
      <c r="O1160" s="5">
        <v>77735</v>
      </c>
      <c r="P1160" s="5">
        <v>14770</v>
      </c>
      <c r="Q1160" s="5">
        <v>92505</v>
      </c>
    </row>
    <row r="1161" spans="1:17" x14ac:dyDescent="0.25">
      <c r="A1161" t="s">
        <v>501</v>
      </c>
      <c r="B1161" t="s">
        <v>494</v>
      </c>
      <c r="C1161">
        <v>96684580</v>
      </c>
      <c r="D1161">
        <v>15</v>
      </c>
      <c r="E1161">
        <v>30786756</v>
      </c>
      <c r="F1161" t="s">
        <v>640</v>
      </c>
      <c r="G1161" s="1">
        <v>45209</v>
      </c>
      <c r="H1161">
        <v>5400221</v>
      </c>
      <c r="I1161">
        <v>348</v>
      </c>
      <c r="J1161" t="s">
        <v>293</v>
      </c>
      <c r="K1161" t="s">
        <v>681</v>
      </c>
      <c r="L1161" s="4" t="s">
        <v>83</v>
      </c>
      <c r="M1161" t="s">
        <v>681</v>
      </c>
      <c r="N1161" s="5">
        <v>30786756</v>
      </c>
      <c r="O1161" s="5">
        <v>121925</v>
      </c>
      <c r="P1161" s="5">
        <v>23166</v>
      </c>
      <c r="Q1161" s="5">
        <v>145091</v>
      </c>
    </row>
    <row r="1162" spans="1:17" x14ac:dyDescent="0.25">
      <c r="A1162" t="s">
        <v>501</v>
      </c>
      <c r="B1162" t="s">
        <v>494</v>
      </c>
      <c r="C1162">
        <v>96684580</v>
      </c>
      <c r="D1162">
        <v>30</v>
      </c>
      <c r="E1162">
        <v>30786782</v>
      </c>
      <c r="F1162" t="s">
        <v>640</v>
      </c>
      <c r="G1162" s="1">
        <v>45209</v>
      </c>
      <c r="H1162">
        <v>5400222</v>
      </c>
      <c r="I1162">
        <v>348</v>
      </c>
      <c r="J1162" t="s">
        <v>293</v>
      </c>
      <c r="K1162" t="s">
        <v>681</v>
      </c>
      <c r="L1162" s="4" t="s">
        <v>83</v>
      </c>
      <c r="M1162" t="s">
        <v>681</v>
      </c>
      <c r="N1162" s="5">
        <v>30786782</v>
      </c>
      <c r="O1162" s="5">
        <v>231680</v>
      </c>
      <c r="P1162" s="5">
        <v>44019</v>
      </c>
      <c r="Q1162" s="5">
        <v>275699</v>
      </c>
    </row>
    <row r="1163" spans="1:17" x14ac:dyDescent="0.25">
      <c r="A1163" t="s">
        <v>501</v>
      </c>
      <c r="B1163" t="s">
        <v>494</v>
      </c>
      <c r="C1163">
        <v>96684580</v>
      </c>
      <c r="D1163">
        <v>92</v>
      </c>
      <c r="E1163">
        <v>30799916</v>
      </c>
      <c r="F1163" t="s">
        <v>640</v>
      </c>
      <c r="G1163" s="1">
        <v>45211</v>
      </c>
      <c r="H1163">
        <v>5402741</v>
      </c>
      <c r="I1163">
        <v>348</v>
      </c>
      <c r="J1163" t="s">
        <v>293</v>
      </c>
      <c r="K1163" t="s">
        <v>681</v>
      </c>
      <c r="L1163" s="4" t="s">
        <v>83</v>
      </c>
      <c r="M1163" t="s">
        <v>681</v>
      </c>
      <c r="N1163" s="5">
        <v>30799916</v>
      </c>
      <c r="O1163" s="5">
        <v>25683</v>
      </c>
      <c r="P1163" s="5">
        <v>4880</v>
      </c>
      <c r="Q1163" s="5">
        <v>30563</v>
      </c>
    </row>
    <row r="1164" spans="1:17" x14ac:dyDescent="0.25">
      <c r="A1164" t="s">
        <v>501</v>
      </c>
      <c r="B1164" t="s">
        <v>494</v>
      </c>
      <c r="C1164">
        <v>96684580</v>
      </c>
      <c r="D1164">
        <v>255</v>
      </c>
      <c r="E1164">
        <v>30793137</v>
      </c>
      <c r="F1164" t="s">
        <v>640</v>
      </c>
      <c r="G1164" s="1">
        <v>45215</v>
      </c>
      <c r="H1164">
        <v>5404259</v>
      </c>
      <c r="I1164">
        <v>348</v>
      </c>
      <c r="J1164" t="s">
        <v>293</v>
      </c>
      <c r="K1164" t="s">
        <v>681</v>
      </c>
      <c r="L1164" s="4" t="s">
        <v>83</v>
      </c>
      <c r="M1164" t="s">
        <v>681</v>
      </c>
      <c r="N1164" s="5">
        <v>30793137</v>
      </c>
      <c r="O1164" s="5">
        <v>55261</v>
      </c>
      <c r="P1164" s="5">
        <v>10500</v>
      </c>
      <c r="Q1164" s="5">
        <v>65761</v>
      </c>
    </row>
    <row r="1165" spans="1:17" x14ac:dyDescent="0.25">
      <c r="A1165" t="s">
        <v>501</v>
      </c>
      <c r="B1165" t="s">
        <v>494</v>
      </c>
      <c r="C1165">
        <v>96684580</v>
      </c>
      <c r="D1165">
        <v>19</v>
      </c>
      <c r="E1165">
        <v>30797026</v>
      </c>
      <c r="F1165" t="s">
        <v>640</v>
      </c>
      <c r="G1165" s="1">
        <v>45215</v>
      </c>
      <c r="H1165">
        <v>5404264</v>
      </c>
      <c r="I1165">
        <v>348</v>
      </c>
      <c r="J1165" t="s">
        <v>293</v>
      </c>
      <c r="K1165" t="s">
        <v>681</v>
      </c>
      <c r="L1165" s="4" t="s">
        <v>83</v>
      </c>
      <c r="M1165" t="s">
        <v>681</v>
      </c>
      <c r="N1165" s="5">
        <v>30797026</v>
      </c>
      <c r="O1165" s="5">
        <v>212195</v>
      </c>
      <c r="P1165" s="5">
        <v>40317</v>
      </c>
      <c r="Q1165" s="5">
        <v>252512</v>
      </c>
    </row>
    <row r="1166" spans="1:17" x14ac:dyDescent="0.25">
      <c r="A1166" t="s">
        <v>501</v>
      </c>
      <c r="B1166" t="s">
        <v>494</v>
      </c>
      <c r="C1166">
        <v>96684580</v>
      </c>
      <c r="D1166">
        <v>26</v>
      </c>
      <c r="E1166">
        <v>30818688</v>
      </c>
      <c r="F1166" t="s">
        <v>640</v>
      </c>
      <c r="G1166" s="1">
        <v>45218</v>
      </c>
      <c r="H1166">
        <v>5406371</v>
      </c>
      <c r="I1166">
        <v>348</v>
      </c>
      <c r="J1166" t="s">
        <v>293</v>
      </c>
      <c r="K1166" t="s">
        <v>681</v>
      </c>
      <c r="L1166" s="4" t="s">
        <v>83</v>
      </c>
      <c r="M1166" t="s">
        <v>681</v>
      </c>
      <c r="N1166" s="5">
        <v>30818688</v>
      </c>
      <c r="O1166" s="5">
        <v>29396</v>
      </c>
      <c r="P1166" s="5">
        <v>5585</v>
      </c>
      <c r="Q1166" s="5">
        <v>34981</v>
      </c>
    </row>
    <row r="1167" spans="1:17" x14ac:dyDescent="0.25">
      <c r="A1167" t="s">
        <v>501</v>
      </c>
      <c r="B1167" t="s">
        <v>494</v>
      </c>
      <c r="C1167">
        <v>96684580</v>
      </c>
      <c r="D1167">
        <v>26</v>
      </c>
      <c r="E1167">
        <v>30818691</v>
      </c>
      <c r="F1167" t="s">
        <v>640</v>
      </c>
      <c r="G1167" s="1">
        <v>45218</v>
      </c>
      <c r="H1167">
        <v>5406376</v>
      </c>
      <c r="I1167">
        <v>348</v>
      </c>
      <c r="J1167" t="s">
        <v>293</v>
      </c>
      <c r="K1167" t="s">
        <v>681</v>
      </c>
      <c r="L1167" s="4" t="s">
        <v>83</v>
      </c>
      <c r="M1167" t="s">
        <v>681</v>
      </c>
      <c r="N1167" s="5">
        <v>30818691</v>
      </c>
      <c r="O1167" s="5">
        <v>53420</v>
      </c>
      <c r="P1167" s="5">
        <v>10150</v>
      </c>
      <c r="Q1167" s="5">
        <v>63570</v>
      </c>
    </row>
    <row r="1168" spans="1:17" x14ac:dyDescent="0.25">
      <c r="A1168" t="s">
        <v>501</v>
      </c>
      <c r="B1168" t="s">
        <v>494</v>
      </c>
      <c r="C1168">
        <v>96684580</v>
      </c>
      <c r="D1168">
        <v>7</v>
      </c>
      <c r="E1168">
        <v>30818685</v>
      </c>
      <c r="F1168" t="s">
        <v>640</v>
      </c>
      <c r="G1168" s="1">
        <v>45218</v>
      </c>
      <c r="H1168">
        <v>5406411</v>
      </c>
      <c r="I1168">
        <v>348</v>
      </c>
      <c r="J1168" t="s">
        <v>293</v>
      </c>
      <c r="K1168" t="s">
        <v>681</v>
      </c>
      <c r="L1168" s="4" t="s">
        <v>83</v>
      </c>
      <c r="M1168" t="s">
        <v>681</v>
      </c>
      <c r="N1168" s="5">
        <v>30818685</v>
      </c>
      <c r="O1168" s="5">
        <v>129300</v>
      </c>
      <c r="P1168" s="5">
        <v>24567</v>
      </c>
      <c r="Q1168" s="5">
        <v>153867</v>
      </c>
    </row>
    <row r="1169" spans="1:17" x14ac:dyDescent="0.25">
      <c r="A1169" t="s">
        <v>501</v>
      </c>
      <c r="B1169" t="s">
        <v>494</v>
      </c>
      <c r="C1169">
        <v>96684580</v>
      </c>
      <c r="D1169">
        <v>56</v>
      </c>
      <c r="E1169">
        <v>30818689</v>
      </c>
      <c r="F1169" t="s">
        <v>640</v>
      </c>
      <c r="G1169" s="1">
        <v>45219</v>
      </c>
      <c r="H1169">
        <v>5407519</v>
      </c>
      <c r="I1169">
        <v>348</v>
      </c>
      <c r="J1169" t="s">
        <v>293</v>
      </c>
      <c r="K1169" t="s">
        <v>681</v>
      </c>
      <c r="L1169" s="4" t="s">
        <v>83</v>
      </c>
      <c r="M1169" t="s">
        <v>681</v>
      </c>
      <c r="N1169" s="5">
        <v>30818689</v>
      </c>
      <c r="O1169" s="5">
        <v>130706</v>
      </c>
      <c r="P1169" s="5">
        <v>24834</v>
      </c>
      <c r="Q1169" s="5">
        <v>155540</v>
      </c>
    </row>
    <row r="1170" spans="1:17" x14ac:dyDescent="0.25">
      <c r="A1170" t="s">
        <v>501</v>
      </c>
      <c r="B1170" t="s">
        <v>494</v>
      </c>
      <c r="C1170">
        <v>96684580</v>
      </c>
      <c r="D1170">
        <v>38</v>
      </c>
      <c r="E1170">
        <v>30829315</v>
      </c>
      <c r="F1170" t="s">
        <v>640</v>
      </c>
      <c r="G1170" s="1">
        <v>45223</v>
      </c>
      <c r="H1170">
        <v>5408404</v>
      </c>
      <c r="I1170">
        <v>348</v>
      </c>
      <c r="J1170" t="s">
        <v>293</v>
      </c>
      <c r="K1170" t="s">
        <v>681</v>
      </c>
      <c r="L1170" s="4" t="s">
        <v>83</v>
      </c>
      <c r="M1170" t="s">
        <v>681</v>
      </c>
      <c r="N1170" s="5">
        <v>30829315</v>
      </c>
      <c r="O1170" s="5">
        <v>82079</v>
      </c>
      <c r="P1170" s="5">
        <v>15595</v>
      </c>
      <c r="Q1170" s="5">
        <v>97674</v>
      </c>
    </row>
    <row r="1171" spans="1:17" x14ac:dyDescent="0.25">
      <c r="A1171" t="s">
        <v>501</v>
      </c>
      <c r="B1171" t="s">
        <v>494</v>
      </c>
      <c r="C1171">
        <v>96684580</v>
      </c>
      <c r="D1171">
        <v>34</v>
      </c>
      <c r="E1171">
        <v>30829400</v>
      </c>
      <c r="F1171" t="s">
        <v>640</v>
      </c>
      <c r="G1171" s="1">
        <v>45229</v>
      </c>
      <c r="H1171">
        <v>5409586</v>
      </c>
      <c r="I1171">
        <v>348</v>
      </c>
      <c r="J1171" t="s">
        <v>293</v>
      </c>
      <c r="K1171" t="s">
        <v>681</v>
      </c>
      <c r="L1171" s="4" t="s">
        <v>83</v>
      </c>
      <c r="M1171" t="s">
        <v>681</v>
      </c>
      <c r="N1171" s="5">
        <v>30829400</v>
      </c>
      <c r="O1171" s="5">
        <v>43431</v>
      </c>
      <c r="P1171" s="5">
        <v>8252</v>
      </c>
      <c r="Q1171" s="5">
        <v>51683</v>
      </c>
    </row>
    <row r="1172" spans="1:17" x14ac:dyDescent="0.25">
      <c r="A1172" t="s">
        <v>501</v>
      </c>
      <c r="B1172" t="s">
        <v>494</v>
      </c>
      <c r="C1172">
        <v>96684580</v>
      </c>
      <c r="D1172">
        <v>58</v>
      </c>
      <c r="E1172">
        <v>30838558</v>
      </c>
      <c r="F1172" t="s">
        <v>640</v>
      </c>
      <c r="G1172" s="1">
        <v>45229</v>
      </c>
      <c r="H1172">
        <v>5409692</v>
      </c>
      <c r="I1172">
        <v>348</v>
      </c>
      <c r="J1172" t="s">
        <v>293</v>
      </c>
      <c r="K1172" t="s">
        <v>681</v>
      </c>
      <c r="L1172" s="4" t="s">
        <v>83</v>
      </c>
      <c r="M1172" t="s">
        <v>681</v>
      </c>
      <c r="N1172" s="5">
        <v>30838558</v>
      </c>
      <c r="O1172" s="5">
        <v>57861</v>
      </c>
      <c r="P1172" s="5">
        <v>10994</v>
      </c>
      <c r="Q1172" s="5">
        <v>68855</v>
      </c>
    </row>
    <row r="1173" spans="1:17" x14ac:dyDescent="0.25">
      <c r="A1173" t="s">
        <v>501</v>
      </c>
      <c r="B1173" t="s">
        <v>494</v>
      </c>
      <c r="C1173">
        <v>96684580</v>
      </c>
      <c r="D1173">
        <v>209</v>
      </c>
      <c r="E1173">
        <v>30838547</v>
      </c>
      <c r="F1173" t="s">
        <v>640</v>
      </c>
      <c r="G1173" s="1">
        <v>45229</v>
      </c>
      <c r="H1173">
        <v>5409710</v>
      </c>
      <c r="I1173">
        <v>348</v>
      </c>
      <c r="J1173" t="s">
        <v>293</v>
      </c>
      <c r="K1173" t="s">
        <v>681</v>
      </c>
      <c r="L1173" s="4" t="s">
        <v>83</v>
      </c>
      <c r="M1173" t="s">
        <v>681</v>
      </c>
      <c r="N1173" s="5">
        <v>30838547</v>
      </c>
      <c r="O1173" s="5">
        <v>63508</v>
      </c>
      <c r="P1173" s="5">
        <v>12067</v>
      </c>
      <c r="Q1173" s="5">
        <v>75575</v>
      </c>
    </row>
    <row r="1174" spans="1:17" x14ac:dyDescent="0.25">
      <c r="A1174" t="s">
        <v>501</v>
      </c>
      <c r="B1174" t="s">
        <v>494</v>
      </c>
      <c r="C1174">
        <v>96684580</v>
      </c>
      <c r="D1174">
        <v>31</v>
      </c>
      <c r="E1174">
        <v>30838551</v>
      </c>
      <c r="F1174" t="s">
        <v>640</v>
      </c>
      <c r="G1174" s="1">
        <v>45229</v>
      </c>
      <c r="H1174">
        <v>5409717</v>
      </c>
      <c r="I1174">
        <v>348</v>
      </c>
      <c r="J1174" t="s">
        <v>293</v>
      </c>
      <c r="K1174" t="s">
        <v>681</v>
      </c>
      <c r="L1174" s="4" t="s">
        <v>83</v>
      </c>
      <c r="M1174" t="s">
        <v>681</v>
      </c>
      <c r="N1174" s="5">
        <v>30838551</v>
      </c>
      <c r="O1174" s="5">
        <v>33955</v>
      </c>
      <c r="P1174" s="5">
        <v>6451</v>
      </c>
      <c r="Q1174" s="5">
        <v>40406</v>
      </c>
    </row>
    <row r="1175" spans="1:17" x14ac:dyDescent="0.25">
      <c r="A1175" t="s">
        <v>501</v>
      </c>
      <c r="B1175" t="s">
        <v>494</v>
      </c>
      <c r="C1175">
        <v>96684580</v>
      </c>
      <c r="D1175">
        <v>58</v>
      </c>
      <c r="E1175">
        <v>30838543</v>
      </c>
      <c r="F1175" t="s">
        <v>640</v>
      </c>
      <c r="G1175" s="1">
        <v>45229</v>
      </c>
      <c r="H1175">
        <v>5409796</v>
      </c>
      <c r="I1175">
        <v>348</v>
      </c>
      <c r="J1175" t="s">
        <v>293</v>
      </c>
      <c r="K1175" t="s">
        <v>681</v>
      </c>
      <c r="L1175" s="4" t="s">
        <v>83</v>
      </c>
      <c r="M1175" t="s">
        <v>681</v>
      </c>
      <c r="N1175" s="5">
        <v>30838543</v>
      </c>
      <c r="O1175" s="5">
        <v>34081</v>
      </c>
      <c r="P1175" s="5">
        <v>6475</v>
      </c>
      <c r="Q1175" s="5">
        <v>40556</v>
      </c>
    </row>
    <row r="1176" spans="1:17" x14ac:dyDescent="0.25">
      <c r="A1176" t="s">
        <v>501</v>
      </c>
      <c r="B1176" t="s">
        <v>494</v>
      </c>
      <c r="C1176">
        <v>96684580</v>
      </c>
      <c r="D1176">
        <v>92</v>
      </c>
      <c r="E1176">
        <v>30838590</v>
      </c>
      <c r="F1176" t="s">
        <v>640</v>
      </c>
      <c r="G1176" s="1">
        <v>45229</v>
      </c>
      <c r="H1176">
        <v>5409960</v>
      </c>
      <c r="I1176">
        <v>348</v>
      </c>
      <c r="J1176" t="s">
        <v>293</v>
      </c>
      <c r="K1176" t="s">
        <v>681</v>
      </c>
      <c r="L1176" s="4" t="s">
        <v>83</v>
      </c>
      <c r="M1176" t="s">
        <v>681</v>
      </c>
      <c r="N1176" s="5">
        <v>30838590</v>
      </c>
      <c r="O1176" s="5">
        <v>145624</v>
      </c>
      <c r="P1176" s="5">
        <v>27669</v>
      </c>
      <c r="Q1176" s="5">
        <v>173293</v>
      </c>
    </row>
    <row r="1177" spans="1:17" x14ac:dyDescent="0.25">
      <c r="F1177" t="s">
        <v>636</v>
      </c>
      <c r="K1177" t="s">
        <v>681</v>
      </c>
      <c r="L1177" s="4"/>
      <c r="M1177" t="s">
        <v>681</v>
      </c>
      <c r="N1177" s="5"/>
      <c r="O1177" s="5">
        <v>1906995</v>
      </c>
      <c r="P1177" s="5">
        <v>362331</v>
      </c>
      <c r="Q1177" s="5">
        <v>2269326</v>
      </c>
    </row>
    <row r="1178" spans="1:17" x14ac:dyDescent="0.25">
      <c r="C1178">
        <v>96689310</v>
      </c>
      <c r="D1178">
        <v>24</v>
      </c>
      <c r="E1178">
        <v>30821934</v>
      </c>
      <c r="F1178" t="s">
        <v>716</v>
      </c>
      <c r="G1178" s="1">
        <v>45219</v>
      </c>
      <c r="H1178">
        <v>5406834</v>
      </c>
      <c r="I1178">
        <v>82</v>
      </c>
      <c r="J1178" t="s">
        <v>238</v>
      </c>
      <c r="K1178" s="8" t="s">
        <v>742</v>
      </c>
      <c r="L1178" s="4"/>
      <c r="M1178" t="s">
        <v>681</v>
      </c>
      <c r="N1178" s="5">
        <v>30821934</v>
      </c>
      <c r="O1178" s="5">
        <v>225548</v>
      </c>
      <c r="P1178" s="5">
        <v>42854</v>
      </c>
      <c r="Q1178" s="5">
        <v>276413</v>
      </c>
    </row>
    <row r="1179" spans="1:17" x14ac:dyDescent="0.25">
      <c r="F1179" t="s">
        <v>495</v>
      </c>
      <c r="K1179" t="s">
        <v>681</v>
      </c>
      <c r="L1179" s="4"/>
      <c r="M1179" t="s">
        <v>681</v>
      </c>
      <c r="N1179" s="5"/>
      <c r="O1179" s="5">
        <v>225548</v>
      </c>
      <c r="P1179" s="5">
        <v>42854</v>
      </c>
      <c r="Q1179" s="5">
        <v>276413</v>
      </c>
    </row>
    <row r="1180" spans="1:17" x14ac:dyDescent="0.25">
      <c r="A1180" t="s">
        <v>503</v>
      </c>
      <c r="B1180" t="s">
        <v>509</v>
      </c>
      <c r="C1180">
        <v>96691680</v>
      </c>
      <c r="D1180">
        <v>18</v>
      </c>
      <c r="E1180" t="s">
        <v>641</v>
      </c>
      <c r="F1180" t="s">
        <v>642</v>
      </c>
      <c r="G1180" s="1">
        <v>45203</v>
      </c>
      <c r="H1180">
        <v>5397155</v>
      </c>
      <c r="I1180">
        <v>178</v>
      </c>
      <c r="J1180" t="s">
        <v>303</v>
      </c>
      <c r="K1180" s="8" t="s">
        <v>742</v>
      </c>
      <c r="L1180" s="4"/>
      <c r="M1180" t="s">
        <v>681</v>
      </c>
      <c r="N1180" s="5">
        <v>30777393</v>
      </c>
      <c r="O1180" s="5">
        <v>7150</v>
      </c>
      <c r="P1180" s="5">
        <v>1359</v>
      </c>
      <c r="Q1180" s="5">
        <v>8509</v>
      </c>
    </row>
    <row r="1181" spans="1:17" x14ac:dyDescent="0.25">
      <c r="A1181" t="s">
        <v>503</v>
      </c>
      <c r="B1181" t="s">
        <v>509</v>
      </c>
      <c r="C1181">
        <v>96691680</v>
      </c>
      <c r="D1181">
        <v>18</v>
      </c>
      <c r="E1181" t="s">
        <v>643</v>
      </c>
      <c r="F1181" t="s">
        <v>642</v>
      </c>
      <c r="G1181" s="1">
        <v>45203</v>
      </c>
      <c r="H1181">
        <v>5397348</v>
      </c>
      <c r="I1181">
        <v>178</v>
      </c>
      <c r="J1181" t="s">
        <v>303</v>
      </c>
      <c r="K1181" s="8" t="s">
        <v>742</v>
      </c>
      <c r="L1181" s="4"/>
      <c r="M1181" t="s">
        <v>681</v>
      </c>
      <c r="N1181" s="5">
        <v>30752715</v>
      </c>
      <c r="O1181" s="5">
        <v>413057</v>
      </c>
      <c r="P1181" s="5">
        <v>78481</v>
      </c>
      <c r="Q1181" s="5">
        <v>491538</v>
      </c>
    </row>
    <row r="1182" spans="1:17" x14ac:dyDescent="0.25">
      <c r="A1182" t="s">
        <v>503</v>
      </c>
      <c r="B1182" t="s">
        <v>509</v>
      </c>
      <c r="C1182">
        <v>96691680</v>
      </c>
      <c r="D1182">
        <v>18</v>
      </c>
      <c r="E1182" t="s">
        <v>717</v>
      </c>
      <c r="F1182" t="s">
        <v>642</v>
      </c>
      <c r="G1182" s="1">
        <v>45215</v>
      </c>
      <c r="H1182">
        <v>5405329</v>
      </c>
      <c r="I1182">
        <v>178</v>
      </c>
      <c r="J1182" t="s">
        <v>303</v>
      </c>
      <c r="K1182" s="8" t="s">
        <v>742</v>
      </c>
      <c r="L1182" s="4"/>
      <c r="M1182" t="s">
        <v>681</v>
      </c>
      <c r="N1182" s="5">
        <v>30805182</v>
      </c>
      <c r="O1182" s="5">
        <v>229205</v>
      </c>
      <c r="P1182" s="5">
        <v>43549</v>
      </c>
      <c r="Q1182" s="5">
        <v>272754</v>
      </c>
    </row>
    <row r="1183" spans="1:17" x14ac:dyDescent="0.25">
      <c r="A1183" t="s">
        <v>503</v>
      </c>
      <c r="B1183" t="s">
        <v>509</v>
      </c>
      <c r="C1183">
        <v>96691680</v>
      </c>
      <c r="D1183">
        <v>18</v>
      </c>
      <c r="E1183" t="s">
        <v>717</v>
      </c>
      <c r="F1183" t="s">
        <v>642</v>
      </c>
      <c r="G1183" s="1">
        <v>45215</v>
      </c>
      <c r="H1183">
        <v>5405330</v>
      </c>
      <c r="I1183">
        <v>178</v>
      </c>
      <c r="J1183" t="s">
        <v>303</v>
      </c>
      <c r="K1183" s="8" t="s">
        <v>742</v>
      </c>
      <c r="L1183" s="4"/>
      <c r="M1183" t="s">
        <v>681</v>
      </c>
      <c r="N1183" s="5">
        <v>30805182</v>
      </c>
      <c r="O1183" s="5">
        <v>2289</v>
      </c>
      <c r="P1183" s="5">
        <v>435</v>
      </c>
      <c r="Q1183" s="5">
        <v>2724</v>
      </c>
    </row>
    <row r="1184" spans="1:17" x14ac:dyDescent="0.25">
      <c r="A1184" t="s">
        <v>503</v>
      </c>
      <c r="B1184" t="s">
        <v>509</v>
      </c>
      <c r="C1184">
        <v>96691680</v>
      </c>
      <c r="D1184">
        <v>7</v>
      </c>
      <c r="E1184" t="s">
        <v>718</v>
      </c>
      <c r="F1184" t="s">
        <v>642</v>
      </c>
      <c r="G1184" s="1">
        <v>45218</v>
      </c>
      <c r="H1184">
        <v>5406784</v>
      </c>
      <c r="I1184">
        <v>178</v>
      </c>
      <c r="J1184" t="s">
        <v>303</v>
      </c>
      <c r="K1184" s="8" t="s">
        <v>742</v>
      </c>
      <c r="L1184" s="4"/>
      <c r="M1184" t="s">
        <v>681</v>
      </c>
      <c r="N1184" s="5">
        <v>30820980</v>
      </c>
      <c r="O1184" s="5">
        <v>169157</v>
      </c>
      <c r="P1184" s="5">
        <v>32140</v>
      </c>
      <c r="Q1184" s="5">
        <v>207230</v>
      </c>
    </row>
    <row r="1185" spans="1:17" x14ac:dyDescent="0.25">
      <c r="F1185" t="s">
        <v>499</v>
      </c>
      <c r="K1185" t="s">
        <v>681</v>
      </c>
      <c r="L1185" s="4"/>
      <c r="M1185" t="s">
        <v>681</v>
      </c>
      <c r="N1185" s="5"/>
      <c r="O1185" s="5">
        <v>820858</v>
      </c>
      <c r="P1185" s="5">
        <v>155964</v>
      </c>
      <c r="Q1185" s="5">
        <v>982755</v>
      </c>
    </row>
    <row r="1186" spans="1:17" x14ac:dyDescent="0.25">
      <c r="A1186" t="s">
        <v>520</v>
      </c>
      <c r="B1186" t="s">
        <v>494</v>
      </c>
      <c r="C1186">
        <v>96731500</v>
      </c>
      <c r="D1186">
        <v>1</v>
      </c>
      <c r="E1186">
        <v>4500061478</v>
      </c>
      <c r="F1186" t="s">
        <v>644</v>
      </c>
      <c r="G1186" s="1">
        <v>45203</v>
      </c>
      <c r="H1186">
        <v>5394444</v>
      </c>
      <c r="I1186">
        <v>44</v>
      </c>
      <c r="J1186" t="s">
        <v>148</v>
      </c>
      <c r="K1186" s="8" t="s">
        <v>742</v>
      </c>
      <c r="L1186" s="4"/>
      <c r="M1186" t="s">
        <v>681</v>
      </c>
      <c r="N1186" s="5">
        <v>30778128</v>
      </c>
      <c r="O1186" s="5">
        <v>183864</v>
      </c>
      <c r="P1186" s="5">
        <v>34934</v>
      </c>
      <c r="Q1186" s="5">
        <v>218798</v>
      </c>
    </row>
    <row r="1187" spans="1:17" x14ac:dyDescent="0.25">
      <c r="A1187" t="s">
        <v>520</v>
      </c>
      <c r="B1187" t="s">
        <v>494</v>
      </c>
      <c r="C1187">
        <v>96731500</v>
      </c>
      <c r="D1187">
        <v>1</v>
      </c>
      <c r="E1187">
        <v>4500061478</v>
      </c>
      <c r="F1187" t="s">
        <v>644</v>
      </c>
      <c r="G1187" s="1">
        <v>45203</v>
      </c>
      <c r="H1187">
        <v>5394445</v>
      </c>
      <c r="I1187">
        <v>44</v>
      </c>
      <c r="J1187" t="s">
        <v>148</v>
      </c>
      <c r="K1187" s="8" t="s">
        <v>742</v>
      </c>
      <c r="L1187" s="4"/>
      <c r="M1187" t="s">
        <v>681</v>
      </c>
      <c r="N1187" s="5">
        <v>30778165</v>
      </c>
      <c r="O1187" s="5">
        <v>94406</v>
      </c>
      <c r="P1187" s="5">
        <v>17937</v>
      </c>
      <c r="Q1187" s="5">
        <v>112343</v>
      </c>
    </row>
    <row r="1188" spans="1:17" x14ac:dyDescent="0.25">
      <c r="A1188" t="s">
        <v>520</v>
      </c>
      <c r="B1188" t="s">
        <v>494</v>
      </c>
      <c r="C1188">
        <v>96731500</v>
      </c>
      <c r="D1188">
        <v>1</v>
      </c>
      <c r="E1188">
        <v>4500061478</v>
      </c>
      <c r="F1188" t="s">
        <v>644</v>
      </c>
      <c r="G1188" s="1">
        <v>45203</v>
      </c>
      <c r="H1188">
        <v>5394446</v>
      </c>
      <c r="I1188">
        <v>44</v>
      </c>
      <c r="J1188" t="s">
        <v>148</v>
      </c>
      <c r="K1188" s="8" t="s">
        <v>742</v>
      </c>
      <c r="L1188" s="4"/>
      <c r="M1188" t="s">
        <v>681</v>
      </c>
      <c r="N1188" s="5">
        <v>30778158</v>
      </c>
      <c r="O1188" s="5">
        <v>30933</v>
      </c>
      <c r="P1188" s="5">
        <v>5877</v>
      </c>
      <c r="Q1188" s="5">
        <v>36810</v>
      </c>
    </row>
    <row r="1189" spans="1:17" x14ac:dyDescent="0.25">
      <c r="A1189" t="s">
        <v>520</v>
      </c>
      <c r="B1189" t="s">
        <v>494</v>
      </c>
      <c r="C1189">
        <v>96731500</v>
      </c>
      <c r="D1189">
        <v>1</v>
      </c>
      <c r="E1189">
        <v>4500061478</v>
      </c>
      <c r="F1189" t="s">
        <v>644</v>
      </c>
      <c r="G1189" s="1">
        <v>45204</v>
      </c>
      <c r="H1189">
        <v>5394453</v>
      </c>
      <c r="I1189">
        <v>44</v>
      </c>
      <c r="J1189" t="s">
        <v>148</v>
      </c>
      <c r="K1189" s="8" t="s">
        <v>742</v>
      </c>
      <c r="L1189" s="4"/>
      <c r="M1189" t="s">
        <v>681</v>
      </c>
      <c r="N1189" s="5">
        <v>30778147</v>
      </c>
      <c r="O1189" s="5">
        <v>103671</v>
      </c>
      <c r="P1189" s="5">
        <v>19697</v>
      </c>
      <c r="Q1189" s="5">
        <v>123368</v>
      </c>
    </row>
    <row r="1190" spans="1:17" x14ac:dyDescent="0.25">
      <c r="A1190" t="s">
        <v>520</v>
      </c>
      <c r="B1190" t="s">
        <v>494</v>
      </c>
      <c r="C1190">
        <v>96731500</v>
      </c>
      <c r="D1190">
        <v>1</v>
      </c>
      <c r="E1190">
        <v>4500061478</v>
      </c>
      <c r="F1190" t="s">
        <v>644</v>
      </c>
      <c r="G1190" s="1">
        <v>45204</v>
      </c>
      <c r="H1190">
        <v>5394454</v>
      </c>
      <c r="I1190">
        <v>44</v>
      </c>
      <c r="J1190" t="s">
        <v>148</v>
      </c>
      <c r="K1190" s="8" t="s">
        <v>742</v>
      </c>
      <c r="L1190" s="4"/>
      <c r="M1190" t="s">
        <v>681</v>
      </c>
      <c r="N1190" s="5">
        <v>30778149</v>
      </c>
      <c r="O1190" s="5">
        <v>318220</v>
      </c>
      <c r="P1190" s="5">
        <v>60462</v>
      </c>
      <c r="Q1190" s="5">
        <v>380728</v>
      </c>
    </row>
    <row r="1191" spans="1:17" x14ac:dyDescent="0.25">
      <c r="A1191" t="s">
        <v>520</v>
      </c>
      <c r="B1191" t="s">
        <v>494</v>
      </c>
      <c r="C1191">
        <v>96731500</v>
      </c>
      <c r="D1191">
        <v>1</v>
      </c>
      <c r="E1191">
        <v>4500061478</v>
      </c>
      <c r="F1191" t="s">
        <v>644</v>
      </c>
      <c r="G1191" s="1">
        <v>45204</v>
      </c>
      <c r="H1191">
        <v>5394461</v>
      </c>
      <c r="I1191">
        <v>23</v>
      </c>
      <c r="J1191" t="s">
        <v>174</v>
      </c>
      <c r="K1191" s="8" t="s">
        <v>742</v>
      </c>
      <c r="L1191" s="4"/>
      <c r="M1191" t="s">
        <v>681</v>
      </c>
      <c r="N1191" s="5">
        <v>30754700</v>
      </c>
      <c r="O1191" s="5">
        <v>108851</v>
      </c>
      <c r="P1191" s="5">
        <v>20682</v>
      </c>
      <c r="Q1191" s="5">
        <v>129533</v>
      </c>
    </row>
    <row r="1192" spans="1:17" x14ac:dyDescent="0.25">
      <c r="A1192" t="s">
        <v>520</v>
      </c>
      <c r="B1192" t="s">
        <v>494</v>
      </c>
      <c r="C1192">
        <v>96731500</v>
      </c>
      <c r="D1192">
        <v>1</v>
      </c>
      <c r="E1192">
        <v>4500061478</v>
      </c>
      <c r="F1192" t="s">
        <v>644</v>
      </c>
      <c r="G1192" s="1">
        <v>45204</v>
      </c>
      <c r="H1192">
        <v>5394462</v>
      </c>
      <c r="I1192">
        <v>23</v>
      </c>
      <c r="J1192" t="s">
        <v>174</v>
      </c>
      <c r="K1192" s="8" t="s">
        <v>742</v>
      </c>
      <c r="L1192" s="4"/>
      <c r="M1192" t="s">
        <v>681</v>
      </c>
      <c r="N1192" s="5">
        <v>30754685</v>
      </c>
      <c r="O1192" s="5">
        <v>166239</v>
      </c>
      <c r="P1192" s="5">
        <v>31585</v>
      </c>
      <c r="Q1192" s="5">
        <v>197824</v>
      </c>
    </row>
    <row r="1193" spans="1:17" x14ac:dyDescent="0.25">
      <c r="A1193" t="s">
        <v>520</v>
      </c>
      <c r="B1193" t="s">
        <v>494</v>
      </c>
      <c r="C1193">
        <v>96731500</v>
      </c>
      <c r="D1193">
        <v>1</v>
      </c>
      <c r="E1193">
        <v>4500061478</v>
      </c>
      <c r="F1193" t="s">
        <v>644</v>
      </c>
      <c r="G1193" s="1">
        <v>45204</v>
      </c>
      <c r="H1193">
        <v>5394463</v>
      </c>
      <c r="I1193">
        <v>23</v>
      </c>
      <c r="J1193" t="s">
        <v>174</v>
      </c>
      <c r="K1193" s="8" t="s">
        <v>742</v>
      </c>
      <c r="L1193" s="4"/>
      <c r="M1193" t="s">
        <v>681</v>
      </c>
      <c r="N1193" s="5">
        <v>30754687</v>
      </c>
      <c r="O1193" s="5">
        <v>279644</v>
      </c>
      <c r="P1193" s="5">
        <v>53132</v>
      </c>
      <c r="Q1193" s="5">
        <v>333851</v>
      </c>
    </row>
    <row r="1194" spans="1:17" x14ac:dyDescent="0.25">
      <c r="A1194" t="s">
        <v>520</v>
      </c>
      <c r="B1194" t="s">
        <v>494</v>
      </c>
      <c r="C1194">
        <v>96731500</v>
      </c>
      <c r="D1194">
        <v>1</v>
      </c>
      <c r="E1194">
        <v>4500061478</v>
      </c>
      <c r="F1194" t="s">
        <v>644</v>
      </c>
      <c r="G1194" s="1">
        <v>45204</v>
      </c>
      <c r="H1194">
        <v>5394464</v>
      </c>
      <c r="I1194">
        <v>23</v>
      </c>
      <c r="J1194" t="s">
        <v>174</v>
      </c>
      <c r="K1194" s="8" t="s">
        <v>742</v>
      </c>
      <c r="L1194" s="4"/>
      <c r="M1194" t="s">
        <v>681</v>
      </c>
      <c r="N1194" s="5">
        <v>30754713</v>
      </c>
      <c r="O1194" s="5">
        <v>124998</v>
      </c>
      <c r="P1194" s="5">
        <v>23750</v>
      </c>
      <c r="Q1194" s="5">
        <v>148748</v>
      </c>
    </row>
    <row r="1195" spans="1:17" x14ac:dyDescent="0.25">
      <c r="A1195" t="s">
        <v>520</v>
      </c>
      <c r="B1195" t="s">
        <v>494</v>
      </c>
      <c r="C1195">
        <v>96731500</v>
      </c>
      <c r="D1195">
        <v>1</v>
      </c>
      <c r="E1195">
        <v>4500061478</v>
      </c>
      <c r="F1195" t="s">
        <v>644</v>
      </c>
      <c r="G1195" s="1">
        <v>45204</v>
      </c>
      <c r="H1195">
        <v>5394465</v>
      </c>
      <c r="I1195">
        <v>23</v>
      </c>
      <c r="J1195" t="s">
        <v>174</v>
      </c>
      <c r="K1195" s="8" t="s">
        <v>742</v>
      </c>
      <c r="L1195" s="4"/>
      <c r="M1195" t="s">
        <v>681</v>
      </c>
      <c r="N1195" s="5">
        <v>30754718</v>
      </c>
      <c r="O1195" s="5">
        <v>124998</v>
      </c>
      <c r="P1195" s="5">
        <v>23750</v>
      </c>
      <c r="Q1195" s="5">
        <v>148748</v>
      </c>
    </row>
    <row r="1196" spans="1:17" x14ac:dyDescent="0.25">
      <c r="A1196" t="s">
        <v>520</v>
      </c>
      <c r="B1196" t="s">
        <v>494</v>
      </c>
      <c r="C1196">
        <v>96731500</v>
      </c>
      <c r="D1196">
        <v>1</v>
      </c>
      <c r="E1196">
        <v>4500061478</v>
      </c>
      <c r="F1196" t="s">
        <v>644</v>
      </c>
      <c r="G1196" s="1">
        <v>45204</v>
      </c>
      <c r="H1196">
        <v>5394466</v>
      </c>
      <c r="I1196">
        <v>23</v>
      </c>
      <c r="J1196" t="s">
        <v>174</v>
      </c>
      <c r="K1196" s="8" t="s">
        <v>742</v>
      </c>
      <c r="L1196" s="4"/>
      <c r="M1196" t="s">
        <v>681</v>
      </c>
      <c r="N1196" s="5">
        <v>30754693</v>
      </c>
      <c r="O1196" s="5">
        <v>124998</v>
      </c>
      <c r="P1196" s="5">
        <v>23750</v>
      </c>
      <c r="Q1196" s="5">
        <v>148748</v>
      </c>
    </row>
    <row r="1197" spans="1:17" x14ac:dyDescent="0.25">
      <c r="F1197" t="s">
        <v>510</v>
      </c>
      <c r="K1197" t="s">
        <v>681</v>
      </c>
      <c r="L1197" s="4"/>
      <c r="M1197" t="s">
        <v>681</v>
      </c>
      <c r="N1197" s="5"/>
      <c r="O1197" s="5">
        <v>1660822</v>
      </c>
      <c r="P1197" s="5">
        <v>315556</v>
      </c>
      <c r="Q1197" s="5">
        <v>1979499</v>
      </c>
    </row>
    <row r="1198" spans="1:17" x14ac:dyDescent="0.25">
      <c r="A1198" t="s">
        <v>503</v>
      </c>
      <c r="B1198" t="s">
        <v>494</v>
      </c>
      <c r="C1198">
        <v>96731890</v>
      </c>
      <c r="D1198">
        <v>5</v>
      </c>
      <c r="E1198">
        <v>4702725920</v>
      </c>
      <c r="F1198" t="s">
        <v>645</v>
      </c>
      <c r="G1198" s="1">
        <v>45229</v>
      </c>
      <c r="H1198">
        <v>5409512</v>
      </c>
      <c r="I1198">
        <v>112</v>
      </c>
      <c r="J1198" t="s">
        <v>166</v>
      </c>
      <c r="K1198" s="8" t="s">
        <v>742</v>
      </c>
      <c r="L1198" s="4" t="s">
        <v>85</v>
      </c>
      <c r="M1198" t="s">
        <v>681</v>
      </c>
      <c r="N1198" s="5">
        <v>30830423</v>
      </c>
      <c r="O1198" s="5">
        <v>1070160</v>
      </c>
      <c r="P1198" s="5">
        <v>203330</v>
      </c>
      <c r="Q1198" s="5">
        <v>1273490</v>
      </c>
    </row>
    <row r="1199" spans="1:17" x14ac:dyDescent="0.25">
      <c r="F1199" t="s">
        <v>495</v>
      </c>
      <c r="K1199" t="s">
        <v>681</v>
      </c>
      <c r="L1199" s="4"/>
      <c r="M1199" t="s">
        <v>681</v>
      </c>
      <c r="N1199" s="5"/>
      <c r="O1199" s="5">
        <v>1070160</v>
      </c>
      <c r="P1199" s="5">
        <v>203330</v>
      </c>
      <c r="Q1199" s="5">
        <v>1273490</v>
      </c>
    </row>
    <row r="1200" spans="1:17" x14ac:dyDescent="0.25">
      <c r="C1200">
        <v>96756310</v>
      </c>
      <c r="D1200">
        <v>3</v>
      </c>
      <c r="E1200">
        <v>30775183</v>
      </c>
      <c r="F1200" t="s">
        <v>646</v>
      </c>
      <c r="G1200" s="1">
        <v>45203</v>
      </c>
      <c r="H1200">
        <v>5396375</v>
      </c>
      <c r="I1200">
        <v>178</v>
      </c>
      <c r="J1200" t="s">
        <v>303</v>
      </c>
      <c r="K1200" s="8" t="s">
        <v>742</v>
      </c>
      <c r="L1200" s="4" t="s">
        <v>86</v>
      </c>
      <c r="M1200" t="s">
        <v>681</v>
      </c>
      <c r="N1200" s="5">
        <v>30775183</v>
      </c>
      <c r="O1200" s="5">
        <v>95900</v>
      </c>
      <c r="P1200" s="5">
        <v>18221</v>
      </c>
      <c r="Q1200" s="5">
        <v>114121</v>
      </c>
    </row>
    <row r="1201" spans="1:17" x14ac:dyDescent="0.25">
      <c r="C1201">
        <v>96756310</v>
      </c>
      <c r="D1201">
        <v>3</v>
      </c>
      <c r="E1201">
        <v>30775634</v>
      </c>
      <c r="F1201" t="s">
        <v>646</v>
      </c>
      <c r="G1201" s="1">
        <v>45203</v>
      </c>
      <c r="H1201">
        <v>5396665</v>
      </c>
      <c r="I1201">
        <v>178</v>
      </c>
      <c r="J1201" t="s">
        <v>303</v>
      </c>
      <c r="K1201" s="8" t="s">
        <v>742</v>
      </c>
      <c r="L1201" s="4" t="s">
        <v>86</v>
      </c>
      <c r="M1201" t="s">
        <v>681</v>
      </c>
      <c r="N1201" s="5">
        <v>30775634</v>
      </c>
      <c r="O1201" s="5">
        <v>95900</v>
      </c>
      <c r="P1201" s="5">
        <v>18221</v>
      </c>
      <c r="Q1201" s="5">
        <v>114121</v>
      </c>
    </row>
    <row r="1202" spans="1:17" x14ac:dyDescent="0.25">
      <c r="C1202">
        <v>96756310</v>
      </c>
      <c r="D1202">
        <v>6</v>
      </c>
      <c r="E1202">
        <v>30788993</v>
      </c>
      <c r="F1202" t="s">
        <v>646</v>
      </c>
      <c r="G1202" s="1">
        <v>45209</v>
      </c>
      <c r="H1202">
        <v>5399735</v>
      </c>
      <c r="I1202">
        <v>178</v>
      </c>
      <c r="J1202" t="s">
        <v>303</v>
      </c>
      <c r="K1202" s="8" t="s">
        <v>742</v>
      </c>
      <c r="L1202" s="4" t="s">
        <v>86</v>
      </c>
      <c r="M1202" t="s">
        <v>681</v>
      </c>
      <c r="N1202" s="5">
        <v>30788993</v>
      </c>
      <c r="O1202" s="5">
        <v>49206</v>
      </c>
      <c r="P1202" s="5">
        <v>9349</v>
      </c>
      <c r="Q1202" s="5">
        <v>58555</v>
      </c>
    </row>
    <row r="1203" spans="1:17" x14ac:dyDescent="0.25">
      <c r="C1203">
        <v>96756310</v>
      </c>
      <c r="D1203">
        <v>7</v>
      </c>
      <c r="E1203">
        <v>30788986</v>
      </c>
      <c r="F1203" t="s">
        <v>646</v>
      </c>
      <c r="G1203" s="1">
        <v>45209</v>
      </c>
      <c r="H1203">
        <v>5399879</v>
      </c>
      <c r="I1203">
        <v>178</v>
      </c>
      <c r="J1203" t="s">
        <v>303</v>
      </c>
      <c r="K1203" s="8" t="s">
        <v>742</v>
      </c>
      <c r="L1203" s="4" t="s">
        <v>86</v>
      </c>
      <c r="M1203" t="s">
        <v>681</v>
      </c>
      <c r="N1203" s="5">
        <v>30788986</v>
      </c>
      <c r="O1203" s="5">
        <v>36030</v>
      </c>
      <c r="P1203" s="5">
        <v>6846</v>
      </c>
      <c r="Q1203" s="5">
        <v>42876</v>
      </c>
    </row>
    <row r="1204" spans="1:17" x14ac:dyDescent="0.25">
      <c r="C1204">
        <v>96756310</v>
      </c>
      <c r="D1204">
        <v>4</v>
      </c>
      <c r="E1204">
        <v>30795853</v>
      </c>
      <c r="F1204" t="s">
        <v>646</v>
      </c>
      <c r="G1204" s="1">
        <v>45211</v>
      </c>
      <c r="H1204">
        <v>5402707</v>
      </c>
      <c r="I1204">
        <v>178</v>
      </c>
      <c r="J1204" t="s">
        <v>303</v>
      </c>
      <c r="K1204" s="8" t="s">
        <v>742</v>
      </c>
      <c r="L1204" s="4" t="s">
        <v>86</v>
      </c>
      <c r="M1204" t="s">
        <v>681</v>
      </c>
      <c r="N1204" s="5">
        <v>30795853</v>
      </c>
      <c r="O1204" s="5">
        <v>30639</v>
      </c>
      <c r="P1204" s="5">
        <v>5821</v>
      </c>
      <c r="Q1204" s="5">
        <v>36460</v>
      </c>
    </row>
    <row r="1205" spans="1:17" x14ac:dyDescent="0.25">
      <c r="C1205">
        <v>96756310</v>
      </c>
      <c r="D1205">
        <v>12</v>
      </c>
      <c r="E1205">
        <v>30795826</v>
      </c>
      <c r="F1205" t="s">
        <v>646</v>
      </c>
      <c r="G1205" s="1">
        <v>45211</v>
      </c>
      <c r="H1205">
        <v>5402708</v>
      </c>
      <c r="I1205">
        <v>178</v>
      </c>
      <c r="J1205" t="s">
        <v>303</v>
      </c>
      <c r="K1205" s="8" t="s">
        <v>742</v>
      </c>
      <c r="L1205" s="4" t="s">
        <v>86</v>
      </c>
      <c r="M1205" t="s">
        <v>681</v>
      </c>
      <c r="N1205" s="5">
        <v>30795826</v>
      </c>
      <c r="O1205" s="5">
        <v>299483</v>
      </c>
      <c r="P1205" s="5">
        <v>56902</v>
      </c>
      <c r="Q1205" s="5">
        <v>356385</v>
      </c>
    </row>
    <row r="1206" spans="1:17" x14ac:dyDescent="0.25">
      <c r="C1206">
        <v>96756310</v>
      </c>
      <c r="D1206">
        <v>4</v>
      </c>
      <c r="E1206">
        <v>30795848</v>
      </c>
      <c r="F1206" t="s">
        <v>646</v>
      </c>
      <c r="G1206" s="1">
        <v>45211</v>
      </c>
      <c r="H1206">
        <v>5402716</v>
      </c>
      <c r="I1206">
        <v>178</v>
      </c>
      <c r="J1206" t="s">
        <v>303</v>
      </c>
      <c r="K1206" s="8" t="s">
        <v>742</v>
      </c>
      <c r="L1206" s="4" t="s">
        <v>86</v>
      </c>
      <c r="M1206" t="s">
        <v>681</v>
      </c>
      <c r="N1206" s="5">
        <v>30795848</v>
      </c>
      <c r="O1206" s="5">
        <v>108081</v>
      </c>
      <c r="P1206" s="5">
        <v>20535</v>
      </c>
      <c r="Q1206" s="5">
        <v>128616</v>
      </c>
    </row>
    <row r="1207" spans="1:17" x14ac:dyDescent="0.25">
      <c r="C1207">
        <v>96756310</v>
      </c>
      <c r="D1207">
        <v>4</v>
      </c>
      <c r="E1207">
        <v>30795837</v>
      </c>
      <c r="F1207" t="s">
        <v>646</v>
      </c>
      <c r="G1207" s="1">
        <v>45211</v>
      </c>
      <c r="H1207">
        <v>5402722</v>
      </c>
      <c r="I1207">
        <v>178</v>
      </c>
      <c r="J1207" t="s">
        <v>303</v>
      </c>
      <c r="K1207" s="8" t="s">
        <v>742</v>
      </c>
      <c r="L1207" s="4" t="s">
        <v>86</v>
      </c>
      <c r="M1207" t="s">
        <v>681</v>
      </c>
      <c r="N1207" s="5">
        <v>30795837</v>
      </c>
      <c r="O1207" s="5">
        <v>56834</v>
      </c>
      <c r="P1207" s="5">
        <v>10798</v>
      </c>
      <c r="Q1207" s="5">
        <v>67632</v>
      </c>
    </row>
    <row r="1208" spans="1:17" x14ac:dyDescent="0.25">
      <c r="F1208" t="s">
        <v>511</v>
      </c>
      <c r="K1208" t="s">
        <v>681</v>
      </c>
      <c r="L1208" s="4"/>
      <c r="M1208" t="s">
        <v>681</v>
      </c>
      <c r="N1208" s="5"/>
      <c r="O1208" s="5">
        <v>772073</v>
      </c>
      <c r="P1208" s="5">
        <v>146693</v>
      </c>
      <c r="Q1208" s="5">
        <v>918766</v>
      </c>
    </row>
    <row r="1209" spans="1:17" x14ac:dyDescent="0.25">
      <c r="C1209">
        <v>96756320</v>
      </c>
      <c r="D1209">
        <v>12</v>
      </c>
      <c r="E1209">
        <v>30775176</v>
      </c>
      <c r="F1209" t="s">
        <v>647</v>
      </c>
      <c r="G1209" s="1">
        <v>45203</v>
      </c>
      <c r="H1209">
        <v>5396766</v>
      </c>
      <c r="I1209">
        <v>178</v>
      </c>
      <c r="J1209" t="s">
        <v>303</v>
      </c>
      <c r="K1209" s="8" t="s">
        <v>742</v>
      </c>
      <c r="L1209" s="4" t="s">
        <v>86</v>
      </c>
      <c r="M1209" t="s">
        <v>681</v>
      </c>
      <c r="N1209" s="5">
        <v>30775176</v>
      </c>
      <c r="O1209" s="5">
        <v>346336</v>
      </c>
      <c r="P1209" s="5">
        <v>65804</v>
      </c>
      <c r="Q1209" s="5">
        <v>412140</v>
      </c>
    </row>
    <row r="1210" spans="1:17" x14ac:dyDescent="0.25">
      <c r="C1210">
        <v>96756320</v>
      </c>
      <c r="D1210">
        <v>11</v>
      </c>
      <c r="E1210">
        <v>30789185</v>
      </c>
      <c r="F1210" t="s">
        <v>647</v>
      </c>
      <c r="G1210" s="1">
        <v>45209</v>
      </c>
      <c r="H1210">
        <v>5401118</v>
      </c>
      <c r="I1210">
        <v>178</v>
      </c>
      <c r="J1210" t="s">
        <v>303</v>
      </c>
      <c r="K1210" s="8" t="s">
        <v>742</v>
      </c>
      <c r="L1210" s="4" t="s">
        <v>86</v>
      </c>
      <c r="M1210" t="s">
        <v>681</v>
      </c>
      <c r="N1210" s="5">
        <v>30789185</v>
      </c>
      <c r="O1210" s="5">
        <v>234883</v>
      </c>
      <c r="P1210" s="5">
        <v>44628</v>
      </c>
      <c r="Q1210" s="5">
        <v>281083</v>
      </c>
    </row>
    <row r="1211" spans="1:17" x14ac:dyDescent="0.25">
      <c r="C1211">
        <v>96756320</v>
      </c>
      <c r="D1211">
        <v>11</v>
      </c>
      <c r="E1211">
        <v>30811806</v>
      </c>
      <c r="F1211" t="s">
        <v>647</v>
      </c>
      <c r="G1211" s="1">
        <v>45216</v>
      </c>
      <c r="H1211">
        <v>5405510</v>
      </c>
      <c r="I1211">
        <v>178</v>
      </c>
      <c r="J1211" t="s">
        <v>303</v>
      </c>
      <c r="K1211" s="8" t="s">
        <v>742</v>
      </c>
      <c r="L1211" s="4" t="s">
        <v>86</v>
      </c>
      <c r="M1211" t="s">
        <v>681</v>
      </c>
      <c r="N1211" s="5">
        <v>30811806</v>
      </c>
      <c r="O1211" s="5">
        <v>145279</v>
      </c>
      <c r="P1211" s="5">
        <v>27603</v>
      </c>
      <c r="Q1211" s="5">
        <v>172882</v>
      </c>
    </row>
    <row r="1212" spans="1:17" x14ac:dyDescent="0.25">
      <c r="C1212">
        <v>96756320</v>
      </c>
      <c r="D1212">
        <v>19</v>
      </c>
      <c r="E1212">
        <v>30822698</v>
      </c>
      <c r="F1212" t="s">
        <v>647</v>
      </c>
      <c r="G1212" s="1">
        <v>45218</v>
      </c>
      <c r="H1212">
        <v>5406880</v>
      </c>
      <c r="I1212">
        <v>178</v>
      </c>
      <c r="J1212" t="s">
        <v>303</v>
      </c>
      <c r="K1212" s="8" t="s">
        <v>742</v>
      </c>
      <c r="L1212" s="4" t="s">
        <v>86</v>
      </c>
      <c r="M1212" t="s">
        <v>681</v>
      </c>
      <c r="N1212" s="5">
        <v>30822698</v>
      </c>
      <c r="O1212" s="5">
        <v>121019</v>
      </c>
      <c r="P1212" s="5">
        <v>22994</v>
      </c>
      <c r="Q1212" s="5">
        <v>144013</v>
      </c>
    </row>
    <row r="1213" spans="1:17" x14ac:dyDescent="0.25">
      <c r="C1213">
        <v>96756320</v>
      </c>
      <c r="D1213">
        <v>19</v>
      </c>
      <c r="E1213">
        <v>30822692</v>
      </c>
      <c r="F1213" t="s">
        <v>647</v>
      </c>
      <c r="G1213" s="1">
        <v>45219</v>
      </c>
      <c r="H1213">
        <v>5406896</v>
      </c>
      <c r="I1213">
        <v>178</v>
      </c>
      <c r="J1213" t="s">
        <v>303</v>
      </c>
      <c r="K1213" s="8" t="s">
        <v>742</v>
      </c>
      <c r="L1213" s="4" t="s">
        <v>86</v>
      </c>
      <c r="M1213" t="s">
        <v>681</v>
      </c>
      <c r="N1213" s="5">
        <v>30822692</v>
      </c>
      <c r="O1213" s="5">
        <v>220584</v>
      </c>
      <c r="P1213" s="5">
        <v>41911</v>
      </c>
      <c r="Q1213" s="5">
        <v>262495</v>
      </c>
    </row>
    <row r="1214" spans="1:17" x14ac:dyDescent="0.25">
      <c r="C1214">
        <v>96756320</v>
      </c>
      <c r="D1214">
        <v>19</v>
      </c>
      <c r="E1214">
        <v>30822701</v>
      </c>
      <c r="F1214" t="s">
        <v>647</v>
      </c>
      <c r="G1214" s="1">
        <v>45219</v>
      </c>
      <c r="H1214">
        <v>5406897</v>
      </c>
      <c r="I1214">
        <v>178</v>
      </c>
      <c r="J1214" t="s">
        <v>303</v>
      </c>
      <c r="K1214" s="8" t="s">
        <v>742</v>
      </c>
      <c r="L1214" s="4" t="s">
        <v>86</v>
      </c>
      <c r="M1214" t="s">
        <v>681</v>
      </c>
      <c r="N1214" s="5">
        <v>30822701</v>
      </c>
      <c r="O1214" s="5">
        <v>123500</v>
      </c>
      <c r="P1214" s="5">
        <v>23465</v>
      </c>
      <c r="Q1214" s="5">
        <v>146965</v>
      </c>
    </row>
    <row r="1215" spans="1:17" x14ac:dyDescent="0.25">
      <c r="F1215" t="s">
        <v>523</v>
      </c>
      <c r="K1215" t="s">
        <v>681</v>
      </c>
      <c r="L1215" s="4"/>
      <c r="M1215" t="s">
        <v>681</v>
      </c>
      <c r="N1215" s="5"/>
      <c r="O1215" s="5">
        <v>1191601</v>
      </c>
      <c r="P1215" s="5">
        <v>226405</v>
      </c>
      <c r="Q1215" s="5">
        <v>1419578</v>
      </c>
    </row>
    <row r="1216" spans="1:17" x14ac:dyDescent="0.25">
      <c r="A1216" t="s">
        <v>512</v>
      </c>
      <c r="B1216" t="s">
        <v>494</v>
      </c>
      <c r="C1216">
        <v>96756430</v>
      </c>
      <c r="D1216">
        <v>57</v>
      </c>
      <c r="E1216">
        <v>4500131472</v>
      </c>
      <c r="F1216" t="s">
        <v>648</v>
      </c>
      <c r="G1216" s="1">
        <v>45229</v>
      </c>
      <c r="H1216">
        <v>5409517</v>
      </c>
      <c r="I1216">
        <v>195</v>
      </c>
      <c r="J1216" t="s">
        <v>406</v>
      </c>
      <c r="K1216" s="8" t="s">
        <v>742</v>
      </c>
      <c r="L1216" s="4" t="s">
        <v>87</v>
      </c>
      <c r="M1216" t="s">
        <v>681</v>
      </c>
      <c r="N1216" s="5">
        <v>30835023</v>
      </c>
      <c r="O1216" s="5">
        <v>30668</v>
      </c>
      <c r="P1216" s="5">
        <v>5827</v>
      </c>
      <c r="Q1216" s="5">
        <v>36495</v>
      </c>
    </row>
    <row r="1217" spans="1:17" x14ac:dyDescent="0.25">
      <c r="A1217" t="s">
        <v>512</v>
      </c>
      <c r="B1217" t="s">
        <v>494</v>
      </c>
      <c r="C1217">
        <v>96756430</v>
      </c>
      <c r="D1217">
        <v>22</v>
      </c>
      <c r="E1217">
        <v>4500131511</v>
      </c>
      <c r="F1217" t="s">
        <v>648</v>
      </c>
      <c r="G1217" s="1">
        <v>45229</v>
      </c>
      <c r="H1217">
        <v>5410192</v>
      </c>
      <c r="I1217">
        <v>195</v>
      </c>
      <c r="J1217" t="s">
        <v>406</v>
      </c>
      <c r="K1217" s="8" t="s">
        <v>742</v>
      </c>
      <c r="L1217" s="4" t="s">
        <v>87</v>
      </c>
      <c r="M1217" t="s">
        <v>681</v>
      </c>
      <c r="N1217" s="5">
        <v>30841403</v>
      </c>
      <c r="O1217" s="5">
        <v>313583</v>
      </c>
      <c r="P1217" s="5">
        <v>59581</v>
      </c>
      <c r="Q1217" s="5">
        <v>373164</v>
      </c>
    </row>
    <row r="1218" spans="1:17" x14ac:dyDescent="0.25">
      <c r="A1218" t="s">
        <v>512</v>
      </c>
      <c r="B1218" t="s">
        <v>494</v>
      </c>
      <c r="C1218">
        <v>96756430</v>
      </c>
      <c r="D1218">
        <v>123</v>
      </c>
      <c r="E1218">
        <v>4500131541</v>
      </c>
      <c r="F1218" t="s">
        <v>648</v>
      </c>
      <c r="G1218" s="1">
        <v>45230</v>
      </c>
      <c r="H1218">
        <v>5410275</v>
      </c>
      <c r="I1218">
        <v>129</v>
      </c>
      <c r="J1218" t="s">
        <v>414</v>
      </c>
      <c r="K1218" s="8" t="s">
        <v>742</v>
      </c>
      <c r="L1218" s="4" t="s">
        <v>87</v>
      </c>
      <c r="M1218" t="s">
        <v>681</v>
      </c>
      <c r="N1218" s="5">
        <v>30842559</v>
      </c>
      <c r="O1218" s="5">
        <v>98943</v>
      </c>
      <c r="P1218" s="5">
        <v>18799</v>
      </c>
      <c r="Q1218" s="5">
        <v>117742</v>
      </c>
    </row>
    <row r="1219" spans="1:17" x14ac:dyDescent="0.25">
      <c r="F1219" t="s">
        <v>500</v>
      </c>
      <c r="K1219" t="s">
        <v>681</v>
      </c>
      <c r="L1219" s="4"/>
      <c r="M1219" t="s">
        <v>681</v>
      </c>
      <c r="N1219" s="5"/>
      <c r="O1219" s="5">
        <v>443194</v>
      </c>
      <c r="P1219" s="5">
        <v>84207</v>
      </c>
      <c r="Q1219" s="5">
        <v>527401</v>
      </c>
    </row>
    <row r="1220" spans="1:17" x14ac:dyDescent="0.25">
      <c r="A1220" t="s">
        <v>503</v>
      </c>
      <c r="B1220" t="s">
        <v>494</v>
      </c>
      <c r="C1220">
        <v>96757710</v>
      </c>
      <c r="D1220">
        <v>6</v>
      </c>
      <c r="E1220">
        <v>30785743</v>
      </c>
      <c r="F1220" t="s">
        <v>649</v>
      </c>
      <c r="G1220" s="1">
        <v>45205</v>
      </c>
      <c r="H1220">
        <v>5398896</v>
      </c>
      <c r="I1220">
        <v>112</v>
      </c>
      <c r="J1220" t="s">
        <v>166</v>
      </c>
      <c r="K1220" s="8" t="s">
        <v>742</v>
      </c>
      <c r="L1220" s="4"/>
      <c r="M1220" t="s">
        <v>681</v>
      </c>
      <c r="N1220" s="5">
        <v>30785743</v>
      </c>
      <c r="O1220" s="5">
        <v>216542</v>
      </c>
      <c r="P1220" s="5">
        <v>41143</v>
      </c>
      <c r="Q1220" s="5">
        <v>257685</v>
      </c>
    </row>
    <row r="1221" spans="1:17" x14ac:dyDescent="0.25">
      <c r="A1221" t="s">
        <v>503</v>
      </c>
      <c r="B1221" t="s">
        <v>494</v>
      </c>
      <c r="C1221">
        <v>96757710</v>
      </c>
      <c r="D1221">
        <v>6</v>
      </c>
      <c r="E1221">
        <v>30786573</v>
      </c>
      <c r="F1221" t="s">
        <v>649</v>
      </c>
      <c r="G1221" s="1">
        <v>45209</v>
      </c>
      <c r="H1221">
        <v>5400227</v>
      </c>
      <c r="I1221">
        <v>112</v>
      </c>
      <c r="J1221" t="s">
        <v>166</v>
      </c>
      <c r="K1221" s="8" t="s">
        <v>742</v>
      </c>
      <c r="L1221" s="4"/>
      <c r="M1221" t="s">
        <v>681</v>
      </c>
      <c r="N1221" s="5">
        <v>30786573</v>
      </c>
      <c r="O1221" s="5">
        <v>96768</v>
      </c>
      <c r="P1221" s="5">
        <v>18386</v>
      </c>
      <c r="Q1221" s="5">
        <v>115154</v>
      </c>
    </row>
    <row r="1222" spans="1:17" x14ac:dyDescent="0.25">
      <c r="A1222" t="s">
        <v>503</v>
      </c>
      <c r="B1222" t="s">
        <v>494</v>
      </c>
      <c r="C1222">
        <v>96757710</v>
      </c>
      <c r="D1222">
        <v>6</v>
      </c>
      <c r="E1222">
        <v>30786565</v>
      </c>
      <c r="F1222" t="s">
        <v>649</v>
      </c>
      <c r="G1222" s="1">
        <v>45209</v>
      </c>
      <c r="H1222">
        <v>5401212</v>
      </c>
      <c r="I1222">
        <v>112</v>
      </c>
      <c r="J1222" t="s">
        <v>166</v>
      </c>
      <c r="K1222" s="8" t="s">
        <v>742</v>
      </c>
      <c r="L1222" s="4"/>
      <c r="M1222" t="s">
        <v>681</v>
      </c>
      <c r="N1222" s="5">
        <v>30786565</v>
      </c>
      <c r="O1222" s="5">
        <v>262838</v>
      </c>
      <c r="P1222" s="5">
        <v>49939</v>
      </c>
      <c r="Q1222" s="5">
        <v>321039</v>
      </c>
    </row>
    <row r="1223" spans="1:17" x14ac:dyDescent="0.25">
      <c r="A1223" t="s">
        <v>503</v>
      </c>
      <c r="B1223" t="s">
        <v>494</v>
      </c>
      <c r="C1223">
        <v>96757710</v>
      </c>
      <c r="D1223">
        <v>6</v>
      </c>
      <c r="E1223">
        <v>30811291</v>
      </c>
      <c r="F1223" t="s">
        <v>649</v>
      </c>
      <c r="G1223" s="1">
        <v>45216</v>
      </c>
      <c r="H1223">
        <v>5405495</v>
      </c>
      <c r="I1223">
        <v>112</v>
      </c>
      <c r="J1223" t="s">
        <v>166</v>
      </c>
      <c r="K1223" s="8" t="s">
        <v>742</v>
      </c>
      <c r="L1223" s="4"/>
      <c r="M1223" t="s">
        <v>681</v>
      </c>
      <c r="N1223" s="5">
        <v>30811291</v>
      </c>
      <c r="O1223" s="5">
        <v>121964</v>
      </c>
      <c r="P1223" s="5">
        <v>23173</v>
      </c>
      <c r="Q1223" s="5">
        <v>145137</v>
      </c>
    </row>
    <row r="1224" spans="1:17" x14ac:dyDescent="0.25">
      <c r="A1224" t="s">
        <v>503</v>
      </c>
      <c r="B1224" t="s">
        <v>494</v>
      </c>
      <c r="C1224">
        <v>96757710</v>
      </c>
      <c r="D1224">
        <v>6</v>
      </c>
      <c r="E1224">
        <v>30815098</v>
      </c>
      <c r="F1224" t="s">
        <v>649</v>
      </c>
      <c r="G1224" s="1">
        <v>45217</v>
      </c>
      <c r="H1224">
        <v>5406079</v>
      </c>
      <c r="I1224">
        <v>112</v>
      </c>
      <c r="J1224" t="s">
        <v>166</v>
      </c>
      <c r="K1224" s="8" t="s">
        <v>742</v>
      </c>
      <c r="L1224" s="4"/>
      <c r="M1224" t="s">
        <v>681</v>
      </c>
      <c r="N1224" s="5">
        <v>30815098</v>
      </c>
      <c r="O1224" s="5">
        <v>48461</v>
      </c>
      <c r="P1224" s="5">
        <v>9208</v>
      </c>
      <c r="Q1224" s="5">
        <v>57669</v>
      </c>
    </row>
    <row r="1225" spans="1:17" x14ac:dyDescent="0.25">
      <c r="F1225" t="s">
        <v>499</v>
      </c>
      <c r="K1225" t="s">
        <v>681</v>
      </c>
      <c r="L1225" s="4"/>
      <c r="M1225" t="s">
        <v>681</v>
      </c>
      <c r="N1225" s="5"/>
      <c r="O1225" s="5">
        <v>746573</v>
      </c>
      <c r="P1225" s="5">
        <v>141849</v>
      </c>
      <c r="Q1225" s="5">
        <v>896684</v>
      </c>
    </row>
    <row r="1226" spans="1:17" x14ac:dyDescent="0.25">
      <c r="A1226" t="s">
        <v>505</v>
      </c>
      <c r="B1226" t="s">
        <v>494</v>
      </c>
      <c r="C1226">
        <v>96766340</v>
      </c>
      <c r="D1226">
        <v>34</v>
      </c>
      <c r="E1226">
        <v>30775642</v>
      </c>
      <c r="F1226" t="s">
        <v>650</v>
      </c>
      <c r="G1226" s="1">
        <v>45203</v>
      </c>
      <c r="H1226">
        <v>5396634</v>
      </c>
      <c r="I1226">
        <v>178</v>
      </c>
      <c r="J1226" t="s">
        <v>303</v>
      </c>
      <c r="K1226" s="8" t="s">
        <v>742</v>
      </c>
      <c r="L1226" s="4"/>
      <c r="M1226" t="s">
        <v>681</v>
      </c>
      <c r="N1226" s="5">
        <v>30775642</v>
      </c>
      <c r="O1226" s="5">
        <v>93318</v>
      </c>
      <c r="P1226" s="5">
        <v>17730</v>
      </c>
      <c r="Q1226" s="5">
        <v>111048</v>
      </c>
    </row>
    <row r="1227" spans="1:17" x14ac:dyDescent="0.25">
      <c r="A1227" t="s">
        <v>505</v>
      </c>
      <c r="B1227" t="s">
        <v>494</v>
      </c>
      <c r="C1227">
        <v>96766340</v>
      </c>
      <c r="D1227">
        <v>34</v>
      </c>
      <c r="E1227">
        <v>30775635</v>
      </c>
      <c r="F1227" t="s">
        <v>650</v>
      </c>
      <c r="G1227" s="1">
        <v>45203</v>
      </c>
      <c r="H1227">
        <v>5396643</v>
      </c>
      <c r="I1227">
        <v>178</v>
      </c>
      <c r="J1227" t="s">
        <v>303</v>
      </c>
      <c r="K1227" s="8" t="s">
        <v>742</v>
      </c>
      <c r="L1227" s="4"/>
      <c r="M1227" t="s">
        <v>681</v>
      </c>
      <c r="N1227" s="5">
        <v>30775635</v>
      </c>
      <c r="O1227" s="5">
        <v>104881</v>
      </c>
      <c r="P1227" s="5">
        <v>19927</v>
      </c>
      <c r="Q1227" s="5">
        <v>124808</v>
      </c>
    </row>
    <row r="1228" spans="1:17" x14ac:dyDescent="0.25">
      <c r="A1228" t="s">
        <v>505</v>
      </c>
      <c r="B1228" t="s">
        <v>494</v>
      </c>
      <c r="C1228">
        <v>96766340</v>
      </c>
      <c r="D1228">
        <v>34</v>
      </c>
      <c r="E1228">
        <v>30775163</v>
      </c>
      <c r="F1228" t="s">
        <v>650</v>
      </c>
      <c r="G1228" s="1">
        <v>45203</v>
      </c>
      <c r="H1228">
        <v>5396674</v>
      </c>
      <c r="I1228">
        <v>178</v>
      </c>
      <c r="J1228" t="s">
        <v>303</v>
      </c>
      <c r="K1228" s="8" t="s">
        <v>742</v>
      </c>
      <c r="L1228" s="4"/>
      <c r="M1228" t="s">
        <v>681</v>
      </c>
      <c r="N1228" s="5">
        <v>30775163</v>
      </c>
      <c r="O1228" s="5">
        <v>124140</v>
      </c>
      <c r="P1228" s="5">
        <v>23587</v>
      </c>
      <c r="Q1228" s="5">
        <v>147727</v>
      </c>
    </row>
    <row r="1229" spans="1:17" x14ac:dyDescent="0.25">
      <c r="A1229" t="s">
        <v>505</v>
      </c>
      <c r="B1229" t="s">
        <v>494</v>
      </c>
      <c r="C1229">
        <v>96766340</v>
      </c>
      <c r="D1229">
        <v>34</v>
      </c>
      <c r="E1229">
        <v>30775163</v>
      </c>
      <c r="F1229" t="s">
        <v>650</v>
      </c>
      <c r="G1229" s="1">
        <v>45203</v>
      </c>
      <c r="H1229">
        <v>5396675</v>
      </c>
      <c r="I1229">
        <v>178</v>
      </c>
      <c r="J1229" t="s">
        <v>303</v>
      </c>
      <c r="K1229" s="8" t="s">
        <v>742</v>
      </c>
      <c r="L1229" s="4"/>
      <c r="M1229" t="s">
        <v>681</v>
      </c>
      <c r="N1229" s="5">
        <v>30775163</v>
      </c>
      <c r="O1229" s="5">
        <v>64370</v>
      </c>
      <c r="P1229" s="5">
        <v>12230</v>
      </c>
      <c r="Q1229" s="5">
        <v>76600</v>
      </c>
    </row>
    <row r="1230" spans="1:17" x14ac:dyDescent="0.25">
      <c r="A1230" t="s">
        <v>505</v>
      </c>
      <c r="B1230" t="s">
        <v>494</v>
      </c>
      <c r="C1230">
        <v>96766340</v>
      </c>
      <c r="D1230">
        <v>34</v>
      </c>
      <c r="E1230">
        <v>30775630</v>
      </c>
      <c r="F1230" t="s">
        <v>650</v>
      </c>
      <c r="G1230" s="1">
        <v>45203</v>
      </c>
      <c r="H1230">
        <v>5397184</v>
      </c>
      <c r="I1230">
        <v>178</v>
      </c>
      <c r="J1230" t="s">
        <v>303</v>
      </c>
      <c r="K1230" s="8" t="s">
        <v>742</v>
      </c>
      <c r="L1230" s="4"/>
      <c r="M1230" t="s">
        <v>681</v>
      </c>
      <c r="N1230" s="5">
        <v>30775630</v>
      </c>
      <c r="O1230" s="5">
        <v>65739</v>
      </c>
      <c r="P1230" s="5">
        <v>12490</v>
      </c>
      <c r="Q1230" s="5">
        <v>78229</v>
      </c>
    </row>
    <row r="1231" spans="1:17" x14ac:dyDescent="0.25">
      <c r="A1231" t="s">
        <v>505</v>
      </c>
      <c r="B1231" t="s">
        <v>494</v>
      </c>
      <c r="C1231">
        <v>96766340</v>
      </c>
      <c r="D1231">
        <v>27</v>
      </c>
      <c r="E1231" t="s">
        <v>651</v>
      </c>
      <c r="F1231" t="s">
        <v>650</v>
      </c>
      <c r="G1231" s="1">
        <v>45209</v>
      </c>
      <c r="H1231">
        <v>5400824</v>
      </c>
      <c r="I1231">
        <v>178</v>
      </c>
      <c r="J1231" t="s">
        <v>303</v>
      </c>
      <c r="K1231" s="8" t="s">
        <v>742</v>
      </c>
      <c r="L1231" s="4"/>
      <c r="M1231" t="s">
        <v>681</v>
      </c>
      <c r="N1231" s="5">
        <v>30793723</v>
      </c>
      <c r="O1231" s="5">
        <v>125814</v>
      </c>
      <c r="P1231" s="5">
        <v>23905</v>
      </c>
      <c r="Q1231" s="5">
        <v>149719</v>
      </c>
    </row>
    <row r="1232" spans="1:17" x14ac:dyDescent="0.25">
      <c r="A1232" t="s">
        <v>505</v>
      </c>
      <c r="B1232" t="s">
        <v>494</v>
      </c>
      <c r="C1232">
        <v>96766340</v>
      </c>
      <c r="D1232">
        <v>27</v>
      </c>
      <c r="E1232" t="s">
        <v>651</v>
      </c>
      <c r="F1232" t="s">
        <v>650</v>
      </c>
      <c r="G1232" s="1">
        <v>45209</v>
      </c>
      <c r="H1232">
        <v>5400825</v>
      </c>
      <c r="I1232">
        <v>178</v>
      </c>
      <c r="J1232" t="s">
        <v>303</v>
      </c>
      <c r="K1232" s="8" t="s">
        <v>742</v>
      </c>
      <c r="L1232" s="4"/>
      <c r="M1232" t="s">
        <v>681</v>
      </c>
      <c r="N1232" s="5">
        <v>30793736</v>
      </c>
      <c r="O1232" s="5">
        <v>222192</v>
      </c>
      <c r="P1232" s="5">
        <v>42216</v>
      </c>
      <c r="Q1232" s="5">
        <v>264408</v>
      </c>
    </row>
    <row r="1233" spans="1:17" x14ac:dyDescent="0.25">
      <c r="A1233" t="s">
        <v>505</v>
      </c>
      <c r="B1233" t="s">
        <v>494</v>
      </c>
      <c r="C1233">
        <v>96766340</v>
      </c>
      <c r="D1233">
        <v>11</v>
      </c>
      <c r="E1233" t="s">
        <v>651</v>
      </c>
      <c r="F1233" t="s">
        <v>650</v>
      </c>
      <c r="G1233" s="1">
        <v>45209</v>
      </c>
      <c r="H1233">
        <v>5401139</v>
      </c>
      <c r="I1233">
        <v>178</v>
      </c>
      <c r="J1233" t="s">
        <v>303</v>
      </c>
      <c r="K1233" s="8" t="s">
        <v>742</v>
      </c>
      <c r="L1233" s="4"/>
      <c r="M1233" t="s">
        <v>681</v>
      </c>
      <c r="N1233" s="5">
        <v>30794270</v>
      </c>
      <c r="O1233" s="5">
        <v>30886</v>
      </c>
      <c r="P1233" s="5">
        <v>5868</v>
      </c>
      <c r="Q1233" s="5">
        <v>36754</v>
      </c>
    </row>
    <row r="1234" spans="1:17" x14ac:dyDescent="0.25">
      <c r="A1234" t="s">
        <v>505</v>
      </c>
      <c r="B1234" t="s">
        <v>494</v>
      </c>
      <c r="C1234">
        <v>96766340</v>
      </c>
      <c r="D1234">
        <v>8</v>
      </c>
      <c r="E1234" t="s">
        <v>651</v>
      </c>
      <c r="F1234" t="s">
        <v>650</v>
      </c>
      <c r="G1234" s="1">
        <v>45209</v>
      </c>
      <c r="H1234">
        <v>5401140</v>
      </c>
      <c r="I1234">
        <v>178</v>
      </c>
      <c r="J1234" t="s">
        <v>303</v>
      </c>
      <c r="K1234" s="8" t="s">
        <v>742</v>
      </c>
      <c r="L1234" s="4"/>
      <c r="M1234" t="s">
        <v>681</v>
      </c>
      <c r="N1234" s="5">
        <v>30794204</v>
      </c>
      <c r="O1234" s="5">
        <v>64042</v>
      </c>
      <c r="P1234" s="5">
        <v>12168</v>
      </c>
      <c r="Q1234" s="5">
        <v>76210</v>
      </c>
    </row>
    <row r="1235" spans="1:17" x14ac:dyDescent="0.25">
      <c r="A1235" t="s">
        <v>505</v>
      </c>
      <c r="B1235" t="s">
        <v>494</v>
      </c>
      <c r="C1235">
        <v>96766340</v>
      </c>
      <c r="D1235">
        <v>10</v>
      </c>
      <c r="E1235" t="s">
        <v>651</v>
      </c>
      <c r="F1235" t="s">
        <v>650</v>
      </c>
      <c r="G1235" s="1">
        <v>45209</v>
      </c>
      <c r="H1235">
        <v>5401141</v>
      </c>
      <c r="I1235">
        <v>178</v>
      </c>
      <c r="J1235" t="s">
        <v>303</v>
      </c>
      <c r="K1235" s="8" t="s">
        <v>742</v>
      </c>
      <c r="L1235" s="4"/>
      <c r="M1235" t="s">
        <v>681</v>
      </c>
      <c r="N1235" s="5">
        <v>30794242</v>
      </c>
      <c r="O1235" s="5">
        <v>30886</v>
      </c>
      <c r="P1235" s="5">
        <v>5868</v>
      </c>
      <c r="Q1235" s="5">
        <v>36754</v>
      </c>
    </row>
    <row r="1236" spans="1:17" x14ac:dyDescent="0.25">
      <c r="A1236" t="s">
        <v>505</v>
      </c>
      <c r="B1236" t="s">
        <v>494</v>
      </c>
      <c r="C1236">
        <v>96766340</v>
      </c>
      <c r="D1236">
        <v>6</v>
      </c>
      <c r="E1236" t="s">
        <v>651</v>
      </c>
      <c r="F1236" t="s">
        <v>650</v>
      </c>
      <c r="G1236" s="1">
        <v>45209</v>
      </c>
      <c r="H1236">
        <v>5401142</v>
      </c>
      <c r="I1236">
        <v>178</v>
      </c>
      <c r="J1236" t="s">
        <v>303</v>
      </c>
      <c r="K1236" s="8" t="s">
        <v>742</v>
      </c>
      <c r="L1236" s="4"/>
      <c r="M1236" t="s">
        <v>681</v>
      </c>
      <c r="N1236" s="5">
        <v>30794181</v>
      </c>
      <c r="O1236" s="5">
        <v>33976</v>
      </c>
      <c r="P1236" s="5">
        <v>6455</v>
      </c>
      <c r="Q1236" s="5">
        <v>40431</v>
      </c>
    </row>
    <row r="1237" spans="1:17" x14ac:dyDescent="0.25">
      <c r="A1237" t="s">
        <v>505</v>
      </c>
      <c r="B1237" t="s">
        <v>494</v>
      </c>
      <c r="C1237">
        <v>96766340</v>
      </c>
      <c r="D1237">
        <v>32</v>
      </c>
      <c r="E1237" t="s">
        <v>651</v>
      </c>
      <c r="F1237" t="s">
        <v>650</v>
      </c>
      <c r="G1237" s="1">
        <v>45209</v>
      </c>
      <c r="H1237">
        <v>5401143</v>
      </c>
      <c r="I1237">
        <v>178</v>
      </c>
      <c r="J1237" t="s">
        <v>303</v>
      </c>
      <c r="K1237" s="8" t="s">
        <v>742</v>
      </c>
      <c r="L1237" s="4"/>
      <c r="M1237" t="s">
        <v>681</v>
      </c>
      <c r="N1237" s="5">
        <v>30794163</v>
      </c>
      <c r="O1237" s="5">
        <v>222192</v>
      </c>
      <c r="P1237" s="5">
        <v>42216</v>
      </c>
      <c r="Q1237" s="5">
        <v>264408</v>
      </c>
    </row>
    <row r="1238" spans="1:17" x14ac:dyDescent="0.25">
      <c r="A1238" t="s">
        <v>505</v>
      </c>
      <c r="B1238" t="s">
        <v>494</v>
      </c>
      <c r="C1238">
        <v>96766340</v>
      </c>
      <c r="D1238">
        <v>29</v>
      </c>
      <c r="E1238" t="s">
        <v>651</v>
      </c>
      <c r="F1238" t="s">
        <v>650</v>
      </c>
      <c r="G1238" s="1">
        <v>45209</v>
      </c>
      <c r="H1238">
        <v>5401144</v>
      </c>
      <c r="I1238">
        <v>178</v>
      </c>
      <c r="J1238" t="s">
        <v>303</v>
      </c>
      <c r="K1238" s="8" t="s">
        <v>742</v>
      </c>
      <c r="L1238" s="4"/>
      <c r="M1238" t="s">
        <v>681</v>
      </c>
      <c r="N1238" s="5">
        <v>30793751</v>
      </c>
      <c r="O1238" s="5">
        <v>200664</v>
      </c>
      <c r="P1238" s="5">
        <v>38126</v>
      </c>
      <c r="Q1238" s="5">
        <v>238790</v>
      </c>
    </row>
    <row r="1239" spans="1:17" x14ac:dyDescent="0.25">
      <c r="A1239" t="s">
        <v>505</v>
      </c>
      <c r="B1239" t="s">
        <v>494</v>
      </c>
      <c r="C1239">
        <v>96766340</v>
      </c>
      <c r="D1239">
        <v>7</v>
      </c>
      <c r="E1239" t="s">
        <v>651</v>
      </c>
      <c r="F1239" t="s">
        <v>650</v>
      </c>
      <c r="G1239" s="1">
        <v>45210</v>
      </c>
      <c r="H1239">
        <v>5401568</v>
      </c>
      <c r="I1239">
        <v>178</v>
      </c>
      <c r="J1239" t="s">
        <v>303</v>
      </c>
      <c r="K1239" s="8" t="s">
        <v>742</v>
      </c>
      <c r="L1239" s="4"/>
      <c r="M1239" t="s">
        <v>681</v>
      </c>
      <c r="N1239" s="5">
        <v>30794192</v>
      </c>
      <c r="O1239" s="5">
        <v>30886</v>
      </c>
      <c r="P1239" s="5">
        <v>5868</v>
      </c>
      <c r="Q1239" s="5">
        <v>36754</v>
      </c>
    </row>
    <row r="1240" spans="1:17" x14ac:dyDescent="0.25">
      <c r="A1240" t="s">
        <v>505</v>
      </c>
      <c r="B1240" t="s">
        <v>494</v>
      </c>
      <c r="C1240">
        <v>96766340</v>
      </c>
      <c r="D1240">
        <v>9</v>
      </c>
      <c r="E1240" t="s">
        <v>651</v>
      </c>
      <c r="F1240" t="s">
        <v>650</v>
      </c>
      <c r="G1240" s="1">
        <v>45210</v>
      </c>
      <c r="H1240">
        <v>5401569</v>
      </c>
      <c r="I1240">
        <v>178</v>
      </c>
      <c r="J1240" t="s">
        <v>303</v>
      </c>
      <c r="K1240" s="8" t="s">
        <v>742</v>
      </c>
      <c r="L1240" s="4"/>
      <c r="M1240" t="s">
        <v>681</v>
      </c>
      <c r="N1240" s="5">
        <v>30794224</v>
      </c>
      <c r="O1240" s="5">
        <v>64042</v>
      </c>
      <c r="P1240" s="5">
        <v>12168</v>
      </c>
      <c r="Q1240" s="5">
        <v>76210</v>
      </c>
    </row>
    <row r="1241" spans="1:17" x14ac:dyDescent="0.25">
      <c r="A1241" t="s">
        <v>505</v>
      </c>
      <c r="B1241" t="s">
        <v>494</v>
      </c>
      <c r="C1241">
        <v>96766340</v>
      </c>
      <c r="D1241">
        <v>31</v>
      </c>
      <c r="E1241" t="s">
        <v>651</v>
      </c>
      <c r="F1241" t="s">
        <v>650</v>
      </c>
      <c r="G1241" s="1">
        <v>45210</v>
      </c>
      <c r="H1241">
        <v>5401583</v>
      </c>
      <c r="I1241">
        <v>178</v>
      </c>
      <c r="J1241" t="s">
        <v>303</v>
      </c>
      <c r="K1241" s="8" t="s">
        <v>742</v>
      </c>
      <c r="L1241" s="4"/>
      <c r="M1241" t="s">
        <v>681</v>
      </c>
      <c r="N1241" s="5">
        <v>30793791</v>
      </c>
      <c r="O1241" s="5">
        <v>222192</v>
      </c>
      <c r="P1241" s="5">
        <v>42216</v>
      </c>
      <c r="Q1241" s="5">
        <v>264408</v>
      </c>
    </row>
    <row r="1242" spans="1:17" x14ac:dyDescent="0.25">
      <c r="A1242" t="s">
        <v>505</v>
      </c>
      <c r="B1242" t="s">
        <v>494</v>
      </c>
      <c r="C1242">
        <v>96766340</v>
      </c>
      <c r="D1242">
        <v>2</v>
      </c>
      <c r="E1242">
        <v>30795957</v>
      </c>
      <c r="F1242" t="s">
        <v>650</v>
      </c>
      <c r="G1242" s="1">
        <v>45210</v>
      </c>
      <c r="H1242">
        <v>5401706</v>
      </c>
      <c r="I1242">
        <v>178</v>
      </c>
      <c r="J1242" t="s">
        <v>303</v>
      </c>
      <c r="K1242" s="8" t="s">
        <v>742</v>
      </c>
      <c r="L1242" s="4"/>
      <c r="M1242" t="s">
        <v>681</v>
      </c>
      <c r="N1242" s="5">
        <v>30795957</v>
      </c>
      <c r="O1242" s="5">
        <v>243213</v>
      </c>
      <c r="P1242" s="5">
        <v>46210</v>
      </c>
      <c r="Q1242" s="5">
        <v>289423</v>
      </c>
    </row>
    <row r="1243" spans="1:17" x14ac:dyDescent="0.25">
      <c r="A1243" t="s">
        <v>505</v>
      </c>
      <c r="B1243" t="s">
        <v>494</v>
      </c>
      <c r="C1243">
        <v>96766340</v>
      </c>
      <c r="D1243">
        <v>33</v>
      </c>
      <c r="E1243" t="s">
        <v>651</v>
      </c>
      <c r="F1243" t="s">
        <v>650</v>
      </c>
      <c r="G1243" s="1">
        <v>45211</v>
      </c>
      <c r="H1243">
        <v>5402442</v>
      </c>
      <c r="I1243">
        <v>178</v>
      </c>
      <c r="J1243" t="s">
        <v>303</v>
      </c>
      <c r="K1243" s="8" t="s">
        <v>742</v>
      </c>
      <c r="L1243" s="4"/>
      <c r="M1243" t="s">
        <v>681</v>
      </c>
      <c r="N1243" s="5">
        <v>30799453</v>
      </c>
      <c r="O1243" s="5">
        <v>608260</v>
      </c>
      <c r="P1243" s="5">
        <v>115569</v>
      </c>
      <c r="Q1243" s="5">
        <v>723829</v>
      </c>
    </row>
    <row r="1244" spans="1:17" x14ac:dyDescent="0.25">
      <c r="A1244" t="s">
        <v>505</v>
      </c>
      <c r="B1244" t="s">
        <v>494</v>
      </c>
      <c r="C1244">
        <v>96766340</v>
      </c>
      <c r="D1244">
        <v>33</v>
      </c>
      <c r="E1244" t="s">
        <v>651</v>
      </c>
      <c r="F1244" t="s">
        <v>650</v>
      </c>
      <c r="G1244" s="1">
        <v>45211</v>
      </c>
      <c r="H1244">
        <v>5402443</v>
      </c>
      <c r="I1244">
        <v>178</v>
      </c>
      <c r="J1244" t="s">
        <v>303</v>
      </c>
      <c r="K1244" s="8" t="s">
        <v>742</v>
      </c>
      <c r="L1244" s="4"/>
      <c r="M1244" t="s">
        <v>681</v>
      </c>
      <c r="N1244" s="5">
        <v>30799826</v>
      </c>
      <c r="O1244" s="5">
        <v>304130</v>
      </c>
      <c r="P1244" s="5">
        <v>57785</v>
      </c>
      <c r="Q1244" s="5">
        <v>361915</v>
      </c>
    </row>
    <row r="1245" spans="1:17" x14ac:dyDescent="0.25">
      <c r="A1245" t="s">
        <v>505</v>
      </c>
      <c r="B1245" t="s">
        <v>494</v>
      </c>
      <c r="C1245">
        <v>96766340</v>
      </c>
      <c r="D1245">
        <v>12</v>
      </c>
      <c r="E1245" t="s">
        <v>651</v>
      </c>
      <c r="F1245" t="s">
        <v>650</v>
      </c>
      <c r="G1245" s="1">
        <v>45211</v>
      </c>
      <c r="H1245">
        <v>5402469</v>
      </c>
      <c r="I1245">
        <v>178</v>
      </c>
      <c r="J1245" t="s">
        <v>303</v>
      </c>
      <c r="K1245" s="8" t="s">
        <v>742</v>
      </c>
      <c r="L1245" s="4"/>
      <c r="M1245" t="s">
        <v>681</v>
      </c>
      <c r="N1245" s="5">
        <v>30794282</v>
      </c>
      <c r="O1245" s="5">
        <v>30886</v>
      </c>
      <c r="P1245" s="5">
        <v>5868</v>
      </c>
      <c r="Q1245" s="5">
        <v>36754</v>
      </c>
    </row>
    <row r="1246" spans="1:17" x14ac:dyDescent="0.25">
      <c r="A1246" t="s">
        <v>505</v>
      </c>
      <c r="B1246" t="s">
        <v>494</v>
      </c>
      <c r="C1246">
        <v>96766340</v>
      </c>
      <c r="D1246">
        <v>15</v>
      </c>
      <c r="E1246" t="s">
        <v>651</v>
      </c>
      <c r="F1246" t="s">
        <v>650</v>
      </c>
      <c r="G1246" s="1">
        <v>45211</v>
      </c>
      <c r="H1246">
        <v>5402470</v>
      </c>
      <c r="I1246">
        <v>178</v>
      </c>
      <c r="J1246" t="s">
        <v>303</v>
      </c>
      <c r="K1246" s="8" t="s">
        <v>742</v>
      </c>
      <c r="L1246" s="4"/>
      <c r="M1246" t="s">
        <v>681</v>
      </c>
      <c r="N1246" s="5">
        <v>30799485</v>
      </c>
      <c r="O1246" s="5">
        <v>44784</v>
      </c>
      <c r="P1246" s="5">
        <v>8509</v>
      </c>
      <c r="Q1246" s="5">
        <v>53293</v>
      </c>
    </row>
    <row r="1247" spans="1:17" x14ac:dyDescent="0.25">
      <c r="A1247" t="s">
        <v>505</v>
      </c>
      <c r="B1247" t="s">
        <v>494</v>
      </c>
      <c r="C1247">
        <v>96766340</v>
      </c>
      <c r="D1247">
        <v>26</v>
      </c>
      <c r="E1247" t="s">
        <v>651</v>
      </c>
      <c r="F1247" t="s">
        <v>650</v>
      </c>
      <c r="G1247" s="1">
        <v>45211</v>
      </c>
      <c r="H1247">
        <v>5402473</v>
      </c>
      <c r="I1247">
        <v>178</v>
      </c>
      <c r="J1247" t="s">
        <v>303</v>
      </c>
      <c r="K1247" s="8" t="s">
        <v>742</v>
      </c>
      <c r="L1247" s="4"/>
      <c r="M1247" t="s">
        <v>681</v>
      </c>
      <c r="N1247" s="5">
        <v>30793695</v>
      </c>
      <c r="O1247" s="5">
        <v>112736</v>
      </c>
      <c r="P1247" s="5">
        <v>21420</v>
      </c>
      <c r="Q1247" s="5">
        <v>134156</v>
      </c>
    </row>
    <row r="1248" spans="1:17" x14ac:dyDescent="0.25">
      <c r="A1248" t="s">
        <v>505</v>
      </c>
      <c r="B1248" t="s">
        <v>494</v>
      </c>
      <c r="C1248">
        <v>96766340</v>
      </c>
      <c r="D1248">
        <v>16</v>
      </c>
      <c r="E1248" t="s">
        <v>651</v>
      </c>
      <c r="F1248" t="s">
        <v>650</v>
      </c>
      <c r="G1248" s="1">
        <v>45211</v>
      </c>
      <c r="H1248">
        <v>5402486</v>
      </c>
      <c r="I1248">
        <v>178</v>
      </c>
      <c r="J1248" t="s">
        <v>303</v>
      </c>
      <c r="K1248" s="8" t="s">
        <v>742</v>
      </c>
      <c r="L1248" s="4"/>
      <c r="M1248" t="s">
        <v>681</v>
      </c>
      <c r="N1248" s="5">
        <v>30799542</v>
      </c>
      <c r="O1248" s="5">
        <v>44784</v>
      </c>
      <c r="P1248" s="5">
        <v>8509</v>
      </c>
      <c r="Q1248" s="5">
        <v>53293</v>
      </c>
    </row>
    <row r="1249" spans="1:17" x14ac:dyDescent="0.25">
      <c r="A1249" t="s">
        <v>505</v>
      </c>
      <c r="B1249" t="s">
        <v>494</v>
      </c>
      <c r="C1249">
        <v>96766340</v>
      </c>
      <c r="D1249">
        <v>17</v>
      </c>
      <c r="E1249" t="s">
        <v>651</v>
      </c>
      <c r="F1249" t="s">
        <v>650</v>
      </c>
      <c r="G1249" s="1">
        <v>45211</v>
      </c>
      <c r="H1249">
        <v>5402487</v>
      </c>
      <c r="I1249">
        <v>178</v>
      </c>
      <c r="J1249" t="s">
        <v>303</v>
      </c>
      <c r="K1249" s="8" t="s">
        <v>742</v>
      </c>
      <c r="L1249" s="4"/>
      <c r="M1249" t="s">
        <v>681</v>
      </c>
      <c r="N1249" s="5">
        <v>30799564</v>
      </c>
      <c r="O1249" s="5">
        <v>25482</v>
      </c>
      <c r="P1249" s="5">
        <v>4842</v>
      </c>
      <c r="Q1249" s="5">
        <v>30324</v>
      </c>
    </row>
    <row r="1250" spans="1:17" x14ac:dyDescent="0.25">
      <c r="A1250" t="s">
        <v>505</v>
      </c>
      <c r="B1250" t="s">
        <v>494</v>
      </c>
      <c r="C1250">
        <v>96766340</v>
      </c>
      <c r="D1250">
        <v>36</v>
      </c>
      <c r="E1250">
        <v>30799858</v>
      </c>
      <c r="F1250" t="s">
        <v>650</v>
      </c>
      <c r="G1250" s="1">
        <v>45211</v>
      </c>
      <c r="H1250">
        <v>5402833</v>
      </c>
      <c r="I1250">
        <v>178</v>
      </c>
      <c r="J1250" t="s">
        <v>303</v>
      </c>
      <c r="K1250" s="8" t="s">
        <v>742</v>
      </c>
      <c r="L1250" s="4"/>
      <c r="M1250" t="s">
        <v>681</v>
      </c>
      <c r="N1250" s="5">
        <v>30799858</v>
      </c>
      <c r="O1250" s="5">
        <v>131848</v>
      </c>
      <c r="P1250" s="5">
        <v>25051</v>
      </c>
      <c r="Q1250" s="5">
        <v>156899</v>
      </c>
    </row>
    <row r="1251" spans="1:17" x14ac:dyDescent="0.25">
      <c r="A1251" t="s">
        <v>505</v>
      </c>
      <c r="B1251" t="s">
        <v>494</v>
      </c>
      <c r="C1251">
        <v>96766340</v>
      </c>
      <c r="D1251">
        <v>36</v>
      </c>
      <c r="E1251">
        <v>30800899</v>
      </c>
      <c r="F1251" t="s">
        <v>650</v>
      </c>
      <c r="G1251" s="1">
        <v>45211</v>
      </c>
      <c r="H1251">
        <v>5402967</v>
      </c>
      <c r="I1251">
        <v>178</v>
      </c>
      <c r="J1251" t="s">
        <v>303</v>
      </c>
      <c r="K1251" s="8" t="s">
        <v>742</v>
      </c>
      <c r="L1251" s="4"/>
      <c r="M1251" t="s">
        <v>681</v>
      </c>
      <c r="N1251" s="5">
        <v>30800899</v>
      </c>
      <c r="O1251" s="5">
        <v>37407</v>
      </c>
      <c r="P1251" s="5">
        <v>7107</v>
      </c>
      <c r="Q1251" s="5">
        <v>44514</v>
      </c>
    </row>
    <row r="1252" spans="1:17" x14ac:dyDescent="0.25">
      <c r="A1252" t="s">
        <v>505</v>
      </c>
      <c r="B1252" t="s">
        <v>494</v>
      </c>
      <c r="C1252">
        <v>96766340</v>
      </c>
      <c r="D1252">
        <v>36</v>
      </c>
      <c r="E1252">
        <v>30800869</v>
      </c>
      <c r="F1252" t="s">
        <v>650</v>
      </c>
      <c r="G1252" s="1">
        <v>45211</v>
      </c>
      <c r="H1252">
        <v>5403014</v>
      </c>
      <c r="I1252">
        <v>178</v>
      </c>
      <c r="J1252" t="s">
        <v>303</v>
      </c>
      <c r="K1252" s="8" t="s">
        <v>742</v>
      </c>
      <c r="L1252" s="4"/>
      <c r="M1252" t="s">
        <v>681</v>
      </c>
      <c r="N1252" s="5">
        <v>30800869</v>
      </c>
      <c r="O1252" s="5">
        <v>75446</v>
      </c>
      <c r="P1252" s="5">
        <v>14335</v>
      </c>
      <c r="Q1252" s="5">
        <v>89781</v>
      </c>
    </row>
    <row r="1253" spans="1:17" x14ac:dyDescent="0.25">
      <c r="A1253" t="s">
        <v>505</v>
      </c>
      <c r="B1253" t="s">
        <v>494</v>
      </c>
      <c r="C1253">
        <v>96766340</v>
      </c>
      <c r="D1253">
        <v>26</v>
      </c>
      <c r="E1253" t="s">
        <v>812</v>
      </c>
      <c r="F1253" t="s">
        <v>650</v>
      </c>
      <c r="G1253" s="1">
        <v>45225</v>
      </c>
      <c r="H1253">
        <v>5409165</v>
      </c>
      <c r="I1253">
        <v>178</v>
      </c>
      <c r="J1253" t="s">
        <v>303</v>
      </c>
      <c r="K1253" s="8" t="s">
        <v>742</v>
      </c>
      <c r="L1253" s="4"/>
      <c r="M1253" t="s">
        <v>681</v>
      </c>
      <c r="N1253" s="5">
        <v>30835730</v>
      </c>
      <c r="O1253" s="5">
        <v>112736</v>
      </c>
      <c r="P1253" s="5">
        <v>21420</v>
      </c>
      <c r="Q1253" s="5">
        <v>134156</v>
      </c>
    </row>
    <row r="1254" spans="1:17" x14ac:dyDescent="0.25">
      <c r="A1254" t="s">
        <v>505</v>
      </c>
      <c r="B1254" t="s">
        <v>494</v>
      </c>
      <c r="C1254">
        <v>96766340</v>
      </c>
      <c r="D1254">
        <v>33</v>
      </c>
      <c r="E1254" t="s">
        <v>651</v>
      </c>
      <c r="F1254" t="s">
        <v>650</v>
      </c>
      <c r="G1254" s="1">
        <v>45225</v>
      </c>
      <c r="H1254">
        <v>5409214</v>
      </c>
      <c r="I1254">
        <v>178</v>
      </c>
      <c r="J1254" t="s">
        <v>303</v>
      </c>
      <c r="K1254" s="8" t="s">
        <v>742</v>
      </c>
      <c r="L1254" s="4"/>
      <c r="M1254" t="s">
        <v>681</v>
      </c>
      <c r="N1254" s="5">
        <v>30835834</v>
      </c>
      <c r="O1254" s="5">
        <v>248870</v>
      </c>
      <c r="P1254" s="5">
        <v>47285</v>
      </c>
      <c r="Q1254" s="5">
        <v>296155</v>
      </c>
    </row>
    <row r="1255" spans="1:17" x14ac:dyDescent="0.25">
      <c r="A1255" t="s">
        <v>505</v>
      </c>
      <c r="B1255" t="s">
        <v>494</v>
      </c>
      <c r="C1255">
        <v>96766340</v>
      </c>
      <c r="D1255">
        <v>6</v>
      </c>
      <c r="E1255" t="s">
        <v>651</v>
      </c>
      <c r="F1255" t="s">
        <v>650</v>
      </c>
      <c r="G1255" s="1">
        <v>45225</v>
      </c>
      <c r="H1255">
        <v>5409215</v>
      </c>
      <c r="I1255">
        <v>178</v>
      </c>
      <c r="J1255" t="s">
        <v>303</v>
      </c>
      <c r="K1255" s="8" t="s">
        <v>742</v>
      </c>
      <c r="L1255" s="4"/>
      <c r="M1255" t="s">
        <v>681</v>
      </c>
      <c r="N1255" s="5">
        <v>30836056</v>
      </c>
      <c r="O1255" s="5">
        <v>167508</v>
      </c>
      <c r="P1255" s="5">
        <v>31827</v>
      </c>
      <c r="Q1255" s="5">
        <v>199335</v>
      </c>
    </row>
    <row r="1256" spans="1:17" x14ac:dyDescent="0.25">
      <c r="A1256" t="s">
        <v>505</v>
      </c>
      <c r="B1256" t="s">
        <v>494</v>
      </c>
      <c r="C1256">
        <v>96766340</v>
      </c>
      <c r="D1256">
        <v>31</v>
      </c>
      <c r="E1256" t="s">
        <v>651</v>
      </c>
      <c r="F1256" t="s">
        <v>650</v>
      </c>
      <c r="G1256" s="1">
        <v>45225</v>
      </c>
      <c r="H1256">
        <v>5409216</v>
      </c>
      <c r="I1256">
        <v>178</v>
      </c>
      <c r="J1256" t="s">
        <v>303</v>
      </c>
      <c r="K1256" s="8" t="s">
        <v>742</v>
      </c>
      <c r="L1256" s="4"/>
      <c r="M1256" t="s">
        <v>681</v>
      </c>
      <c r="N1256" s="5">
        <v>30836017</v>
      </c>
      <c r="O1256" s="5">
        <v>222192</v>
      </c>
      <c r="P1256" s="5">
        <v>42216</v>
      </c>
      <c r="Q1256" s="5">
        <v>264408</v>
      </c>
    </row>
    <row r="1257" spans="1:17" x14ac:dyDescent="0.25">
      <c r="A1257" t="s">
        <v>505</v>
      </c>
      <c r="B1257" t="s">
        <v>494</v>
      </c>
      <c r="C1257">
        <v>96766340</v>
      </c>
      <c r="D1257">
        <v>32</v>
      </c>
      <c r="E1257" t="s">
        <v>651</v>
      </c>
      <c r="F1257" t="s">
        <v>650</v>
      </c>
      <c r="G1257" s="1">
        <v>45225</v>
      </c>
      <c r="H1257">
        <v>5409217</v>
      </c>
      <c r="I1257">
        <v>178</v>
      </c>
      <c r="J1257" t="s">
        <v>303</v>
      </c>
      <c r="K1257" s="8" t="s">
        <v>742</v>
      </c>
      <c r="L1257" s="4"/>
      <c r="M1257" t="s">
        <v>681</v>
      </c>
      <c r="N1257" s="5">
        <v>30836037</v>
      </c>
      <c r="O1257" s="5">
        <v>222192</v>
      </c>
      <c r="P1257" s="5">
        <v>42216</v>
      </c>
      <c r="Q1257" s="5">
        <v>264408</v>
      </c>
    </row>
    <row r="1258" spans="1:17" x14ac:dyDescent="0.25">
      <c r="A1258" t="s">
        <v>505</v>
      </c>
      <c r="B1258" t="s">
        <v>494</v>
      </c>
      <c r="C1258">
        <v>96766340</v>
      </c>
      <c r="D1258">
        <v>27</v>
      </c>
      <c r="E1258" t="s">
        <v>651</v>
      </c>
      <c r="F1258" t="s">
        <v>650</v>
      </c>
      <c r="G1258" s="1">
        <v>45225</v>
      </c>
      <c r="H1258">
        <v>5409243</v>
      </c>
      <c r="I1258">
        <v>178</v>
      </c>
      <c r="J1258" t="s">
        <v>303</v>
      </c>
      <c r="K1258" s="8" t="s">
        <v>742</v>
      </c>
      <c r="L1258" s="4"/>
      <c r="M1258" t="s">
        <v>681</v>
      </c>
      <c r="N1258" s="5">
        <v>30835792</v>
      </c>
      <c r="O1258" s="5">
        <v>125814</v>
      </c>
      <c r="P1258" s="5">
        <v>23905</v>
      </c>
      <c r="Q1258" s="5">
        <v>149719</v>
      </c>
    </row>
    <row r="1259" spans="1:17" x14ac:dyDescent="0.25">
      <c r="A1259" t="s">
        <v>505</v>
      </c>
      <c r="B1259" t="s">
        <v>494</v>
      </c>
      <c r="C1259">
        <v>96766340</v>
      </c>
      <c r="D1259">
        <v>27</v>
      </c>
      <c r="E1259" t="s">
        <v>651</v>
      </c>
      <c r="F1259" t="s">
        <v>650</v>
      </c>
      <c r="G1259" s="1">
        <v>45225</v>
      </c>
      <c r="H1259">
        <v>5409244</v>
      </c>
      <c r="I1259">
        <v>178</v>
      </c>
      <c r="J1259" t="s">
        <v>303</v>
      </c>
      <c r="K1259" s="8" t="s">
        <v>742</v>
      </c>
      <c r="L1259" s="4"/>
      <c r="M1259" t="s">
        <v>681</v>
      </c>
      <c r="N1259" s="5">
        <v>30835815</v>
      </c>
      <c r="O1259" s="5">
        <v>222192</v>
      </c>
      <c r="P1259" s="5">
        <v>42216</v>
      </c>
      <c r="Q1259" s="5">
        <v>264408</v>
      </c>
    </row>
    <row r="1260" spans="1:17" x14ac:dyDescent="0.25">
      <c r="A1260" t="s">
        <v>505</v>
      </c>
      <c r="B1260" t="s">
        <v>494</v>
      </c>
      <c r="C1260">
        <v>96766340</v>
      </c>
      <c r="D1260">
        <v>29</v>
      </c>
      <c r="E1260" t="s">
        <v>651</v>
      </c>
      <c r="F1260" t="s">
        <v>650</v>
      </c>
      <c r="G1260" s="1">
        <v>45225</v>
      </c>
      <c r="H1260">
        <v>5409245</v>
      </c>
      <c r="I1260">
        <v>178</v>
      </c>
      <c r="J1260" t="s">
        <v>303</v>
      </c>
      <c r="K1260" s="8" t="s">
        <v>742</v>
      </c>
      <c r="L1260" s="4"/>
      <c r="M1260" t="s">
        <v>681</v>
      </c>
      <c r="N1260" s="5">
        <v>30836000</v>
      </c>
      <c r="O1260" s="5">
        <v>200664</v>
      </c>
      <c r="P1260" s="5">
        <v>38126</v>
      </c>
      <c r="Q1260" s="5">
        <v>238790</v>
      </c>
    </row>
    <row r="1261" spans="1:17" x14ac:dyDescent="0.25">
      <c r="A1261" t="s">
        <v>505</v>
      </c>
      <c r="B1261" t="s">
        <v>494</v>
      </c>
      <c r="C1261">
        <v>96766340</v>
      </c>
      <c r="D1261">
        <v>19</v>
      </c>
      <c r="E1261" t="s">
        <v>651</v>
      </c>
      <c r="F1261" t="s">
        <v>650</v>
      </c>
      <c r="G1261" s="1">
        <v>45225</v>
      </c>
      <c r="H1261">
        <v>5409316</v>
      </c>
      <c r="I1261">
        <v>178</v>
      </c>
      <c r="J1261" t="s">
        <v>303</v>
      </c>
      <c r="K1261" s="8" t="s">
        <v>742</v>
      </c>
      <c r="L1261" s="4"/>
      <c r="M1261" t="s">
        <v>681</v>
      </c>
      <c r="N1261" s="5">
        <v>30836554</v>
      </c>
      <c r="O1261" s="5">
        <v>72536</v>
      </c>
      <c r="P1261" s="5">
        <v>13782</v>
      </c>
      <c r="Q1261" s="5">
        <v>86318</v>
      </c>
    </row>
    <row r="1262" spans="1:17" x14ac:dyDescent="0.25">
      <c r="A1262" t="s">
        <v>505</v>
      </c>
      <c r="B1262" t="s">
        <v>494</v>
      </c>
      <c r="C1262">
        <v>96766340</v>
      </c>
      <c r="D1262">
        <v>17</v>
      </c>
      <c r="E1262" t="s">
        <v>651</v>
      </c>
      <c r="F1262" t="s">
        <v>650</v>
      </c>
      <c r="G1262" s="1">
        <v>45225</v>
      </c>
      <c r="H1262">
        <v>5409317</v>
      </c>
      <c r="I1262">
        <v>178</v>
      </c>
      <c r="J1262" t="s">
        <v>303</v>
      </c>
      <c r="K1262" s="8" t="s">
        <v>742</v>
      </c>
      <c r="L1262" s="4"/>
      <c r="M1262" t="s">
        <v>681</v>
      </c>
      <c r="N1262" s="5">
        <v>30836324</v>
      </c>
      <c r="O1262" s="5">
        <v>64042</v>
      </c>
      <c r="P1262" s="5">
        <v>12168</v>
      </c>
      <c r="Q1262" s="5">
        <v>76210</v>
      </c>
    </row>
    <row r="1263" spans="1:17" x14ac:dyDescent="0.25">
      <c r="A1263" t="s">
        <v>505</v>
      </c>
      <c r="B1263" t="s">
        <v>494</v>
      </c>
      <c r="C1263">
        <v>96766340</v>
      </c>
      <c r="D1263">
        <v>16</v>
      </c>
      <c r="E1263" t="s">
        <v>651</v>
      </c>
      <c r="F1263" t="s">
        <v>650</v>
      </c>
      <c r="G1263" s="1">
        <v>45225</v>
      </c>
      <c r="H1263">
        <v>5409318</v>
      </c>
      <c r="I1263">
        <v>178</v>
      </c>
      <c r="J1263" t="s">
        <v>303</v>
      </c>
      <c r="K1263" s="8" t="s">
        <v>742</v>
      </c>
      <c r="L1263" s="4"/>
      <c r="M1263" t="s">
        <v>681</v>
      </c>
      <c r="N1263" s="5">
        <v>30836234</v>
      </c>
      <c r="O1263" s="5">
        <v>64042</v>
      </c>
      <c r="P1263" s="5">
        <v>12168</v>
      </c>
      <c r="Q1263" s="5">
        <v>76210</v>
      </c>
    </row>
    <row r="1264" spans="1:17" x14ac:dyDescent="0.25">
      <c r="A1264" t="s">
        <v>505</v>
      </c>
      <c r="B1264" t="s">
        <v>494</v>
      </c>
      <c r="C1264">
        <v>96766340</v>
      </c>
      <c r="D1264">
        <v>18</v>
      </c>
      <c r="E1264" t="s">
        <v>651</v>
      </c>
      <c r="F1264" t="s">
        <v>650</v>
      </c>
      <c r="G1264" s="1">
        <v>45225</v>
      </c>
      <c r="H1264">
        <v>5409319</v>
      </c>
      <c r="I1264">
        <v>178</v>
      </c>
      <c r="J1264" t="s">
        <v>303</v>
      </c>
      <c r="K1264" s="8" t="s">
        <v>742</v>
      </c>
      <c r="L1264" s="4"/>
      <c r="M1264" t="s">
        <v>681</v>
      </c>
      <c r="N1264" s="5">
        <v>30836546</v>
      </c>
      <c r="O1264" s="5">
        <v>72536</v>
      </c>
      <c r="P1264" s="5">
        <v>13782</v>
      </c>
      <c r="Q1264" s="5">
        <v>86318</v>
      </c>
    </row>
    <row r="1265" spans="1:17" x14ac:dyDescent="0.25">
      <c r="A1265" t="s">
        <v>505</v>
      </c>
      <c r="B1265" t="s">
        <v>494</v>
      </c>
      <c r="C1265">
        <v>96766340</v>
      </c>
      <c r="D1265">
        <v>25</v>
      </c>
      <c r="E1265" t="s">
        <v>651</v>
      </c>
      <c r="F1265" t="s">
        <v>650</v>
      </c>
      <c r="G1265" s="1">
        <v>45225</v>
      </c>
      <c r="H1265">
        <v>5409320</v>
      </c>
      <c r="I1265">
        <v>178</v>
      </c>
      <c r="J1265" t="s">
        <v>303</v>
      </c>
      <c r="K1265" s="8" t="s">
        <v>742</v>
      </c>
      <c r="L1265" s="4"/>
      <c r="M1265" t="s">
        <v>681</v>
      </c>
      <c r="N1265" s="5">
        <v>30836622</v>
      </c>
      <c r="O1265" s="5">
        <v>184496</v>
      </c>
      <c r="P1265" s="5">
        <v>35054</v>
      </c>
      <c r="Q1265" s="5">
        <v>219550</v>
      </c>
    </row>
    <row r="1266" spans="1:17" x14ac:dyDescent="0.25">
      <c r="A1266" t="s">
        <v>505</v>
      </c>
      <c r="B1266" t="s">
        <v>494</v>
      </c>
      <c r="C1266">
        <v>96766340</v>
      </c>
      <c r="D1266">
        <v>23</v>
      </c>
      <c r="E1266" t="s">
        <v>651</v>
      </c>
      <c r="F1266" t="s">
        <v>650</v>
      </c>
      <c r="G1266" s="1">
        <v>45225</v>
      </c>
      <c r="H1266">
        <v>5409321</v>
      </c>
      <c r="I1266">
        <v>178</v>
      </c>
      <c r="J1266" t="s">
        <v>303</v>
      </c>
      <c r="K1266" s="8" t="s">
        <v>742</v>
      </c>
      <c r="L1266" s="4"/>
      <c r="M1266" t="s">
        <v>681</v>
      </c>
      <c r="N1266" s="5">
        <v>30836596</v>
      </c>
      <c r="O1266" s="5">
        <v>44906</v>
      </c>
      <c r="P1266" s="5">
        <v>8532</v>
      </c>
      <c r="Q1266" s="5">
        <v>53438</v>
      </c>
    </row>
    <row r="1267" spans="1:17" x14ac:dyDescent="0.25">
      <c r="A1267" t="s">
        <v>505</v>
      </c>
      <c r="B1267" t="s">
        <v>494</v>
      </c>
      <c r="C1267">
        <v>96766340</v>
      </c>
      <c r="D1267">
        <v>22</v>
      </c>
      <c r="E1267" t="s">
        <v>651</v>
      </c>
      <c r="F1267" t="s">
        <v>650</v>
      </c>
      <c r="G1267" s="1">
        <v>45225</v>
      </c>
      <c r="H1267">
        <v>5409322</v>
      </c>
      <c r="I1267">
        <v>178</v>
      </c>
      <c r="J1267" t="s">
        <v>303</v>
      </c>
      <c r="K1267" s="8" t="s">
        <v>742</v>
      </c>
      <c r="L1267" s="4"/>
      <c r="M1267" t="s">
        <v>681</v>
      </c>
      <c r="N1267" s="5">
        <v>30836588</v>
      </c>
      <c r="O1267" s="5">
        <v>184496</v>
      </c>
      <c r="P1267" s="5">
        <v>35054</v>
      </c>
      <c r="Q1267" s="5">
        <v>219550</v>
      </c>
    </row>
    <row r="1268" spans="1:17" x14ac:dyDescent="0.25">
      <c r="A1268" t="s">
        <v>505</v>
      </c>
      <c r="B1268" t="s">
        <v>494</v>
      </c>
      <c r="C1268">
        <v>96766340</v>
      </c>
      <c r="D1268">
        <v>21</v>
      </c>
      <c r="E1268" t="s">
        <v>651</v>
      </c>
      <c r="F1268" t="s">
        <v>650</v>
      </c>
      <c r="G1268" s="1">
        <v>45225</v>
      </c>
      <c r="H1268">
        <v>5409323</v>
      </c>
      <c r="I1268">
        <v>178</v>
      </c>
      <c r="J1268" t="s">
        <v>303</v>
      </c>
      <c r="K1268" s="8" t="s">
        <v>742</v>
      </c>
      <c r="L1268" s="4"/>
      <c r="M1268" t="s">
        <v>681</v>
      </c>
      <c r="N1268" s="5">
        <v>30836574</v>
      </c>
      <c r="O1268" s="5">
        <v>72536</v>
      </c>
      <c r="P1268" s="5">
        <v>13782</v>
      </c>
      <c r="Q1268" s="5">
        <v>86318</v>
      </c>
    </row>
    <row r="1269" spans="1:17" x14ac:dyDescent="0.25">
      <c r="A1269" t="s">
        <v>505</v>
      </c>
      <c r="B1269" t="s">
        <v>494</v>
      </c>
      <c r="C1269">
        <v>96766340</v>
      </c>
      <c r="D1269">
        <v>20</v>
      </c>
      <c r="E1269" t="s">
        <v>651</v>
      </c>
      <c r="F1269" t="s">
        <v>650</v>
      </c>
      <c r="G1269" s="1">
        <v>45225</v>
      </c>
      <c r="H1269">
        <v>5409324</v>
      </c>
      <c r="I1269">
        <v>178</v>
      </c>
      <c r="J1269" t="s">
        <v>303</v>
      </c>
      <c r="K1269" s="8" t="s">
        <v>742</v>
      </c>
      <c r="L1269" s="4"/>
      <c r="M1269" t="s">
        <v>681</v>
      </c>
      <c r="N1269" s="5">
        <v>30836566</v>
      </c>
      <c r="O1269" s="5">
        <v>72536</v>
      </c>
      <c r="P1269" s="5">
        <v>13782</v>
      </c>
      <c r="Q1269" s="5">
        <v>86318</v>
      </c>
    </row>
    <row r="1270" spans="1:17" x14ac:dyDescent="0.25">
      <c r="A1270" t="s">
        <v>505</v>
      </c>
      <c r="B1270" t="s">
        <v>494</v>
      </c>
      <c r="C1270">
        <v>96766340</v>
      </c>
      <c r="D1270">
        <v>12</v>
      </c>
      <c r="E1270" t="s">
        <v>651</v>
      </c>
      <c r="F1270" t="s">
        <v>650</v>
      </c>
      <c r="G1270" s="1">
        <v>45225</v>
      </c>
      <c r="H1270">
        <v>5409325</v>
      </c>
      <c r="I1270">
        <v>178</v>
      </c>
      <c r="J1270" t="s">
        <v>303</v>
      </c>
      <c r="K1270" s="8" t="s">
        <v>742</v>
      </c>
      <c r="L1270" s="4"/>
      <c r="M1270" t="s">
        <v>681</v>
      </c>
      <c r="N1270" s="5">
        <v>30836170</v>
      </c>
      <c r="O1270" s="5">
        <v>64042</v>
      </c>
      <c r="P1270" s="5">
        <v>12168</v>
      </c>
      <c r="Q1270" s="5">
        <v>76210</v>
      </c>
    </row>
    <row r="1271" spans="1:17" x14ac:dyDescent="0.25">
      <c r="A1271" t="s">
        <v>505</v>
      </c>
      <c r="B1271" t="s">
        <v>494</v>
      </c>
      <c r="C1271">
        <v>96766340</v>
      </c>
      <c r="D1271">
        <v>13</v>
      </c>
      <c r="E1271" t="s">
        <v>651</v>
      </c>
      <c r="F1271" t="s">
        <v>650</v>
      </c>
      <c r="G1271" s="1">
        <v>45225</v>
      </c>
      <c r="H1271">
        <v>5409326</v>
      </c>
      <c r="I1271">
        <v>178</v>
      </c>
      <c r="J1271" t="s">
        <v>303</v>
      </c>
      <c r="K1271" s="8" t="s">
        <v>742</v>
      </c>
      <c r="L1271" s="4"/>
      <c r="M1271" t="s">
        <v>681</v>
      </c>
      <c r="N1271" s="5">
        <v>30836184</v>
      </c>
      <c r="O1271" s="5">
        <v>115006</v>
      </c>
      <c r="P1271" s="5">
        <v>21851</v>
      </c>
      <c r="Q1271" s="5">
        <v>136857</v>
      </c>
    </row>
    <row r="1272" spans="1:17" x14ac:dyDescent="0.25">
      <c r="A1272" t="s">
        <v>505</v>
      </c>
      <c r="B1272" t="s">
        <v>494</v>
      </c>
      <c r="C1272">
        <v>96766340</v>
      </c>
      <c r="D1272">
        <v>14</v>
      </c>
      <c r="E1272" t="s">
        <v>651</v>
      </c>
      <c r="F1272" t="s">
        <v>650</v>
      </c>
      <c r="G1272" s="1">
        <v>45225</v>
      </c>
      <c r="H1272">
        <v>5409327</v>
      </c>
      <c r="I1272">
        <v>178</v>
      </c>
      <c r="J1272" t="s">
        <v>303</v>
      </c>
      <c r="K1272" s="8" t="s">
        <v>742</v>
      </c>
      <c r="L1272" s="4"/>
      <c r="M1272" t="s">
        <v>681</v>
      </c>
      <c r="N1272" s="5">
        <v>30836205</v>
      </c>
      <c r="O1272" s="5">
        <v>56368</v>
      </c>
      <c r="P1272" s="5">
        <v>10710</v>
      </c>
      <c r="Q1272" s="5">
        <v>67078</v>
      </c>
    </row>
    <row r="1273" spans="1:17" x14ac:dyDescent="0.25">
      <c r="A1273" t="s">
        <v>505</v>
      </c>
      <c r="B1273" t="s">
        <v>494</v>
      </c>
      <c r="C1273">
        <v>96766340</v>
      </c>
      <c r="D1273">
        <v>9</v>
      </c>
      <c r="E1273" t="s">
        <v>651</v>
      </c>
      <c r="F1273" t="s">
        <v>650</v>
      </c>
      <c r="G1273" s="1">
        <v>45225</v>
      </c>
      <c r="H1273">
        <v>5409328</v>
      </c>
      <c r="I1273">
        <v>178</v>
      </c>
      <c r="J1273" t="s">
        <v>303</v>
      </c>
      <c r="K1273" s="8" t="s">
        <v>742</v>
      </c>
      <c r="L1273" s="4"/>
      <c r="M1273" t="s">
        <v>681</v>
      </c>
      <c r="N1273" s="5">
        <v>30836130</v>
      </c>
      <c r="O1273" s="5">
        <v>30886</v>
      </c>
      <c r="P1273" s="5">
        <v>5868</v>
      </c>
      <c r="Q1273" s="5">
        <v>36754</v>
      </c>
    </row>
    <row r="1274" spans="1:17" x14ac:dyDescent="0.25">
      <c r="A1274" t="s">
        <v>505</v>
      </c>
      <c r="B1274" t="s">
        <v>494</v>
      </c>
      <c r="C1274">
        <v>96766340</v>
      </c>
      <c r="D1274">
        <v>7</v>
      </c>
      <c r="E1274" t="s">
        <v>651</v>
      </c>
      <c r="F1274" t="s">
        <v>650</v>
      </c>
      <c r="G1274" s="1">
        <v>45225</v>
      </c>
      <c r="H1274">
        <v>5409329</v>
      </c>
      <c r="I1274">
        <v>178</v>
      </c>
      <c r="J1274" t="s">
        <v>303</v>
      </c>
      <c r="K1274" s="8" t="s">
        <v>742</v>
      </c>
      <c r="L1274" s="4"/>
      <c r="M1274" t="s">
        <v>681</v>
      </c>
      <c r="N1274" s="5">
        <v>30836098</v>
      </c>
      <c r="O1274" s="5">
        <v>64042</v>
      </c>
      <c r="P1274" s="5">
        <v>12168</v>
      </c>
      <c r="Q1274" s="5">
        <v>76210</v>
      </c>
    </row>
    <row r="1275" spans="1:17" x14ac:dyDescent="0.25">
      <c r="A1275" t="s">
        <v>505</v>
      </c>
      <c r="B1275" t="s">
        <v>494</v>
      </c>
      <c r="C1275">
        <v>96766340</v>
      </c>
      <c r="D1275">
        <v>8</v>
      </c>
      <c r="E1275" t="s">
        <v>651</v>
      </c>
      <c r="F1275" t="s">
        <v>650</v>
      </c>
      <c r="G1275" s="1">
        <v>45225</v>
      </c>
      <c r="H1275">
        <v>5409330</v>
      </c>
      <c r="I1275">
        <v>178</v>
      </c>
      <c r="J1275" t="s">
        <v>303</v>
      </c>
      <c r="K1275" s="8" t="s">
        <v>742</v>
      </c>
      <c r="L1275" s="4"/>
      <c r="M1275" t="s">
        <v>681</v>
      </c>
      <c r="N1275" s="5">
        <v>30836114</v>
      </c>
      <c r="O1275" s="5">
        <v>30886</v>
      </c>
      <c r="P1275" s="5">
        <v>5868</v>
      </c>
      <c r="Q1275" s="5">
        <v>36754</v>
      </c>
    </row>
    <row r="1276" spans="1:17" x14ac:dyDescent="0.25">
      <c r="A1276" t="s">
        <v>505</v>
      </c>
      <c r="B1276" t="s">
        <v>494</v>
      </c>
      <c r="C1276">
        <v>96766340</v>
      </c>
      <c r="D1276">
        <v>11</v>
      </c>
      <c r="E1276" t="s">
        <v>651</v>
      </c>
      <c r="F1276" t="s">
        <v>650</v>
      </c>
      <c r="G1276" s="1">
        <v>45225</v>
      </c>
      <c r="H1276">
        <v>5409331</v>
      </c>
      <c r="I1276">
        <v>178</v>
      </c>
      <c r="J1276" t="s">
        <v>303</v>
      </c>
      <c r="K1276" s="8" t="s">
        <v>742</v>
      </c>
      <c r="L1276" s="4"/>
      <c r="M1276" t="s">
        <v>681</v>
      </c>
      <c r="N1276" s="5">
        <v>30836152</v>
      </c>
      <c r="O1276" s="5">
        <v>64042</v>
      </c>
      <c r="P1276" s="5">
        <v>12168</v>
      </c>
      <c r="Q1276" s="5">
        <v>76210</v>
      </c>
    </row>
    <row r="1277" spans="1:17" x14ac:dyDescent="0.25">
      <c r="A1277" t="s">
        <v>505</v>
      </c>
      <c r="B1277" t="s">
        <v>494</v>
      </c>
      <c r="C1277">
        <v>96766340</v>
      </c>
      <c r="D1277">
        <v>10</v>
      </c>
      <c r="E1277">
        <v>1156456</v>
      </c>
      <c r="F1277" t="s">
        <v>650</v>
      </c>
      <c r="G1277" s="1">
        <v>45225</v>
      </c>
      <c r="H1277">
        <v>5409360</v>
      </c>
      <c r="I1277">
        <v>178</v>
      </c>
      <c r="J1277" t="s">
        <v>303</v>
      </c>
      <c r="K1277" s="8" t="s">
        <v>742</v>
      </c>
      <c r="L1277" s="4"/>
      <c r="M1277" t="s">
        <v>681</v>
      </c>
      <c r="N1277" s="5">
        <v>30836143</v>
      </c>
      <c r="O1277" s="5">
        <v>64042</v>
      </c>
      <c r="P1277" s="5">
        <v>12168</v>
      </c>
      <c r="Q1277" s="5">
        <v>76210</v>
      </c>
    </row>
    <row r="1278" spans="1:17" x14ac:dyDescent="0.25">
      <c r="A1278" t="s">
        <v>505</v>
      </c>
      <c r="B1278" t="s">
        <v>494</v>
      </c>
      <c r="C1278">
        <v>96766340</v>
      </c>
      <c r="D1278">
        <v>15</v>
      </c>
      <c r="E1278" t="s">
        <v>651</v>
      </c>
      <c r="F1278" t="s">
        <v>650</v>
      </c>
      <c r="G1278" s="1">
        <v>45225</v>
      </c>
      <c r="H1278">
        <v>5409361</v>
      </c>
      <c r="I1278">
        <v>178</v>
      </c>
      <c r="J1278" t="s">
        <v>303</v>
      </c>
      <c r="K1278" s="8" t="s">
        <v>742</v>
      </c>
      <c r="L1278" s="4"/>
      <c r="M1278" t="s">
        <v>681</v>
      </c>
      <c r="N1278" s="5">
        <v>30836221</v>
      </c>
      <c r="O1278" s="5">
        <v>50310</v>
      </c>
      <c r="P1278" s="5">
        <v>9559</v>
      </c>
      <c r="Q1278" s="5">
        <v>59869</v>
      </c>
    </row>
    <row r="1279" spans="1:17" x14ac:dyDescent="0.25">
      <c r="A1279" t="s">
        <v>505</v>
      </c>
      <c r="B1279" t="s">
        <v>494</v>
      </c>
      <c r="C1279">
        <v>96766340</v>
      </c>
      <c r="D1279">
        <v>24</v>
      </c>
      <c r="E1279" t="s">
        <v>651</v>
      </c>
      <c r="F1279" t="s">
        <v>650</v>
      </c>
      <c r="G1279" s="1">
        <v>45225</v>
      </c>
      <c r="H1279">
        <v>5409397</v>
      </c>
      <c r="I1279">
        <v>178</v>
      </c>
      <c r="J1279" t="s">
        <v>303</v>
      </c>
      <c r="K1279" s="8" t="s">
        <v>742</v>
      </c>
      <c r="L1279" s="4"/>
      <c r="M1279" t="s">
        <v>681</v>
      </c>
      <c r="N1279" s="5">
        <v>30836604</v>
      </c>
      <c r="O1279" s="5">
        <v>72536</v>
      </c>
      <c r="P1279" s="5">
        <v>13782</v>
      </c>
      <c r="Q1279" s="5">
        <v>86318</v>
      </c>
    </row>
    <row r="1280" spans="1:17" x14ac:dyDescent="0.25">
      <c r="A1280" t="s">
        <v>505</v>
      </c>
      <c r="B1280" t="s">
        <v>494</v>
      </c>
      <c r="C1280">
        <v>96766340</v>
      </c>
      <c r="D1280">
        <v>34</v>
      </c>
      <c r="E1280">
        <v>30838807</v>
      </c>
      <c r="F1280" t="s">
        <v>650</v>
      </c>
      <c r="G1280" s="1">
        <v>45229</v>
      </c>
      <c r="H1280">
        <v>5409822</v>
      </c>
      <c r="I1280">
        <v>178</v>
      </c>
      <c r="J1280" t="s">
        <v>303</v>
      </c>
      <c r="K1280" s="8" t="s">
        <v>742</v>
      </c>
      <c r="L1280" s="4"/>
      <c r="M1280" t="s">
        <v>681</v>
      </c>
      <c r="N1280" s="5">
        <v>30838807</v>
      </c>
      <c r="O1280" s="5">
        <v>45414</v>
      </c>
      <c r="P1280" s="5">
        <v>8629</v>
      </c>
      <c r="Q1280" s="5">
        <v>54043</v>
      </c>
    </row>
    <row r="1281" spans="1:17" x14ac:dyDescent="0.25">
      <c r="F1281" t="s">
        <v>719</v>
      </c>
      <c r="K1281" t="s">
        <v>681</v>
      </c>
      <c r="L1281" s="4"/>
      <c r="M1281" t="s">
        <v>681</v>
      </c>
      <c r="N1281" s="5"/>
      <c r="O1281" s="5">
        <v>6371064</v>
      </c>
      <c r="P1281" s="5">
        <v>1210497</v>
      </c>
      <c r="Q1281" s="5">
        <v>7581561</v>
      </c>
    </row>
    <row r="1282" spans="1:17" x14ac:dyDescent="0.25">
      <c r="A1282" t="s">
        <v>505</v>
      </c>
      <c r="B1282" t="s">
        <v>494</v>
      </c>
      <c r="C1282">
        <v>96769070</v>
      </c>
      <c r="D1282">
        <v>2</v>
      </c>
      <c r="E1282">
        <v>30824865</v>
      </c>
      <c r="F1282" t="s">
        <v>741</v>
      </c>
      <c r="G1282" s="1">
        <v>45222</v>
      </c>
      <c r="H1282">
        <v>5407598</v>
      </c>
      <c r="I1282">
        <v>178</v>
      </c>
      <c r="J1282" t="s">
        <v>303</v>
      </c>
      <c r="K1282" s="8" t="s">
        <v>742</v>
      </c>
      <c r="L1282" s="4"/>
      <c r="M1282" t="s">
        <v>681</v>
      </c>
      <c r="N1282" s="5">
        <v>30824865</v>
      </c>
      <c r="O1282" s="5">
        <v>106134</v>
      </c>
      <c r="P1282" s="5">
        <v>20165</v>
      </c>
      <c r="Q1282" s="5">
        <v>126299</v>
      </c>
    </row>
    <row r="1283" spans="1:17" x14ac:dyDescent="0.25">
      <c r="A1283" t="s">
        <v>505</v>
      </c>
      <c r="B1283" t="s">
        <v>494</v>
      </c>
      <c r="C1283">
        <v>96769070</v>
      </c>
      <c r="D1283">
        <v>2</v>
      </c>
      <c r="E1283">
        <v>30824874</v>
      </c>
      <c r="F1283" t="s">
        <v>741</v>
      </c>
      <c r="G1283" s="1">
        <v>45222</v>
      </c>
      <c r="H1283">
        <v>5407600</v>
      </c>
      <c r="I1283">
        <v>178</v>
      </c>
      <c r="J1283" t="s">
        <v>303</v>
      </c>
      <c r="K1283" s="8" t="s">
        <v>742</v>
      </c>
      <c r="L1283" s="4"/>
      <c r="M1283" t="s">
        <v>681</v>
      </c>
      <c r="N1283" s="5">
        <v>30824874</v>
      </c>
      <c r="O1283" s="5">
        <v>408166</v>
      </c>
      <c r="P1283" s="5">
        <v>77552</v>
      </c>
      <c r="Q1283" s="5">
        <v>485718</v>
      </c>
    </row>
    <row r="1284" spans="1:17" x14ac:dyDescent="0.25">
      <c r="A1284" t="s">
        <v>505</v>
      </c>
      <c r="B1284" t="s">
        <v>494</v>
      </c>
      <c r="C1284">
        <v>96769070</v>
      </c>
      <c r="D1284">
        <v>2</v>
      </c>
      <c r="E1284">
        <v>30824893</v>
      </c>
      <c r="F1284" t="s">
        <v>741</v>
      </c>
      <c r="G1284" s="1">
        <v>45222</v>
      </c>
      <c r="H1284">
        <v>5407601</v>
      </c>
      <c r="I1284">
        <v>178</v>
      </c>
      <c r="J1284" t="s">
        <v>303</v>
      </c>
      <c r="K1284" s="8" t="s">
        <v>742</v>
      </c>
      <c r="L1284" s="4"/>
      <c r="M1284" t="s">
        <v>681</v>
      </c>
      <c r="N1284" s="5">
        <v>30824893</v>
      </c>
      <c r="O1284" s="5">
        <v>164895</v>
      </c>
      <c r="P1284" s="5">
        <v>31330</v>
      </c>
      <c r="Q1284" s="5">
        <v>196225</v>
      </c>
    </row>
    <row r="1285" spans="1:17" x14ac:dyDescent="0.25">
      <c r="F1285" t="s">
        <v>500</v>
      </c>
      <c r="K1285" t="s">
        <v>681</v>
      </c>
      <c r="L1285" s="4"/>
      <c r="M1285" t="s">
        <v>681</v>
      </c>
      <c r="N1285" s="5"/>
      <c r="O1285" s="5">
        <v>679195</v>
      </c>
      <c r="P1285" s="5">
        <v>129047</v>
      </c>
      <c r="Q1285" s="5">
        <v>808242</v>
      </c>
    </row>
    <row r="1286" spans="1:17" x14ac:dyDescent="0.25">
      <c r="A1286" t="s">
        <v>496</v>
      </c>
      <c r="B1286" t="s">
        <v>502</v>
      </c>
      <c r="C1286">
        <v>96780490</v>
      </c>
      <c r="D1286">
        <v>7</v>
      </c>
      <c r="E1286">
        <v>4500461727</v>
      </c>
      <c r="F1286" t="s">
        <v>652</v>
      </c>
      <c r="G1286" s="1">
        <v>45230</v>
      </c>
      <c r="H1286">
        <v>5410278</v>
      </c>
      <c r="I1286">
        <v>394</v>
      </c>
      <c r="J1286" t="s">
        <v>224</v>
      </c>
      <c r="K1286" s="8" t="s">
        <v>742</v>
      </c>
      <c r="L1286" s="4" t="s">
        <v>6</v>
      </c>
      <c r="M1286" t="s">
        <v>681</v>
      </c>
      <c r="N1286" s="5">
        <v>30836706</v>
      </c>
      <c r="O1286" s="5">
        <v>260024</v>
      </c>
      <c r="P1286" s="5">
        <v>49405</v>
      </c>
      <c r="Q1286" s="5">
        <v>309429</v>
      </c>
    </row>
    <row r="1287" spans="1:17" x14ac:dyDescent="0.25">
      <c r="F1287" t="s">
        <v>495</v>
      </c>
      <c r="K1287" t="s">
        <v>681</v>
      </c>
      <c r="L1287" s="4"/>
      <c r="M1287" t="s">
        <v>681</v>
      </c>
      <c r="N1287" s="5"/>
      <c r="O1287" s="5">
        <v>260024</v>
      </c>
      <c r="P1287" s="5">
        <v>49405</v>
      </c>
      <c r="Q1287" s="5">
        <v>309429</v>
      </c>
    </row>
    <row r="1288" spans="1:17" x14ac:dyDescent="0.25">
      <c r="A1288" t="s">
        <v>496</v>
      </c>
      <c r="B1288" t="s">
        <v>494</v>
      </c>
      <c r="C1288">
        <v>96791730</v>
      </c>
      <c r="D1288">
        <v>13</v>
      </c>
      <c r="E1288" s="2">
        <v>90017593</v>
      </c>
      <c r="F1288" t="s">
        <v>653</v>
      </c>
      <c r="G1288" s="1">
        <v>45201</v>
      </c>
      <c r="H1288">
        <v>5394939</v>
      </c>
      <c r="I1288">
        <v>63</v>
      </c>
      <c r="J1288" t="s">
        <v>170</v>
      </c>
      <c r="K1288" s="8" t="s">
        <v>742</v>
      </c>
      <c r="L1288" s="4"/>
      <c r="M1288" t="s">
        <v>681</v>
      </c>
      <c r="N1288" s="5">
        <v>30760978</v>
      </c>
      <c r="O1288" s="5">
        <v>68660</v>
      </c>
      <c r="P1288" s="5">
        <v>13045</v>
      </c>
      <c r="Q1288" s="5">
        <v>81705</v>
      </c>
    </row>
    <row r="1289" spans="1:17" x14ac:dyDescent="0.25">
      <c r="A1289" t="s">
        <v>496</v>
      </c>
      <c r="B1289" t="s">
        <v>494</v>
      </c>
      <c r="C1289">
        <v>96791730</v>
      </c>
      <c r="D1289">
        <v>8</v>
      </c>
      <c r="E1289" s="2">
        <v>5000250083</v>
      </c>
      <c r="F1289" t="s">
        <v>653</v>
      </c>
      <c r="G1289" s="1">
        <v>45201</v>
      </c>
      <c r="H1289">
        <v>5395075</v>
      </c>
      <c r="I1289">
        <v>63</v>
      </c>
      <c r="J1289" t="s">
        <v>170</v>
      </c>
      <c r="K1289" s="8" t="s">
        <v>742</v>
      </c>
      <c r="L1289" s="4"/>
      <c r="M1289" t="s">
        <v>681</v>
      </c>
      <c r="N1289" s="5">
        <v>30753981</v>
      </c>
      <c r="O1289" s="5">
        <v>636739</v>
      </c>
      <c r="P1289" s="5">
        <v>120980</v>
      </c>
      <c r="Q1289" s="5">
        <v>757719</v>
      </c>
    </row>
    <row r="1290" spans="1:17" x14ac:dyDescent="0.25">
      <c r="A1290" t="s">
        <v>496</v>
      </c>
      <c r="B1290" t="s">
        <v>494</v>
      </c>
      <c r="C1290">
        <v>96791730</v>
      </c>
      <c r="D1290">
        <v>0</v>
      </c>
      <c r="E1290" t="s">
        <v>654</v>
      </c>
      <c r="F1290" t="s">
        <v>653</v>
      </c>
      <c r="G1290" s="1">
        <v>45202</v>
      </c>
      <c r="H1290">
        <v>5395903</v>
      </c>
      <c r="I1290">
        <v>63</v>
      </c>
      <c r="J1290" t="s">
        <v>170</v>
      </c>
      <c r="K1290" s="8" t="s">
        <v>742</v>
      </c>
      <c r="L1290" s="4"/>
      <c r="M1290" t="s">
        <v>681</v>
      </c>
      <c r="N1290" s="5">
        <v>30766501</v>
      </c>
      <c r="O1290" s="5">
        <v>65911</v>
      </c>
      <c r="P1290" s="5">
        <v>12523</v>
      </c>
      <c r="Q1290" s="5">
        <v>78434</v>
      </c>
    </row>
    <row r="1291" spans="1:17" x14ac:dyDescent="0.25">
      <c r="A1291" t="s">
        <v>496</v>
      </c>
      <c r="B1291" t="s">
        <v>494</v>
      </c>
      <c r="C1291">
        <v>96791730</v>
      </c>
      <c r="D1291">
        <v>12</v>
      </c>
      <c r="E1291" s="2">
        <v>8000320263</v>
      </c>
      <c r="F1291" t="s">
        <v>653</v>
      </c>
      <c r="G1291" s="1">
        <v>45202</v>
      </c>
      <c r="H1291">
        <v>5395907</v>
      </c>
      <c r="I1291">
        <v>63</v>
      </c>
      <c r="J1291" t="s">
        <v>170</v>
      </c>
      <c r="K1291" s="8" t="s">
        <v>742</v>
      </c>
      <c r="L1291" s="4"/>
      <c r="M1291" t="s">
        <v>681</v>
      </c>
      <c r="N1291" s="5">
        <v>30766769</v>
      </c>
      <c r="O1291" s="5">
        <v>213351</v>
      </c>
      <c r="P1291" s="5">
        <v>40537</v>
      </c>
      <c r="Q1291" s="5">
        <v>253888</v>
      </c>
    </row>
    <row r="1292" spans="1:17" x14ac:dyDescent="0.25">
      <c r="A1292" t="s">
        <v>496</v>
      </c>
      <c r="B1292" t="s">
        <v>494</v>
      </c>
      <c r="C1292">
        <v>96791730</v>
      </c>
      <c r="D1292">
        <v>0</v>
      </c>
      <c r="E1292" s="2">
        <v>90027008</v>
      </c>
      <c r="F1292" t="s">
        <v>653</v>
      </c>
      <c r="G1292" s="1">
        <v>45204</v>
      </c>
      <c r="H1292">
        <v>5397931</v>
      </c>
      <c r="I1292">
        <v>63</v>
      </c>
      <c r="J1292" t="s">
        <v>170</v>
      </c>
      <c r="K1292" s="8" t="s">
        <v>742</v>
      </c>
      <c r="L1292" s="4"/>
      <c r="M1292" t="s">
        <v>681</v>
      </c>
      <c r="N1292" s="5">
        <v>30776236</v>
      </c>
      <c r="O1292" s="5">
        <v>86564</v>
      </c>
      <c r="P1292" s="5">
        <v>16447</v>
      </c>
      <c r="Q1292" s="5">
        <v>103011</v>
      </c>
    </row>
    <row r="1293" spans="1:17" x14ac:dyDescent="0.25">
      <c r="A1293" t="s">
        <v>496</v>
      </c>
      <c r="B1293" t="s">
        <v>494</v>
      </c>
      <c r="C1293">
        <v>96791730</v>
      </c>
      <c r="D1293">
        <v>13</v>
      </c>
      <c r="E1293" s="2">
        <v>90031076</v>
      </c>
      <c r="F1293" t="s">
        <v>653</v>
      </c>
      <c r="G1293" s="1">
        <v>45206</v>
      </c>
      <c r="H1293">
        <v>5399224</v>
      </c>
      <c r="I1293">
        <v>63</v>
      </c>
      <c r="J1293" t="s">
        <v>170</v>
      </c>
      <c r="K1293" s="8" t="s">
        <v>742</v>
      </c>
      <c r="L1293" s="4"/>
      <c r="M1293" t="s">
        <v>681</v>
      </c>
      <c r="N1293" s="5">
        <v>30771789</v>
      </c>
      <c r="O1293" s="5">
        <v>149320</v>
      </c>
      <c r="P1293" s="5">
        <v>28371</v>
      </c>
      <c r="Q1293" s="5">
        <v>177691</v>
      </c>
    </row>
    <row r="1294" spans="1:17" x14ac:dyDescent="0.25">
      <c r="A1294" t="s">
        <v>496</v>
      </c>
      <c r="B1294" t="s">
        <v>494</v>
      </c>
      <c r="C1294">
        <v>96791730</v>
      </c>
      <c r="D1294">
        <v>0</v>
      </c>
      <c r="E1294" t="s">
        <v>655</v>
      </c>
      <c r="F1294" t="s">
        <v>653</v>
      </c>
      <c r="G1294" s="1">
        <v>45209</v>
      </c>
      <c r="H1294">
        <v>5401472</v>
      </c>
      <c r="I1294">
        <v>63</v>
      </c>
      <c r="J1294" t="s">
        <v>170</v>
      </c>
      <c r="K1294" s="8" t="s">
        <v>742</v>
      </c>
      <c r="L1294" s="4"/>
      <c r="M1294" t="s">
        <v>681</v>
      </c>
      <c r="N1294" s="5">
        <v>30788844</v>
      </c>
      <c r="O1294" s="5">
        <v>43704</v>
      </c>
      <c r="P1294" s="5">
        <v>8304</v>
      </c>
      <c r="Q1294" s="5">
        <v>52008</v>
      </c>
    </row>
    <row r="1295" spans="1:17" x14ac:dyDescent="0.25">
      <c r="A1295" t="s">
        <v>496</v>
      </c>
      <c r="B1295" t="s">
        <v>494</v>
      </c>
      <c r="C1295">
        <v>96791730</v>
      </c>
      <c r="D1295">
        <v>0</v>
      </c>
      <c r="E1295" s="2">
        <v>90017598</v>
      </c>
      <c r="F1295" t="s">
        <v>653</v>
      </c>
      <c r="G1295" s="1">
        <v>45210</v>
      </c>
      <c r="H1295">
        <v>5402036</v>
      </c>
      <c r="I1295">
        <v>63</v>
      </c>
      <c r="J1295" t="s">
        <v>170</v>
      </c>
      <c r="K1295" s="8" t="s">
        <v>742</v>
      </c>
      <c r="L1295" s="4"/>
      <c r="M1295" t="s">
        <v>681</v>
      </c>
      <c r="N1295" s="5">
        <v>30796875</v>
      </c>
      <c r="O1295" s="5">
        <v>114840</v>
      </c>
      <c r="P1295" s="5">
        <v>21820</v>
      </c>
      <c r="Q1295" s="5">
        <v>136660</v>
      </c>
    </row>
    <row r="1296" spans="1:17" x14ac:dyDescent="0.25">
      <c r="A1296" t="s">
        <v>496</v>
      </c>
      <c r="B1296" t="s">
        <v>494</v>
      </c>
      <c r="C1296">
        <v>96791730</v>
      </c>
      <c r="D1296">
        <v>12</v>
      </c>
      <c r="E1296" t="s">
        <v>720</v>
      </c>
      <c r="F1296" t="s">
        <v>653</v>
      </c>
      <c r="G1296" s="1">
        <v>45212</v>
      </c>
      <c r="H1296">
        <v>5403578</v>
      </c>
      <c r="I1296">
        <v>63</v>
      </c>
      <c r="J1296" t="s">
        <v>170</v>
      </c>
      <c r="K1296" s="8" t="s">
        <v>742</v>
      </c>
      <c r="L1296" s="4"/>
      <c r="M1296" t="s">
        <v>681</v>
      </c>
      <c r="N1296" s="5">
        <v>30798994</v>
      </c>
      <c r="O1296" s="5">
        <v>35260</v>
      </c>
      <c r="P1296" s="5">
        <v>6699</v>
      </c>
      <c r="Q1296" s="5">
        <v>41959</v>
      </c>
    </row>
    <row r="1297" spans="1:17" x14ac:dyDescent="0.25">
      <c r="A1297" t="s">
        <v>496</v>
      </c>
      <c r="B1297" t="s">
        <v>494</v>
      </c>
      <c r="C1297">
        <v>96791730</v>
      </c>
      <c r="D1297">
        <v>12</v>
      </c>
      <c r="E1297" t="s">
        <v>721</v>
      </c>
      <c r="F1297" t="s">
        <v>653</v>
      </c>
      <c r="G1297" s="1">
        <v>45216</v>
      </c>
      <c r="H1297">
        <v>5405750</v>
      </c>
      <c r="I1297">
        <v>63</v>
      </c>
      <c r="J1297" t="s">
        <v>170</v>
      </c>
      <c r="K1297" s="8" t="s">
        <v>742</v>
      </c>
      <c r="L1297" s="4"/>
      <c r="M1297" t="s">
        <v>681</v>
      </c>
      <c r="N1297" s="5">
        <v>30802817</v>
      </c>
      <c r="O1297" s="5">
        <v>476333</v>
      </c>
      <c r="P1297" s="5">
        <v>90503</v>
      </c>
      <c r="Q1297" s="5">
        <v>566836</v>
      </c>
    </row>
    <row r="1298" spans="1:17" x14ac:dyDescent="0.25">
      <c r="A1298" t="s">
        <v>496</v>
      </c>
      <c r="B1298" t="s">
        <v>494</v>
      </c>
      <c r="C1298">
        <v>96791730</v>
      </c>
      <c r="D1298">
        <v>9</v>
      </c>
      <c r="E1298" t="s">
        <v>722</v>
      </c>
      <c r="F1298" t="s">
        <v>653</v>
      </c>
      <c r="G1298" s="1">
        <v>45217</v>
      </c>
      <c r="H1298">
        <v>5405898</v>
      </c>
      <c r="I1298">
        <v>63</v>
      </c>
      <c r="J1298" t="s">
        <v>170</v>
      </c>
      <c r="K1298" s="8" t="s">
        <v>742</v>
      </c>
      <c r="L1298" s="4"/>
      <c r="M1298" t="s">
        <v>681</v>
      </c>
      <c r="N1298" s="5">
        <v>30802846</v>
      </c>
      <c r="O1298" s="5">
        <v>92094</v>
      </c>
      <c r="P1298" s="5">
        <v>17498</v>
      </c>
      <c r="Q1298" s="5">
        <v>109592</v>
      </c>
    </row>
    <row r="1299" spans="1:17" x14ac:dyDescent="0.25">
      <c r="A1299" t="s">
        <v>496</v>
      </c>
      <c r="B1299" t="s">
        <v>494</v>
      </c>
      <c r="C1299">
        <v>96791730</v>
      </c>
      <c r="D1299">
        <v>0</v>
      </c>
      <c r="E1299" t="s">
        <v>723</v>
      </c>
      <c r="F1299" t="s">
        <v>653</v>
      </c>
      <c r="G1299" s="1">
        <v>45217</v>
      </c>
      <c r="H1299">
        <v>5406129</v>
      </c>
      <c r="I1299">
        <v>63</v>
      </c>
      <c r="J1299" t="s">
        <v>170</v>
      </c>
      <c r="K1299" s="8" t="s">
        <v>742</v>
      </c>
      <c r="L1299" s="4"/>
      <c r="M1299" t="s">
        <v>681</v>
      </c>
      <c r="N1299" s="5">
        <v>30805844</v>
      </c>
      <c r="O1299" s="5">
        <v>419650</v>
      </c>
      <c r="P1299" s="5">
        <v>79734</v>
      </c>
      <c r="Q1299" s="5">
        <v>499384</v>
      </c>
    </row>
    <row r="1300" spans="1:17" x14ac:dyDescent="0.25">
      <c r="A1300" t="s">
        <v>496</v>
      </c>
      <c r="B1300" t="s">
        <v>494</v>
      </c>
      <c r="C1300">
        <v>96791730</v>
      </c>
      <c r="D1300">
        <v>0</v>
      </c>
      <c r="E1300" t="s">
        <v>724</v>
      </c>
      <c r="F1300" t="s">
        <v>653</v>
      </c>
      <c r="G1300" s="1">
        <v>45218</v>
      </c>
      <c r="H1300">
        <v>5406496</v>
      </c>
      <c r="I1300">
        <v>63</v>
      </c>
      <c r="J1300" t="s">
        <v>170</v>
      </c>
      <c r="K1300" s="8" t="s">
        <v>742</v>
      </c>
      <c r="L1300" s="4"/>
      <c r="M1300" t="s">
        <v>681</v>
      </c>
      <c r="N1300" s="5">
        <v>30816926</v>
      </c>
      <c r="O1300" s="5">
        <v>34184</v>
      </c>
      <c r="P1300" s="5">
        <v>6495</v>
      </c>
      <c r="Q1300" s="5">
        <v>40679</v>
      </c>
    </row>
    <row r="1301" spans="1:17" x14ac:dyDescent="0.25">
      <c r="A1301" t="s">
        <v>496</v>
      </c>
      <c r="B1301" t="s">
        <v>494</v>
      </c>
      <c r="C1301">
        <v>96791730</v>
      </c>
      <c r="D1301">
        <v>12</v>
      </c>
      <c r="E1301" t="s">
        <v>813</v>
      </c>
      <c r="F1301" t="s">
        <v>653</v>
      </c>
      <c r="G1301" s="1">
        <v>45224</v>
      </c>
      <c r="H1301">
        <v>5408754</v>
      </c>
      <c r="I1301">
        <v>63</v>
      </c>
      <c r="J1301" t="s">
        <v>170</v>
      </c>
      <c r="K1301" s="8" t="s">
        <v>742</v>
      </c>
      <c r="L1301" s="4"/>
      <c r="M1301" t="s">
        <v>681</v>
      </c>
      <c r="N1301" s="5">
        <v>30825542</v>
      </c>
      <c r="O1301" s="5">
        <v>104459</v>
      </c>
      <c r="P1301" s="5">
        <v>19847</v>
      </c>
      <c r="Q1301" s="5">
        <v>124306</v>
      </c>
    </row>
    <row r="1302" spans="1:17" x14ac:dyDescent="0.25">
      <c r="A1302" t="s">
        <v>496</v>
      </c>
      <c r="B1302" t="s">
        <v>494</v>
      </c>
      <c r="C1302">
        <v>96791730</v>
      </c>
      <c r="D1302">
        <v>12</v>
      </c>
      <c r="E1302" t="s">
        <v>814</v>
      </c>
      <c r="F1302" t="s">
        <v>653</v>
      </c>
      <c r="G1302" s="1">
        <v>45224</v>
      </c>
      <c r="H1302">
        <v>5408964</v>
      </c>
      <c r="I1302">
        <v>63</v>
      </c>
      <c r="J1302" t="s">
        <v>170</v>
      </c>
      <c r="K1302" s="8" t="s">
        <v>742</v>
      </c>
      <c r="L1302" s="4"/>
      <c r="M1302" t="s">
        <v>681</v>
      </c>
      <c r="N1302" s="5">
        <v>30831198</v>
      </c>
      <c r="O1302" s="5">
        <v>229565</v>
      </c>
      <c r="P1302" s="5">
        <v>43617</v>
      </c>
      <c r="Q1302" s="5">
        <v>273182</v>
      </c>
    </row>
    <row r="1303" spans="1:17" x14ac:dyDescent="0.25">
      <c r="A1303" t="s">
        <v>496</v>
      </c>
      <c r="B1303" t="s">
        <v>494</v>
      </c>
      <c r="C1303">
        <v>96791730</v>
      </c>
      <c r="D1303">
        <v>0</v>
      </c>
      <c r="E1303">
        <v>91</v>
      </c>
      <c r="F1303" t="s">
        <v>653</v>
      </c>
      <c r="G1303" s="1">
        <v>45229</v>
      </c>
      <c r="H1303">
        <v>5409810</v>
      </c>
      <c r="I1303">
        <v>63</v>
      </c>
      <c r="J1303" t="s">
        <v>170</v>
      </c>
      <c r="K1303" s="8" t="s">
        <v>742</v>
      </c>
      <c r="L1303" s="4"/>
      <c r="M1303" t="s">
        <v>681</v>
      </c>
      <c r="N1303" s="5">
        <v>30828760</v>
      </c>
      <c r="O1303" s="5">
        <v>61871</v>
      </c>
      <c r="P1303" s="5">
        <v>11755</v>
      </c>
      <c r="Q1303" s="5">
        <v>73626</v>
      </c>
    </row>
    <row r="1304" spans="1:17" x14ac:dyDescent="0.25">
      <c r="A1304" t="s">
        <v>496</v>
      </c>
      <c r="B1304" t="s">
        <v>494</v>
      </c>
      <c r="C1304">
        <v>96791730</v>
      </c>
      <c r="D1304">
        <v>10</v>
      </c>
      <c r="E1304" t="s">
        <v>815</v>
      </c>
      <c r="F1304" t="s">
        <v>653</v>
      </c>
      <c r="G1304" s="1">
        <v>45229</v>
      </c>
      <c r="H1304">
        <v>5410160</v>
      </c>
      <c r="I1304">
        <v>63</v>
      </c>
      <c r="J1304" t="s">
        <v>170</v>
      </c>
      <c r="K1304" s="8" t="s">
        <v>742</v>
      </c>
      <c r="L1304" s="4"/>
      <c r="M1304" t="s">
        <v>681</v>
      </c>
      <c r="N1304" s="5">
        <v>30838211</v>
      </c>
      <c r="O1304" s="5">
        <v>671494</v>
      </c>
      <c r="P1304" s="5">
        <v>127584</v>
      </c>
      <c r="Q1304" s="5">
        <v>799078</v>
      </c>
    </row>
    <row r="1305" spans="1:17" x14ac:dyDescent="0.25">
      <c r="A1305" t="s">
        <v>496</v>
      </c>
      <c r="B1305" t="s">
        <v>494</v>
      </c>
      <c r="C1305">
        <v>96791730</v>
      </c>
      <c r="D1305">
        <v>3</v>
      </c>
      <c r="E1305">
        <v>16</v>
      </c>
      <c r="F1305" t="s">
        <v>653</v>
      </c>
      <c r="G1305" s="1">
        <v>45230</v>
      </c>
      <c r="H1305">
        <v>5410372</v>
      </c>
      <c r="I1305">
        <v>63</v>
      </c>
      <c r="J1305" t="s">
        <v>170</v>
      </c>
      <c r="K1305" s="8" t="s">
        <v>742</v>
      </c>
      <c r="L1305" s="4"/>
      <c r="M1305" t="s">
        <v>681</v>
      </c>
      <c r="N1305" s="5">
        <v>30832596</v>
      </c>
      <c r="O1305" s="5">
        <v>333604</v>
      </c>
      <c r="P1305" s="5">
        <v>63385</v>
      </c>
      <c r="Q1305" s="5">
        <v>396989</v>
      </c>
    </row>
    <row r="1306" spans="1:17" x14ac:dyDescent="0.25">
      <c r="F1306" t="s">
        <v>526</v>
      </c>
      <c r="K1306" t="s">
        <v>681</v>
      </c>
      <c r="L1306" s="4"/>
      <c r="M1306" t="s">
        <v>681</v>
      </c>
      <c r="N1306" s="5"/>
      <c r="O1306" s="5">
        <v>3837603</v>
      </c>
      <c r="P1306" s="5">
        <v>729144</v>
      </c>
      <c r="Q1306" s="5">
        <v>4566747</v>
      </c>
    </row>
    <row r="1307" spans="1:17" x14ac:dyDescent="0.25">
      <c r="A1307" t="s">
        <v>496</v>
      </c>
      <c r="B1307" t="s">
        <v>494</v>
      </c>
      <c r="C1307">
        <v>96799790</v>
      </c>
      <c r="D1307">
        <v>6</v>
      </c>
      <c r="E1307">
        <v>4000192807</v>
      </c>
      <c r="F1307" t="s">
        <v>656</v>
      </c>
      <c r="G1307" s="1">
        <v>45224</v>
      </c>
      <c r="H1307">
        <v>5408916</v>
      </c>
      <c r="I1307">
        <v>364</v>
      </c>
      <c r="J1307" t="s">
        <v>194</v>
      </c>
      <c r="K1307" s="8" t="s">
        <v>742</v>
      </c>
      <c r="L1307" s="4"/>
      <c r="M1307" t="s">
        <v>681</v>
      </c>
      <c r="N1307" s="5">
        <v>30827973</v>
      </c>
      <c r="O1307" s="5">
        <v>25000</v>
      </c>
      <c r="P1307" s="5">
        <v>4750</v>
      </c>
      <c r="Q1307" s="5">
        <v>29750</v>
      </c>
    </row>
    <row r="1308" spans="1:17" x14ac:dyDescent="0.25">
      <c r="F1308" t="s">
        <v>495</v>
      </c>
      <c r="K1308" t="s">
        <v>681</v>
      </c>
      <c r="L1308" s="4"/>
      <c r="M1308" t="s">
        <v>681</v>
      </c>
      <c r="N1308" s="5"/>
      <c r="O1308" s="5">
        <v>25000</v>
      </c>
      <c r="P1308" s="5">
        <v>4750</v>
      </c>
      <c r="Q1308" s="5">
        <v>29750</v>
      </c>
    </row>
    <row r="1309" spans="1:17" x14ac:dyDescent="0.25">
      <c r="A1309" t="s">
        <v>503</v>
      </c>
      <c r="B1309" t="s">
        <v>509</v>
      </c>
      <c r="C1309">
        <v>96802690</v>
      </c>
      <c r="D1309">
        <v>0</v>
      </c>
      <c r="E1309">
        <v>30814372</v>
      </c>
      <c r="F1309" t="s">
        <v>657</v>
      </c>
      <c r="G1309" s="1">
        <v>45217</v>
      </c>
      <c r="H1309">
        <v>5405998</v>
      </c>
      <c r="I1309">
        <v>30</v>
      </c>
      <c r="J1309" t="s">
        <v>315</v>
      </c>
      <c r="K1309" s="8" t="s">
        <v>742</v>
      </c>
      <c r="L1309" s="4"/>
      <c r="M1309" t="s">
        <v>681</v>
      </c>
      <c r="N1309" s="5">
        <v>30814372</v>
      </c>
      <c r="O1309" s="5">
        <v>210050</v>
      </c>
      <c r="P1309" s="5">
        <v>39910</v>
      </c>
      <c r="Q1309" s="5">
        <v>249960</v>
      </c>
    </row>
    <row r="1310" spans="1:17" x14ac:dyDescent="0.25">
      <c r="A1310" t="s">
        <v>503</v>
      </c>
      <c r="B1310" t="s">
        <v>509</v>
      </c>
      <c r="C1310">
        <v>96802690</v>
      </c>
      <c r="D1310">
        <v>0</v>
      </c>
      <c r="E1310">
        <v>30823327</v>
      </c>
      <c r="F1310" t="s">
        <v>657</v>
      </c>
      <c r="G1310" s="1">
        <v>45219</v>
      </c>
      <c r="H1310">
        <v>5407034</v>
      </c>
      <c r="I1310">
        <v>30</v>
      </c>
      <c r="J1310" t="s">
        <v>315</v>
      </c>
      <c r="K1310" s="8" t="s">
        <v>742</v>
      </c>
      <c r="L1310" s="4"/>
      <c r="M1310" t="s">
        <v>681</v>
      </c>
      <c r="N1310" s="5">
        <v>30823327</v>
      </c>
      <c r="O1310" s="5">
        <v>36054</v>
      </c>
      <c r="P1310" s="5">
        <v>6850</v>
      </c>
      <c r="Q1310" s="5">
        <v>43695</v>
      </c>
    </row>
    <row r="1311" spans="1:17" x14ac:dyDescent="0.25">
      <c r="F1311" t="s">
        <v>497</v>
      </c>
      <c r="K1311" t="s">
        <v>681</v>
      </c>
      <c r="L1311" s="4"/>
      <c r="M1311" t="s">
        <v>681</v>
      </c>
      <c r="N1311" s="5"/>
      <c r="O1311" s="5">
        <v>246104</v>
      </c>
      <c r="P1311" s="5">
        <v>46760</v>
      </c>
      <c r="Q1311" s="5">
        <v>293655</v>
      </c>
    </row>
    <row r="1312" spans="1:17" x14ac:dyDescent="0.25">
      <c r="A1312" t="s">
        <v>496</v>
      </c>
      <c r="B1312" t="s">
        <v>502</v>
      </c>
      <c r="C1312">
        <v>96843130</v>
      </c>
      <c r="D1312">
        <v>1</v>
      </c>
      <c r="E1312">
        <v>4500461446</v>
      </c>
      <c r="F1312" t="s">
        <v>658</v>
      </c>
      <c r="G1312" s="1">
        <v>45229</v>
      </c>
      <c r="H1312">
        <v>5409847</v>
      </c>
      <c r="I1312">
        <v>394</v>
      </c>
      <c r="J1312" t="s">
        <v>224</v>
      </c>
      <c r="K1312" s="8" t="s">
        <v>742</v>
      </c>
      <c r="L1312" s="4" t="s">
        <v>6</v>
      </c>
      <c r="M1312" t="s">
        <v>681</v>
      </c>
      <c r="N1312" s="5">
        <v>30831024</v>
      </c>
      <c r="O1312" s="5">
        <v>815562</v>
      </c>
      <c r="P1312" s="5">
        <v>154957</v>
      </c>
      <c r="Q1312" s="5">
        <v>970519</v>
      </c>
    </row>
    <row r="1313" spans="1:17" x14ac:dyDescent="0.25">
      <c r="A1313" t="s">
        <v>496</v>
      </c>
      <c r="B1313" t="s">
        <v>502</v>
      </c>
      <c r="C1313">
        <v>96843130</v>
      </c>
      <c r="D1313">
        <v>1</v>
      </c>
      <c r="E1313">
        <v>4500461372</v>
      </c>
      <c r="F1313" t="s">
        <v>658</v>
      </c>
      <c r="G1313" s="1">
        <v>45229</v>
      </c>
      <c r="H1313">
        <v>5409849</v>
      </c>
      <c r="I1313">
        <v>394</v>
      </c>
      <c r="J1313" t="s">
        <v>224</v>
      </c>
      <c r="K1313" s="8" t="s">
        <v>742</v>
      </c>
      <c r="L1313" s="4" t="s">
        <v>6</v>
      </c>
      <c r="M1313" t="s">
        <v>681</v>
      </c>
      <c r="N1313" s="5">
        <v>30832690</v>
      </c>
      <c r="O1313" s="5">
        <v>25389</v>
      </c>
      <c r="P1313" s="5">
        <v>4824</v>
      </c>
      <c r="Q1313" s="5">
        <v>30213</v>
      </c>
    </row>
    <row r="1314" spans="1:17" x14ac:dyDescent="0.25">
      <c r="A1314" t="s">
        <v>496</v>
      </c>
      <c r="B1314" t="s">
        <v>502</v>
      </c>
      <c r="C1314">
        <v>96843130</v>
      </c>
      <c r="D1314">
        <v>1</v>
      </c>
      <c r="E1314">
        <v>4500460316</v>
      </c>
      <c r="F1314" t="s">
        <v>658</v>
      </c>
      <c r="G1314" s="1">
        <v>45229</v>
      </c>
      <c r="H1314">
        <v>5409850</v>
      </c>
      <c r="I1314">
        <v>394</v>
      </c>
      <c r="J1314" t="s">
        <v>224</v>
      </c>
      <c r="K1314" s="8" t="s">
        <v>742</v>
      </c>
      <c r="L1314" s="4" t="s">
        <v>6</v>
      </c>
      <c r="M1314" t="s">
        <v>681</v>
      </c>
      <c r="N1314" s="5">
        <v>30832737</v>
      </c>
      <c r="O1314" s="5">
        <v>214188</v>
      </c>
      <c r="P1314" s="5">
        <v>40696</v>
      </c>
      <c r="Q1314" s="5">
        <v>254884</v>
      </c>
    </row>
    <row r="1315" spans="1:17" x14ac:dyDescent="0.25">
      <c r="A1315" t="s">
        <v>496</v>
      </c>
      <c r="B1315" t="s">
        <v>502</v>
      </c>
      <c r="C1315">
        <v>96843130</v>
      </c>
      <c r="D1315">
        <v>1</v>
      </c>
      <c r="E1315">
        <v>4500460463</v>
      </c>
      <c r="F1315" t="s">
        <v>658</v>
      </c>
      <c r="G1315" s="1">
        <v>45229</v>
      </c>
      <c r="H1315">
        <v>5409856</v>
      </c>
      <c r="I1315">
        <v>394</v>
      </c>
      <c r="J1315" t="s">
        <v>224</v>
      </c>
      <c r="K1315" s="8" t="s">
        <v>742</v>
      </c>
      <c r="L1315" s="4" t="s">
        <v>6</v>
      </c>
      <c r="M1315" t="s">
        <v>681</v>
      </c>
      <c r="N1315" s="5">
        <v>30832899</v>
      </c>
      <c r="O1315" s="5">
        <v>174000</v>
      </c>
      <c r="P1315" s="5">
        <v>33060</v>
      </c>
      <c r="Q1315" s="5">
        <v>207060</v>
      </c>
    </row>
    <row r="1316" spans="1:17" x14ac:dyDescent="0.25">
      <c r="A1316" t="s">
        <v>496</v>
      </c>
      <c r="B1316" t="s">
        <v>502</v>
      </c>
      <c r="C1316">
        <v>96843130</v>
      </c>
      <c r="D1316">
        <v>1</v>
      </c>
      <c r="E1316">
        <v>4500460672</v>
      </c>
      <c r="F1316" t="s">
        <v>658</v>
      </c>
      <c r="G1316" s="1">
        <v>45229</v>
      </c>
      <c r="H1316">
        <v>5409857</v>
      </c>
      <c r="I1316">
        <v>394</v>
      </c>
      <c r="J1316" t="s">
        <v>224</v>
      </c>
      <c r="K1316" s="8" t="s">
        <v>742</v>
      </c>
      <c r="L1316" s="4" t="s">
        <v>6</v>
      </c>
      <c r="M1316" t="s">
        <v>681</v>
      </c>
      <c r="N1316" s="5">
        <v>30832927</v>
      </c>
      <c r="O1316" s="5">
        <v>8316</v>
      </c>
      <c r="P1316" s="5">
        <v>1580</v>
      </c>
      <c r="Q1316" s="5">
        <v>9896</v>
      </c>
    </row>
    <row r="1317" spans="1:17" x14ac:dyDescent="0.25">
      <c r="A1317" t="s">
        <v>496</v>
      </c>
      <c r="B1317" t="s">
        <v>502</v>
      </c>
      <c r="C1317">
        <v>96843130</v>
      </c>
      <c r="D1317">
        <v>1</v>
      </c>
      <c r="E1317">
        <v>4500460715</v>
      </c>
      <c r="F1317" t="s">
        <v>658</v>
      </c>
      <c r="G1317" s="1">
        <v>45229</v>
      </c>
      <c r="H1317">
        <v>5409858</v>
      </c>
      <c r="I1317">
        <v>394</v>
      </c>
      <c r="J1317" t="s">
        <v>224</v>
      </c>
      <c r="K1317" s="8" t="s">
        <v>742</v>
      </c>
      <c r="L1317" s="4" t="s">
        <v>6</v>
      </c>
      <c r="M1317" t="s">
        <v>681</v>
      </c>
      <c r="N1317" s="5">
        <v>30832942</v>
      </c>
      <c r="O1317" s="5">
        <v>146320</v>
      </c>
      <c r="P1317" s="5">
        <v>27801</v>
      </c>
      <c r="Q1317" s="5">
        <v>174121</v>
      </c>
    </row>
    <row r="1318" spans="1:17" x14ac:dyDescent="0.25">
      <c r="A1318" t="s">
        <v>496</v>
      </c>
      <c r="B1318" t="s">
        <v>502</v>
      </c>
      <c r="C1318">
        <v>96843130</v>
      </c>
      <c r="D1318">
        <v>1</v>
      </c>
      <c r="E1318">
        <v>4500461351</v>
      </c>
      <c r="F1318" t="s">
        <v>658</v>
      </c>
      <c r="G1318" s="1">
        <v>45229</v>
      </c>
      <c r="H1318">
        <v>5409859</v>
      </c>
      <c r="I1318">
        <v>394</v>
      </c>
      <c r="J1318" t="s">
        <v>224</v>
      </c>
      <c r="K1318" s="8" t="s">
        <v>742</v>
      </c>
      <c r="L1318" s="4" t="s">
        <v>6</v>
      </c>
      <c r="M1318" t="s">
        <v>681</v>
      </c>
      <c r="N1318" s="5">
        <v>30832954</v>
      </c>
      <c r="O1318" s="5">
        <v>13293</v>
      </c>
      <c r="P1318" s="5">
        <v>2526</v>
      </c>
      <c r="Q1318" s="5">
        <v>15819</v>
      </c>
    </row>
    <row r="1319" spans="1:17" x14ac:dyDescent="0.25">
      <c r="A1319" t="s">
        <v>496</v>
      </c>
      <c r="B1319" t="s">
        <v>502</v>
      </c>
      <c r="C1319">
        <v>96843130</v>
      </c>
      <c r="D1319">
        <v>1</v>
      </c>
      <c r="E1319">
        <v>4500461375</v>
      </c>
      <c r="F1319" t="s">
        <v>658</v>
      </c>
      <c r="G1319" s="1">
        <v>45229</v>
      </c>
      <c r="H1319">
        <v>5409860</v>
      </c>
      <c r="I1319">
        <v>394</v>
      </c>
      <c r="J1319" t="s">
        <v>224</v>
      </c>
      <c r="K1319" s="8" t="s">
        <v>742</v>
      </c>
      <c r="L1319" s="4" t="s">
        <v>6</v>
      </c>
      <c r="M1319" t="s">
        <v>681</v>
      </c>
      <c r="N1319" s="5">
        <v>30832968</v>
      </c>
      <c r="O1319" s="5">
        <v>140973</v>
      </c>
      <c r="P1319" s="5">
        <v>26785</v>
      </c>
      <c r="Q1319" s="5">
        <v>167758</v>
      </c>
    </row>
    <row r="1320" spans="1:17" x14ac:dyDescent="0.25">
      <c r="A1320" t="s">
        <v>496</v>
      </c>
      <c r="B1320" t="s">
        <v>502</v>
      </c>
      <c r="C1320">
        <v>96843130</v>
      </c>
      <c r="D1320">
        <v>1</v>
      </c>
      <c r="E1320">
        <v>4500461389</v>
      </c>
      <c r="F1320" t="s">
        <v>658</v>
      </c>
      <c r="G1320" s="1">
        <v>45229</v>
      </c>
      <c r="H1320">
        <v>5409861</v>
      </c>
      <c r="I1320">
        <v>394</v>
      </c>
      <c r="J1320" t="s">
        <v>224</v>
      </c>
      <c r="K1320" s="8" t="s">
        <v>742</v>
      </c>
      <c r="L1320" s="4" t="s">
        <v>6</v>
      </c>
      <c r="M1320" t="s">
        <v>681</v>
      </c>
      <c r="N1320" s="5">
        <v>30832982</v>
      </c>
      <c r="O1320" s="5">
        <v>11010</v>
      </c>
      <c r="P1320" s="5">
        <v>2092</v>
      </c>
      <c r="Q1320" s="5">
        <v>13102</v>
      </c>
    </row>
    <row r="1321" spans="1:17" x14ac:dyDescent="0.25">
      <c r="A1321" t="s">
        <v>496</v>
      </c>
      <c r="B1321" t="s">
        <v>502</v>
      </c>
      <c r="C1321">
        <v>96843130</v>
      </c>
      <c r="D1321">
        <v>1</v>
      </c>
      <c r="E1321">
        <v>4500461493</v>
      </c>
      <c r="F1321" t="s">
        <v>658</v>
      </c>
      <c r="G1321" s="1">
        <v>45229</v>
      </c>
      <c r="H1321">
        <v>5409862</v>
      </c>
      <c r="I1321">
        <v>394</v>
      </c>
      <c r="J1321" t="s">
        <v>224</v>
      </c>
      <c r="K1321" s="8" t="s">
        <v>742</v>
      </c>
      <c r="L1321" s="4" t="s">
        <v>6</v>
      </c>
      <c r="M1321" t="s">
        <v>681</v>
      </c>
      <c r="N1321" s="5">
        <v>30832993</v>
      </c>
      <c r="O1321" s="5">
        <v>1842</v>
      </c>
      <c r="P1321" s="5">
        <v>350</v>
      </c>
      <c r="Q1321" s="5">
        <v>2192</v>
      </c>
    </row>
    <row r="1322" spans="1:17" x14ac:dyDescent="0.25">
      <c r="A1322" t="s">
        <v>496</v>
      </c>
      <c r="B1322" t="s">
        <v>502</v>
      </c>
      <c r="C1322">
        <v>96843130</v>
      </c>
      <c r="D1322">
        <v>1</v>
      </c>
      <c r="E1322">
        <v>4500460553</v>
      </c>
      <c r="F1322" t="s">
        <v>658</v>
      </c>
      <c r="G1322" s="1">
        <v>45229</v>
      </c>
      <c r="H1322">
        <v>5409863</v>
      </c>
      <c r="I1322">
        <v>394</v>
      </c>
      <c r="J1322" t="s">
        <v>224</v>
      </c>
      <c r="K1322" s="8" t="s">
        <v>742</v>
      </c>
      <c r="L1322" s="4" t="s">
        <v>6</v>
      </c>
      <c r="M1322" t="s">
        <v>681</v>
      </c>
      <c r="N1322" s="5">
        <v>30833005</v>
      </c>
      <c r="O1322" s="5">
        <v>18570</v>
      </c>
      <c r="P1322" s="5">
        <v>3528</v>
      </c>
      <c r="Q1322" s="5">
        <v>22098</v>
      </c>
    </row>
    <row r="1323" spans="1:17" x14ac:dyDescent="0.25">
      <c r="A1323" t="s">
        <v>496</v>
      </c>
      <c r="B1323" t="s">
        <v>502</v>
      </c>
      <c r="C1323">
        <v>96843130</v>
      </c>
      <c r="D1323">
        <v>1</v>
      </c>
      <c r="E1323">
        <v>4500460570</v>
      </c>
      <c r="F1323" t="s">
        <v>658</v>
      </c>
      <c r="G1323" s="1">
        <v>45229</v>
      </c>
      <c r="H1323">
        <v>5409864</v>
      </c>
      <c r="I1323">
        <v>394</v>
      </c>
      <c r="J1323" t="s">
        <v>224</v>
      </c>
      <c r="K1323" s="8" t="s">
        <v>742</v>
      </c>
      <c r="L1323" s="4" t="s">
        <v>6</v>
      </c>
      <c r="M1323" t="s">
        <v>681</v>
      </c>
      <c r="N1323" s="5">
        <v>30833021</v>
      </c>
      <c r="O1323" s="5">
        <v>22056</v>
      </c>
      <c r="P1323" s="5">
        <v>4191</v>
      </c>
      <c r="Q1323" s="5">
        <v>26247</v>
      </c>
    </row>
    <row r="1324" spans="1:17" x14ac:dyDescent="0.25">
      <c r="A1324" t="s">
        <v>496</v>
      </c>
      <c r="B1324" t="s">
        <v>502</v>
      </c>
      <c r="C1324">
        <v>96843130</v>
      </c>
      <c r="D1324">
        <v>1</v>
      </c>
      <c r="E1324">
        <v>4500461340</v>
      </c>
      <c r="F1324" t="s">
        <v>658</v>
      </c>
      <c r="G1324" s="1">
        <v>45229</v>
      </c>
      <c r="H1324">
        <v>5409865</v>
      </c>
      <c r="I1324">
        <v>394</v>
      </c>
      <c r="J1324" t="s">
        <v>224</v>
      </c>
      <c r="K1324" s="8" t="s">
        <v>742</v>
      </c>
      <c r="L1324" s="4" t="s">
        <v>6</v>
      </c>
      <c r="M1324" t="s">
        <v>681</v>
      </c>
      <c r="N1324" s="5">
        <v>30833051</v>
      </c>
      <c r="O1324" s="5">
        <v>5430</v>
      </c>
      <c r="P1324" s="5">
        <v>1032</v>
      </c>
      <c r="Q1324" s="5">
        <v>6462</v>
      </c>
    </row>
    <row r="1325" spans="1:17" x14ac:dyDescent="0.25">
      <c r="A1325" t="s">
        <v>496</v>
      </c>
      <c r="B1325" t="s">
        <v>502</v>
      </c>
      <c r="C1325">
        <v>96843130</v>
      </c>
      <c r="D1325">
        <v>1</v>
      </c>
      <c r="E1325">
        <v>4500461343</v>
      </c>
      <c r="F1325" t="s">
        <v>658</v>
      </c>
      <c r="G1325" s="1">
        <v>45229</v>
      </c>
      <c r="H1325">
        <v>5409866</v>
      </c>
      <c r="I1325">
        <v>394</v>
      </c>
      <c r="J1325" t="s">
        <v>224</v>
      </c>
      <c r="K1325" s="8" t="s">
        <v>742</v>
      </c>
      <c r="L1325" s="4" t="s">
        <v>6</v>
      </c>
      <c r="M1325" t="s">
        <v>681</v>
      </c>
      <c r="N1325" s="5">
        <v>30833070</v>
      </c>
      <c r="O1325" s="5">
        <v>12522</v>
      </c>
      <c r="P1325" s="5">
        <v>2379</v>
      </c>
      <c r="Q1325" s="5">
        <v>14901</v>
      </c>
    </row>
    <row r="1326" spans="1:17" x14ac:dyDescent="0.25">
      <c r="A1326" t="s">
        <v>496</v>
      </c>
      <c r="B1326" t="s">
        <v>502</v>
      </c>
      <c r="C1326">
        <v>96843130</v>
      </c>
      <c r="D1326">
        <v>1</v>
      </c>
      <c r="E1326">
        <v>4500461401</v>
      </c>
      <c r="F1326" t="s">
        <v>658</v>
      </c>
      <c r="G1326" s="1">
        <v>45229</v>
      </c>
      <c r="H1326">
        <v>5409867</v>
      </c>
      <c r="I1326">
        <v>394</v>
      </c>
      <c r="J1326" t="s">
        <v>224</v>
      </c>
      <c r="K1326" s="8" t="s">
        <v>742</v>
      </c>
      <c r="L1326" s="4" t="s">
        <v>6</v>
      </c>
      <c r="M1326" t="s">
        <v>681</v>
      </c>
      <c r="N1326" s="5">
        <v>30833089</v>
      </c>
      <c r="O1326" s="5">
        <v>13644</v>
      </c>
      <c r="P1326" s="5">
        <v>2592</v>
      </c>
      <c r="Q1326" s="5">
        <v>16236</v>
      </c>
    </row>
    <row r="1327" spans="1:17" x14ac:dyDescent="0.25">
      <c r="A1327" t="s">
        <v>496</v>
      </c>
      <c r="B1327" t="s">
        <v>502</v>
      </c>
      <c r="C1327">
        <v>96843130</v>
      </c>
      <c r="D1327">
        <v>1</v>
      </c>
      <c r="E1327">
        <v>4500461553</v>
      </c>
      <c r="F1327" t="s">
        <v>658</v>
      </c>
      <c r="G1327" s="1">
        <v>45229</v>
      </c>
      <c r="H1327">
        <v>5409868</v>
      </c>
      <c r="I1327">
        <v>394</v>
      </c>
      <c r="J1327" t="s">
        <v>224</v>
      </c>
      <c r="K1327" s="8" t="s">
        <v>742</v>
      </c>
      <c r="L1327" s="4" t="s">
        <v>6</v>
      </c>
      <c r="M1327" t="s">
        <v>681</v>
      </c>
      <c r="N1327" s="5">
        <v>30833277</v>
      </c>
      <c r="O1327" s="5">
        <v>192690</v>
      </c>
      <c r="P1327" s="5">
        <v>36611</v>
      </c>
      <c r="Q1327" s="5">
        <v>229301</v>
      </c>
    </row>
    <row r="1328" spans="1:17" x14ac:dyDescent="0.25">
      <c r="A1328" t="s">
        <v>496</v>
      </c>
      <c r="B1328" t="s">
        <v>502</v>
      </c>
      <c r="C1328">
        <v>96843130</v>
      </c>
      <c r="D1328">
        <v>1</v>
      </c>
      <c r="E1328">
        <v>4500460744</v>
      </c>
      <c r="F1328" t="s">
        <v>658</v>
      </c>
      <c r="G1328" s="1">
        <v>45229</v>
      </c>
      <c r="H1328">
        <v>5409869</v>
      </c>
      <c r="I1328">
        <v>394</v>
      </c>
      <c r="J1328" t="s">
        <v>224</v>
      </c>
      <c r="K1328" s="8" t="s">
        <v>742</v>
      </c>
      <c r="L1328" s="4" t="s">
        <v>6</v>
      </c>
      <c r="M1328" t="s">
        <v>681</v>
      </c>
      <c r="N1328" s="5">
        <v>30833339</v>
      </c>
      <c r="O1328" s="5">
        <v>4416</v>
      </c>
      <c r="P1328" s="5">
        <v>839</v>
      </c>
      <c r="Q1328" s="5">
        <v>5255</v>
      </c>
    </row>
    <row r="1329" spans="1:17" x14ac:dyDescent="0.25">
      <c r="A1329" t="s">
        <v>496</v>
      </c>
      <c r="B1329" t="s">
        <v>502</v>
      </c>
      <c r="C1329">
        <v>96843130</v>
      </c>
      <c r="D1329">
        <v>1</v>
      </c>
      <c r="E1329">
        <v>4500460968</v>
      </c>
      <c r="F1329" t="s">
        <v>658</v>
      </c>
      <c r="G1329" s="1">
        <v>45229</v>
      </c>
      <c r="H1329">
        <v>5409870</v>
      </c>
      <c r="I1329">
        <v>394</v>
      </c>
      <c r="J1329" t="s">
        <v>224</v>
      </c>
      <c r="K1329" s="8" t="s">
        <v>742</v>
      </c>
      <c r="L1329" s="4" t="s">
        <v>6</v>
      </c>
      <c r="M1329" t="s">
        <v>681</v>
      </c>
      <c r="N1329" s="5">
        <v>30833502</v>
      </c>
      <c r="O1329" s="5">
        <v>29268</v>
      </c>
      <c r="P1329" s="5">
        <v>5561</v>
      </c>
      <c r="Q1329" s="5">
        <v>34829</v>
      </c>
    </row>
    <row r="1330" spans="1:17" x14ac:dyDescent="0.25">
      <c r="A1330" t="s">
        <v>496</v>
      </c>
      <c r="B1330" t="s">
        <v>502</v>
      </c>
      <c r="C1330">
        <v>96843130</v>
      </c>
      <c r="D1330">
        <v>1</v>
      </c>
      <c r="E1330">
        <v>4500460584</v>
      </c>
      <c r="F1330" t="s">
        <v>658</v>
      </c>
      <c r="G1330" s="1">
        <v>45229</v>
      </c>
      <c r="H1330">
        <v>5409871</v>
      </c>
      <c r="I1330">
        <v>394</v>
      </c>
      <c r="J1330" t="s">
        <v>224</v>
      </c>
      <c r="K1330" s="8" t="s">
        <v>742</v>
      </c>
      <c r="L1330" s="4" t="s">
        <v>6</v>
      </c>
      <c r="M1330" t="s">
        <v>681</v>
      </c>
      <c r="N1330" s="5">
        <v>30833691</v>
      </c>
      <c r="O1330" s="5">
        <v>28426</v>
      </c>
      <c r="P1330" s="5">
        <v>5401</v>
      </c>
      <c r="Q1330" s="5">
        <v>33827</v>
      </c>
    </row>
    <row r="1331" spans="1:17" x14ac:dyDescent="0.25">
      <c r="A1331" t="s">
        <v>496</v>
      </c>
      <c r="B1331" t="s">
        <v>502</v>
      </c>
      <c r="C1331">
        <v>96843130</v>
      </c>
      <c r="D1331">
        <v>1</v>
      </c>
      <c r="E1331">
        <v>4500461307</v>
      </c>
      <c r="F1331" t="s">
        <v>658</v>
      </c>
      <c r="G1331" s="1">
        <v>45229</v>
      </c>
      <c r="H1331">
        <v>5409872</v>
      </c>
      <c r="I1331">
        <v>394</v>
      </c>
      <c r="J1331" t="s">
        <v>224</v>
      </c>
      <c r="K1331" s="8" t="s">
        <v>742</v>
      </c>
      <c r="L1331" s="4" t="s">
        <v>6</v>
      </c>
      <c r="M1331" t="s">
        <v>681</v>
      </c>
      <c r="N1331" s="5">
        <v>30833694</v>
      </c>
      <c r="O1331" s="5">
        <v>250793</v>
      </c>
      <c r="P1331" s="5">
        <v>47651</v>
      </c>
      <c r="Q1331" s="5">
        <v>298444</v>
      </c>
    </row>
    <row r="1332" spans="1:17" x14ac:dyDescent="0.25">
      <c r="A1332" t="s">
        <v>496</v>
      </c>
      <c r="B1332" t="s">
        <v>502</v>
      </c>
      <c r="C1332">
        <v>96843130</v>
      </c>
      <c r="D1332">
        <v>1</v>
      </c>
      <c r="E1332">
        <v>4500460874</v>
      </c>
      <c r="F1332" t="s">
        <v>658</v>
      </c>
      <c r="G1332" s="1">
        <v>45229</v>
      </c>
      <c r="H1332">
        <v>5409873</v>
      </c>
      <c r="I1332">
        <v>394</v>
      </c>
      <c r="J1332" t="s">
        <v>224</v>
      </c>
      <c r="K1332" s="8" t="s">
        <v>742</v>
      </c>
      <c r="L1332" s="4" t="s">
        <v>6</v>
      </c>
      <c r="M1332" t="s">
        <v>681</v>
      </c>
      <c r="N1332" s="5">
        <v>30833711</v>
      </c>
      <c r="O1332" s="5">
        <v>47349</v>
      </c>
      <c r="P1332" s="5">
        <v>8996</v>
      </c>
      <c r="Q1332" s="5">
        <v>56345</v>
      </c>
    </row>
    <row r="1333" spans="1:17" x14ac:dyDescent="0.25">
      <c r="A1333" t="s">
        <v>496</v>
      </c>
      <c r="B1333" t="s">
        <v>502</v>
      </c>
      <c r="C1333">
        <v>96843130</v>
      </c>
      <c r="D1333">
        <v>1</v>
      </c>
      <c r="E1333">
        <v>4500461183</v>
      </c>
      <c r="F1333" t="s">
        <v>658</v>
      </c>
      <c r="G1333" s="1">
        <v>45229</v>
      </c>
      <c r="H1333">
        <v>5409874</v>
      </c>
      <c r="I1333">
        <v>394</v>
      </c>
      <c r="J1333" t="s">
        <v>224</v>
      </c>
      <c r="K1333" s="8" t="s">
        <v>742</v>
      </c>
      <c r="L1333" s="4" t="s">
        <v>6</v>
      </c>
      <c r="M1333" t="s">
        <v>681</v>
      </c>
      <c r="N1333" s="5">
        <v>30833723</v>
      </c>
      <c r="O1333" s="5">
        <v>30420</v>
      </c>
      <c r="P1333" s="5">
        <v>5780</v>
      </c>
      <c r="Q1333" s="5">
        <v>36200</v>
      </c>
    </row>
    <row r="1334" spans="1:17" x14ac:dyDescent="0.25">
      <c r="A1334" t="s">
        <v>496</v>
      </c>
      <c r="B1334" t="s">
        <v>502</v>
      </c>
      <c r="C1334">
        <v>96843130</v>
      </c>
      <c r="D1334">
        <v>1</v>
      </c>
      <c r="E1334">
        <v>4500461366</v>
      </c>
      <c r="F1334" t="s">
        <v>658</v>
      </c>
      <c r="G1334" s="1">
        <v>45229</v>
      </c>
      <c r="H1334">
        <v>5409875</v>
      </c>
      <c r="I1334">
        <v>394</v>
      </c>
      <c r="J1334" t="s">
        <v>224</v>
      </c>
      <c r="K1334" s="8" t="s">
        <v>742</v>
      </c>
      <c r="L1334" s="4" t="s">
        <v>6</v>
      </c>
      <c r="M1334" t="s">
        <v>681</v>
      </c>
      <c r="N1334" s="5">
        <v>30833731</v>
      </c>
      <c r="O1334" s="5">
        <v>461326</v>
      </c>
      <c r="P1334" s="5">
        <v>87652</v>
      </c>
      <c r="Q1334" s="5">
        <v>548978</v>
      </c>
    </row>
    <row r="1335" spans="1:17" x14ac:dyDescent="0.25">
      <c r="A1335" t="s">
        <v>496</v>
      </c>
      <c r="B1335" t="s">
        <v>502</v>
      </c>
      <c r="C1335">
        <v>96843130</v>
      </c>
      <c r="D1335">
        <v>1</v>
      </c>
      <c r="E1335">
        <v>4500461514</v>
      </c>
      <c r="F1335" t="s">
        <v>658</v>
      </c>
      <c r="G1335" s="1">
        <v>45229</v>
      </c>
      <c r="H1335">
        <v>5409876</v>
      </c>
      <c r="I1335">
        <v>394</v>
      </c>
      <c r="J1335" t="s">
        <v>224</v>
      </c>
      <c r="K1335" s="8" t="s">
        <v>742</v>
      </c>
      <c r="L1335" s="4" t="s">
        <v>6</v>
      </c>
      <c r="M1335" t="s">
        <v>681</v>
      </c>
      <c r="N1335" s="5">
        <v>30833739</v>
      </c>
      <c r="O1335" s="5">
        <v>24000</v>
      </c>
      <c r="P1335" s="5">
        <v>4560</v>
      </c>
      <c r="Q1335" s="5">
        <v>28560</v>
      </c>
    </row>
    <row r="1336" spans="1:17" x14ac:dyDescent="0.25">
      <c r="A1336" t="s">
        <v>496</v>
      </c>
      <c r="B1336" t="s">
        <v>502</v>
      </c>
      <c r="C1336">
        <v>96843130</v>
      </c>
      <c r="D1336">
        <v>1</v>
      </c>
      <c r="E1336">
        <v>4500461688</v>
      </c>
      <c r="F1336" t="s">
        <v>658</v>
      </c>
      <c r="G1336" s="1">
        <v>45229</v>
      </c>
      <c r="H1336">
        <v>5409877</v>
      </c>
      <c r="I1336">
        <v>394</v>
      </c>
      <c r="J1336" t="s">
        <v>224</v>
      </c>
      <c r="K1336" s="8" t="s">
        <v>742</v>
      </c>
      <c r="L1336" s="4" t="s">
        <v>6</v>
      </c>
      <c r="M1336" t="s">
        <v>681</v>
      </c>
      <c r="N1336" s="5">
        <v>30833744</v>
      </c>
      <c r="O1336" s="5">
        <v>58440</v>
      </c>
      <c r="P1336" s="5">
        <v>11104</v>
      </c>
      <c r="Q1336" s="5">
        <v>69544</v>
      </c>
    </row>
    <row r="1337" spans="1:17" x14ac:dyDescent="0.25">
      <c r="A1337" t="s">
        <v>496</v>
      </c>
      <c r="B1337" t="s">
        <v>502</v>
      </c>
      <c r="C1337">
        <v>96843130</v>
      </c>
      <c r="D1337">
        <v>1</v>
      </c>
      <c r="E1337">
        <v>4500460525</v>
      </c>
      <c r="F1337" t="s">
        <v>658</v>
      </c>
      <c r="G1337" s="1">
        <v>45229</v>
      </c>
      <c r="H1337">
        <v>5409878</v>
      </c>
      <c r="I1337">
        <v>394</v>
      </c>
      <c r="J1337" t="s">
        <v>224</v>
      </c>
      <c r="K1337" s="8" t="s">
        <v>742</v>
      </c>
      <c r="L1337" s="4" t="s">
        <v>6</v>
      </c>
      <c r="M1337" t="s">
        <v>681</v>
      </c>
      <c r="N1337" s="5">
        <v>30833748</v>
      </c>
      <c r="O1337" s="5">
        <v>76821</v>
      </c>
      <c r="P1337" s="5">
        <v>14596</v>
      </c>
      <c r="Q1337" s="5">
        <v>91417</v>
      </c>
    </row>
    <row r="1338" spans="1:17" x14ac:dyDescent="0.25">
      <c r="A1338" t="s">
        <v>496</v>
      </c>
      <c r="B1338" t="s">
        <v>502</v>
      </c>
      <c r="C1338">
        <v>96843130</v>
      </c>
      <c r="D1338">
        <v>1</v>
      </c>
      <c r="E1338">
        <v>4500460427</v>
      </c>
      <c r="F1338" t="s">
        <v>658</v>
      </c>
      <c r="G1338" s="1">
        <v>45229</v>
      </c>
      <c r="H1338">
        <v>5409879</v>
      </c>
      <c r="I1338">
        <v>394</v>
      </c>
      <c r="J1338" t="s">
        <v>224</v>
      </c>
      <c r="K1338" s="8" t="s">
        <v>742</v>
      </c>
      <c r="L1338" s="4" t="s">
        <v>6</v>
      </c>
      <c r="M1338" t="s">
        <v>681</v>
      </c>
      <c r="N1338" s="5">
        <v>30833758</v>
      </c>
      <c r="O1338" s="5">
        <v>40866</v>
      </c>
      <c r="P1338" s="5">
        <v>7765</v>
      </c>
      <c r="Q1338" s="5">
        <v>48631</v>
      </c>
    </row>
    <row r="1339" spans="1:17" x14ac:dyDescent="0.25">
      <c r="A1339" t="s">
        <v>496</v>
      </c>
      <c r="B1339" t="s">
        <v>502</v>
      </c>
      <c r="C1339">
        <v>96843130</v>
      </c>
      <c r="D1339">
        <v>1</v>
      </c>
      <c r="E1339">
        <v>4500460733</v>
      </c>
      <c r="F1339" t="s">
        <v>658</v>
      </c>
      <c r="G1339" s="1">
        <v>45229</v>
      </c>
      <c r="H1339">
        <v>5409880</v>
      </c>
      <c r="I1339">
        <v>394</v>
      </c>
      <c r="J1339" t="s">
        <v>224</v>
      </c>
      <c r="K1339" s="8" t="s">
        <v>742</v>
      </c>
      <c r="L1339" s="4" t="s">
        <v>6</v>
      </c>
      <c r="M1339" t="s">
        <v>681</v>
      </c>
      <c r="N1339" s="5">
        <v>30833765</v>
      </c>
      <c r="O1339" s="5">
        <v>104400</v>
      </c>
      <c r="P1339" s="5">
        <v>19836</v>
      </c>
      <c r="Q1339" s="5">
        <v>124236</v>
      </c>
    </row>
    <row r="1340" spans="1:17" x14ac:dyDescent="0.25">
      <c r="A1340" t="s">
        <v>496</v>
      </c>
      <c r="B1340" t="s">
        <v>502</v>
      </c>
      <c r="C1340">
        <v>96843130</v>
      </c>
      <c r="D1340">
        <v>1</v>
      </c>
      <c r="E1340">
        <v>4500460609</v>
      </c>
      <c r="F1340" t="s">
        <v>658</v>
      </c>
      <c r="G1340" s="1">
        <v>45229</v>
      </c>
      <c r="H1340">
        <v>5409881</v>
      </c>
      <c r="I1340">
        <v>394</v>
      </c>
      <c r="J1340" t="s">
        <v>224</v>
      </c>
      <c r="K1340" s="8" t="s">
        <v>742</v>
      </c>
      <c r="L1340" s="4" t="s">
        <v>6</v>
      </c>
      <c r="M1340" t="s">
        <v>681</v>
      </c>
      <c r="N1340" s="5">
        <v>30834255</v>
      </c>
      <c r="O1340" s="5">
        <v>532027</v>
      </c>
      <c r="P1340" s="5">
        <v>101085</v>
      </c>
      <c r="Q1340" s="5">
        <v>633112</v>
      </c>
    </row>
    <row r="1341" spans="1:17" x14ac:dyDescent="0.25">
      <c r="A1341" t="s">
        <v>496</v>
      </c>
      <c r="B1341" t="s">
        <v>502</v>
      </c>
      <c r="C1341">
        <v>96843130</v>
      </c>
      <c r="D1341">
        <v>1</v>
      </c>
      <c r="E1341">
        <v>4500461477</v>
      </c>
      <c r="F1341" t="s">
        <v>658</v>
      </c>
      <c r="G1341" s="1">
        <v>45229</v>
      </c>
      <c r="H1341">
        <v>5409883</v>
      </c>
      <c r="I1341">
        <v>394</v>
      </c>
      <c r="J1341" t="s">
        <v>224</v>
      </c>
      <c r="K1341" s="8" t="s">
        <v>742</v>
      </c>
      <c r="L1341" s="4" t="s">
        <v>6</v>
      </c>
      <c r="M1341" t="s">
        <v>681</v>
      </c>
      <c r="N1341" s="5">
        <v>30836724</v>
      </c>
      <c r="O1341" s="5">
        <v>46752</v>
      </c>
      <c r="P1341" s="5">
        <v>8883</v>
      </c>
      <c r="Q1341" s="5">
        <v>55635</v>
      </c>
    </row>
    <row r="1342" spans="1:17" x14ac:dyDescent="0.25">
      <c r="A1342" t="s">
        <v>496</v>
      </c>
      <c r="B1342" t="s">
        <v>502</v>
      </c>
      <c r="C1342">
        <v>96843130</v>
      </c>
      <c r="D1342">
        <v>1</v>
      </c>
      <c r="E1342">
        <v>4500461385</v>
      </c>
      <c r="F1342" t="s">
        <v>658</v>
      </c>
      <c r="G1342" s="1">
        <v>45229</v>
      </c>
      <c r="H1342">
        <v>5409886</v>
      </c>
      <c r="I1342">
        <v>394</v>
      </c>
      <c r="J1342" t="s">
        <v>224</v>
      </c>
      <c r="K1342" s="8" t="s">
        <v>742</v>
      </c>
      <c r="L1342" s="4" t="s">
        <v>6</v>
      </c>
      <c r="M1342" t="s">
        <v>681</v>
      </c>
      <c r="N1342" s="5">
        <v>30836846</v>
      </c>
      <c r="O1342" s="5">
        <v>47280</v>
      </c>
      <c r="P1342" s="5">
        <v>8983</v>
      </c>
      <c r="Q1342" s="5">
        <v>56263</v>
      </c>
    </row>
    <row r="1343" spans="1:17" x14ac:dyDescent="0.25">
      <c r="A1343" t="s">
        <v>496</v>
      </c>
      <c r="B1343" t="s">
        <v>502</v>
      </c>
      <c r="C1343">
        <v>96843130</v>
      </c>
      <c r="D1343">
        <v>1</v>
      </c>
      <c r="E1343">
        <v>4500461782</v>
      </c>
      <c r="F1343" t="s">
        <v>658</v>
      </c>
      <c r="G1343" s="1">
        <v>45229</v>
      </c>
      <c r="H1343">
        <v>5409887</v>
      </c>
      <c r="I1343">
        <v>394</v>
      </c>
      <c r="J1343" t="s">
        <v>224</v>
      </c>
      <c r="K1343" s="8" t="s">
        <v>742</v>
      </c>
      <c r="L1343" s="4" t="s">
        <v>6</v>
      </c>
      <c r="M1343" t="s">
        <v>681</v>
      </c>
      <c r="N1343" s="5">
        <v>30836862</v>
      </c>
      <c r="O1343" s="5">
        <v>97818</v>
      </c>
      <c r="P1343" s="5">
        <v>18585</v>
      </c>
      <c r="Q1343" s="5">
        <v>116403</v>
      </c>
    </row>
    <row r="1344" spans="1:17" x14ac:dyDescent="0.25">
      <c r="A1344" t="s">
        <v>496</v>
      </c>
      <c r="B1344" t="s">
        <v>502</v>
      </c>
      <c r="C1344">
        <v>96843130</v>
      </c>
      <c r="D1344">
        <v>1</v>
      </c>
      <c r="E1344">
        <v>4500459989</v>
      </c>
      <c r="F1344" t="s">
        <v>658</v>
      </c>
      <c r="G1344" s="1">
        <v>45229</v>
      </c>
      <c r="H1344">
        <v>5409939</v>
      </c>
      <c r="I1344">
        <v>394</v>
      </c>
      <c r="J1344" t="s">
        <v>224</v>
      </c>
      <c r="K1344" s="8" t="s">
        <v>742</v>
      </c>
      <c r="L1344" s="4" t="s">
        <v>6</v>
      </c>
      <c r="M1344" t="s">
        <v>681</v>
      </c>
      <c r="N1344" s="5">
        <v>30835892</v>
      </c>
      <c r="O1344" s="5">
        <v>438875</v>
      </c>
      <c r="P1344" s="5">
        <v>83386</v>
      </c>
      <c r="Q1344" s="5">
        <v>522261</v>
      </c>
    </row>
    <row r="1345" spans="1:17" x14ac:dyDescent="0.25">
      <c r="A1345" t="s">
        <v>496</v>
      </c>
      <c r="B1345" t="s">
        <v>502</v>
      </c>
      <c r="C1345">
        <v>96843130</v>
      </c>
      <c r="D1345">
        <v>0</v>
      </c>
      <c r="E1345">
        <v>4500460619</v>
      </c>
      <c r="F1345" t="s">
        <v>658</v>
      </c>
      <c r="G1345" s="1">
        <v>45229</v>
      </c>
      <c r="H1345">
        <v>5409942</v>
      </c>
      <c r="I1345">
        <v>394</v>
      </c>
      <c r="J1345" t="s">
        <v>224</v>
      </c>
      <c r="K1345" s="8" t="s">
        <v>742</v>
      </c>
      <c r="L1345" s="4" t="s">
        <v>6</v>
      </c>
      <c r="M1345" t="s">
        <v>681</v>
      </c>
      <c r="N1345" s="5">
        <v>30833736</v>
      </c>
      <c r="O1345" s="5">
        <v>323012</v>
      </c>
      <c r="P1345" s="5">
        <v>61372</v>
      </c>
      <c r="Q1345" s="5">
        <v>384384</v>
      </c>
    </row>
    <row r="1346" spans="1:17" x14ac:dyDescent="0.25">
      <c r="A1346" t="s">
        <v>496</v>
      </c>
      <c r="B1346" t="s">
        <v>502</v>
      </c>
      <c r="C1346">
        <v>96843130</v>
      </c>
      <c r="D1346">
        <v>1</v>
      </c>
      <c r="E1346">
        <v>4500460811</v>
      </c>
      <c r="F1346" t="s">
        <v>658</v>
      </c>
      <c r="G1346" s="1">
        <v>45229</v>
      </c>
      <c r="H1346">
        <v>5410018</v>
      </c>
      <c r="I1346">
        <v>394</v>
      </c>
      <c r="J1346" t="s">
        <v>224</v>
      </c>
      <c r="K1346" s="8" t="s">
        <v>742</v>
      </c>
      <c r="L1346" s="4" t="s">
        <v>6</v>
      </c>
      <c r="M1346" t="s">
        <v>681</v>
      </c>
      <c r="N1346" s="5">
        <v>30829601</v>
      </c>
      <c r="O1346" s="5">
        <v>8755</v>
      </c>
      <c r="P1346" s="5">
        <v>1663</v>
      </c>
      <c r="Q1346" s="5">
        <v>10418</v>
      </c>
    </row>
    <row r="1347" spans="1:17" x14ac:dyDescent="0.25">
      <c r="A1347" t="s">
        <v>496</v>
      </c>
      <c r="B1347" t="s">
        <v>502</v>
      </c>
      <c r="C1347">
        <v>96843130</v>
      </c>
      <c r="D1347">
        <v>1</v>
      </c>
      <c r="E1347">
        <v>4500460794</v>
      </c>
      <c r="F1347" t="s">
        <v>658</v>
      </c>
      <c r="G1347" s="1">
        <v>45229</v>
      </c>
      <c r="H1347">
        <v>5410019</v>
      </c>
      <c r="I1347">
        <v>394</v>
      </c>
      <c r="J1347" t="s">
        <v>224</v>
      </c>
      <c r="K1347" s="8" t="s">
        <v>742</v>
      </c>
      <c r="L1347" s="4" t="s">
        <v>6</v>
      </c>
      <c r="M1347" t="s">
        <v>681</v>
      </c>
      <c r="N1347" s="5">
        <v>30833033</v>
      </c>
      <c r="O1347" s="5">
        <v>182572</v>
      </c>
      <c r="P1347" s="5">
        <v>34689</v>
      </c>
      <c r="Q1347" s="5">
        <v>217261</v>
      </c>
    </row>
    <row r="1348" spans="1:17" x14ac:dyDescent="0.25">
      <c r="A1348" t="s">
        <v>496</v>
      </c>
      <c r="B1348" t="s">
        <v>502</v>
      </c>
      <c r="C1348">
        <v>96843130</v>
      </c>
      <c r="D1348">
        <v>1</v>
      </c>
      <c r="E1348">
        <v>4500460954</v>
      </c>
      <c r="F1348" t="s">
        <v>658</v>
      </c>
      <c r="G1348" s="1">
        <v>45229</v>
      </c>
      <c r="H1348">
        <v>5410021</v>
      </c>
      <c r="I1348">
        <v>394</v>
      </c>
      <c r="J1348" t="s">
        <v>224</v>
      </c>
      <c r="K1348" s="8" t="s">
        <v>742</v>
      </c>
      <c r="L1348" s="4" t="s">
        <v>6</v>
      </c>
      <c r="M1348" t="s">
        <v>681</v>
      </c>
      <c r="N1348" s="5">
        <v>30833355</v>
      </c>
      <c r="O1348" s="5">
        <v>1828</v>
      </c>
      <c r="P1348" s="5">
        <v>347</v>
      </c>
      <c r="Q1348" s="5">
        <v>2175</v>
      </c>
    </row>
    <row r="1349" spans="1:17" x14ac:dyDescent="0.25">
      <c r="A1349" t="s">
        <v>496</v>
      </c>
      <c r="B1349" t="s">
        <v>502</v>
      </c>
      <c r="C1349">
        <v>96843130</v>
      </c>
      <c r="D1349">
        <v>1</v>
      </c>
      <c r="E1349">
        <v>4500461800</v>
      </c>
      <c r="F1349" t="s">
        <v>658</v>
      </c>
      <c r="G1349" s="1">
        <v>45229</v>
      </c>
      <c r="H1349">
        <v>5410039</v>
      </c>
      <c r="I1349">
        <v>394</v>
      </c>
      <c r="J1349" t="s">
        <v>224</v>
      </c>
      <c r="K1349" s="8" t="s">
        <v>742</v>
      </c>
      <c r="L1349" s="4" t="s">
        <v>6</v>
      </c>
      <c r="M1349" t="s">
        <v>681</v>
      </c>
      <c r="N1349" s="5">
        <v>30836870</v>
      </c>
      <c r="O1349" s="5">
        <v>7728</v>
      </c>
      <c r="P1349" s="5">
        <v>1468</v>
      </c>
      <c r="Q1349" s="5">
        <v>9196</v>
      </c>
    </row>
    <row r="1350" spans="1:17" x14ac:dyDescent="0.25">
      <c r="F1350" t="s">
        <v>805</v>
      </c>
      <c r="K1350" t="s">
        <v>681</v>
      </c>
      <c r="L1350" s="4"/>
      <c r="M1350" t="s">
        <v>681</v>
      </c>
      <c r="N1350" s="5"/>
      <c r="O1350" s="5">
        <v>4658977</v>
      </c>
      <c r="P1350" s="5">
        <v>885206</v>
      </c>
      <c r="Q1350" s="5">
        <v>5544183</v>
      </c>
    </row>
    <row r="1351" spans="1:17" x14ac:dyDescent="0.25">
      <c r="A1351" t="s">
        <v>496</v>
      </c>
      <c r="B1351" t="s">
        <v>502</v>
      </c>
      <c r="C1351">
        <v>96843140</v>
      </c>
      <c r="D1351">
        <v>1</v>
      </c>
      <c r="E1351">
        <v>4500458927</v>
      </c>
      <c r="F1351" t="s">
        <v>659</v>
      </c>
      <c r="G1351" s="1">
        <v>45215</v>
      </c>
      <c r="H1351">
        <v>5404712</v>
      </c>
      <c r="I1351">
        <v>394</v>
      </c>
      <c r="J1351" t="s">
        <v>224</v>
      </c>
      <c r="K1351" s="8" t="s">
        <v>742</v>
      </c>
      <c r="L1351" s="4" t="s">
        <v>6</v>
      </c>
      <c r="M1351" t="s">
        <v>681</v>
      </c>
      <c r="N1351" s="5">
        <v>30799189</v>
      </c>
      <c r="O1351" s="5">
        <v>286704</v>
      </c>
      <c r="P1351" s="5">
        <v>54474</v>
      </c>
      <c r="Q1351" s="5">
        <v>341178</v>
      </c>
    </row>
    <row r="1352" spans="1:17" x14ac:dyDescent="0.25">
      <c r="A1352" t="s">
        <v>496</v>
      </c>
      <c r="B1352" t="s">
        <v>502</v>
      </c>
      <c r="C1352">
        <v>96843140</v>
      </c>
      <c r="D1352">
        <v>1</v>
      </c>
      <c r="E1352">
        <v>4500459104</v>
      </c>
      <c r="F1352" t="s">
        <v>659</v>
      </c>
      <c r="G1352" s="1">
        <v>45215</v>
      </c>
      <c r="H1352">
        <v>5404933</v>
      </c>
      <c r="I1352">
        <v>394</v>
      </c>
      <c r="J1352" t="s">
        <v>224</v>
      </c>
      <c r="K1352" s="8" t="s">
        <v>742</v>
      </c>
      <c r="L1352" s="4" t="s">
        <v>6</v>
      </c>
      <c r="M1352" t="s">
        <v>681</v>
      </c>
      <c r="N1352" s="5">
        <v>30807614</v>
      </c>
      <c r="O1352" s="5">
        <v>121173</v>
      </c>
      <c r="P1352" s="5">
        <v>23023</v>
      </c>
      <c r="Q1352" s="5">
        <v>144196</v>
      </c>
    </row>
    <row r="1353" spans="1:17" x14ac:dyDescent="0.25">
      <c r="A1353" t="s">
        <v>496</v>
      </c>
      <c r="B1353" t="s">
        <v>502</v>
      </c>
      <c r="C1353">
        <v>96843140</v>
      </c>
      <c r="D1353">
        <v>3</v>
      </c>
      <c r="E1353">
        <v>4500459111</v>
      </c>
      <c r="F1353" t="s">
        <v>659</v>
      </c>
      <c r="G1353" s="1">
        <v>45217</v>
      </c>
      <c r="H1353">
        <v>5405928</v>
      </c>
      <c r="I1353">
        <v>394</v>
      </c>
      <c r="J1353" t="s">
        <v>224</v>
      </c>
      <c r="K1353" s="8" t="s">
        <v>742</v>
      </c>
      <c r="L1353" s="4" t="s">
        <v>6</v>
      </c>
      <c r="M1353" t="s">
        <v>681</v>
      </c>
      <c r="N1353" s="5">
        <v>30807571</v>
      </c>
      <c r="O1353" s="5">
        <v>24948</v>
      </c>
      <c r="P1353" s="5">
        <v>4740</v>
      </c>
      <c r="Q1353" s="5">
        <v>29688</v>
      </c>
    </row>
    <row r="1354" spans="1:17" x14ac:dyDescent="0.25">
      <c r="A1354" t="s">
        <v>496</v>
      </c>
      <c r="B1354" t="s">
        <v>502</v>
      </c>
      <c r="C1354">
        <v>96843140</v>
      </c>
      <c r="D1354">
        <v>4</v>
      </c>
      <c r="E1354">
        <v>4500460082</v>
      </c>
      <c r="F1354" t="s">
        <v>659</v>
      </c>
      <c r="G1354" s="1">
        <v>45217</v>
      </c>
      <c r="H1354">
        <v>5405993</v>
      </c>
      <c r="I1354">
        <v>394</v>
      </c>
      <c r="J1354" t="s">
        <v>224</v>
      </c>
      <c r="K1354" s="8" t="s">
        <v>742</v>
      </c>
      <c r="L1354" s="4" t="s">
        <v>6</v>
      </c>
      <c r="M1354" t="s">
        <v>681</v>
      </c>
      <c r="N1354" s="5">
        <v>30812679</v>
      </c>
      <c r="O1354" s="5">
        <v>133785</v>
      </c>
      <c r="P1354" s="5">
        <v>25419</v>
      </c>
      <c r="Q1354" s="5">
        <v>164309</v>
      </c>
    </row>
    <row r="1355" spans="1:17" x14ac:dyDescent="0.25">
      <c r="A1355" t="s">
        <v>496</v>
      </c>
      <c r="B1355" t="s">
        <v>502</v>
      </c>
      <c r="C1355">
        <v>96843140</v>
      </c>
      <c r="D1355">
        <v>4</v>
      </c>
      <c r="E1355">
        <v>4500460368</v>
      </c>
      <c r="F1355" t="s">
        <v>659</v>
      </c>
      <c r="G1355" s="1">
        <v>45217</v>
      </c>
      <c r="H1355">
        <v>5406097</v>
      </c>
      <c r="I1355">
        <v>394</v>
      </c>
      <c r="J1355" t="s">
        <v>224</v>
      </c>
      <c r="K1355" s="8" t="s">
        <v>742</v>
      </c>
      <c r="L1355" s="4" t="s">
        <v>6</v>
      </c>
      <c r="M1355" t="s">
        <v>681</v>
      </c>
      <c r="N1355" s="5">
        <v>30814499</v>
      </c>
      <c r="O1355" s="5">
        <v>29634</v>
      </c>
      <c r="P1355" s="5">
        <v>5630</v>
      </c>
      <c r="Q1355" s="5">
        <v>35264</v>
      </c>
    </row>
    <row r="1356" spans="1:17" x14ac:dyDescent="0.25">
      <c r="A1356" t="s">
        <v>496</v>
      </c>
      <c r="B1356" t="s">
        <v>502</v>
      </c>
      <c r="C1356">
        <v>96843140</v>
      </c>
      <c r="D1356">
        <v>0</v>
      </c>
      <c r="E1356">
        <v>4500458703</v>
      </c>
      <c r="F1356" t="s">
        <v>659</v>
      </c>
      <c r="G1356" s="1">
        <v>45217</v>
      </c>
      <c r="H1356">
        <v>5406144</v>
      </c>
      <c r="I1356">
        <v>394</v>
      </c>
      <c r="J1356" t="s">
        <v>224</v>
      </c>
      <c r="K1356" s="8" t="s">
        <v>742</v>
      </c>
      <c r="L1356" s="4" t="s">
        <v>6</v>
      </c>
      <c r="M1356" t="s">
        <v>681</v>
      </c>
      <c r="N1356" s="5">
        <v>30802989</v>
      </c>
      <c r="O1356" s="5">
        <v>160621</v>
      </c>
      <c r="P1356" s="5">
        <v>30518</v>
      </c>
      <c r="Q1356" s="5">
        <v>191139</v>
      </c>
    </row>
    <row r="1357" spans="1:17" x14ac:dyDescent="0.25">
      <c r="A1357" t="s">
        <v>496</v>
      </c>
      <c r="B1357" t="s">
        <v>502</v>
      </c>
      <c r="C1357">
        <v>96843140</v>
      </c>
      <c r="D1357">
        <v>0</v>
      </c>
      <c r="E1357">
        <v>4500459906</v>
      </c>
      <c r="F1357" t="s">
        <v>659</v>
      </c>
      <c r="G1357" s="1">
        <v>45217</v>
      </c>
      <c r="H1357">
        <v>5406153</v>
      </c>
      <c r="I1357">
        <v>394</v>
      </c>
      <c r="J1357" t="s">
        <v>224</v>
      </c>
      <c r="K1357" s="8" t="s">
        <v>742</v>
      </c>
      <c r="L1357" s="4" t="s">
        <v>6</v>
      </c>
      <c r="M1357" t="s">
        <v>681</v>
      </c>
      <c r="N1357" s="5">
        <v>30812715</v>
      </c>
      <c r="O1357" s="5">
        <v>103420</v>
      </c>
      <c r="P1357" s="5">
        <v>19650</v>
      </c>
      <c r="Q1357" s="5">
        <v>124920</v>
      </c>
    </row>
    <row r="1358" spans="1:17" x14ac:dyDescent="0.25">
      <c r="A1358" t="s">
        <v>496</v>
      </c>
      <c r="B1358" t="s">
        <v>502</v>
      </c>
      <c r="C1358">
        <v>96843140</v>
      </c>
      <c r="D1358">
        <v>0</v>
      </c>
      <c r="E1358">
        <v>4500460104</v>
      </c>
      <c r="F1358" t="s">
        <v>659</v>
      </c>
      <c r="G1358" s="1">
        <v>45217</v>
      </c>
      <c r="H1358">
        <v>5406154</v>
      </c>
      <c r="I1358">
        <v>394</v>
      </c>
      <c r="J1358" t="s">
        <v>224</v>
      </c>
      <c r="K1358" s="8" t="s">
        <v>742</v>
      </c>
      <c r="L1358" s="4" t="s">
        <v>6</v>
      </c>
      <c r="M1358" t="s">
        <v>681</v>
      </c>
      <c r="N1358" s="5">
        <v>30813261</v>
      </c>
      <c r="O1358" s="5">
        <v>18259</v>
      </c>
      <c r="P1358" s="5">
        <v>3469</v>
      </c>
      <c r="Q1358" s="5">
        <v>21728</v>
      </c>
    </row>
    <row r="1359" spans="1:17" x14ac:dyDescent="0.25">
      <c r="A1359" t="s">
        <v>496</v>
      </c>
      <c r="B1359" t="s">
        <v>502</v>
      </c>
      <c r="C1359">
        <v>96843140</v>
      </c>
      <c r="D1359">
        <v>0</v>
      </c>
      <c r="E1359">
        <v>4500460432</v>
      </c>
      <c r="F1359" t="s">
        <v>659</v>
      </c>
      <c r="G1359" s="1">
        <v>45217</v>
      </c>
      <c r="H1359">
        <v>5406156</v>
      </c>
      <c r="I1359">
        <v>394</v>
      </c>
      <c r="J1359" t="s">
        <v>224</v>
      </c>
      <c r="K1359" s="8" t="s">
        <v>742</v>
      </c>
      <c r="L1359" s="4" t="s">
        <v>6</v>
      </c>
      <c r="M1359" t="s">
        <v>681</v>
      </c>
      <c r="N1359" s="5">
        <v>30813286</v>
      </c>
      <c r="O1359" s="5">
        <v>293952</v>
      </c>
      <c r="P1359" s="5">
        <v>55851</v>
      </c>
      <c r="Q1359" s="5">
        <v>349803</v>
      </c>
    </row>
    <row r="1360" spans="1:17" x14ac:dyDescent="0.25">
      <c r="A1360" t="s">
        <v>496</v>
      </c>
      <c r="B1360" t="s">
        <v>502</v>
      </c>
      <c r="C1360">
        <v>96843140</v>
      </c>
      <c r="D1360">
        <v>4</v>
      </c>
      <c r="E1360">
        <v>4500460442</v>
      </c>
      <c r="F1360" t="s">
        <v>659</v>
      </c>
      <c r="G1360" s="1">
        <v>45218</v>
      </c>
      <c r="H1360">
        <v>5406676</v>
      </c>
      <c r="I1360">
        <v>394</v>
      </c>
      <c r="J1360" t="s">
        <v>224</v>
      </c>
      <c r="K1360" s="8" t="s">
        <v>742</v>
      </c>
      <c r="L1360" s="4" t="s">
        <v>6</v>
      </c>
      <c r="M1360" t="s">
        <v>681</v>
      </c>
      <c r="N1360" s="5">
        <v>30814915</v>
      </c>
      <c r="O1360" s="5">
        <v>23634</v>
      </c>
      <c r="P1360" s="5">
        <v>4490</v>
      </c>
      <c r="Q1360" s="5">
        <v>28124</v>
      </c>
    </row>
    <row r="1361" spans="1:17" x14ac:dyDescent="0.25">
      <c r="A1361" t="s">
        <v>496</v>
      </c>
      <c r="B1361" t="s">
        <v>502</v>
      </c>
      <c r="C1361">
        <v>96843140</v>
      </c>
      <c r="D1361">
        <v>3</v>
      </c>
      <c r="E1361">
        <v>4500459905</v>
      </c>
      <c r="F1361" t="s">
        <v>659</v>
      </c>
      <c r="G1361" s="1">
        <v>45218</v>
      </c>
      <c r="H1361">
        <v>5406697</v>
      </c>
      <c r="I1361">
        <v>394</v>
      </c>
      <c r="J1361" t="s">
        <v>224</v>
      </c>
      <c r="K1361" s="8" t="s">
        <v>742</v>
      </c>
      <c r="L1361" s="4" t="s">
        <v>6</v>
      </c>
      <c r="M1361" t="s">
        <v>681</v>
      </c>
      <c r="N1361" s="5">
        <v>30814991</v>
      </c>
      <c r="O1361" s="5">
        <v>18435</v>
      </c>
      <c r="P1361" s="5">
        <v>3503</v>
      </c>
      <c r="Q1361" s="5">
        <v>21938</v>
      </c>
    </row>
    <row r="1362" spans="1:17" x14ac:dyDescent="0.25">
      <c r="A1362" t="s">
        <v>496</v>
      </c>
      <c r="B1362" t="s">
        <v>502</v>
      </c>
      <c r="C1362">
        <v>96843140</v>
      </c>
      <c r="D1362">
        <v>3</v>
      </c>
      <c r="E1362">
        <v>4500460166</v>
      </c>
      <c r="F1362" t="s">
        <v>659</v>
      </c>
      <c r="G1362" s="1">
        <v>45218</v>
      </c>
      <c r="H1362">
        <v>5406709</v>
      </c>
      <c r="I1362">
        <v>394</v>
      </c>
      <c r="J1362" t="s">
        <v>224</v>
      </c>
      <c r="K1362" s="8" t="s">
        <v>742</v>
      </c>
      <c r="L1362" s="4" t="s">
        <v>6</v>
      </c>
      <c r="M1362" t="s">
        <v>681</v>
      </c>
      <c r="N1362" s="5">
        <v>30815030</v>
      </c>
      <c r="O1362" s="5">
        <v>78000</v>
      </c>
      <c r="P1362" s="5">
        <v>14820</v>
      </c>
      <c r="Q1362" s="5">
        <v>92820</v>
      </c>
    </row>
    <row r="1363" spans="1:17" x14ac:dyDescent="0.25">
      <c r="A1363" t="s">
        <v>496</v>
      </c>
      <c r="B1363" t="s">
        <v>502</v>
      </c>
      <c r="C1363">
        <v>96843140</v>
      </c>
      <c r="D1363">
        <v>1</v>
      </c>
      <c r="E1363">
        <v>4500453814</v>
      </c>
      <c r="F1363" t="s">
        <v>659</v>
      </c>
      <c r="G1363" s="1">
        <v>45222</v>
      </c>
      <c r="H1363">
        <v>5407703</v>
      </c>
      <c r="I1363">
        <v>394</v>
      </c>
      <c r="J1363" t="s">
        <v>224</v>
      </c>
      <c r="K1363" s="8" t="s">
        <v>742</v>
      </c>
      <c r="L1363" s="4" t="s">
        <v>6</v>
      </c>
      <c r="M1363" t="s">
        <v>681</v>
      </c>
      <c r="N1363" s="5">
        <v>30804978</v>
      </c>
      <c r="O1363" s="5">
        <v>57108</v>
      </c>
      <c r="P1363" s="5">
        <v>10851</v>
      </c>
      <c r="Q1363" s="5">
        <v>67959</v>
      </c>
    </row>
    <row r="1364" spans="1:17" x14ac:dyDescent="0.25">
      <c r="A1364" t="s">
        <v>496</v>
      </c>
      <c r="B1364" t="s">
        <v>502</v>
      </c>
      <c r="C1364">
        <v>96843140</v>
      </c>
      <c r="D1364">
        <v>1</v>
      </c>
      <c r="E1364">
        <v>4500459023</v>
      </c>
      <c r="F1364" t="s">
        <v>659</v>
      </c>
      <c r="G1364" s="1">
        <v>45222</v>
      </c>
      <c r="H1364">
        <v>5407710</v>
      </c>
      <c r="I1364">
        <v>394</v>
      </c>
      <c r="J1364" t="s">
        <v>224</v>
      </c>
      <c r="K1364" s="8" t="s">
        <v>742</v>
      </c>
      <c r="L1364" s="4" t="s">
        <v>6</v>
      </c>
      <c r="M1364" t="s">
        <v>681</v>
      </c>
      <c r="N1364" s="5">
        <v>30812134</v>
      </c>
      <c r="O1364" s="5">
        <v>13620</v>
      </c>
      <c r="P1364" s="5">
        <v>2588</v>
      </c>
      <c r="Q1364" s="5">
        <v>16208</v>
      </c>
    </row>
    <row r="1365" spans="1:17" x14ac:dyDescent="0.25">
      <c r="A1365" t="s">
        <v>496</v>
      </c>
      <c r="B1365" t="s">
        <v>502</v>
      </c>
      <c r="C1365">
        <v>96843140</v>
      </c>
      <c r="D1365">
        <v>1</v>
      </c>
      <c r="E1365">
        <v>4500459088</v>
      </c>
      <c r="F1365" t="s">
        <v>659</v>
      </c>
      <c r="G1365" s="1">
        <v>45222</v>
      </c>
      <c r="H1365">
        <v>5407713</v>
      </c>
      <c r="I1365">
        <v>394</v>
      </c>
      <c r="J1365" t="s">
        <v>224</v>
      </c>
      <c r="K1365" s="8" t="s">
        <v>742</v>
      </c>
      <c r="L1365" s="4" t="s">
        <v>6</v>
      </c>
      <c r="M1365" t="s">
        <v>681</v>
      </c>
      <c r="N1365" s="5">
        <v>30812192</v>
      </c>
      <c r="O1365" s="5">
        <v>782142</v>
      </c>
      <c r="P1365" s="5">
        <v>148607</v>
      </c>
      <c r="Q1365" s="5">
        <v>930749</v>
      </c>
    </row>
    <row r="1366" spans="1:17" x14ac:dyDescent="0.25">
      <c r="A1366" t="s">
        <v>496</v>
      </c>
      <c r="B1366" t="s">
        <v>502</v>
      </c>
      <c r="C1366">
        <v>96843140</v>
      </c>
      <c r="D1366">
        <v>1</v>
      </c>
      <c r="E1366">
        <v>4500459836</v>
      </c>
      <c r="F1366" t="s">
        <v>659</v>
      </c>
      <c r="G1366" s="1">
        <v>45222</v>
      </c>
      <c r="H1366">
        <v>5407717</v>
      </c>
      <c r="I1366">
        <v>394</v>
      </c>
      <c r="J1366" t="s">
        <v>224</v>
      </c>
      <c r="K1366" s="8" t="s">
        <v>742</v>
      </c>
      <c r="L1366" s="4" t="s">
        <v>6</v>
      </c>
      <c r="M1366" t="s">
        <v>681</v>
      </c>
      <c r="N1366" s="5">
        <v>30812874</v>
      </c>
      <c r="O1366" s="5">
        <v>32040</v>
      </c>
      <c r="P1366" s="5">
        <v>6088</v>
      </c>
      <c r="Q1366" s="5">
        <v>40461</v>
      </c>
    </row>
    <row r="1367" spans="1:17" x14ac:dyDescent="0.25">
      <c r="A1367" t="s">
        <v>496</v>
      </c>
      <c r="B1367" t="s">
        <v>502</v>
      </c>
      <c r="C1367">
        <v>96843140</v>
      </c>
      <c r="D1367">
        <v>1</v>
      </c>
      <c r="E1367">
        <v>4500459570</v>
      </c>
      <c r="F1367" t="s">
        <v>659</v>
      </c>
      <c r="G1367" s="1">
        <v>45222</v>
      </c>
      <c r="H1367">
        <v>5407719</v>
      </c>
      <c r="I1367">
        <v>394</v>
      </c>
      <c r="J1367" t="s">
        <v>224</v>
      </c>
      <c r="K1367" s="8" t="s">
        <v>742</v>
      </c>
      <c r="L1367" s="4" t="s">
        <v>6</v>
      </c>
      <c r="M1367" t="s">
        <v>681</v>
      </c>
      <c r="N1367" s="5">
        <v>30813184</v>
      </c>
      <c r="O1367" s="5">
        <v>12380</v>
      </c>
      <c r="P1367" s="5">
        <v>2352</v>
      </c>
      <c r="Q1367" s="5">
        <v>14732</v>
      </c>
    </row>
    <row r="1368" spans="1:17" x14ac:dyDescent="0.25">
      <c r="A1368" t="s">
        <v>496</v>
      </c>
      <c r="B1368" t="s">
        <v>502</v>
      </c>
      <c r="C1368">
        <v>96843140</v>
      </c>
      <c r="D1368">
        <v>1</v>
      </c>
      <c r="E1368">
        <v>4500459563</v>
      </c>
      <c r="F1368" t="s">
        <v>659</v>
      </c>
      <c r="G1368" s="1">
        <v>45222</v>
      </c>
      <c r="H1368">
        <v>5407720</v>
      </c>
      <c r="I1368">
        <v>394</v>
      </c>
      <c r="J1368" t="s">
        <v>224</v>
      </c>
      <c r="K1368" s="8" t="s">
        <v>742</v>
      </c>
      <c r="L1368" s="4" t="s">
        <v>6</v>
      </c>
      <c r="M1368" t="s">
        <v>681</v>
      </c>
      <c r="N1368" s="5">
        <v>30813203</v>
      </c>
      <c r="O1368" s="5">
        <v>289768</v>
      </c>
      <c r="P1368" s="5">
        <v>55056</v>
      </c>
      <c r="Q1368" s="5">
        <v>344824</v>
      </c>
    </row>
    <row r="1369" spans="1:17" x14ac:dyDescent="0.25">
      <c r="A1369" t="s">
        <v>496</v>
      </c>
      <c r="B1369" t="s">
        <v>502</v>
      </c>
      <c r="C1369">
        <v>96843140</v>
      </c>
      <c r="D1369">
        <v>1</v>
      </c>
      <c r="E1369">
        <v>4500459403</v>
      </c>
      <c r="F1369" t="s">
        <v>659</v>
      </c>
      <c r="G1369" s="1">
        <v>45222</v>
      </c>
      <c r="H1369">
        <v>5407721</v>
      </c>
      <c r="I1369">
        <v>394</v>
      </c>
      <c r="J1369" t="s">
        <v>224</v>
      </c>
      <c r="K1369" s="8" t="s">
        <v>742</v>
      </c>
      <c r="L1369" s="4" t="s">
        <v>6</v>
      </c>
      <c r="M1369" t="s">
        <v>681</v>
      </c>
      <c r="N1369" s="5">
        <v>30813227</v>
      </c>
      <c r="O1369" s="5">
        <v>526256</v>
      </c>
      <c r="P1369" s="5">
        <v>99989</v>
      </c>
      <c r="Q1369" s="5">
        <v>626245</v>
      </c>
    </row>
    <row r="1370" spans="1:17" x14ac:dyDescent="0.25">
      <c r="A1370" t="s">
        <v>496</v>
      </c>
      <c r="B1370" t="s">
        <v>502</v>
      </c>
      <c r="C1370">
        <v>96843140</v>
      </c>
      <c r="D1370">
        <v>1</v>
      </c>
      <c r="E1370">
        <v>4500460240</v>
      </c>
      <c r="F1370" t="s">
        <v>659</v>
      </c>
      <c r="G1370" s="1">
        <v>45222</v>
      </c>
      <c r="H1370">
        <v>5407725</v>
      </c>
      <c r="I1370">
        <v>394</v>
      </c>
      <c r="J1370" t="s">
        <v>224</v>
      </c>
      <c r="K1370" s="8" t="s">
        <v>742</v>
      </c>
      <c r="L1370" s="4" t="s">
        <v>6</v>
      </c>
      <c r="M1370" t="s">
        <v>681</v>
      </c>
      <c r="N1370" s="5">
        <v>30814143</v>
      </c>
      <c r="O1370" s="5">
        <v>38876</v>
      </c>
      <c r="P1370" s="5">
        <v>7386</v>
      </c>
      <c r="Q1370" s="5">
        <v>46262</v>
      </c>
    </row>
    <row r="1371" spans="1:17" x14ac:dyDescent="0.25">
      <c r="A1371" t="s">
        <v>496</v>
      </c>
      <c r="B1371" t="s">
        <v>502</v>
      </c>
      <c r="C1371">
        <v>96843140</v>
      </c>
      <c r="D1371">
        <v>1</v>
      </c>
      <c r="E1371">
        <v>4500460434</v>
      </c>
      <c r="F1371" t="s">
        <v>659</v>
      </c>
      <c r="G1371" s="1">
        <v>45222</v>
      </c>
      <c r="H1371">
        <v>5407732</v>
      </c>
      <c r="I1371">
        <v>394</v>
      </c>
      <c r="J1371" t="s">
        <v>224</v>
      </c>
      <c r="K1371" s="8" t="s">
        <v>742</v>
      </c>
      <c r="L1371" s="4" t="s">
        <v>6</v>
      </c>
      <c r="M1371" t="s">
        <v>681</v>
      </c>
      <c r="N1371" s="5">
        <v>30814880</v>
      </c>
      <c r="O1371" s="5">
        <v>8000</v>
      </c>
      <c r="P1371" s="5">
        <v>1520</v>
      </c>
      <c r="Q1371" s="5">
        <v>9520</v>
      </c>
    </row>
    <row r="1372" spans="1:17" x14ac:dyDescent="0.25">
      <c r="A1372" t="s">
        <v>496</v>
      </c>
      <c r="B1372" t="s">
        <v>502</v>
      </c>
      <c r="C1372">
        <v>96843140</v>
      </c>
      <c r="D1372">
        <v>1</v>
      </c>
      <c r="E1372">
        <v>4500460445</v>
      </c>
      <c r="F1372" t="s">
        <v>659</v>
      </c>
      <c r="G1372" s="1">
        <v>45222</v>
      </c>
      <c r="H1372">
        <v>5407737</v>
      </c>
      <c r="I1372">
        <v>394</v>
      </c>
      <c r="J1372" t="s">
        <v>224</v>
      </c>
      <c r="K1372" s="8" t="s">
        <v>742</v>
      </c>
      <c r="L1372" s="4" t="s">
        <v>6</v>
      </c>
      <c r="M1372" t="s">
        <v>681</v>
      </c>
      <c r="N1372" s="5">
        <v>30815904</v>
      </c>
      <c r="O1372" s="5">
        <v>73827</v>
      </c>
      <c r="P1372" s="5">
        <v>14027</v>
      </c>
      <c r="Q1372" s="5">
        <v>87854</v>
      </c>
    </row>
    <row r="1373" spans="1:17" x14ac:dyDescent="0.25">
      <c r="A1373" t="s">
        <v>496</v>
      </c>
      <c r="B1373" t="s">
        <v>502</v>
      </c>
      <c r="C1373">
        <v>96843140</v>
      </c>
      <c r="D1373">
        <v>1</v>
      </c>
      <c r="E1373">
        <v>4500460462</v>
      </c>
      <c r="F1373" t="s">
        <v>659</v>
      </c>
      <c r="G1373" s="1">
        <v>45222</v>
      </c>
      <c r="H1373">
        <v>5407738</v>
      </c>
      <c r="I1373">
        <v>394</v>
      </c>
      <c r="J1373" t="s">
        <v>224</v>
      </c>
      <c r="K1373" s="8" t="s">
        <v>742</v>
      </c>
      <c r="L1373" s="4" t="s">
        <v>6</v>
      </c>
      <c r="M1373" t="s">
        <v>681</v>
      </c>
      <c r="N1373" s="5">
        <v>30815924</v>
      </c>
      <c r="O1373" s="5">
        <v>424074</v>
      </c>
      <c r="P1373" s="5">
        <v>80574</v>
      </c>
      <c r="Q1373" s="5">
        <v>504648</v>
      </c>
    </row>
    <row r="1374" spans="1:17" x14ac:dyDescent="0.25">
      <c r="A1374" t="s">
        <v>496</v>
      </c>
      <c r="B1374" t="s">
        <v>502</v>
      </c>
      <c r="C1374">
        <v>96843140</v>
      </c>
      <c r="D1374">
        <v>1</v>
      </c>
      <c r="E1374">
        <v>4500459667</v>
      </c>
      <c r="F1374" t="s">
        <v>659</v>
      </c>
      <c r="G1374" s="1">
        <v>45222</v>
      </c>
      <c r="H1374">
        <v>5407742</v>
      </c>
      <c r="I1374">
        <v>394</v>
      </c>
      <c r="J1374" t="s">
        <v>224</v>
      </c>
      <c r="K1374" s="8" t="s">
        <v>742</v>
      </c>
      <c r="L1374" s="4" t="s">
        <v>6</v>
      </c>
      <c r="M1374" t="s">
        <v>681</v>
      </c>
      <c r="N1374" s="5">
        <v>30818932</v>
      </c>
      <c r="O1374" s="5">
        <v>89168</v>
      </c>
      <c r="P1374" s="5">
        <v>16942</v>
      </c>
      <c r="Q1374" s="5">
        <v>106110</v>
      </c>
    </row>
    <row r="1375" spans="1:17" x14ac:dyDescent="0.25">
      <c r="A1375" t="s">
        <v>496</v>
      </c>
      <c r="B1375" t="s">
        <v>502</v>
      </c>
      <c r="C1375">
        <v>96843140</v>
      </c>
      <c r="D1375">
        <v>3</v>
      </c>
      <c r="E1375">
        <v>4500461112</v>
      </c>
      <c r="F1375" t="s">
        <v>659</v>
      </c>
      <c r="G1375" s="1">
        <v>45223</v>
      </c>
      <c r="H1375">
        <v>5408256</v>
      </c>
      <c r="I1375">
        <v>394</v>
      </c>
      <c r="J1375" t="s">
        <v>224</v>
      </c>
      <c r="K1375" s="8" t="s">
        <v>742</v>
      </c>
      <c r="L1375" s="4" t="s">
        <v>6</v>
      </c>
      <c r="M1375" t="s">
        <v>681</v>
      </c>
      <c r="N1375" s="5">
        <v>30825199</v>
      </c>
      <c r="O1375" s="5">
        <v>21764</v>
      </c>
      <c r="P1375" s="5">
        <v>4135</v>
      </c>
      <c r="Q1375" s="5">
        <v>25899</v>
      </c>
    </row>
    <row r="1376" spans="1:17" x14ac:dyDescent="0.25">
      <c r="A1376" t="s">
        <v>496</v>
      </c>
      <c r="B1376" t="s">
        <v>502</v>
      </c>
      <c r="C1376">
        <v>96843140</v>
      </c>
      <c r="D1376">
        <v>4</v>
      </c>
      <c r="E1376">
        <v>4500461094</v>
      </c>
      <c r="F1376" t="s">
        <v>659</v>
      </c>
      <c r="G1376" s="1">
        <v>45223</v>
      </c>
      <c r="H1376">
        <v>5408258</v>
      </c>
      <c r="I1376">
        <v>394</v>
      </c>
      <c r="J1376" t="s">
        <v>224</v>
      </c>
      <c r="K1376" s="8" t="s">
        <v>742</v>
      </c>
      <c r="L1376" s="4" t="s">
        <v>6</v>
      </c>
      <c r="M1376" t="s">
        <v>681</v>
      </c>
      <c r="N1376" s="5">
        <v>30825182</v>
      </c>
      <c r="O1376" s="5">
        <v>140046</v>
      </c>
      <c r="P1376" s="5">
        <v>26609</v>
      </c>
      <c r="Q1376" s="5">
        <v>166655</v>
      </c>
    </row>
    <row r="1377" spans="1:17" x14ac:dyDescent="0.25">
      <c r="A1377" t="s">
        <v>496</v>
      </c>
      <c r="B1377" t="s">
        <v>502</v>
      </c>
      <c r="C1377">
        <v>96843140</v>
      </c>
      <c r="D1377">
        <v>3</v>
      </c>
      <c r="E1377">
        <v>4500461201</v>
      </c>
      <c r="F1377" t="s">
        <v>659</v>
      </c>
      <c r="G1377" s="1">
        <v>45229</v>
      </c>
      <c r="H1377">
        <v>5409643</v>
      </c>
      <c r="I1377">
        <v>394</v>
      </c>
      <c r="J1377" t="s">
        <v>224</v>
      </c>
      <c r="K1377" s="8" t="s">
        <v>742</v>
      </c>
      <c r="L1377" s="4" t="s">
        <v>6</v>
      </c>
      <c r="M1377" t="s">
        <v>681</v>
      </c>
      <c r="N1377" s="5">
        <v>30833185</v>
      </c>
      <c r="O1377" s="5">
        <v>34800</v>
      </c>
      <c r="P1377" s="5">
        <v>6612</v>
      </c>
      <c r="Q1377" s="5">
        <v>41412</v>
      </c>
    </row>
    <row r="1378" spans="1:17" x14ac:dyDescent="0.25">
      <c r="A1378" t="s">
        <v>496</v>
      </c>
      <c r="B1378" t="s">
        <v>502</v>
      </c>
      <c r="C1378">
        <v>96843140</v>
      </c>
      <c r="D1378">
        <v>1</v>
      </c>
      <c r="E1378">
        <v>4500460859</v>
      </c>
      <c r="F1378" t="s">
        <v>659</v>
      </c>
      <c r="G1378" s="1">
        <v>45229</v>
      </c>
      <c r="H1378">
        <v>5409833</v>
      </c>
      <c r="I1378">
        <v>394</v>
      </c>
      <c r="J1378" t="s">
        <v>224</v>
      </c>
      <c r="K1378" s="8" t="s">
        <v>742</v>
      </c>
      <c r="L1378" s="4" t="s">
        <v>6</v>
      </c>
      <c r="M1378" t="s">
        <v>681</v>
      </c>
      <c r="N1378" s="5">
        <v>30827988</v>
      </c>
      <c r="O1378" s="5">
        <v>353807</v>
      </c>
      <c r="P1378" s="5">
        <v>67223</v>
      </c>
      <c r="Q1378" s="5">
        <v>426155</v>
      </c>
    </row>
    <row r="1379" spans="1:17" x14ac:dyDescent="0.25">
      <c r="A1379" t="s">
        <v>496</v>
      </c>
      <c r="B1379" t="s">
        <v>502</v>
      </c>
      <c r="C1379">
        <v>96843140</v>
      </c>
      <c r="D1379">
        <v>1</v>
      </c>
      <c r="E1379">
        <v>4500460621</v>
      </c>
      <c r="F1379" t="s">
        <v>659</v>
      </c>
      <c r="G1379" s="1">
        <v>45229</v>
      </c>
      <c r="H1379">
        <v>5409837</v>
      </c>
      <c r="I1379">
        <v>394</v>
      </c>
      <c r="J1379" t="s">
        <v>224</v>
      </c>
      <c r="K1379" s="8" t="s">
        <v>742</v>
      </c>
      <c r="L1379" s="4" t="s">
        <v>6</v>
      </c>
      <c r="M1379" t="s">
        <v>681</v>
      </c>
      <c r="N1379" s="5">
        <v>30829539</v>
      </c>
      <c r="O1379" s="5">
        <v>22192</v>
      </c>
      <c r="P1379" s="5">
        <v>4216</v>
      </c>
      <c r="Q1379" s="5">
        <v>26408</v>
      </c>
    </row>
    <row r="1380" spans="1:17" x14ac:dyDescent="0.25">
      <c r="A1380" t="s">
        <v>496</v>
      </c>
      <c r="B1380" t="s">
        <v>502</v>
      </c>
      <c r="C1380">
        <v>96843140</v>
      </c>
      <c r="D1380">
        <v>1</v>
      </c>
      <c r="E1380">
        <v>4500460931</v>
      </c>
      <c r="F1380" t="s">
        <v>659</v>
      </c>
      <c r="G1380" s="1">
        <v>45229</v>
      </c>
      <c r="H1380">
        <v>5409844</v>
      </c>
      <c r="I1380">
        <v>394</v>
      </c>
      <c r="J1380" t="s">
        <v>224</v>
      </c>
      <c r="K1380" s="8" t="s">
        <v>742</v>
      </c>
      <c r="L1380" s="4" t="s">
        <v>6</v>
      </c>
      <c r="M1380" t="s">
        <v>681</v>
      </c>
      <c r="N1380" s="5">
        <v>30830935</v>
      </c>
      <c r="O1380" s="5">
        <v>299878</v>
      </c>
      <c r="P1380" s="5">
        <v>56977</v>
      </c>
      <c r="Q1380" s="5">
        <v>356855</v>
      </c>
    </row>
    <row r="1381" spans="1:17" x14ac:dyDescent="0.25">
      <c r="A1381" t="s">
        <v>496</v>
      </c>
      <c r="B1381" t="s">
        <v>502</v>
      </c>
      <c r="C1381">
        <v>96843140</v>
      </c>
      <c r="D1381">
        <v>0</v>
      </c>
      <c r="E1381">
        <v>4500461502</v>
      </c>
      <c r="F1381" t="s">
        <v>659</v>
      </c>
      <c r="G1381" s="1">
        <v>45229</v>
      </c>
      <c r="H1381">
        <v>5409940</v>
      </c>
      <c r="I1381">
        <v>394</v>
      </c>
      <c r="J1381" t="s">
        <v>224</v>
      </c>
      <c r="K1381" s="8" t="s">
        <v>742</v>
      </c>
      <c r="L1381" s="4" t="s">
        <v>6</v>
      </c>
      <c r="M1381" t="s">
        <v>681</v>
      </c>
      <c r="N1381" s="5">
        <v>30833299</v>
      </c>
      <c r="O1381" s="5">
        <v>259423</v>
      </c>
      <c r="P1381" s="5">
        <v>49290</v>
      </c>
      <c r="Q1381" s="5">
        <v>308713</v>
      </c>
    </row>
    <row r="1382" spans="1:17" x14ac:dyDescent="0.25">
      <c r="A1382" t="s">
        <v>496</v>
      </c>
      <c r="B1382" t="s">
        <v>502</v>
      </c>
      <c r="C1382">
        <v>96843140</v>
      </c>
      <c r="D1382">
        <v>0</v>
      </c>
      <c r="E1382">
        <v>4500460251</v>
      </c>
      <c r="F1382" t="s">
        <v>659</v>
      </c>
      <c r="G1382" s="1">
        <v>45229</v>
      </c>
      <c r="H1382">
        <v>5409941</v>
      </c>
      <c r="I1382">
        <v>394</v>
      </c>
      <c r="J1382" t="s">
        <v>224</v>
      </c>
      <c r="K1382" s="8" t="s">
        <v>742</v>
      </c>
      <c r="L1382" s="4" t="s">
        <v>6</v>
      </c>
      <c r="M1382" t="s">
        <v>681</v>
      </c>
      <c r="N1382" s="5">
        <v>30833511</v>
      </c>
      <c r="O1382" s="5">
        <v>208800</v>
      </c>
      <c r="P1382" s="5">
        <v>39672</v>
      </c>
      <c r="Q1382" s="5">
        <v>248472</v>
      </c>
    </row>
    <row r="1383" spans="1:17" x14ac:dyDescent="0.25">
      <c r="A1383" t="s">
        <v>496</v>
      </c>
      <c r="B1383" t="s">
        <v>502</v>
      </c>
      <c r="C1383">
        <v>96843140</v>
      </c>
      <c r="D1383">
        <v>1</v>
      </c>
      <c r="E1383">
        <v>4500461521</v>
      </c>
      <c r="F1383" t="s">
        <v>659</v>
      </c>
      <c r="G1383" s="1">
        <v>45229</v>
      </c>
      <c r="H1383">
        <v>5410020</v>
      </c>
      <c r="I1383">
        <v>394</v>
      </c>
      <c r="J1383" t="s">
        <v>224</v>
      </c>
      <c r="K1383" s="8" t="s">
        <v>742</v>
      </c>
      <c r="L1383" s="4" t="s">
        <v>6</v>
      </c>
      <c r="M1383" t="s">
        <v>681</v>
      </c>
      <c r="N1383" s="5">
        <v>30833198</v>
      </c>
      <c r="O1383" s="5">
        <v>12335</v>
      </c>
      <c r="P1383" s="5">
        <v>2344</v>
      </c>
      <c r="Q1383" s="5">
        <v>14679</v>
      </c>
    </row>
    <row r="1384" spans="1:17" x14ac:dyDescent="0.25">
      <c r="A1384" t="s">
        <v>496</v>
      </c>
      <c r="B1384" t="s">
        <v>502</v>
      </c>
      <c r="C1384">
        <v>96843140</v>
      </c>
      <c r="D1384">
        <v>3</v>
      </c>
      <c r="E1384">
        <v>4500461853</v>
      </c>
      <c r="F1384" t="s">
        <v>659</v>
      </c>
      <c r="G1384" s="1">
        <v>45230</v>
      </c>
      <c r="H1384">
        <v>5410279</v>
      </c>
      <c r="I1384">
        <v>394</v>
      </c>
      <c r="J1384" t="s">
        <v>224</v>
      </c>
      <c r="K1384" s="8" t="s">
        <v>742</v>
      </c>
      <c r="L1384" s="4" t="s">
        <v>6</v>
      </c>
      <c r="M1384" t="s">
        <v>681</v>
      </c>
      <c r="N1384" s="5">
        <v>30841167</v>
      </c>
      <c r="O1384" s="5">
        <v>1455930</v>
      </c>
      <c r="P1384" s="5">
        <v>276627</v>
      </c>
      <c r="Q1384" s="5">
        <v>1743372</v>
      </c>
    </row>
    <row r="1385" spans="1:17" x14ac:dyDescent="0.25">
      <c r="F1385" t="s">
        <v>689</v>
      </c>
      <c r="K1385" t="s">
        <v>681</v>
      </c>
      <c r="L1385" s="4"/>
      <c r="M1385" t="s">
        <v>681</v>
      </c>
      <c r="N1385" s="5"/>
      <c r="O1385" s="5">
        <v>6448799</v>
      </c>
      <c r="P1385" s="5">
        <v>1225272</v>
      </c>
      <c r="Q1385" s="5">
        <v>7699299</v>
      </c>
    </row>
    <row r="1386" spans="1:17" x14ac:dyDescent="0.25">
      <c r="A1386" t="s">
        <v>512</v>
      </c>
      <c r="B1386" t="s">
        <v>494</v>
      </c>
      <c r="C1386">
        <v>96853150</v>
      </c>
      <c r="D1386">
        <v>7</v>
      </c>
      <c r="E1386">
        <v>30770874</v>
      </c>
      <c r="F1386" t="s">
        <v>660</v>
      </c>
      <c r="G1386" s="1">
        <v>45202</v>
      </c>
      <c r="H1386">
        <v>5395883</v>
      </c>
      <c r="I1386">
        <v>112</v>
      </c>
      <c r="J1386" t="s">
        <v>166</v>
      </c>
      <c r="K1386" s="8" t="s">
        <v>742</v>
      </c>
      <c r="L1386" s="4"/>
      <c r="M1386" t="s">
        <v>681</v>
      </c>
      <c r="N1386" s="5">
        <v>30770874</v>
      </c>
      <c r="O1386" s="5">
        <v>895084</v>
      </c>
      <c r="P1386" s="5">
        <v>170066</v>
      </c>
      <c r="Q1386" s="5">
        <v>1065150</v>
      </c>
    </row>
    <row r="1387" spans="1:17" x14ac:dyDescent="0.25">
      <c r="A1387" t="s">
        <v>512</v>
      </c>
      <c r="B1387" t="s">
        <v>494</v>
      </c>
      <c r="C1387">
        <v>96853150</v>
      </c>
      <c r="D1387">
        <v>5</v>
      </c>
      <c r="E1387">
        <v>30772682</v>
      </c>
      <c r="F1387" t="s">
        <v>660</v>
      </c>
      <c r="G1387" s="1">
        <v>45202</v>
      </c>
      <c r="H1387">
        <v>5395972</v>
      </c>
      <c r="I1387">
        <v>112</v>
      </c>
      <c r="J1387" t="s">
        <v>166</v>
      </c>
      <c r="K1387" s="8" t="s">
        <v>742</v>
      </c>
      <c r="L1387" s="4"/>
      <c r="M1387" t="s">
        <v>681</v>
      </c>
      <c r="N1387" s="5">
        <v>30772682</v>
      </c>
      <c r="O1387" s="5">
        <v>139064</v>
      </c>
      <c r="P1387" s="5">
        <v>26422</v>
      </c>
      <c r="Q1387" s="5">
        <v>165486</v>
      </c>
    </row>
    <row r="1388" spans="1:17" x14ac:dyDescent="0.25">
      <c r="A1388" t="s">
        <v>512</v>
      </c>
      <c r="B1388" t="s">
        <v>494</v>
      </c>
      <c r="C1388">
        <v>96853150</v>
      </c>
      <c r="D1388">
        <v>10</v>
      </c>
      <c r="E1388">
        <v>30772973</v>
      </c>
      <c r="F1388" t="s">
        <v>660</v>
      </c>
      <c r="G1388" s="1">
        <v>45202</v>
      </c>
      <c r="H1388">
        <v>5396063</v>
      </c>
      <c r="I1388">
        <v>112</v>
      </c>
      <c r="J1388" t="s">
        <v>166</v>
      </c>
      <c r="K1388" s="8" t="s">
        <v>742</v>
      </c>
      <c r="L1388" s="4"/>
      <c r="M1388" t="s">
        <v>681</v>
      </c>
      <c r="N1388" s="5">
        <v>30772973</v>
      </c>
      <c r="O1388" s="5">
        <v>168424</v>
      </c>
      <c r="P1388" s="5">
        <v>32001</v>
      </c>
      <c r="Q1388" s="5">
        <v>200425</v>
      </c>
    </row>
    <row r="1389" spans="1:17" x14ac:dyDescent="0.25">
      <c r="A1389" t="s">
        <v>512</v>
      </c>
      <c r="B1389" t="s">
        <v>494</v>
      </c>
      <c r="C1389">
        <v>96853150</v>
      </c>
      <c r="D1389">
        <v>11</v>
      </c>
      <c r="E1389">
        <v>30772475</v>
      </c>
      <c r="F1389" t="s">
        <v>660</v>
      </c>
      <c r="G1389" s="1">
        <v>45202</v>
      </c>
      <c r="H1389">
        <v>5396077</v>
      </c>
      <c r="I1389">
        <v>112</v>
      </c>
      <c r="J1389" t="s">
        <v>166</v>
      </c>
      <c r="K1389" s="8" t="s">
        <v>742</v>
      </c>
      <c r="L1389" s="4"/>
      <c r="M1389" t="s">
        <v>681</v>
      </c>
      <c r="N1389" s="5">
        <v>30772475</v>
      </c>
      <c r="O1389" s="5">
        <v>444660</v>
      </c>
      <c r="P1389" s="5">
        <v>84485</v>
      </c>
      <c r="Q1389" s="5">
        <v>529145</v>
      </c>
    </row>
    <row r="1390" spans="1:17" x14ac:dyDescent="0.25">
      <c r="A1390" t="s">
        <v>512</v>
      </c>
      <c r="B1390" t="s">
        <v>494</v>
      </c>
      <c r="C1390">
        <v>96853150</v>
      </c>
      <c r="D1390">
        <v>13</v>
      </c>
      <c r="E1390">
        <v>30772366</v>
      </c>
      <c r="F1390" t="s">
        <v>660</v>
      </c>
      <c r="G1390" s="1">
        <v>45202</v>
      </c>
      <c r="H1390">
        <v>5396124</v>
      </c>
      <c r="I1390">
        <v>112</v>
      </c>
      <c r="J1390" t="s">
        <v>166</v>
      </c>
      <c r="K1390" s="8" t="s">
        <v>742</v>
      </c>
      <c r="L1390" s="4"/>
      <c r="M1390" t="s">
        <v>681</v>
      </c>
      <c r="N1390" s="5">
        <v>30772366</v>
      </c>
      <c r="O1390" s="5">
        <v>146308</v>
      </c>
      <c r="P1390" s="5">
        <v>27799</v>
      </c>
      <c r="Q1390" s="5">
        <v>174107</v>
      </c>
    </row>
    <row r="1391" spans="1:17" x14ac:dyDescent="0.25">
      <c r="A1391" t="s">
        <v>512</v>
      </c>
      <c r="B1391" t="s">
        <v>494</v>
      </c>
      <c r="C1391">
        <v>96853150</v>
      </c>
      <c r="D1391">
        <v>38</v>
      </c>
      <c r="E1391">
        <v>30773060</v>
      </c>
      <c r="F1391" t="s">
        <v>660</v>
      </c>
      <c r="G1391" s="1">
        <v>45202</v>
      </c>
      <c r="H1391">
        <v>5396130</v>
      </c>
      <c r="I1391">
        <v>112</v>
      </c>
      <c r="J1391" t="s">
        <v>166</v>
      </c>
      <c r="K1391" s="8" t="s">
        <v>742</v>
      </c>
      <c r="L1391" s="4"/>
      <c r="M1391" t="s">
        <v>681</v>
      </c>
      <c r="N1391" s="5">
        <v>30773060</v>
      </c>
      <c r="O1391" s="5">
        <v>427353</v>
      </c>
      <c r="P1391" s="5">
        <v>81197</v>
      </c>
      <c r="Q1391" s="5">
        <v>508550</v>
      </c>
    </row>
    <row r="1392" spans="1:17" x14ac:dyDescent="0.25">
      <c r="A1392" t="s">
        <v>512</v>
      </c>
      <c r="B1392" t="s">
        <v>494</v>
      </c>
      <c r="C1392">
        <v>96853150</v>
      </c>
      <c r="D1392">
        <v>23</v>
      </c>
      <c r="E1392">
        <v>30776909</v>
      </c>
      <c r="F1392" t="s">
        <v>660</v>
      </c>
      <c r="G1392" s="1">
        <v>45203</v>
      </c>
      <c r="H1392">
        <v>5397245</v>
      </c>
      <c r="I1392">
        <v>112</v>
      </c>
      <c r="J1392" t="s">
        <v>166</v>
      </c>
      <c r="K1392" s="8" t="s">
        <v>742</v>
      </c>
      <c r="L1392" s="4"/>
      <c r="M1392" t="s">
        <v>681</v>
      </c>
      <c r="N1392" s="5">
        <v>30776909</v>
      </c>
      <c r="O1392" s="5">
        <v>51748</v>
      </c>
      <c r="P1392" s="5">
        <v>9832</v>
      </c>
      <c r="Q1392" s="5">
        <v>61580</v>
      </c>
    </row>
    <row r="1393" spans="1:17" x14ac:dyDescent="0.25">
      <c r="A1393" t="s">
        <v>512</v>
      </c>
      <c r="B1393" t="s">
        <v>494</v>
      </c>
      <c r="C1393">
        <v>96853150</v>
      </c>
      <c r="D1393">
        <v>1</v>
      </c>
      <c r="E1393">
        <v>30777886</v>
      </c>
      <c r="F1393" t="s">
        <v>660</v>
      </c>
      <c r="G1393" s="1">
        <v>45203</v>
      </c>
      <c r="H1393">
        <v>5397280</v>
      </c>
      <c r="I1393">
        <v>112</v>
      </c>
      <c r="J1393" t="s">
        <v>166</v>
      </c>
      <c r="K1393" s="8" t="s">
        <v>742</v>
      </c>
      <c r="L1393" s="4"/>
      <c r="M1393" t="s">
        <v>681</v>
      </c>
      <c r="N1393" s="5">
        <v>30777886</v>
      </c>
      <c r="O1393" s="5">
        <v>71913</v>
      </c>
      <c r="P1393" s="5">
        <v>13663</v>
      </c>
      <c r="Q1393" s="5">
        <v>85576</v>
      </c>
    </row>
    <row r="1394" spans="1:17" x14ac:dyDescent="0.25">
      <c r="A1394" t="s">
        <v>512</v>
      </c>
      <c r="B1394" t="s">
        <v>494</v>
      </c>
      <c r="C1394">
        <v>96853150</v>
      </c>
      <c r="D1394">
        <v>5</v>
      </c>
      <c r="E1394">
        <v>30772957</v>
      </c>
      <c r="F1394" t="s">
        <v>660</v>
      </c>
      <c r="G1394" s="1">
        <v>45203</v>
      </c>
      <c r="H1394">
        <v>5397310</v>
      </c>
      <c r="I1394">
        <v>112</v>
      </c>
      <c r="J1394" t="s">
        <v>166</v>
      </c>
      <c r="K1394" s="8" t="s">
        <v>742</v>
      </c>
      <c r="L1394" s="4"/>
      <c r="M1394" t="s">
        <v>681</v>
      </c>
      <c r="N1394" s="5">
        <v>30772957</v>
      </c>
      <c r="O1394" s="5">
        <v>271049</v>
      </c>
      <c r="P1394" s="5">
        <v>51499</v>
      </c>
      <c r="Q1394" s="5">
        <v>322548</v>
      </c>
    </row>
    <row r="1395" spans="1:17" x14ac:dyDescent="0.25">
      <c r="A1395" t="s">
        <v>512</v>
      </c>
      <c r="B1395" t="s">
        <v>494</v>
      </c>
      <c r="C1395">
        <v>96853150</v>
      </c>
      <c r="D1395">
        <v>5</v>
      </c>
      <c r="E1395">
        <v>30772957</v>
      </c>
      <c r="F1395" t="s">
        <v>660</v>
      </c>
      <c r="G1395" s="1">
        <v>45203</v>
      </c>
      <c r="H1395">
        <v>5397311</v>
      </c>
      <c r="I1395">
        <v>112</v>
      </c>
      <c r="J1395" t="s">
        <v>166</v>
      </c>
      <c r="K1395" s="8" t="s">
        <v>742</v>
      </c>
      <c r="L1395" s="4"/>
      <c r="M1395" t="s">
        <v>681</v>
      </c>
      <c r="N1395" s="5">
        <v>30772957</v>
      </c>
      <c r="O1395" s="5">
        <v>46102</v>
      </c>
      <c r="P1395" s="5">
        <v>8759</v>
      </c>
      <c r="Q1395" s="5">
        <v>54861</v>
      </c>
    </row>
    <row r="1396" spans="1:17" x14ac:dyDescent="0.25">
      <c r="A1396" t="s">
        <v>512</v>
      </c>
      <c r="B1396" t="s">
        <v>494</v>
      </c>
      <c r="C1396">
        <v>96853150</v>
      </c>
      <c r="D1396">
        <v>16</v>
      </c>
      <c r="E1396">
        <v>30774201</v>
      </c>
      <c r="F1396" t="s">
        <v>660</v>
      </c>
      <c r="G1396" s="1">
        <v>45203</v>
      </c>
      <c r="H1396">
        <v>5397321</v>
      </c>
      <c r="I1396">
        <v>112</v>
      </c>
      <c r="J1396" t="s">
        <v>166</v>
      </c>
      <c r="K1396" s="8" t="s">
        <v>742</v>
      </c>
      <c r="L1396" s="4"/>
      <c r="M1396" t="s">
        <v>681</v>
      </c>
      <c r="N1396" s="5">
        <v>30774201</v>
      </c>
      <c r="O1396" s="5">
        <v>421412</v>
      </c>
      <c r="P1396" s="5">
        <v>80068</v>
      </c>
      <c r="Q1396" s="5">
        <v>502739</v>
      </c>
    </row>
    <row r="1397" spans="1:17" x14ac:dyDescent="0.25">
      <c r="A1397" t="s">
        <v>512</v>
      </c>
      <c r="B1397" t="s">
        <v>494</v>
      </c>
      <c r="C1397">
        <v>96853150</v>
      </c>
      <c r="D1397">
        <v>6</v>
      </c>
      <c r="E1397">
        <v>30777136</v>
      </c>
      <c r="F1397" t="s">
        <v>660</v>
      </c>
      <c r="G1397" s="1">
        <v>45203</v>
      </c>
      <c r="H1397">
        <v>5397326</v>
      </c>
      <c r="I1397">
        <v>112</v>
      </c>
      <c r="J1397" t="s">
        <v>166</v>
      </c>
      <c r="K1397" s="8" t="s">
        <v>742</v>
      </c>
      <c r="L1397" s="4"/>
      <c r="M1397" t="s">
        <v>681</v>
      </c>
      <c r="N1397" s="5">
        <v>30777136</v>
      </c>
      <c r="O1397" s="5">
        <v>20081</v>
      </c>
      <c r="P1397" s="5">
        <v>3815</v>
      </c>
      <c r="Q1397" s="5">
        <v>23896</v>
      </c>
    </row>
    <row r="1398" spans="1:17" x14ac:dyDescent="0.25">
      <c r="A1398" t="s">
        <v>512</v>
      </c>
      <c r="B1398" t="s">
        <v>494</v>
      </c>
      <c r="C1398">
        <v>96853150</v>
      </c>
      <c r="D1398">
        <v>23</v>
      </c>
      <c r="E1398">
        <v>30779414</v>
      </c>
      <c r="F1398" t="s">
        <v>660</v>
      </c>
      <c r="G1398" s="1">
        <v>45203</v>
      </c>
      <c r="H1398">
        <v>5397333</v>
      </c>
      <c r="I1398">
        <v>112</v>
      </c>
      <c r="J1398" t="s">
        <v>166</v>
      </c>
      <c r="K1398" s="8" t="s">
        <v>742</v>
      </c>
      <c r="L1398" s="4"/>
      <c r="M1398" t="s">
        <v>681</v>
      </c>
      <c r="N1398" s="5">
        <v>30779414</v>
      </c>
      <c r="O1398" s="5">
        <v>49103</v>
      </c>
      <c r="P1398" s="5">
        <v>9330</v>
      </c>
      <c r="Q1398" s="5">
        <v>58433</v>
      </c>
    </row>
    <row r="1399" spans="1:17" x14ac:dyDescent="0.25">
      <c r="A1399" t="s">
        <v>512</v>
      </c>
      <c r="B1399" t="s">
        <v>494</v>
      </c>
      <c r="C1399">
        <v>96853150</v>
      </c>
      <c r="D1399">
        <v>29</v>
      </c>
      <c r="E1399">
        <v>30772797</v>
      </c>
      <c r="F1399" t="s">
        <v>660</v>
      </c>
      <c r="G1399" s="1">
        <v>45203</v>
      </c>
      <c r="H1399">
        <v>5397385</v>
      </c>
      <c r="I1399">
        <v>112</v>
      </c>
      <c r="J1399" t="s">
        <v>166</v>
      </c>
      <c r="K1399" s="8" t="s">
        <v>742</v>
      </c>
      <c r="L1399" s="4"/>
      <c r="M1399" t="s">
        <v>681</v>
      </c>
      <c r="N1399" s="5">
        <v>30772797</v>
      </c>
      <c r="O1399" s="5">
        <v>419085</v>
      </c>
      <c r="P1399" s="5">
        <v>79626</v>
      </c>
      <c r="Q1399" s="5">
        <v>500153</v>
      </c>
    </row>
    <row r="1400" spans="1:17" x14ac:dyDescent="0.25">
      <c r="A1400" t="s">
        <v>512</v>
      </c>
      <c r="B1400" t="s">
        <v>494</v>
      </c>
      <c r="C1400">
        <v>96853150</v>
      </c>
      <c r="D1400">
        <v>6</v>
      </c>
      <c r="E1400">
        <v>30777127</v>
      </c>
      <c r="F1400" t="s">
        <v>660</v>
      </c>
      <c r="G1400" s="1">
        <v>45203</v>
      </c>
      <c r="H1400">
        <v>5397409</v>
      </c>
      <c r="I1400">
        <v>112</v>
      </c>
      <c r="J1400" t="s">
        <v>166</v>
      </c>
      <c r="K1400" s="8" t="s">
        <v>742</v>
      </c>
      <c r="L1400" s="4"/>
      <c r="M1400" t="s">
        <v>681</v>
      </c>
      <c r="N1400" s="5">
        <v>30777127</v>
      </c>
      <c r="O1400" s="5">
        <v>91538</v>
      </c>
      <c r="P1400" s="5">
        <v>17392</v>
      </c>
      <c r="Q1400" s="5">
        <v>108930</v>
      </c>
    </row>
    <row r="1401" spans="1:17" x14ac:dyDescent="0.25">
      <c r="A1401" t="s">
        <v>512</v>
      </c>
      <c r="B1401" t="s">
        <v>494</v>
      </c>
      <c r="C1401">
        <v>96853150</v>
      </c>
      <c r="D1401">
        <v>29</v>
      </c>
      <c r="E1401">
        <v>30779196</v>
      </c>
      <c r="F1401" t="s">
        <v>660</v>
      </c>
      <c r="G1401" s="1">
        <v>45204</v>
      </c>
      <c r="H1401">
        <v>5397662</v>
      </c>
      <c r="I1401">
        <v>112</v>
      </c>
      <c r="J1401" t="s">
        <v>166</v>
      </c>
      <c r="K1401" s="8" t="s">
        <v>742</v>
      </c>
      <c r="L1401" s="4"/>
      <c r="M1401" t="s">
        <v>681</v>
      </c>
      <c r="N1401" s="5">
        <v>30779196</v>
      </c>
      <c r="O1401" s="5">
        <v>61524</v>
      </c>
      <c r="P1401" s="5">
        <v>11690</v>
      </c>
      <c r="Q1401" s="5">
        <v>73214</v>
      </c>
    </row>
    <row r="1402" spans="1:17" x14ac:dyDescent="0.25">
      <c r="A1402" t="s">
        <v>512</v>
      </c>
      <c r="B1402" t="s">
        <v>494</v>
      </c>
      <c r="C1402">
        <v>96853150</v>
      </c>
      <c r="D1402">
        <v>38</v>
      </c>
      <c r="E1402">
        <v>30774273</v>
      </c>
      <c r="F1402" t="s">
        <v>660</v>
      </c>
      <c r="G1402" s="1">
        <v>45204</v>
      </c>
      <c r="H1402">
        <v>5397737</v>
      </c>
      <c r="I1402">
        <v>112</v>
      </c>
      <c r="J1402" t="s">
        <v>166</v>
      </c>
      <c r="K1402" s="8" t="s">
        <v>742</v>
      </c>
      <c r="L1402" s="4"/>
      <c r="M1402" t="s">
        <v>681</v>
      </c>
      <c r="N1402" s="5">
        <v>30774273</v>
      </c>
      <c r="O1402" s="5">
        <v>876186</v>
      </c>
      <c r="P1402" s="5">
        <v>166475</v>
      </c>
      <c r="Q1402" s="5">
        <v>1050348</v>
      </c>
    </row>
    <row r="1403" spans="1:17" x14ac:dyDescent="0.25">
      <c r="A1403" t="s">
        <v>512</v>
      </c>
      <c r="B1403" t="s">
        <v>494</v>
      </c>
      <c r="C1403">
        <v>96853150</v>
      </c>
      <c r="D1403">
        <v>38</v>
      </c>
      <c r="E1403">
        <v>30774273</v>
      </c>
      <c r="F1403" t="s">
        <v>660</v>
      </c>
      <c r="G1403" s="1">
        <v>45204</v>
      </c>
      <c r="H1403">
        <v>5397738</v>
      </c>
      <c r="I1403">
        <v>112</v>
      </c>
      <c r="J1403" t="s">
        <v>166</v>
      </c>
      <c r="K1403" s="8" t="s">
        <v>742</v>
      </c>
      <c r="L1403" s="4"/>
      <c r="M1403" t="s">
        <v>681</v>
      </c>
      <c r="N1403" s="5">
        <v>30774273</v>
      </c>
      <c r="O1403" s="5">
        <v>2402</v>
      </c>
      <c r="P1403" s="5">
        <v>456</v>
      </c>
      <c r="Q1403" s="5">
        <v>2858</v>
      </c>
    </row>
    <row r="1404" spans="1:17" x14ac:dyDescent="0.25">
      <c r="A1404" t="s">
        <v>512</v>
      </c>
      <c r="B1404" t="s">
        <v>494</v>
      </c>
      <c r="C1404">
        <v>96853150</v>
      </c>
      <c r="D1404">
        <v>33</v>
      </c>
      <c r="E1404">
        <v>30778844</v>
      </c>
      <c r="F1404" t="s">
        <v>660</v>
      </c>
      <c r="G1404" s="1">
        <v>45204</v>
      </c>
      <c r="H1404">
        <v>5398119</v>
      </c>
      <c r="I1404">
        <v>112</v>
      </c>
      <c r="J1404" t="s">
        <v>166</v>
      </c>
      <c r="K1404" s="8" t="s">
        <v>742</v>
      </c>
      <c r="L1404" s="4"/>
      <c r="M1404" t="s">
        <v>681</v>
      </c>
      <c r="N1404" s="5">
        <v>30778844</v>
      </c>
      <c r="O1404" s="5">
        <v>227877</v>
      </c>
      <c r="P1404" s="5">
        <v>43297</v>
      </c>
      <c r="Q1404" s="5">
        <v>272272</v>
      </c>
    </row>
    <row r="1405" spans="1:17" x14ac:dyDescent="0.25">
      <c r="A1405" t="s">
        <v>512</v>
      </c>
      <c r="B1405" t="s">
        <v>494</v>
      </c>
      <c r="C1405">
        <v>96853150</v>
      </c>
      <c r="D1405">
        <v>1</v>
      </c>
      <c r="E1405">
        <v>30777288</v>
      </c>
      <c r="F1405" t="s">
        <v>660</v>
      </c>
      <c r="G1405" s="1">
        <v>45204</v>
      </c>
      <c r="H1405">
        <v>5398126</v>
      </c>
      <c r="I1405">
        <v>112</v>
      </c>
      <c r="J1405" t="s">
        <v>166</v>
      </c>
      <c r="K1405" s="8" t="s">
        <v>742</v>
      </c>
      <c r="L1405" s="4"/>
      <c r="M1405" t="s">
        <v>681</v>
      </c>
      <c r="N1405" s="5">
        <v>30777288</v>
      </c>
      <c r="O1405" s="5">
        <v>112356</v>
      </c>
      <c r="P1405" s="5">
        <v>21348</v>
      </c>
      <c r="Q1405" s="5">
        <v>135868</v>
      </c>
    </row>
    <row r="1406" spans="1:17" x14ac:dyDescent="0.25">
      <c r="A1406" t="s">
        <v>512</v>
      </c>
      <c r="B1406" t="s">
        <v>494</v>
      </c>
      <c r="C1406">
        <v>96853150</v>
      </c>
      <c r="D1406">
        <v>1</v>
      </c>
      <c r="E1406">
        <v>30777288</v>
      </c>
      <c r="F1406" t="s">
        <v>660</v>
      </c>
      <c r="G1406" s="1">
        <v>45204</v>
      </c>
      <c r="H1406">
        <v>5398127</v>
      </c>
      <c r="I1406">
        <v>112</v>
      </c>
      <c r="J1406" t="s">
        <v>166</v>
      </c>
      <c r="K1406" s="8" t="s">
        <v>742</v>
      </c>
      <c r="L1406" s="4"/>
      <c r="M1406" t="s">
        <v>681</v>
      </c>
      <c r="N1406" s="5">
        <v>30777288</v>
      </c>
      <c r="O1406" s="5">
        <v>278875</v>
      </c>
      <c r="P1406" s="5">
        <v>52986</v>
      </c>
      <c r="Q1406" s="5">
        <v>331861</v>
      </c>
    </row>
    <row r="1407" spans="1:17" x14ac:dyDescent="0.25">
      <c r="A1407" t="s">
        <v>512</v>
      </c>
      <c r="B1407" t="s">
        <v>494</v>
      </c>
      <c r="C1407">
        <v>96853150</v>
      </c>
      <c r="D1407">
        <v>6</v>
      </c>
      <c r="E1407">
        <v>30777191</v>
      </c>
      <c r="F1407" t="s">
        <v>660</v>
      </c>
      <c r="G1407" s="1">
        <v>45204</v>
      </c>
      <c r="H1407">
        <v>5398132</v>
      </c>
      <c r="I1407">
        <v>112</v>
      </c>
      <c r="J1407" t="s">
        <v>166</v>
      </c>
      <c r="K1407" s="8" t="s">
        <v>742</v>
      </c>
      <c r="L1407" s="4"/>
      <c r="M1407" t="s">
        <v>681</v>
      </c>
      <c r="N1407" s="5">
        <v>30777191</v>
      </c>
      <c r="O1407" s="5">
        <v>782998</v>
      </c>
      <c r="P1407" s="5">
        <v>148770</v>
      </c>
      <c r="Q1407" s="5">
        <v>931768</v>
      </c>
    </row>
    <row r="1408" spans="1:17" x14ac:dyDescent="0.25">
      <c r="A1408" t="s">
        <v>512</v>
      </c>
      <c r="B1408" t="s">
        <v>494</v>
      </c>
      <c r="C1408">
        <v>96853150</v>
      </c>
      <c r="D1408">
        <v>23</v>
      </c>
      <c r="E1408">
        <v>30778977</v>
      </c>
      <c r="F1408" t="s">
        <v>660</v>
      </c>
      <c r="G1408" s="1">
        <v>45204</v>
      </c>
      <c r="H1408">
        <v>5398176</v>
      </c>
      <c r="I1408">
        <v>112</v>
      </c>
      <c r="J1408" t="s">
        <v>166</v>
      </c>
      <c r="K1408" s="8" t="s">
        <v>742</v>
      </c>
      <c r="L1408" s="4"/>
      <c r="M1408" t="s">
        <v>681</v>
      </c>
      <c r="N1408" s="5">
        <v>30778977</v>
      </c>
      <c r="O1408" s="5">
        <v>78716</v>
      </c>
      <c r="P1408" s="5">
        <v>14956</v>
      </c>
      <c r="Q1408" s="5">
        <v>93672</v>
      </c>
    </row>
    <row r="1409" spans="1:17" x14ac:dyDescent="0.25">
      <c r="A1409" t="s">
        <v>512</v>
      </c>
      <c r="B1409" t="s">
        <v>494</v>
      </c>
      <c r="C1409">
        <v>96853150</v>
      </c>
      <c r="D1409">
        <v>33</v>
      </c>
      <c r="E1409">
        <v>30778969</v>
      </c>
      <c r="F1409" t="s">
        <v>660</v>
      </c>
      <c r="G1409" s="1">
        <v>45204</v>
      </c>
      <c r="H1409">
        <v>5398203</v>
      </c>
      <c r="I1409">
        <v>112</v>
      </c>
      <c r="J1409" t="s">
        <v>166</v>
      </c>
      <c r="K1409" s="8" t="s">
        <v>742</v>
      </c>
      <c r="L1409" s="4"/>
      <c r="M1409" t="s">
        <v>681</v>
      </c>
      <c r="N1409" s="5">
        <v>30778969</v>
      </c>
      <c r="O1409" s="5">
        <v>145895</v>
      </c>
      <c r="P1409" s="5">
        <v>27720</v>
      </c>
      <c r="Q1409" s="5">
        <v>173615</v>
      </c>
    </row>
    <row r="1410" spans="1:17" x14ac:dyDescent="0.25">
      <c r="A1410" t="s">
        <v>512</v>
      </c>
      <c r="B1410" t="s">
        <v>494</v>
      </c>
      <c r="C1410">
        <v>96853150</v>
      </c>
      <c r="D1410">
        <v>33</v>
      </c>
      <c r="E1410">
        <v>30778900</v>
      </c>
      <c r="F1410" t="s">
        <v>660</v>
      </c>
      <c r="G1410" s="1">
        <v>45204</v>
      </c>
      <c r="H1410">
        <v>5398256</v>
      </c>
      <c r="I1410">
        <v>112</v>
      </c>
      <c r="J1410" t="s">
        <v>166</v>
      </c>
      <c r="K1410" s="8" t="s">
        <v>742</v>
      </c>
      <c r="L1410" s="4"/>
      <c r="M1410" t="s">
        <v>681</v>
      </c>
      <c r="N1410" s="5">
        <v>30778900</v>
      </c>
      <c r="O1410" s="5">
        <v>357369</v>
      </c>
      <c r="P1410" s="5">
        <v>67900</v>
      </c>
      <c r="Q1410" s="5">
        <v>425269</v>
      </c>
    </row>
    <row r="1411" spans="1:17" x14ac:dyDescent="0.25">
      <c r="A1411" t="s">
        <v>512</v>
      </c>
      <c r="B1411" t="s">
        <v>494</v>
      </c>
      <c r="C1411">
        <v>96853150</v>
      </c>
      <c r="D1411">
        <v>5</v>
      </c>
      <c r="E1411">
        <v>30785282</v>
      </c>
      <c r="F1411" t="s">
        <v>660</v>
      </c>
      <c r="G1411" s="1">
        <v>45205</v>
      </c>
      <c r="H1411">
        <v>5398577</v>
      </c>
      <c r="I1411">
        <v>112</v>
      </c>
      <c r="J1411" t="s">
        <v>166</v>
      </c>
      <c r="K1411" s="8" t="s">
        <v>742</v>
      </c>
      <c r="L1411" s="4"/>
      <c r="M1411" t="s">
        <v>681</v>
      </c>
      <c r="N1411" s="5">
        <v>30785282</v>
      </c>
      <c r="O1411" s="5">
        <v>26110</v>
      </c>
      <c r="P1411" s="5">
        <v>4961</v>
      </c>
      <c r="Q1411" s="5">
        <v>31071</v>
      </c>
    </row>
    <row r="1412" spans="1:17" x14ac:dyDescent="0.25">
      <c r="A1412" t="s">
        <v>512</v>
      </c>
      <c r="B1412" t="s">
        <v>494</v>
      </c>
      <c r="C1412">
        <v>96853150</v>
      </c>
      <c r="D1412">
        <v>23</v>
      </c>
      <c r="E1412">
        <v>30785285</v>
      </c>
      <c r="F1412" t="s">
        <v>660</v>
      </c>
      <c r="G1412" s="1">
        <v>45205</v>
      </c>
      <c r="H1412">
        <v>5398578</v>
      </c>
      <c r="I1412">
        <v>112</v>
      </c>
      <c r="J1412" t="s">
        <v>166</v>
      </c>
      <c r="K1412" s="8" t="s">
        <v>742</v>
      </c>
      <c r="L1412" s="4"/>
      <c r="M1412" t="s">
        <v>681</v>
      </c>
      <c r="N1412" s="5">
        <v>30785285</v>
      </c>
      <c r="O1412" s="5">
        <v>86696</v>
      </c>
      <c r="P1412" s="5">
        <v>16472</v>
      </c>
      <c r="Q1412" s="5">
        <v>103168</v>
      </c>
    </row>
    <row r="1413" spans="1:17" x14ac:dyDescent="0.25">
      <c r="A1413" t="s">
        <v>512</v>
      </c>
      <c r="B1413" t="s">
        <v>494</v>
      </c>
      <c r="C1413">
        <v>96853150</v>
      </c>
      <c r="D1413">
        <v>16</v>
      </c>
      <c r="E1413">
        <v>30785232</v>
      </c>
      <c r="F1413" t="s">
        <v>660</v>
      </c>
      <c r="G1413" s="1">
        <v>45205</v>
      </c>
      <c r="H1413">
        <v>5398581</v>
      </c>
      <c r="I1413">
        <v>112</v>
      </c>
      <c r="J1413" t="s">
        <v>166</v>
      </c>
      <c r="K1413" s="8" t="s">
        <v>742</v>
      </c>
      <c r="L1413" s="4"/>
      <c r="M1413" t="s">
        <v>681</v>
      </c>
      <c r="N1413" s="5">
        <v>30785232</v>
      </c>
      <c r="O1413" s="5">
        <v>94760</v>
      </c>
      <c r="P1413" s="5">
        <v>18004</v>
      </c>
      <c r="Q1413" s="5">
        <v>112764</v>
      </c>
    </row>
    <row r="1414" spans="1:17" x14ac:dyDescent="0.25">
      <c r="A1414" t="s">
        <v>512</v>
      </c>
      <c r="B1414" t="s">
        <v>494</v>
      </c>
      <c r="C1414">
        <v>96853150</v>
      </c>
      <c r="D1414">
        <v>16</v>
      </c>
      <c r="E1414">
        <v>30785280</v>
      </c>
      <c r="F1414" t="s">
        <v>660</v>
      </c>
      <c r="G1414" s="1">
        <v>45205</v>
      </c>
      <c r="H1414">
        <v>5398583</v>
      </c>
      <c r="I1414">
        <v>112</v>
      </c>
      <c r="J1414" t="s">
        <v>166</v>
      </c>
      <c r="K1414" s="8" t="s">
        <v>742</v>
      </c>
      <c r="L1414" s="4"/>
      <c r="M1414" t="s">
        <v>681</v>
      </c>
      <c r="N1414" s="5">
        <v>30785280</v>
      </c>
      <c r="O1414" s="5">
        <v>110304</v>
      </c>
      <c r="P1414" s="5">
        <v>20958</v>
      </c>
      <c r="Q1414" s="5">
        <v>131262</v>
      </c>
    </row>
    <row r="1415" spans="1:17" x14ac:dyDescent="0.25">
      <c r="A1415" t="s">
        <v>512</v>
      </c>
      <c r="B1415" t="s">
        <v>494</v>
      </c>
      <c r="C1415">
        <v>96853150</v>
      </c>
      <c r="D1415">
        <v>29</v>
      </c>
      <c r="E1415">
        <v>30786094</v>
      </c>
      <c r="F1415" t="s">
        <v>660</v>
      </c>
      <c r="G1415" s="1">
        <v>45205</v>
      </c>
      <c r="H1415">
        <v>5398599</v>
      </c>
      <c r="I1415">
        <v>112</v>
      </c>
      <c r="J1415" t="s">
        <v>166</v>
      </c>
      <c r="K1415" s="8" t="s">
        <v>742</v>
      </c>
      <c r="L1415" s="4"/>
      <c r="M1415" t="s">
        <v>681</v>
      </c>
      <c r="N1415" s="5">
        <v>30786094</v>
      </c>
      <c r="O1415" s="5">
        <v>30120</v>
      </c>
      <c r="P1415" s="5">
        <v>5723</v>
      </c>
      <c r="Q1415" s="5">
        <v>35843</v>
      </c>
    </row>
    <row r="1416" spans="1:17" x14ac:dyDescent="0.25">
      <c r="A1416" t="s">
        <v>512</v>
      </c>
      <c r="B1416" t="s">
        <v>494</v>
      </c>
      <c r="C1416">
        <v>96853150</v>
      </c>
      <c r="D1416">
        <v>11</v>
      </c>
      <c r="E1416">
        <v>30783578</v>
      </c>
      <c r="F1416" t="s">
        <v>660</v>
      </c>
      <c r="G1416" s="1">
        <v>45205</v>
      </c>
      <c r="H1416">
        <v>5398630</v>
      </c>
      <c r="I1416">
        <v>112</v>
      </c>
      <c r="J1416" t="s">
        <v>166</v>
      </c>
      <c r="K1416" s="8" t="s">
        <v>742</v>
      </c>
      <c r="L1416" s="4"/>
      <c r="M1416" t="s">
        <v>681</v>
      </c>
      <c r="N1416" s="5">
        <v>30783578</v>
      </c>
      <c r="O1416" s="5">
        <v>35866</v>
      </c>
      <c r="P1416" s="5">
        <v>6815</v>
      </c>
      <c r="Q1416" s="5">
        <v>42681</v>
      </c>
    </row>
    <row r="1417" spans="1:17" x14ac:dyDescent="0.25">
      <c r="A1417" t="s">
        <v>512</v>
      </c>
      <c r="B1417" t="s">
        <v>494</v>
      </c>
      <c r="C1417">
        <v>96853150</v>
      </c>
      <c r="D1417">
        <v>23</v>
      </c>
      <c r="E1417">
        <v>30785135</v>
      </c>
      <c r="F1417" t="s">
        <v>660</v>
      </c>
      <c r="G1417" s="1">
        <v>45205</v>
      </c>
      <c r="H1417">
        <v>5398707</v>
      </c>
      <c r="I1417">
        <v>112</v>
      </c>
      <c r="J1417" t="s">
        <v>166</v>
      </c>
      <c r="K1417" s="8" t="s">
        <v>742</v>
      </c>
      <c r="L1417" s="4"/>
      <c r="M1417" t="s">
        <v>681</v>
      </c>
      <c r="N1417" s="5">
        <v>30785135</v>
      </c>
      <c r="O1417" s="5">
        <v>167788</v>
      </c>
      <c r="P1417" s="5">
        <v>31880</v>
      </c>
      <c r="Q1417" s="5">
        <v>199668</v>
      </c>
    </row>
    <row r="1418" spans="1:17" x14ac:dyDescent="0.25">
      <c r="A1418" t="s">
        <v>512</v>
      </c>
      <c r="B1418" t="s">
        <v>494</v>
      </c>
      <c r="C1418">
        <v>96853150</v>
      </c>
      <c r="D1418">
        <v>24</v>
      </c>
      <c r="E1418">
        <v>30786571</v>
      </c>
      <c r="F1418" t="s">
        <v>660</v>
      </c>
      <c r="G1418" s="1">
        <v>45205</v>
      </c>
      <c r="H1418">
        <v>5398765</v>
      </c>
      <c r="I1418">
        <v>112</v>
      </c>
      <c r="J1418" t="s">
        <v>166</v>
      </c>
      <c r="K1418" s="8" t="s">
        <v>742</v>
      </c>
      <c r="L1418" s="4"/>
      <c r="M1418" t="s">
        <v>681</v>
      </c>
      <c r="N1418" s="5">
        <v>30786571</v>
      </c>
      <c r="O1418" s="5">
        <v>97646</v>
      </c>
      <c r="P1418" s="5">
        <v>18553</v>
      </c>
      <c r="Q1418" s="5">
        <v>116199</v>
      </c>
    </row>
    <row r="1419" spans="1:17" x14ac:dyDescent="0.25">
      <c r="A1419" t="s">
        <v>512</v>
      </c>
      <c r="B1419" t="s">
        <v>494</v>
      </c>
      <c r="C1419">
        <v>96853150</v>
      </c>
      <c r="D1419">
        <v>22</v>
      </c>
      <c r="E1419">
        <v>30785283</v>
      </c>
      <c r="F1419" t="s">
        <v>660</v>
      </c>
      <c r="G1419" s="1">
        <v>45205</v>
      </c>
      <c r="H1419">
        <v>5398862</v>
      </c>
      <c r="I1419">
        <v>112</v>
      </c>
      <c r="J1419" t="s">
        <v>166</v>
      </c>
      <c r="K1419" s="8" t="s">
        <v>742</v>
      </c>
      <c r="L1419" s="4"/>
      <c r="M1419" t="s">
        <v>681</v>
      </c>
      <c r="N1419" s="5">
        <v>30785283</v>
      </c>
      <c r="O1419" s="5">
        <v>216022</v>
      </c>
      <c r="P1419" s="5">
        <v>41044</v>
      </c>
      <c r="Q1419" s="5">
        <v>257066</v>
      </c>
    </row>
    <row r="1420" spans="1:17" x14ac:dyDescent="0.25">
      <c r="A1420" t="s">
        <v>512</v>
      </c>
      <c r="B1420" t="s">
        <v>494</v>
      </c>
      <c r="C1420">
        <v>96853150</v>
      </c>
      <c r="D1420">
        <v>22</v>
      </c>
      <c r="E1420">
        <v>30785283</v>
      </c>
      <c r="F1420" t="s">
        <v>660</v>
      </c>
      <c r="G1420" s="1">
        <v>45205</v>
      </c>
      <c r="H1420">
        <v>5398863</v>
      </c>
      <c r="I1420">
        <v>112</v>
      </c>
      <c r="J1420" t="s">
        <v>166</v>
      </c>
      <c r="K1420" s="8" t="s">
        <v>742</v>
      </c>
      <c r="L1420" s="4"/>
      <c r="M1420" t="s">
        <v>681</v>
      </c>
      <c r="N1420" s="5">
        <v>30785283</v>
      </c>
      <c r="O1420" s="5">
        <v>77784</v>
      </c>
      <c r="P1420" s="5">
        <v>14779</v>
      </c>
      <c r="Q1420" s="5">
        <v>92563</v>
      </c>
    </row>
    <row r="1421" spans="1:17" x14ac:dyDescent="0.25">
      <c r="A1421" t="s">
        <v>512</v>
      </c>
      <c r="B1421" t="s">
        <v>494</v>
      </c>
      <c r="C1421">
        <v>96853150</v>
      </c>
      <c r="D1421">
        <v>16</v>
      </c>
      <c r="E1421">
        <v>30785286</v>
      </c>
      <c r="F1421" t="s">
        <v>660</v>
      </c>
      <c r="G1421" s="1">
        <v>45205</v>
      </c>
      <c r="H1421">
        <v>5398864</v>
      </c>
      <c r="I1421">
        <v>112</v>
      </c>
      <c r="J1421" t="s">
        <v>166</v>
      </c>
      <c r="K1421" s="8" t="s">
        <v>742</v>
      </c>
      <c r="L1421" s="4"/>
      <c r="M1421" t="s">
        <v>681</v>
      </c>
      <c r="N1421" s="5">
        <v>30785286</v>
      </c>
      <c r="O1421" s="5">
        <v>339695</v>
      </c>
      <c r="P1421" s="5">
        <v>64542</v>
      </c>
      <c r="Q1421" s="5">
        <v>404237</v>
      </c>
    </row>
    <row r="1422" spans="1:17" x14ac:dyDescent="0.25">
      <c r="A1422" t="s">
        <v>512</v>
      </c>
      <c r="B1422" t="s">
        <v>494</v>
      </c>
      <c r="C1422">
        <v>96853150</v>
      </c>
      <c r="D1422">
        <v>16</v>
      </c>
      <c r="E1422">
        <v>30785286</v>
      </c>
      <c r="F1422" t="s">
        <v>660</v>
      </c>
      <c r="G1422" s="1">
        <v>45205</v>
      </c>
      <c r="H1422">
        <v>5398865</v>
      </c>
      <c r="I1422">
        <v>112</v>
      </c>
      <c r="J1422" t="s">
        <v>166</v>
      </c>
      <c r="K1422" s="8" t="s">
        <v>742</v>
      </c>
      <c r="L1422" s="4"/>
      <c r="M1422" t="s">
        <v>681</v>
      </c>
      <c r="N1422" s="5">
        <v>30785286</v>
      </c>
      <c r="O1422" s="5">
        <v>21098</v>
      </c>
      <c r="P1422" s="5">
        <v>4009</v>
      </c>
      <c r="Q1422" s="5">
        <v>25107</v>
      </c>
    </row>
    <row r="1423" spans="1:17" x14ac:dyDescent="0.25">
      <c r="A1423" t="s">
        <v>512</v>
      </c>
      <c r="B1423" t="s">
        <v>494</v>
      </c>
      <c r="C1423">
        <v>96853150</v>
      </c>
      <c r="D1423">
        <v>24</v>
      </c>
      <c r="E1423">
        <v>30786229</v>
      </c>
      <c r="F1423" t="s">
        <v>660</v>
      </c>
      <c r="G1423" s="1">
        <v>45205</v>
      </c>
      <c r="H1423">
        <v>5398955</v>
      </c>
      <c r="I1423">
        <v>112</v>
      </c>
      <c r="J1423" t="s">
        <v>166</v>
      </c>
      <c r="K1423" s="8" t="s">
        <v>742</v>
      </c>
      <c r="L1423" s="4"/>
      <c r="M1423" t="s">
        <v>681</v>
      </c>
      <c r="N1423" s="5">
        <v>30786229</v>
      </c>
      <c r="O1423" s="5">
        <v>55616</v>
      </c>
      <c r="P1423" s="5">
        <v>10567</v>
      </c>
      <c r="Q1423" s="5">
        <v>66183</v>
      </c>
    </row>
    <row r="1424" spans="1:17" x14ac:dyDescent="0.25">
      <c r="A1424" t="s">
        <v>512</v>
      </c>
      <c r="B1424" t="s">
        <v>494</v>
      </c>
      <c r="C1424">
        <v>96853150</v>
      </c>
      <c r="D1424">
        <v>1</v>
      </c>
      <c r="E1424">
        <v>30786052</v>
      </c>
      <c r="F1424" t="s">
        <v>660</v>
      </c>
      <c r="G1424" s="1">
        <v>45209</v>
      </c>
      <c r="H1424">
        <v>5400011</v>
      </c>
      <c r="I1424">
        <v>112</v>
      </c>
      <c r="J1424" t="s">
        <v>166</v>
      </c>
      <c r="K1424" s="8" t="s">
        <v>742</v>
      </c>
      <c r="L1424" s="4"/>
      <c r="M1424" t="s">
        <v>681</v>
      </c>
      <c r="N1424" s="5">
        <v>30786052</v>
      </c>
      <c r="O1424" s="5">
        <v>517624</v>
      </c>
      <c r="P1424" s="5">
        <v>98349</v>
      </c>
      <c r="Q1424" s="5">
        <v>615973</v>
      </c>
    </row>
    <row r="1425" spans="1:17" x14ac:dyDescent="0.25">
      <c r="A1425" t="s">
        <v>512</v>
      </c>
      <c r="B1425" t="s">
        <v>494</v>
      </c>
      <c r="C1425">
        <v>96853150</v>
      </c>
      <c r="D1425">
        <v>18</v>
      </c>
      <c r="E1425">
        <v>30788670</v>
      </c>
      <c r="F1425" t="s">
        <v>660</v>
      </c>
      <c r="G1425" s="1">
        <v>45209</v>
      </c>
      <c r="H1425">
        <v>5400511</v>
      </c>
      <c r="I1425">
        <v>112</v>
      </c>
      <c r="J1425" t="s">
        <v>166</v>
      </c>
      <c r="K1425" s="8" t="s">
        <v>742</v>
      </c>
      <c r="L1425" s="4"/>
      <c r="M1425" t="s">
        <v>681</v>
      </c>
      <c r="N1425" s="5">
        <v>30788670</v>
      </c>
      <c r="O1425" s="5">
        <v>93158</v>
      </c>
      <c r="P1425" s="5">
        <v>17700</v>
      </c>
      <c r="Q1425" s="5">
        <v>110858</v>
      </c>
    </row>
    <row r="1426" spans="1:17" x14ac:dyDescent="0.25">
      <c r="A1426" t="s">
        <v>512</v>
      </c>
      <c r="B1426" t="s">
        <v>494</v>
      </c>
      <c r="C1426">
        <v>96853150</v>
      </c>
      <c r="D1426">
        <v>31</v>
      </c>
      <c r="E1426">
        <v>30787501</v>
      </c>
      <c r="F1426" t="s">
        <v>660</v>
      </c>
      <c r="G1426" s="1">
        <v>45209</v>
      </c>
      <c r="H1426">
        <v>5400516</v>
      </c>
      <c r="I1426">
        <v>112</v>
      </c>
      <c r="J1426" t="s">
        <v>166</v>
      </c>
      <c r="K1426" s="8" t="s">
        <v>742</v>
      </c>
      <c r="L1426" s="4"/>
      <c r="M1426" t="s">
        <v>681</v>
      </c>
      <c r="N1426" s="5">
        <v>30787501</v>
      </c>
      <c r="O1426" s="5">
        <v>2008424</v>
      </c>
      <c r="P1426" s="5">
        <v>381601</v>
      </c>
      <c r="Q1426" s="5">
        <v>2390025</v>
      </c>
    </row>
    <row r="1427" spans="1:17" x14ac:dyDescent="0.25">
      <c r="A1427" t="s">
        <v>512</v>
      </c>
      <c r="B1427" t="s">
        <v>494</v>
      </c>
      <c r="C1427">
        <v>96853150</v>
      </c>
      <c r="D1427">
        <v>16</v>
      </c>
      <c r="E1427">
        <v>30787671</v>
      </c>
      <c r="F1427" t="s">
        <v>660</v>
      </c>
      <c r="G1427" s="1">
        <v>45209</v>
      </c>
      <c r="H1427">
        <v>5400517</v>
      </c>
      <c r="I1427">
        <v>112</v>
      </c>
      <c r="J1427" t="s">
        <v>166</v>
      </c>
      <c r="K1427" s="8" t="s">
        <v>742</v>
      </c>
      <c r="L1427" s="4"/>
      <c r="M1427" t="s">
        <v>681</v>
      </c>
      <c r="N1427" s="5">
        <v>30787671</v>
      </c>
      <c r="O1427" s="5">
        <v>94128</v>
      </c>
      <c r="P1427" s="5">
        <v>17884</v>
      </c>
      <c r="Q1427" s="5">
        <v>112012</v>
      </c>
    </row>
    <row r="1428" spans="1:17" x14ac:dyDescent="0.25">
      <c r="A1428" t="s">
        <v>512</v>
      </c>
      <c r="B1428" t="s">
        <v>494</v>
      </c>
      <c r="C1428">
        <v>96853150</v>
      </c>
      <c r="D1428">
        <v>24</v>
      </c>
      <c r="E1428">
        <v>30785992</v>
      </c>
      <c r="F1428" t="s">
        <v>660</v>
      </c>
      <c r="G1428" s="1">
        <v>45209</v>
      </c>
      <c r="H1428">
        <v>5400770</v>
      </c>
      <c r="I1428">
        <v>112</v>
      </c>
      <c r="J1428" t="s">
        <v>166</v>
      </c>
      <c r="K1428" s="8" t="s">
        <v>742</v>
      </c>
      <c r="L1428" s="4"/>
      <c r="M1428" t="s">
        <v>681</v>
      </c>
      <c r="N1428" s="5">
        <v>30785992</v>
      </c>
      <c r="O1428" s="5">
        <v>77340</v>
      </c>
      <c r="P1428" s="5">
        <v>14695</v>
      </c>
      <c r="Q1428" s="5">
        <v>92035</v>
      </c>
    </row>
    <row r="1429" spans="1:17" x14ac:dyDescent="0.25">
      <c r="A1429" t="s">
        <v>512</v>
      </c>
      <c r="B1429" t="s">
        <v>494</v>
      </c>
      <c r="C1429">
        <v>96853150</v>
      </c>
      <c r="D1429">
        <v>18</v>
      </c>
      <c r="E1429">
        <v>30788442</v>
      </c>
      <c r="F1429" t="s">
        <v>660</v>
      </c>
      <c r="G1429" s="1">
        <v>45209</v>
      </c>
      <c r="H1429">
        <v>5401283</v>
      </c>
      <c r="I1429">
        <v>112</v>
      </c>
      <c r="J1429" t="s">
        <v>166</v>
      </c>
      <c r="K1429" s="8" t="s">
        <v>742</v>
      </c>
      <c r="L1429" s="4"/>
      <c r="M1429" t="s">
        <v>681</v>
      </c>
      <c r="N1429" s="5">
        <v>30788442</v>
      </c>
      <c r="O1429" s="5">
        <v>57875</v>
      </c>
      <c r="P1429" s="5">
        <v>10996</v>
      </c>
      <c r="Q1429" s="5">
        <v>68871</v>
      </c>
    </row>
    <row r="1430" spans="1:17" x14ac:dyDescent="0.25">
      <c r="A1430" t="s">
        <v>512</v>
      </c>
      <c r="B1430" t="s">
        <v>494</v>
      </c>
      <c r="C1430">
        <v>96853150</v>
      </c>
      <c r="D1430">
        <v>7</v>
      </c>
      <c r="E1430">
        <v>30800943</v>
      </c>
      <c r="F1430" t="s">
        <v>660</v>
      </c>
      <c r="G1430" s="1">
        <v>45211</v>
      </c>
      <c r="H1430">
        <v>5402759</v>
      </c>
      <c r="I1430">
        <v>112</v>
      </c>
      <c r="J1430" t="s">
        <v>166</v>
      </c>
      <c r="K1430" s="8" t="s">
        <v>742</v>
      </c>
      <c r="L1430" s="4"/>
      <c r="M1430" t="s">
        <v>681</v>
      </c>
      <c r="N1430" s="5">
        <v>30800943</v>
      </c>
      <c r="O1430" s="5">
        <v>20437</v>
      </c>
      <c r="P1430" s="5">
        <v>3883</v>
      </c>
      <c r="Q1430" s="5">
        <v>24320</v>
      </c>
    </row>
    <row r="1431" spans="1:17" x14ac:dyDescent="0.25">
      <c r="A1431" t="s">
        <v>512</v>
      </c>
      <c r="B1431" t="s">
        <v>494</v>
      </c>
      <c r="C1431">
        <v>96853150</v>
      </c>
      <c r="D1431">
        <v>33</v>
      </c>
      <c r="E1431">
        <v>30800825</v>
      </c>
      <c r="F1431" t="s">
        <v>660</v>
      </c>
      <c r="G1431" s="1">
        <v>45211</v>
      </c>
      <c r="H1431">
        <v>5402861</v>
      </c>
      <c r="I1431">
        <v>112</v>
      </c>
      <c r="J1431" t="s">
        <v>166</v>
      </c>
      <c r="K1431" s="8" t="s">
        <v>742</v>
      </c>
      <c r="L1431" s="4"/>
      <c r="M1431" t="s">
        <v>681</v>
      </c>
      <c r="N1431" s="5">
        <v>30800825</v>
      </c>
      <c r="O1431" s="5">
        <v>194894</v>
      </c>
      <c r="P1431" s="5">
        <v>37030</v>
      </c>
      <c r="Q1431" s="5">
        <v>231924</v>
      </c>
    </row>
    <row r="1432" spans="1:17" x14ac:dyDescent="0.25">
      <c r="A1432" t="s">
        <v>512</v>
      </c>
      <c r="B1432" t="s">
        <v>494</v>
      </c>
      <c r="C1432">
        <v>96853150</v>
      </c>
      <c r="D1432">
        <v>16</v>
      </c>
      <c r="E1432">
        <v>30800980</v>
      </c>
      <c r="F1432" t="s">
        <v>660</v>
      </c>
      <c r="G1432" s="1">
        <v>45211</v>
      </c>
      <c r="H1432">
        <v>5402898</v>
      </c>
      <c r="I1432">
        <v>112</v>
      </c>
      <c r="J1432" t="s">
        <v>166</v>
      </c>
      <c r="K1432" s="8" t="s">
        <v>742</v>
      </c>
      <c r="L1432" s="4"/>
      <c r="M1432" t="s">
        <v>681</v>
      </c>
      <c r="N1432" s="5">
        <v>30800980</v>
      </c>
      <c r="O1432" s="5">
        <v>58600</v>
      </c>
      <c r="P1432" s="5">
        <v>11134</v>
      </c>
      <c r="Q1432" s="5">
        <v>69734</v>
      </c>
    </row>
    <row r="1433" spans="1:17" x14ac:dyDescent="0.25">
      <c r="A1433" t="s">
        <v>512</v>
      </c>
      <c r="B1433" t="s">
        <v>494</v>
      </c>
      <c r="C1433">
        <v>96853150</v>
      </c>
      <c r="D1433">
        <v>7</v>
      </c>
      <c r="E1433">
        <v>30800950</v>
      </c>
      <c r="F1433" t="s">
        <v>660</v>
      </c>
      <c r="G1433" s="1">
        <v>45211</v>
      </c>
      <c r="H1433">
        <v>5402899</v>
      </c>
      <c r="I1433">
        <v>112</v>
      </c>
      <c r="J1433" t="s">
        <v>166</v>
      </c>
      <c r="K1433" s="8" t="s">
        <v>742</v>
      </c>
      <c r="L1433" s="4"/>
      <c r="M1433" t="s">
        <v>681</v>
      </c>
      <c r="N1433" s="5">
        <v>30800950</v>
      </c>
      <c r="O1433" s="5">
        <v>39302</v>
      </c>
      <c r="P1433" s="5">
        <v>7467</v>
      </c>
      <c r="Q1433" s="5">
        <v>46769</v>
      </c>
    </row>
    <row r="1434" spans="1:17" x14ac:dyDescent="0.25">
      <c r="A1434" t="s">
        <v>512</v>
      </c>
      <c r="B1434" t="s">
        <v>494</v>
      </c>
      <c r="C1434">
        <v>96853150</v>
      </c>
      <c r="D1434">
        <v>5</v>
      </c>
      <c r="E1434">
        <v>30800963</v>
      </c>
      <c r="F1434" t="s">
        <v>660</v>
      </c>
      <c r="G1434" s="1">
        <v>45211</v>
      </c>
      <c r="H1434">
        <v>5402950</v>
      </c>
      <c r="I1434">
        <v>112</v>
      </c>
      <c r="J1434" t="s">
        <v>166</v>
      </c>
      <c r="K1434" s="8" t="s">
        <v>742</v>
      </c>
      <c r="L1434" s="4"/>
      <c r="M1434" t="s">
        <v>681</v>
      </c>
      <c r="N1434" s="5">
        <v>30800963</v>
      </c>
      <c r="O1434" s="5">
        <v>77528</v>
      </c>
      <c r="P1434" s="5">
        <v>14730</v>
      </c>
      <c r="Q1434" s="5">
        <v>92258</v>
      </c>
    </row>
    <row r="1435" spans="1:17" x14ac:dyDescent="0.25">
      <c r="A1435" t="s">
        <v>512</v>
      </c>
      <c r="B1435" t="s">
        <v>494</v>
      </c>
      <c r="C1435">
        <v>96853150</v>
      </c>
      <c r="D1435">
        <v>29</v>
      </c>
      <c r="E1435">
        <v>30803660</v>
      </c>
      <c r="F1435" t="s">
        <v>660</v>
      </c>
      <c r="G1435" s="1">
        <v>45212</v>
      </c>
      <c r="H1435">
        <v>5403368</v>
      </c>
      <c r="I1435">
        <v>112</v>
      </c>
      <c r="J1435" t="s">
        <v>166</v>
      </c>
      <c r="K1435" s="8" t="s">
        <v>742</v>
      </c>
      <c r="L1435" s="4"/>
      <c r="M1435" t="s">
        <v>681</v>
      </c>
      <c r="N1435" s="5">
        <v>30803660</v>
      </c>
      <c r="O1435" s="5">
        <v>181182</v>
      </c>
      <c r="P1435" s="5">
        <v>34425</v>
      </c>
      <c r="Q1435" s="5">
        <v>215607</v>
      </c>
    </row>
    <row r="1436" spans="1:17" x14ac:dyDescent="0.25">
      <c r="A1436" t="s">
        <v>512</v>
      </c>
      <c r="B1436" t="s">
        <v>494</v>
      </c>
      <c r="C1436">
        <v>96853150</v>
      </c>
      <c r="D1436">
        <v>37</v>
      </c>
      <c r="E1436">
        <v>30803630</v>
      </c>
      <c r="F1436" t="s">
        <v>660</v>
      </c>
      <c r="G1436" s="1">
        <v>45212</v>
      </c>
      <c r="H1436">
        <v>5403408</v>
      </c>
      <c r="I1436">
        <v>112</v>
      </c>
      <c r="J1436" t="s">
        <v>166</v>
      </c>
      <c r="K1436" s="8" t="s">
        <v>742</v>
      </c>
      <c r="L1436" s="4"/>
      <c r="M1436" t="s">
        <v>681</v>
      </c>
      <c r="N1436" s="5">
        <v>30803630</v>
      </c>
      <c r="O1436" s="5">
        <v>189311</v>
      </c>
      <c r="P1436" s="5">
        <v>35969</v>
      </c>
      <c r="Q1436" s="5">
        <v>225280</v>
      </c>
    </row>
    <row r="1437" spans="1:17" x14ac:dyDescent="0.25">
      <c r="A1437" t="s">
        <v>512</v>
      </c>
      <c r="B1437" t="s">
        <v>494</v>
      </c>
      <c r="C1437">
        <v>96853150</v>
      </c>
      <c r="D1437">
        <v>36</v>
      </c>
      <c r="E1437">
        <v>30805683</v>
      </c>
      <c r="F1437" t="s">
        <v>660</v>
      </c>
      <c r="G1437" s="1">
        <v>45212</v>
      </c>
      <c r="H1437">
        <v>5403593</v>
      </c>
      <c r="I1437">
        <v>112</v>
      </c>
      <c r="J1437" t="s">
        <v>166</v>
      </c>
      <c r="K1437" s="8" t="s">
        <v>742</v>
      </c>
      <c r="L1437" s="4"/>
      <c r="M1437" t="s">
        <v>681</v>
      </c>
      <c r="N1437" s="5">
        <v>30805683</v>
      </c>
      <c r="O1437" s="5">
        <v>141408</v>
      </c>
      <c r="P1437" s="5">
        <v>26868</v>
      </c>
      <c r="Q1437" s="5">
        <v>168276</v>
      </c>
    </row>
    <row r="1438" spans="1:17" x14ac:dyDescent="0.25">
      <c r="A1438" t="s">
        <v>512</v>
      </c>
      <c r="B1438" t="s">
        <v>494</v>
      </c>
      <c r="C1438">
        <v>96853150</v>
      </c>
      <c r="D1438">
        <v>37</v>
      </c>
      <c r="E1438">
        <v>30803638</v>
      </c>
      <c r="F1438" t="s">
        <v>660</v>
      </c>
      <c r="G1438" s="1">
        <v>45212</v>
      </c>
      <c r="H1438">
        <v>5403639</v>
      </c>
      <c r="I1438">
        <v>112</v>
      </c>
      <c r="J1438" t="s">
        <v>166</v>
      </c>
      <c r="K1438" s="8" t="s">
        <v>742</v>
      </c>
      <c r="L1438" s="4"/>
      <c r="M1438" t="s">
        <v>681</v>
      </c>
      <c r="N1438" s="5">
        <v>30803638</v>
      </c>
      <c r="O1438" s="5">
        <v>194707</v>
      </c>
      <c r="P1438" s="5">
        <v>36994</v>
      </c>
      <c r="Q1438" s="5">
        <v>231701</v>
      </c>
    </row>
    <row r="1439" spans="1:17" x14ac:dyDescent="0.25">
      <c r="A1439" t="s">
        <v>512</v>
      </c>
      <c r="B1439" t="s">
        <v>494</v>
      </c>
      <c r="C1439">
        <v>96853150</v>
      </c>
      <c r="D1439">
        <v>41</v>
      </c>
      <c r="E1439">
        <v>30806009</v>
      </c>
      <c r="F1439" t="s">
        <v>660</v>
      </c>
      <c r="G1439" s="1">
        <v>45212</v>
      </c>
      <c r="H1439">
        <v>5403755</v>
      </c>
      <c r="I1439">
        <v>112</v>
      </c>
      <c r="J1439" t="s">
        <v>166</v>
      </c>
      <c r="K1439" s="8" t="s">
        <v>742</v>
      </c>
      <c r="L1439" s="4"/>
      <c r="M1439" t="s">
        <v>681</v>
      </c>
      <c r="N1439" s="5">
        <v>30806009</v>
      </c>
      <c r="O1439" s="5">
        <v>87248</v>
      </c>
      <c r="P1439" s="5">
        <v>16577</v>
      </c>
      <c r="Q1439" s="5">
        <v>103825</v>
      </c>
    </row>
    <row r="1440" spans="1:17" x14ac:dyDescent="0.25">
      <c r="A1440" t="s">
        <v>512</v>
      </c>
      <c r="B1440" t="s">
        <v>494</v>
      </c>
      <c r="C1440">
        <v>96853150</v>
      </c>
      <c r="D1440">
        <v>41</v>
      </c>
      <c r="E1440">
        <v>30805766</v>
      </c>
      <c r="F1440" t="s">
        <v>660</v>
      </c>
      <c r="G1440" s="1">
        <v>45212</v>
      </c>
      <c r="H1440">
        <v>5403767</v>
      </c>
      <c r="I1440">
        <v>112</v>
      </c>
      <c r="J1440" t="s">
        <v>166</v>
      </c>
      <c r="K1440" s="8" t="s">
        <v>742</v>
      </c>
      <c r="L1440" s="4"/>
      <c r="M1440" t="s">
        <v>681</v>
      </c>
      <c r="N1440" s="5">
        <v>30805766</v>
      </c>
      <c r="O1440" s="5">
        <v>79418</v>
      </c>
      <c r="P1440" s="5">
        <v>15089</v>
      </c>
      <c r="Q1440" s="5">
        <v>94507</v>
      </c>
    </row>
    <row r="1441" spans="1:17" x14ac:dyDescent="0.25">
      <c r="A1441" t="s">
        <v>512</v>
      </c>
      <c r="B1441" t="s">
        <v>494</v>
      </c>
      <c r="C1441">
        <v>96853150</v>
      </c>
      <c r="D1441">
        <v>36</v>
      </c>
      <c r="E1441">
        <v>30805913</v>
      </c>
      <c r="F1441" t="s">
        <v>660</v>
      </c>
      <c r="G1441" s="1">
        <v>45212</v>
      </c>
      <c r="H1441">
        <v>5403771</v>
      </c>
      <c r="I1441">
        <v>112</v>
      </c>
      <c r="J1441" t="s">
        <v>166</v>
      </c>
      <c r="K1441" s="8" t="s">
        <v>742</v>
      </c>
      <c r="L1441" s="4"/>
      <c r="M1441" t="s">
        <v>681</v>
      </c>
      <c r="N1441" s="5">
        <v>30805913</v>
      </c>
      <c r="O1441" s="5">
        <v>123010</v>
      </c>
      <c r="P1441" s="5">
        <v>23372</v>
      </c>
      <c r="Q1441" s="5">
        <v>146382</v>
      </c>
    </row>
    <row r="1442" spans="1:17" x14ac:dyDescent="0.25">
      <c r="A1442" t="s">
        <v>512</v>
      </c>
      <c r="B1442" t="s">
        <v>494</v>
      </c>
      <c r="C1442">
        <v>96853150</v>
      </c>
      <c r="D1442">
        <v>36</v>
      </c>
      <c r="E1442">
        <v>30805821</v>
      </c>
      <c r="F1442" t="s">
        <v>660</v>
      </c>
      <c r="G1442" s="1">
        <v>45212</v>
      </c>
      <c r="H1442">
        <v>5403777</v>
      </c>
      <c r="I1442">
        <v>112</v>
      </c>
      <c r="J1442" t="s">
        <v>166</v>
      </c>
      <c r="K1442" s="8" t="s">
        <v>742</v>
      </c>
      <c r="L1442" s="4"/>
      <c r="M1442" t="s">
        <v>681</v>
      </c>
      <c r="N1442" s="5">
        <v>30805821</v>
      </c>
      <c r="O1442" s="5">
        <v>114324</v>
      </c>
      <c r="P1442" s="5">
        <v>21722</v>
      </c>
      <c r="Q1442" s="5">
        <v>136046</v>
      </c>
    </row>
    <row r="1443" spans="1:17" x14ac:dyDescent="0.25">
      <c r="A1443" t="s">
        <v>512</v>
      </c>
      <c r="B1443" t="s">
        <v>494</v>
      </c>
      <c r="C1443">
        <v>96853150</v>
      </c>
      <c r="D1443">
        <v>41</v>
      </c>
      <c r="E1443">
        <v>30812900</v>
      </c>
      <c r="F1443" t="s">
        <v>660</v>
      </c>
      <c r="G1443" s="1">
        <v>45216</v>
      </c>
      <c r="H1443">
        <v>5405545</v>
      </c>
      <c r="I1443">
        <v>112</v>
      </c>
      <c r="J1443" t="s">
        <v>166</v>
      </c>
      <c r="K1443" s="8" t="s">
        <v>742</v>
      </c>
      <c r="L1443" s="4"/>
      <c r="M1443" t="s">
        <v>681</v>
      </c>
      <c r="N1443" s="5">
        <v>30812900</v>
      </c>
      <c r="O1443" s="5">
        <v>37644</v>
      </c>
      <c r="P1443" s="5">
        <v>7152</v>
      </c>
      <c r="Q1443" s="5">
        <v>44796</v>
      </c>
    </row>
    <row r="1444" spans="1:17" x14ac:dyDescent="0.25">
      <c r="A1444" t="s">
        <v>512</v>
      </c>
      <c r="B1444" t="s">
        <v>494</v>
      </c>
      <c r="C1444">
        <v>96853150</v>
      </c>
      <c r="D1444">
        <v>37</v>
      </c>
      <c r="E1444">
        <v>30813046</v>
      </c>
      <c r="F1444" t="s">
        <v>660</v>
      </c>
      <c r="G1444" s="1">
        <v>45216</v>
      </c>
      <c r="H1444">
        <v>5405653</v>
      </c>
      <c r="I1444">
        <v>112</v>
      </c>
      <c r="J1444" t="s">
        <v>166</v>
      </c>
      <c r="K1444" s="8" t="s">
        <v>742</v>
      </c>
      <c r="L1444" s="4"/>
      <c r="M1444" t="s">
        <v>681</v>
      </c>
      <c r="N1444" s="5">
        <v>30813046</v>
      </c>
      <c r="O1444" s="5">
        <v>121799</v>
      </c>
      <c r="P1444" s="5">
        <v>23142</v>
      </c>
      <c r="Q1444" s="5">
        <v>144941</v>
      </c>
    </row>
    <row r="1445" spans="1:17" x14ac:dyDescent="0.25">
      <c r="A1445" t="s">
        <v>512</v>
      </c>
      <c r="B1445" t="s">
        <v>494</v>
      </c>
      <c r="C1445">
        <v>96853150</v>
      </c>
      <c r="D1445">
        <v>30</v>
      </c>
      <c r="E1445">
        <v>30813100</v>
      </c>
      <c r="F1445" t="s">
        <v>660</v>
      </c>
      <c r="G1445" s="1">
        <v>45216</v>
      </c>
      <c r="H1445">
        <v>5405671</v>
      </c>
      <c r="I1445">
        <v>112</v>
      </c>
      <c r="J1445" t="s">
        <v>166</v>
      </c>
      <c r="K1445" s="8" t="s">
        <v>742</v>
      </c>
      <c r="L1445" s="4"/>
      <c r="M1445" t="s">
        <v>681</v>
      </c>
      <c r="N1445" s="5">
        <v>30813100</v>
      </c>
      <c r="O1445" s="5">
        <v>69642</v>
      </c>
      <c r="P1445" s="5">
        <v>13232</v>
      </c>
      <c r="Q1445" s="5">
        <v>82874</v>
      </c>
    </row>
    <row r="1446" spans="1:17" x14ac:dyDescent="0.25">
      <c r="A1446" t="s">
        <v>512</v>
      </c>
      <c r="B1446" t="s">
        <v>494</v>
      </c>
      <c r="C1446">
        <v>96853150</v>
      </c>
      <c r="D1446">
        <v>12</v>
      </c>
      <c r="E1446">
        <v>30814693</v>
      </c>
      <c r="F1446" t="s">
        <v>660</v>
      </c>
      <c r="G1446" s="1">
        <v>45217</v>
      </c>
      <c r="H1446">
        <v>5405921</v>
      </c>
      <c r="I1446">
        <v>112</v>
      </c>
      <c r="J1446" t="s">
        <v>166</v>
      </c>
      <c r="K1446" s="8" t="s">
        <v>742</v>
      </c>
      <c r="L1446" s="4"/>
      <c r="M1446" t="s">
        <v>681</v>
      </c>
      <c r="N1446" s="5">
        <v>30814693</v>
      </c>
      <c r="O1446" s="5">
        <v>81083</v>
      </c>
      <c r="P1446" s="5">
        <v>15406</v>
      </c>
      <c r="Q1446" s="5">
        <v>96489</v>
      </c>
    </row>
    <row r="1447" spans="1:17" x14ac:dyDescent="0.25">
      <c r="A1447" t="s">
        <v>512</v>
      </c>
      <c r="B1447" t="s">
        <v>494</v>
      </c>
      <c r="C1447">
        <v>96853150</v>
      </c>
      <c r="D1447">
        <v>12</v>
      </c>
      <c r="E1447">
        <v>30814690</v>
      </c>
      <c r="F1447" t="s">
        <v>660</v>
      </c>
      <c r="G1447" s="1">
        <v>45217</v>
      </c>
      <c r="H1447">
        <v>5406002</v>
      </c>
      <c r="I1447">
        <v>112</v>
      </c>
      <c r="J1447" t="s">
        <v>166</v>
      </c>
      <c r="K1447" s="8" t="s">
        <v>742</v>
      </c>
      <c r="L1447" s="4"/>
      <c r="M1447" t="s">
        <v>681</v>
      </c>
      <c r="N1447" s="5">
        <v>30814690</v>
      </c>
      <c r="O1447" s="5">
        <v>47635</v>
      </c>
      <c r="P1447" s="5">
        <v>9051</v>
      </c>
      <c r="Q1447" s="5">
        <v>56686</v>
      </c>
    </row>
    <row r="1448" spans="1:17" x14ac:dyDescent="0.25">
      <c r="A1448" t="s">
        <v>512</v>
      </c>
      <c r="B1448" t="s">
        <v>494</v>
      </c>
      <c r="C1448">
        <v>96853150</v>
      </c>
      <c r="D1448">
        <v>24</v>
      </c>
      <c r="E1448">
        <v>30815062</v>
      </c>
      <c r="F1448" t="s">
        <v>660</v>
      </c>
      <c r="G1448" s="1">
        <v>45217</v>
      </c>
      <c r="H1448">
        <v>5406081</v>
      </c>
      <c r="I1448">
        <v>112</v>
      </c>
      <c r="J1448" t="s">
        <v>166</v>
      </c>
      <c r="K1448" s="8" t="s">
        <v>742</v>
      </c>
      <c r="L1448" s="4"/>
      <c r="M1448" t="s">
        <v>681</v>
      </c>
      <c r="N1448" s="5">
        <v>30815062</v>
      </c>
      <c r="O1448" s="5">
        <v>33562</v>
      </c>
      <c r="P1448" s="5">
        <v>6377</v>
      </c>
      <c r="Q1448" s="5">
        <v>39939</v>
      </c>
    </row>
    <row r="1449" spans="1:17" x14ac:dyDescent="0.25">
      <c r="A1449" t="s">
        <v>512</v>
      </c>
      <c r="B1449" t="s">
        <v>494</v>
      </c>
      <c r="C1449">
        <v>96853150</v>
      </c>
      <c r="D1449">
        <v>5</v>
      </c>
      <c r="E1449">
        <v>30772957</v>
      </c>
      <c r="F1449" t="s">
        <v>660</v>
      </c>
      <c r="G1449" s="1">
        <v>45218</v>
      </c>
      <c r="H1449">
        <v>5406477</v>
      </c>
      <c r="I1449">
        <v>112</v>
      </c>
      <c r="J1449" t="s">
        <v>166</v>
      </c>
      <c r="K1449" s="8" t="s">
        <v>742</v>
      </c>
      <c r="L1449" s="4"/>
      <c r="M1449" t="s">
        <v>681</v>
      </c>
      <c r="N1449" s="5">
        <v>30772958</v>
      </c>
      <c r="O1449" s="5">
        <v>5656</v>
      </c>
      <c r="P1449" s="5">
        <v>1075</v>
      </c>
      <c r="Q1449" s="5">
        <v>6731</v>
      </c>
    </row>
    <row r="1450" spans="1:17" x14ac:dyDescent="0.25">
      <c r="A1450" t="s">
        <v>512</v>
      </c>
      <c r="B1450" t="s">
        <v>494</v>
      </c>
      <c r="C1450">
        <v>96853150</v>
      </c>
      <c r="D1450">
        <v>24</v>
      </c>
      <c r="E1450">
        <v>30822270</v>
      </c>
      <c r="F1450" t="s">
        <v>660</v>
      </c>
      <c r="G1450" s="1">
        <v>45219</v>
      </c>
      <c r="H1450">
        <v>5406967</v>
      </c>
      <c r="I1450">
        <v>112</v>
      </c>
      <c r="J1450" t="s">
        <v>166</v>
      </c>
      <c r="K1450" s="8" t="s">
        <v>742</v>
      </c>
      <c r="L1450" s="4"/>
      <c r="M1450" t="s">
        <v>681</v>
      </c>
      <c r="N1450" s="5">
        <v>30822270</v>
      </c>
      <c r="O1450" s="5">
        <v>39804</v>
      </c>
      <c r="P1450" s="5">
        <v>7563</v>
      </c>
      <c r="Q1450" s="5">
        <v>47367</v>
      </c>
    </row>
    <row r="1451" spans="1:17" x14ac:dyDescent="0.25">
      <c r="A1451" t="s">
        <v>512</v>
      </c>
      <c r="B1451" t="s">
        <v>494</v>
      </c>
      <c r="C1451">
        <v>96853150</v>
      </c>
      <c r="D1451">
        <v>21</v>
      </c>
      <c r="E1451">
        <v>30822423</v>
      </c>
      <c r="F1451" t="s">
        <v>660</v>
      </c>
      <c r="G1451" s="1">
        <v>45219</v>
      </c>
      <c r="H1451">
        <v>5407033</v>
      </c>
      <c r="I1451">
        <v>112</v>
      </c>
      <c r="J1451" t="s">
        <v>166</v>
      </c>
      <c r="K1451" s="8" t="s">
        <v>742</v>
      </c>
      <c r="L1451" s="4"/>
      <c r="M1451" t="s">
        <v>681</v>
      </c>
      <c r="N1451" s="5">
        <v>30822423</v>
      </c>
      <c r="O1451" s="5">
        <v>89856</v>
      </c>
      <c r="P1451" s="5">
        <v>17073</v>
      </c>
      <c r="Q1451" s="5">
        <v>106929</v>
      </c>
    </row>
    <row r="1452" spans="1:17" x14ac:dyDescent="0.25">
      <c r="A1452" t="s">
        <v>512</v>
      </c>
      <c r="B1452" t="s">
        <v>494</v>
      </c>
      <c r="C1452">
        <v>96853150</v>
      </c>
      <c r="D1452">
        <v>16</v>
      </c>
      <c r="E1452">
        <v>30822452</v>
      </c>
      <c r="F1452" t="s">
        <v>660</v>
      </c>
      <c r="G1452" s="1">
        <v>45219</v>
      </c>
      <c r="H1452">
        <v>5407088</v>
      </c>
      <c r="I1452">
        <v>112</v>
      </c>
      <c r="J1452" t="s">
        <v>166</v>
      </c>
      <c r="K1452" s="8" t="s">
        <v>742</v>
      </c>
      <c r="L1452" s="4"/>
      <c r="M1452" t="s">
        <v>681</v>
      </c>
      <c r="N1452" s="5">
        <v>30822452</v>
      </c>
      <c r="O1452" s="5">
        <v>85602</v>
      </c>
      <c r="P1452" s="5">
        <v>16264</v>
      </c>
      <c r="Q1452" s="5">
        <v>101866</v>
      </c>
    </row>
    <row r="1453" spans="1:17" x14ac:dyDescent="0.25">
      <c r="A1453" t="s">
        <v>512</v>
      </c>
      <c r="B1453" t="s">
        <v>494</v>
      </c>
      <c r="C1453">
        <v>96853150</v>
      </c>
      <c r="D1453">
        <v>36</v>
      </c>
      <c r="E1453">
        <v>30827499</v>
      </c>
      <c r="F1453" t="s">
        <v>660</v>
      </c>
      <c r="G1453" s="1">
        <v>45222</v>
      </c>
      <c r="H1453">
        <v>5408079</v>
      </c>
      <c r="I1453">
        <v>112</v>
      </c>
      <c r="J1453" t="s">
        <v>166</v>
      </c>
      <c r="K1453" s="8" t="s">
        <v>742</v>
      </c>
      <c r="L1453" s="4"/>
      <c r="M1453" t="s">
        <v>681</v>
      </c>
      <c r="N1453" s="5">
        <v>30827499</v>
      </c>
      <c r="O1453" s="5">
        <v>76695</v>
      </c>
      <c r="P1453" s="5">
        <v>14572</v>
      </c>
      <c r="Q1453" s="5">
        <v>91267</v>
      </c>
    </row>
    <row r="1454" spans="1:17" x14ac:dyDescent="0.25">
      <c r="A1454" t="s">
        <v>512</v>
      </c>
      <c r="B1454" t="s">
        <v>494</v>
      </c>
      <c r="C1454">
        <v>96853150</v>
      </c>
      <c r="D1454">
        <v>23</v>
      </c>
      <c r="E1454">
        <v>4702727849</v>
      </c>
      <c r="F1454" t="s">
        <v>660</v>
      </c>
      <c r="G1454" s="1">
        <v>45230</v>
      </c>
      <c r="H1454">
        <v>5410223</v>
      </c>
      <c r="I1454">
        <v>63</v>
      </c>
      <c r="J1454" t="s">
        <v>170</v>
      </c>
      <c r="K1454" s="8" t="s">
        <v>742</v>
      </c>
      <c r="L1454" s="4"/>
      <c r="M1454" t="s">
        <v>681</v>
      </c>
      <c r="N1454" s="5">
        <v>30842470</v>
      </c>
      <c r="O1454" s="5">
        <v>199260</v>
      </c>
      <c r="P1454" s="5">
        <v>37859</v>
      </c>
      <c r="Q1454" s="5">
        <v>237119</v>
      </c>
    </row>
    <row r="1455" spans="1:17" x14ac:dyDescent="0.25">
      <c r="F1455" t="s">
        <v>816</v>
      </c>
      <c r="K1455" t="s">
        <v>681</v>
      </c>
      <c r="L1455" s="4"/>
      <c r="M1455" t="s">
        <v>681</v>
      </c>
      <c r="N1455" s="5"/>
      <c r="O1455" s="5">
        <v>13184783</v>
      </c>
      <c r="P1455" s="5">
        <v>2505110</v>
      </c>
      <c r="Q1455" s="5">
        <v>15703543</v>
      </c>
    </row>
    <row r="1456" spans="1:17" x14ac:dyDescent="0.25">
      <c r="A1456" t="s">
        <v>503</v>
      </c>
      <c r="B1456" t="s">
        <v>494</v>
      </c>
      <c r="C1456">
        <v>96863570</v>
      </c>
      <c r="D1456">
        <v>1</v>
      </c>
      <c r="E1456" t="s">
        <v>662</v>
      </c>
      <c r="F1456" t="s">
        <v>817</v>
      </c>
      <c r="G1456" s="1">
        <v>45203</v>
      </c>
      <c r="H1456">
        <v>5397086</v>
      </c>
      <c r="I1456">
        <v>18</v>
      </c>
      <c r="J1456" t="s">
        <v>168</v>
      </c>
      <c r="K1456" s="8" t="s">
        <v>742</v>
      </c>
      <c r="L1456" s="4"/>
      <c r="M1456" t="s">
        <v>681</v>
      </c>
      <c r="N1456" s="5">
        <v>30719908</v>
      </c>
      <c r="O1456" s="5">
        <v>133204</v>
      </c>
      <c r="P1456" s="5">
        <v>25309</v>
      </c>
      <c r="Q1456" s="5">
        <v>159699</v>
      </c>
    </row>
    <row r="1457" spans="1:17" x14ac:dyDescent="0.25">
      <c r="F1457" t="s">
        <v>495</v>
      </c>
      <c r="K1457" t="s">
        <v>681</v>
      </c>
      <c r="L1457" s="4"/>
      <c r="M1457" t="s">
        <v>681</v>
      </c>
      <c r="N1457" s="5"/>
      <c r="O1457" s="5">
        <v>133204</v>
      </c>
      <c r="P1457" s="5">
        <v>25309</v>
      </c>
      <c r="Q1457" s="5">
        <v>159699</v>
      </c>
    </row>
    <row r="1458" spans="1:17" x14ac:dyDescent="0.25">
      <c r="A1458" t="s">
        <v>512</v>
      </c>
      <c r="B1458" t="s">
        <v>494</v>
      </c>
      <c r="C1458">
        <v>96874030</v>
      </c>
      <c r="D1458">
        <v>31</v>
      </c>
      <c r="E1458">
        <v>30771016</v>
      </c>
      <c r="F1458" t="s">
        <v>663</v>
      </c>
      <c r="G1458" s="1">
        <v>45202</v>
      </c>
      <c r="H1458">
        <v>5395564</v>
      </c>
      <c r="I1458">
        <v>348</v>
      </c>
      <c r="J1458" t="s">
        <v>293</v>
      </c>
      <c r="K1458" t="s">
        <v>681</v>
      </c>
      <c r="L1458" s="4"/>
      <c r="M1458" t="s">
        <v>681</v>
      </c>
      <c r="N1458" s="5">
        <v>30771016</v>
      </c>
      <c r="O1458" s="5">
        <v>23938</v>
      </c>
      <c r="P1458" s="5">
        <v>4548</v>
      </c>
      <c r="Q1458" s="5">
        <v>28486</v>
      </c>
    </row>
    <row r="1459" spans="1:17" x14ac:dyDescent="0.25">
      <c r="A1459" t="s">
        <v>512</v>
      </c>
      <c r="B1459" t="s">
        <v>494</v>
      </c>
      <c r="C1459">
        <v>96874030</v>
      </c>
      <c r="D1459">
        <v>58</v>
      </c>
      <c r="E1459">
        <v>30771004</v>
      </c>
      <c r="F1459" t="s">
        <v>663</v>
      </c>
      <c r="G1459" s="1">
        <v>45202</v>
      </c>
      <c r="H1459">
        <v>5395645</v>
      </c>
      <c r="I1459">
        <v>348</v>
      </c>
      <c r="J1459" t="s">
        <v>293</v>
      </c>
      <c r="K1459" t="s">
        <v>681</v>
      </c>
      <c r="L1459" s="4"/>
      <c r="M1459" t="s">
        <v>681</v>
      </c>
      <c r="N1459" s="5">
        <v>30771004</v>
      </c>
      <c r="O1459" s="5">
        <v>20743</v>
      </c>
      <c r="P1459" s="5">
        <v>3941</v>
      </c>
      <c r="Q1459" s="5">
        <v>24684</v>
      </c>
    </row>
    <row r="1460" spans="1:17" x14ac:dyDescent="0.25">
      <c r="A1460" t="s">
        <v>512</v>
      </c>
      <c r="B1460" t="s">
        <v>494</v>
      </c>
      <c r="C1460">
        <v>96874030</v>
      </c>
      <c r="D1460">
        <v>29</v>
      </c>
      <c r="E1460">
        <v>30787449</v>
      </c>
      <c r="F1460" t="s">
        <v>663</v>
      </c>
      <c r="G1460" s="1">
        <v>45206</v>
      </c>
      <c r="H1460">
        <v>5399147</v>
      </c>
      <c r="I1460">
        <v>348</v>
      </c>
      <c r="J1460" t="s">
        <v>293</v>
      </c>
      <c r="K1460" t="s">
        <v>681</v>
      </c>
      <c r="L1460" s="4"/>
      <c r="M1460" t="s">
        <v>681</v>
      </c>
      <c r="N1460" s="5">
        <v>30787449</v>
      </c>
      <c r="O1460" s="5">
        <v>22328</v>
      </c>
      <c r="P1460" s="5">
        <v>4242</v>
      </c>
      <c r="Q1460" s="5">
        <v>26570</v>
      </c>
    </row>
    <row r="1461" spans="1:17" x14ac:dyDescent="0.25">
      <c r="A1461" t="s">
        <v>512</v>
      </c>
      <c r="B1461" t="s">
        <v>494</v>
      </c>
      <c r="C1461">
        <v>96874030</v>
      </c>
      <c r="D1461">
        <v>58</v>
      </c>
      <c r="E1461">
        <v>30797105</v>
      </c>
      <c r="F1461" t="s">
        <v>663</v>
      </c>
      <c r="G1461" s="1">
        <v>45210</v>
      </c>
      <c r="H1461">
        <v>5401822</v>
      </c>
      <c r="I1461">
        <v>348</v>
      </c>
      <c r="J1461" t="s">
        <v>293</v>
      </c>
      <c r="K1461" t="s">
        <v>681</v>
      </c>
      <c r="L1461" s="4"/>
      <c r="M1461" t="s">
        <v>681</v>
      </c>
      <c r="N1461" s="5">
        <v>30797105</v>
      </c>
      <c r="O1461" s="5">
        <v>31908</v>
      </c>
      <c r="P1461" s="5">
        <v>6063</v>
      </c>
      <c r="Q1461" s="5">
        <v>37971</v>
      </c>
    </row>
    <row r="1462" spans="1:17" x14ac:dyDescent="0.25">
      <c r="A1462" t="s">
        <v>512</v>
      </c>
      <c r="B1462" t="s">
        <v>494</v>
      </c>
      <c r="C1462">
        <v>96874030</v>
      </c>
      <c r="D1462">
        <v>63</v>
      </c>
      <c r="E1462">
        <v>30801409</v>
      </c>
      <c r="F1462" t="s">
        <v>663</v>
      </c>
      <c r="G1462" s="1">
        <v>45211</v>
      </c>
      <c r="H1462">
        <v>5402880</v>
      </c>
      <c r="I1462">
        <v>348</v>
      </c>
      <c r="J1462" t="s">
        <v>293</v>
      </c>
      <c r="K1462" t="s">
        <v>681</v>
      </c>
      <c r="L1462" s="4"/>
      <c r="M1462" t="s">
        <v>681</v>
      </c>
      <c r="N1462" s="5">
        <v>30801409</v>
      </c>
      <c r="O1462" s="5">
        <v>23216</v>
      </c>
      <c r="P1462" s="5">
        <v>4411</v>
      </c>
      <c r="Q1462" s="5">
        <v>27627</v>
      </c>
    </row>
    <row r="1463" spans="1:17" x14ac:dyDescent="0.25">
      <c r="A1463" t="s">
        <v>512</v>
      </c>
      <c r="B1463" t="s">
        <v>494</v>
      </c>
      <c r="C1463">
        <v>96874030</v>
      </c>
      <c r="D1463">
        <v>41</v>
      </c>
      <c r="E1463">
        <v>30803903</v>
      </c>
      <c r="F1463" t="s">
        <v>663</v>
      </c>
      <c r="G1463" s="1">
        <v>45212</v>
      </c>
      <c r="H1463">
        <v>5403300</v>
      </c>
      <c r="I1463">
        <v>348</v>
      </c>
      <c r="J1463" t="s">
        <v>293</v>
      </c>
      <c r="K1463" t="s">
        <v>681</v>
      </c>
      <c r="L1463" s="4"/>
      <c r="M1463" t="s">
        <v>681</v>
      </c>
      <c r="N1463" s="5">
        <v>30803903</v>
      </c>
      <c r="O1463" s="5">
        <v>56266</v>
      </c>
      <c r="P1463" s="5">
        <v>10691</v>
      </c>
      <c r="Q1463" s="5">
        <v>66957</v>
      </c>
    </row>
    <row r="1464" spans="1:17" x14ac:dyDescent="0.25">
      <c r="A1464" t="s">
        <v>512</v>
      </c>
      <c r="B1464" t="s">
        <v>494</v>
      </c>
      <c r="C1464">
        <v>96874030</v>
      </c>
      <c r="D1464">
        <v>58</v>
      </c>
      <c r="E1464">
        <v>30814328</v>
      </c>
      <c r="F1464" t="s">
        <v>663</v>
      </c>
      <c r="G1464" s="1">
        <v>45216</v>
      </c>
      <c r="H1464">
        <v>5405776</v>
      </c>
      <c r="I1464">
        <v>348</v>
      </c>
      <c r="J1464" t="s">
        <v>293</v>
      </c>
      <c r="K1464" t="s">
        <v>681</v>
      </c>
      <c r="L1464" s="4"/>
      <c r="M1464" t="s">
        <v>681</v>
      </c>
      <c r="N1464" s="5">
        <v>30814328</v>
      </c>
      <c r="O1464" s="5">
        <v>29858</v>
      </c>
      <c r="P1464" s="5">
        <v>5673</v>
      </c>
      <c r="Q1464" s="5">
        <v>35531</v>
      </c>
    </row>
    <row r="1465" spans="1:17" x14ac:dyDescent="0.25">
      <c r="A1465" t="s">
        <v>512</v>
      </c>
      <c r="B1465" t="s">
        <v>494</v>
      </c>
      <c r="C1465">
        <v>96874030</v>
      </c>
      <c r="D1465">
        <v>8</v>
      </c>
      <c r="E1465">
        <v>30831074</v>
      </c>
      <c r="F1465" t="s">
        <v>663</v>
      </c>
      <c r="G1465" s="1">
        <v>45223</v>
      </c>
      <c r="H1465">
        <v>5408529</v>
      </c>
      <c r="I1465">
        <v>348</v>
      </c>
      <c r="J1465" t="s">
        <v>293</v>
      </c>
      <c r="K1465" t="s">
        <v>681</v>
      </c>
      <c r="L1465" s="4"/>
      <c r="M1465" t="s">
        <v>681</v>
      </c>
      <c r="N1465" s="5">
        <v>30831074</v>
      </c>
      <c r="O1465" s="5">
        <v>37040</v>
      </c>
      <c r="P1465" s="5">
        <v>7038</v>
      </c>
      <c r="Q1465" s="5">
        <v>44078</v>
      </c>
    </row>
    <row r="1466" spans="1:17" x14ac:dyDescent="0.25">
      <c r="F1466" t="s">
        <v>511</v>
      </c>
      <c r="K1466" t="s">
        <v>681</v>
      </c>
      <c r="L1466" s="4"/>
      <c r="M1466" t="s">
        <v>681</v>
      </c>
      <c r="N1466" s="5"/>
      <c r="O1466" s="5">
        <v>245297</v>
      </c>
      <c r="P1466" s="5">
        <v>46607</v>
      </c>
      <c r="Q1466" s="5">
        <v>291904</v>
      </c>
    </row>
    <row r="1467" spans="1:17" x14ac:dyDescent="0.25">
      <c r="A1467" t="s">
        <v>512</v>
      </c>
      <c r="B1467" t="s">
        <v>494</v>
      </c>
      <c r="C1467">
        <v>96928510</v>
      </c>
      <c r="D1467">
        <v>36</v>
      </c>
      <c r="E1467">
        <v>30743887</v>
      </c>
      <c r="F1467" t="s">
        <v>664</v>
      </c>
      <c r="G1467" s="1">
        <v>45204</v>
      </c>
      <c r="H1467">
        <v>5398222</v>
      </c>
      <c r="I1467">
        <v>392</v>
      </c>
      <c r="J1467" t="s">
        <v>228</v>
      </c>
      <c r="K1467" s="8" t="s">
        <v>742</v>
      </c>
      <c r="L1467" s="4"/>
      <c r="M1467" t="s">
        <v>681</v>
      </c>
      <c r="N1467" s="5">
        <v>30743887</v>
      </c>
      <c r="O1467" s="5">
        <v>233192</v>
      </c>
      <c r="P1467" s="5">
        <v>44306</v>
      </c>
      <c r="Q1467" s="5">
        <v>277498</v>
      </c>
    </row>
    <row r="1468" spans="1:17" x14ac:dyDescent="0.25">
      <c r="A1468" t="s">
        <v>512</v>
      </c>
      <c r="B1468" t="s">
        <v>494</v>
      </c>
      <c r="C1468">
        <v>96928510</v>
      </c>
      <c r="D1468">
        <v>36</v>
      </c>
      <c r="E1468">
        <v>30743887</v>
      </c>
      <c r="F1468" t="s">
        <v>664</v>
      </c>
      <c r="G1468" s="1">
        <v>45204</v>
      </c>
      <c r="H1468">
        <v>5398223</v>
      </c>
      <c r="I1468">
        <v>392</v>
      </c>
      <c r="J1468" t="s">
        <v>228</v>
      </c>
      <c r="K1468" s="8" t="s">
        <v>742</v>
      </c>
      <c r="L1468" s="4"/>
      <c r="M1468" t="s">
        <v>681</v>
      </c>
      <c r="N1468" s="5">
        <v>30743887</v>
      </c>
      <c r="O1468" s="5">
        <v>18243</v>
      </c>
      <c r="P1468" s="5">
        <v>3466</v>
      </c>
      <c r="Q1468" s="5">
        <v>21709</v>
      </c>
    </row>
    <row r="1469" spans="1:17" x14ac:dyDescent="0.25">
      <c r="F1469" t="s">
        <v>497</v>
      </c>
      <c r="K1469" t="s">
        <v>681</v>
      </c>
      <c r="L1469" s="4"/>
      <c r="M1469" t="s">
        <v>681</v>
      </c>
      <c r="N1469" s="5"/>
      <c r="O1469" s="5">
        <v>251435</v>
      </c>
      <c r="P1469" s="5">
        <v>47772</v>
      </c>
      <c r="Q1469" s="5">
        <v>299207</v>
      </c>
    </row>
    <row r="1470" spans="1:17" x14ac:dyDescent="0.25">
      <c r="A1470" t="s">
        <v>512</v>
      </c>
      <c r="B1470" t="s">
        <v>494</v>
      </c>
      <c r="C1470">
        <v>96929460</v>
      </c>
      <c r="D1470">
        <v>1</v>
      </c>
      <c r="E1470">
        <v>30811847</v>
      </c>
      <c r="F1470" t="s">
        <v>725</v>
      </c>
      <c r="G1470" s="1">
        <v>45216</v>
      </c>
      <c r="H1470">
        <v>5405521</v>
      </c>
      <c r="I1470">
        <v>181</v>
      </c>
      <c r="J1470" t="s">
        <v>206</v>
      </c>
      <c r="K1470" t="s">
        <v>681</v>
      </c>
      <c r="L1470" s="4"/>
      <c r="M1470" t="s">
        <v>681</v>
      </c>
      <c r="N1470" s="5">
        <v>30811847</v>
      </c>
      <c r="O1470" s="5">
        <v>473162</v>
      </c>
      <c r="P1470" s="5">
        <v>89901</v>
      </c>
      <c r="Q1470" s="5">
        <v>573165</v>
      </c>
    </row>
    <row r="1471" spans="1:17" x14ac:dyDescent="0.25">
      <c r="F1471" t="s">
        <v>495</v>
      </c>
      <c r="K1471" t="s">
        <v>681</v>
      </c>
      <c r="L1471" s="4"/>
      <c r="M1471" t="s">
        <v>681</v>
      </c>
      <c r="N1471" s="5"/>
      <c r="O1471" s="5">
        <v>473162</v>
      </c>
      <c r="P1471" s="5">
        <v>89901</v>
      </c>
      <c r="Q1471" s="5">
        <v>573165</v>
      </c>
    </row>
    <row r="1472" spans="1:17" x14ac:dyDescent="0.25">
      <c r="A1472" t="s">
        <v>520</v>
      </c>
      <c r="B1472" t="s">
        <v>494</v>
      </c>
      <c r="C1472">
        <v>96938840</v>
      </c>
      <c r="D1472">
        <v>0</v>
      </c>
      <c r="E1472">
        <v>4900004548</v>
      </c>
      <c r="F1472" t="s">
        <v>665</v>
      </c>
      <c r="G1472" s="1">
        <v>45201</v>
      </c>
      <c r="H1472">
        <v>5395230</v>
      </c>
      <c r="I1472">
        <v>71</v>
      </c>
      <c r="J1472" t="s">
        <v>250</v>
      </c>
      <c r="K1472" s="8" t="s">
        <v>742</v>
      </c>
      <c r="L1472" s="4" t="s">
        <v>92</v>
      </c>
      <c r="M1472" t="s">
        <v>681</v>
      </c>
      <c r="N1472" s="5">
        <v>30767789</v>
      </c>
      <c r="O1472" s="5">
        <v>735635</v>
      </c>
      <c r="P1472" s="5">
        <v>139771</v>
      </c>
      <c r="Q1472" s="5">
        <v>875406</v>
      </c>
    </row>
    <row r="1473" spans="1:17" x14ac:dyDescent="0.25">
      <c r="A1473" t="s">
        <v>520</v>
      </c>
      <c r="B1473" t="s">
        <v>494</v>
      </c>
      <c r="C1473">
        <v>96938840</v>
      </c>
      <c r="D1473">
        <v>0</v>
      </c>
      <c r="E1473">
        <v>30769995</v>
      </c>
      <c r="F1473" t="s">
        <v>665</v>
      </c>
      <c r="G1473" s="1">
        <v>45201</v>
      </c>
      <c r="H1473">
        <v>5395409</v>
      </c>
      <c r="I1473">
        <v>71</v>
      </c>
      <c r="J1473" t="s">
        <v>250</v>
      </c>
      <c r="K1473" s="7" t="s">
        <v>743</v>
      </c>
      <c r="L1473" s="4" t="s">
        <v>92</v>
      </c>
      <c r="M1473" t="s">
        <v>818</v>
      </c>
      <c r="N1473" s="5">
        <v>30769995</v>
      </c>
      <c r="O1473" s="5">
        <v>443888</v>
      </c>
      <c r="P1473" s="5">
        <v>84339</v>
      </c>
      <c r="Q1473" s="5">
        <v>528227</v>
      </c>
    </row>
    <row r="1474" spans="1:17" x14ac:dyDescent="0.25">
      <c r="A1474" t="s">
        <v>520</v>
      </c>
      <c r="B1474" t="s">
        <v>494</v>
      </c>
      <c r="C1474">
        <v>96938840</v>
      </c>
      <c r="D1474">
        <v>0</v>
      </c>
      <c r="E1474">
        <v>30770075</v>
      </c>
      <c r="F1474" t="s">
        <v>665</v>
      </c>
      <c r="G1474" s="1">
        <v>45201</v>
      </c>
      <c r="H1474">
        <v>5395465</v>
      </c>
      <c r="I1474">
        <v>71</v>
      </c>
      <c r="J1474" t="s">
        <v>250</v>
      </c>
      <c r="K1474" s="7" t="s">
        <v>743</v>
      </c>
      <c r="L1474" s="4" t="s">
        <v>92</v>
      </c>
      <c r="M1474">
        <v>60218</v>
      </c>
      <c r="N1474" s="5">
        <v>30770075</v>
      </c>
      <c r="O1474" s="5">
        <v>513790</v>
      </c>
      <c r="P1474" s="5">
        <v>97620</v>
      </c>
      <c r="Q1474" s="5">
        <v>611410</v>
      </c>
    </row>
    <row r="1475" spans="1:17" x14ac:dyDescent="0.25">
      <c r="A1475" t="s">
        <v>520</v>
      </c>
      <c r="B1475" t="s">
        <v>494</v>
      </c>
      <c r="C1475">
        <v>96938840</v>
      </c>
      <c r="D1475">
        <v>1185</v>
      </c>
      <c r="E1475">
        <v>30772310</v>
      </c>
      <c r="F1475" t="s">
        <v>665</v>
      </c>
      <c r="G1475" s="1">
        <v>45202</v>
      </c>
      <c r="H1475">
        <v>5395879</v>
      </c>
      <c r="I1475">
        <v>71</v>
      </c>
      <c r="J1475" t="s">
        <v>250</v>
      </c>
      <c r="K1475" s="7" t="s">
        <v>743</v>
      </c>
      <c r="L1475" s="4" t="s">
        <v>92</v>
      </c>
      <c r="M1475">
        <v>60218</v>
      </c>
      <c r="N1475" s="5">
        <v>30772310</v>
      </c>
      <c r="O1475" s="5">
        <v>168832</v>
      </c>
      <c r="P1475" s="5">
        <v>32078</v>
      </c>
      <c r="Q1475" s="5">
        <v>200910</v>
      </c>
    </row>
    <row r="1476" spans="1:17" x14ac:dyDescent="0.25">
      <c r="A1476" t="s">
        <v>520</v>
      </c>
      <c r="B1476" t="s">
        <v>494</v>
      </c>
      <c r="C1476">
        <v>96938840</v>
      </c>
      <c r="D1476">
        <v>9</v>
      </c>
      <c r="E1476">
        <v>30772888</v>
      </c>
      <c r="F1476" t="s">
        <v>665</v>
      </c>
      <c r="G1476" s="1">
        <v>45202</v>
      </c>
      <c r="H1476">
        <v>5395985</v>
      </c>
      <c r="I1476">
        <v>71</v>
      </c>
      <c r="J1476" t="s">
        <v>250</v>
      </c>
      <c r="K1476" s="7" t="s">
        <v>743</v>
      </c>
      <c r="L1476" s="4" t="s">
        <v>92</v>
      </c>
      <c r="M1476">
        <v>60218</v>
      </c>
      <c r="N1476" s="5">
        <v>30772888</v>
      </c>
      <c r="O1476" s="5">
        <v>74268</v>
      </c>
      <c r="P1476" s="5">
        <v>14111</v>
      </c>
      <c r="Q1476" s="5">
        <v>88379</v>
      </c>
    </row>
    <row r="1477" spans="1:17" x14ac:dyDescent="0.25">
      <c r="A1477" t="s">
        <v>520</v>
      </c>
      <c r="B1477" t="s">
        <v>494</v>
      </c>
      <c r="C1477">
        <v>96938840</v>
      </c>
      <c r="D1477">
        <v>146</v>
      </c>
      <c r="E1477">
        <v>30772938</v>
      </c>
      <c r="F1477" t="s">
        <v>665</v>
      </c>
      <c r="G1477" s="1">
        <v>45202</v>
      </c>
      <c r="H1477">
        <v>5395998</v>
      </c>
      <c r="I1477">
        <v>71</v>
      </c>
      <c r="J1477" t="s">
        <v>250</v>
      </c>
      <c r="K1477" s="7" t="s">
        <v>743</v>
      </c>
      <c r="L1477" s="4" t="s">
        <v>92</v>
      </c>
      <c r="M1477">
        <v>60218</v>
      </c>
      <c r="N1477" s="5">
        <v>30772938</v>
      </c>
      <c r="O1477" s="5">
        <v>91620</v>
      </c>
      <c r="P1477" s="5">
        <v>17408</v>
      </c>
      <c r="Q1477" s="5">
        <v>109028</v>
      </c>
    </row>
    <row r="1478" spans="1:17" x14ac:dyDescent="0.25">
      <c r="A1478" t="s">
        <v>520</v>
      </c>
      <c r="B1478" t="s">
        <v>494</v>
      </c>
      <c r="C1478">
        <v>96938840</v>
      </c>
      <c r="D1478">
        <v>60</v>
      </c>
      <c r="E1478">
        <v>30774419</v>
      </c>
      <c r="F1478" t="s">
        <v>665</v>
      </c>
      <c r="G1478" s="1">
        <v>45202</v>
      </c>
      <c r="H1478">
        <v>5396216</v>
      </c>
      <c r="I1478">
        <v>71</v>
      </c>
      <c r="J1478" t="s">
        <v>250</v>
      </c>
      <c r="K1478" s="7" t="s">
        <v>743</v>
      </c>
      <c r="L1478" s="4" t="s">
        <v>92</v>
      </c>
      <c r="M1478">
        <v>60218</v>
      </c>
      <c r="N1478" s="5">
        <v>30774419</v>
      </c>
      <c r="O1478" s="5">
        <v>28422</v>
      </c>
      <c r="P1478" s="5">
        <v>5400</v>
      </c>
      <c r="Q1478" s="5">
        <v>33822</v>
      </c>
    </row>
    <row r="1479" spans="1:17" x14ac:dyDescent="0.25">
      <c r="A1479" t="s">
        <v>520</v>
      </c>
      <c r="B1479" t="s">
        <v>494</v>
      </c>
      <c r="C1479">
        <v>96938840</v>
      </c>
      <c r="D1479">
        <v>28</v>
      </c>
      <c r="E1479">
        <v>30773823</v>
      </c>
      <c r="F1479" t="s">
        <v>665</v>
      </c>
      <c r="G1479" s="1">
        <v>45203</v>
      </c>
      <c r="H1479">
        <v>5396260</v>
      </c>
      <c r="I1479">
        <v>71</v>
      </c>
      <c r="J1479" t="s">
        <v>250</v>
      </c>
      <c r="K1479" s="7" t="s">
        <v>743</v>
      </c>
      <c r="L1479" s="4" t="s">
        <v>92</v>
      </c>
      <c r="M1479">
        <v>60218</v>
      </c>
      <c r="N1479" s="5">
        <v>30773823</v>
      </c>
      <c r="O1479" s="5">
        <v>76961</v>
      </c>
      <c r="P1479" s="5">
        <v>14623</v>
      </c>
      <c r="Q1479" s="5">
        <v>91584</v>
      </c>
    </row>
    <row r="1480" spans="1:17" x14ac:dyDescent="0.25">
      <c r="A1480" t="s">
        <v>520</v>
      </c>
      <c r="B1480" t="s">
        <v>494</v>
      </c>
      <c r="C1480">
        <v>96938840</v>
      </c>
      <c r="D1480">
        <v>6</v>
      </c>
      <c r="E1480">
        <v>30774131</v>
      </c>
      <c r="F1480" t="s">
        <v>665</v>
      </c>
      <c r="G1480" s="1">
        <v>45203</v>
      </c>
      <c r="H1480">
        <v>5396394</v>
      </c>
      <c r="I1480">
        <v>71</v>
      </c>
      <c r="J1480" t="s">
        <v>250</v>
      </c>
      <c r="K1480" s="7" t="s">
        <v>743</v>
      </c>
      <c r="L1480" s="4" t="s">
        <v>92</v>
      </c>
      <c r="M1480">
        <v>60218</v>
      </c>
      <c r="N1480" s="5">
        <v>30774131</v>
      </c>
      <c r="O1480" s="5">
        <v>126065</v>
      </c>
      <c r="P1480" s="5">
        <v>23952</v>
      </c>
      <c r="Q1480" s="5">
        <v>150017</v>
      </c>
    </row>
    <row r="1481" spans="1:17" x14ac:dyDescent="0.25">
      <c r="A1481" t="s">
        <v>520</v>
      </c>
      <c r="B1481" t="s">
        <v>494</v>
      </c>
      <c r="C1481">
        <v>96938840</v>
      </c>
      <c r="D1481">
        <v>25</v>
      </c>
      <c r="E1481">
        <v>30774075</v>
      </c>
      <c r="F1481" t="s">
        <v>665</v>
      </c>
      <c r="G1481" s="1">
        <v>45203</v>
      </c>
      <c r="H1481">
        <v>5396882</v>
      </c>
      <c r="I1481">
        <v>71</v>
      </c>
      <c r="J1481" t="s">
        <v>250</v>
      </c>
      <c r="K1481" s="7" t="s">
        <v>743</v>
      </c>
      <c r="L1481" s="4" t="s">
        <v>92</v>
      </c>
      <c r="M1481">
        <v>60218</v>
      </c>
      <c r="N1481" s="5">
        <v>30774075</v>
      </c>
      <c r="O1481" s="5">
        <v>209870</v>
      </c>
      <c r="P1481" s="5">
        <v>39875</v>
      </c>
      <c r="Q1481" s="5">
        <v>249745</v>
      </c>
    </row>
    <row r="1482" spans="1:17" x14ac:dyDescent="0.25">
      <c r="A1482" t="s">
        <v>520</v>
      </c>
      <c r="B1482" t="s">
        <v>494</v>
      </c>
      <c r="C1482">
        <v>96938840</v>
      </c>
      <c r="D1482">
        <v>10</v>
      </c>
      <c r="E1482">
        <v>30777958</v>
      </c>
      <c r="F1482" t="s">
        <v>665</v>
      </c>
      <c r="G1482" s="1">
        <v>45203</v>
      </c>
      <c r="H1482">
        <v>5397235</v>
      </c>
      <c r="I1482">
        <v>71</v>
      </c>
      <c r="J1482" t="s">
        <v>250</v>
      </c>
      <c r="K1482" s="7" t="s">
        <v>743</v>
      </c>
      <c r="L1482" s="4" t="s">
        <v>92</v>
      </c>
      <c r="M1482">
        <v>60218</v>
      </c>
      <c r="N1482" s="5">
        <v>30777958</v>
      </c>
      <c r="O1482" s="5">
        <v>199963</v>
      </c>
      <c r="P1482" s="5">
        <v>37993</v>
      </c>
      <c r="Q1482" s="5">
        <v>237956</v>
      </c>
    </row>
    <row r="1483" spans="1:17" x14ac:dyDescent="0.25">
      <c r="A1483" t="s">
        <v>520</v>
      </c>
      <c r="B1483" t="s">
        <v>494</v>
      </c>
      <c r="C1483">
        <v>96938840</v>
      </c>
      <c r="D1483">
        <v>0</v>
      </c>
      <c r="E1483">
        <v>30775476</v>
      </c>
      <c r="F1483" t="s">
        <v>665</v>
      </c>
      <c r="G1483" s="1">
        <v>45203</v>
      </c>
      <c r="H1483">
        <v>5397276</v>
      </c>
      <c r="I1483">
        <v>71</v>
      </c>
      <c r="J1483" t="s">
        <v>250</v>
      </c>
      <c r="K1483" s="7" t="s">
        <v>743</v>
      </c>
      <c r="L1483" s="4" t="s">
        <v>92</v>
      </c>
      <c r="M1483">
        <v>60218</v>
      </c>
      <c r="N1483" s="5">
        <v>30775476</v>
      </c>
      <c r="O1483" s="5">
        <v>243305</v>
      </c>
      <c r="P1483" s="5">
        <v>46228</v>
      </c>
      <c r="Q1483" s="5">
        <v>289533</v>
      </c>
    </row>
    <row r="1484" spans="1:17" x14ac:dyDescent="0.25">
      <c r="A1484" t="s">
        <v>520</v>
      </c>
      <c r="B1484" t="s">
        <v>494</v>
      </c>
      <c r="C1484">
        <v>96938840</v>
      </c>
      <c r="D1484">
        <v>0</v>
      </c>
      <c r="E1484">
        <v>30774866</v>
      </c>
      <c r="F1484" t="s">
        <v>665</v>
      </c>
      <c r="G1484" s="1">
        <v>45203</v>
      </c>
      <c r="H1484">
        <v>5397282</v>
      </c>
      <c r="I1484">
        <v>71</v>
      </c>
      <c r="J1484" t="s">
        <v>250</v>
      </c>
      <c r="K1484" s="7" t="s">
        <v>743</v>
      </c>
      <c r="L1484" s="4" t="s">
        <v>92</v>
      </c>
      <c r="M1484">
        <v>60218</v>
      </c>
      <c r="N1484" s="5">
        <v>30774866</v>
      </c>
      <c r="O1484" s="5">
        <v>81424</v>
      </c>
      <c r="P1484" s="5">
        <v>15471</v>
      </c>
      <c r="Q1484" s="5">
        <v>96895</v>
      </c>
    </row>
    <row r="1485" spans="1:17" x14ac:dyDescent="0.25">
      <c r="A1485" t="s">
        <v>520</v>
      </c>
      <c r="B1485" t="s">
        <v>494</v>
      </c>
      <c r="C1485">
        <v>96938840</v>
      </c>
      <c r="D1485">
        <v>111</v>
      </c>
      <c r="E1485">
        <v>30777016</v>
      </c>
      <c r="F1485" t="s">
        <v>665</v>
      </c>
      <c r="G1485" s="1">
        <v>45203</v>
      </c>
      <c r="H1485">
        <v>5397448</v>
      </c>
      <c r="I1485">
        <v>71</v>
      </c>
      <c r="J1485" t="s">
        <v>250</v>
      </c>
      <c r="K1485" s="7" t="s">
        <v>743</v>
      </c>
      <c r="L1485" s="4" t="s">
        <v>92</v>
      </c>
      <c r="M1485">
        <v>60218</v>
      </c>
      <c r="N1485" s="5">
        <v>30777016</v>
      </c>
      <c r="O1485" s="5">
        <v>80474</v>
      </c>
      <c r="P1485" s="5">
        <v>15290</v>
      </c>
      <c r="Q1485" s="5">
        <v>95764</v>
      </c>
    </row>
    <row r="1486" spans="1:17" x14ac:dyDescent="0.25">
      <c r="A1486" t="s">
        <v>520</v>
      </c>
      <c r="B1486" t="s">
        <v>494</v>
      </c>
      <c r="C1486">
        <v>96938840</v>
      </c>
      <c r="D1486">
        <v>14</v>
      </c>
      <c r="E1486">
        <v>30779916</v>
      </c>
      <c r="F1486" t="s">
        <v>665</v>
      </c>
      <c r="G1486" s="1">
        <v>45203</v>
      </c>
      <c r="H1486">
        <v>5397513</v>
      </c>
      <c r="I1486">
        <v>71</v>
      </c>
      <c r="J1486" t="s">
        <v>250</v>
      </c>
      <c r="K1486" s="7" t="s">
        <v>743</v>
      </c>
      <c r="L1486" s="4" t="s">
        <v>92</v>
      </c>
      <c r="M1486">
        <v>60218</v>
      </c>
      <c r="N1486" s="5">
        <v>30779916</v>
      </c>
      <c r="O1486" s="5">
        <v>82809</v>
      </c>
      <c r="P1486" s="5">
        <v>15734</v>
      </c>
      <c r="Q1486" s="5">
        <v>98543</v>
      </c>
    </row>
    <row r="1487" spans="1:17" x14ac:dyDescent="0.25">
      <c r="A1487" t="s">
        <v>520</v>
      </c>
      <c r="B1487" t="s">
        <v>494</v>
      </c>
      <c r="C1487">
        <v>96938840</v>
      </c>
      <c r="D1487">
        <v>150</v>
      </c>
      <c r="E1487">
        <v>30777009</v>
      </c>
      <c r="F1487" t="s">
        <v>665</v>
      </c>
      <c r="G1487" s="1">
        <v>45204</v>
      </c>
      <c r="H1487">
        <v>5397677</v>
      </c>
      <c r="I1487">
        <v>71</v>
      </c>
      <c r="J1487" t="s">
        <v>250</v>
      </c>
      <c r="K1487" s="7" t="s">
        <v>743</v>
      </c>
      <c r="L1487" s="4" t="s">
        <v>92</v>
      </c>
      <c r="M1487">
        <v>60218</v>
      </c>
      <c r="N1487" s="5">
        <v>30777009</v>
      </c>
      <c r="O1487" s="5">
        <v>110357</v>
      </c>
      <c r="P1487" s="5">
        <v>20968</v>
      </c>
      <c r="Q1487" s="5">
        <v>131325</v>
      </c>
    </row>
    <row r="1488" spans="1:17" x14ac:dyDescent="0.25">
      <c r="A1488" t="s">
        <v>520</v>
      </c>
      <c r="B1488" t="s">
        <v>494</v>
      </c>
      <c r="C1488">
        <v>96938840</v>
      </c>
      <c r="D1488">
        <v>58</v>
      </c>
      <c r="E1488">
        <v>30783502</v>
      </c>
      <c r="F1488" t="s">
        <v>665</v>
      </c>
      <c r="G1488" s="1">
        <v>45204</v>
      </c>
      <c r="H1488">
        <v>5398404</v>
      </c>
      <c r="I1488">
        <v>71</v>
      </c>
      <c r="J1488" t="s">
        <v>250</v>
      </c>
      <c r="K1488" s="7" t="s">
        <v>743</v>
      </c>
      <c r="L1488" s="4" t="s">
        <v>92</v>
      </c>
      <c r="M1488">
        <v>60218</v>
      </c>
      <c r="N1488" s="5">
        <v>30783502</v>
      </c>
      <c r="O1488" s="5">
        <v>61800</v>
      </c>
      <c r="P1488" s="5">
        <v>11742</v>
      </c>
      <c r="Q1488" s="5">
        <v>73542</v>
      </c>
    </row>
    <row r="1489" spans="1:17" x14ac:dyDescent="0.25">
      <c r="A1489" t="s">
        <v>520</v>
      </c>
      <c r="B1489" t="s">
        <v>494</v>
      </c>
      <c r="C1489">
        <v>96938840</v>
      </c>
      <c r="D1489">
        <v>44</v>
      </c>
      <c r="E1489">
        <v>30782761</v>
      </c>
      <c r="F1489" t="s">
        <v>665</v>
      </c>
      <c r="G1489" s="1">
        <v>45205</v>
      </c>
      <c r="H1489">
        <v>5398450</v>
      </c>
      <c r="I1489">
        <v>71</v>
      </c>
      <c r="J1489" t="s">
        <v>250</v>
      </c>
      <c r="K1489" s="7" t="s">
        <v>743</v>
      </c>
      <c r="L1489" s="4" t="s">
        <v>92</v>
      </c>
      <c r="M1489">
        <v>60218</v>
      </c>
      <c r="N1489" s="5">
        <v>30782761</v>
      </c>
      <c r="O1489" s="5">
        <v>26854</v>
      </c>
      <c r="P1489" s="5">
        <v>5102</v>
      </c>
      <c r="Q1489" s="5">
        <v>31956</v>
      </c>
    </row>
    <row r="1490" spans="1:17" x14ac:dyDescent="0.25">
      <c r="A1490" t="s">
        <v>520</v>
      </c>
      <c r="B1490" t="s">
        <v>494</v>
      </c>
      <c r="C1490">
        <v>96938840</v>
      </c>
      <c r="D1490">
        <v>1184</v>
      </c>
      <c r="E1490">
        <v>30784867</v>
      </c>
      <c r="F1490" t="s">
        <v>665</v>
      </c>
      <c r="G1490" s="1">
        <v>45205</v>
      </c>
      <c r="H1490">
        <v>5398798</v>
      </c>
      <c r="I1490">
        <v>71</v>
      </c>
      <c r="J1490" t="s">
        <v>250</v>
      </c>
      <c r="K1490" s="7" t="s">
        <v>743</v>
      </c>
      <c r="L1490" s="4" t="s">
        <v>92</v>
      </c>
      <c r="M1490">
        <v>60218</v>
      </c>
      <c r="N1490" s="5">
        <v>30784867</v>
      </c>
      <c r="O1490" s="5">
        <v>215519</v>
      </c>
      <c r="P1490" s="5">
        <v>40949</v>
      </c>
      <c r="Q1490" s="5">
        <v>256468</v>
      </c>
    </row>
    <row r="1491" spans="1:17" x14ac:dyDescent="0.25">
      <c r="A1491" t="s">
        <v>520</v>
      </c>
      <c r="B1491" t="s">
        <v>494</v>
      </c>
      <c r="C1491">
        <v>96938840</v>
      </c>
      <c r="D1491">
        <v>0</v>
      </c>
      <c r="E1491">
        <v>30785832</v>
      </c>
      <c r="F1491" t="s">
        <v>665</v>
      </c>
      <c r="G1491" s="1">
        <v>45205</v>
      </c>
      <c r="H1491">
        <v>5398799</v>
      </c>
      <c r="I1491">
        <v>71</v>
      </c>
      <c r="J1491" t="s">
        <v>250</v>
      </c>
      <c r="K1491" s="7" t="s">
        <v>743</v>
      </c>
      <c r="L1491" s="4" t="s">
        <v>92</v>
      </c>
      <c r="M1491">
        <v>60218</v>
      </c>
      <c r="N1491" s="5">
        <v>30785832</v>
      </c>
      <c r="O1491" s="5">
        <v>187061</v>
      </c>
      <c r="P1491" s="5">
        <v>35542</v>
      </c>
      <c r="Q1491" s="5">
        <v>222603</v>
      </c>
    </row>
    <row r="1492" spans="1:17" x14ac:dyDescent="0.25">
      <c r="A1492" t="s">
        <v>520</v>
      </c>
      <c r="B1492" t="s">
        <v>494</v>
      </c>
      <c r="C1492">
        <v>96938840</v>
      </c>
      <c r="D1492">
        <v>0</v>
      </c>
      <c r="E1492">
        <v>30785249</v>
      </c>
      <c r="F1492" t="s">
        <v>665</v>
      </c>
      <c r="G1492" s="1">
        <v>45205</v>
      </c>
      <c r="H1492">
        <v>5398944</v>
      </c>
      <c r="I1492">
        <v>71</v>
      </c>
      <c r="J1492" t="s">
        <v>250</v>
      </c>
      <c r="K1492" s="7" t="s">
        <v>743</v>
      </c>
      <c r="L1492" s="4" t="s">
        <v>92</v>
      </c>
      <c r="M1492">
        <v>60218</v>
      </c>
      <c r="N1492" s="5">
        <v>30785249</v>
      </c>
      <c r="O1492" s="5">
        <v>91839</v>
      </c>
      <c r="P1492" s="5">
        <v>17449</v>
      </c>
      <c r="Q1492" s="5">
        <v>109288</v>
      </c>
    </row>
    <row r="1493" spans="1:17" x14ac:dyDescent="0.25">
      <c r="A1493" t="s">
        <v>520</v>
      </c>
      <c r="B1493" t="s">
        <v>494</v>
      </c>
      <c r="C1493">
        <v>96938840</v>
      </c>
      <c r="D1493">
        <v>7</v>
      </c>
      <c r="E1493">
        <v>30784640</v>
      </c>
      <c r="F1493" t="s">
        <v>665</v>
      </c>
      <c r="G1493" s="1">
        <v>45206</v>
      </c>
      <c r="H1493">
        <v>5399226</v>
      </c>
      <c r="I1493">
        <v>71</v>
      </c>
      <c r="J1493" t="s">
        <v>250</v>
      </c>
      <c r="K1493" s="7" t="s">
        <v>743</v>
      </c>
      <c r="L1493" s="4" t="s">
        <v>92</v>
      </c>
      <c r="M1493">
        <v>60218</v>
      </c>
      <c r="N1493" s="5">
        <v>30784640</v>
      </c>
      <c r="O1493" s="5">
        <v>69398</v>
      </c>
      <c r="P1493" s="5">
        <v>13186</v>
      </c>
      <c r="Q1493" s="5">
        <v>82584</v>
      </c>
    </row>
    <row r="1494" spans="1:17" x14ac:dyDescent="0.25">
      <c r="A1494" t="s">
        <v>520</v>
      </c>
      <c r="B1494" t="s">
        <v>494</v>
      </c>
      <c r="C1494">
        <v>96938840</v>
      </c>
      <c r="D1494">
        <v>23</v>
      </c>
      <c r="E1494">
        <v>30782315</v>
      </c>
      <c r="F1494" t="s">
        <v>665</v>
      </c>
      <c r="G1494" s="1">
        <v>45209</v>
      </c>
      <c r="H1494">
        <v>5399316</v>
      </c>
      <c r="I1494">
        <v>71</v>
      </c>
      <c r="J1494" t="s">
        <v>250</v>
      </c>
      <c r="K1494" s="7" t="s">
        <v>743</v>
      </c>
      <c r="L1494" s="4" t="s">
        <v>92</v>
      </c>
      <c r="M1494">
        <v>60218</v>
      </c>
      <c r="N1494" s="5">
        <v>30782315</v>
      </c>
      <c r="O1494" s="5">
        <v>139601</v>
      </c>
      <c r="P1494" s="5">
        <v>26524</v>
      </c>
      <c r="Q1494" s="5">
        <v>166125</v>
      </c>
    </row>
    <row r="1495" spans="1:17" x14ac:dyDescent="0.25">
      <c r="A1495" t="s">
        <v>520</v>
      </c>
      <c r="B1495" t="s">
        <v>494</v>
      </c>
      <c r="C1495">
        <v>96938840</v>
      </c>
      <c r="D1495">
        <v>60</v>
      </c>
      <c r="E1495">
        <v>30788452</v>
      </c>
      <c r="F1495" t="s">
        <v>665</v>
      </c>
      <c r="G1495" s="1">
        <v>45209</v>
      </c>
      <c r="H1495">
        <v>5401028</v>
      </c>
      <c r="I1495">
        <v>71</v>
      </c>
      <c r="J1495" t="s">
        <v>250</v>
      </c>
      <c r="K1495" s="7" t="s">
        <v>743</v>
      </c>
      <c r="L1495" s="4" t="s">
        <v>92</v>
      </c>
      <c r="M1495">
        <v>60218</v>
      </c>
      <c r="N1495" s="5">
        <v>30788452</v>
      </c>
      <c r="O1495" s="5">
        <v>57685</v>
      </c>
      <c r="P1495" s="5">
        <v>10960</v>
      </c>
      <c r="Q1495" s="5">
        <v>68645</v>
      </c>
    </row>
    <row r="1496" spans="1:17" x14ac:dyDescent="0.25">
      <c r="A1496" t="s">
        <v>520</v>
      </c>
      <c r="B1496" t="s">
        <v>494</v>
      </c>
      <c r="C1496">
        <v>96938840</v>
      </c>
      <c r="D1496">
        <v>1187</v>
      </c>
      <c r="E1496">
        <v>30795638</v>
      </c>
      <c r="F1496" t="s">
        <v>665</v>
      </c>
      <c r="G1496" s="1">
        <v>45210</v>
      </c>
      <c r="H1496">
        <v>5401588</v>
      </c>
      <c r="I1496">
        <v>394</v>
      </c>
      <c r="J1496" t="s">
        <v>224</v>
      </c>
      <c r="K1496" s="7" t="s">
        <v>743</v>
      </c>
      <c r="L1496" s="4" t="s">
        <v>92</v>
      </c>
      <c r="M1496">
        <v>60218</v>
      </c>
      <c r="N1496" s="5">
        <v>30795638</v>
      </c>
      <c r="O1496" s="5">
        <v>73150</v>
      </c>
      <c r="P1496" s="5">
        <v>13899</v>
      </c>
      <c r="Q1496" s="5">
        <v>87049</v>
      </c>
    </row>
    <row r="1497" spans="1:17" x14ac:dyDescent="0.25">
      <c r="A1497" t="s">
        <v>520</v>
      </c>
      <c r="B1497" t="s">
        <v>494</v>
      </c>
      <c r="C1497">
        <v>96938840</v>
      </c>
      <c r="D1497">
        <v>150</v>
      </c>
      <c r="E1497">
        <v>30800240</v>
      </c>
      <c r="F1497" t="s">
        <v>665</v>
      </c>
      <c r="G1497" s="1">
        <v>45211</v>
      </c>
      <c r="H1497">
        <v>5402413</v>
      </c>
      <c r="I1497">
        <v>394</v>
      </c>
      <c r="J1497" t="s">
        <v>224</v>
      </c>
      <c r="K1497" s="7" t="s">
        <v>743</v>
      </c>
      <c r="L1497" s="4" t="s">
        <v>92</v>
      </c>
      <c r="M1497">
        <v>60218</v>
      </c>
      <c r="N1497" s="5">
        <v>30800240</v>
      </c>
      <c r="O1497" s="5">
        <v>38544</v>
      </c>
      <c r="P1497" s="5">
        <v>7323</v>
      </c>
      <c r="Q1497" s="5">
        <v>45867</v>
      </c>
    </row>
    <row r="1498" spans="1:17" x14ac:dyDescent="0.25">
      <c r="A1498" t="s">
        <v>520</v>
      </c>
      <c r="B1498" t="s">
        <v>494</v>
      </c>
      <c r="C1498">
        <v>96938840</v>
      </c>
      <c r="D1498">
        <v>1187</v>
      </c>
      <c r="E1498">
        <v>30801681</v>
      </c>
      <c r="F1498" t="s">
        <v>665</v>
      </c>
      <c r="G1498" s="1">
        <v>45211</v>
      </c>
      <c r="H1498">
        <v>5402931</v>
      </c>
      <c r="I1498">
        <v>394</v>
      </c>
      <c r="J1498" t="s">
        <v>224</v>
      </c>
      <c r="K1498" s="7" t="s">
        <v>743</v>
      </c>
      <c r="L1498" s="4" t="s">
        <v>92</v>
      </c>
      <c r="M1498">
        <v>60218</v>
      </c>
      <c r="N1498" s="5">
        <v>30801681</v>
      </c>
      <c r="O1498" s="5">
        <v>31318</v>
      </c>
      <c r="P1498" s="5">
        <v>5950</v>
      </c>
      <c r="Q1498" s="5">
        <v>37268</v>
      </c>
    </row>
    <row r="1499" spans="1:17" x14ac:dyDescent="0.25">
      <c r="A1499" t="s">
        <v>520</v>
      </c>
      <c r="B1499" t="s">
        <v>494</v>
      </c>
      <c r="C1499">
        <v>96938840</v>
      </c>
      <c r="D1499">
        <v>0</v>
      </c>
      <c r="E1499">
        <v>30801896</v>
      </c>
      <c r="F1499" t="s">
        <v>665</v>
      </c>
      <c r="G1499" s="1">
        <v>45211</v>
      </c>
      <c r="H1499">
        <v>5403160</v>
      </c>
      <c r="I1499">
        <v>394</v>
      </c>
      <c r="J1499" t="s">
        <v>224</v>
      </c>
      <c r="K1499" s="7" t="s">
        <v>743</v>
      </c>
      <c r="L1499" s="4" t="s">
        <v>92</v>
      </c>
      <c r="M1499">
        <v>60218</v>
      </c>
      <c r="N1499" s="5">
        <v>30801896</v>
      </c>
      <c r="O1499" s="5">
        <v>20350</v>
      </c>
      <c r="P1499" s="5">
        <v>3867</v>
      </c>
      <c r="Q1499" s="5">
        <v>24217</v>
      </c>
    </row>
    <row r="1500" spans="1:17" x14ac:dyDescent="0.25">
      <c r="A1500" t="s">
        <v>520</v>
      </c>
      <c r="B1500" t="s">
        <v>494</v>
      </c>
      <c r="C1500">
        <v>96938840</v>
      </c>
      <c r="D1500">
        <v>0</v>
      </c>
      <c r="E1500">
        <v>30802568</v>
      </c>
      <c r="F1500" t="s">
        <v>665</v>
      </c>
      <c r="G1500" s="1">
        <v>45211</v>
      </c>
      <c r="H1500">
        <v>5403206</v>
      </c>
      <c r="I1500">
        <v>394</v>
      </c>
      <c r="J1500" t="s">
        <v>224</v>
      </c>
      <c r="K1500" s="7" t="s">
        <v>743</v>
      </c>
      <c r="L1500" s="4" t="s">
        <v>92</v>
      </c>
      <c r="M1500">
        <v>60218</v>
      </c>
      <c r="N1500" s="5">
        <v>30802568</v>
      </c>
      <c r="O1500" s="5">
        <v>110738</v>
      </c>
      <c r="P1500" s="5">
        <v>21040</v>
      </c>
      <c r="Q1500" s="5">
        <v>131778</v>
      </c>
    </row>
    <row r="1501" spans="1:17" x14ac:dyDescent="0.25">
      <c r="A1501" t="s">
        <v>520</v>
      </c>
      <c r="B1501" t="s">
        <v>494</v>
      </c>
      <c r="C1501">
        <v>96938840</v>
      </c>
      <c r="D1501">
        <v>147</v>
      </c>
      <c r="E1501">
        <v>30801353</v>
      </c>
      <c r="F1501" t="s">
        <v>665</v>
      </c>
      <c r="G1501" s="1">
        <v>45211</v>
      </c>
      <c r="H1501">
        <v>5403214</v>
      </c>
      <c r="I1501">
        <v>394</v>
      </c>
      <c r="J1501" t="s">
        <v>224</v>
      </c>
      <c r="K1501" s="7" t="s">
        <v>743</v>
      </c>
      <c r="L1501" s="4" t="s">
        <v>92</v>
      </c>
      <c r="M1501">
        <v>60218</v>
      </c>
      <c r="N1501" s="5">
        <v>30801353</v>
      </c>
      <c r="O1501" s="5">
        <v>50288</v>
      </c>
      <c r="P1501" s="5">
        <v>9555</v>
      </c>
      <c r="Q1501" s="5">
        <v>59843</v>
      </c>
    </row>
    <row r="1502" spans="1:17" x14ac:dyDescent="0.25">
      <c r="A1502" t="s">
        <v>520</v>
      </c>
      <c r="B1502" t="s">
        <v>494</v>
      </c>
      <c r="C1502">
        <v>96938840</v>
      </c>
      <c r="D1502">
        <v>0</v>
      </c>
      <c r="E1502">
        <v>30802504</v>
      </c>
      <c r="F1502" t="s">
        <v>665</v>
      </c>
      <c r="G1502" s="1">
        <v>45211</v>
      </c>
      <c r="H1502">
        <v>5403217</v>
      </c>
      <c r="I1502">
        <v>394</v>
      </c>
      <c r="J1502" t="s">
        <v>224</v>
      </c>
      <c r="K1502" s="7" t="s">
        <v>743</v>
      </c>
      <c r="L1502" s="4" t="s">
        <v>92</v>
      </c>
      <c r="M1502">
        <v>60218</v>
      </c>
      <c r="N1502" s="5">
        <v>30802504</v>
      </c>
      <c r="O1502" s="5">
        <v>206500</v>
      </c>
      <c r="P1502" s="5">
        <v>39235</v>
      </c>
      <c r="Q1502" s="5">
        <v>245735</v>
      </c>
    </row>
    <row r="1503" spans="1:17" x14ac:dyDescent="0.25">
      <c r="A1503" t="s">
        <v>520</v>
      </c>
      <c r="B1503" t="s">
        <v>494</v>
      </c>
      <c r="C1503">
        <v>96938840</v>
      </c>
      <c r="D1503">
        <v>148</v>
      </c>
      <c r="E1503">
        <v>30802370</v>
      </c>
      <c r="F1503" t="s">
        <v>665</v>
      </c>
      <c r="G1503" s="1">
        <v>45212</v>
      </c>
      <c r="H1503">
        <v>5403401</v>
      </c>
      <c r="I1503">
        <v>394</v>
      </c>
      <c r="J1503" t="s">
        <v>224</v>
      </c>
      <c r="K1503" s="7" t="s">
        <v>743</v>
      </c>
      <c r="L1503" s="4" t="s">
        <v>92</v>
      </c>
      <c r="M1503">
        <v>60218</v>
      </c>
      <c r="N1503" s="5">
        <v>30802370</v>
      </c>
      <c r="O1503" s="5">
        <v>222481</v>
      </c>
      <c r="P1503" s="5">
        <v>42271</v>
      </c>
      <c r="Q1503" s="5">
        <v>264752</v>
      </c>
    </row>
    <row r="1504" spans="1:17" x14ac:dyDescent="0.25">
      <c r="A1504" t="s">
        <v>520</v>
      </c>
      <c r="B1504" t="s">
        <v>494</v>
      </c>
      <c r="C1504">
        <v>96938840</v>
      </c>
      <c r="D1504">
        <v>116</v>
      </c>
      <c r="E1504">
        <v>30804390</v>
      </c>
      <c r="F1504" t="s">
        <v>665</v>
      </c>
      <c r="G1504" s="1">
        <v>45212</v>
      </c>
      <c r="H1504">
        <v>5403590</v>
      </c>
      <c r="I1504">
        <v>394</v>
      </c>
      <c r="J1504" t="s">
        <v>224</v>
      </c>
      <c r="K1504" s="7" t="s">
        <v>743</v>
      </c>
      <c r="L1504" s="4" t="s">
        <v>92</v>
      </c>
      <c r="M1504">
        <v>60218</v>
      </c>
      <c r="N1504" s="5">
        <v>30804390</v>
      </c>
      <c r="O1504" s="5">
        <v>50708</v>
      </c>
      <c r="P1504" s="5">
        <v>9635</v>
      </c>
      <c r="Q1504" s="5">
        <v>60343</v>
      </c>
    </row>
    <row r="1505" spans="1:17" x14ac:dyDescent="0.25">
      <c r="A1505" t="s">
        <v>520</v>
      </c>
      <c r="B1505" t="s">
        <v>494</v>
      </c>
      <c r="C1505">
        <v>96938840</v>
      </c>
      <c r="D1505">
        <v>17</v>
      </c>
      <c r="E1505">
        <v>30803779</v>
      </c>
      <c r="F1505" t="s">
        <v>665</v>
      </c>
      <c r="G1505" s="1">
        <v>45215</v>
      </c>
      <c r="H1505">
        <v>5404133</v>
      </c>
      <c r="I1505">
        <v>394</v>
      </c>
      <c r="J1505" t="s">
        <v>224</v>
      </c>
      <c r="K1505" s="7" t="s">
        <v>743</v>
      </c>
      <c r="L1505" s="4" t="s">
        <v>92</v>
      </c>
      <c r="M1505">
        <v>60218</v>
      </c>
      <c r="N1505" s="5">
        <v>30803779</v>
      </c>
      <c r="O1505" s="5">
        <v>209214</v>
      </c>
      <c r="P1505" s="5">
        <v>39751</v>
      </c>
      <c r="Q1505" s="5">
        <v>248965</v>
      </c>
    </row>
    <row r="1506" spans="1:17" x14ac:dyDescent="0.25">
      <c r="A1506" t="s">
        <v>520</v>
      </c>
      <c r="B1506" t="s">
        <v>494</v>
      </c>
      <c r="C1506">
        <v>96938840</v>
      </c>
      <c r="D1506">
        <v>27</v>
      </c>
      <c r="E1506">
        <v>30807846</v>
      </c>
      <c r="F1506" t="s">
        <v>665</v>
      </c>
      <c r="G1506" s="1">
        <v>45215</v>
      </c>
      <c r="H1506">
        <v>5404543</v>
      </c>
      <c r="I1506">
        <v>394</v>
      </c>
      <c r="J1506" t="s">
        <v>224</v>
      </c>
      <c r="K1506" s="7" t="s">
        <v>743</v>
      </c>
      <c r="L1506" s="4" t="s">
        <v>92</v>
      </c>
      <c r="M1506">
        <v>60218</v>
      </c>
      <c r="N1506" s="5">
        <v>30807846</v>
      </c>
      <c r="O1506" s="5">
        <v>62789</v>
      </c>
      <c r="P1506" s="5">
        <v>11930</v>
      </c>
      <c r="Q1506" s="5">
        <v>74719</v>
      </c>
    </row>
    <row r="1507" spans="1:17" x14ac:dyDescent="0.25">
      <c r="A1507" t="s">
        <v>520</v>
      </c>
      <c r="B1507" t="s">
        <v>494</v>
      </c>
      <c r="C1507">
        <v>96938840</v>
      </c>
      <c r="D1507">
        <v>0</v>
      </c>
      <c r="E1507">
        <v>30807368</v>
      </c>
      <c r="F1507" t="s">
        <v>665</v>
      </c>
      <c r="G1507" s="1">
        <v>45215</v>
      </c>
      <c r="H1507">
        <v>5404551</v>
      </c>
      <c r="I1507">
        <v>394</v>
      </c>
      <c r="J1507" t="s">
        <v>224</v>
      </c>
      <c r="K1507" s="7" t="s">
        <v>743</v>
      </c>
      <c r="L1507" s="4" t="s">
        <v>92</v>
      </c>
      <c r="M1507">
        <v>60218</v>
      </c>
      <c r="N1507" s="5">
        <v>30807368</v>
      </c>
      <c r="O1507" s="5">
        <v>116547</v>
      </c>
      <c r="P1507" s="5">
        <v>22144</v>
      </c>
      <c r="Q1507" s="5">
        <v>138691</v>
      </c>
    </row>
    <row r="1508" spans="1:17" x14ac:dyDescent="0.25">
      <c r="A1508" t="s">
        <v>520</v>
      </c>
      <c r="B1508" t="s">
        <v>494</v>
      </c>
      <c r="C1508">
        <v>96938840</v>
      </c>
      <c r="D1508">
        <v>146</v>
      </c>
      <c r="E1508">
        <v>30807966</v>
      </c>
      <c r="F1508" t="s">
        <v>665</v>
      </c>
      <c r="G1508" s="1">
        <v>45215</v>
      </c>
      <c r="H1508">
        <v>5404802</v>
      </c>
      <c r="I1508">
        <v>394</v>
      </c>
      <c r="J1508" t="s">
        <v>224</v>
      </c>
      <c r="K1508" s="7" t="s">
        <v>743</v>
      </c>
      <c r="L1508" s="4" t="s">
        <v>92</v>
      </c>
      <c r="M1508">
        <v>60218</v>
      </c>
      <c r="N1508" s="5">
        <v>30807966</v>
      </c>
      <c r="O1508" s="5">
        <v>166308</v>
      </c>
      <c r="P1508" s="5">
        <v>31599</v>
      </c>
      <c r="Q1508" s="5">
        <v>197907</v>
      </c>
    </row>
    <row r="1509" spans="1:17" x14ac:dyDescent="0.25">
      <c r="A1509" t="s">
        <v>520</v>
      </c>
      <c r="B1509" t="s">
        <v>494</v>
      </c>
      <c r="C1509">
        <v>96938840</v>
      </c>
      <c r="D1509">
        <v>0</v>
      </c>
      <c r="E1509">
        <v>30809711</v>
      </c>
      <c r="F1509" t="s">
        <v>665</v>
      </c>
      <c r="G1509" s="1">
        <v>45215</v>
      </c>
      <c r="H1509">
        <v>5405189</v>
      </c>
      <c r="I1509">
        <v>394</v>
      </c>
      <c r="J1509" t="s">
        <v>224</v>
      </c>
      <c r="K1509" s="7" t="s">
        <v>743</v>
      </c>
      <c r="L1509" s="4" t="s">
        <v>92</v>
      </c>
      <c r="M1509">
        <v>60218</v>
      </c>
      <c r="N1509" s="5">
        <v>30809711</v>
      </c>
      <c r="O1509" s="5">
        <v>103395</v>
      </c>
      <c r="P1509" s="5">
        <v>19645</v>
      </c>
      <c r="Q1509" s="5">
        <v>123040</v>
      </c>
    </row>
    <row r="1510" spans="1:17" x14ac:dyDescent="0.25">
      <c r="A1510" t="s">
        <v>520</v>
      </c>
      <c r="B1510" t="s">
        <v>494</v>
      </c>
      <c r="C1510">
        <v>96938840</v>
      </c>
      <c r="D1510">
        <v>68</v>
      </c>
      <c r="E1510">
        <v>30811589</v>
      </c>
      <c r="F1510" t="s">
        <v>665</v>
      </c>
      <c r="G1510" s="1">
        <v>45216</v>
      </c>
      <c r="H1510">
        <v>5405468</v>
      </c>
      <c r="I1510">
        <v>394</v>
      </c>
      <c r="J1510" t="s">
        <v>224</v>
      </c>
      <c r="K1510" s="7" t="s">
        <v>743</v>
      </c>
      <c r="L1510" s="4" t="s">
        <v>92</v>
      </c>
      <c r="M1510">
        <v>60218</v>
      </c>
      <c r="N1510" s="5">
        <v>30811589</v>
      </c>
      <c r="O1510" s="5">
        <v>547998</v>
      </c>
      <c r="P1510" s="5">
        <v>104120</v>
      </c>
      <c r="Q1510" s="5">
        <v>652118</v>
      </c>
    </row>
    <row r="1511" spans="1:17" x14ac:dyDescent="0.25">
      <c r="A1511" t="s">
        <v>520</v>
      </c>
      <c r="B1511" t="s">
        <v>494</v>
      </c>
      <c r="C1511">
        <v>96938840</v>
      </c>
      <c r="D1511">
        <v>68</v>
      </c>
      <c r="E1511">
        <v>30811771</v>
      </c>
      <c r="F1511" t="s">
        <v>665</v>
      </c>
      <c r="G1511" s="1">
        <v>45216</v>
      </c>
      <c r="H1511">
        <v>5405491</v>
      </c>
      <c r="I1511">
        <v>394</v>
      </c>
      <c r="J1511" t="s">
        <v>224</v>
      </c>
      <c r="K1511" s="7" t="s">
        <v>743</v>
      </c>
      <c r="L1511" s="4" t="s">
        <v>92</v>
      </c>
      <c r="M1511">
        <v>60218</v>
      </c>
      <c r="N1511" s="5">
        <v>30811771</v>
      </c>
      <c r="O1511" s="5">
        <v>20185</v>
      </c>
      <c r="P1511" s="5">
        <v>3835</v>
      </c>
      <c r="Q1511" s="5">
        <v>24020</v>
      </c>
    </row>
    <row r="1512" spans="1:17" x14ac:dyDescent="0.25">
      <c r="A1512" t="s">
        <v>520</v>
      </c>
      <c r="B1512" t="s">
        <v>494</v>
      </c>
      <c r="C1512">
        <v>96938840</v>
      </c>
      <c r="D1512">
        <v>0</v>
      </c>
      <c r="E1512">
        <v>30814087</v>
      </c>
      <c r="F1512" t="s">
        <v>665</v>
      </c>
      <c r="G1512" s="1">
        <v>45216</v>
      </c>
      <c r="H1512">
        <v>5405744</v>
      </c>
      <c r="I1512">
        <v>394</v>
      </c>
      <c r="J1512" t="s">
        <v>224</v>
      </c>
      <c r="K1512" s="7" t="s">
        <v>743</v>
      </c>
      <c r="L1512" s="4" t="s">
        <v>92</v>
      </c>
      <c r="M1512">
        <v>60218</v>
      </c>
      <c r="N1512" s="5">
        <v>30814087</v>
      </c>
      <c r="O1512" s="5">
        <v>125075</v>
      </c>
      <c r="P1512" s="5">
        <v>23764</v>
      </c>
      <c r="Q1512" s="5">
        <v>148839</v>
      </c>
    </row>
    <row r="1513" spans="1:17" x14ac:dyDescent="0.25">
      <c r="A1513" t="s">
        <v>520</v>
      </c>
      <c r="B1513" t="s">
        <v>494</v>
      </c>
      <c r="C1513">
        <v>96938840</v>
      </c>
      <c r="D1513">
        <v>68</v>
      </c>
      <c r="E1513">
        <v>30814950</v>
      </c>
      <c r="F1513" t="s">
        <v>665</v>
      </c>
      <c r="G1513" s="1">
        <v>45217</v>
      </c>
      <c r="H1513">
        <v>5405939</v>
      </c>
      <c r="I1513">
        <v>394</v>
      </c>
      <c r="J1513" t="s">
        <v>224</v>
      </c>
      <c r="K1513" s="7" t="s">
        <v>743</v>
      </c>
      <c r="L1513" s="4" t="s">
        <v>92</v>
      </c>
      <c r="M1513">
        <v>60218</v>
      </c>
      <c r="N1513" s="5">
        <v>30814950</v>
      </c>
      <c r="O1513" s="5">
        <v>20852</v>
      </c>
      <c r="P1513" s="5">
        <v>3962</v>
      </c>
      <c r="Q1513" s="5">
        <v>24814</v>
      </c>
    </row>
    <row r="1514" spans="1:17" x14ac:dyDescent="0.25">
      <c r="A1514" t="s">
        <v>520</v>
      </c>
      <c r="B1514" t="s">
        <v>494</v>
      </c>
      <c r="C1514">
        <v>96938840</v>
      </c>
      <c r="D1514">
        <v>20</v>
      </c>
      <c r="E1514">
        <v>30816202</v>
      </c>
      <c r="F1514" t="s">
        <v>665</v>
      </c>
      <c r="G1514" s="1">
        <v>45217</v>
      </c>
      <c r="H1514">
        <v>5406134</v>
      </c>
      <c r="I1514">
        <v>394</v>
      </c>
      <c r="J1514" t="s">
        <v>224</v>
      </c>
      <c r="K1514" s="7" t="s">
        <v>743</v>
      </c>
      <c r="L1514" s="4" t="s">
        <v>92</v>
      </c>
      <c r="M1514">
        <v>60218</v>
      </c>
      <c r="N1514" s="5">
        <v>30816202</v>
      </c>
      <c r="O1514" s="5">
        <v>135812</v>
      </c>
      <c r="P1514" s="5">
        <v>25804</v>
      </c>
      <c r="Q1514" s="5">
        <v>161616</v>
      </c>
    </row>
    <row r="1515" spans="1:17" x14ac:dyDescent="0.25">
      <c r="A1515" t="s">
        <v>520</v>
      </c>
      <c r="B1515" t="s">
        <v>494</v>
      </c>
      <c r="C1515">
        <v>96938840</v>
      </c>
      <c r="D1515">
        <v>16</v>
      </c>
      <c r="E1515">
        <v>30816083</v>
      </c>
      <c r="F1515" t="s">
        <v>665</v>
      </c>
      <c r="G1515" s="1">
        <v>45217</v>
      </c>
      <c r="H1515">
        <v>5406136</v>
      </c>
      <c r="I1515">
        <v>394</v>
      </c>
      <c r="J1515" t="s">
        <v>224</v>
      </c>
      <c r="K1515" s="7" t="s">
        <v>743</v>
      </c>
      <c r="L1515" s="4" t="s">
        <v>92</v>
      </c>
      <c r="M1515">
        <v>60218</v>
      </c>
      <c r="N1515" s="5">
        <v>30816083</v>
      </c>
      <c r="O1515" s="5">
        <v>139937</v>
      </c>
      <c r="P1515" s="5">
        <v>26588</v>
      </c>
      <c r="Q1515" s="5">
        <v>166525</v>
      </c>
    </row>
    <row r="1516" spans="1:17" x14ac:dyDescent="0.25">
      <c r="A1516" t="s">
        <v>520</v>
      </c>
      <c r="B1516" t="s">
        <v>494</v>
      </c>
      <c r="C1516">
        <v>96938840</v>
      </c>
      <c r="D1516">
        <v>30</v>
      </c>
      <c r="E1516">
        <v>30813472</v>
      </c>
      <c r="F1516" t="s">
        <v>665</v>
      </c>
      <c r="G1516" s="1">
        <v>45217</v>
      </c>
      <c r="H1516">
        <v>5406201</v>
      </c>
      <c r="I1516">
        <v>394</v>
      </c>
      <c r="J1516" t="s">
        <v>224</v>
      </c>
      <c r="K1516" s="7" t="s">
        <v>743</v>
      </c>
      <c r="L1516" s="4" t="s">
        <v>92</v>
      </c>
      <c r="M1516">
        <v>60218</v>
      </c>
      <c r="N1516" s="5">
        <v>30813472</v>
      </c>
      <c r="O1516" s="5">
        <v>69874</v>
      </c>
      <c r="P1516" s="5">
        <v>13276</v>
      </c>
      <c r="Q1516" s="5">
        <v>83150</v>
      </c>
    </row>
    <row r="1517" spans="1:17" x14ac:dyDescent="0.25">
      <c r="A1517" t="s">
        <v>520</v>
      </c>
      <c r="B1517" t="s">
        <v>494</v>
      </c>
      <c r="C1517">
        <v>96938840</v>
      </c>
      <c r="D1517">
        <v>73</v>
      </c>
      <c r="E1517">
        <v>30817638</v>
      </c>
      <c r="F1517" t="s">
        <v>665</v>
      </c>
      <c r="G1517" s="1">
        <v>45218</v>
      </c>
      <c r="H1517">
        <v>5406414</v>
      </c>
      <c r="I1517">
        <v>394</v>
      </c>
      <c r="J1517" t="s">
        <v>224</v>
      </c>
      <c r="K1517" s="7" t="s">
        <v>743</v>
      </c>
      <c r="L1517" s="4" t="s">
        <v>92</v>
      </c>
      <c r="M1517">
        <v>60218</v>
      </c>
      <c r="N1517" s="5">
        <v>30817638</v>
      </c>
      <c r="O1517" s="5">
        <v>568031</v>
      </c>
      <c r="P1517" s="5">
        <v>107926</v>
      </c>
      <c r="Q1517" s="5">
        <v>675957</v>
      </c>
    </row>
    <row r="1518" spans="1:17" x14ac:dyDescent="0.25">
      <c r="A1518" t="s">
        <v>520</v>
      </c>
      <c r="B1518" t="s">
        <v>494</v>
      </c>
      <c r="C1518">
        <v>96938840</v>
      </c>
      <c r="D1518">
        <v>150</v>
      </c>
      <c r="E1518">
        <v>30818811</v>
      </c>
      <c r="F1518" t="s">
        <v>665</v>
      </c>
      <c r="G1518" s="1">
        <v>45218</v>
      </c>
      <c r="H1518">
        <v>5406456</v>
      </c>
      <c r="I1518">
        <v>394</v>
      </c>
      <c r="J1518" t="s">
        <v>224</v>
      </c>
      <c r="K1518" s="7" t="s">
        <v>743</v>
      </c>
      <c r="L1518" s="4" t="s">
        <v>92</v>
      </c>
      <c r="M1518">
        <v>60218</v>
      </c>
      <c r="N1518" s="5">
        <v>30818811</v>
      </c>
      <c r="O1518" s="5">
        <v>56901</v>
      </c>
      <c r="P1518" s="5">
        <v>10811</v>
      </c>
      <c r="Q1518" s="5">
        <v>67712</v>
      </c>
    </row>
    <row r="1519" spans="1:17" x14ac:dyDescent="0.25">
      <c r="A1519" t="s">
        <v>520</v>
      </c>
      <c r="B1519" t="s">
        <v>494</v>
      </c>
      <c r="C1519">
        <v>96938840</v>
      </c>
      <c r="D1519">
        <v>154</v>
      </c>
      <c r="E1519">
        <v>30821920</v>
      </c>
      <c r="F1519" t="s">
        <v>665</v>
      </c>
      <c r="G1519" s="1">
        <v>45219</v>
      </c>
      <c r="H1519">
        <v>5406801</v>
      </c>
      <c r="I1519">
        <v>394</v>
      </c>
      <c r="J1519" t="s">
        <v>224</v>
      </c>
      <c r="K1519" s="7" t="s">
        <v>743</v>
      </c>
      <c r="L1519" s="4" t="s">
        <v>92</v>
      </c>
      <c r="M1519">
        <v>60218</v>
      </c>
      <c r="N1519" s="5">
        <v>30821920</v>
      </c>
      <c r="O1519" s="5">
        <v>149720</v>
      </c>
      <c r="P1519" s="5">
        <v>28447</v>
      </c>
      <c r="Q1519" s="5">
        <v>178167</v>
      </c>
    </row>
    <row r="1520" spans="1:17" x14ac:dyDescent="0.25">
      <c r="A1520" t="s">
        <v>520</v>
      </c>
      <c r="B1520" t="s">
        <v>494</v>
      </c>
      <c r="C1520">
        <v>96938840</v>
      </c>
      <c r="D1520">
        <v>1</v>
      </c>
      <c r="E1520">
        <v>30820655</v>
      </c>
      <c r="F1520" t="s">
        <v>665</v>
      </c>
      <c r="G1520" s="1">
        <v>45220</v>
      </c>
      <c r="H1520">
        <v>5407240</v>
      </c>
      <c r="I1520">
        <v>394</v>
      </c>
      <c r="J1520" t="s">
        <v>224</v>
      </c>
      <c r="K1520" s="7" t="s">
        <v>743</v>
      </c>
      <c r="L1520" s="4" t="s">
        <v>92</v>
      </c>
      <c r="M1520">
        <v>60218</v>
      </c>
      <c r="N1520" s="5">
        <v>30820655</v>
      </c>
      <c r="O1520" s="5">
        <v>119661</v>
      </c>
      <c r="P1520" s="5">
        <v>22736</v>
      </c>
      <c r="Q1520" s="5">
        <v>142397</v>
      </c>
    </row>
    <row r="1521" spans="1:17" x14ac:dyDescent="0.25">
      <c r="A1521" t="s">
        <v>520</v>
      </c>
      <c r="B1521" t="s">
        <v>494</v>
      </c>
      <c r="C1521">
        <v>96938840</v>
      </c>
      <c r="D1521">
        <v>29</v>
      </c>
      <c r="E1521">
        <v>30811196</v>
      </c>
      <c r="F1521" t="s">
        <v>665</v>
      </c>
      <c r="G1521" s="1">
        <v>45220</v>
      </c>
      <c r="H1521">
        <v>5407277</v>
      </c>
      <c r="I1521">
        <v>394</v>
      </c>
      <c r="J1521" t="s">
        <v>224</v>
      </c>
      <c r="K1521" s="7" t="s">
        <v>743</v>
      </c>
      <c r="L1521" s="4" t="s">
        <v>92</v>
      </c>
      <c r="M1521">
        <v>60218</v>
      </c>
      <c r="N1521" s="5">
        <v>30811196</v>
      </c>
      <c r="O1521" s="5">
        <v>74210</v>
      </c>
      <c r="P1521" s="5">
        <v>14100</v>
      </c>
      <c r="Q1521" s="5">
        <v>88310</v>
      </c>
    </row>
    <row r="1522" spans="1:17" x14ac:dyDescent="0.25">
      <c r="A1522" t="s">
        <v>520</v>
      </c>
      <c r="B1522" t="s">
        <v>494</v>
      </c>
      <c r="C1522">
        <v>96938840</v>
      </c>
      <c r="D1522">
        <v>116</v>
      </c>
      <c r="E1522">
        <v>30825157</v>
      </c>
      <c r="F1522" t="s">
        <v>665</v>
      </c>
      <c r="G1522" s="1">
        <v>45222</v>
      </c>
      <c r="H1522">
        <v>5407608</v>
      </c>
      <c r="I1522">
        <v>394</v>
      </c>
      <c r="J1522" t="s">
        <v>224</v>
      </c>
      <c r="K1522" s="7" t="s">
        <v>743</v>
      </c>
      <c r="L1522" s="4" t="s">
        <v>92</v>
      </c>
      <c r="M1522">
        <v>60218</v>
      </c>
      <c r="N1522" s="5">
        <v>30825157</v>
      </c>
      <c r="O1522" s="5">
        <v>20280</v>
      </c>
      <c r="P1522" s="5">
        <v>3853</v>
      </c>
      <c r="Q1522" s="5">
        <v>24133</v>
      </c>
    </row>
    <row r="1523" spans="1:17" x14ac:dyDescent="0.25">
      <c r="A1523" t="s">
        <v>520</v>
      </c>
      <c r="B1523" t="s">
        <v>494</v>
      </c>
      <c r="C1523">
        <v>96938840</v>
      </c>
      <c r="D1523">
        <v>145</v>
      </c>
      <c r="E1523">
        <v>30826349</v>
      </c>
      <c r="F1523" t="s">
        <v>665</v>
      </c>
      <c r="G1523" s="1">
        <v>45222</v>
      </c>
      <c r="H1523">
        <v>5407995</v>
      </c>
      <c r="I1523">
        <v>394</v>
      </c>
      <c r="J1523" t="s">
        <v>224</v>
      </c>
      <c r="K1523" s="7" t="s">
        <v>743</v>
      </c>
      <c r="L1523" s="4" t="s">
        <v>92</v>
      </c>
      <c r="M1523">
        <v>60218</v>
      </c>
      <c r="N1523" s="5">
        <v>30826349</v>
      </c>
      <c r="O1523" s="5">
        <v>65043</v>
      </c>
      <c r="P1523" s="5">
        <v>12358</v>
      </c>
      <c r="Q1523" s="5">
        <v>77401</v>
      </c>
    </row>
    <row r="1524" spans="1:17" x14ac:dyDescent="0.25">
      <c r="A1524" t="s">
        <v>520</v>
      </c>
      <c r="B1524" t="s">
        <v>494</v>
      </c>
      <c r="C1524">
        <v>96938840</v>
      </c>
      <c r="D1524">
        <v>43</v>
      </c>
      <c r="E1524">
        <v>30827837</v>
      </c>
      <c r="F1524" t="s">
        <v>665</v>
      </c>
      <c r="G1524" s="1">
        <v>45223</v>
      </c>
      <c r="H1524">
        <v>5408241</v>
      </c>
      <c r="I1524">
        <v>394</v>
      </c>
      <c r="J1524" t="s">
        <v>224</v>
      </c>
      <c r="K1524" s="7" t="s">
        <v>743</v>
      </c>
      <c r="L1524" s="4" t="s">
        <v>92</v>
      </c>
      <c r="M1524">
        <v>60218</v>
      </c>
      <c r="N1524" s="5">
        <v>30827837</v>
      </c>
      <c r="O1524" s="5">
        <v>297017</v>
      </c>
      <c r="P1524" s="5">
        <v>56433</v>
      </c>
      <c r="Q1524" s="5">
        <v>353450</v>
      </c>
    </row>
    <row r="1525" spans="1:17" x14ac:dyDescent="0.25">
      <c r="A1525" t="s">
        <v>520</v>
      </c>
      <c r="B1525" t="s">
        <v>494</v>
      </c>
      <c r="C1525">
        <v>96938840</v>
      </c>
      <c r="D1525">
        <v>0</v>
      </c>
      <c r="E1525">
        <v>30831393</v>
      </c>
      <c r="F1525" t="s">
        <v>665</v>
      </c>
      <c r="G1525" s="1">
        <v>45224</v>
      </c>
      <c r="H1525">
        <v>5408637</v>
      </c>
      <c r="I1525">
        <v>394</v>
      </c>
      <c r="J1525" t="s">
        <v>224</v>
      </c>
      <c r="K1525" s="7" t="s">
        <v>743</v>
      </c>
      <c r="L1525" s="4" t="s">
        <v>92</v>
      </c>
      <c r="M1525">
        <v>60218</v>
      </c>
      <c r="N1525" s="5">
        <v>30831393</v>
      </c>
      <c r="O1525" s="5">
        <v>179059</v>
      </c>
      <c r="P1525" s="5">
        <v>34021</v>
      </c>
      <c r="Q1525" s="5">
        <v>213080</v>
      </c>
    </row>
    <row r="1526" spans="1:17" x14ac:dyDescent="0.25">
      <c r="A1526" t="s">
        <v>520</v>
      </c>
      <c r="B1526" t="s">
        <v>494</v>
      </c>
      <c r="C1526">
        <v>96938840</v>
      </c>
      <c r="D1526">
        <v>0</v>
      </c>
      <c r="E1526">
        <v>30831494</v>
      </c>
      <c r="F1526" t="s">
        <v>665</v>
      </c>
      <c r="G1526" s="1">
        <v>45224</v>
      </c>
      <c r="H1526">
        <v>5408700</v>
      </c>
      <c r="I1526">
        <v>394</v>
      </c>
      <c r="J1526" t="s">
        <v>224</v>
      </c>
      <c r="K1526" s="7" t="s">
        <v>743</v>
      </c>
      <c r="L1526" s="4" t="s">
        <v>92</v>
      </c>
      <c r="M1526">
        <v>60218</v>
      </c>
      <c r="N1526" s="5">
        <v>30831494</v>
      </c>
      <c r="O1526" s="5">
        <v>675648</v>
      </c>
      <c r="P1526" s="5">
        <v>128373</v>
      </c>
      <c r="Q1526" s="5">
        <v>804021</v>
      </c>
    </row>
    <row r="1527" spans="1:17" x14ac:dyDescent="0.25">
      <c r="F1527" t="s">
        <v>719</v>
      </c>
      <c r="K1527" t="s">
        <v>681</v>
      </c>
      <c r="L1527" s="4"/>
      <c r="M1527" t="s">
        <v>681</v>
      </c>
      <c r="N1527" s="5"/>
      <c r="O1527" s="5">
        <v>8845073</v>
      </c>
      <c r="P1527" s="5">
        <v>1680566</v>
      </c>
      <c r="Q1527" s="5">
        <v>10525639</v>
      </c>
    </row>
    <row r="1528" spans="1:17" x14ac:dyDescent="0.25">
      <c r="A1528" t="s">
        <v>496</v>
      </c>
      <c r="B1528" t="s">
        <v>494</v>
      </c>
      <c r="C1528">
        <v>96955560</v>
      </c>
      <c r="D1528">
        <v>0</v>
      </c>
      <c r="E1528">
        <v>171</v>
      </c>
      <c r="F1528" t="s">
        <v>666</v>
      </c>
      <c r="G1528" s="1">
        <v>45217</v>
      </c>
      <c r="H1528">
        <v>5402201</v>
      </c>
      <c r="I1528">
        <v>121</v>
      </c>
      <c r="J1528" t="s">
        <v>212</v>
      </c>
      <c r="K1528" s="8" t="s">
        <v>742</v>
      </c>
      <c r="L1528" s="4"/>
      <c r="M1528" t="s">
        <v>681</v>
      </c>
      <c r="N1528" s="5">
        <v>30811985</v>
      </c>
      <c r="O1528" s="5">
        <v>275847</v>
      </c>
      <c r="P1528" s="5">
        <v>52411</v>
      </c>
      <c r="Q1528" s="5">
        <v>331306</v>
      </c>
    </row>
    <row r="1529" spans="1:17" x14ac:dyDescent="0.25">
      <c r="F1529" t="s">
        <v>495</v>
      </c>
      <c r="K1529" t="s">
        <v>681</v>
      </c>
      <c r="L1529" s="4"/>
      <c r="M1529" t="s">
        <v>681</v>
      </c>
      <c r="N1529" s="5"/>
      <c r="O1529" s="5">
        <v>275847</v>
      </c>
      <c r="P1529" s="5">
        <v>52411</v>
      </c>
      <c r="Q1529" s="5">
        <v>331306</v>
      </c>
    </row>
    <row r="1530" spans="1:17" x14ac:dyDescent="0.25">
      <c r="A1530" t="s">
        <v>819</v>
      </c>
      <c r="B1530" t="s">
        <v>494</v>
      </c>
      <c r="C1530">
        <v>96967550</v>
      </c>
      <c r="D1530">
        <v>0</v>
      </c>
      <c r="E1530">
        <v>4300080152</v>
      </c>
      <c r="F1530" t="s">
        <v>820</v>
      </c>
      <c r="G1530" s="1">
        <v>45224</v>
      </c>
      <c r="H1530">
        <v>5408780</v>
      </c>
      <c r="I1530">
        <v>50</v>
      </c>
      <c r="J1530" t="s">
        <v>376</v>
      </c>
      <c r="K1530" s="8" t="s">
        <v>742</v>
      </c>
      <c r="L1530" s="4"/>
      <c r="M1530" t="s">
        <v>681</v>
      </c>
      <c r="N1530" s="5">
        <v>30779745</v>
      </c>
      <c r="O1530" s="5">
        <v>299160</v>
      </c>
      <c r="P1530" s="5">
        <v>56840</v>
      </c>
      <c r="Q1530" s="5">
        <v>356000</v>
      </c>
    </row>
    <row r="1531" spans="1:17" x14ac:dyDescent="0.25">
      <c r="F1531" t="s">
        <v>495</v>
      </c>
      <c r="K1531" t="s">
        <v>681</v>
      </c>
      <c r="L1531" s="4"/>
      <c r="M1531" t="s">
        <v>681</v>
      </c>
      <c r="N1531" s="5"/>
      <c r="O1531" s="5">
        <v>299160</v>
      </c>
      <c r="P1531" s="5">
        <v>56840</v>
      </c>
      <c r="Q1531" s="5">
        <v>356000</v>
      </c>
    </row>
    <row r="1532" spans="1:17" x14ac:dyDescent="0.25">
      <c r="A1532" t="s">
        <v>496</v>
      </c>
      <c r="B1532" t="s">
        <v>494</v>
      </c>
      <c r="C1532">
        <v>96990050</v>
      </c>
      <c r="D1532">
        <v>0</v>
      </c>
      <c r="E1532">
        <v>4800008040</v>
      </c>
      <c r="F1532" t="s">
        <v>667</v>
      </c>
      <c r="G1532" s="1">
        <v>45209</v>
      </c>
      <c r="H1532">
        <v>5401508</v>
      </c>
      <c r="I1532">
        <v>114</v>
      </c>
      <c r="J1532" t="s">
        <v>182</v>
      </c>
      <c r="K1532" s="8" t="s">
        <v>742</v>
      </c>
      <c r="L1532" s="4"/>
      <c r="M1532" t="s">
        <v>681</v>
      </c>
      <c r="N1532" s="5">
        <v>30759862</v>
      </c>
      <c r="O1532" s="5">
        <v>528040</v>
      </c>
      <c r="P1532" s="5">
        <v>100328</v>
      </c>
      <c r="Q1532" s="5">
        <v>631188</v>
      </c>
    </row>
    <row r="1533" spans="1:17" x14ac:dyDescent="0.25">
      <c r="A1533" t="s">
        <v>496</v>
      </c>
      <c r="B1533" t="s">
        <v>494</v>
      </c>
      <c r="C1533">
        <v>96990050</v>
      </c>
      <c r="D1533">
        <v>0</v>
      </c>
      <c r="E1533">
        <v>4800008050</v>
      </c>
      <c r="F1533" t="s">
        <v>667</v>
      </c>
      <c r="G1533" s="1">
        <v>45212</v>
      </c>
      <c r="H1533">
        <v>5403502</v>
      </c>
      <c r="I1533">
        <v>114</v>
      </c>
      <c r="J1533" t="s">
        <v>182</v>
      </c>
      <c r="K1533" s="8" t="s">
        <v>742</v>
      </c>
      <c r="L1533" s="4"/>
      <c r="M1533" t="s">
        <v>681</v>
      </c>
      <c r="N1533" s="5">
        <v>30760056</v>
      </c>
      <c r="O1533" s="5">
        <v>66641</v>
      </c>
      <c r="P1533" s="5">
        <v>12662</v>
      </c>
      <c r="Q1533" s="5">
        <v>79303</v>
      </c>
    </row>
    <row r="1534" spans="1:17" x14ac:dyDescent="0.25">
      <c r="F1534" t="s">
        <v>497</v>
      </c>
      <c r="K1534" t="s">
        <v>681</v>
      </c>
      <c r="L1534" s="4"/>
      <c r="M1534" t="s">
        <v>681</v>
      </c>
      <c r="N1534" s="5"/>
      <c r="O1534" s="5">
        <v>594681</v>
      </c>
      <c r="P1534" s="5">
        <v>112990</v>
      </c>
      <c r="Q1534" s="5">
        <v>710491</v>
      </c>
    </row>
    <row r="1535" spans="1:17" x14ac:dyDescent="0.25">
      <c r="A1535" t="s">
        <v>512</v>
      </c>
      <c r="B1535" t="s">
        <v>494</v>
      </c>
      <c r="C1535">
        <v>99147000</v>
      </c>
      <c r="D1535">
        <v>45</v>
      </c>
      <c r="E1535" t="s">
        <v>668</v>
      </c>
      <c r="F1535" t="s">
        <v>669</v>
      </c>
      <c r="G1535" s="1">
        <v>45200</v>
      </c>
      <c r="H1535">
        <v>5394545</v>
      </c>
      <c r="I1535">
        <v>431</v>
      </c>
      <c r="J1535" t="s">
        <v>354</v>
      </c>
      <c r="K1535" t="s">
        <v>681</v>
      </c>
      <c r="L1535" s="4"/>
      <c r="M1535" t="s">
        <v>681</v>
      </c>
      <c r="N1535" s="5">
        <v>30763422</v>
      </c>
      <c r="O1535" s="5">
        <v>28601</v>
      </c>
      <c r="P1535" s="5">
        <v>5434</v>
      </c>
      <c r="Q1535" s="5">
        <v>34035</v>
      </c>
    </row>
    <row r="1536" spans="1:17" x14ac:dyDescent="0.25">
      <c r="A1536" t="s">
        <v>512</v>
      </c>
      <c r="B1536" t="s">
        <v>494</v>
      </c>
      <c r="C1536">
        <v>99147000</v>
      </c>
      <c r="D1536">
        <v>45</v>
      </c>
      <c r="E1536" t="s">
        <v>670</v>
      </c>
      <c r="F1536" t="s">
        <v>669</v>
      </c>
      <c r="G1536" s="1">
        <v>45200</v>
      </c>
      <c r="H1536">
        <v>5394547</v>
      </c>
      <c r="I1536">
        <v>431</v>
      </c>
      <c r="J1536" t="s">
        <v>354</v>
      </c>
      <c r="K1536" t="s">
        <v>681</v>
      </c>
      <c r="L1536" s="4"/>
      <c r="M1536" t="s">
        <v>681</v>
      </c>
      <c r="N1536" s="5">
        <v>30763471</v>
      </c>
      <c r="O1536" s="5">
        <v>44480</v>
      </c>
      <c r="P1536" s="5">
        <v>8451</v>
      </c>
      <c r="Q1536" s="5">
        <v>52931</v>
      </c>
    </row>
    <row r="1537" spans="1:17" x14ac:dyDescent="0.25">
      <c r="A1537" t="s">
        <v>512</v>
      </c>
      <c r="B1537" t="s">
        <v>494</v>
      </c>
      <c r="C1537">
        <v>99147000</v>
      </c>
      <c r="D1537">
        <v>45</v>
      </c>
      <c r="E1537" t="s">
        <v>671</v>
      </c>
      <c r="F1537" t="s">
        <v>669</v>
      </c>
      <c r="G1537" s="1">
        <v>45200</v>
      </c>
      <c r="H1537">
        <v>5394640</v>
      </c>
      <c r="I1537">
        <v>431</v>
      </c>
      <c r="J1537" t="s">
        <v>354</v>
      </c>
      <c r="K1537" t="s">
        <v>681</v>
      </c>
      <c r="L1537" s="4"/>
      <c r="M1537" t="s">
        <v>681</v>
      </c>
      <c r="N1537" s="5">
        <v>30763424</v>
      </c>
      <c r="O1537" s="5">
        <v>44447</v>
      </c>
      <c r="P1537" s="5">
        <v>8445</v>
      </c>
      <c r="Q1537" s="5">
        <v>52892</v>
      </c>
    </row>
    <row r="1538" spans="1:17" x14ac:dyDescent="0.25">
      <c r="A1538" t="s">
        <v>512</v>
      </c>
      <c r="B1538" t="s">
        <v>494</v>
      </c>
      <c r="C1538">
        <v>99147000</v>
      </c>
      <c r="D1538">
        <v>28</v>
      </c>
      <c r="E1538">
        <v>30769907</v>
      </c>
      <c r="F1538" t="s">
        <v>669</v>
      </c>
      <c r="G1538" s="1">
        <v>45201</v>
      </c>
      <c r="H1538">
        <v>5395479</v>
      </c>
      <c r="I1538">
        <v>431</v>
      </c>
      <c r="J1538" t="s">
        <v>354</v>
      </c>
      <c r="K1538" t="s">
        <v>681</v>
      </c>
      <c r="L1538" s="4"/>
      <c r="M1538" t="s">
        <v>681</v>
      </c>
      <c r="N1538" s="5">
        <v>30769907</v>
      </c>
      <c r="O1538" s="5">
        <v>84320</v>
      </c>
      <c r="P1538" s="5">
        <v>16021</v>
      </c>
      <c r="Q1538" s="5">
        <v>100341</v>
      </c>
    </row>
    <row r="1539" spans="1:17" x14ac:dyDescent="0.25">
      <c r="F1539" t="s">
        <v>498</v>
      </c>
      <c r="K1539" t="s">
        <v>681</v>
      </c>
      <c r="L1539" s="4"/>
      <c r="M1539" t="s">
        <v>681</v>
      </c>
      <c r="N1539" s="5"/>
      <c r="O1539" s="5">
        <v>201848</v>
      </c>
      <c r="P1539" s="5">
        <v>38351</v>
      </c>
      <c r="Q1539" s="5">
        <v>240199</v>
      </c>
    </row>
    <row r="1540" spans="1:17" x14ac:dyDescent="0.25">
      <c r="A1540" t="s">
        <v>496</v>
      </c>
      <c r="B1540" t="s">
        <v>494</v>
      </c>
      <c r="C1540">
        <v>99289000</v>
      </c>
      <c r="D1540">
        <v>0</v>
      </c>
      <c r="E1540" t="s">
        <v>673</v>
      </c>
      <c r="F1540" t="s">
        <v>672</v>
      </c>
      <c r="G1540" s="1">
        <v>45203</v>
      </c>
      <c r="H1540">
        <v>5397134</v>
      </c>
      <c r="I1540">
        <v>63</v>
      </c>
      <c r="J1540" t="s">
        <v>170</v>
      </c>
      <c r="K1540" s="8" t="s">
        <v>742</v>
      </c>
      <c r="L1540" s="4"/>
      <c r="M1540" t="s">
        <v>681</v>
      </c>
      <c r="N1540" s="5">
        <v>30776269</v>
      </c>
      <c r="O1540" s="5">
        <v>73600</v>
      </c>
      <c r="P1540" s="5">
        <v>13984</v>
      </c>
      <c r="Q1540" s="5">
        <v>87584</v>
      </c>
    </row>
    <row r="1541" spans="1:17" x14ac:dyDescent="0.25">
      <c r="A1541" t="s">
        <v>496</v>
      </c>
      <c r="B1541" t="s">
        <v>494</v>
      </c>
      <c r="C1541">
        <v>99289000</v>
      </c>
      <c r="D1541">
        <v>0</v>
      </c>
      <c r="E1541" t="s">
        <v>674</v>
      </c>
      <c r="F1541" t="s">
        <v>672</v>
      </c>
      <c r="G1541" s="1">
        <v>45204</v>
      </c>
      <c r="H1541">
        <v>5397717</v>
      </c>
      <c r="I1541">
        <v>63</v>
      </c>
      <c r="J1541" t="s">
        <v>170</v>
      </c>
      <c r="K1541" s="8" t="s">
        <v>742</v>
      </c>
      <c r="L1541" s="4"/>
      <c r="M1541" t="s">
        <v>681</v>
      </c>
      <c r="N1541" s="5">
        <v>30777943</v>
      </c>
      <c r="O1541" s="5">
        <v>159803</v>
      </c>
      <c r="P1541" s="5">
        <v>30363</v>
      </c>
      <c r="Q1541" s="5">
        <v>190166</v>
      </c>
    </row>
    <row r="1542" spans="1:17" x14ac:dyDescent="0.25">
      <c r="F1542" t="s">
        <v>497</v>
      </c>
      <c r="K1542" t="s">
        <v>681</v>
      </c>
      <c r="L1542" s="4"/>
      <c r="M1542" t="s">
        <v>681</v>
      </c>
      <c r="N1542" s="5"/>
      <c r="O1542" s="5">
        <v>233403</v>
      </c>
      <c r="P1542" s="5">
        <v>44347</v>
      </c>
      <c r="Q1542" s="5">
        <v>277750</v>
      </c>
    </row>
    <row r="1543" spans="1:17" x14ac:dyDescent="0.25">
      <c r="A1543" t="s">
        <v>496</v>
      </c>
      <c r="B1543" t="s">
        <v>502</v>
      </c>
      <c r="C1543">
        <v>99532160</v>
      </c>
      <c r="D1543">
        <v>0</v>
      </c>
      <c r="E1543">
        <v>4500461443</v>
      </c>
      <c r="F1543" t="s">
        <v>675</v>
      </c>
      <c r="G1543" s="1">
        <v>45229</v>
      </c>
      <c r="H1543">
        <v>5409943</v>
      </c>
      <c r="I1543">
        <v>394</v>
      </c>
      <c r="J1543" t="s">
        <v>224</v>
      </c>
      <c r="K1543" s="8" t="s">
        <v>742</v>
      </c>
      <c r="L1543" s="4" t="s">
        <v>6</v>
      </c>
      <c r="M1543" t="s">
        <v>681</v>
      </c>
      <c r="N1543" s="5">
        <v>30836899</v>
      </c>
      <c r="O1543" s="5">
        <v>85197</v>
      </c>
      <c r="P1543" s="5">
        <v>16187</v>
      </c>
      <c r="Q1543" s="5">
        <v>101384</v>
      </c>
    </row>
    <row r="1544" spans="1:17" x14ac:dyDescent="0.25">
      <c r="F1544" t="s">
        <v>495</v>
      </c>
      <c r="K1544" t="s">
        <v>681</v>
      </c>
      <c r="M1544" t="s">
        <v>681</v>
      </c>
      <c r="N1544" s="5"/>
      <c r="O1544" s="5">
        <v>85197</v>
      </c>
      <c r="P1544" s="5">
        <v>16187</v>
      </c>
      <c r="Q1544" s="5">
        <v>101384</v>
      </c>
    </row>
    <row r="1545" spans="1:17" x14ac:dyDescent="0.25">
      <c r="A1545" t="s">
        <v>503</v>
      </c>
      <c r="B1545" t="s">
        <v>494</v>
      </c>
      <c r="C1545">
        <v>99554560</v>
      </c>
      <c r="D1545">
        <v>35</v>
      </c>
      <c r="E1545">
        <v>4502160034</v>
      </c>
      <c r="F1545" t="s">
        <v>676</v>
      </c>
      <c r="G1545" s="1">
        <v>45222</v>
      </c>
      <c r="H1545">
        <v>5407937</v>
      </c>
      <c r="I1545">
        <v>100</v>
      </c>
      <c r="J1545" t="s">
        <v>384</v>
      </c>
      <c r="K1545" s="8" t="s">
        <v>742</v>
      </c>
      <c r="M1545" t="s">
        <v>681</v>
      </c>
      <c r="N1545" s="5">
        <v>30827119</v>
      </c>
      <c r="O1545" s="5">
        <v>52560</v>
      </c>
      <c r="P1545" s="5">
        <v>9986</v>
      </c>
      <c r="Q1545" s="5">
        <v>62546</v>
      </c>
    </row>
    <row r="1546" spans="1:17" x14ac:dyDescent="0.25">
      <c r="F1546" t="s">
        <v>495</v>
      </c>
      <c r="K1546" t="s">
        <v>681</v>
      </c>
      <c r="M1546" t="s">
        <v>681</v>
      </c>
      <c r="N1546" s="5"/>
      <c r="O1546" s="5">
        <v>52560</v>
      </c>
      <c r="P1546" s="5">
        <v>9986</v>
      </c>
      <c r="Q1546" s="5">
        <v>62546</v>
      </c>
    </row>
    <row r="1547" spans="1:17" x14ac:dyDescent="0.25">
      <c r="A1547" t="s">
        <v>496</v>
      </c>
      <c r="B1547" t="s">
        <v>508</v>
      </c>
      <c r="C1547">
        <v>99579260</v>
      </c>
      <c r="D1547">
        <v>30</v>
      </c>
      <c r="E1547">
        <v>4500193868</v>
      </c>
      <c r="F1547" t="s">
        <v>677</v>
      </c>
      <c r="G1547" s="1">
        <v>45204</v>
      </c>
      <c r="H1547">
        <v>5398009</v>
      </c>
      <c r="I1547">
        <v>409</v>
      </c>
      <c r="J1547" t="s">
        <v>186</v>
      </c>
      <c r="K1547" s="8" t="s">
        <v>742</v>
      </c>
      <c r="M1547" t="s">
        <v>681</v>
      </c>
      <c r="N1547" s="5">
        <v>30781469</v>
      </c>
      <c r="O1547" s="5">
        <v>10050</v>
      </c>
      <c r="P1547" s="5">
        <v>1910</v>
      </c>
      <c r="Q1547" s="5">
        <v>11960</v>
      </c>
    </row>
    <row r="1548" spans="1:17" x14ac:dyDescent="0.25">
      <c r="A1548" t="s">
        <v>496</v>
      </c>
      <c r="B1548" t="s">
        <v>508</v>
      </c>
      <c r="C1548">
        <v>99579260</v>
      </c>
      <c r="D1548">
        <v>30</v>
      </c>
      <c r="E1548">
        <v>4500193141</v>
      </c>
      <c r="F1548" t="s">
        <v>677</v>
      </c>
      <c r="G1548" s="1">
        <v>45212</v>
      </c>
      <c r="H1548">
        <v>5403619</v>
      </c>
      <c r="I1548">
        <v>409</v>
      </c>
      <c r="J1548" t="s">
        <v>186</v>
      </c>
      <c r="K1548" s="8" t="s">
        <v>742</v>
      </c>
      <c r="M1548" t="s">
        <v>681</v>
      </c>
      <c r="N1548" s="5">
        <v>30805050</v>
      </c>
      <c r="O1548" s="5">
        <v>45952</v>
      </c>
      <c r="P1548" s="5">
        <v>8731</v>
      </c>
      <c r="Q1548" s="5">
        <v>54683</v>
      </c>
    </row>
    <row r="1549" spans="1:17" x14ac:dyDescent="0.25">
      <c r="A1549" t="s">
        <v>496</v>
      </c>
      <c r="B1549" t="s">
        <v>508</v>
      </c>
      <c r="C1549">
        <v>99579260</v>
      </c>
      <c r="D1549">
        <v>30</v>
      </c>
      <c r="E1549">
        <v>4500195314</v>
      </c>
      <c r="F1549" t="s">
        <v>677</v>
      </c>
      <c r="G1549" s="1">
        <v>45225</v>
      </c>
      <c r="H1549">
        <v>5409401</v>
      </c>
      <c r="I1549">
        <v>409</v>
      </c>
      <c r="J1549" t="s">
        <v>186</v>
      </c>
      <c r="K1549" s="8" t="s">
        <v>742</v>
      </c>
      <c r="M1549" t="s">
        <v>681</v>
      </c>
      <c r="N1549" s="5">
        <v>30837828</v>
      </c>
      <c r="O1549" s="5">
        <v>626100</v>
      </c>
      <c r="P1549" s="5">
        <v>118959</v>
      </c>
      <c r="Q1549" s="5">
        <v>745059</v>
      </c>
    </row>
    <row r="1550" spans="1:17" x14ac:dyDescent="0.25">
      <c r="A1550" t="s">
        <v>496</v>
      </c>
      <c r="B1550" t="s">
        <v>508</v>
      </c>
      <c r="C1550">
        <v>99579260</v>
      </c>
      <c r="D1550">
        <v>30</v>
      </c>
      <c r="E1550">
        <v>4500195308</v>
      </c>
      <c r="F1550" t="s">
        <v>677</v>
      </c>
      <c r="G1550" s="1">
        <v>45229</v>
      </c>
      <c r="H1550">
        <v>5410177</v>
      </c>
      <c r="I1550">
        <v>409</v>
      </c>
      <c r="J1550" t="s">
        <v>186</v>
      </c>
      <c r="K1550" s="8" t="s">
        <v>742</v>
      </c>
      <c r="M1550" t="s">
        <v>681</v>
      </c>
      <c r="N1550" s="5">
        <v>30840276</v>
      </c>
      <c r="O1550" s="5">
        <v>6000642</v>
      </c>
      <c r="P1550" s="5">
        <v>1140122</v>
      </c>
      <c r="Q1550" s="5">
        <v>7140764</v>
      </c>
    </row>
    <row r="1551" spans="1:17" x14ac:dyDescent="0.25">
      <c r="F1551" t="s">
        <v>498</v>
      </c>
      <c r="K1551" t="s">
        <v>681</v>
      </c>
      <c r="M1551" t="s">
        <v>681</v>
      </c>
      <c r="N1551" s="5"/>
      <c r="O1551" s="5">
        <v>6682744</v>
      </c>
      <c r="P1551" s="5">
        <v>1269722</v>
      </c>
      <c r="Q1551" s="5">
        <v>7952466</v>
      </c>
    </row>
    <row r="1552" spans="1:17" x14ac:dyDescent="0.25">
      <c r="A1552" t="s">
        <v>503</v>
      </c>
      <c r="B1552" t="s">
        <v>494</v>
      </c>
      <c r="C1552">
        <v>99586280</v>
      </c>
      <c r="D1552">
        <v>16</v>
      </c>
      <c r="E1552">
        <v>4502159397</v>
      </c>
      <c r="F1552" t="s">
        <v>821</v>
      </c>
      <c r="G1552" s="1">
        <v>45222</v>
      </c>
      <c r="H1552">
        <v>5407948</v>
      </c>
      <c r="I1552">
        <v>100</v>
      </c>
      <c r="J1552" t="s">
        <v>384</v>
      </c>
      <c r="K1552" s="8" t="s">
        <v>742</v>
      </c>
      <c r="M1552" t="s">
        <v>681</v>
      </c>
      <c r="N1552" s="5">
        <v>30826534</v>
      </c>
      <c r="O1552" s="5">
        <v>79996</v>
      </c>
      <c r="P1552" s="5">
        <v>15199</v>
      </c>
      <c r="Q1552" s="5">
        <v>95195</v>
      </c>
    </row>
    <row r="1553" spans="1:17" x14ac:dyDescent="0.25">
      <c r="F1553" t="s">
        <v>495</v>
      </c>
      <c r="K1553" t="s">
        <v>681</v>
      </c>
      <c r="M1553" t="s">
        <v>681</v>
      </c>
      <c r="N1553" s="5"/>
      <c r="O1553" s="5">
        <v>79996</v>
      </c>
      <c r="P1553" s="5">
        <v>15199</v>
      </c>
      <c r="Q1553" s="5">
        <v>95195</v>
      </c>
    </row>
    <row r="1554" spans="1:17" x14ac:dyDescent="0.25">
      <c r="A1554" t="s">
        <v>678</v>
      </c>
      <c r="B1554" t="s">
        <v>494</v>
      </c>
      <c r="C1554">
        <v>99591760</v>
      </c>
      <c r="D1554">
        <v>11</v>
      </c>
      <c r="E1554">
        <v>30830761</v>
      </c>
      <c r="F1554" t="s">
        <v>679</v>
      </c>
      <c r="G1554" s="1">
        <v>45224</v>
      </c>
      <c r="H1554">
        <v>5408909</v>
      </c>
      <c r="I1554">
        <v>96</v>
      </c>
      <c r="J1554" t="s">
        <v>140</v>
      </c>
      <c r="K1554" t="s">
        <v>681</v>
      </c>
      <c r="M1554" t="s">
        <v>681</v>
      </c>
      <c r="N1554" s="5">
        <v>30830761</v>
      </c>
      <c r="O1554" s="5">
        <v>27805</v>
      </c>
      <c r="P1554" s="5">
        <v>5283</v>
      </c>
      <c r="Q1554" s="5">
        <v>33088</v>
      </c>
    </row>
    <row r="1555" spans="1:17" x14ac:dyDescent="0.25">
      <c r="F1555" t="s">
        <v>495</v>
      </c>
      <c r="K1555" t="s">
        <v>681</v>
      </c>
      <c r="M1555" t="s">
        <v>681</v>
      </c>
      <c r="N1555" s="5"/>
      <c r="O1555" s="5">
        <v>27805</v>
      </c>
      <c r="P1555" s="5">
        <v>5283</v>
      </c>
      <c r="Q1555" s="5">
        <v>33088</v>
      </c>
    </row>
    <row r="1556" spans="1:17" x14ac:dyDescent="0.25">
      <c r="A1556" t="s">
        <v>501</v>
      </c>
      <c r="B1556" t="s">
        <v>494</v>
      </c>
      <c r="C1556">
        <v>99595770</v>
      </c>
      <c r="D1556">
        <v>2</v>
      </c>
      <c r="E1556">
        <v>30800498</v>
      </c>
      <c r="F1556" t="s">
        <v>726</v>
      </c>
      <c r="G1556" s="1">
        <v>45211</v>
      </c>
      <c r="H1556">
        <v>5402868</v>
      </c>
      <c r="I1556">
        <v>196</v>
      </c>
      <c r="J1556" t="s">
        <v>382</v>
      </c>
      <c r="K1556" s="8" t="s">
        <v>742</v>
      </c>
      <c r="M1556" t="s">
        <v>681</v>
      </c>
      <c r="N1556" s="5">
        <v>30800498</v>
      </c>
      <c r="O1556" s="5">
        <v>299828</v>
      </c>
      <c r="P1556" s="5">
        <v>56967</v>
      </c>
      <c r="Q1556" s="5">
        <v>356795</v>
      </c>
    </row>
    <row r="1557" spans="1:17" x14ac:dyDescent="0.25">
      <c r="A1557" t="s">
        <v>501</v>
      </c>
      <c r="B1557" t="s">
        <v>494</v>
      </c>
      <c r="C1557">
        <v>99595770</v>
      </c>
      <c r="D1557">
        <v>3</v>
      </c>
      <c r="E1557">
        <v>30803714</v>
      </c>
      <c r="F1557" t="s">
        <v>726</v>
      </c>
      <c r="G1557" s="1">
        <v>45213</v>
      </c>
      <c r="H1557">
        <v>5403864</v>
      </c>
      <c r="I1557">
        <v>196</v>
      </c>
      <c r="J1557" t="s">
        <v>382</v>
      </c>
      <c r="K1557" s="8" t="s">
        <v>742</v>
      </c>
      <c r="M1557" t="s">
        <v>681</v>
      </c>
      <c r="N1557" s="5">
        <v>30803714</v>
      </c>
      <c r="O1557" s="5">
        <v>197944</v>
      </c>
      <c r="P1557" s="5">
        <v>37609</v>
      </c>
      <c r="Q1557" s="5">
        <v>235553</v>
      </c>
    </row>
    <row r="1558" spans="1:17" x14ac:dyDescent="0.25">
      <c r="F1558" t="s">
        <v>497</v>
      </c>
      <c r="K1558" t="s">
        <v>681</v>
      </c>
      <c r="M1558" t="s">
        <v>681</v>
      </c>
      <c r="N1558" s="5"/>
      <c r="O1558" s="5">
        <v>497772</v>
      </c>
      <c r="P1558" s="5">
        <v>94576</v>
      </c>
      <c r="Q1558" s="5">
        <v>592348</v>
      </c>
    </row>
    <row r="1559" spans="1:17" x14ac:dyDescent="0.25">
      <c r="A1559" t="s">
        <v>496</v>
      </c>
      <c r="B1559" t="s">
        <v>494</v>
      </c>
      <c r="C1559">
        <v>99597800</v>
      </c>
      <c r="D1559">
        <v>0</v>
      </c>
      <c r="E1559">
        <v>4500219555</v>
      </c>
      <c r="F1559" t="s">
        <v>727</v>
      </c>
      <c r="G1559" s="1">
        <v>45214</v>
      </c>
      <c r="H1559">
        <v>5404363</v>
      </c>
      <c r="I1559">
        <v>440</v>
      </c>
      <c r="J1559" t="s">
        <v>115</v>
      </c>
      <c r="K1559" s="8" t="s">
        <v>742</v>
      </c>
      <c r="M1559" t="s">
        <v>681</v>
      </c>
      <c r="N1559" s="5">
        <v>30802517</v>
      </c>
      <c r="O1559" s="5">
        <v>601065</v>
      </c>
      <c r="P1559" s="5">
        <v>114202</v>
      </c>
      <c r="Q1559" s="5">
        <v>715267</v>
      </c>
    </row>
    <row r="1560" spans="1:17" x14ac:dyDescent="0.25">
      <c r="A1560" t="s">
        <v>496</v>
      </c>
      <c r="B1560" t="s">
        <v>494</v>
      </c>
      <c r="C1560">
        <v>99597800</v>
      </c>
      <c r="D1560">
        <v>0</v>
      </c>
      <c r="E1560">
        <v>4500219589</v>
      </c>
      <c r="F1560" t="s">
        <v>727</v>
      </c>
      <c r="G1560" s="1">
        <v>45216</v>
      </c>
      <c r="H1560">
        <v>5405433</v>
      </c>
      <c r="I1560">
        <v>441</v>
      </c>
      <c r="J1560" t="s">
        <v>119</v>
      </c>
      <c r="K1560" s="8" t="s">
        <v>742</v>
      </c>
      <c r="M1560" t="s">
        <v>681</v>
      </c>
      <c r="N1560" s="5">
        <v>30811437</v>
      </c>
      <c r="O1560" s="5">
        <v>12999</v>
      </c>
      <c r="P1560" s="5">
        <v>2470</v>
      </c>
      <c r="Q1560" s="5">
        <v>15469</v>
      </c>
    </row>
    <row r="1561" spans="1:17" x14ac:dyDescent="0.25">
      <c r="A1561" t="s">
        <v>496</v>
      </c>
      <c r="B1561" t="s">
        <v>494</v>
      </c>
      <c r="C1561">
        <v>99597800</v>
      </c>
      <c r="D1561">
        <v>0</v>
      </c>
      <c r="E1561">
        <v>4500219555</v>
      </c>
      <c r="F1561" t="s">
        <v>727</v>
      </c>
      <c r="G1561" s="1">
        <v>45216</v>
      </c>
      <c r="H1561">
        <v>5405437</v>
      </c>
      <c r="I1561">
        <v>440</v>
      </c>
      <c r="J1561" t="s">
        <v>115</v>
      </c>
      <c r="K1561" s="8" t="s">
        <v>742</v>
      </c>
      <c r="M1561" t="s">
        <v>681</v>
      </c>
      <c r="N1561" s="5">
        <v>30803575</v>
      </c>
      <c r="O1561" s="5">
        <v>178720</v>
      </c>
      <c r="P1561" s="5">
        <v>33957</v>
      </c>
      <c r="Q1561" s="5">
        <v>212677</v>
      </c>
    </row>
    <row r="1562" spans="1:17" x14ac:dyDescent="0.25">
      <c r="A1562" t="s">
        <v>496</v>
      </c>
      <c r="B1562" t="s">
        <v>494</v>
      </c>
      <c r="C1562">
        <v>99597800</v>
      </c>
      <c r="D1562">
        <v>0</v>
      </c>
      <c r="E1562">
        <v>4500219941</v>
      </c>
      <c r="F1562" t="s">
        <v>727</v>
      </c>
      <c r="G1562" s="1">
        <v>45216</v>
      </c>
      <c r="H1562">
        <v>5405629</v>
      </c>
      <c r="I1562">
        <v>441</v>
      </c>
      <c r="J1562" t="s">
        <v>119</v>
      </c>
      <c r="K1562" s="8" t="s">
        <v>742</v>
      </c>
      <c r="M1562" t="s">
        <v>681</v>
      </c>
      <c r="N1562" s="5">
        <v>30812653</v>
      </c>
      <c r="O1562" s="5">
        <v>118051</v>
      </c>
      <c r="P1562" s="5">
        <v>22430</v>
      </c>
      <c r="Q1562" s="5">
        <v>140481</v>
      </c>
    </row>
    <row r="1563" spans="1:17" x14ac:dyDescent="0.25">
      <c r="A1563" t="s">
        <v>496</v>
      </c>
      <c r="B1563" t="s">
        <v>494</v>
      </c>
      <c r="C1563">
        <v>99597800</v>
      </c>
      <c r="D1563">
        <v>0</v>
      </c>
      <c r="E1563">
        <v>4500219833</v>
      </c>
      <c r="F1563" t="s">
        <v>727</v>
      </c>
      <c r="G1563" s="1">
        <v>45216</v>
      </c>
      <c r="H1563">
        <v>5405656</v>
      </c>
      <c r="I1563">
        <v>441</v>
      </c>
      <c r="J1563" t="s">
        <v>119</v>
      </c>
      <c r="K1563" s="8" t="s">
        <v>742</v>
      </c>
      <c r="M1563" t="s">
        <v>681</v>
      </c>
      <c r="N1563" s="5">
        <v>30812330</v>
      </c>
      <c r="O1563" s="5">
        <v>106463</v>
      </c>
      <c r="P1563" s="5">
        <v>20228</v>
      </c>
      <c r="Q1563" s="5">
        <v>126691</v>
      </c>
    </row>
    <row r="1564" spans="1:17" x14ac:dyDescent="0.25">
      <c r="A1564" t="s">
        <v>496</v>
      </c>
      <c r="B1564" t="s">
        <v>494</v>
      </c>
      <c r="C1564">
        <v>99597800</v>
      </c>
      <c r="D1564">
        <v>0</v>
      </c>
      <c r="E1564">
        <v>4500219884</v>
      </c>
      <c r="F1564" t="s">
        <v>727</v>
      </c>
      <c r="G1564" s="1">
        <v>45216</v>
      </c>
      <c r="H1564">
        <v>5405715</v>
      </c>
      <c r="I1564">
        <v>441</v>
      </c>
      <c r="J1564" t="s">
        <v>119</v>
      </c>
      <c r="K1564" s="8" t="s">
        <v>742</v>
      </c>
      <c r="M1564" t="s">
        <v>681</v>
      </c>
      <c r="N1564" s="5">
        <v>30812488</v>
      </c>
      <c r="O1564" s="5">
        <v>66238</v>
      </c>
      <c r="P1564" s="5">
        <v>12585</v>
      </c>
      <c r="Q1564" s="5">
        <v>78823</v>
      </c>
    </row>
    <row r="1565" spans="1:17" x14ac:dyDescent="0.25">
      <c r="A1565" t="s">
        <v>496</v>
      </c>
      <c r="B1565" t="s">
        <v>494</v>
      </c>
      <c r="C1565">
        <v>99597800</v>
      </c>
      <c r="D1565">
        <v>0</v>
      </c>
      <c r="E1565">
        <v>4500220101</v>
      </c>
      <c r="F1565" t="s">
        <v>727</v>
      </c>
      <c r="G1565" s="1">
        <v>45217</v>
      </c>
      <c r="H1565">
        <v>5406049</v>
      </c>
      <c r="I1565">
        <v>441</v>
      </c>
      <c r="J1565" t="s">
        <v>119</v>
      </c>
      <c r="K1565" s="8" t="s">
        <v>742</v>
      </c>
      <c r="M1565" t="s">
        <v>681</v>
      </c>
      <c r="N1565" s="5">
        <v>30816897</v>
      </c>
      <c r="O1565" s="5">
        <v>24050</v>
      </c>
      <c r="P1565" s="5">
        <v>4570</v>
      </c>
      <c r="Q1565" s="5">
        <v>28620</v>
      </c>
    </row>
    <row r="1566" spans="1:17" x14ac:dyDescent="0.25">
      <c r="A1566" t="s">
        <v>496</v>
      </c>
      <c r="B1566" t="s">
        <v>494</v>
      </c>
      <c r="C1566">
        <v>99597800</v>
      </c>
      <c r="D1566">
        <v>0</v>
      </c>
      <c r="E1566">
        <v>4500220114</v>
      </c>
      <c r="F1566" t="s">
        <v>727</v>
      </c>
      <c r="G1566" s="1">
        <v>45217</v>
      </c>
      <c r="H1566">
        <v>5406050</v>
      </c>
      <c r="I1566">
        <v>441</v>
      </c>
      <c r="J1566" t="s">
        <v>119</v>
      </c>
      <c r="K1566" s="8" t="s">
        <v>742</v>
      </c>
      <c r="M1566" t="s">
        <v>681</v>
      </c>
      <c r="N1566" s="5">
        <v>30816148</v>
      </c>
      <c r="O1566" s="5">
        <v>92091</v>
      </c>
      <c r="P1566" s="5">
        <v>17497</v>
      </c>
      <c r="Q1566" s="5">
        <v>109588</v>
      </c>
    </row>
    <row r="1567" spans="1:17" x14ac:dyDescent="0.25">
      <c r="A1567" t="s">
        <v>496</v>
      </c>
      <c r="B1567" t="s">
        <v>494</v>
      </c>
      <c r="C1567">
        <v>99597800</v>
      </c>
      <c r="D1567">
        <v>0</v>
      </c>
      <c r="E1567">
        <v>4500219685</v>
      </c>
      <c r="F1567" t="s">
        <v>727</v>
      </c>
      <c r="G1567" s="1">
        <v>45217</v>
      </c>
      <c r="H1567">
        <v>5406101</v>
      </c>
      <c r="I1567">
        <v>441</v>
      </c>
      <c r="J1567" t="s">
        <v>119</v>
      </c>
      <c r="K1567" s="8" t="s">
        <v>742</v>
      </c>
      <c r="M1567" t="s">
        <v>681</v>
      </c>
      <c r="N1567" s="5">
        <v>30816603</v>
      </c>
      <c r="O1567" s="5">
        <v>269524</v>
      </c>
      <c r="P1567" s="5">
        <v>51210</v>
      </c>
      <c r="Q1567" s="5">
        <v>320734</v>
      </c>
    </row>
    <row r="1568" spans="1:17" x14ac:dyDescent="0.25">
      <c r="A1568" t="s">
        <v>496</v>
      </c>
      <c r="B1568" t="s">
        <v>494</v>
      </c>
      <c r="C1568">
        <v>99597800</v>
      </c>
      <c r="D1568">
        <v>0</v>
      </c>
      <c r="E1568">
        <v>4500220219</v>
      </c>
      <c r="F1568" t="s">
        <v>727</v>
      </c>
      <c r="G1568" s="1">
        <v>45217</v>
      </c>
      <c r="H1568">
        <v>5406209</v>
      </c>
      <c r="I1568">
        <v>441</v>
      </c>
      <c r="J1568" t="s">
        <v>119</v>
      </c>
      <c r="K1568" s="8" t="s">
        <v>742</v>
      </c>
      <c r="M1568" t="s">
        <v>681</v>
      </c>
      <c r="N1568" s="5">
        <v>30816889</v>
      </c>
      <c r="O1568" s="5">
        <v>10592</v>
      </c>
      <c r="P1568" s="5">
        <v>2012</v>
      </c>
      <c r="Q1568" s="5">
        <v>12604</v>
      </c>
    </row>
    <row r="1569" spans="1:17" x14ac:dyDescent="0.25">
      <c r="A1569" t="s">
        <v>496</v>
      </c>
      <c r="B1569" t="s">
        <v>494</v>
      </c>
      <c r="C1569">
        <v>99597800</v>
      </c>
      <c r="D1569">
        <v>0</v>
      </c>
      <c r="E1569">
        <v>4500220444</v>
      </c>
      <c r="F1569" t="s">
        <v>727</v>
      </c>
      <c r="G1569" s="1">
        <v>45222</v>
      </c>
      <c r="H1569">
        <v>5407781</v>
      </c>
      <c r="I1569">
        <v>441</v>
      </c>
      <c r="J1569" t="s">
        <v>119</v>
      </c>
      <c r="K1569" s="8" t="s">
        <v>742</v>
      </c>
      <c r="M1569" t="s">
        <v>681</v>
      </c>
      <c r="N1569" s="5">
        <v>30822033</v>
      </c>
      <c r="O1569" s="5">
        <v>10460</v>
      </c>
      <c r="P1569" s="5">
        <v>1987</v>
      </c>
      <c r="Q1569" s="5">
        <v>12447</v>
      </c>
    </row>
    <row r="1570" spans="1:17" x14ac:dyDescent="0.25">
      <c r="A1570" t="s">
        <v>496</v>
      </c>
      <c r="B1570" t="s">
        <v>494</v>
      </c>
      <c r="C1570">
        <v>99597800</v>
      </c>
      <c r="D1570">
        <v>0</v>
      </c>
      <c r="E1570">
        <v>4500220448</v>
      </c>
      <c r="F1570" t="s">
        <v>727</v>
      </c>
      <c r="G1570" s="1">
        <v>45227</v>
      </c>
      <c r="H1570">
        <v>5409435</v>
      </c>
      <c r="I1570">
        <v>441</v>
      </c>
      <c r="J1570" t="s">
        <v>119</v>
      </c>
      <c r="K1570" s="8" t="s">
        <v>742</v>
      </c>
      <c r="M1570" t="s">
        <v>681</v>
      </c>
      <c r="N1570" s="5">
        <v>30827882</v>
      </c>
      <c r="O1570" s="5">
        <v>335100</v>
      </c>
      <c r="P1570" s="5">
        <v>63669</v>
      </c>
      <c r="Q1570" s="5">
        <v>398769</v>
      </c>
    </row>
    <row r="1571" spans="1:17" x14ac:dyDescent="0.25">
      <c r="A1571" t="s">
        <v>496</v>
      </c>
      <c r="B1571" t="s">
        <v>494</v>
      </c>
      <c r="C1571">
        <v>99597800</v>
      </c>
      <c r="D1571">
        <v>0</v>
      </c>
      <c r="E1571">
        <v>4500220447</v>
      </c>
      <c r="F1571" t="s">
        <v>727</v>
      </c>
      <c r="G1571" s="1">
        <v>45230</v>
      </c>
      <c r="H1571">
        <v>5410260</v>
      </c>
      <c r="I1571">
        <v>441</v>
      </c>
      <c r="J1571" t="s">
        <v>119</v>
      </c>
      <c r="K1571" s="8" t="s">
        <v>742</v>
      </c>
      <c r="M1571" t="s">
        <v>681</v>
      </c>
      <c r="N1571" s="5">
        <v>30829765</v>
      </c>
      <c r="O1571" s="5">
        <v>80921</v>
      </c>
      <c r="P1571" s="5">
        <v>15375</v>
      </c>
      <c r="Q1571" s="5">
        <v>96296</v>
      </c>
    </row>
    <row r="1572" spans="1:17" x14ac:dyDescent="0.25">
      <c r="A1572" t="s">
        <v>496</v>
      </c>
      <c r="B1572" t="s">
        <v>494</v>
      </c>
      <c r="C1572">
        <v>99597800</v>
      </c>
      <c r="D1572">
        <v>0</v>
      </c>
      <c r="E1572">
        <v>4500220140</v>
      </c>
      <c r="F1572" t="s">
        <v>727</v>
      </c>
      <c r="G1572" s="1">
        <v>45230</v>
      </c>
      <c r="H1572">
        <v>5410359</v>
      </c>
      <c r="I1572">
        <v>441</v>
      </c>
      <c r="J1572" t="s">
        <v>119</v>
      </c>
      <c r="K1572" s="8" t="s">
        <v>742</v>
      </c>
      <c r="M1572" t="s">
        <v>681</v>
      </c>
      <c r="N1572" s="5">
        <v>30843040</v>
      </c>
      <c r="O1572" s="5">
        <v>46330</v>
      </c>
      <c r="P1572" s="5">
        <v>8803</v>
      </c>
      <c r="Q1572" s="5">
        <v>55133</v>
      </c>
    </row>
    <row r="1573" spans="1:17" x14ac:dyDescent="0.25">
      <c r="F1573" t="s">
        <v>576</v>
      </c>
      <c r="N1573" s="5"/>
      <c r="O1573" s="5">
        <v>1952604</v>
      </c>
      <c r="P1573" s="5">
        <v>370995</v>
      </c>
      <c r="Q1573" s="5">
        <v>2323599</v>
      </c>
    </row>
    <row r="1574" spans="1:17" x14ac:dyDescent="0.25">
      <c r="F1574" t="s">
        <v>822</v>
      </c>
      <c r="N1574" s="5"/>
      <c r="O1574" s="5">
        <v>333495485</v>
      </c>
      <c r="P1574" s="5">
        <v>63364145</v>
      </c>
      <c r="Q1574" s="5">
        <v>397138381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>
    <tabColor theme="5" tint="0.39997558519241921"/>
  </sheetPr>
  <dimension ref="A1:B634"/>
  <sheetViews>
    <sheetView topLeftCell="A595" workbookViewId="0">
      <selection activeCell="B625" sqref="B62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  <c r="B3" t="s">
        <v>0</v>
      </c>
    </row>
    <row r="4" spans="1:2" x14ac:dyDescent="0.25">
      <c r="A4">
        <v>59144380</v>
      </c>
      <c r="B4" t="s">
        <v>6</v>
      </c>
    </row>
    <row r="5" spans="1:2" x14ac:dyDescent="0.25">
      <c r="A5">
        <v>60000000</v>
      </c>
      <c r="B5" t="s">
        <v>6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823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20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21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824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22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22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23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24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25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22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26</v>
      </c>
    </row>
    <row r="96" spans="1:2" x14ac:dyDescent="0.25">
      <c r="A96">
        <v>70016160</v>
      </c>
      <c r="B96" t="s">
        <v>27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28</v>
      </c>
    </row>
    <row r="99" spans="1:2" x14ac:dyDescent="0.25">
      <c r="A99">
        <v>70072600</v>
      </c>
      <c r="B99" t="s">
        <v>29</v>
      </c>
    </row>
    <row r="100" spans="1:2" x14ac:dyDescent="0.25">
      <c r="A100">
        <v>70285100</v>
      </c>
      <c r="B100" t="s">
        <v>30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31</v>
      </c>
    </row>
    <row r="103" spans="1:2" x14ac:dyDescent="0.25">
      <c r="A103">
        <v>70574900</v>
      </c>
      <c r="B103" t="s">
        <v>32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33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34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35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36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37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38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39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40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41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42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43</v>
      </c>
    </row>
    <row r="161" spans="1:2" x14ac:dyDescent="0.25">
      <c r="A161">
        <v>76142333</v>
      </c>
      <c r="B161" t="s">
        <v>44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45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46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47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48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825</v>
      </c>
    </row>
    <row r="193" spans="1:2" x14ac:dyDescent="0.25">
      <c r="A193">
        <v>76376573</v>
      </c>
      <c r="B193" t="s">
        <v>49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50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39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51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52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53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54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55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46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56</v>
      </c>
    </row>
    <row r="229" spans="1:2" x14ac:dyDescent="0.25">
      <c r="A229">
        <v>76703310</v>
      </c>
      <c r="B229" t="s">
        <v>57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58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32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59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33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57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32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40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39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57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32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60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57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61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40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62</v>
      </c>
    </row>
    <row r="323" spans="1:2" x14ac:dyDescent="0.25">
      <c r="A323">
        <v>79626800</v>
      </c>
      <c r="B323" t="s">
        <v>63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64</v>
      </c>
    </row>
    <row r="328" spans="1:2" x14ac:dyDescent="0.25">
      <c r="A328">
        <v>79693930</v>
      </c>
      <c r="B328" t="s">
        <v>65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66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22</v>
      </c>
    </row>
    <row r="341" spans="1:2" x14ac:dyDescent="0.25">
      <c r="A341">
        <v>79903920</v>
      </c>
      <c r="B341" t="s">
        <v>40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67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49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40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68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</row>
    <row r="378" spans="1:2" x14ac:dyDescent="0.25">
      <c r="A378">
        <v>84476300</v>
      </c>
      <c r="B378" t="s">
        <v>69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70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71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49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49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72</v>
      </c>
    </row>
    <row r="415" spans="1:2" x14ac:dyDescent="0.25">
      <c r="A415">
        <v>90222000</v>
      </c>
      <c r="B415" t="s">
        <v>73</v>
      </c>
    </row>
    <row r="416" spans="1:2" x14ac:dyDescent="0.25">
      <c r="A416">
        <v>90227000</v>
      </c>
      <c r="B416" t="s">
        <v>48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74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40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48</v>
      </c>
    </row>
    <row r="432" spans="1:2" x14ac:dyDescent="0.25">
      <c r="A432">
        <v>91637000</v>
      </c>
      <c r="B432" t="s">
        <v>75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76</v>
      </c>
    </row>
    <row r="438" spans="1:2" x14ac:dyDescent="0.25">
      <c r="A438">
        <v>92091000</v>
      </c>
      <c r="B438" t="s">
        <v>22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77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71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61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78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78</v>
      </c>
    </row>
    <row r="475" spans="1:2" x14ac:dyDescent="0.25">
      <c r="A475">
        <v>96532330</v>
      </c>
      <c r="B475" t="s">
        <v>73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79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80</v>
      </c>
    </row>
    <row r="489" spans="1:2" x14ac:dyDescent="0.25">
      <c r="A489">
        <v>96609320</v>
      </c>
      <c r="B489" t="s">
        <v>46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81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82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83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84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85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86</v>
      </c>
    </row>
    <row r="521" spans="1:2" x14ac:dyDescent="0.25">
      <c r="A521">
        <v>96756320</v>
      </c>
      <c r="B521" t="s">
        <v>86</v>
      </c>
    </row>
    <row r="522" spans="1:2" x14ac:dyDescent="0.25">
      <c r="A522">
        <v>96756430</v>
      </c>
      <c r="B522" t="s">
        <v>87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826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77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49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46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88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57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57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89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90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91</v>
      </c>
    </row>
    <row r="601" spans="1:2" x14ac:dyDescent="0.25">
      <c r="A601">
        <v>94141000</v>
      </c>
      <c r="B601" t="s">
        <v>44</v>
      </c>
    </row>
    <row r="602" spans="1:2" x14ac:dyDescent="0.25">
      <c r="A602">
        <v>76762740</v>
      </c>
      <c r="B602" t="s">
        <v>44</v>
      </c>
    </row>
    <row r="603" spans="1:2" x14ac:dyDescent="0.25">
      <c r="A603">
        <v>96545450</v>
      </c>
      <c r="B603" t="s">
        <v>44</v>
      </c>
    </row>
    <row r="604" spans="1:2" x14ac:dyDescent="0.25">
      <c r="A604">
        <v>82995700</v>
      </c>
      <c r="B604" t="s">
        <v>44</v>
      </c>
    </row>
    <row r="605" spans="1:2" x14ac:dyDescent="0.25">
      <c r="A605">
        <v>96938840</v>
      </c>
      <c r="B605" t="s">
        <v>92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93</v>
      </c>
    </row>
    <row r="616" spans="1:2" x14ac:dyDescent="0.25">
      <c r="A616">
        <v>96516000</v>
      </c>
      <c r="B616" t="s">
        <v>94</v>
      </c>
    </row>
    <row r="617" spans="1:2" x14ac:dyDescent="0.25">
      <c r="A617">
        <v>96670340</v>
      </c>
      <c r="B617" t="s">
        <v>40</v>
      </c>
    </row>
    <row r="618" spans="1:2" x14ac:dyDescent="0.25">
      <c r="A618">
        <v>96940320</v>
      </c>
      <c r="B618" t="s">
        <v>95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96</v>
      </c>
    </row>
    <row r="624" spans="1:2" x14ac:dyDescent="0.25">
      <c r="A624">
        <v>69255200</v>
      </c>
      <c r="B624" t="s">
        <v>97</v>
      </c>
    </row>
    <row r="625" spans="1:2" x14ac:dyDescent="0.25">
      <c r="A625">
        <v>97004000</v>
      </c>
      <c r="B625" t="s">
        <v>98</v>
      </c>
    </row>
    <row r="626" spans="1:2" x14ac:dyDescent="0.25">
      <c r="A626">
        <v>96682430</v>
      </c>
      <c r="B626" t="s">
        <v>10</v>
      </c>
    </row>
    <row r="627" spans="1:2" x14ac:dyDescent="0.25">
      <c r="A627">
        <v>99524450</v>
      </c>
      <c r="B627" t="s">
        <v>6</v>
      </c>
    </row>
    <row r="628" spans="1:2" x14ac:dyDescent="0.25">
      <c r="A628">
        <v>93628000</v>
      </c>
      <c r="B628" t="s">
        <v>827</v>
      </c>
    </row>
    <row r="629" spans="1:2" x14ac:dyDescent="0.25">
      <c r="A629">
        <v>76107905</v>
      </c>
      <c r="B629" t="s">
        <v>827</v>
      </c>
    </row>
    <row r="630" spans="1:2" x14ac:dyDescent="0.25">
      <c r="A630">
        <v>76611509</v>
      </c>
      <c r="B630" t="s">
        <v>828</v>
      </c>
    </row>
    <row r="631" spans="1:2" x14ac:dyDescent="0.25">
      <c r="A631">
        <v>70039900</v>
      </c>
      <c r="B631" t="s">
        <v>829</v>
      </c>
    </row>
    <row r="632" spans="1:2" x14ac:dyDescent="0.25">
      <c r="A632">
        <v>78057000</v>
      </c>
      <c r="B632" t="s">
        <v>830</v>
      </c>
    </row>
    <row r="633" spans="1:2" x14ac:dyDescent="0.25">
      <c r="A633">
        <v>76107905</v>
      </c>
      <c r="B633" t="s">
        <v>831</v>
      </c>
    </row>
    <row r="634" spans="1:2" x14ac:dyDescent="0.25">
      <c r="A634">
        <v>93628000</v>
      </c>
      <c r="B634" t="s">
        <v>831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>
    <tabColor theme="7" tint="0.39997558519241921"/>
  </sheetPr>
  <dimension ref="A1:C434"/>
  <sheetViews>
    <sheetView topLeftCell="A417" workbookViewId="0">
      <selection activeCell="C426" sqref="C426"/>
    </sheetView>
  </sheetViews>
  <sheetFormatPr baseColWidth="10" defaultRowHeight="15" x14ac:dyDescent="0.25"/>
  <cols>
    <col min="3" max="3" width="13" bestFit="1" customWidth="1"/>
  </cols>
  <sheetData>
    <row r="1" spans="1:2" x14ac:dyDescent="0.25">
      <c r="A1" t="s">
        <v>4</v>
      </c>
      <c r="B1" t="s">
        <v>682</v>
      </c>
    </row>
    <row r="2" spans="1:2" x14ac:dyDescent="0.25">
      <c r="A2" s="14">
        <v>60503000</v>
      </c>
      <c r="B2" s="15" t="s">
        <v>493</v>
      </c>
    </row>
    <row r="3" spans="1:2" x14ac:dyDescent="0.25">
      <c r="A3" s="14">
        <v>61216000</v>
      </c>
      <c r="B3" s="15" t="s">
        <v>493</v>
      </c>
    </row>
    <row r="4" spans="1:2" x14ac:dyDescent="0.25">
      <c r="A4" s="14">
        <v>76434350</v>
      </c>
      <c r="B4" s="15" t="s">
        <v>493</v>
      </c>
    </row>
    <row r="5" spans="1:2" x14ac:dyDescent="0.25">
      <c r="A5" s="14">
        <v>61808000</v>
      </c>
      <c r="B5" s="15" t="s">
        <v>493</v>
      </c>
    </row>
    <row r="6" spans="1:2" x14ac:dyDescent="0.25">
      <c r="A6" s="14">
        <v>61960100</v>
      </c>
      <c r="B6" s="15" t="s">
        <v>493</v>
      </c>
    </row>
    <row r="7" spans="1:2" x14ac:dyDescent="0.25">
      <c r="A7" s="14">
        <v>65092388</v>
      </c>
      <c r="B7" s="15" t="s">
        <v>493</v>
      </c>
    </row>
    <row r="8" spans="1:2" x14ac:dyDescent="0.25">
      <c r="A8" s="14">
        <v>65214530</v>
      </c>
      <c r="B8" s="15" t="s">
        <v>493</v>
      </c>
    </row>
    <row r="9" spans="1:2" x14ac:dyDescent="0.25">
      <c r="A9" s="14">
        <v>65886170</v>
      </c>
      <c r="B9" s="15" t="s">
        <v>493</v>
      </c>
    </row>
    <row r="10" spans="1:2" x14ac:dyDescent="0.25">
      <c r="A10" s="14">
        <v>69255200</v>
      </c>
      <c r="B10" s="15" t="s">
        <v>493</v>
      </c>
    </row>
    <row r="11" spans="1:2" x14ac:dyDescent="0.25">
      <c r="A11" s="14">
        <v>70285100</v>
      </c>
      <c r="B11" s="15" t="s">
        <v>493</v>
      </c>
    </row>
    <row r="12" spans="1:2" x14ac:dyDescent="0.25">
      <c r="A12" s="14">
        <v>70300000</v>
      </c>
      <c r="B12" s="15" t="s">
        <v>493</v>
      </c>
    </row>
    <row r="13" spans="1:2" x14ac:dyDescent="0.25">
      <c r="A13" s="14">
        <v>70360100</v>
      </c>
      <c r="B13" s="15" t="s">
        <v>493</v>
      </c>
    </row>
    <row r="14" spans="1:2" x14ac:dyDescent="0.25">
      <c r="A14" s="14">
        <v>71500500</v>
      </c>
      <c r="B14" s="15" t="s">
        <v>493</v>
      </c>
    </row>
    <row r="15" spans="1:2" x14ac:dyDescent="0.25">
      <c r="A15" s="14">
        <v>71543200</v>
      </c>
      <c r="B15" s="15" t="s">
        <v>493</v>
      </c>
    </row>
    <row r="16" spans="1:2" x14ac:dyDescent="0.25">
      <c r="A16" s="14">
        <v>75764900</v>
      </c>
      <c r="B16" s="15" t="s">
        <v>493</v>
      </c>
    </row>
    <row r="17" spans="1:2" x14ac:dyDescent="0.25">
      <c r="A17" s="14">
        <v>76000739</v>
      </c>
      <c r="B17" s="15" t="s">
        <v>493</v>
      </c>
    </row>
    <row r="18" spans="1:2" x14ac:dyDescent="0.25">
      <c r="A18" s="14">
        <v>76000935</v>
      </c>
      <c r="B18" s="15" t="s">
        <v>493</v>
      </c>
    </row>
    <row r="19" spans="1:2" x14ac:dyDescent="0.25">
      <c r="A19" s="14">
        <v>76003204</v>
      </c>
      <c r="B19" s="15" t="s">
        <v>493</v>
      </c>
    </row>
    <row r="20" spans="1:2" x14ac:dyDescent="0.25">
      <c r="A20" s="14">
        <v>76005909</v>
      </c>
      <c r="B20" s="15" t="s">
        <v>493</v>
      </c>
    </row>
    <row r="21" spans="1:2" x14ac:dyDescent="0.25">
      <c r="A21" s="14">
        <v>76005927</v>
      </c>
      <c r="B21" s="15" t="s">
        <v>493</v>
      </c>
    </row>
    <row r="22" spans="1:2" x14ac:dyDescent="0.25">
      <c r="A22" s="14">
        <v>76007212</v>
      </c>
      <c r="B22" s="15" t="s">
        <v>493</v>
      </c>
    </row>
    <row r="23" spans="1:2" x14ac:dyDescent="0.25">
      <c r="A23" s="14">
        <v>76012138</v>
      </c>
      <c r="B23" s="15" t="s">
        <v>493</v>
      </c>
    </row>
    <row r="24" spans="1:2" x14ac:dyDescent="0.25">
      <c r="A24" s="14">
        <v>76015227</v>
      </c>
      <c r="B24" s="15" t="s">
        <v>493</v>
      </c>
    </row>
    <row r="25" spans="1:2" x14ac:dyDescent="0.25">
      <c r="A25" s="14">
        <v>76015905</v>
      </c>
      <c r="B25" s="15" t="s">
        <v>493</v>
      </c>
    </row>
    <row r="26" spans="1:2" x14ac:dyDescent="0.25">
      <c r="A26" s="14">
        <v>76017019</v>
      </c>
      <c r="B26" s="15" t="s">
        <v>493</v>
      </c>
    </row>
    <row r="27" spans="1:2" x14ac:dyDescent="0.25">
      <c r="A27" s="14">
        <v>76019239</v>
      </c>
      <c r="B27" s="15" t="s">
        <v>493</v>
      </c>
    </row>
    <row r="28" spans="1:2" x14ac:dyDescent="0.25">
      <c r="A28" s="14">
        <v>76026848</v>
      </c>
      <c r="B28" s="15" t="s">
        <v>493</v>
      </c>
    </row>
    <row r="29" spans="1:2" x14ac:dyDescent="0.25">
      <c r="A29" s="14">
        <v>76031040</v>
      </c>
      <c r="B29" s="15" t="s">
        <v>493</v>
      </c>
    </row>
    <row r="30" spans="1:2" x14ac:dyDescent="0.25">
      <c r="A30" s="14">
        <v>76033004</v>
      </c>
      <c r="B30" s="15" t="s">
        <v>493</v>
      </c>
    </row>
    <row r="31" spans="1:2" x14ac:dyDescent="0.25">
      <c r="A31" s="14">
        <v>76041227</v>
      </c>
      <c r="B31" s="15" t="s">
        <v>493</v>
      </c>
    </row>
    <row r="32" spans="1:2" x14ac:dyDescent="0.25">
      <c r="A32" s="14">
        <v>76045491</v>
      </c>
      <c r="B32" s="15" t="s">
        <v>493</v>
      </c>
    </row>
    <row r="33" spans="1:2" x14ac:dyDescent="0.25">
      <c r="A33" s="14">
        <v>76045728</v>
      </c>
      <c r="B33" s="15" t="s">
        <v>493</v>
      </c>
    </row>
    <row r="34" spans="1:2" x14ac:dyDescent="0.25">
      <c r="A34" s="14">
        <v>76046493</v>
      </c>
      <c r="B34" s="15" t="s">
        <v>493</v>
      </c>
    </row>
    <row r="35" spans="1:2" x14ac:dyDescent="0.25">
      <c r="A35" s="14">
        <v>76215533</v>
      </c>
      <c r="B35" s="15" t="s">
        <v>493</v>
      </c>
    </row>
    <row r="36" spans="1:2" x14ac:dyDescent="0.25">
      <c r="A36" s="14">
        <v>76047175</v>
      </c>
      <c r="B36" s="15" t="s">
        <v>493</v>
      </c>
    </row>
    <row r="37" spans="1:2" x14ac:dyDescent="0.25">
      <c r="A37" s="14">
        <v>76050655</v>
      </c>
      <c r="B37" s="15" t="s">
        <v>493</v>
      </c>
    </row>
    <row r="38" spans="1:2" x14ac:dyDescent="0.25">
      <c r="A38" s="14">
        <v>76052206</v>
      </c>
      <c r="B38" s="15" t="s">
        <v>493</v>
      </c>
    </row>
    <row r="39" spans="1:2" x14ac:dyDescent="0.25">
      <c r="A39" s="14">
        <v>76058352</v>
      </c>
      <c r="B39" s="15" t="s">
        <v>493</v>
      </c>
    </row>
    <row r="40" spans="1:2" x14ac:dyDescent="0.25">
      <c r="A40" s="14">
        <v>76067191</v>
      </c>
      <c r="B40" s="15" t="s">
        <v>493</v>
      </c>
    </row>
    <row r="41" spans="1:2" x14ac:dyDescent="0.25">
      <c r="A41" s="14">
        <v>76075773</v>
      </c>
      <c r="B41" s="15" t="s">
        <v>493</v>
      </c>
    </row>
    <row r="42" spans="1:2" x14ac:dyDescent="0.25">
      <c r="A42" s="14">
        <v>76075832</v>
      </c>
      <c r="B42" s="15" t="s">
        <v>493</v>
      </c>
    </row>
    <row r="43" spans="1:2" x14ac:dyDescent="0.25">
      <c r="A43" s="14">
        <v>76078231</v>
      </c>
      <c r="B43" s="15" t="s">
        <v>493</v>
      </c>
    </row>
    <row r="44" spans="1:2" x14ac:dyDescent="0.25">
      <c r="A44" s="14">
        <v>76080246</v>
      </c>
      <c r="B44" s="15" t="s">
        <v>493</v>
      </c>
    </row>
    <row r="45" spans="1:2" x14ac:dyDescent="0.25">
      <c r="A45" s="14">
        <v>76080553</v>
      </c>
      <c r="B45" s="15" t="s">
        <v>493</v>
      </c>
    </row>
    <row r="46" spans="1:2" x14ac:dyDescent="0.25">
      <c r="A46" s="14">
        <v>76086148</v>
      </c>
      <c r="B46" s="15" t="s">
        <v>493</v>
      </c>
    </row>
    <row r="47" spans="1:2" x14ac:dyDescent="0.25">
      <c r="A47" s="14">
        <v>77261280</v>
      </c>
      <c r="B47" s="15" t="s">
        <v>493</v>
      </c>
    </row>
    <row r="48" spans="1:2" x14ac:dyDescent="0.25">
      <c r="A48" s="14">
        <v>76107186</v>
      </c>
      <c r="B48" s="15" t="s">
        <v>493</v>
      </c>
    </row>
    <row r="49" spans="1:2" x14ac:dyDescent="0.25">
      <c r="A49" s="14">
        <v>76108126</v>
      </c>
      <c r="B49" s="15" t="s">
        <v>493</v>
      </c>
    </row>
    <row r="50" spans="1:2" x14ac:dyDescent="0.25">
      <c r="A50" s="14">
        <v>76109205</v>
      </c>
      <c r="B50" s="15" t="s">
        <v>493</v>
      </c>
    </row>
    <row r="51" spans="1:2" x14ac:dyDescent="0.25">
      <c r="A51" s="14">
        <v>76115484</v>
      </c>
      <c r="B51" s="15" t="s">
        <v>493</v>
      </c>
    </row>
    <row r="52" spans="1:2" x14ac:dyDescent="0.25">
      <c r="A52" s="14">
        <v>76121811</v>
      </c>
      <c r="B52" s="15" t="s">
        <v>493</v>
      </c>
    </row>
    <row r="53" spans="1:2" x14ac:dyDescent="0.25">
      <c r="A53" s="14">
        <v>76122825</v>
      </c>
      <c r="B53" s="15" t="s">
        <v>493</v>
      </c>
    </row>
    <row r="54" spans="1:2" x14ac:dyDescent="0.25">
      <c r="A54" s="14">
        <v>76123089</v>
      </c>
      <c r="B54" s="15" t="s">
        <v>493</v>
      </c>
    </row>
    <row r="55" spans="1:2" x14ac:dyDescent="0.25">
      <c r="A55" s="14">
        <v>76129324</v>
      </c>
      <c r="B55" s="15" t="s">
        <v>493</v>
      </c>
    </row>
    <row r="56" spans="1:2" x14ac:dyDescent="0.25">
      <c r="A56" s="14">
        <v>76134397</v>
      </c>
      <c r="B56" s="15" t="s">
        <v>493</v>
      </c>
    </row>
    <row r="57" spans="1:2" x14ac:dyDescent="0.25">
      <c r="A57" s="14">
        <v>76136076</v>
      </c>
      <c r="B57" s="15" t="s">
        <v>493</v>
      </c>
    </row>
    <row r="58" spans="1:2" x14ac:dyDescent="0.25">
      <c r="A58" s="14">
        <v>76141988</v>
      </c>
      <c r="B58" s="15" t="s">
        <v>493</v>
      </c>
    </row>
    <row r="59" spans="1:2" x14ac:dyDescent="0.25">
      <c r="A59" s="14">
        <v>76143136</v>
      </c>
      <c r="B59" s="15" t="s">
        <v>493</v>
      </c>
    </row>
    <row r="60" spans="1:2" x14ac:dyDescent="0.25">
      <c r="A60" s="14">
        <v>76143191</v>
      </c>
      <c r="B60" s="15" t="s">
        <v>493</v>
      </c>
    </row>
    <row r="61" spans="1:2" x14ac:dyDescent="0.25">
      <c r="A61" s="14">
        <v>76143206</v>
      </c>
      <c r="B61" s="15" t="s">
        <v>493</v>
      </c>
    </row>
    <row r="62" spans="1:2" x14ac:dyDescent="0.25">
      <c r="A62" s="14">
        <v>76144216</v>
      </c>
      <c r="B62" s="15" t="s">
        <v>493</v>
      </c>
    </row>
    <row r="63" spans="1:2" x14ac:dyDescent="0.25">
      <c r="A63" s="14">
        <v>76144275</v>
      </c>
      <c r="B63" s="15" t="s">
        <v>493</v>
      </c>
    </row>
    <row r="64" spans="1:2" x14ac:dyDescent="0.25">
      <c r="A64" s="14">
        <v>76146083</v>
      </c>
      <c r="B64" s="15" t="s">
        <v>493</v>
      </c>
    </row>
    <row r="65" spans="1:2" x14ac:dyDescent="0.25">
      <c r="A65" s="14">
        <v>76153883</v>
      </c>
      <c r="B65" s="15" t="s">
        <v>493</v>
      </c>
    </row>
    <row r="66" spans="1:2" x14ac:dyDescent="0.25">
      <c r="A66" s="14">
        <v>76158513</v>
      </c>
      <c r="B66" s="15" t="s">
        <v>493</v>
      </c>
    </row>
    <row r="67" spans="1:2" x14ac:dyDescent="0.25">
      <c r="A67" s="14">
        <v>76166955</v>
      </c>
      <c r="B67" s="15" t="s">
        <v>493</v>
      </c>
    </row>
    <row r="68" spans="1:2" x14ac:dyDescent="0.25">
      <c r="A68" s="14">
        <v>76178803</v>
      </c>
      <c r="B68" s="15" t="s">
        <v>493</v>
      </c>
    </row>
    <row r="69" spans="1:2" x14ac:dyDescent="0.25">
      <c r="A69" s="14">
        <v>76179024</v>
      </c>
      <c r="B69" s="15" t="s">
        <v>493</v>
      </c>
    </row>
    <row r="70" spans="1:2" x14ac:dyDescent="0.25">
      <c r="A70" s="14">
        <v>76182576</v>
      </c>
      <c r="B70" s="15" t="s">
        <v>493</v>
      </c>
    </row>
    <row r="71" spans="1:2" x14ac:dyDescent="0.25">
      <c r="A71" s="14">
        <v>76182983</v>
      </c>
      <c r="B71" s="15" t="s">
        <v>493</v>
      </c>
    </row>
    <row r="72" spans="1:2" x14ac:dyDescent="0.25">
      <c r="A72" s="14">
        <v>76185964</v>
      </c>
      <c r="B72" s="15" t="s">
        <v>493</v>
      </c>
    </row>
    <row r="73" spans="1:2" x14ac:dyDescent="0.25">
      <c r="A73" s="14">
        <v>76206822</v>
      </c>
      <c r="B73" s="15" t="s">
        <v>493</v>
      </c>
    </row>
    <row r="74" spans="1:2" x14ac:dyDescent="0.25">
      <c r="A74" s="14">
        <v>76215628</v>
      </c>
      <c r="B74" s="15" t="s">
        <v>493</v>
      </c>
    </row>
    <row r="75" spans="1:2" x14ac:dyDescent="0.25">
      <c r="A75" s="14">
        <v>76215634</v>
      </c>
      <c r="B75" s="15" t="s">
        <v>493</v>
      </c>
    </row>
    <row r="76" spans="1:2" x14ac:dyDescent="0.25">
      <c r="A76" s="14">
        <v>76215637</v>
      </c>
      <c r="B76" s="15" t="s">
        <v>493</v>
      </c>
    </row>
    <row r="77" spans="1:2" x14ac:dyDescent="0.25">
      <c r="A77" s="14">
        <v>76237297</v>
      </c>
      <c r="B77" s="15" t="s">
        <v>493</v>
      </c>
    </row>
    <row r="78" spans="1:2" x14ac:dyDescent="0.25">
      <c r="A78" s="14">
        <v>76241963</v>
      </c>
      <c r="B78" s="15" t="s">
        <v>493</v>
      </c>
    </row>
    <row r="79" spans="1:2" x14ac:dyDescent="0.25">
      <c r="A79" s="14">
        <v>76242762</v>
      </c>
      <c r="B79" s="15" t="s">
        <v>493</v>
      </c>
    </row>
    <row r="80" spans="1:2" x14ac:dyDescent="0.25">
      <c r="A80" s="14">
        <v>76242857</v>
      </c>
      <c r="B80" s="15" t="s">
        <v>493</v>
      </c>
    </row>
    <row r="81" spans="1:2" x14ac:dyDescent="0.25">
      <c r="A81" s="14">
        <v>76247273</v>
      </c>
      <c r="B81" s="15" t="s">
        <v>493</v>
      </c>
    </row>
    <row r="82" spans="1:2" x14ac:dyDescent="0.25">
      <c r="A82" s="14">
        <v>76256718</v>
      </c>
      <c r="B82" s="15" t="s">
        <v>493</v>
      </c>
    </row>
    <row r="83" spans="1:2" x14ac:dyDescent="0.25">
      <c r="A83" s="14">
        <v>76281157</v>
      </c>
      <c r="B83" s="15" t="s">
        <v>493</v>
      </c>
    </row>
    <row r="84" spans="1:2" x14ac:dyDescent="0.25">
      <c r="A84" s="14">
        <v>76284294</v>
      </c>
      <c r="B84" s="15" t="s">
        <v>493</v>
      </c>
    </row>
    <row r="85" spans="1:2" x14ac:dyDescent="0.25">
      <c r="A85" s="14">
        <v>76303510</v>
      </c>
      <c r="B85" s="15" t="s">
        <v>493</v>
      </c>
    </row>
    <row r="86" spans="1:2" x14ac:dyDescent="0.25">
      <c r="A86" s="14">
        <v>76313310</v>
      </c>
      <c r="B86" s="15" t="s">
        <v>493</v>
      </c>
    </row>
    <row r="87" spans="1:2" x14ac:dyDescent="0.25">
      <c r="A87" s="14">
        <v>76344931</v>
      </c>
      <c r="B87" s="15" t="s">
        <v>493</v>
      </c>
    </row>
    <row r="88" spans="1:2" x14ac:dyDescent="0.25">
      <c r="A88" s="14">
        <v>76350250</v>
      </c>
      <c r="B88" s="15" t="s">
        <v>493</v>
      </c>
    </row>
    <row r="89" spans="1:2" x14ac:dyDescent="0.25">
      <c r="A89" s="14">
        <v>76357991</v>
      </c>
      <c r="B89" s="15" t="s">
        <v>493</v>
      </c>
    </row>
    <row r="90" spans="1:2" x14ac:dyDescent="0.25">
      <c r="A90" s="14">
        <v>76366637</v>
      </c>
      <c r="B90" s="15" t="s">
        <v>493</v>
      </c>
    </row>
    <row r="91" spans="1:2" x14ac:dyDescent="0.25">
      <c r="A91" s="14">
        <v>76368834</v>
      </c>
      <c r="B91" s="15" t="s">
        <v>493</v>
      </c>
    </row>
    <row r="92" spans="1:2" x14ac:dyDescent="0.25">
      <c r="A92" s="14">
        <v>76377649</v>
      </c>
      <c r="B92" s="15" t="s">
        <v>493</v>
      </c>
    </row>
    <row r="93" spans="1:2" x14ac:dyDescent="0.25">
      <c r="A93" s="14">
        <v>76378396</v>
      </c>
      <c r="B93" s="15" t="s">
        <v>493</v>
      </c>
    </row>
    <row r="94" spans="1:2" x14ac:dyDescent="0.25">
      <c r="A94" s="14">
        <v>76378397</v>
      </c>
      <c r="B94" s="15" t="s">
        <v>493</v>
      </c>
    </row>
    <row r="95" spans="1:2" x14ac:dyDescent="0.25">
      <c r="A95" s="14">
        <v>76379557</v>
      </c>
      <c r="B95" s="15" t="s">
        <v>493</v>
      </c>
    </row>
    <row r="96" spans="1:2" x14ac:dyDescent="0.25">
      <c r="A96" s="14">
        <v>76395745</v>
      </c>
      <c r="B96" s="15" t="s">
        <v>493</v>
      </c>
    </row>
    <row r="97" spans="1:2" x14ac:dyDescent="0.25">
      <c r="A97" s="14">
        <v>76405050</v>
      </c>
      <c r="B97" s="15" t="s">
        <v>493</v>
      </c>
    </row>
    <row r="98" spans="1:2" x14ac:dyDescent="0.25">
      <c r="A98" s="14">
        <v>76412562</v>
      </c>
      <c r="B98" s="15" t="s">
        <v>493</v>
      </c>
    </row>
    <row r="99" spans="1:2" x14ac:dyDescent="0.25">
      <c r="A99" s="14">
        <v>76416769</v>
      </c>
      <c r="B99" s="15" t="s">
        <v>493</v>
      </c>
    </row>
    <row r="100" spans="1:2" x14ac:dyDescent="0.25">
      <c r="A100" s="14">
        <v>76427618</v>
      </c>
      <c r="B100" s="15" t="s">
        <v>493</v>
      </c>
    </row>
    <row r="101" spans="1:2" x14ac:dyDescent="0.25">
      <c r="A101" s="14">
        <v>76427811</v>
      </c>
      <c r="B101" s="15" t="s">
        <v>493</v>
      </c>
    </row>
    <row r="102" spans="1:2" x14ac:dyDescent="0.25">
      <c r="A102" s="14">
        <v>76440073</v>
      </c>
      <c r="B102" s="15" t="s">
        <v>493</v>
      </c>
    </row>
    <row r="103" spans="1:2" x14ac:dyDescent="0.25">
      <c r="A103" s="14">
        <v>76447709</v>
      </c>
      <c r="B103" s="15" t="s">
        <v>493</v>
      </c>
    </row>
    <row r="104" spans="1:2" x14ac:dyDescent="0.25">
      <c r="A104" s="14">
        <v>76466087</v>
      </c>
      <c r="B104" s="15" t="s">
        <v>493</v>
      </c>
    </row>
    <row r="105" spans="1:2" x14ac:dyDescent="0.25">
      <c r="A105" s="14">
        <v>76466127</v>
      </c>
      <c r="B105" s="15" t="s">
        <v>493</v>
      </c>
    </row>
    <row r="106" spans="1:2" x14ac:dyDescent="0.25">
      <c r="A106" s="14">
        <v>76470597</v>
      </c>
      <c r="B106" s="15" t="s">
        <v>493</v>
      </c>
    </row>
    <row r="107" spans="1:2" x14ac:dyDescent="0.25">
      <c r="A107" s="14">
        <v>76477116</v>
      </c>
      <c r="B107" s="15" t="s">
        <v>493</v>
      </c>
    </row>
    <row r="108" spans="1:2" x14ac:dyDescent="0.25">
      <c r="A108" s="14">
        <v>76481921</v>
      </c>
      <c r="B108" s="15" t="s">
        <v>493</v>
      </c>
    </row>
    <row r="109" spans="1:2" x14ac:dyDescent="0.25">
      <c r="A109" s="14">
        <v>76485826</v>
      </c>
      <c r="B109" s="15" t="s">
        <v>493</v>
      </c>
    </row>
    <row r="110" spans="1:2" x14ac:dyDescent="0.25">
      <c r="A110" s="14">
        <v>76487451</v>
      </c>
      <c r="B110" s="15" t="s">
        <v>493</v>
      </c>
    </row>
    <row r="111" spans="1:2" x14ac:dyDescent="0.25">
      <c r="A111" s="14">
        <v>76492150</v>
      </c>
      <c r="B111" s="15" t="s">
        <v>493</v>
      </c>
    </row>
    <row r="112" spans="1:2" x14ac:dyDescent="0.25">
      <c r="A112" s="14">
        <v>76492400</v>
      </c>
      <c r="B112" s="15" t="s">
        <v>493</v>
      </c>
    </row>
    <row r="113" spans="1:2" x14ac:dyDescent="0.25">
      <c r="A113" s="14">
        <v>76495860</v>
      </c>
      <c r="B113" s="15" t="s">
        <v>493</v>
      </c>
    </row>
    <row r="114" spans="1:2" x14ac:dyDescent="0.25">
      <c r="A114" s="14">
        <v>76511583</v>
      </c>
      <c r="B114" s="15" t="s">
        <v>493</v>
      </c>
    </row>
    <row r="115" spans="1:2" x14ac:dyDescent="0.25">
      <c r="A115" s="14">
        <v>76517548</v>
      </c>
      <c r="B115" s="15" t="s">
        <v>493</v>
      </c>
    </row>
    <row r="116" spans="1:2" x14ac:dyDescent="0.25">
      <c r="A116" s="14">
        <v>76517798</v>
      </c>
      <c r="B116" s="15" t="s">
        <v>493</v>
      </c>
    </row>
    <row r="117" spans="1:2" x14ac:dyDescent="0.25">
      <c r="A117" s="14">
        <v>76528870</v>
      </c>
      <c r="B117" s="15" t="s">
        <v>493</v>
      </c>
    </row>
    <row r="118" spans="1:2" x14ac:dyDescent="0.25">
      <c r="A118" s="14">
        <v>76534187</v>
      </c>
      <c r="B118" s="15" t="s">
        <v>493</v>
      </c>
    </row>
    <row r="119" spans="1:2" x14ac:dyDescent="0.25">
      <c r="A119" s="14">
        <v>76536353</v>
      </c>
      <c r="B119" s="15" t="s">
        <v>493</v>
      </c>
    </row>
    <row r="120" spans="1:2" x14ac:dyDescent="0.25">
      <c r="A120" s="14">
        <v>76555400</v>
      </c>
      <c r="B120" s="15" t="s">
        <v>493</v>
      </c>
    </row>
    <row r="121" spans="1:2" x14ac:dyDescent="0.25">
      <c r="A121" s="14">
        <v>76558425</v>
      </c>
      <c r="B121" s="15" t="s">
        <v>493</v>
      </c>
    </row>
    <row r="122" spans="1:2" x14ac:dyDescent="0.25">
      <c r="A122" s="14">
        <v>76568660</v>
      </c>
      <c r="B122" s="15" t="s">
        <v>493</v>
      </c>
    </row>
    <row r="123" spans="1:2" x14ac:dyDescent="0.25">
      <c r="A123" s="14">
        <v>76576920</v>
      </c>
      <c r="B123" s="15" t="s">
        <v>493</v>
      </c>
    </row>
    <row r="124" spans="1:2" x14ac:dyDescent="0.25">
      <c r="A124" s="14">
        <v>76585685</v>
      </c>
      <c r="B124" s="15" t="s">
        <v>493</v>
      </c>
    </row>
    <row r="125" spans="1:2" x14ac:dyDescent="0.25">
      <c r="A125" s="14">
        <v>76585700</v>
      </c>
      <c r="B125" s="15" t="s">
        <v>493</v>
      </c>
    </row>
    <row r="126" spans="1:2" x14ac:dyDescent="0.25">
      <c r="A126" s="14">
        <v>76592323</v>
      </c>
      <c r="B126" s="15" t="s">
        <v>493</v>
      </c>
    </row>
    <row r="127" spans="1:2" x14ac:dyDescent="0.25">
      <c r="A127" s="14">
        <v>76596732</v>
      </c>
      <c r="B127" s="15" t="s">
        <v>493</v>
      </c>
    </row>
    <row r="128" spans="1:2" x14ac:dyDescent="0.25">
      <c r="A128" s="14">
        <v>76596746</v>
      </c>
      <c r="B128" s="15" t="s">
        <v>493</v>
      </c>
    </row>
    <row r="129" spans="1:2" x14ac:dyDescent="0.25">
      <c r="A129" s="14">
        <v>76598536</v>
      </c>
      <c r="B129" s="15" t="s">
        <v>493</v>
      </c>
    </row>
    <row r="130" spans="1:2" x14ac:dyDescent="0.25">
      <c r="A130" s="14">
        <v>76600628</v>
      </c>
      <c r="B130" s="15" t="s">
        <v>493</v>
      </c>
    </row>
    <row r="131" spans="1:2" x14ac:dyDescent="0.25">
      <c r="A131" s="14">
        <v>76611528</v>
      </c>
      <c r="B131" s="15" t="s">
        <v>493</v>
      </c>
    </row>
    <row r="132" spans="1:2" x14ac:dyDescent="0.25">
      <c r="A132" s="14">
        <v>76618609</v>
      </c>
      <c r="B132" s="15" t="s">
        <v>493</v>
      </c>
    </row>
    <row r="133" spans="1:2" x14ac:dyDescent="0.25">
      <c r="A133" s="14">
        <v>76620000</v>
      </c>
      <c r="B133" s="15" t="s">
        <v>493</v>
      </c>
    </row>
    <row r="134" spans="1:2" x14ac:dyDescent="0.25">
      <c r="A134" s="14">
        <v>76657859</v>
      </c>
      <c r="B134" s="15" t="s">
        <v>493</v>
      </c>
    </row>
    <row r="135" spans="1:2" x14ac:dyDescent="0.25">
      <c r="A135" s="14">
        <v>76662490</v>
      </c>
      <c r="B135" s="15" t="s">
        <v>493</v>
      </c>
    </row>
    <row r="136" spans="1:2" x14ac:dyDescent="0.25">
      <c r="A136" s="14">
        <v>76712370</v>
      </c>
      <c r="B136" s="15" t="s">
        <v>493</v>
      </c>
    </row>
    <row r="137" spans="1:2" x14ac:dyDescent="0.25">
      <c r="A137" s="14">
        <v>76724603</v>
      </c>
      <c r="B137" s="15" t="s">
        <v>493</v>
      </c>
    </row>
    <row r="138" spans="1:2" x14ac:dyDescent="0.25">
      <c r="A138" s="14">
        <v>76729932</v>
      </c>
      <c r="B138" s="15" t="s">
        <v>493</v>
      </c>
    </row>
    <row r="139" spans="1:2" x14ac:dyDescent="0.25">
      <c r="A139" s="14">
        <v>76737110</v>
      </c>
      <c r="B139" s="15" t="s">
        <v>493</v>
      </c>
    </row>
    <row r="140" spans="1:2" x14ac:dyDescent="0.25">
      <c r="A140" s="14">
        <v>76746454</v>
      </c>
      <c r="B140" s="15" t="s">
        <v>493</v>
      </c>
    </row>
    <row r="141" spans="1:2" x14ac:dyDescent="0.25">
      <c r="A141" s="14">
        <v>76775710</v>
      </c>
      <c r="B141" s="15" t="s">
        <v>493</v>
      </c>
    </row>
    <row r="142" spans="1:2" x14ac:dyDescent="0.25">
      <c r="A142" s="14">
        <v>76785864</v>
      </c>
      <c r="B142" s="15" t="s">
        <v>493</v>
      </c>
    </row>
    <row r="143" spans="1:2" x14ac:dyDescent="0.25">
      <c r="A143" s="14">
        <v>76786281</v>
      </c>
      <c r="B143" s="15" t="s">
        <v>493</v>
      </c>
    </row>
    <row r="144" spans="1:2" x14ac:dyDescent="0.25">
      <c r="A144" s="14">
        <v>76786283</v>
      </c>
      <c r="B144" s="15" t="s">
        <v>493</v>
      </c>
    </row>
    <row r="145" spans="1:2" x14ac:dyDescent="0.25">
      <c r="A145" s="14">
        <v>76786287</v>
      </c>
      <c r="B145" s="15" t="s">
        <v>493</v>
      </c>
    </row>
    <row r="146" spans="1:2" x14ac:dyDescent="0.25">
      <c r="A146" s="14">
        <v>76786301</v>
      </c>
      <c r="B146" s="15" t="s">
        <v>493</v>
      </c>
    </row>
    <row r="147" spans="1:2" x14ac:dyDescent="0.25">
      <c r="A147" s="14">
        <v>76787690</v>
      </c>
      <c r="B147" s="15" t="s">
        <v>493</v>
      </c>
    </row>
    <row r="148" spans="1:2" x14ac:dyDescent="0.25">
      <c r="A148" s="14">
        <v>76788107</v>
      </c>
      <c r="B148" s="15" t="s">
        <v>493</v>
      </c>
    </row>
    <row r="149" spans="1:2" x14ac:dyDescent="0.25">
      <c r="A149" s="14">
        <v>76827033</v>
      </c>
      <c r="B149" s="15" t="s">
        <v>493</v>
      </c>
    </row>
    <row r="150" spans="1:2" x14ac:dyDescent="0.25">
      <c r="A150" s="14">
        <v>76832279</v>
      </c>
      <c r="B150" s="15" t="s">
        <v>493</v>
      </c>
    </row>
    <row r="151" spans="1:2" x14ac:dyDescent="0.25">
      <c r="A151" s="14">
        <v>76835720</v>
      </c>
      <c r="B151" s="15" t="s">
        <v>493</v>
      </c>
    </row>
    <row r="152" spans="1:2" x14ac:dyDescent="0.25">
      <c r="A152" s="14">
        <v>65113732</v>
      </c>
      <c r="B152" s="15" t="s">
        <v>493</v>
      </c>
    </row>
    <row r="153" spans="1:2" x14ac:dyDescent="0.25">
      <c r="A153" s="14">
        <v>76879551</v>
      </c>
      <c r="B153" s="15" t="s">
        <v>493</v>
      </c>
    </row>
    <row r="154" spans="1:2" x14ac:dyDescent="0.25">
      <c r="A154" s="14">
        <v>76879562</v>
      </c>
      <c r="B154" s="15" t="s">
        <v>493</v>
      </c>
    </row>
    <row r="155" spans="1:2" x14ac:dyDescent="0.25">
      <c r="A155" s="14">
        <v>76879810</v>
      </c>
      <c r="B155" s="15" t="s">
        <v>493</v>
      </c>
    </row>
    <row r="156" spans="1:2" x14ac:dyDescent="0.25">
      <c r="A156" s="14">
        <v>76885747</v>
      </c>
      <c r="B156" s="15" t="s">
        <v>493</v>
      </c>
    </row>
    <row r="157" spans="1:2" x14ac:dyDescent="0.25">
      <c r="A157" s="14">
        <v>76914469</v>
      </c>
      <c r="B157" s="15" t="s">
        <v>493</v>
      </c>
    </row>
    <row r="158" spans="1:2" x14ac:dyDescent="0.25">
      <c r="A158" s="14">
        <v>76937007</v>
      </c>
      <c r="B158" s="15" t="s">
        <v>493</v>
      </c>
    </row>
    <row r="159" spans="1:2" x14ac:dyDescent="0.25">
      <c r="A159" s="14">
        <v>76951696</v>
      </c>
      <c r="B159" s="15" t="s">
        <v>493</v>
      </c>
    </row>
    <row r="160" spans="1:2" x14ac:dyDescent="0.25">
      <c r="A160" s="14">
        <v>76991836</v>
      </c>
      <c r="B160" s="15" t="s">
        <v>493</v>
      </c>
    </row>
    <row r="161" spans="1:2" x14ac:dyDescent="0.25">
      <c r="A161" s="14">
        <v>77017436</v>
      </c>
      <c r="B161" s="15" t="s">
        <v>493</v>
      </c>
    </row>
    <row r="162" spans="1:2" x14ac:dyDescent="0.25">
      <c r="A162" s="14">
        <v>77032236</v>
      </c>
      <c r="B162" s="15" t="s">
        <v>493</v>
      </c>
    </row>
    <row r="163" spans="1:2" x14ac:dyDescent="0.25">
      <c r="A163" s="14">
        <v>77038674</v>
      </c>
      <c r="B163" s="15" t="s">
        <v>493</v>
      </c>
    </row>
    <row r="164" spans="1:2" x14ac:dyDescent="0.25">
      <c r="A164" s="14">
        <v>77038938</v>
      </c>
      <c r="B164" s="15" t="s">
        <v>493</v>
      </c>
    </row>
    <row r="165" spans="1:2" x14ac:dyDescent="0.25">
      <c r="A165" s="14">
        <v>77081402</v>
      </c>
      <c r="B165" s="15" t="s">
        <v>493</v>
      </c>
    </row>
    <row r="166" spans="1:2" x14ac:dyDescent="0.25">
      <c r="A166" s="14">
        <v>77099010</v>
      </c>
      <c r="B166" s="15" t="s">
        <v>493</v>
      </c>
    </row>
    <row r="167" spans="1:2" x14ac:dyDescent="0.25">
      <c r="A167" s="14">
        <v>77107585</v>
      </c>
      <c r="B167" s="15" t="s">
        <v>493</v>
      </c>
    </row>
    <row r="168" spans="1:2" x14ac:dyDescent="0.25">
      <c r="A168" s="14">
        <v>77125512</v>
      </c>
      <c r="B168" s="15" t="s">
        <v>493</v>
      </c>
    </row>
    <row r="169" spans="1:2" x14ac:dyDescent="0.25">
      <c r="A169" s="14">
        <v>77125514</v>
      </c>
      <c r="B169" s="15" t="s">
        <v>493</v>
      </c>
    </row>
    <row r="170" spans="1:2" x14ac:dyDescent="0.25">
      <c r="A170" s="14">
        <v>77125521</v>
      </c>
      <c r="B170" s="15" t="s">
        <v>493</v>
      </c>
    </row>
    <row r="171" spans="1:2" x14ac:dyDescent="0.25">
      <c r="A171" s="14">
        <v>77166744</v>
      </c>
      <c r="B171" s="15" t="s">
        <v>493</v>
      </c>
    </row>
    <row r="172" spans="1:2" x14ac:dyDescent="0.25">
      <c r="A172" s="14">
        <v>79757460</v>
      </c>
      <c r="B172" s="15" t="s">
        <v>493</v>
      </c>
    </row>
    <row r="173" spans="1:2" x14ac:dyDescent="0.25">
      <c r="A173" s="14">
        <v>77260520</v>
      </c>
      <c r="B173" s="15" t="s">
        <v>493</v>
      </c>
    </row>
    <row r="174" spans="1:2" x14ac:dyDescent="0.25">
      <c r="A174" s="14">
        <v>77298797</v>
      </c>
      <c r="B174" s="15" t="s">
        <v>493</v>
      </c>
    </row>
    <row r="175" spans="1:2" x14ac:dyDescent="0.25">
      <c r="A175" s="14">
        <v>77329730</v>
      </c>
      <c r="B175" s="15" t="s">
        <v>493</v>
      </c>
    </row>
    <row r="176" spans="1:2" x14ac:dyDescent="0.25">
      <c r="A176" s="14">
        <v>77360390</v>
      </c>
      <c r="B176" s="15" t="s">
        <v>493</v>
      </c>
    </row>
    <row r="177" spans="1:2" x14ac:dyDescent="0.25">
      <c r="A177" s="14">
        <v>77414260</v>
      </c>
      <c r="B177" s="15" t="s">
        <v>493</v>
      </c>
    </row>
    <row r="178" spans="1:2" x14ac:dyDescent="0.25">
      <c r="A178" s="14">
        <v>77438400</v>
      </c>
      <c r="B178" s="15" t="s">
        <v>493</v>
      </c>
    </row>
    <row r="179" spans="1:2" x14ac:dyDescent="0.25">
      <c r="A179" s="14">
        <v>77441870</v>
      </c>
      <c r="B179" s="15" t="s">
        <v>493</v>
      </c>
    </row>
    <row r="180" spans="1:2" x14ac:dyDescent="0.25">
      <c r="A180" s="14">
        <v>77460467</v>
      </c>
      <c r="B180" s="15" t="s">
        <v>493</v>
      </c>
    </row>
    <row r="181" spans="1:2" x14ac:dyDescent="0.25">
      <c r="A181" s="14">
        <v>77471030</v>
      </c>
      <c r="B181" s="15" t="s">
        <v>493</v>
      </c>
    </row>
    <row r="182" spans="1:2" x14ac:dyDescent="0.25">
      <c r="A182" s="14">
        <v>77478120</v>
      </c>
      <c r="B182" s="15" t="s">
        <v>493</v>
      </c>
    </row>
    <row r="183" spans="1:2" x14ac:dyDescent="0.25">
      <c r="A183" s="14">
        <v>77557430</v>
      </c>
      <c r="B183" s="15" t="s">
        <v>493</v>
      </c>
    </row>
    <row r="184" spans="1:2" x14ac:dyDescent="0.25">
      <c r="A184" s="14">
        <v>77612410</v>
      </c>
      <c r="B184" s="15" t="s">
        <v>493</v>
      </c>
    </row>
    <row r="185" spans="1:2" x14ac:dyDescent="0.25">
      <c r="A185" s="14">
        <v>77736670</v>
      </c>
      <c r="B185" s="15" t="s">
        <v>493</v>
      </c>
    </row>
    <row r="186" spans="1:2" x14ac:dyDescent="0.25">
      <c r="A186" s="14">
        <v>77755610</v>
      </c>
      <c r="B186" s="15" t="s">
        <v>493</v>
      </c>
    </row>
    <row r="187" spans="1:2" x14ac:dyDescent="0.25">
      <c r="A187" s="14">
        <v>77762940</v>
      </c>
      <c r="B187" s="15" t="s">
        <v>493</v>
      </c>
    </row>
    <row r="188" spans="1:2" x14ac:dyDescent="0.25">
      <c r="A188" s="14">
        <v>77807840</v>
      </c>
      <c r="B188" s="15" t="s">
        <v>493</v>
      </c>
    </row>
    <row r="189" spans="1:2" x14ac:dyDescent="0.25">
      <c r="A189" s="14">
        <v>77882890</v>
      </c>
      <c r="B189" s="15" t="s">
        <v>493</v>
      </c>
    </row>
    <row r="190" spans="1:2" x14ac:dyDescent="0.25">
      <c r="A190" s="14">
        <v>77905330</v>
      </c>
      <c r="B190" s="15" t="s">
        <v>493</v>
      </c>
    </row>
    <row r="191" spans="1:2" x14ac:dyDescent="0.25">
      <c r="A191" s="14">
        <v>78016820</v>
      </c>
      <c r="B191" s="15" t="s">
        <v>493</v>
      </c>
    </row>
    <row r="192" spans="1:2" x14ac:dyDescent="0.25">
      <c r="A192" s="14">
        <v>78119320</v>
      </c>
      <c r="B192" s="15" t="s">
        <v>493</v>
      </c>
    </row>
    <row r="193" spans="1:2" x14ac:dyDescent="0.25">
      <c r="A193" s="14">
        <v>78127000</v>
      </c>
      <c r="B193" s="15" t="s">
        <v>493</v>
      </c>
    </row>
    <row r="194" spans="1:2" x14ac:dyDescent="0.25">
      <c r="A194" s="14">
        <v>78200830</v>
      </c>
      <c r="B194" s="15" t="s">
        <v>493</v>
      </c>
    </row>
    <row r="195" spans="1:2" x14ac:dyDescent="0.25">
      <c r="A195" s="14">
        <v>78301280</v>
      </c>
      <c r="B195" s="15" t="s">
        <v>493</v>
      </c>
    </row>
    <row r="196" spans="1:2" x14ac:dyDescent="0.25">
      <c r="A196" s="14">
        <v>78745900</v>
      </c>
      <c r="B196" s="15" t="s">
        <v>493</v>
      </c>
    </row>
    <row r="197" spans="1:2" x14ac:dyDescent="0.25">
      <c r="A197" s="14">
        <v>78928030</v>
      </c>
      <c r="B197" s="15" t="s">
        <v>493</v>
      </c>
    </row>
    <row r="198" spans="1:2" x14ac:dyDescent="0.25">
      <c r="A198" s="14">
        <v>78932860</v>
      </c>
      <c r="B198" s="15" t="s">
        <v>493</v>
      </c>
    </row>
    <row r="199" spans="1:2" x14ac:dyDescent="0.25">
      <c r="A199" s="14">
        <v>78997060</v>
      </c>
      <c r="B199" s="15" t="s">
        <v>493</v>
      </c>
    </row>
    <row r="200" spans="1:2" x14ac:dyDescent="0.25">
      <c r="A200" s="14">
        <v>79637370</v>
      </c>
      <c r="B200" s="15" t="s">
        <v>493</v>
      </c>
    </row>
    <row r="201" spans="1:2" x14ac:dyDescent="0.25">
      <c r="A201" s="14">
        <v>79646620</v>
      </c>
      <c r="B201" s="15" t="s">
        <v>493</v>
      </c>
    </row>
    <row r="202" spans="1:2" x14ac:dyDescent="0.25">
      <c r="A202" s="14">
        <v>79713460</v>
      </c>
      <c r="B202" s="15" t="s">
        <v>493</v>
      </c>
    </row>
    <row r="203" spans="1:2" x14ac:dyDescent="0.25">
      <c r="A203" s="14">
        <v>79740770</v>
      </c>
      <c r="B203" s="15" t="s">
        <v>493</v>
      </c>
    </row>
    <row r="204" spans="1:2" x14ac:dyDescent="0.25">
      <c r="A204" s="14">
        <v>79800600</v>
      </c>
      <c r="B204" s="15" t="s">
        <v>493</v>
      </c>
    </row>
    <row r="205" spans="1:2" x14ac:dyDescent="0.25">
      <c r="A205" s="14">
        <v>79812520</v>
      </c>
      <c r="B205" s="15" t="s">
        <v>493</v>
      </c>
    </row>
    <row r="206" spans="1:2" x14ac:dyDescent="0.25">
      <c r="A206" s="14">
        <v>79841910</v>
      </c>
      <c r="B206" s="15" t="s">
        <v>493</v>
      </c>
    </row>
    <row r="207" spans="1:2" x14ac:dyDescent="0.25">
      <c r="A207" s="14">
        <v>79862750</v>
      </c>
      <c r="B207" s="15" t="s">
        <v>493</v>
      </c>
    </row>
    <row r="208" spans="1:2" x14ac:dyDescent="0.25">
      <c r="A208" s="14">
        <v>79874200</v>
      </c>
      <c r="B208" s="15" t="s">
        <v>493</v>
      </c>
    </row>
    <row r="209" spans="1:2" x14ac:dyDescent="0.25">
      <c r="A209" s="14">
        <v>79943600</v>
      </c>
      <c r="B209" s="15" t="s">
        <v>493</v>
      </c>
    </row>
    <row r="210" spans="1:2" x14ac:dyDescent="0.25">
      <c r="A210" s="14">
        <v>79952350</v>
      </c>
      <c r="B210" s="15" t="s">
        <v>493</v>
      </c>
    </row>
    <row r="211" spans="1:2" x14ac:dyDescent="0.25">
      <c r="A211" s="14">
        <v>79981570</v>
      </c>
      <c r="B211" s="15" t="s">
        <v>493</v>
      </c>
    </row>
    <row r="212" spans="1:2" x14ac:dyDescent="0.25">
      <c r="A212" s="14">
        <v>79984240</v>
      </c>
      <c r="B212" s="15" t="s">
        <v>493</v>
      </c>
    </row>
    <row r="213" spans="1:2" x14ac:dyDescent="0.25">
      <c r="A213" s="14">
        <v>79990670</v>
      </c>
      <c r="B213" s="15" t="s">
        <v>493</v>
      </c>
    </row>
    <row r="214" spans="1:2" x14ac:dyDescent="0.25">
      <c r="A214" s="14">
        <v>81148200</v>
      </c>
      <c r="B214" s="15" t="s">
        <v>493</v>
      </c>
    </row>
    <row r="215" spans="1:2" x14ac:dyDescent="0.25">
      <c r="A215" s="14">
        <v>81458500</v>
      </c>
      <c r="B215" s="15" t="s">
        <v>493</v>
      </c>
    </row>
    <row r="216" spans="1:2" x14ac:dyDescent="0.25">
      <c r="A216" s="14">
        <v>81698900</v>
      </c>
      <c r="B216" s="15" t="s">
        <v>493</v>
      </c>
    </row>
    <row r="217" spans="1:2" x14ac:dyDescent="0.25">
      <c r="A217" s="14">
        <v>81873700</v>
      </c>
      <c r="B217" s="15" t="s">
        <v>493</v>
      </c>
    </row>
    <row r="218" spans="1:2" x14ac:dyDescent="0.25">
      <c r="A218" s="14">
        <v>83187800</v>
      </c>
      <c r="B218" s="15" t="s">
        <v>493</v>
      </c>
    </row>
    <row r="219" spans="1:2" x14ac:dyDescent="0.25">
      <c r="A219" s="14">
        <v>83382700</v>
      </c>
      <c r="B219" s="15" t="s">
        <v>493</v>
      </c>
    </row>
    <row r="220" spans="1:2" x14ac:dyDescent="0.25">
      <c r="A220" s="14">
        <v>83562400</v>
      </c>
      <c r="B220" s="15" t="s">
        <v>493</v>
      </c>
    </row>
    <row r="221" spans="1:2" x14ac:dyDescent="0.25">
      <c r="A221" s="14">
        <v>84356800</v>
      </c>
      <c r="B221" s="15" t="s">
        <v>493</v>
      </c>
    </row>
    <row r="222" spans="1:2" x14ac:dyDescent="0.25">
      <c r="A222" s="14">
        <v>84554900</v>
      </c>
      <c r="B222" s="15" t="s">
        <v>493</v>
      </c>
    </row>
    <row r="223" spans="1:2" x14ac:dyDescent="0.25">
      <c r="A223" s="14">
        <v>84716400</v>
      </c>
      <c r="B223" s="15" t="s">
        <v>493</v>
      </c>
    </row>
    <row r="224" spans="1:2" x14ac:dyDescent="0.25">
      <c r="A224" s="14">
        <v>84865000</v>
      </c>
      <c r="B224" s="15" t="s">
        <v>493</v>
      </c>
    </row>
    <row r="225" spans="1:2" x14ac:dyDescent="0.25">
      <c r="A225" s="14">
        <v>85066600</v>
      </c>
      <c r="B225" s="15" t="s">
        <v>493</v>
      </c>
    </row>
    <row r="226" spans="1:2" x14ac:dyDescent="0.25">
      <c r="A226" s="14">
        <v>85747000</v>
      </c>
      <c r="B226" s="15" t="s">
        <v>493</v>
      </c>
    </row>
    <row r="227" spans="1:2" x14ac:dyDescent="0.25">
      <c r="A227" s="14">
        <v>85805200</v>
      </c>
      <c r="B227" s="15" t="s">
        <v>493</v>
      </c>
    </row>
    <row r="228" spans="1:2" x14ac:dyDescent="0.25">
      <c r="A228" s="14">
        <v>85840100</v>
      </c>
      <c r="B228" s="15" t="s">
        <v>493</v>
      </c>
    </row>
    <row r="229" spans="1:2" x14ac:dyDescent="0.25">
      <c r="A229" s="14">
        <v>86113000</v>
      </c>
      <c r="B229" s="15" t="s">
        <v>493</v>
      </c>
    </row>
    <row r="230" spans="1:2" x14ac:dyDescent="0.25">
      <c r="A230" s="14">
        <v>86150200</v>
      </c>
      <c r="B230" s="15" t="s">
        <v>493</v>
      </c>
    </row>
    <row r="231" spans="1:2" x14ac:dyDescent="0.25">
      <c r="A231" s="14">
        <v>86247400</v>
      </c>
      <c r="B231" s="15" t="s">
        <v>493</v>
      </c>
    </row>
    <row r="232" spans="1:2" x14ac:dyDescent="0.25">
      <c r="A232" s="14">
        <v>86359300</v>
      </c>
      <c r="B232" s="15" t="s">
        <v>493</v>
      </c>
    </row>
    <row r="233" spans="1:2" x14ac:dyDescent="0.25">
      <c r="A233" s="14">
        <v>86386700</v>
      </c>
      <c r="B233" s="15" t="s">
        <v>493</v>
      </c>
    </row>
    <row r="234" spans="1:2" x14ac:dyDescent="0.25">
      <c r="A234" s="14">
        <v>86431800</v>
      </c>
      <c r="B234" s="15" t="s">
        <v>493</v>
      </c>
    </row>
    <row r="235" spans="1:2" x14ac:dyDescent="0.25">
      <c r="A235" s="14">
        <v>86740500</v>
      </c>
      <c r="B235" s="15" t="s">
        <v>493</v>
      </c>
    </row>
    <row r="236" spans="1:2" x14ac:dyDescent="0.25">
      <c r="A236" s="14">
        <v>86915400</v>
      </c>
      <c r="B236" s="15" t="s">
        <v>493</v>
      </c>
    </row>
    <row r="237" spans="1:2" x14ac:dyDescent="0.25">
      <c r="A237" s="14">
        <v>86931000</v>
      </c>
      <c r="B237" s="15" t="s">
        <v>493</v>
      </c>
    </row>
    <row r="238" spans="1:2" x14ac:dyDescent="0.25">
      <c r="A238" s="14">
        <v>86968900</v>
      </c>
      <c r="B238" s="15" t="s">
        <v>493</v>
      </c>
    </row>
    <row r="239" spans="1:2" x14ac:dyDescent="0.25">
      <c r="A239" s="14">
        <v>87006000</v>
      </c>
      <c r="B239" s="15" t="s">
        <v>493</v>
      </c>
    </row>
    <row r="240" spans="1:2" x14ac:dyDescent="0.25">
      <c r="A240" s="14">
        <v>87601500</v>
      </c>
      <c r="B240" s="15" t="s">
        <v>493</v>
      </c>
    </row>
    <row r="241" spans="1:2" x14ac:dyDescent="0.25">
      <c r="A241" s="14">
        <v>87803800</v>
      </c>
      <c r="B241" s="15" t="s">
        <v>493</v>
      </c>
    </row>
    <row r="242" spans="1:2" x14ac:dyDescent="0.25">
      <c r="A242" s="14">
        <v>87851700</v>
      </c>
      <c r="B242" s="15" t="s">
        <v>493</v>
      </c>
    </row>
    <row r="243" spans="1:2" x14ac:dyDescent="0.25">
      <c r="A243" s="14">
        <v>87996400</v>
      </c>
      <c r="B243" s="15" t="s">
        <v>493</v>
      </c>
    </row>
    <row r="244" spans="1:2" x14ac:dyDescent="0.25">
      <c r="A244" s="14">
        <v>88006900</v>
      </c>
      <c r="B244" s="15" t="s">
        <v>493</v>
      </c>
    </row>
    <row r="245" spans="1:2" x14ac:dyDescent="0.25">
      <c r="A245" s="14">
        <v>88381200</v>
      </c>
      <c r="B245" s="15" t="s">
        <v>493</v>
      </c>
    </row>
    <row r="246" spans="1:2" x14ac:dyDescent="0.25">
      <c r="A246" s="14">
        <v>88566900</v>
      </c>
      <c r="B246" s="15" t="s">
        <v>493</v>
      </c>
    </row>
    <row r="247" spans="1:2" x14ac:dyDescent="0.25">
      <c r="A247" s="14">
        <v>88689100</v>
      </c>
      <c r="B247" s="15" t="s">
        <v>493</v>
      </c>
    </row>
    <row r="248" spans="1:2" x14ac:dyDescent="0.25">
      <c r="A248" s="14">
        <v>88842000</v>
      </c>
      <c r="B248" s="15" t="s">
        <v>493</v>
      </c>
    </row>
    <row r="249" spans="1:2" x14ac:dyDescent="0.25">
      <c r="A249" s="14">
        <v>89201400</v>
      </c>
      <c r="B249" s="15" t="s">
        <v>493</v>
      </c>
    </row>
    <row r="250" spans="1:2" x14ac:dyDescent="0.25">
      <c r="A250" s="14">
        <v>76363060</v>
      </c>
      <c r="B250" s="15" t="s">
        <v>493</v>
      </c>
    </row>
    <row r="251" spans="1:2" x14ac:dyDescent="0.25">
      <c r="A251" s="14">
        <v>89274000</v>
      </c>
      <c r="B251" s="15" t="s">
        <v>493</v>
      </c>
    </row>
    <row r="252" spans="1:2" x14ac:dyDescent="0.25">
      <c r="A252" s="14">
        <v>90222000</v>
      </c>
      <c r="B252" s="15" t="s">
        <v>493</v>
      </c>
    </row>
    <row r="253" spans="1:2" x14ac:dyDescent="0.25">
      <c r="A253" s="14">
        <v>90413000</v>
      </c>
      <c r="B253" s="15" t="s">
        <v>493</v>
      </c>
    </row>
    <row r="254" spans="1:2" x14ac:dyDescent="0.25">
      <c r="A254" s="14">
        <v>90749000</v>
      </c>
      <c r="B254" s="15" t="s">
        <v>493</v>
      </c>
    </row>
    <row r="255" spans="1:2" x14ac:dyDescent="0.25">
      <c r="A255" s="14">
        <v>91041000</v>
      </c>
      <c r="B255" s="15" t="s">
        <v>493</v>
      </c>
    </row>
    <row r="256" spans="1:2" x14ac:dyDescent="0.25">
      <c r="A256" s="14">
        <v>91081000</v>
      </c>
      <c r="B256" s="15" t="s">
        <v>493</v>
      </c>
    </row>
    <row r="257" spans="1:2" x14ac:dyDescent="0.25">
      <c r="A257" s="14">
        <v>91297000</v>
      </c>
      <c r="B257" s="15" t="s">
        <v>493</v>
      </c>
    </row>
    <row r="258" spans="1:2" x14ac:dyDescent="0.25">
      <c r="A258" s="14">
        <v>91336000</v>
      </c>
      <c r="B258" s="15" t="s">
        <v>493</v>
      </c>
    </row>
    <row r="259" spans="1:2" x14ac:dyDescent="0.25">
      <c r="A259" s="14">
        <v>91440000</v>
      </c>
      <c r="B259" s="15" t="s">
        <v>493</v>
      </c>
    </row>
    <row r="260" spans="1:2" x14ac:dyDescent="0.25">
      <c r="A260" s="14">
        <v>91489000</v>
      </c>
      <c r="B260" s="15" t="s">
        <v>493</v>
      </c>
    </row>
    <row r="261" spans="1:2" x14ac:dyDescent="0.25">
      <c r="A261" s="14">
        <v>91546000</v>
      </c>
      <c r="B261" s="15" t="s">
        <v>493</v>
      </c>
    </row>
    <row r="262" spans="1:2" x14ac:dyDescent="0.25">
      <c r="A262" s="14">
        <v>71631900</v>
      </c>
      <c r="B262" s="15" t="s">
        <v>493</v>
      </c>
    </row>
    <row r="263" spans="1:2" x14ac:dyDescent="0.25">
      <c r="A263" s="14">
        <v>91650000</v>
      </c>
      <c r="B263" s="15" t="s">
        <v>493</v>
      </c>
    </row>
    <row r="264" spans="1:2" x14ac:dyDescent="0.25">
      <c r="A264" s="14">
        <v>91915000</v>
      </c>
      <c r="B264" s="15" t="s">
        <v>493</v>
      </c>
    </row>
    <row r="265" spans="1:2" x14ac:dyDescent="0.25">
      <c r="A265" s="14">
        <v>92117000</v>
      </c>
      <c r="B265" s="15" t="s">
        <v>493</v>
      </c>
    </row>
    <row r="266" spans="1:2" x14ac:dyDescent="0.25">
      <c r="A266" s="14">
        <v>92475000</v>
      </c>
      <c r="B266" s="15" t="s">
        <v>493</v>
      </c>
    </row>
    <row r="267" spans="1:2" x14ac:dyDescent="0.25">
      <c r="A267" s="14">
        <v>93458000</v>
      </c>
      <c r="B267" s="15" t="s">
        <v>493</v>
      </c>
    </row>
    <row r="268" spans="1:2" x14ac:dyDescent="0.25">
      <c r="A268" s="14">
        <v>93565000</v>
      </c>
      <c r="B268" s="15" t="s">
        <v>493</v>
      </c>
    </row>
    <row r="269" spans="1:2" x14ac:dyDescent="0.25">
      <c r="A269" s="14">
        <v>93641000</v>
      </c>
      <c r="B269" s="15" t="s">
        <v>493</v>
      </c>
    </row>
    <row r="270" spans="1:2" x14ac:dyDescent="0.25">
      <c r="A270" s="14">
        <v>93658000</v>
      </c>
      <c r="B270" s="15" t="s">
        <v>493</v>
      </c>
    </row>
    <row r="271" spans="1:2" x14ac:dyDescent="0.25">
      <c r="A271" s="14">
        <v>93770000</v>
      </c>
      <c r="B271" s="15" t="s">
        <v>493</v>
      </c>
    </row>
    <row r="272" spans="1:2" x14ac:dyDescent="0.25">
      <c r="A272" s="14">
        <v>94045000</v>
      </c>
      <c r="B272" s="15" t="s">
        <v>493</v>
      </c>
    </row>
    <row r="273" spans="1:2" x14ac:dyDescent="0.25">
      <c r="A273" s="14">
        <v>94271000</v>
      </c>
      <c r="B273" s="15" t="s">
        <v>493</v>
      </c>
    </row>
    <row r="274" spans="1:2" x14ac:dyDescent="0.25">
      <c r="A274" s="14">
        <v>94528000</v>
      </c>
      <c r="B274" s="15" t="s">
        <v>493</v>
      </c>
    </row>
    <row r="275" spans="1:2" x14ac:dyDescent="0.25">
      <c r="A275" s="14">
        <v>94675000</v>
      </c>
      <c r="B275" s="15" t="s">
        <v>493</v>
      </c>
    </row>
    <row r="276" spans="1:2" x14ac:dyDescent="0.25">
      <c r="A276" s="14">
        <v>94995000</v>
      </c>
      <c r="B276" s="15" t="s">
        <v>493</v>
      </c>
    </row>
    <row r="277" spans="1:2" x14ac:dyDescent="0.25">
      <c r="A277" s="14">
        <v>95304000</v>
      </c>
      <c r="B277" s="15" t="s">
        <v>493</v>
      </c>
    </row>
    <row r="278" spans="1:2" x14ac:dyDescent="0.25">
      <c r="A278" s="14">
        <v>95714000</v>
      </c>
      <c r="B278" s="15" t="s">
        <v>493</v>
      </c>
    </row>
    <row r="279" spans="1:2" x14ac:dyDescent="0.25">
      <c r="A279" s="14">
        <v>96504980</v>
      </c>
      <c r="B279" s="15" t="s">
        <v>493</v>
      </c>
    </row>
    <row r="280" spans="1:2" x14ac:dyDescent="0.25">
      <c r="A280" s="14">
        <v>96505760</v>
      </c>
      <c r="B280" s="15" t="s">
        <v>493</v>
      </c>
    </row>
    <row r="281" spans="1:2" x14ac:dyDescent="0.25">
      <c r="A281" s="14">
        <v>96510970</v>
      </c>
      <c r="B281" s="15" t="s">
        <v>493</v>
      </c>
    </row>
    <row r="282" spans="1:2" x14ac:dyDescent="0.25">
      <c r="A282" s="14">
        <v>96519800</v>
      </c>
      <c r="B282" s="15" t="s">
        <v>493</v>
      </c>
    </row>
    <row r="283" spans="1:2" x14ac:dyDescent="0.25">
      <c r="A283" s="14">
        <v>96522300</v>
      </c>
      <c r="B283" s="15" t="s">
        <v>493</v>
      </c>
    </row>
    <row r="284" spans="1:2" x14ac:dyDescent="0.25">
      <c r="A284" s="14">
        <v>96529310</v>
      </c>
      <c r="B284" s="15" t="s">
        <v>493</v>
      </c>
    </row>
    <row r="285" spans="1:2" x14ac:dyDescent="0.25">
      <c r="A285" s="14">
        <v>96532330</v>
      </c>
      <c r="B285" s="15" t="s">
        <v>493</v>
      </c>
    </row>
    <row r="286" spans="1:2" x14ac:dyDescent="0.25">
      <c r="A286" s="14">
        <v>96541920</v>
      </c>
      <c r="B286" s="15" t="s">
        <v>493</v>
      </c>
    </row>
    <row r="287" spans="1:2" x14ac:dyDescent="0.25">
      <c r="A287" s="14">
        <v>96542120</v>
      </c>
      <c r="B287" s="15" t="s">
        <v>493</v>
      </c>
    </row>
    <row r="288" spans="1:2" x14ac:dyDescent="0.25">
      <c r="A288" s="14">
        <v>96543670</v>
      </c>
      <c r="B288" s="15" t="s">
        <v>493</v>
      </c>
    </row>
    <row r="289" spans="1:2" x14ac:dyDescent="0.25">
      <c r="A289" s="14">
        <v>96567040</v>
      </c>
      <c r="B289" s="15" t="s">
        <v>493</v>
      </c>
    </row>
    <row r="290" spans="1:2" x14ac:dyDescent="0.25">
      <c r="A290" s="14">
        <v>96572360</v>
      </c>
      <c r="B290" s="15" t="s">
        <v>493</v>
      </c>
    </row>
    <row r="291" spans="1:2" x14ac:dyDescent="0.25">
      <c r="A291" s="14">
        <v>96572370</v>
      </c>
      <c r="B291" s="15" t="s">
        <v>493</v>
      </c>
    </row>
    <row r="292" spans="1:2" x14ac:dyDescent="0.25">
      <c r="A292" s="14">
        <v>96573780</v>
      </c>
      <c r="B292" s="15" t="s">
        <v>493</v>
      </c>
    </row>
    <row r="293" spans="1:2" x14ac:dyDescent="0.25">
      <c r="A293" s="14">
        <v>96588560</v>
      </c>
      <c r="B293" s="15" t="s">
        <v>493</v>
      </c>
    </row>
    <row r="294" spans="1:2" x14ac:dyDescent="0.25">
      <c r="A294" s="14">
        <v>96591040</v>
      </c>
      <c r="B294" s="15" t="s">
        <v>493</v>
      </c>
    </row>
    <row r="295" spans="1:2" x14ac:dyDescent="0.25">
      <c r="A295" s="14">
        <v>96653650</v>
      </c>
      <c r="B295" s="15" t="s">
        <v>493</v>
      </c>
    </row>
    <row r="296" spans="1:2" x14ac:dyDescent="0.25">
      <c r="A296" s="14">
        <v>96656660</v>
      </c>
      <c r="B296" s="15" t="s">
        <v>493</v>
      </c>
    </row>
    <row r="297" spans="1:2" x14ac:dyDescent="0.25">
      <c r="A297" s="14">
        <v>96666220</v>
      </c>
      <c r="B297" s="15" t="s">
        <v>493</v>
      </c>
    </row>
    <row r="298" spans="1:2" x14ac:dyDescent="0.25">
      <c r="A298" s="14">
        <v>96667560</v>
      </c>
      <c r="B298" s="15" t="s">
        <v>493</v>
      </c>
    </row>
    <row r="299" spans="1:2" x14ac:dyDescent="0.25">
      <c r="A299" s="14">
        <v>76107905</v>
      </c>
      <c r="B299" s="15" t="s">
        <v>493</v>
      </c>
    </row>
    <row r="300" spans="1:2" x14ac:dyDescent="0.25">
      <c r="A300" s="14">
        <v>96672640</v>
      </c>
      <c r="B300" s="15" t="s">
        <v>493</v>
      </c>
    </row>
    <row r="301" spans="1:2" x14ac:dyDescent="0.25">
      <c r="A301" s="14">
        <v>96677260</v>
      </c>
      <c r="B301" s="15" t="s">
        <v>493</v>
      </c>
    </row>
    <row r="302" spans="1:2" x14ac:dyDescent="0.25">
      <c r="A302" s="14">
        <v>96697710</v>
      </c>
      <c r="B302" s="15" t="s">
        <v>493</v>
      </c>
    </row>
    <row r="303" spans="1:2" x14ac:dyDescent="0.25">
      <c r="A303" s="14">
        <v>96706220</v>
      </c>
      <c r="B303" s="15" t="s">
        <v>493</v>
      </c>
    </row>
    <row r="304" spans="1:2" x14ac:dyDescent="0.25">
      <c r="A304" s="14">
        <v>96711100</v>
      </c>
      <c r="B304" s="15" t="s">
        <v>493</v>
      </c>
    </row>
    <row r="305" spans="1:2" x14ac:dyDescent="0.25">
      <c r="A305" s="14">
        <v>96711590</v>
      </c>
      <c r="B305" s="15" t="s">
        <v>493</v>
      </c>
    </row>
    <row r="306" spans="1:2" x14ac:dyDescent="0.25">
      <c r="A306" s="14">
        <v>96717980</v>
      </c>
      <c r="B306" s="15" t="s">
        <v>493</v>
      </c>
    </row>
    <row r="307" spans="1:2" x14ac:dyDescent="0.25">
      <c r="A307" s="14">
        <v>96719210</v>
      </c>
      <c r="B307" s="15" t="s">
        <v>493</v>
      </c>
    </row>
    <row r="308" spans="1:2" x14ac:dyDescent="0.25">
      <c r="A308" s="14">
        <v>96725460</v>
      </c>
      <c r="B308" s="15" t="s">
        <v>493</v>
      </c>
    </row>
    <row r="309" spans="1:2" x14ac:dyDescent="0.25">
      <c r="A309" s="14">
        <v>96731500</v>
      </c>
      <c r="B309" s="15" t="s">
        <v>493</v>
      </c>
    </row>
    <row r="310" spans="1:2" x14ac:dyDescent="0.25">
      <c r="A310" s="14">
        <v>96731890</v>
      </c>
      <c r="B310" s="15" t="s">
        <v>493</v>
      </c>
    </row>
    <row r="311" spans="1:2" x14ac:dyDescent="0.25">
      <c r="A311" s="14">
        <v>96752730</v>
      </c>
      <c r="B311" s="15" t="s">
        <v>493</v>
      </c>
    </row>
    <row r="312" spans="1:2" x14ac:dyDescent="0.25">
      <c r="A312" s="14">
        <v>96756310</v>
      </c>
      <c r="B312" s="15" t="s">
        <v>493</v>
      </c>
    </row>
    <row r="313" spans="1:2" x14ac:dyDescent="0.25">
      <c r="A313" s="14">
        <v>96756320</v>
      </c>
      <c r="B313" s="15" t="s">
        <v>493</v>
      </c>
    </row>
    <row r="314" spans="1:2" x14ac:dyDescent="0.25">
      <c r="A314" s="14">
        <v>96756430</v>
      </c>
      <c r="B314" s="15" t="s">
        <v>493</v>
      </c>
    </row>
    <row r="315" spans="1:2" x14ac:dyDescent="0.25">
      <c r="A315" s="14">
        <v>96757710</v>
      </c>
      <c r="B315" s="15" t="s">
        <v>493</v>
      </c>
    </row>
    <row r="316" spans="1:2" x14ac:dyDescent="0.25">
      <c r="A316" s="14">
        <v>96766340</v>
      </c>
      <c r="B316" s="15" t="s">
        <v>493</v>
      </c>
    </row>
    <row r="317" spans="1:2" x14ac:dyDescent="0.25">
      <c r="A317" s="14">
        <v>96773290</v>
      </c>
      <c r="B317" s="15" t="s">
        <v>493</v>
      </c>
    </row>
    <row r="318" spans="1:2" x14ac:dyDescent="0.25">
      <c r="A318" s="14">
        <v>96780490</v>
      </c>
      <c r="B318" s="15" t="s">
        <v>493</v>
      </c>
    </row>
    <row r="319" spans="1:2" x14ac:dyDescent="0.25">
      <c r="A319" s="14">
        <v>96783910</v>
      </c>
      <c r="B319" s="15" t="s">
        <v>493</v>
      </c>
    </row>
    <row r="320" spans="1:2" x14ac:dyDescent="0.25">
      <c r="A320" s="14">
        <v>96791560</v>
      </c>
      <c r="B320" s="15" t="s">
        <v>493</v>
      </c>
    </row>
    <row r="321" spans="1:2" x14ac:dyDescent="0.25">
      <c r="A321" s="14">
        <v>96791730</v>
      </c>
      <c r="B321" s="15" t="s">
        <v>493</v>
      </c>
    </row>
    <row r="322" spans="1:2" x14ac:dyDescent="0.25">
      <c r="A322" s="14">
        <v>96792430</v>
      </c>
      <c r="B322" s="15" t="s">
        <v>493</v>
      </c>
    </row>
    <row r="323" spans="1:2" x14ac:dyDescent="0.25">
      <c r="A323" s="14">
        <v>96799250</v>
      </c>
      <c r="B323" s="15" t="s">
        <v>493</v>
      </c>
    </row>
    <row r="324" spans="1:2" x14ac:dyDescent="0.25">
      <c r="A324" s="14">
        <v>96799790</v>
      </c>
      <c r="B324" s="15" t="s">
        <v>493</v>
      </c>
    </row>
    <row r="325" spans="1:2" x14ac:dyDescent="0.25">
      <c r="A325" s="14">
        <v>96800460</v>
      </c>
      <c r="B325" s="15" t="s">
        <v>493</v>
      </c>
    </row>
    <row r="326" spans="1:2" x14ac:dyDescent="0.25">
      <c r="A326" s="14">
        <v>96800570</v>
      </c>
      <c r="B326" s="15" t="s">
        <v>493</v>
      </c>
    </row>
    <row r="327" spans="1:2" x14ac:dyDescent="0.25">
      <c r="A327" s="14">
        <v>96816220</v>
      </c>
      <c r="B327" s="15" t="s">
        <v>493</v>
      </c>
    </row>
    <row r="328" spans="1:2" x14ac:dyDescent="0.25">
      <c r="A328" s="14">
        <v>96824970</v>
      </c>
      <c r="B328" s="15" t="s">
        <v>493</v>
      </c>
    </row>
    <row r="329" spans="1:2" x14ac:dyDescent="0.25">
      <c r="A329" s="14">
        <v>96828120</v>
      </c>
      <c r="B329" s="15" t="s">
        <v>493</v>
      </c>
    </row>
    <row r="330" spans="1:2" x14ac:dyDescent="0.25">
      <c r="A330" s="14">
        <v>96837950</v>
      </c>
      <c r="B330" s="15" t="s">
        <v>493</v>
      </c>
    </row>
    <row r="331" spans="1:2" x14ac:dyDescent="0.25">
      <c r="A331" s="14">
        <v>96843130</v>
      </c>
      <c r="B331" s="15" t="s">
        <v>493</v>
      </c>
    </row>
    <row r="332" spans="1:2" x14ac:dyDescent="0.25">
      <c r="A332" s="14">
        <v>96843140</v>
      </c>
      <c r="B332" s="15" t="s">
        <v>493</v>
      </c>
    </row>
    <row r="333" spans="1:2" x14ac:dyDescent="0.25">
      <c r="A333" s="14">
        <v>96847320</v>
      </c>
      <c r="B333" s="15" t="s">
        <v>493</v>
      </c>
    </row>
    <row r="334" spans="1:2" x14ac:dyDescent="0.25">
      <c r="A334" s="14">
        <v>96853150</v>
      </c>
      <c r="B334" s="15" t="s">
        <v>493</v>
      </c>
    </row>
    <row r="335" spans="1:2" x14ac:dyDescent="0.25">
      <c r="A335" s="14">
        <v>96854000</v>
      </c>
      <c r="B335" s="15" t="s">
        <v>493</v>
      </c>
    </row>
    <row r="336" spans="1:2" x14ac:dyDescent="0.25">
      <c r="A336" s="14">
        <v>96858530</v>
      </c>
      <c r="B336" s="15" t="s">
        <v>493</v>
      </c>
    </row>
    <row r="337" spans="1:2" x14ac:dyDescent="0.25">
      <c r="A337" s="14">
        <v>96863570</v>
      </c>
      <c r="B337" s="15" t="s">
        <v>493</v>
      </c>
    </row>
    <row r="338" spans="1:2" x14ac:dyDescent="0.25">
      <c r="A338" s="14">
        <v>96870780</v>
      </c>
      <c r="B338" s="15" t="s">
        <v>493</v>
      </c>
    </row>
    <row r="339" spans="1:2" x14ac:dyDescent="0.25">
      <c r="A339" s="14">
        <v>96891890</v>
      </c>
      <c r="B339" s="15" t="s">
        <v>493</v>
      </c>
    </row>
    <row r="340" spans="1:2" x14ac:dyDescent="0.25">
      <c r="A340" s="14">
        <v>96902900</v>
      </c>
      <c r="B340" s="15" t="s">
        <v>493</v>
      </c>
    </row>
    <row r="341" spans="1:2" x14ac:dyDescent="0.25">
      <c r="A341" s="14">
        <v>96904770</v>
      </c>
      <c r="B341" s="15" t="s">
        <v>493</v>
      </c>
    </row>
    <row r="342" spans="1:2" x14ac:dyDescent="0.25">
      <c r="A342" s="14">
        <v>96907730</v>
      </c>
      <c r="B342" s="15" t="s">
        <v>493</v>
      </c>
    </row>
    <row r="343" spans="1:2" x14ac:dyDescent="0.25">
      <c r="A343" s="14">
        <v>96912590</v>
      </c>
      <c r="B343" s="15" t="s">
        <v>493</v>
      </c>
    </row>
    <row r="344" spans="1:2" x14ac:dyDescent="0.25">
      <c r="A344" s="14">
        <v>96919980</v>
      </c>
      <c r="B344" s="15" t="s">
        <v>493</v>
      </c>
    </row>
    <row r="345" spans="1:2" x14ac:dyDescent="0.25">
      <c r="A345" s="14">
        <v>96920110</v>
      </c>
      <c r="B345" s="15" t="s">
        <v>493</v>
      </c>
    </row>
    <row r="346" spans="1:2" x14ac:dyDescent="0.25">
      <c r="A346" s="14">
        <v>96928510</v>
      </c>
      <c r="B346" s="15" t="s">
        <v>493</v>
      </c>
    </row>
    <row r="347" spans="1:2" x14ac:dyDescent="0.25">
      <c r="A347" s="14">
        <v>96931780</v>
      </c>
      <c r="B347" s="15" t="s">
        <v>493</v>
      </c>
    </row>
    <row r="348" spans="1:2" x14ac:dyDescent="0.25">
      <c r="A348" s="14">
        <v>96937580</v>
      </c>
      <c r="B348" s="15" t="s">
        <v>493</v>
      </c>
    </row>
    <row r="349" spans="1:2" x14ac:dyDescent="0.25">
      <c r="A349" s="14">
        <v>96938840</v>
      </c>
      <c r="B349" s="15" t="s">
        <v>493</v>
      </c>
    </row>
    <row r="350" spans="1:2" x14ac:dyDescent="0.25">
      <c r="A350" s="14">
        <v>96940320</v>
      </c>
      <c r="B350" s="15" t="s">
        <v>493</v>
      </c>
    </row>
    <row r="351" spans="1:2" x14ac:dyDescent="0.25">
      <c r="A351" s="14">
        <v>96945210</v>
      </c>
      <c r="B351" s="15" t="s">
        <v>493</v>
      </c>
    </row>
    <row r="352" spans="1:2" x14ac:dyDescent="0.25">
      <c r="A352" s="14">
        <v>96951230</v>
      </c>
      <c r="B352" s="15" t="s">
        <v>493</v>
      </c>
    </row>
    <row r="353" spans="1:2" x14ac:dyDescent="0.25">
      <c r="A353" s="14">
        <v>96964360</v>
      </c>
      <c r="B353" s="15" t="s">
        <v>493</v>
      </c>
    </row>
    <row r="354" spans="1:2" x14ac:dyDescent="0.25">
      <c r="A354" s="14">
        <v>96967550</v>
      </c>
      <c r="B354" s="15" t="s">
        <v>493</v>
      </c>
    </row>
    <row r="355" spans="1:2" x14ac:dyDescent="0.25">
      <c r="A355" s="14">
        <v>96969180</v>
      </c>
      <c r="B355" s="15" t="s">
        <v>493</v>
      </c>
    </row>
    <row r="356" spans="1:2" x14ac:dyDescent="0.25">
      <c r="A356" s="14">
        <v>96974320</v>
      </c>
      <c r="B356" s="15" t="s">
        <v>493</v>
      </c>
    </row>
    <row r="357" spans="1:2" x14ac:dyDescent="0.25">
      <c r="A357" s="14">
        <v>96976920</v>
      </c>
      <c r="B357" s="15" t="s">
        <v>493</v>
      </c>
    </row>
    <row r="358" spans="1:2" x14ac:dyDescent="0.25">
      <c r="A358" s="14">
        <v>96981310</v>
      </c>
      <c r="B358" s="15" t="s">
        <v>493</v>
      </c>
    </row>
    <row r="359" spans="1:2" x14ac:dyDescent="0.25">
      <c r="A359" s="14">
        <v>96989120</v>
      </c>
      <c r="B359" s="15" t="s">
        <v>493</v>
      </c>
    </row>
    <row r="360" spans="1:2" x14ac:dyDescent="0.25">
      <c r="A360" s="14">
        <v>96990050</v>
      </c>
      <c r="B360" s="15" t="s">
        <v>493</v>
      </c>
    </row>
    <row r="361" spans="1:2" x14ac:dyDescent="0.25">
      <c r="A361" s="14">
        <v>96993110</v>
      </c>
      <c r="B361" s="15" t="s">
        <v>493</v>
      </c>
    </row>
    <row r="362" spans="1:2" x14ac:dyDescent="0.25">
      <c r="A362" s="14">
        <v>97947000</v>
      </c>
      <c r="B362" s="15" t="s">
        <v>493</v>
      </c>
    </row>
    <row r="363" spans="1:2" x14ac:dyDescent="0.25">
      <c r="A363" s="14">
        <v>98001200</v>
      </c>
      <c r="B363" s="15" t="s">
        <v>493</v>
      </c>
    </row>
    <row r="364" spans="1:2" x14ac:dyDescent="0.25">
      <c r="A364" s="14">
        <v>99501760</v>
      </c>
      <c r="B364" s="15" t="s">
        <v>493</v>
      </c>
    </row>
    <row r="365" spans="1:2" x14ac:dyDescent="0.25">
      <c r="A365" s="14">
        <v>99511310</v>
      </c>
      <c r="B365" s="15" t="s">
        <v>493</v>
      </c>
    </row>
    <row r="366" spans="1:2" x14ac:dyDescent="0.25">
      <c r="A366" s="14">
        <v>99513400</v>
      </c>
      <c r="B366" s="15" t="s">
        <v>493</v>
      </c>
    </row>
    <row r="367" spans="1:2" x14ac:dyDescent="0.25">
      <c r="A367" s="14">
        <v>99531920</v>
      </c>
      <c r="B367" s="15" t="s">
        <v>493</v>
      </c>
    </row>
    <row r="368" spans="1:2" x14ac:dyDescent="0.25">
      <c r="A368" s="14">
        <v>99532160</v>
      </c>
      <c r="B368" s="15" t="s">
        <v>493</v>
      </c>
    </row>
    <row r="369" spans="1:2" x14ac:dyDescent="0.25">
      <c r="A369" s="14">
        <v>99541380</v>
      </c>
      <c r="B369" s="15" t="s">
        <v>493</v>
      </c>
    </row>
    <row r="370" spans="1:2" x14ac:dyDescent="0.25">
      <c r="A370" s="14">
        <v>99542980</v>
      </c>
      <c r="B370" s="15" t="s">
        <v>493</v>
      </c>
    </row>
    <row r="371" spans="1:2" x14ac:dyDescent="0.25">
      <c r="A371" s="14">
        <v>99554560</v>
      </c>
      <c r="B371" s="15" t="s">
        <v>493</v>
      </c>
    </row>
    <row r="372" spans="1:2" x14ac:dyDescent="0.25">
      <c r="A372" s="14">
        <v>99556170</v>
      </c>
      <c r="B372" s="15" t="s">
        <v>493</v>
      </c>
    </row>
    <row r="373" spans="1:2" x14ac:dyDescent="0.25">
      <c r="A373" s="14">
        <v>99575630</v>
      </c>
      <c r="B373" s="15" t="s">
        <v>493</v>
      </c>
    </row>
    <row r="374" spans="1:2" x14ac:dyDescent="0.25">
      <c r="A374" s="14">
        <v>99579260</v>
      </c>
      <c r="B374" s="15" t="s">
        <v>493</v>
      </c>
    </row>
    <row r="375" spans="1:2" x14ac:dyDescent="0.25">
      <c r="A375" s="14">
        <v>99586280</v>
      </c>
      <c r="B375" s="15" t="s">
        <v>493</v>
      </c>
    </row>
    <row r="376" spans="1:2" x14ac:dyDescent="0.25">
      <c r="A376" s="14">
        <v>99590140</v>
      </c>
      <c r="B376" s="15" t="s">
        <v>493</v>
      </c>
    </row>
    <row r="377" spans="1:2" x14ac:dyDescent="0.25">
      <c r="A377" s="14">
        <v>99595770</v>
      </c>
      <c r="B377" s="15" t="s">
        <v>493</v>
      </c>
    </row>
    <row r="378" spans="1:2" x14ac:dyDescent="0.25">
      <c r="A378" s="14">
        <v>99597250</v>
      </c>
      <c r="B378" s="15" t="s">
        <v>493</v>
      </c>
    </row>
    <row r="379" spans="1:2" x14ac:dyDescent="0.25">
      <c r="A379" s="14">
        <v>99597800</v>
      </c>
      <c r="B379" s="15" t="s">
        <v>493</v>
      </c>
    </row>
    <row r="380" spans="1:2" x14ac:dyDescent="0.25">
      <c r="A380" s="14">
        <v>99597870</v>
      </c>
      <c r="B380" s="15" t="s">
        <v>493</v>
      </c>
    </row>
    <row r="381" spans="1:2" x14ac:dyDescent="0.25">
      <c r="A381" s="14">
        <v>99598510</v>
      </c>
      <c r="B381" s="15" t="s">
        <v>493</v>
      </c>
    </row>
    <row r="382" spans="1:2" x14ac:dyDescent="0.25">
      <c r="A382" s="14">
        <v>99598900</v>
      </c>
      <c r="B382" s="15" t="s">
        <v>493</v>
      </c>
    </row>
    <row r="383" spans="1:2" x14ac:dyDescent="0.25">
      <c r="A383" s="14">
        <v>99599340</v>
      </c>
      <c r="B383" s="15" t="s">
        <v>493</v>
      </c>
    </row>
    <row r="384" spans="1:2" x14ac:dyDescent="0.25">
      <c r="A384" s="14">
        <v>99599760</v>
      </c>
      <c r="B384" s="15" t="s">
        <v>493</v>
      </c>
    </row>
    <row r="385" spans="1:2" x14ac:dyDescent="0.25">
      <c r="A385" s="14">
        <v>76229971</v>
      </c>
      <c r="B385" s="15" t="s">
        <v>493</v>
      </c>
    </row>
    <row r="386" spans="1:2" x14ac:dyDescent="0.25">
      <c r="A386" s="14">
        <v>77070342</v>
      </c>
      <c r="B386" s="15" t="s">
        <v>493</v>
      </c>
    </row>
    <row r="387" spans="1:2" x14ac:dyDescent="0.25">
      <c r="A387" s="14">
        <v>96691680</v>
      </c>
      <c r="B387" s="15" t="s">
        <v>493</v>
      </c>
    </row>
    <row r="388" spans="1:2" x14ac:dyDescent="0.25">
      <c r="A388" s="14">
        <v>76212492</v>
      </c>
      <c r="B388" s="15" t="s">
        <v>493</v>
      </c>
    </row>
    <row r="389" spans="1:2" x14ac:dyDescent="0.25">
      <c r="A389" s="14">
        <v>76896732</v>
      </c>
      <c r="B389" s="15" t="s">
        <v>493</v>
      </c>
    </row>
    <row r="390" spans="1:2" x14ac:dyDescent="0.25">
      <c r="A390" s="14">
        <v>96798520</v>
      </c>
      <c r="B390" s="15" t="s">
        <v>493</v>
      </c>
    </row>
    <row r="391" spans="1:2" x14ac:dyDescent="0.25">
      <c r="A391" s="14">
        <v>96809310</v>
      </c>
      <c r="B391" s="15" t="s">
        <v>493</v>
      </c>
    </row>
    <row r="392" spans="1:2" x14ac:dyDescent="0.25">
      <c r="A392" s="14">
        <v>84000000</v>
      </c>
      <c r="B392" s="15" t="s">
        <v>493</v>
      </c>
    </row>
    <row r="393" spans="1:2" x14ac:dyDescent="0.25">
      <c r="A393" s="14">
        <v>77359579</v>
      </c>
      <c r="B393" s="15" t="s">
        <v>493</v>
      </c>
    </row>
    <row r="394" spans="1:2" x14ac:dyDescent="0.25">
      <c r="A394" s="14">
        <v>97080000</v>
      </c>
      <c r="B394" s="15" t="s">
        <v>493</v>
      </c>
    </row>
    <row r="395" spans="1:2" x14ac:dyDescent="0.25">
      <c r="A395" s="14">
        <v>82040600</v>
      </c>
      <c r="B395" s="15" t="s">
        <v>493</v>
      </c>
    </row>
    <row r="396" spans="1:2" x14ac:dyDescent="0.25">
      <c r="A396" s="14">
        <v>76882330</v>
      </c>
      <c r="B396" s="15" t="s">
        <v>493</v>
      </c>
    </row>
    <row r="397" spans="1:2" x14ac:dyDescent="0.25">
      <c r="A397" s="14">
        <v>77575984</v>
      </c>
      <c r="B397" s="15" t="s">
        <v>493</v>
      </c>
    </row>
    <row r="398" spans="1:2" x14ac:dyDescent="0.25">
      <c r="A398" s="14">
        <v>99555550</v>
      </c>
      <c r="B398" s="15" t="s">
        <v>493</v>
      </c>
    </row>
    <row r="399" spans="1:2" x14ac:dyDescent="0.25">
      <c r="A399" s="14">
        <v>76766227</v>
      </c>
      <c r="B399" s="15" t="s">
        <v>493</v>
      </c>
    </row>
    <row r="400" spans="1:2" x14ac:dyDescent="0.25">
      <c r="A400" s="14">
        <v>76102677</v>
      </c>
      <c r="B400" s="15" t="s">
        <v>493</v>
      </c>
    </row>
    <row r="401" spans="1:2" x14ac:dyDescent="0.25">
      <c r="A401" s="14">
        <v>96609320</v>
      </c>
      <c r="B401" s="15" t="s">
        <v>493</v>
      </c>
    </row>
    <row r="402" spans="1:2" x14ac:dyDescent="0.25">
      <c r="A402" s="14">
        <v>76204126</v>
      </c>
      <c r="B402" s="15" t="s">
        <v>493</v>
      </c>
    </row>
    <row r="403" spans="1:2" x14ac:dyDescent="0.25">
      <c r="A403" s="14">
        <v>76677280</v>
      </c>
      <c r="B403" s="15" t="s">
        <v>493</v>
      </c>
    </row>
    <row r="404" spans="1:2" x14ac:dyDescent="0.25">
      <c r="A404" s="14">
        <v>90703000</v>
      </c>
      <c r="B404" s="15" t="s">
        <v>493</v>
      </c>
    </row>
    <row r="405" spans="1:2" x14ac:dyDescent="0.25">
      <c r="A405" s="14">
        <v>96908870</v>
      </c>
      <c r="B405" s="15" t="s">
        <v>493</v>
      </c>
    </row>
    <row r="406" spans="1:2" x14ac:dyDescent="0.25">
      <c r="A406" s="14">
        <v>76466068</v>
      </c>
      <c r="B406" s="15" t="s">
        <v>493</v>
      </c>
    </row>
    <row r="407" spans="1:2" x14ac:dyDescent="0.25">
      <c r="A407" s="14">
        <v>77695987</v>
      </c>
      <c r="B407" s="15" t="s">
        <v>493</v>
      </c>
    </row>
    <row r="408" spans="1:2" x14ac:dyDescent="0.25">
      <c r="A408" s="14">
        <v>77647060</v>
      </c>
      <c r="B408" s="15" t="s">
        <v>493</v>
      </c>
    </row>
    <row r="409" spans="1:2" x14ac:dyDescent="0.25">
      <c r="A409" s="14">
        <v>96831620</v>
      </c>
      <c r="B409" s="15" t="s">
        <v>493</v>
      </c>
    </row>
    <row r="410" spans="1:2" x14ac:dyDescent="0.25">
      <c r="A410" s="14">
        <v>99289000</v>
      </c>
      <c r="B410" s="15" t="s">
        <v>493</v>
      </c>
    </row>
    <row r="411" spans="1:2" x14ac:dyDescent="0.25">
      <c r="A411" s="14">
        <v>92048000</v>
      </c>
      <c r="B411" s="15" t="s">
        <v>493</v>
      </c>
    </row>
    <row r="412" spans="1:2" x14ac:dyDescent="0.25">
      <c r="A412" s="14">
        <v>77594527</v>
      </c>
      <c r="B412" s="15" t="s">
        <v>493</v>
      </c>
    </row>
    <row r="413" spans="1:2" x14ac:dyDescent="0.25">
      <c r="A413" s="14">
        <v>77371811</v>
      </c>
      <c r="B413" s="15" t="s">
        <v>493</v>
      </c>
    </row>
    <row r="414" spans="1:2" x14ac:dyDescent="0.25">
      <c r="A414" s="14">
        <v>99514870</v>
      </c>
      <c r="B414" s="15" t="s">
        <v>493</v>
      </c>
    </row>
    <row r="415" spans="1:2" x14ac:dyDescent="0.25">
      <c r="A415" s="14">
        <v>88056400</v>
      </c>
      <c r="B415" s="15" t="s">
        <v>493</v>
      </c>
    </row>
    <row r="416" spans="1:2" x14ac:dyDescent="0.25">
      <c r="A416" s="14">
        <v>91637000</v>
      </c>
      <c r="B416" s="15" t="s">
        <v>493</v>
      </c>
    </row>
    <row r="417" spans="1:2" x14ac:dyDescent="0.25">
      <c r="A417" s="14">
        <v>96769070</v>
      </c>
      <c r="B417" s="15" t="s">
        <v>493</v>
      </c>
    </row>
    <row r="418" spans="1:2" x14ac:dyDescent="0.25">
      <c r="A418" s="14">
        <v>93628000</v>
      </c>
      <c r="B418" s="15" t="s">
        <v>493</v>
      </c>
    </row>
    <row r="419" spans="1:2" x14ac:dyDescent="0.25">
      <c r="A419" s="14">
        <v>77261318</v>
      </c>
      <c r="B419" s="15" t="s">
        <v>493</v>
      </c>
    </row>
    <row r="420" spans="1:2" x14ac:dyDescent="0.25">
      <c r="A420" s="14">
        <v>76850128</v>
      </c>
      <c r="B420" s="15" t="s">
        <v>493</v>
      </c>
    </row>
    <row r="421" spans="1:2" x14ac:dyDescent="0.25">
      <c r="A421" s="14">
        <v>71644300</v>
      </c>
      <c r="B421" s="15" t="s">
        <v>493</v>
      </c>
    </row>
    <row r="422" spans="1:2" x14ac:dyDescent="0.25">
      <c r="A422" s="14">
        <v>96917500</v>
      </c>
      <c r="B422" s="15" t="s">
        <v>493</v>
      </c>
    </row>
    <row r="423" spans="1:2" x14ac:dyDescent="0.25">
      <c r="A423" s="14">
        <v>96802690</v>
      </c>
      <c r="B423" s="15" t="s">
        <v>493</v>
      </c>
    </row>
    <row r="424" spans="1:2" x14ac:dyDescent="0.25">
      <c r="A424" s="14">
        <v>79588870</v>
      </c>
      <c r="B424" s="15" t="s">
        <v>493</v>
      </c>
    </row>
    <row r="425" spans="1:2" x14ac:dyDescent="0.25">
      <c r="A425" s="14">
        <v>59176960</v>
      </c>
      <c r="B425" s="15" t="s">
        <v>493</v>
      </c>
    </row>
    <row r="426" spans="1:2" x14ac:dyDescent="0.25">
      <c r="A426" s="14">
        <v>79797990</v>
      </c>
      <c r="B426" s="15" t="s">
        <v>493</v>
      </c>
    </row>
    <row r="427" spans="1:2" x14ac:dyDescent="0.25">
      <c r="A427" s="14">
        <v>96689310</v>
      </c>
      <c r="B427" s="15" t="s">
        <v>493</v>
      </c>
    </row>
    <row r="428" spans="1:2" x14ac:dyDescent="0.25">
      <c r="A428" s="14">
        <v>96955560</v>
      </c>
      <c r="B428" s="15" t="s">
        <v>493</v>
      </c>
    </row>
    <row r="429" spans="1:2" x14ac:dyDescent="0.25">
      <c r="A429" s="14">
        <v>69070300</v>
      </c>
      <c r="B429" s="15" t="s">
        <v>493</v>
      </c>
    </row>
    <row r="430" spans="1:2" x14ac:dyDescent="0.25">
      <c r="A430" s="14">
        <v>76418976</v>
      </c>
      <c r="B430" s="15" t="s">
        <v>493</v>
      </c>
    </row>
    <row r="431" spans="1:2" x14ac:dyDescent="0.25">
      <c r="A431" s="14">
        <v>76418918</v>
      </c>
      <c r="B431" s="15" t="s">
        <v>493</v>
      </c>
    </row>
    <row r="432" spans="1:2" x14ac:dyDescent="0.25">
      <c r="A432" s="14">
        <v>76418916</v>
      </c>
      <c r="B432" s="15" t="s">
        <v>493</v>
      </c>
    </row>
    <row r="433" spans="1:3" x14ac:dyDescent="0.25">
      <c r="A433" s="14">
        <v>76708710</v>
      </c>
      <c r="B433" s="15" t="s">
        <v>493</v>
      </c>
    </row>
    <row r="434" spans="1:3" s="18" customFormat="1" x14ac:dyDescent="0.25">
      <c r="A434" s="16">
        <v>76523610</v>
      </c>
      <c r="B434" s="17" t="s">
        <v>493</v>
      </c>
      <c r="C434" s="18" t="s">
        <v>2023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A84"/>
  <sheetViews>
    <sheetView topLeftCell="A58" workbookViewId="0">
      <selection activeCell="H84" sqref="H84"/>
    </sheetView>
  </sheetViews>
  <sheetFormatPr baseColWidth="10" defaultRowHeight="15" x14ac:dyDescent="0.25"/>
  <sheetData>
    <row r="1" spans="1:1" ht="15.75" thickBot="1" x14ac:dyDescent="0.3">
      <c r="A1" s="13" t="s">
        <v>4</v>
      </c>
    </row>
    <row r="2" spans="1:1" x14ac:dyDescent="0.25">
      <c r="A2" s="11">
        <v>59176960</v>
      </c>
    </row>
    <row r="3" spans="1:1" x14ac:dyDescent="0.25">
      <c r="A3" s="11">
        <v>76107905</v>
      </c>
    </row>
    <row r="4" spans="1:1" x14ac:dyDescent="0.25">
      <c r="A4" s="11">
        <v>59280390</v>
      </c>
    </row>
    <row r="5" spans="1:1" x14ac:dyDescent="0.25">
      <c r="A5" s="11">
        <v>61216000</v>
      </c>
    </row>
    <row r="6" spans="1:1" x14ac:dyDescent="0.25">
      <c r="A6" s="11">
        <v>61960100</v>
      </c>
    </row>
    <row r="7" spans="1:1" x14ac:dyDescent="0.25">
      <c r="A7" s="11">
        <v>65886170</v>
      </c>
    </row>
    <row r="8" spans="1:1" x14ac:dyDescent="0.25">
      <c r="A8" s="11">
        <v>70360100</v>
      </c>
    </row>
    <row r="9" spans="1:1" x14ac:dyDescent="0.25">
      <c r="A9" s="11">
        <v>71500500</v>
      </c>
    </row>
    <row r="10" spans="1:1" x14ac:dyDescent="0.25">
      <c r="A10" s="11">
        <v>71543200</v>
      </c>
    </row>
    <row r="11" spans="1:1" x14ac:dyDescent="0.25">
      <c r="A11" s="11">
        <v>71631900</v>
      </c>
    </row>
    <row r="12" spans="1:1" x14ac:dyDescent="0.25">
      <c r="A12" s="11">
        <v>71644300</v>
      </c>
    </row>
    <row r="13" spans="1:1" x14ac:dyDescent="0.25">
      <c r="A13" s="11">
        <v>76007212</v>
      </c>
    </row>
    <row r="14" spans="1:1" x14ac:dyDescent="0.25">
      <c r="A14" s="11">
        <v>76026848</v>
      </c>
    </row>
    <row r="15" spans="1:1" x14ac:dyDescent="0.25">
      <c r="A15" s="11">
        <v>76080246</v>
      </c>
    </row>
    <row r="16" spans="1:1" x14ac:dyDescent="0.25">
      <c r="A16" s="11">
        <v>76158513</v>
      </c>
    </row>
    <row r="17" spans="1:1" x14ac:dyDescent="0.25">
      <c r="A17" s="11">
        <v>76206822</v>
      </c>
    </row>
    <row r="18" spans="1:1" x14ac:dyDescent="0.25">
      <c r="A18" s="11">
        <v>76215637</v>
      </c>
    </row>
    <row r="19" spans="1:1" x14ac:dyDescent="0.25">
      <c r="A19" s="11">
        <v>76466068</v>
      </c>
    </row>
    <row r="20" spans="1:1" x14ac:dyDescent="0.25">
      <c r="A20" s="11">
        <v>76555400</v>
      </c>
    </row>
    <row r="21" spans="1:1" x14ac:dyDescent="0.25">
      <c r="A21" s="11">
        <v>76611528</v>
      </c>
    </row>
    <row r="22" spans="1:1" x14ac:dyDescent="0.25">
      <c r="A22" s="11">
        <v>76662490</v>
      </c>
    </row>
    <row r="23" spans="1:1" x14ac:dyDescent="0.25">
      <c r="A23" s="11">
        <v>76729932</v>
      </c>
    </row>
    <row r="24" spans="1:1" x14ac:dyDescent="0.25">
      <c r="A24" s="11">
        <v>76766227</v>
      </c>
    </row>
    <row r="25" spans="1:1" x14ac:dyDescent="0.25">
      <c r="A25" s="11">
        <v>76787690</v>
      </c>
    </row>
    <row r="26" spans="1:1" x14ac:dyDescent="0.25">
      <c r="A26" s="11">
        <v>76879551</v>
      </c>
    </row>
    <row r="27" spans="1:1" x14ac:dyDescent="0.25">
      <c r="A27" s="11">
        <v>76879562</v>
      </c>
    </row>
    <row r="28" spans="1:1" x14ac:dyDescent="0.25">
      <c r="A28" s="11">
        <v>76991836</v>
      </c>
    </row>
    <row r="29" spans="1:1" x14ac:dyDescent="0.25">
      <c r="A29" s="11">
        <v>77081402</v>
      </c>
    </row>
    <row r="30" spans="1:1" x14ac:dyDescent="0.25">
      <c r="A30" s="11">
        <v>77107585</v>
      </c>
    </row>
    <row r="31" spans="1:1" x14ac:dyDescent="0.25">
      <c r="A31" s="11">
        <v>77260520</v>
      </c>
    </row>
    <row r="32" spans="1:1" x14ac:dyDescent="0.25">
      <c r="A32" s="11">
        <v>77478120</v>
      </c>
    </row>
    <row r="33" spans="1:1" x14ac:dyDescent="0.25">
      <c r="A33" s="11">
        <v>77575984</v>
      </c>
    </row>
    <row r="34" spans="1:1" x14ac:dyDescent="0.25">
      <c r="A34" s="11">
        <v>77647060</v>
      </c>
    </row>
    <row r="35" spans="1:1" x14ac:dyDescent="0.25">
      <c r="A35" s="11">
        <v>77807840</v>
      </c>
    </row>
    <row r="36" spans="1:1" x14ac:dyDescent="0.25">
      <c r="A36" s="11">
        <v>78119320</v>
      </c>
    </row>
    <row r="37" spans="1:1" x14ac:dyDescent="0.25">
      <c r="A37" s="11">
        <v>78127000</v>
      </c>
    </row>
    <row r="38" spans="1:1" x14ac:dyDescent="0.25">
      <c r="A38" s="11">
        <v>78301280</v>
      </c>
    </row>
    <row r="39" spans="1:1" x14ac:dyDescent="0.25">
      <c r="A39" s="11">
        <v>78745900</v>
      </c>
    </row>
    <row r="40" spans="1:1" x14ac:dyDescent="0.25">
      <c r="A40" s="11">
        <v>79740770</v>
      </c>
    </row>
    <row r="41" spans="1:1" x14ac:dyDescent="0.25">
      <c r="A41" s="11">
        <v>79797990</v>
      </c>
    </row>
    <row r="42" spans="1:1" x14ac:dyDescent="0.25">
      <c r="A42" s="11">
        <v>79862750</v>
      </c>
    </row>
    <row r="43" spans="1:1" x14ac:dyDescent="0.25">
      <c r="A43" s="11">
        <v>81148200</v>
      </c>
    </row>
    <row r="44" spans="1:1" x14ac:dyDescent="0.25">
      <c r="A44" s="11">
        <v>81698900</v>
      </c>
    </row>
    <row r="45" spans="1:1" x14ac:dyDescent="0.25">
      <c r="A45" s="11">
        <v>85065600</v>
      </c>
    </row>
    <row r="46" spans="1:1" x14ac:dyDescent="0.25">
      <c r="A46" s="11">
        <v>85805200</v>
      </c>
    </row>
    <row r="47" spans="1:1" x14ac:dyDescent="0.25">
      <c r="A47" s="11">
        <v>85840100</v>
      </c>
    </row>
    <row r="48" spans="1:1" x14ac:dyDescent="0.25">
      <c r="A48" s="11">
        <v>86150200</v>
      </c>
    </row>
    <row r="49" spans="1:1" x14ac:dyDescent="0.25">
      <c r="A49" s="11">
        <v>86247400</v>
      </c>
    </row>
    <row r="50" spans="1:1" x14ac:dyDescent="0.25">
      <c r="A50" s="11">
        <v>86386700</v>
      </c>
    </row>
    <row r="51" spans="1:1" x14ac:dyDescent="0.25">
      <c r="A51" s="11">
        <v>86931000</v>
      </c>
    </row>
    <row r="52" spans="1:1" x14ac:dyDescent="0.25">
      <c r="A52" s="11">
        <v>87996400</v>
      </c>
    </row>
    <row r="53" spans="1:1" x14ac:dyDescent="0.25">
      <c r="A53" s="11">
        <v>88006900</v>
      </c>
    </row>
    <row r="54" spans="1:1" x14ac:dyDescent="0.25">
      <c r="A54" s="11">
        <v>88056400</v>
      </c>
    </row>
    <row r="55" spans="1:1" x14ac:dyDescent="0.25">
      <c r="A55" s="11">
        <v>90703000</v>
      </c>
    </row>
    <row r="56" spans="1:1" x14ac:dyDescent="0.25">
      <c r="A56" s="11">
        <v>91041000</v>
      </c>
    </row>
    <row r="57" spans="1:1" x14ac:dyDescent="0.25">
      <c r="A57" s="11">
        <v>91297000</v>
      </c>
    </row>
    <row r="58" spans="1:1" x14ac:dyDescent="0.25">
      <c r="A58" s="11">
        <v>91336000</v>
      </c>
    </row>
    <row r="59" spans="1:1" x14ac:dyDescent="0.25">
      <c r="A59" s="11">
        <v>91546000</v>
      </c>
    </row>
    <row r="60" spans="1:1" x14ac:dyDescent="0.25">
      <c r="A60" s="11">
        <v>91637000</v>
      </c>
    </row>
    <row r="61" spans="1:1" x14ac:dyDescent="0.25">
      <c r="A61" s="11">
        <v>91915000</v>
      </c>
    </row>
    <row r="62" spans="1:1" x14ac:dyDescent="0.25">
      <c r="A62" s="11">
        <v>92048000</v>
      </c>
    </row>
    <row r="63" spans="1:1" x14ac:dyDescent="0.25">
      <c r="A63" s="11">
        <v>93458000</v>
      </c>
    </row>
    <row r="64" spans="1:1" x14ac:dyDescent="0.25">
      <c r="A64" s="11">
        <v>94528000</v>
      </c>
    </row>
    <row r="65" spans="1:1" x14ac:dyDescent="0.25">
      <c r="A65" s="11">
        <v>94995000</v>
      </c>
    </row>
    <row r="66" spans="1:1" x14ac:dyDescent="0.25">
      <c r="A66" s="11">
        <v>96588560</v>
      </c>
    </row>
    <row r="67" spans="1:1" x14ac:dyDescent="0.25">
      <c r="A67" s="11">
        <v>96691680</v>
      </c>
    </row>
    <row r="68" spans="1:1" x14ac:dyDescent="0.25">
      <c r="A68" s="11">
        <v>96717980</v>
      </c>
    </row>
    <row r="69" spans="1:1" x14ac:dyDescent="0.25">
      <c r="A69" s="11">
        <v>96731500</v>
      </c>
    </row>
    <row r="70" spans="1:1" x14ac:dyDescent="0.25">
      <c r="A70" s="11">
        <v>96756310</v>
      </c>
    </row>
    <row r="71" spans="1:1" x14ac:dyDescent="0.25">
      <c r="A71" s="11">
        <v>96756320</v>
      </c>
    </row>
    <row r="72" spans="1:1" x14ac:dyDescent="0.25">
      <c r="A72" s="11">
        <v>96766340</v>
      </c>
    </row>
    <row r="73" spans="1:1" x14ac:dyDescent="0.25">
      <c r="A73" s="11">
        <v>96769070</v>
      </c>
    </row>
    <row r="74" spans="1:1" x14ac:dyDescent="0.25">
      <c r="A74" s="11">
        <v>96791730</v>
      </c>
    </row>
    <row r="75" spans="1:1" x14ac:dyDescent="0.25">
      <c r="A75" s="11">
        <v>96802690</v>
      </c>
    </row>
    <row r="76" spans="1:1" x14ac:dyDescent="0.25">
      <c r="A76" s="11">
        <v>96843130</v>
      </c>
    </row>
    <row r="77" spans="1:1" x14ac:dyDescent="0.25">
      <c r="A77" s="11">
        <v>96870780</v>
      </c>
    </row>
    <row r="78" spans="1:1" x14ac:dyDescent="0.25">
      <c r="A78" s="11">
        <v>96908880</v>
      </c>
    </row>
    <row r="79" spans="1:1" x14ac:dyDescent="0.25">
      <c r="A79" s="11">
        <v>96938840</v>
      </c>
    </row>
    <row r="80" spans="1:1" x14ac:dyDescent="0.25">
      <c r="A80" s="11">
        <v>96981310</v>
      </c>
    </row>
    <row r="81" spans="1:1" x14ac:dyDescent="0.25">
      <c r="A81" s="11">
        <v>96989120</v>
      </c>
    </row>
    <row r="82" spans="1:1" x14ac:dyDescent="0.25">
      <c r="A82" s="11">
        <v>99554560</v>
      </c>
    </row>
    <row r="83" spans="1:1" x14ac:dyDescent="0.25">
      <c r="A83" s="11">
        <v>99579260</v>
      </c>
    </row>
    <row r="84" spans="1:1" ht="15.75" thickBot="1" x14ac:dyDescent="0.3">
      <c r="A84" s="12">
        <v>99597800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>
    <tabColor theme="9" tint="0.39997558519241921"/>
  </sheetPr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2</v>
      </c>
      <c r="B1" s="3" t="s">
        <v>1</v>
      </c>
      <c r="C1" s="3" t="s">
        <v>484</v>
      </c>
      <c r="D1" s="3"/>
      <c r="E1" s="3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>
    <tabColor theme="8" tint="0.39997558519241921"/>
  </sheetPr>
  <dimension ref="A1"/>
  <sheetViews>
    <sheetView workbookViewId="0">
      <selection activeCell="L32" sqref="L32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'Ser-18'!DatosExternos_12</vt:lpstr>
      <vt:lpstr>'Ser-18'!DatosExternos_13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'Ser-18'!DatosExternos_18</vt:lpstr>
      <vt:lpstr>'PRUEBA FILTRO'!DatosExternos_19</vt:lpstr>
      <vt:lpstr>'Ser-18'!DatosExternos_19</vt:lpstr>
      <vt:lpstr>'PRUEBA FILTRO'!DatosExternos_20</vt:lpstr>
      <vt:lpstr>'Ser-18'!DatosExternos_20</vt:lpstr>
      <vt:lpstr>'PRUEBA FILTRO'!DatosExternos_21</vt:lpstr>
      <vt:lpstr>'Ser-18'!DatosExternos_21</vt:lpstr>
      <vt:lpstr>'PRUEBA FILTRO'!DatosExternos_22</vt:lpstr>
      <vt:lpstr>'Ser-18'!DatosExternos_22</vt:lpstr>
      <vt:lpstr>'PRUEBA FILTRO'!DatosExternos_23</vt:lpstr>
      <vt:lpstr>'Ser-18'!DatosExternos_23</vt:lpstr>
      <vt:lpstr>'PRUEBA FILTRO'!DatosExternos_24</vt:lpstr>
      <vt:lpstr>'Ser-18'!DatosExternos_24</vt:lpstr>
      <vt:lpstr>'PRUEBA FILTRO'!DatosExternos_25</vt:lpstr>
      <vt:lpstr>'Ser-18'!DatosExternos_25</vt:lpstr>
      <vt:lpstr>'Ser-18'!DatosExternos_26</vt:lpstr>
      <vt:lpstr>'Ser-18'!DatosExternos_27</vt:lpstr>
      <vt:lpstr>'Ser-18'!DatosExternos_28</vt:lpstr>
      <vt:lpstr>'Ser-18'!DatosExternos_29</vt:lpstr>
      <vt:lpstr>'Ser-18'!DatosExternos_30</vt:lpstr>
      <vt:lpstr>'Ser-18'!DatosExternos_31</vt:lpstr>
      <vt:lpstr>'Ser-18'!DatosExternos_32</vt:lpstr>
      <vt:lpstr>'Ser-18'!DatosExternos_33</vt:lpstr>
      <vt:lpstr>'Ser-18'!DatosExternos_34</vt:lpstr>
      <vt:lpstr>'Ser-18'!DatosExternos_35</vt:lpstr>
      <vt:lpstr>RUT_HES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2023-11-14T17:59:27Z</dcterms:modified>
</cp:coreProperties>
</file>